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1000" yWindow="480" windowWidth="25040" windowHeight="15500" tabRatio="943"/>
  </bookViews>
  <sheets>
    <sheet name="gacha_unit_tables_200" sheetId="32" r:id="rId1"/>
    <sheet name="gacha_unit_tables_201" sheetId="35" r:id="rId2"/>
    <sheet name="gacha_unit_tables_200.tmp" sheetId="45" r:id="rId3"/>
    <sheet name="gacha_unit_tables_201.tmp" sheetId="46" r:id="rId4"/>
  </sheets>
  <externalReferences>
    <externalReference r:id="rId5"/>
    <externalReference r:id="rId6"/>
  </externalReferences>
  <definedNames>
    <definedName name="_xlnm._FilterDatabase" localSheetId="0" hidden="1">gacha_unit_tables_200!$B$1:$M$80</definedName>
    <definedName name="_xlnm._FilterDatabase" localSheetId="1" hidden="1">gacha_unit_tables_201!$B$1:$M$80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0" i="35" l="1"/>
  <c r="C79" i="35"/>
  <c r="C78" i="35"/>
  <c r="C77" i="35"/>
  <c r="C76" i="35"/>
  <c r="C75" i="35"/>
  <c r="C74" i="35"/>
  <c r="C73" i="35"/>
  <c r="C72" i="35"/>
  <c r="C71" i="35"/>
  <c r="C70" i="35"/>
  <c r="C69" i="35"/>
  <c r="C68" i="35"/>
  <c r="C67" i="35"/>
  <c r="C66" i="35"/>
  <c r="C65" i="35"/>
  <c r="C64" i="35"/>
  <c r="C63" i="35"/>
  <c r="C62" i="35"/>
  <c r="C61" i="35"/>
  <c r="C60" i="35"/>
  <c r="C59" i="35"/>
  <c r="C58" i="35"/>
  <c r="C57" i="35"/>
  <c r="C56" i="35"/>
  <c r="C55" i="35"/>
  <c r="C54" i="35"/>
  <c r="C53" i="35"/>
  <c r="C52" i="35"/>
  <c r="C51" i="35"/>
  <c r="C50" i="35"/>
  <c r="C49" i="35"/>
  <c r="C48" i="35"/>
  <c r="C47" i="35"/>
  <c r="C46" i="35"/>
  <c r="C45" i="35"/>
  <c r="C44" i="35"/>
  <c r="C43" i="35"/>
  <c r="C42" i="35"/>
  <c r="C41" i="35"/>
  <c r="C40" i="35"/>
  <c r="C39" i="35"/>
  <c r="C38" i="35"/>
  <c r="C37" i="35"/>
  <c r="C36" i="35"/>
  <c r="C35" i="35"/>
  <c r="C34" i="35"/>
  <c r="C33" i="35"/>
  <c r="C32" i="35"/>
  <c r="C31" i="35"/>
  <c r="C30" i="35"/>
  <c r="C29" i="35"/>
  <c r="C28" i="35"/>
  <c r="C27" i="35"/>
  <c r="C26" i="35"/>
  <c r="C25" i="35"/>
  <c r="C24" i="35"/>
  <c r="C23" i="35"/>
  <c r="C22" i="35"/>
  <c r="C21" i="35"/>
  <c r="C20" i="35"/>
  <c r="C19" i="35"/>
  <c r="C18" i="35"/>
  <c r="C17" i="35"/>
  <c r="C16" i="35"/>
  <c r="C15" i="35"/>
  <c r="C14" i="35"/>
  <c r="C13" i="35"/>
  <c r="C12" i="35"/>
  <c r="C11" i="35"/>
  <c r="C10" i="35"/>
  <c r="C9" i="35"/>
  <c r="C8" i="35"/>
  <c r="C7" i="35"/>
  <c r="C6" i="35"/>
  <c r="C5" i="35"/>
  <c r="C4" i="35"/>
  <c r="C3" i="35"/>
  <c r="C2" i="35"/>
  <c r="C80" i="32"/>
  <c r="C79" i="32"/>
  <c r="C78" i="32"/>
  <c r="C77" i="32"/>
  <c r="C76" i="32"/>
  <c r="C75" i="32"/>
  <c r="C74" i="32"/>
  <c r="C73" i="32"/>
  <c r="C72" i="32"/>
  <c r="C71" i="32"/>
  <c r="C70" i="32"/>
  <c r="C69" i="32"/>
  <c r="C68" i="32"/>
  <c r="C67" i="32"/>
  <c r="C66" i="32"/>
  <c r="C65" i="32"/>
  <c r="C64" i="32"/>
  <c r="C63" i="32"/>
  <c r="C62" i="32"/>
  <c r="C61" i="32"/>
  <c r="C60" i="32"/>
  <c r="C59" i="32"/>
  <c r="C58" i="32"/>
  <c r="C57" i="32"/>
  <c r="C56" i="32"/>
  <c r="C55" i="32"/>
  <c r="C54" i="32"/>
  <c r="C53" i="32"/>
  <c r="C52" i="32"/>
  <c r="C51" i="32"/>
  <c r="C50" i="32"/>
  <c r="C49" i="32"/>
  <c r="C48" i="32"/>
  <c r="C47" i="32"/>
  <c r="C46" i="32"/>
  <c r="C45" i="32"/>
  <c r="C44" i="32"/>
  <c r="C43" i="32"/>
  <c r="C42" i="32"/>
  <c r="C41" i="32"/>
  <c r="C40" i="32"/>
  <c r="C39" i="32"/>
  <c r="C38" i="32"/>
  <c r="C37" i="32"/>
  <c r="C36" i="32"/>
  <c r="C35" i="32"/>
  <c r="C34" i="32"/>
  <c r="C33" i="32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C2" i="32"/>
  <c r="C1" i="46"/>
  <c r="A1" i="46"/>
  <c r="A81" i="46"/>
  <c r="B1" i="46"/>
  <c r="K81" i="46"/>
  <c r="J81" i="46"/>
  <c r="I81" i="46"/>
  <c r="H81" i="46"/>
  <c r="G81" i="46"/>
  <c r="F81" i="46"/>
  <c r="E81" i="46"/>
  <c r="D81" i="46"/>
  <c r="C81" i="46"/>
  <c r="B81" i="46"/>
  <c r="A80" i="46"/>
  <c r="K80" i="46"/>
  <c r="J80" i="46"/>
  <c r="I80" i="46"/>
  <c r="H80" i="46"/>
  <c r="G80" i="46"/>
  <c r="F80" i="46"/>
  <c r="E80" i="46"/>
  <c r="D80" i="46"/>
  <c r="C80" i="46"/>
  <c r="B80" i="46"/>
  <c r="A79" i="46"/>
  <c r="K79" i="46"/>
  <c r="J79" i="46"/>
  <c r="I79" i="46"/>
  <c r="H79" i="46"/>
  <c r="G79" i="46"/>
  <c r="F79" i="46"/>
  <c r="E79" i="46"/>
  <c r="D79" i="46"/>
  <c r="C79" i="46"/>
  <c r="B79" i="46"/>
  <c r="A78" i="46"/>
  <c r="K78" i="46"/>
  <c r="J78" i="46"/>
  <c r="I78" i="46"/>
  <c r="H78" i="46"/>
  <c r="G78" i="46"/>
  <c r="F78" i="46"/>
  <c r="E78" i="46"/>
  <c r="D78" i="46"/>
  <c r="C78" i="46"/>
  <c r="B78" i="46"/>
  <c r="A77" i="46"/>
  <c r="K77" i="46"/>
  <c r="J77" i="46"/>
  <c r="I77" i="46"/>
  <c r="H77" i="46"/>
  <c r="G77" i="46"/>
  <c r="F77" i="46"/>
  <c r="E77" i="46"/>
  <c r="D77" i="46"/>
  <c r="C77" i="46"/>
  <c r="B77" i="46"/>
  <c r="A76" i="46"/>
  <c r="K76" i="46"/>
  <c r="J76" i="46"/>
  <c r="I76" i="46"/>
  <c r="H76" i="46"/>
  <c r="G76" i="46"/>
  <c r="F76" i="46"/>
  <c r="E76" i="46"/>
  <c r="D76" i="46"/>
  <c r="C76" i="46"/>
  <c r="B76" i="46"/>
  <c r="A75" i="46"/>
  <c r="K75" i="46"/>
  <c r="J75" i="46"/>
  <c r="I75" i="46"/>
  <c r="H75" i="46"/>
  <c r="G75" i="46"/>
  <c r="F75" i="46"/>
  <c r="E75" i="46"/>
  <c r="D75" i="46"/>
  <c r="C75" i="46"/>
  <c r="B75" i="46"/>
  <c r="A74" i="46"/>
  <c r="K74" i="46"/>
  <c r="J74" i="46"/>
  <c r="I74" i="46"/>
  <c r="H74" i="46"/>
  <c r="G74" i="46"/>
  <c r="F74" i="46"/>
  <c r="E74" i="46"/>
  <c r="D74" i="46"/>
  <c r="C74" i="46"/>
  <c r="B74" i="46"/>
  <c r="A73" i="46"/>
  <c r="K73" i="46"/>
  <c r="J73" i="46"/>
  <c r="I73" i="46"/>
  <c r="H73" i="46"/>
  <c r="G73" i="46"/>
  <c r="F73" i="46"/>
  <c r="E73" i="46"/>
  <c r="D73" i="46"/>
  <c r="C73" i="46"/>
  <c r="B73" i="46"/>
  <c r="A72" i="46"/>
  <c r="K72" i="46"/>
  <c r="J72" i="46"/>
  <c r="I72" i="46"/>
  <c r="H72" i="46"/>
  <c r="G72" i="46"/>
  <c r="F72" i="46"/>
  <c r="E72" i="46"/>
  <c r="D72" i="46"/>
  <c r="C72" i="46"/>
  <c r="B72" i="46"/>
  <c r="A71" i="46"/>
  <c r="K71" i="46"/>
  <c r="J71" i="46"/>
  <c r="I71" i="46"/>
  <c r="H71" i="46"/>
  <c r="G71" i="46"/>
  <c r="F71" i="46"/>
  <c r="E71" i="46"/>
  <c r="D71" i="46"/>
  <c r="C71" i="46"/>
  <c r="B71" i="46"/>
  <c r="A70" i="46"/>
  <c r="K70" i="46"/>
  <c r="J70" i="46"/>
  <c r="I70" i="46"/>
  <c r="H70" i="46"/>
  <c r="G70" i="46"/>
  <c r="F70" i="46"/>
  <c r="E70" i="46"/>
  <c r="D70" i="46"/>
  <c r="C70" i="46"/>
  <c r="B70" i="46"/>
  <c r="A69" i="46"/>
  <c r="K69" i="46"/>
  <c r="J69" i="46"/>
  <c r="I69" i="46"/>
  <c r="H69" i="46"/>
  <c r="G69" i="46"/>
  <c r="F69" i="46"/>
  <c r="E69" i="46"/>
  <c r="D69" i="46"/>
  <c r="C69" i="46"/>
  <c r="B69" i="46"/>
  <c r="A68" i="46"/>
  <c r="K68" i="46"/>
  <c r="J68" i="46"/>
  <c r="I68" i="46"/>
  <c r="H68" i="46"/>
  <c r="G68" i="46"/>
  <c r="F68" i="46"/>
  <c r="E68" i="46"/>
  <c r="D68" i="46"/>
  <c r="C68" i="46"/>
  <c r="B68" i="46"/>
  <c r="A67" i="46"/>
  <c r="K67" i="46"/>
  <c r="J67" i="46"/>
  <c r="I67" i="46"/>
  <c r="H67" i="46"/>
  <c r="G67" i="46"/>
  <c r="F67" i="46"/>
  <c r="E67" i="46"/>
  <c r="D67" i="46"/>
  <c r="C67" i="46"/>
  <c r="B67" i="46"/>
  <c r="A66" i="46"/>
  <c r="K66" i="46"/>
  <c r="J66" i="46"/>
  <c r="I66" i="46"/>
  <c r="H66" i="46"/>
  <c r="G66" i="46"/>
  <c r="F66" i="46"/>
  <c r="E66" i="46"/>
  <c r="D66" i="46"/>
  <c r="C66" i="46"/>
  <c r="B66" i="46"/>
  <c r="A65" i="46"/>
  <c r="K65" i="46"/>
  <c r="J65" i="46"/>
  <c r="I65" i="46"/>
  <c r="H65" i="46"/>
  <c r="G65" i="46"/>
  <c r="F65" i="46"/>
  <c r="E65" i="46"/>
  <c r="D65" i="46"/>
  <c r="C65" i="46"/>
  <c r="B65" i="46"/>
  <c r="A64" i="46"/>
  <c r="K64" i="46"/>
  <c r="J64" i="46"/>
  <c r="I64" i="46"/>
  <c r="H64" i="46"/>
  <c r="G64" i="46"/>
  <c r="F64" i="46"/>
  <c r="E64" i="46"/>
  <c r="D64" i="46"/>
  <c r="C64" i="46"/>
  <c r="B64" i="46"/>
  <c r="A63" i="46"/>
  <c r="K63" i="46"/>
  <c r="J63" i="46"/>
  <c r="I63" i="46"/>
  <c r="H63" i="46"/>
  <c r="G63" i="46"/>
  <c r="F63" i="46"/>
  <c r="E63" i="46"/>
  <c r="D63" i="46"/>
  <c r="C63" i="46"/>
  <c r="B63" i="46"/>
  <c r="A62" i="46"/>
  <c r="K62" i="46"/>
  <c r="J62" i="46"/>
  <c r="I62" i="46"/>
  <c r="H62" i="46"/>
  <c r="G62" i="46"/>
  <c r="F62" i="46"/>
  <c r="E62" i="46"/>
  <c r="D62" i="46"/>
  <c r="C62" i="46"/>
  <c r="B62" i="46"/>
  <c r="A61" i="46"/>
  <c r="K61" i="46"/>
  <c r="J61" i="46"/>
  <c r="I61" i="46"/>
  <c r="H61" i="46"/>
  <c r="G61" i="46"/>
  <c r="F61" i="46"/>
  <c r="E61" i="46"/>
  <c r="D61" i="46"/>
  <c r="C61" i="46"/>
  <c r="B61" i="46"/>
  <c r="A60" i="46"/>
  <c r="K60" i="46"/>
  <c r="J60" i="46"/>
  <c r="I60" i="46"/>
  <c r="H60" i="46"/>
  <c r="G60" i="46"/>
  <c r="F60" i="46"/>
  <c r="E60" i="46"/>
  <c r="D60" i="46"/>
  <c r="C60" i="46"/>
  <c r="B60" i="46"/>
  <c r="A59" i="46"/>
  <c r="K59" i="46"/>
  <c r="J59" i="46"/>
  <c r="I59" i="46"/>
  <c r="H59" i="46"/>
  <c r="G59" i="46"/>
  <c r="F59" i="46"/>
  <c r="E59" i="46"/>
  <c r="D59" i="46"/>
  <c r="C59" i="46"/>
  <c r="B59" i="46"/>
  <c r="A58" i="46"/>
  <c r="K58" i="46"/>
  <c r="J58" i="46"/>
  <c r="I58" i="46"/>
  <c r="H58" i="46"/>
  <c r="G58" i="46"/>
  <c r="F58" i="46"/>
  <c r="E58" i="46"/>
  <c r="D58" i="46"/>
  <c r="C58" i="46"/>
  <c r="B58" i="46"/>
  <c r="A57" i="46"/>
  <c r="K57" i="46"/>
  <c r="J57" i="46"/>
  <c r="I57" i="46"/>
  <c r="H57" i="46"/>
  <c r="G57" i="46"/>
  <c r="F57" i="46"/>
  <c r="E57" i="46"/>
  <c r="D57" i="46"/>
  <c r="C57" i="46"/>
  <c r="B57" i="46"/>
  <c r="A56" i="46"/>
  <c r="K56" i="46"/>
  <c r="J56" i="46"/>
  <c r="I56" i="46"/>
  <c r="H56" i="46"/>
  <c r="G56" i="46"/>
  <c r="F56" i="46"/>
  <c r="E56" i="46"/>
  <c r="D56" i="46"/>
  <c r="C56" i="46"/>
  <c r="B56" i="46"/>
  <c r="A55" i="46"/>
  <c r="K55" i="46"/>
  <c r="J55" i="46"/>
  <c r="I55" i="46"/>
  <c r="H55" i="46"/>
  <c r="G55" i="46"/>
  <c r="F55" i="46"/>
  <c r="E55" i="46"/>
  <c r="D55" i="46"/>
  <c r="C55" i="46"/>
  <c r="B55" i="46"/>
  <c r="A54" i="46"/>
  <c r="K54" i="46"/>
  <c r="J54" i="46"/>
  <c r="I54" i="46"/>
  <c r="H54" i="46"/>
  <c r="G54" i="46"/>
  <c r="F54" i="46"/>
  <c r="E54" i="46"/>
  <c r="D54" i="46"/>
  <c r="C54" i="46"/>
  <c r="B54" i="46"/>
  <c r="A53" i="46"/>
  <c r="K53" i="46"/>
  <c r="J53" i="46"/>
  <c r="I53" i="46"/>
  <c r="H53" i="46"/>
  <c r="G53" i="46"/>
  <c r="F53" i="46"/>
  <c r="E53" i="46"/>
  <c r="D53" i="46"/>
  <c r="C53" i="46"/>
  <c r="B53" i="46"/>
  <c r="A52" i="46"/>
  <c r="K52" i="46"/>
  <c r="J52" i="46"/>
  <c r="I52" i="46"/>
  <c r="H52" i="46"/>
  <c r="G52" i="46"/>
  <c r="F52" i="46"/>
  <c r="E52" i="46"/>
  <c r="D52" i="46"/>
  <c r="C52" i="46"/>
  <c r="B52" i="46"/>
  <c r="A51" i="46"/>
  <c r="K51" i="46"/>
  <c r="J51" i="46"/>
  <c r="I51" i="46"/>
  <c r="H51" i="46"/>
  <c r="G51" i="46"/>
  <c r="F51" i="46"/>
  <c r="E51" i="46"/>
  <c r="D51" i="46"/>
  <c r="C51" i="46"/>
  <c r="B51" i="46"/>
  <c r="A50" i="46"/>
  <c r="K50" i="46"/>
  <c r="J50" i="46"/>
  <c r="I50" i="46"/>
  <c r="H50" i="46"/>
  <c r="G50" i="46"/>
  <c r="F50" i="46"/>
  <c r="E50" i="46"/>
  <c r="D50" i="46"/>
  <c r="C50" i="46"/>
  <c r="B50" i="46"/>
  <c r="A49" i="46"/>
  <c r="K49" i="46"/>
  <c r="J49" i="46"/>
  <c r="I49" i="46"/>
  <c r="H49" i="46"/>
  <c r="G49" i="46"/>
  <c r="F49" i="46"/>
  <c r="E49" i="46"/>
  <c r="D49" i="46"/>
  <c r="C49" i="46"/>
  <c r="B49" i="46"/>
  <c r="A48" i="46"/>
  <c r="K48" i="46"/>
  <c r="J48" i="46"/>
  <c r="I48" i="46"/>
  <c r="H48" i="46"/>
  <c r="G48" i="46"/>
  <c r="F48" i="46"/>
  <c r="E48" i="46"/>
  <c r="D48" i="46"/>
  <c r="C48" i="46"/>
  <c r="B48" i="46"/>
  <c r="A47" i="46"/>
  <c r="K47" i="46"/>
  <c r="J47" i="46"/>
  <c r="I47" i="46"/>
  <c r="H47" i="46"/>
  <c r="G47" i="46"/>
  <c r="F47" i="46"/>
  <c r="E47" i="46"/>
  <c r="D47" i="46"/>
  <c r="C47" i="46"/>
  <c r="B47" i="46"/>
  <c r="A46" i="46"/>
  <c r="K46" i="46"/>
  <c r="J46" i="46"/>
  <c r="I46" i="46"/>
  <c r="H46" i="46"/>
  <c r="G46" i="46"/>
  <c r="F46" i="46"/>
  <c r="E46" i="46"/>
  <c r="D46" i="46"/>
  <c r="C46" i="46"/>
  <c r="B46" i="46"/>
  <c r="A45" i="46"/>
  <c r="K45" i="46"/>
  <c r="J45" i="46"/>
  <c r="I45" i="46"/>
  <c r="H45" i="46"/>
  <c r="G45" i="46"/>
  <c r="F45" i="46"/>
  <c r="E45" i="46"/>
  <c r="D45" i="46"/>
  <c r="C45" i="46"/>
  <c r="B45" i="46"/>
  <c r="A44" i="46"/>
  <c r="K44" i="46"/>
  <c r="J44" i="46"/>
  <c r="I44" i="46"/>
  <c r="H44" i="46"/>
  <c r="G44" i="46"/>
  <c r="F44" i="46"/>
  <c r="E44" i="46"/>
  <c r="D44" i="46"/>
  <c r="C44" i="46"/>
  <c r="B44" i="46"/>
  <c r="A43" i="46"/>
  <c r="K43" i="46"/>
  <c r="J43" i="46"/>
  <c r="I43" i="46"/>
  <c r="H43" i="46"/>
  <c r="G43" i="46"/>
  <c r="F43" i="46"/>
  <c r="E43" i="46"/>
  <c r="D43" i="46"/>
  <c r="C43" i="46"/>
  <c r="B43" i="46"/>
  <c r="A42" i="46"/>
  <c r="K42" i="46"/>
  <c r="J42" i="46"/>
  <c r="I42" i="46"/>
  <c r="H42" i="46"/>
  <c r="G42" i="46"/>
  <c r="F42" i="46"/>
  <c r="E42" i="46"/>
  <c r="D42" i="46"/>
  <c r="C42" i="46"/>
  <c r="B42" i="46"/>
  <c r="A41" i="46"/>
  <c r="K41" i="46"/>
  <c r="J41" i="46"/>
  <c r="I41" i="46"/>
  <c r="H41" i="46"/>
  <c r="G41" i="46"/>
  <c r="F41" i="46"/>
  <c r="E41" i="46"/>
  <c r="D41" i="46"/>
  <c r="C41" i="46"/>
  <c r="B41" i="46"/>
  <c r="A40" i="46"/>
  <c r="K40" i="46"/>
  <c r="J40" i="46"/>
  <c r="I40" i="46"/>
  <c r="H40" i="46"/>
  <c r="G40" i="46"/>
  <c r="F40" i="46"/>
  <c r="E40" i="46"/>
  <c r="D40" i="46"/>
  <c r="C40" i="46"/>
  <c r="B40" i="46"/>
  <c r="A39" i="46"/>
  <c r="K39" i="46"/>
  <c r="J39" i="46"/>
  <c r="I39" i="46"/>
  <c r="H39" i="46"/>
  <c r="G39" i="46"/>
  <c r="F39" i="46"/>
  <c r="E39" i="46"/>
  <c r="D39" i="46"/>
  <c r="C39" i="46"/>
  <c r="B39" i="46"/>
  <c r="A38" i="46"/>
  <c r="K38" i="46"/>
  <c r="J38" i="46"/>
  <c r="I38" i="46"/>
  <c r="H38" i="46"/>
  <c r="G38" i="46"/>
  <c r="F38" i="46"/>
  <c r="E38" i="46"/>
  <c r="D38" i="46"/>
  <c r="C38" i="46"/>
  <c r="B38" i="46"/>
  <c r="A37" i="46"/>
  <c r="K37" i="46"/>
  <c r="J37" i="46"/>
  <c r="I37" i="46"/>
  <c r="H37" i="46"/>
  <c r="G37" i="46"/>
  <c r="F37" i="46"/>
  <c r="E37" i="46"/>
  <c r="D37" i="46"/>
  <c r="C37" i="46"/>
  <c r="B37" i="46"/>
  <c r="A36" i="46"/>
  <c r="K36" i="46"/>
  <c r="J36" i="46"/>
  <c r="I36" i="46"/>
  <c r="H36" i="46"/>
  <c r="G36" i="46"/>
  <c r="F36" i="46"/>
  <c r="E36" i="46"/>
  <c r="D36" i="46"/>
  <c r="C36" i="46"/>
  <c r="B36" i="46"/>
  <c r="A35" i="46"/>
  <c r="K35" i="46"/>
  <c r="J35" i="46"/>
  <c r="I35" i="46"/>
  <c r="H35" i="46"/>
  <c r="G35" i="46"/>
  <c r="F35" i="46"/>
  <c r="E35" i="46"/>
  <c r="D35" i="46"/>
  <c r="C35" i="46"/>
  <c r="B35" i="46"/>
  <c r="A34" i="46"/>
  <c r="K34" i="46"/>
  <c r="J34" i="46"/>
  <c r="I34" i="46"/>
  <c r="H34" i="46"/>
  <c r="G34" i="46"/>
  <c r="F34" i="46"/>
  <c r="E34" i="46"/>
  <c r="D34" i="46"/>
  <c r="C34" i="46"/>
  <c r="B34" i="46"/>
  <c r="A33" i="46"/>
  <c r="K33" i="46"/>
  <c r="J33" i="46"/>
  <c r="I33" i="46"/>
  <c r="H33" i="46"/>
  <c r="G33" i="46"/>
  <c r="F33" i="46"/>
  <c r="E33" i="46"/>
  <c r="D33" i="46"/>
  <c r="C33" i="46"/>
  <c r="B33" i="46"/>
  <c r="A32" i="46"/>
  <c r="K32" i="46"/>
  <c r="J32" i="46"/>
  <c r="I32" i="46"/>
  <c r="H32" i="46"/>
  <c r="G32" i="46"/>
  <c r="F32" i="46"/>
  <c r="E32" i="46"/>
  <c r="D32" i="46"/>
  <c r="C32" i="46"/>
  <c r="B32" i="46"/>
  <c r="A31" i="46"/>
  <c r="K31" i="46"/>
  <c r="J31" i="46"/>
  <c r="I31" i="46"/>
  <c r="H31" i="46"/>
  <c r="G31" i="46"/>
  <c r="F31" i="46"/>
  <c r="E31" i="46"/>
  <c r="D31" i="46"/>
  <c r="C31" i="46"/>
  <c r="B31" i="46"/>
  <c r="A30" i="46"/>
  <c r="K30" i="46"/>
  <c r="J30" i="46"/>
  <c r="I30" i="46"/>
  <c r="H30" i="46"/>
  <c r="G30" i="46"/>
  <c r="F30" i="46"/>
  <c r="E30" i="46"/>
  <c r="D30" i="46"/>
  <c r="C30" i="46"/>
  <c r="B30" i="46"/>
  <c r="A29" i="46"/>
  <c r="K29" i="46"/>
  <c r="J29" i="46"/>
  <c r="I29" i="46"/>
  <c r="H29" i="46"/>
  <c r="G29" i="46"/>
  <c r="F29" i="46"/>
  <c r="E29" i="46"/>
  <c r="D29" i="46"/>
  <c r="C29" i="46"/>
  <c r="B29" i="46"/>
  <c r="A28" i="46"/>
  <c r="K28" i="46"/>
  <c r="J28" i="46"/>
  <c r="I28" i="46"/>
  <c r="H28" i="46"/>
  <c r="G28" i="46"/>
  <c r="F28" i="46"/>
  <c r="E28" i="46"/>
  <c r="D28" i="46"/>
  <c r="C28" i="46"/>
  <c r="B28" i="46"/>
  <c r="A27" i="46"/>
  <c r="K27" i="46"/>
  <c r="J27" i="46"/>
  <c r="I27" i="46"/>
  <c r="H27" i="46"/>
  <c r="G27" i="46"/>
  <c r="F27" i="46"/>
  <c r="E27" i="46"/>
  <c r="D27" i="46"/>
  <c r="C27" i="46"/>
  <c r="B27" i="46"/>
  <c r="A26" i="46"/>
  <c r="K26" i="46"/>
  <c r="J26" i="46"/>
  <c r="I26" i="46"/>
  <c r="H26" i="46"/>
  <c r="G26" i="46"/>
  <c r="F26" i="46"/>
  <c r="E26" i="46"/>
  <c r="D26" i="46"/>
  <c r="C26" i="46"/>
  <c r="B26" i="46"/>
  <c r="A25" i="46"/>
  <c r="K25" i="46"/>
  <c r="J25" i="46"/>
  <c r="I25" i="46"/>
  <c r="H25" i="46"/>
  <c r="G25" i="46"/>
  <c r="F25" i="46"/>
  <c r="E25" i="46"/>
  <c r="D25" i="46"/>
  <c r="C25" i="46"/>
  <c r="B25" i="46"/>
  <c r="A24" i="46"/>
  <c r="K24" i="46"/>
  <c r="J24" i="46"/>
  <c r="I24" i="46"/>
  <c r="H24" i="46"/>
  <c r="G24" i="46"/>
  <c r="F24" i="46"/>
  <c r="E24" i="46"/>
  <c r="D24" i="46"/>
  <c r="C24" i="46"/>
  <c r="B24" i="46"/>
  <c r="A23" i="46"/>
  <c r="K23" i="46"/>
  <c r="J23" i="46"/>
  <c r="I23" i="46"/>
  <c r="H23" i="46"/>
  <c r="G23" i="46"/>
  <c r="F23" i="46"/>
  <c r="E23" i="46"/>
  <c r="D23" i="46"/>
  <c r="C23" i="46"/>
  <c r="B23" i="46"/>
  <c r="A22" i="46"/>
  <c r="K22" i="46"/>
  <c r="J22" i="46"/>
  <c r="I22" i="46"/>
  <c r="H22" i="46"/>
  <c r="G22" i="46"/>
  <c r="F22" i="46"/>
  <c r="E22" i="46"/>
  <c r="D22" i="46"/>
  <c r="C22" i="46"/>
  <c r="B22" i="46"/>
  <c r="A21" i="46"/>
  <c r="K21" i="46"/>
  <c r="J21" i="46"/>
  <c r="I21" i="46"/>
  <c r="H21" i="46"/>
  <c r="G21" i="46"/>
  <c r="F21" i="46"/>
  <c r="E21" i="46"/>
  <c r="D21" i="46"/>
  <c r="C21" i="46"/>
  <c r="B21" i="46"/>
  <c r="A20" i="46"/>
  <c r="K20" i="46"/>
  <c r="J20" i="46"/>
  <c r="I20" i="46"/>
  <c r="H20" i="46"/>
  <c r="G20" i="46"/>
  <c r="F20" i="46"/>
  <c r="E20" i="46"/>
  <c r="D20" i="46"/>
  <c r="C20" i="46"/>
  <c r="B20" i="46"/>
  <c r="A19" i="46"/>
  <c r="K19" i="46"/>
  <c r="J19" i="46"/>
  <c r="I19" i="46"/>
  <c r="H19" i="46"/>
  <c r="G19" i="46"/>
  <c r="F19" i="46"/>
  <c r="E19" i="46"/>
  <c r="D19" i="46"/>
  <c r="C19" i="46"/>
  <c r="B19" i="46"/>
  <c r="A18" i="46"/>
  <c r="K18" i="46"/>
  <c r="J18" i="46"/>
  <c r="I18" i="46"/>
  <c r="H18" i="46"/>
  <c r="G18" i="46"/>
  <c r="F18" i="46"/>
  <c r="E18" i="46"/>
  <c r="D18" i="46"/>
  <c r="C18" i="46"/>
  <c r="B18" i="46"/>
  <c r="A17" i="46"/>
  <c r="K17" i="46"/>
  <c r="J17" i="46"/>
  <c r="I17" i="46"/>
  <c r="H17" i="46"/>
  <c r="G17" i="46"/>
  <c r="F17" i="46"/>
  <c r="E17" i="46"/>
  <c r="D17" i="46"/>
  <c r="C17" i="46"/>
  <c r="B17" i="46"/>
  <c r="A16" i="46"/>
  <c r="K16" i="46"/>
  <c r="J16" i="46"/>
  <c r="I16" i="46"/>
  <c r="H16" i="46"/>
  <c r="G16" i="46"/>
  <c r="F16" i="46"/>
  <c r="E16" i="46"/>
  <c r="D16" i="46"/>
  <c r="C16" i="46"/>
  <c r="B16" i="46"/>
  <c r="A15" i="46"/>
  <c r="K15" i="46"/>
  <c r="J15" i="46"/>
  <c r="I15" i="46"/>
  <c r="H15" i="46"/>
  <c r="G15" i="46"/>
  <c r="F15" i="46"/>
  <c r="E15" i="46"/>
  <c r="D15" i="46"/>
  <c r="C15" i="46"/>
  <c r="B15" i="46"/>
  <c r="A14" i="46"/>
  <c r="K14" i="46"/>
  <c r="J14" i="46"/>
  <c r="I14" i="46"/>
  <c r="H14" i="46"/>
  <c r="G14" i="46"/>
  <c r="F14" i="46"/>
  <c r="E14" i="46"/>
  <c r="D14" i="46"/>
  <c r="C14" i="46"/>
  <c r="B14" i="46"/>
  <c r="A13" i="46"/>
  <c r="K13" i="46"/>
  <c r="J13" i="46"/>
  <c r="I13" i="46"/>
  <c r="H13" i="46"/>
  <c r="G13" i="46"/>
  <c r="F13" i="46"/>
  <c r="E13" i="46"/>
  <c r="D13" i="46"/>
  <c r="C13" i="46"/>
  <c r="B13" i="46"/>
  <c r="A12" i="46"/>
  <c r="K12" i="46"/>
  <c r="J12" i="46"/>
  <c r="I12" i="46"/>
  <c r="H12" i="46"/>
  <c r="G12" i="46"/>
  <c r="F12" i="46"/>
  <c r="E12" i="46"/>
  <c r="D12" i="46"/>
  <c r="C12" i="46"/>
  <c r="B12" i="46"/>
  <c r="A11" i="46"/>
  <c r="K11" i="46"/>
  <c r="J11" i="46"/>
  <c r="I11" i="46"/>
  <c r="H11" i="46"/>
  <c r="G11" i="46"/>
  <c r="F11" i="46"/>
  <c r="E11" i="46"/>
  <c r="D11" i="46"/>
  <c r="C11" i="46"/>
  <c r="B11" i="46"/>
  <c r="A10" i="46"/>
  <c r="K10" i="46"/>
  <c r="J10" i="46"/>
  <c r="I10" i="46"/>
  <c r="H10" i="46"/>
  <c r="G10" i="46"/>
  <c r="F10" i="46"/>
  <c r="E10" i="46"/>
  <c r="D10" i="46"/>
  <c r="C10" i="46"/>
  <c r="B10" i="46"/>
  <c r="A9" i="46"/>
  <c r="K9" i="46"/>
  <c r="J9" i="46"/>
  <c r="I9" i="46"/>
  <c r="H9" i="46"/>
  <c r="G9" i="46"/>
  <c r="F9" i="46"/>
  <c r="E9" i="46"/>
  <c r="D9" i="46"/>
  <c r="C9" i="46"/>
  <c r="B9" i="46"/>
  <c r="A8" i="46"/>
  <c r="K8" i="46"/>
  <c r="J8" i="46"/>
  <c r="I8" i="46"/>
  <c r="H8" i="46"/>
  <c r="G8" i="46"/>
  <c r="F8" i="46"/>
  <c r="E8" i="46"/>
  <c r="D8" i="46"/>
  <c r="C8" i="46"/>
  <c r="B8" i="46"/>
  <c r="A7" i="46"/>
  <c r="K7" i="46"/>
  <c r="J7" i="46"/>
  <c r="I7" i="46"/>
  <c r="H7" i="46"/>
  <c r="G7" i="46"/>
  <c r="F7" i="46"/>
  <c r="E7" i="46"/>
  <c r="D7" i="46"/>
  <c r="C7" i="46"/>
  <c r="B7" i="46"/>
  <c r="A6" i="46"/>
  <c r="K6" i="46"/>
  <c r="J6" i="46"/>
  <c r="I6" i="46"/>
  <c r="H6" i="46"/>
  <c r="G6" i="46"/>
  <c r="F6" i="46"/>
  <c r="E6" i="46"/>
  <c r="D6" i="46"/>
  <c r="C6" i="46"/>
  <c r="B6" i="46"/>
  <c r="A5" i="46"/>
  <c r="K5" i="46"/>
  <c r="J5" i="46"/>
  <c r="I5" i="46"/>
  <c r="H5" i="46"/>
  <c r="G5" i="46"/>
  <c r="F5" i="46"/>
  <c r="E5" i="46"/>
  <c r="D5" i="46"/>
  <c r="C5" i="46"/>
  <c r="B5" i="46"/>
  <c r="A4" i="46"/>
  <c r="K4" i="46"/>
  <c r="J4" i="46"/>
  <c r="I4" i="46"/>
  <c r="H4" i="46"/>
  <c r="G4" i="46"/>
  <c r="F4" i="46"/>
  <c r="E4" i="46"/>
  <c r="D4" i="46"/>
  <c r="C4" i="46"/>
  <c r="B4" i="46"/>
  <c r="C1" i="45"/>
  <c r="A1" i="45"/>
  <c r="A81" i="45"/>
  <c r="B1" i="45"/>
  <c r="K81" i="45"/>
  <c r="J81" i="45"/>
  <c r="I81" i="45"/>
  <c r="H81" i="45"/>
  <c r="G81" i="45"/>
  <c r="F81" i="45"/>
  <c r="E81" i="45"/>
  <c r="D81" i="45"/>
  <c r="C81" i="45"/>
  <c r="B81" i="45"/>
  <c r="A80" i="45"/>
  <c r="K80" i="45"/>
  <c r="J80" i="45"/>
  <c r="I80" i="45"/>
  <c r="H80" i="45"/>
  <c r="G80" i="45"/>
  <c r="F80" i="45"/>
  <c r="E80" i="45"/>
  <c r="D80" i="45"/>
  <c r="C80" i="45"/>
  <c r="B80" i="45"/>
  <c r="A79" i="45"/>
  <c r="K79" i="45"/>
  <c r="J79" i="45"/>
  <c r="I79" i="45"/>
  <c r="H79" i="45"/>
  <c r="G79" i="45"/>
  <c r="F79" i="45"/>
  <c r="E79" i="45"/>
  <c r="D79" i="45"/>
  <c r="C79" i="45"/>
  <c r="B79" i="45"/>
  <c r="A78" i="45"/>
  <c r="K78" i="45"/>
  <c r="J78" i="45"/>
  <c r="I78" i="45"/>
  <c r="H78" i="45"/>
  <c r="G78" i="45"/>
  <c r="F78" i="45"/>
  <c r="E78" i="45"/>
  <c r="D78" i="45"/>
  <c r="C78" i="45"/>
  <c r="B78" i="45"/>
  <c r="A77" i="45"/>
  <c r="K77" i="45"/>
  <c r="J77" i="45"/>
  <c r="I77" i="45"/>
  <c r="H77" i="45"/>
  <c r="G77" i="45"/>
  <c r="F77" i="45"/>
  <c r="E77" i="45"/>
  <c r="D77" i="45"/>
  <c r="C77" i="45"/>
  <c r="B77" i="45"/>
  <c r="A76" i="45"/>
  <c r="K76" i="45"/>
  <c r="J76" i="45"/>
  <c r="I76" i="45"/>
  <c r="H76" i="45"/>
  <c r="G76" i="45"/>
  <c r="F76" i="45"/>
  <c r="E76" i="45"/>
  <c r="D76" i="45"/>
  <c r="C76" i="45"/>
  <c r="B76" i="45"/>
  <c r="A75" i="45"/>
  <c r="K75" i="45"/>
  <c r="J75" i="45"/>
  <c r="I75" i="45"/>
  <c r="H75" i="45"/>
  <c r="G75" i="45"/>
  <c r="F75" i="45"/>
  <c r="E75" i="45"/>
  <c r="D75" i="45"/>
  <c r="C75" i="45"/>
  <c r="B75" i="45"/>
  <c r="A74" i="45"/>
  <c r="K74" i="45"/>
  <c r="J74" i="45"/>
  <c r="I74" i="45"/>
  <c r="H74" i="45"/>
  <c r="G74" i="45"/>
  <c r="F74" i="45"/>
  <c r="E74" i="45"/>
  <c r="D74" i="45"/>
  <c r="C74" i="45"/>
  <c r="B74" i="45"/>
  <c r="A73" i="45"/>
  <c r="K73" i="45"/>
  <c r="J73" i="45"/>
  <c r="I73" i="45"/>
  <c r="H73" i="45"/>
  <c r="G73" i="45"/>
  <c r="F73" i="45"/>
  <c r="E73" i="45"/>
  <c r="D73" i="45"/>
  <c r="C73" i="45"/>
  <c r="B73" i="45"/>
  <c r="A72" i="45"/>
  <c r="K72" i="45"/>
  <c r="J72" i="45"/>
  <c r="I72" i="45"/>
  <c r="H72" i="45"/>
  <c r="G72" i="45"/>
  <c r="F72" i="45"/>
  <c r="E72" i="45"/>
  <c r="D72" i="45"/>
  <c r="C72" i="45"/>
  <c r="B72" i="45"/>
  <c r="A71" i="45"/>
  <c r="K71" i="45"/>
  <c r="J71" i="45"/>
  <c r="I71" i="45"/>
  <c r="H71" i="45"/>
  <c r="G71" i="45"/>
  <c r="F71" i="45"/>
  <c r="E71" i="45"/>
  <c r="D71" i="45"/>
  <c r="C71" i="45"/>
  <c r="B71" i="45"/>
  <c r="A70" i="45"/>
  <c r="K70" i="45"/>
  <c r="J70" i="45"/>
  <c r="I70" i="45"/>
  <c r="H70" i="45"/>
  <c r="G70" i="45"/>
  <c r="F70" i="45"/>
  <c r="E70" i="45"/>
  <c r="D70" i="45"/>
  <c r="C70" i="45"/>
  <c r="B70" i="45"/>
  <c r="A69" i="45"/>
  <c r="K69" i="45"/>
  <c r="J69" i="45"/>
  <c r="I69" i="45"/>
  <c r="H69" i="45"/>
  <c r="G69" i="45"/>
  <c r="F69" i="45"/>
  <c r="E69" i="45"/>
  <c r="D69" i="45"/>
  <c r="C69" i="45"/>
  <c r="B69" i="45"/>
  <c r="A68" i="45"/>
  <c r="K68" i="45"/>
  <c r="J68" i="45"/>
  <c r="I68" i="45"/>
  <c r="H68" i="45"/>
  <c r="G68" i="45"/>
  <c r="F68" i="45"/>
  <c r="E68" i="45"/>
  <c r="D68" i="45"/>
  <c r="C68" i="45"/>
  <c r="B68" i="45"/>
  <c r="A67" i="45"/>
  <c r="K67" i="45"/>
  <c r="J67" i="45"/>
  <c r="I67" i="45"/>
  <c r="H67" i="45"/>
  <c r="G67" i="45"/>
  <c r="F67" i="45"/>
  <c r="E67" i="45"/>
  <c r="D67" i="45"/>
  <c r="C67" i="45"/>
  <c r="B67" i="45"/>
  <c r="A66" i="45"/>
  <c r="K66" i="45"/>
  <c r="J66" i="45"/>
  <c r="I66" i="45"/>
  <c r="H66" i="45"/>
  <c r="G66" i="45"/>
  <c r="F66" i="45"/>
  <c r="E66" i="45"/>
  <c r="D66" i="45"/>
  <c r="C66" i="45"/>
  <c r="B66" i="45"/>
  <c r="A65" i="45"/>
  <c r="K65" i="45"/>
  <c r="J65" i="45"/>
  <c r="I65" i="45"/>
  <c r="H65" i="45"/>
  <c r="G65" i="45"/>
  <c r="F65" i="45"/>
  <c r="E65" i="45"/>
  <c r="D65" i="45"/>
  <c r="C65" i="45"/>
  <c r="B65" i="45"/>
  <c r="A64" i="45"/>
  <c r="K64" i="45"/>
  <c r="J64" i="45"/>
  <c r="I64" i="45"/>
  <c r="H64" i="45"/>
  <c r="G64" i="45"/>
  <c r="F64" i="45"/>
  <c r="E64" i="45"/>
  <c r="D64" i="45"/>
  <c r="C64" i="45"/>
  <c r="B64" i="45"/>
  <c r="A63" i="45"/>
  <c r="K63" i="45"/>
  <c r="J63" i="45"/>
  <c r="I63" i="45"/>
  <c r="H63" i="45"/>
  <c r="G63" i="45"/>
  <c r="F63" i="45"/>
  <c r="E63" i="45"/>
  <c r="D63" i="45"/>
  <c r="C63" i="45"/>
  <c r="B63" i="45"/>
  <c r="A62" i="45"/>
  <c r="K62" i="45"/>
  <c r="J62" i="45"/>
  <c r="I62" i="45"/>
  <c r="H62" i="45"/>
  <c r="G62" i="45"/>
  <c r="F62" i="45"/>
  <c r="E62" i="45"/>
  <c r="D62" i="45"/>
  <c r="C62" i="45"/>
  <c r="B62" i="45"/>
  <c r="A61" i="45"/>
  <c r="K61" i="45"/>
  <c r="J61" i="45"/>
  <c r="I61" i="45"/>
  <c r="H61" i="45"/>
  <c r="G61" i="45"/>
  <c r="F61" i="45"/>
  <c r="E61" i="45"/>
  <c r="D61" i="45"/>
  <c r="C61" i="45"/>
  <c r="B61" i="45"/>
  <c r="A60" i="45"/>
  <c r="K60" i="45"/>
  <c r="J60" i="45"/>
  <c r="I60" i="45"/>
  <c r="H60" i="45"/>
  <c r="G60" i="45"/>
  <c r="F60" i="45"/>
  <c r="E60" i="45"/>
  <c r="D60" i="45"/>
  <c r="C60" i="45"/>
  <c r="B60" i="45"/>
  <c r="A59" i="45"/>
  <c r="K59" i="45"/>
  <c r="J59" i="45"/>
  <c r="I59" i="45"/>
  <c r="H59" i="45"/>
  <c r="G59" i="45"/>
  <c r="F59" i="45"/>
  <c r="E59" i="45"/>
  <c r="D59" i="45"/>
  <c r="C59" i="45"/>
  <c r="B59" i="45"/>
  <c r="A58" i="45"/>
  <c r="K58" i="45"/>
  <c r="J58" i="45"/>
  <c r="I58" i="45"/>
  <c r="H58" i="45"/>
  <c r="G58" i="45"/>
  <c r="F58" i="45"/>
  <c r="E58" i="45"/>
  <c r="D58" i="45"/>
  <c r="C58" i="45"/>
  <c r="B58" i="45"/>
  <c r="A57" i="45"/>
  <c r="K57" i="45"/>
  <c r="J57" i="45"/>
  <c r="I57" i="45"/>
  <c r="H57" i="45"/>
  <c r="G57" i="45"/>
  <c r="F57" i="45"/>
  <c r="E57" i="45"/>
  <c r="D57" i="45"/>
  <c r="C57" i="45"/>
  <c r="B57" i="45"/>
  <c r="A56" i="45"/>
  <c r="K56" i="45"/>
  <c r="J56" i="45"/>
  <c r="I56" i="45"/>
  <c r="H56" i="45"/>
  <c r="G56" i="45"/>
  <c r="F56" i="45"/>
  <c r="E56" i="45"/>
  <c r="D56" i="45"/>
  <c r="C56" i="45"/>
  <c r="B56" i="45"/>
  <c r="A55" i="45"/>
  <c r="K55" i="45"/>
  <c r="J55" i="45"/>
  <c r="I55" i="45"/>
  <c r="H55" i="45"/>
  <c r="G55" i="45"/>
  <c r="F55" i="45"/>
  <c r="E55" i="45"/>
  <c r="D55" i="45"/>
  <c r="C55" i="45"/>
  <c r="B55" i="45"/>
  <c r="A54" i="45"/>
  <c r="K54" i="45"/>
  <c r="J54" i="45"/>
  <c r="I54" i="45"/>
  <c r="H54" i="45"/>
  <c r="G54" i="45"/>
  <c r="F54" i="45"/>
  <c r="E54" i="45"/>
  <c r="D54" i="45"/>
  <c r="C54" i="45"/>
  <c r="B54" i="45"/>
  <c r="A53" i="45"/>
  <c r="K53" i="45"/>
  <c r="J53" i="45"/>
  <c r="I53" i="45"/>
  <c r="H53" i="45"/>
  <c r="G53" i="45"/>
  <c r="F53" i="45"/>
  <c r="E53" i="45"/>
  <c r="D53" i="45"/>
  <c r="C53" i="45"/>
  <c r="B53" i="45"/>
  <c r="A52" i="45"/>
  <c r="K52" i="45"/>
  <c r="J52" i="45"/>
  <c r="I52" i="45"/>
  <c r="H52" i="45"/>
  <c r="G52" i="45"/>
  <c r="F52" i="45"/>
  <c r="E52" i="45"/>
  <c r="D52" i="45"/>
  <c r="C52" i="45"/>
  <c r="B52" i="45"/>
  <c r="A51" i="45"/>
  <c r="K51" i="45"/>
  <c r="J51" i="45"/>
  <c r="I51" i="45"/>
  <c r="H51" i="45"/>
  <c r="G51" i="45"/>
  <c r="F51" i="45"/>
  <c r="E51" i="45"/>
  <c r="D51" i="45"/>
  <c r="C51" i="45"/>
  <c r="B51" i="45"/>
  <c r="A50" i="45"/>
  <c r="K50" i="45"/>
  <c r="J50" i="45"/>
  <c r="I50" i="45"/>
  <c r="H50" i="45"/>
  <c r="G50" i="45"/>
  <c r="F50" i="45"/>
  <c r="E50" i="45"/>
  <c r="D50" i="45"/>
  <c r="C50" i="45"/>
  <c r="B50" i="45"/>
  <c r="A49" i="45"/>
  <c r="K49" i="45"/>
  <c r="J49" i="45"/>
  <c r="I49" i="45"/>
  <c r="H49" i="45"/>
  <c r="G49" i="45"/>
  <c r="F49" i="45"/>
  <c r="E49" i="45"/>
  <c r="D49" i="45"/>
  <c r="C49" i="45"/>
  <c r="B49" i="45"/>
  <c r="A48" i="45"/>
  <c r="K48" i="45"/>
  <c r="J48" i="45"/>
  <c r="I48" i="45"/>
  <c r="H48" i="45"/>
  <c r="G48" i="45"/>
  <c r="F48" i="45"/>
  <c r="E48" i="45"/>
  <c r="D48" i="45"/>
  <c r="C48" i="45"/>
  <c r="B48" i="45"/>
  <c r="A47" i="45"/>
  <c r="K47" i="45"/>
  <c r="J47" i="45"/>
  <c r="I47" i="45"/>
  <c r="H47" i="45"/>
  <c r="G47" i="45"/>
  <c r="F47" i="45"/>
  <c r="E47" i="45"/>
  <c r="D47" i="45"/>
  <c r="C47" i="45"/>
  <c r="B47" i="45"/>
  <c r="A46" i="45"/>
  <c r="K46" i="45"/>
  <c r="J46" i="45"/>
  <c r="I46" i="45"/>
  <c r="H46" i="45"/>
  <c r="G46" i="45"/>
  <c r="F46" i="45"/>
  <c r="E46" i="45"/>
  <c r="D46" i="45"/>
  <c r="C46" i="45"/>
  <c r="B46" i="45"/>
  <c r="A45" i="45"/>
  <c r="K45" i="45"/>
  <c r="J45" i="45"/>
  <c r="I45" i="45"/>
  <c r="H45" i="45"/>
  <c r="G45" i="45"/>
  <c r="F45" i="45"/>
  <c r="E45" i="45"/>
  <c r="D45" i="45"/>
  <c r="C45" i="45"/>
  <c r="B45" i="45"/>
  <c r="A44" i="45"/>
  <c r="K44" i="45"/>
  <c r="J44" i="45"/>
  <c r="I44" i="45"/>
  <c r="H44" i="45"/>
  <c r="G44" i="45"/>
  <c r="F44" i="45"/>
  <c r="E44" i="45"/>
  <c r="D44" i="45"/>
  <c r="C44" i="45"/>
  <c r="B44" i="45"/>
  <c r="A43" i="45"/>
  <c r="K43" i="45"/>
  <c r="J43" i="45"/>
  <c r="I43" i="45"/>
  <c r="H43" i="45"/>
  <c r="G43" i="45"/>
  <c r="F43" i="45"/>
  <c r="E43" i="45"/>
  <c r="D43" i="45"/>
  <c r="C43" i="45"/>
  <c r="B43" i="45"/>
  <c r="A42" i="45"/>
  <c r="K42" i="45"/>
  <c r="J42" i="45"/>
  <c r="I42" i="45"/>
  <c r="H42" i="45"/>
  <c r="G42" i="45"/>
  <c r="F42" i="45"/>
  <c r="E42" i="45"/>
  <c r="D42" i="45"/>
  <c r="C42" i="45"/>
  <c r="B42" i="45"/>
  <c r="A41" i="45"/>
  <c r="K41" i="45"/>
  <c r="J41" i="45"/>
  <c r="I41" i="45"/>
  <c r="H41" i="45"/>
  <c r="G41" i="45"/>
  <c r="F41" i="45"/>
  <c r="E41" i="45"/>
  <c r="D41" i="45"/>
  <c r="C41" i="45"/>
  <c r="B41" i="45"/>
  <c r="A40" i="45"/>
  <c r="K40" i="45"/>
  <c r="J40" i="45"/>
  <c r="I40" i="45"/>
  <c r="H40" i="45"/>
  <c r="G40" i="45"/>
  <c r="F40" i="45"/>
  <c r="E40" i="45"/>
  <c r="D40" i="45"/>
  <c r="C40" i="45"/>
  <c r="B40" i="45"/>
  <c r="A39" i="45"/>
  <c r="K39" i="45"/>
  <c r="J39" i="45"/>
  <c r="I39" i="45"/>
  <c r="H39" i="45"/>
  <c r="G39" i="45"/>
  <c r="F39" i="45"/>
  <c r="E39" i="45"/>
  <c r="D39" i="45"/>
  <c r="C39" i="45"/>
  <c r="B39" i="45"/>
  <c r="A38" i="45"/>
  <c r="K38" i="45"/>
  <c r="J38" i="45"/>
  <c r="I38" i="45"/>
  <c r="H38" i="45"/>
  <c r="G38" i="45"/>
  <c r="F38" i="45"/>
  <c r="E38" i="45"/>
  <c r="D38" i="45"/>
  <c r="C38" i="45"/>
  <c r="B38" i="45"/>
  <c r="A37" i="45"/>
  <c r="K37" i="45"/>
  <c r="J37" i="45"/>
  <c r="I37" i="45"/>
  <c r="H37" i="45"/>
  <c r="G37" i="45"/>
  <c r="F37" i="45"/>
  <c r="E37" i="45"/>
  <c r="D37" i="45"/>
  <c r="C37" i="45"/>
  <c r="B37" i="45"/>
  <c r="A36" i="45"/>
  <c r="K36" i="45"/>
  <c r="J36" i="45"/>
  <c r="I36" i="45"/>
  <c r="H36" i="45"/>
  <c r="G36" i="45"/>
  <c r="F36" i="45"/>
  <c r="E36" i="45"/>
  <c r="D36" i="45"/>
  <c r="C36" i="45"/>
  <c r="B36" i="45"/>
  <c r="A35" i="45"/>
  <c r="K35" i="45"/>
  <c r="J35" i="45"/>
  <c r="I35" i="45"/>
  <c r="H35" i="45"/>
  <c r="G35" i="45"/>
  <c r="F35" i="45"/>
  <c r="E35" i="45"/>
  <c r="D35" i="45"/>
  <c r="C35" i="45"/>
  <c r="B35" i="45"/>
  <c r="A34" i="45"/>
  <c r="K34" i="45"/>
  <c r="J34" i="45"/>
  <c r="I34" i="45"/>
  <c r="H34" i="45"/>
  <c r="G34" i="45"/>
  <c r="F34" i="45"/>
  <c r="E34" i="45"/>
  <c r="D34" i="45"/>
  <c r="C34" i="45"/>
  <c r="B34" i="45"/>
  <c r="A33" i="45"/>
  <c r="K33" i="45"/>
  <c r="J33" i="45"/>
  <c r="I33" i="45"/>
  <c r="H33" i="45"/>
  <c r="G33" i="45"/>
  <c r="F33" i="45"/>
  <c r="E33" i="45"/>
  <c r="D33" i="45"/>
  <c r="C33" i="45"/>
  <c r="B33" i="45"/>
  <c r="A32" i="45"/>
  <c r="K32" i="45"/>
  <c r="J32" i="45"/>
  <c r="I32" i="45"/>
  <c r="H32" i="45"/>
  <c r="G32" i="45"/>
  <c r="F32" i="45"/>
  <c r="E32" i="45"/>
  <c r="D32" i="45"/>
  <c r="C32" i="45"/>
  <c r="B32" i="45"/>
  <c r="A31" i="45"/>
  <c r="K31" i="45"/>
  <c r="J31" i="45"/>
  <c r="I31" i="45"/>
  <c r="H31" i="45"/>
  <c r="G31" i="45"/>
  <c r="F31" i="45"/>
  <c r="E31" i="45"/>
  <c r="D31" i="45"/>
  <c r="C31" i="45"/>
  <c r="B31" i="45"/>
  <c r="A30" i="45"/>
  <c r="K30" i="45"/>
  <c r="J30" i="45"/>
  <c r="I30" i="45"/>
  <c r="H30" i="45"/>
  <c r="G30" i="45"/>
  <c r="F30" i="45"/>
  <c r="E30" i="45"/>
  <c r="D30" i="45"/>
  <c r="C30" i="45"/>
  <c r="B30" i="45"/>
  <c r="A29" i="45"/>
  <c r="K29" i="45"/>
  <c r="J29" i="45"/>
  <c r="I29" i="45"/>
  <c r="H29" i="45"/>
  <c r="G29" i="45"/>
  <c r="F29" i="45"/>
  <c r="E29" i="45"/>
  <c r="D29" i="45"/>
  <c r="C29" i="45"/>
  <c r="B29" i="45"/>
  <c r="A28" i="45"/>
  <c r="K28" i="45"/>
  <c r="J28" i="45"/>
  <c r="I28" i="45"/>
  <c r="H28" i="45"/>
  <c r="G28" i="45"/>
  <c r="F28" i="45"/>
  <c r="E28" i="45"/>
  <c r="D28" i="45"/>
  <c r="C28" i="45"/>
  <c r="B28" i="45"/>
  <c r="A27" i="45"/>
  <c r="K27" i="45"/>
  <c r="J27" i="45"/>
  <c r="I27" i="45"/>
  <c r="H27" i="45"/>
  <c r="G27" i="45"/>
  <c r="F27" i="45"/>
  <c r="E27" i="45"/>
  <c r="D27" i="45"/>
  <c r="C27" i="45"/>
  <c r="B27" i="45"/>
  <c r="A26" i="45"/>
  <c r="K26" i="45"/>
  <c r="J26" i="45"/>
  <c r="I26" i="45"/>
  <c r="H26" i="45"/>
  <c r="G26" i="45"/>
  <c r="F26" i="45"/>
  <c r="E26" i="45"/>
  <c r="D26" i="45"/>
  <c r="C26" i="45"/>
  <c r="B26" i="45"/>
  <c r="A25" i="45"/>
  <c r="K25" i="45"/>
  <c r="J25" i="45"/>
  <c r="I25" i="45"/>
  <c r="H25" i="45"/>
  <c r="G25" i="45"/>
  <c r="F25" i="45"/>
  <c r="E25" i="45"/>
  <c r="D25" i="45"/>
  <c r="C25" i="45"/>
  <c r="B25" i="45"/>
  <c r="A24" i="45"/>
  <c r="K24" i="45"/>
  <c r="J24" i="45"/>
  <c r="I24" i="45"/>
  <c r="H24" i="45"/>
  <c r="G24" i="45"/>
  <c r="F24" i="45"/>
  <c r="E24" i="45"/>
  <c r="D24" i="45"/>
  <c r="C24" i="45"/>
  <c r="B24" i="45"/>
  <c r="A23" i="45"/>
  <c r="K23" i="45"/>
  <c r="J23" i="45"/>
  <c r="I23" i="45"/>
  <c r="H23" i="45"/>
  <c r="G23" i="45"/>
  <c r="F23" i="45"/>
  <c r="E23" i="45"/>
  <c r="D23" i="45"/>
  <c r="C23" i="45"/>
  <c r="B23" i="45"/>
  <c r="A22" i="45"/>
  <c r="K22" i="45"/>
  <c r="J22" i="45"/>
  <c r="I22" i="45"/>
  <c r="H22" i="45"/>
  <c r="G22" i="45"/>
  <c r="F22" i="45"/>
  <c r="E22" i="45"/>
  <c r="D22" i="45"/>
  <c r="C22" i="45"/>
  <c r="B22" i="45"/>
  <c r="A21" i="45"/>
  <c r="K21" i="45"/>
  <c r="J21" i="45"/>
  <c r="I21" i="45"/>
  <c r="H21" i="45"/>
  <c r="G21" i="45"/>
  <c r="F21" i="45"/>
  <c r="E21" i="45"/>
  <c r="D21" i="45"/>
  <c r="C21" i="45"/>
  <c r="B21" i="45"/>
  <c r="A20" i="45"/>
  <c r="K20" i="45"/>
  <c r="J20" i="45"/>
  <c r="I20" i="45"/>
  <c r="H20" i="45"/>
  <c r="G20" i="45"/>
  <c r="F20" i="45"/>
  <c r="E20" i="45"/>
  <c r="D20" i="45"/>
  <c r="C20" i="45"/>
  <c r="B20" i="45"/>
  <c r="A19" i="45"/>
  <c r="K19" i="45"/>
  <c r="J19" i="45"/>
  <c r="I19" i="45"/>
  <c r="H19" i="45"/>
  <c r="G19" i="45"/>
  <c r="F19" i="45"/>
  <c r="E19" i="45"/>
  <c r="D19" i="45"/>
  <c r="C19" i="45"/>
  <c r="B19" i="45"/>
  <c r="A18" i="45"/>
  <c r="K18" i="45"/>
  <c r="J18" i="45"/>
  <c r="I18" i="45"/>
  <c r="H18" i="45"/>
  <c r="G18" i="45"/>
  <c r="F18" i="45"/>
  <c r="E18" i="45"/>
  <c r="D18" i="45"/>
  <c r="C18" i="45"/>
  <c r="B18" i="45"/>
  <c r="A17" i="45"/>
  <c r="K17" i="45"/>
  <c r="J17" i="45"/>
  <c r="I17" i="45"/>
  <c r="H17" i="45"/>
  <c r="G17" i="45"/>
  <c r="F17" i="45"/>
  <c r="E17" i="45"/>
  <c r="D17" i="45"/>
  <c r="C17" i="45"/>
  <c r="B17" i="45"/>
  <c r="A16" i="45"/>
  <c r="K16" i="45"/>
  <c r="J16" i="45"/>
  <c r="I16" i="45"/>
  <c r="H16" i="45"/>
  <c r="G16" i="45"/>
  <c r="F16" i="45"/>
  <c r="E16" i="45"/>
  <c r="D16" i="45"/>
  <c r="C16" i="45"/>
  <c r="B16" i="45"/>
  <c r="A15" i="45"/>
  <c r="K15" i="45"/>
  <c r="J15" i="45"/>
  <c r="I15" i="45"/>
  <c r="H15" i="45"/>
  <c r="G15" i="45"/>
  <c r="F15" i="45"/>
  <c r="E15" i="45"/>
  <c r="D15" i="45"/>
  <c r="C15" i="45"/>
  <c r="B15" i="45"/>
  <c r="A14" i="45"/>
  <c r="K14" i="45"/>
  <c r="J14" i="45"/>
  <c r="I14" i="45"/>
  <c r="H14" i="45"/>
  <c r="G14" i="45"/>
  <c r="F14" i="45"/>
  <c r="E14" i="45"/>
  <c r="D14" i="45"/>
  <c r="C14" i="45"/>
  <c r="B14" i="45"/>
  <c r="A13" i="45"/>
  <c r="K13" i="45"/>
  <c r="J13" i="45"/>
  <c r="I13" i="45"/>
  <c r="H13" i="45"/>
  <c r="G13" i="45"/>
  <c r="F13" i="45"/>
  <c r="E13" i="45"/>
  <c r="D13" i="45"/>
  <c r="C13" i="45"/>
  <c r="B13" i="45"/>
  <c r="A12" i="45"/>
  <c r="K12" i="45"/>
  <c r="J12" i="45"/>
  <c r="I12" i="45"/>
  <c r="H12" i="45"/>
  <c r="G12" i="45"/>
  <c r="F12" i="45"/>
  <c r="E12" i="45"/>
  <c r="D12" i="45"/>
  <c r="C12" i="45"/>
  <c r="B12" i="45"/>
  <c r="A11" i="45"/>
  <c r="K11" i="45"/>
  <c r="J11" i="45"/>
  <c r="I11" i="45"/>
  <c r="H11" i="45"/>
  <c r="G11" i="45"/>
  <c r="F11" i="45"/>
  <c r="E11" i="45"/>
  <c r="D11" i="45"/>
  <c r="C11" i="45"/>
  <c r="B11" i="45"/>
  <c r="A10" i="45"/>
  <c r="K10" i="45"/>
  <c r="J10" i="45"/>
  <c r="I10" i="45"/>
  <c r="H10" i="45"/>
  <c r="G10" i="45"/>
  <c r="F10" i="45"/>
  <c r="E10" i="45"/>
  <c r="D10" i="45"/>
  <c r="C10" i="45"/>
  <c r="B10" i="45"/>
  <c r="A9" i="45"/>
  <c r="K9" i="45"/>
  <c r="J9" i="45"/>
  <c r="I9" i="45"/>
  <c r="H9" i="45"/>
  <c r="G9" i="45"/>
  <c r="F9" i="45"/>
  <c r="E9" i="45"/>
  <c r="D9" i="45"/>
  <c r="C9" i="45"/>
  <c r="B9" i="45"/>
  <c r="A8" i="45"/>
  <c r="K8" i="45"/>
  <c r="J8" i="45"/>
  <c r="I8" i="45"/>
  <c r="H8" i="45"/>
  <c r="G8" i="45"/>
  <c r="F8" i="45"/>
  <c r="E8" i="45"/>
  <c r="D8" i="45"/>
  <c r="C8" i="45"/>
  <c r="B8" i="45"/>
  <c r="A7" i="45"/>
  <c r="K7" i="45"/>
  <c r="J7" i="45"/>
  <c r="I7" i="45"/>
  <c r="H7" i="45"/>
  <c r="G7" i="45"/>
  <c r="F7" i="45"/>
  <c r="E7" i="45"/>
  <c r="D7" i="45"/>
  <c r="C7" i="45"/>
  <c r="B7" i="45"/>
  <c r="A6" i="45"/>
  <c r="K6" i="45"/>
  <c r="J6" i="45"/>
  <c r="I6" i="45"/>
  <c r="H6" i="45"/>
  <c r="G6" i="45"/>
  <c r="F6" i="45"/>
  <c r="E6" i="45"/>
  <c r="D6" i="45"/>
  <c r="C6" i="45"/>
  <c r="B6" i="45"/>
  <c r="A5" i="45"/>
  <c r="K5" i="45"/>
  <c r="J5" i="45"/>
  <c r="I5" i="45"/>
  <c r="H5" i="45"/>
  <c r="G5" i="45"/>
  <c r="F5" i="45"/>
  <c r="E5" i="45"/>
  <c r="D5" i="45"/>
  <c r="C5" i="45"/>
  <c r="B5" i="45"/>
  <c r="A4" i="45"/>
  <c r="K4" i="45"/>
  <c r="J4" i="45"/>
  <c r="I4" i="45"/>
  <c r="H4" i="45"/>
  <c r="G4" i="45"/>
  <c r="F4" i="45"/>
  <c r="E4" i="45"/>
  <c r="D4" i="45"/>
  <c r="C4" i="45"/>
  <c r="B4" i="45"/>
  <c r="K54" i="32"/>
  <c r="I54" i="32"/>
  <c r="A64" i="32"/>
  <c r="F64" i="32"/>
  <c r="G64" i="32"/>
  <c r="H64" i="32"/>
  <c r="I64" i="32"/>
  <c r="J64" i="32"/>
  <c r="K64" i="32"/>
  <c r="A65" i="32"/>
  <c r="F65" i="32"/>
  <c r="G65" i="32"/>
  <c r="H65" i="32"/>
  <c r="I65" i="32"/>
  <c r="J65" i="32"/>
  <c r="K65" i="32"/>
  <c r="A66" i="32"/>
  <c r="F66" i="32"/>
  <c r="G66" i="32"/>
  <c r="H66" i="32"/>
  <c r="I66" i="32"/>
  <c r="J66" i="32"/>
  <c r="K66" i="32"/>
  <c r="A67" i="32"/>
  <c r="F67" i="32"/>
  <c r="G67" i="32"/>
  <c r="H67" i="32"/>
  <c r="I67" i="32"/>
  <c r="J67" i="32"/>
  <c r="K67" i="32"/>
  <c r="A68" i="32"/>
  <c r="F68" i="32"/>
  <c r="G68" i="32"/>
  <c r="H68" i="32"/>
  <c r="I68" i="32"/>
  <c r="J68" i="32"/>
  <c r="K68" i="32"/>
  <c r="A69" i="32"/>
  <c r="F69" i="32"/>
  <c r="G69" i="32"/>
  <c r="H69" i="32"/>
  <c r="I69" i="32"/>
  <c r="J69" i="32"/>
  <c r="K69" i="32"/>
  <c r="A70" i="32"/>
  <c r="F70" i="32"/>
  <c r="G70" i="32"/>
  <c r="H70" i="32"/>
  <c r="I70" i="32"/>
  <c r="J70" i="32"/>
  <c r="K70" i="32"/>
  <c r="A71" i="32"/>
  <c r="F71" i="32"/>
  <c r="G71" i="32"/>
  <c r="H71" i="32"/>
  <c r="I71" i="32"/>
  <c r="J71" i="32"/>
  <c r="K71" i="32"/>
  <c r="A72" i="32"/>
  <c r="F72" i="32"/>
  <c r="G72" i="32"/>
  <c r="H72" i="32"/>
  <c r="I72" i="32"/>
  <c r="J72" i="32"/>
  <c r="K72" i="32"/>
  <c r="A73" i="32"/>
  <c r="F73" i="32"/>
  <c r="G73" i="32"/>
  <c r="H73" i="32"/>
  <c r="I73" i="32"/>
  <c r="J73" i="32"/>
  <c r="K73" i="32"/>
  <c r="A74" i="32"/>
  <c r="F74" i="32"/>
  <c r="G74" i="32"/>
  <c r="H74" i="32"/>
  <c r="I74" i="32"/>
  <c r="J74" i="32"/>
  <c r="K74" i="32"/>
  <c r="A75" i="32"/>
  <c r="F75" i="32"/>
  <c r="G75" i="32"/>
  <c r="H75" i="32"/>
  <c r="I75" i="32"/>
  <c r="J75" i="32"/>
  <c r="K75" i="32"/>
  <c r="A76" i="32"/>
  <c r="F76" i="32"/>
  <c r="G76" i="32"/>
  <c r="H76" i="32"/>
  <c r="I76" i="32"/>
  <c r="J76" i="32"/>
  <c r="K76" i="32"/>
  <c r="A77" i="32"/>
  <c r="F77" i="32"/>
  <c r="G77" i="32"/>
  <c r="H77" i="32"/>
  <c r="I77" i="32"/>
  <c r="J77" i="32"/>
  <c r="K77" i="32"/>
  <c r="A78" i="32"/>
  <c r="F78" i="32"/>
  <c r="G78" i="32"/>
  <c r="H78" i="32"/>
  <c r="I78" i="32"/>
  <c r="J78" i="32"/>
  <c r="K78" i="32"/>
  <c r="A79" i="32"/>
  <c r="F79" i="32"/>
  <c r="G79" i="32"/>
  <c r="H79" i="32"/>
  <c r="I79" i="32"/>
  <c r="J79" i="32"/>
  <c r="K79" i="32"/>
  <c r="A80" i="32"/>
  <c r="F80" i="32"/>
  <c r="G80" i="32"/>
  <c r="H80" i="32"/>
  <c r="I80" i="32"/>
  <c r="J80" i="32"/>
  <c r="K80" i="32"/>
  <c r="A51" i="32"/>
  <c r="F51" i="32"/>
  <c r="G51" i="32"/>
  <c r="H51" i="32"/>
  <c r="I51" i="32"/>
  <c r="J51" i="32"/>
  <c r="K51" i="32"/>
  <c r="A52" i="32"/>
  <c r="F52" i="32"/>
  <c r="G52" i="32"/>
  <c r="H52" i="32"/>
  <c r="I52" i="32"/>
  <c r="J52" i="32"/>
  <c r="K52" i="32"/>
  <c r="A53" i="32"/>
  <c r="F53" i="32"/>
  <c r="G53" i="32"/>
  <c r="H53" i="32"/>
  <c r="I53" i="32"/>
  <c r="J53" i="32"/>
  <c r="K53" i="32"/>
  <c r="A54" i="32"/>
  <c r="F54" i="32"/>
  <c r="G54" i="32"/>
  <c r="H54" i="32"/>
  <c r="J54" i="32"/>
  <c r="A55" i="32"/>
  <c r="F55" i="32"/>
  <c r="G55" i="32"/>
  <c r="H55" i="32"/>
  <c r="I55" i="32"/>
  <c r="J55" i="32"/>
  <c r="K55" i="32"/>
  <c r="A56" i="32"/>
  <c r="F56" i="32"/>
  <c r="G56" i="32"/>
  <c r="H56" i="32"/>
  <c r="I56" i="32"/>
  <c r="J56" i="32"/>
  <c r="K56" i="32"/>
  <c r="A57" i="32"/>
  <c r="F57" i="32"/>
  <c r="G57" i="32"/>
  <c r="H57" i="32"/>
  <c r="I57" i="32"/>
  <c r="J57" i="32"/>
  <c r="K57" i="32"/>
  <c r="A58" i="32"/>
  <c r="F58" i="32"/>
  <c r="G58" i="32"/>
  <c r="H58" i="32"/>
  <c r="I58" i="32"/>
  <c r="J58" i="32"/>
  <c r="K58" i="32"/>
  <c r="A59" i="32"/>
  <c r="F59" i="32"/>
  <c r="G59" i="32"/>
  <c r="H59" i="32"/>
  <c r="I59" i="32"/>
  <c r="J59" i="32"/>
  <c r="K59" i="32"/>
  <c r="A60" i="32"/>
  <c r="F60" i="32"/>
  <c r="G60" i="32"/>
  <c r="H60" i="32"/>
  <c r="I60" i="32"/>
  <c r="J60" i="32"/>
  <c r="K60" i="32"/>
  <c r="A61" i="32"/>
  <c r="F61" i="32"/>
  <c r="G61" i="32"/>
  <c r="H61" i="32"/>
  <c r="I61" i="32"/>
  <c r="J61" i="32"/>
  <c r="K61" i="32"/>
  <c r="A62" i="32"/>
  <c r="F62" i="32"/>
  <c r="G62" i="32"/>
  <c r="H62" i="32"/>
  <c r="I62" i="32"/>
  <c r="J62" i="32"/>
  <c r="K62" i="32"/>
  <c r="A63" i="32"/>
  <c r="F63" i="32"/>
  <c r="G63" i="32"/>
  <c r="H63" i="32"/>
  <c r="I63" i="32"/>
  <c r="J63" i="32"/>
  <c r="K63" i="32"/>
  <c r="A39" i="32"/>
  <c r="F39" i="32"/>
  <c r="G39" i="32"/>
  <c r="H39" i="32"/>
  <c r="I39" i="32"/>
  <c r="J39" i="32"/>
  <c r="K39" i="32"/>
  <c r="A40" i="32"/>
  <c r="F40" i="32"/>
  <c r="G40" i="32"/>
  <c r="H40" i="32"/>
  <c r="I40" i="32"/>
  <c r="J40" i="32"/>
  <c r="K40" i="32"/>
  <c r="A41" i="32"/>
  <c r="F41" i="32"/>
  <c r="G41" i="32"/>
  <c r="H41" i="32"/>
  <c r="I41" i="32"/>
  <c r="J41" i="32"/>
  <c r="K41" i="32"/>
  <c r="A42" i="32"/>
  <c r="F42" i="32"/>
  <c r="G42" i="32"/>
  <c r="H42" i="32"/>
  <c r="I42" i="32"/>
  <c r="J42" i="32"/>
  <c r="K42" i="32"/>
  <c r="A43" i="32"/>
  <c r="F43" i="32"/>
  <c r="G43" i="32"/>
  <c r="H43" i="32"/>
  <c r="I43" i="32"/>
  <c r="J43" i="32"/>
  <c r="K43" i="32"/>
  <c r="A44" i="32"/>
  <c r="F44" i="32"/>
  <c r="G44" i="32"/>
  <c r="H44" i="32"/>
  <c r="I44" i="32"/>
  <c r="J44" i="32"/>
  <c r="K44" i="32"/>
  <c r="A45" i="32"/>
  <c r="F45" i="32"/>
  <c r="G45" i="32"/>
  <c r="H45" i="32"/>
  <c r="I45" i="32"/>
  <c r="J45" i="32"/>
  <c r="K45" i="32"/>
  <c r="A46" i="32"/>
  <c r="F46" i="32"/>
  <c r="G46" i="32"/>
  <c r="H46" i="32"/>
  <c r="I46" i="32"/>
  <c r="J46" i="32"/>
  <c r="K46" i="32"/>
  <c r="A47" i="32"/>
  <c r="F47" i="32"/>
  <c r="G47" i="32"/>
  <c r="H47" i="32"/>
  <c r="I47" i="32"/>
  <c r="J47" i="32"/>
  <c r="K47" i="32"/>
  <c r="A48" i="32"/>
  <c r="F48" i="32"/>
  <c r="G48" i="32"/>
  <c r="H48" i="32"/>
  <c r="I48" i="32"/>
  <c r="J48" i="32"/>
  <c r="K48" i="32"/>
  <c r="A49" i="32"/>
  <c r="F49" i="32"/>
  <c r="G49" i="32"/>
  <c r="H49" i="32"/>
  <c r="I49" i="32"/>
  <c r="J49" i="32"/>
  <c r="K49" i="32"/>
  <c r="A50" i="32"/>
  <c r="F50" i="32"/>
  <c r="G50" i="32"/>
  <c r="H50" i="32"/>
  <c r="I50" i="32"/>
  <c r="J50" i="32"/>
  <c r="K50" i="32"/>
  <c r="A22" i="32"/>
  <c r="F22" i="32"/>
  <c r="G22" i="32"/>
  <c r="H22" i="32"/>
  <c r="I22" i="32"/>
  <c r="J22" i="32"/>
  <c r="K22" i="32"/>
  <c r="A23" i="32"/>
  <c r="F23" i="32"/>
  <c r="G23" i="32"/>
  <c r="H23" i="32"/>
  <c r="I23" i="32"/>
  <c r="J23" i="32"/>
  <c r="K23" i="32"/>
  <c r="A24" i="32"/>
  <c r="F24" i="32"/>
  <c r="G24" i="32"/>
  <c r="H24" i="32"/>
  <c r="I24" i="32"/>
  <c r="J24" i="32"/>
  <c r="K24" i="32"/>
  <c r="A25" i="32"/>
  <c r="F25" i="32"/>
  <c r="G25" i="32"/>
  <c r="H25" i="32"/>
  <c r="I25" i="32"/>
  <c r="J25" i="32"/>
  <c r="K25" i="32"/>
  <c r="A26" i="32"/>
  <c r="F26" i="32"/>
  <c r="G26" i="32"/>
  <c r="H26" i="32"/>
  <c r="I26" i="32"/>
  <c r="J26" i="32"/>
  <c r="K26" i="32"/>
  <c r="A27" i="32"/>
  <c r="F27" i="32"/>
  <c r="G27" i="32"/>
  <c r="H27" i="32"/>
  <c r="I27" i="32"/>
  <c r="J27" i="32"/>
  <c r="K27" i="32"/>
  <c r="A28" i="32"/>
  <c r="F28" i="32"/>
  <c r="G28" i="32"/>
  <c r="H28" i="32"/>
  <c r="I28" i="32"/>
  <c r="J28" i="32"/>
  <c r="K28" i="32"/>
  <c r="A29" i="32"/>
  <c r="F29" i="32"/>
  <c r="G29" i="32"/>
  <c r="H29" i="32"/>
  <c r="I29" i="32"/>
  <c r="J29" i="32"/>
  <c r="K29" i="32"/>
  <c r="A30" i="32"/>
  <c r="F30" i="32"/>
  <c r="G30" i="32"/>
  <c r="H30" i="32"/>
  <c r="I30" i="32"/>
  <c r="J30" i="32"/>
  <c r="K30" i="32"/>
  <c r="A31" i="32"/>
  <c r="F31" i="32"/>
  <c r="G31" i="32"/>
  <c r="H31" i="32"/>
  <c r="I31" i="32"/>
  <c r="J31" i="32"/>
  <c r="K31" i="32"/>
  <c r="A32" i="32"/>
  <c r="F32" i="32"/>
  <c r="G32" i="32"/>
  <c r="H32" i="32"/>
  <c r="I32" i="32"/>
  <c r="J32" i="32"/>
  <c r="K32" i="32"/>
  <c r="A33" i="32"/>
  <c r="F33" i="32"/>
  <c r="G33" i="32"/>
  <c r="H33" i="32"/>
  <c r="I33" i="32"/>
  <c r="J33" i="32"/>
  <c r="K33" i="32"/>
  <c r="A34" i="32"/>
  <c r="F34" i="32"/>
  <c r="G34" i="32"/>
  <c r="H34" i="32"/>
  <c r="I34" i="32"/>
  <c r="J34" i="32"/>
  <c r="K34" i="32"/>
  <c r="A35" i="32"/>
  <c r="F35" i="32"/>
  <c r="G35" i="32"/>
  <c r="H35" i="32"/>
  <c r="I35" i="32"/>
  <c r="J35" i="32"/>
  <c r="K35" i="32"/>
  <c r="A36" i="32"/>
  <c r="F36" i="32"/>
  <c r="G36" i="32"/>
  <c r="H36" i="32"/>
  <c r="I36" i="32"/>
  <c r="J36" i="32"/>
  <c r="K36" i="32"/>
  <c r="A37" i="32"/>
  <c r="F37" i="32"/>
  <c r="G37" i="32"/>
  <c r="H37" i="32"/>
  <c r="I37" i="32"/>
  <c r="J37" i="32"/>
  <c r="K37" i="32"/>
  <c r="A38" i="32"/>
  <c r="F38" i="32"/>
  <c r="G38" i="32"/>
  <c r="H38" i="32"/>
  <c r="I38" i="32"/>
  <c r="J38" i="32"/>
  <c r="K38" i="32"/>
  <c r="A4" i="32"/>
  <c r="F4" i="32"/>
  <c r="G4" i="32"/>
  <c r="H4" i="32"/>
  <c r="I4" i="32"/>
  <c r="J4" i="32"/>
  <c r="K4" i="32"/>
  <c r="A5" i="32"/>
  <c r="F5" i="32"/>
  <c r="G5" i="32"/>
  <c r="H5" i="32"/>
  <c r="I5" i="32"/>
  <c r="J5" i="32"/>
  <c r="K5" i="32"/>
  <c r="A6" i="32"/>
  <c r="F6" i="32"/>
  <c r="G6" i="32"/>
  <c r="H6" i="32"/>
  <c r="I6" i="32"/>
  <c r="J6" i="32"/>
  <c r="K6" i="32"/>
  <c r="A7" i="32"/>
  <c r="F7" i="32"/>
  <c r="G7" i="32"/>
  <c r="H7" i="32"/>
  <c r="I7" i="32"/>
  <c r="J7" i="32"/>
  <c r="K7" i="32"/>
  <c r="A8" i="32"/>
  <c r="F8" i="32"/>
  <c r="G8" i="32"/>
  <c r="H8" i="32"/>
  <c r="I8" i="32"/>
  <c r="J8" i="32"/>
  <c r="K8" i="32"/>
  <c r="A9" i="32"/>
  <c r="F9" i="32"/>
  <c r="G9" i="32"/>
  <c r="H9" i="32"/>
  <c r="I9" i="32"/>
  <c r="J9" i="32"/>
  <c r="K9" i="32"/>
  <c r="A10" i="32"/>
  <c r="F10" i="32"/>
  <c r="G10" i="32"/>
  <c r="H10" i="32"/>
  <c r="I10" i="32"/>
  <c r="J10" i="32"/>
  <c r="K10" i="32"/>
  <c r="A11" i="32"/>
  <c r="F11" i="32"/>
  <c r="G11" i="32"/>
  <c r="H11" i="32"/>
  <c r="I11" i="32"/>
  <c r="J11" i="32"/>
  <c r="K11" i="32"/>
  <c r="A12" i="32"/>
  <c r="F12" i="32"/>
  <c r="G12" i="32"/>
  <c r="H12" i="32"/>
  <c r="I12" i="32"/>
  <c r="J12" i="32"/>
  <c r="K12" i="32"/>
  <c r="A13" i="32"/>
  <c r="F13" i="32"/>
  <c r="G13" i="32"/>
  <c r="H13" i="32"/>
  <c r="I13" i="32"/>
  <c r="J13" i="32"/>
  <c r="K13" i="32"/>
  <c r="A14" i="32"/>
  <c r="F14" i="32"/>
  <c r="G14" i="32"/>
  <c r="H14" i="32"/>
  <c r="I14" i="32"/>
  <c r="J14" i="32"/>
  <c r="K14" i="32"/>
  <c r="A15" i="32"/>
  <c r="F15" i="32"/>
  <c r="G15" i="32"/>
  <c r="H15" i="32"/>
  <c r="I15" i="32"/>
  <c r="J15" i="32"/>
  <c r="K15" i="32"/>
  <c r="A16" i="32"/>
  <c r="F16" i="32"/>
  <c r="G16" i="32"/>
  <c r="H16" i="32"/>
  <c r="I16" i="32"/>
  <c r="J16" i="32"/>
  <c r="K16" i="32"/>
  <c r="A17" i="32"/>
  <c r="F17" i="32"/>
  <c r="G17" i="32"/>
  <c r="H17" i="32"/>
  <c r="I17" i="32"/>
  <c r="J17" i="32"/>
  <c r="K17" i="32"/>
  <c r="A18" i="32"/>
  <c r="F18" i="32"/>
  <c r="G18" i="32"/>
  <c r="H18" i="32"/>
  <c r="I18" i="32"/>
  <c r="J18" i="32"/>
  <c r="K18" i="32"/>
  <c r="A19" i="32"/>
  <c r="F19" i="32"/>
  <c r="G19" i="32"/>
  <c r="H19" i="32"/>
  <c r="I19" i="32"/>
  <c r="J19" i="32"/>
  <c r="K19" i="32"/>
  <c r="A20" i="32"/>
  <c r="F20" i="32"/>
  <c r="G20" i="32"/>
  <c r="H20" i="32"/>
  <c r="I20" i="32"/>
  <c r="J20" i="32"/>
  <c r="K20" i="32"/>
  <c r="A21" i="32"/>
  <c r="F21" i="32"/>
  <c r="G21" i="32"/>
  <c r="H21" i="32"/>
  <c r="I21" i="32"/>
  <c r="J21" i="32"/>
  <c r="K21" i="32"/>
  <c r="A2" i="32"/>
  <c r="A3" i="32"/>
  <c r="K3" i="32"/>
  <c r="J3" i="32"/>
  <c r="I3" i="32"/>
  <c r="H3" i="32"/>
  <c r="G3" i="32"/>
  <c r="F3" i="32"/>
  <c r="K2" i="32"/>
  <c r="J2" i="32"/>
  <c r="I2" i="32"/>
  <c r="H2" i="32"/>
  <c r="G2" i="32"/>
  <c r="F2" i="32"/>
  <c r="A3" i="46"/>
  <c r="K3" i="46"/>
  <c r="J3" i="46"/>
  <c r="I3" i="46"/>
  <c r="H3" i="46"/>
  <c r="G3" i="46"/>
  <c r="A3" i="45"/>
  <c r="K3" i="45"/>
  <c r="J3" i="45"/>
  <c r="I3" i="45"/>
  <c r="H3" i="45"/>
  <c r="G3" i="45"/>
  <c r="F3" i="46"/>
  <c r="E3" i="46"/>
  <c r="D3" i="46"/>
  <c r="C3" i="46"/>
  <c r="B3" i="46"/>
  <c r="F3" i="45"/>
  <c r="E3" i="45"/>
  <c r="D3" i="45"/>
  <c r="C3" i="45"/>
  <c r="B3" i="4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K80" i="35"/>
  <c r="J80" i="35"/>
  <c r="I80" i="35"/>
  <c r="H80" i="35"/>
  <c r="G80" i="35"/>
  <c r="F80" i="35"/>
  <c r="K79" i="35"/>
  <c r="J79" i="35"/>
  <c r="I79" i="35"/>
  <c r="H79" i="35"/>
  <c r="G79" i="35"/>
  <c r="F79" i="35"/>
  <c r="K78" i="35"/>
  <c r="J78" i="35"/>
  <c r="I78" i="35"/>
  <c r="H78" i="35"/>
  <c r="G78" i="35"/>
  <c r="F78" i="35"/>
  <c r="K77" i="35"/>
  <c r="J77" i="35"/>
  <c r="I77" i="35"/>
  <c r="H77" i="35"/>
  <c r="G77" i="35"/>
  <c r="F77" i="35"/>
  <c r="K76" i="35"/>
  <c r="J76" i="35"/>
  <c r="I76" i="35"/>
  <c r="H76" i="35"/>
  <c r="G76" i="35"/>
  <c r="F76" i="35"/>
  <c r="K75" i="35"/>
  <c r="J75" i="35"/>
  <c r="I75" i="35"/>
  <c r="H75" i="35"/>
  <c r="G75" i="35"/>
  <c r="F75" i="35"/>
  <c r="K74" i="35"/>
  <c r="J74" i="35"/>
  <c r="I74" i="35"/>
  <c r="H74" i="35"/>
  <c r="G74" i="35"/>
  <c r="F74" i="35"/>
  <c r="K73" i="35"/>
  <c r="J73" i="35"/>
  <c r="I73" i="35"/>
  <c r="H73" i="35"/>
  <c r="G73" i="35"/>
  <c r="F73" i="35"/>
  <c r="K72" i="35"/>
  <c r="J72" i="35"/>
  <c r="I72" i="35"/>
  <c r="H72" i="35"/>
  <c r="G72" i="35"/>
  <c r="F72" i="35"/>
  <c r="K71" i="35"/>
  <c r="J71" i="35"/>
  <c r="I71" i="35"/>
  <c r="H71" i="35"/>
  <c r="G71" i="35"/>
  <c r="F71" i="35"/>
  <c r="K70" i="35"/>
  <c r="J70" i="35"/>
  <c r="I70" i="35"/>
  <c r="H70" i="35"/>
  <c r="G70" i="35"/>
  <c r="F70" i="35"/>
  <c r="K69" i="35"/>
  <c r="J69" i="35"/>
  <c r="I69" i="35"/>
  <c r="H69" i="35"/>
  <c r="G69" i="35"/>
  <c r="F69" i="35"/>
  <c r="K68" i="35"/>
  <c r="J68" i="35"/>
  <c r="I68" i="35"/>
  <c r="H68" i="35"/>
  <c r="G68" i="35"/>
  <c r="F68" i="35"/>
  <c r="K67" i="35"/>
  <c r="J67" i="35"/>
  <c r="I67" i="35"/>
  <c r="H67" i="35"/>
  <c r="G67" i="35"/>
  <c r="F67" i="35"/>
  <c r="K66" i="35"/>
  <c r="J66" i="35"/>
  <c r="I66" i="35"/>
  <c r="H66" i="35"/>
  <c r="G66" i="35"/>
  <c r="F66" i="35"/>
  <c r="K65" i="35"/>
  <c r="J65" i="35"/>
  <c r="I65" i="35"/>
  <c r="H65" i="35"/>
  <c r="G65" i="35"/>
  <c r="F65" i="35"/>
  <c r="K64" i="35"/>
  <c r="J64" i="35"/>
  <c r="I64" i="35"/>
  <c r="H64" i="35"/>
  <c r="G64" i="35"/>
  <c r="F64" i="35"/>
  <c r="K63" i="35"/>
  <c r="J63" i="35"/>
  <c r="I63" i="35"/>
  <c r="H63" i="35"/>
  <c r="G63" i="35"/>
  <c r="F63" i="35"/>
  <c r="K62" i="35"/>
  <c r="J62" i="35"/>
  <c r="I62" i="35"/>
  <c r="H62" i="35"/>
  <c r="G62" i="35"/>
  <c r="F62" i="35"/>
  <c r="K61" i="35"/>
  <c r="J61" i="35"/>
  <c r="I61" i="35"/>
  <c r="H61" i="35"/>
  <c r="G61" i="35"/>
  <c r="F61" i="35"/>
  <c r="K60" i="35"/>
  <c r="J60" i="35"/>
  <c r="I60" i="35"/>
  <c r="H60" i="35"/>
  <c r="G60" i="35"/>
  <c r="F60" i="35"/>
  <c r="K59" i="35"/>
  <c r="J59" i="35"/>
  <c r="I59" i="35"/>
  <c r="H59" i="35"/>
  <c r="G59" i="35"/>
  <c r="F59" i="35"/>
  <c r="K58" i="35"/>
  <c r="J58" i="35"/>
  <c r="I58" i="35"/>
  <c r="H58" i="35"/>
  <c r="G58" i="35"/>
  <c r="F58" i="35"/>
  <c r="K57" i="35"/>
  <c r="J57" i="35"/>
  <c r="I57" i="35"/>
  <c r="H57" i="35"/>
  <c r="G57" i="35"/>
  <c r="F57" i="35"/>
  <c r="K56" i="35"/>
  <c r="J56" i="35"/>
  <c r="I56" i="35"/>
  <c r="H56" i="35"/>
  <c r="G56" i="35"/>
  <c r="F56" i="35"/>
  <c r="K55" i="35"/>
  <c r="J55" i="35"/>
  <c r="I55" i="35"/>
  <c r="H55" i="35"/>
  <c r="G55" i="35"/>
  <c r="F55" i="35"/>
  <c r="K54" i="35"/>
  <c r="J54" i="35"/>
  <c r="I54" i="35"/>
  <c r="H54" i="35"/>
  <c r="G54" i="35"/>
  <c r="F54" i="35"/>
  <c r="K53" i="35"/>
  <c r="J53" i="35"/>
  <c r="I53" i="35"/>
  <c r="H53" i="35"/>
  <c r="G53" i="35"/>
  <c r="F53" i="35"/>
  <c r="K52" i="35"/>
  <c r="J52" i="35"/>
  <c r="I52" i="35"/>
  <c r="H52" i="35"/>
  <c r="G52" i="35"/>
  <c r="F52" i="35"/>
  <c r="K51" i="35"/>
  <c r="J51" i="35"/>
  <c r="I51" i="35"/>
  <c r="H51" i="35"/>
  <c r="G51" i="35"/>
  <c r="F51" i="35"/>
  <c r="K50" i="35"/>
  <c r="J50" i="35"/>
  <c r="I50" i="35"/>
  <c r="H50" i="35"/>
  <c r="G50" i="35"/>
  <c r="F50" i="35"/>
  <c r="K49" i="35"/>
  <c r="J49" i="35"/>
  <c r="I49" i="35"/>
  <c r="H49" i="35"/>
  <c r="G49" i="35"/>
  <c r="F49" i="35"/>
  <c r="K48" i="35"/>
  <c r="J48" i="35"/>
  <c r="I48" i="35"/>
  <c r="H48" i="35"/>
  <c r="G48" i="35"/>
  <c r="F48" i="35"/>
  <c r="K47" i="35"/>
  <c r="J47" i="35"/>
  <c r="I47" i="35"/>
  <c r="H47" i="35"/>
  <c r="G47" i="35"/>
  <c r="F47" i="35"/>
  <c r="K46" i="35"/>
  <c r="J46" i="35"/>
  <c r="I46" i="35"/>
  <c r="H46" i="35"/>
  <c r="G46" i="35"/>
  <c r="F46" i="35"/>
  <c r="K45" i="35"/>
  <c r="J45" i="35"/>
  <c r="I45" i="35"/>
  <c r="H45" i="35"/>
  <c r="G45" i="35"/>
  <c r="F45" i="35"/>
  <c r="K44" i="35"/>
  <c r="J44" i="35"/>
  <c r="I44" i="35"/>
  <c r="H44" i="35"/>
  <c r="G44" i="35"/>
  <c r="F44" i="35"/>
  <c r="K43" i="35"/>
  <c r="J43" i="35"/>
  <c r="I43" i="35"/>
  <c r="H43" i="35"/>
  <c r="G43" i="35"/>
  <c r="F43" i="35"/>
  <c r="K42" i="35"/>
  <c r="J42" i="35"/>
  <c r="I42" i="35"/>
  <c r="H42" i="35"/>
  <c r="G42" i="35"/>
  <c r="F42" i="35"/>
  <c r="K41" i="35"/>
  <c r="J41" i="35"/>
  <c r="I41" i="35"/>
  <c r="H41" i="35"/>
  <c r="G41" i="35"/>
  <c r="F41" i="35"/>
  <c r="K40" i="35"/>
  <c r="J40" i="35"/>
  <c r="I40" i="35"/>
  <c r="H40" i="35"/>
  <c r="G40" i="35"/>
  <c r="F40" i="35"/>
  <c r="K39" i="35"/>
  <c r="J39" i="35"/>
  <c r="I39" i="35"/>
  <c r="H39" i="35"/>
  <c r="G39" i="35"/>
  <c r="F39" i="35"/>
  <c r="K38" i="35"/>
  <c r="J38" i="35"/>
  <c r="I38" i="35"/>
  <c r="H38" i="35"/>
  <c r="G38" i="35"/>
  <c r="F38" i="35"/>
  <c r="K37" i="35"/>
  <c r="J37" i="35"/>
  <c r="I37" i="35"/>
  <c r="H37" i="35"/>
  <c r="G37" i="35"/>
  <c r="F37" i="35"/>
  <c r="K36" i="35"/>
  <c r="J36" i="35"/>
  <c r="I36" i="35"/>
  <c r="H36" i="35"/>
  <c r="G36" i="35"/>
  <c r="F36" i="35"/>
  <c r="K35" i="35"/>
  <c r="J35" i="35"/>
  <c r="I35" i="35"/>
  <c r="H35" i="35"/>
  <c r="G35" i="35"/>
  <c r="F35" i="35"/>
  <c r="K34" i="35"/>
  <c r="J34" i="35"/>
  <c r="I34" i="35"/>
  <c r="H34" i="35"/>
  <c r="G34" i="35"/>
  <c r="F34" i="35"/>
  <c r="K33" i="35"/>
  <c r="J33" i="35"/>
  <c r="I33" i="35"/>
  <c r="H33" i="35"/>
  <c r="G33" i="35"/>
  <c r="F33" i="35"/>
  <c r="K32" i="35"/>
  <c r="J32" i="35"/>
  <c r="I32" i="35"/>
  <c r="H32" i="35"/>
  <c r="G32" i="35"/>
  <c r="F32" i="35"/>
  <c r="K31" i="35"/>
  <c r="J31" i="35"/>
  <c r="I31" i="35"/>
  <c r="H31" i="35"/>
  <c r="G31" i="35"/>
  <c r="F31" i="35"/>
  <c r="K30" i="35"/>
  <c r="J30" i="35"/>
  <c r="I30" i="35"/>
  <c r="H30" i="35"/>
  <c r="G30" i="35"/>
  <c r="F30" i="35"/>
  <c r="K29" i="35"/>
  <c r="J29" i="35"/>
  <c r="I29" i="35"/>
  <c r="H29" i="35"/>
  <c r="G29" i="35"/>
  <c r="F29" i="35"/>
  <c r="K28" i="35"/>
  <c r="J28" i="35"/>
  <c r="I28" i="35"/>
  <c r="H28" i="35"/>
  <c r="G28" i="35"/>
  <c r="F28" i="35"/>
  <c r="K27" i="35"/>
  <c r="J27" i="35"/>
  <c r="I27" i="35"/>
  <c r="H27" i="35"/>
  <c r="G27" i="35"/>
  <c r="F27" i="35"/>
  <c r="K26" i="35"/>
  <c r="J26" i="35"/>
  <c r="I26" i="35"/>
  <c r="H26" i="35"/>
  <c r="G26" i="35"/>
  <c r="F26" i="35"/>
  <c r="K25" i="35"/>
  <c r="J25" i="35"/>
  <c r="I25" i="35"/>
  <c r="H25" i="35"/>
  <c r="G25" i="35"/>
  <c r="F25" i="35"/>
  <c r="K24" i="35"/>
  <c r="J24" i="35"/>
  <c r="I24" i="35"/>
  <c r="H24" i="35"/>
  <c r="G24" i="35"/>
  <c r="F24" i="35"/>
  <c r="K23" i="35"/>
  <c r="J23" i="35"/>
  <c r="I23" i="35"/>
  <c r="H23" i="35"/>
  <c r="G23" i="35"/>
  <c r="F23" i="35"/>
  <c r="K22" i="35"/>
  <c r="J22" i="35"/>
  <c r="I22" i="35"/>
  <c r="H22" i="35"/>
  <c r="G22" i="35"/>
  <c r="F22" i="35"/>
  <c r="K21" i="35"/>
  <c r="J21" i="35"/>
  <c r="I21" i="35"/>
  <c r="H21" i="35"/>
  <c r="G21" i="35"/>
  <c r="F21" i="35"/>
  <c r="K20" i="35"/>
  <c r="J20" i="35"/>
  <c r="I20" i="35"/>
  <c r="H20" i="35"/>
  <c r="G20" i="35"/>
  <c r="F20" i="35"/>
  <c r="K19" i="35"/>
  <c r="J19" i="35"/>
  <c r="I19" i="35"/>
  <c r="H19" i="35"/>
  <c r="G19" i="35"/>
  <c r="F19" i="35"/>
  <c r="K18" i="35"/>
  <c r="J18" i="35"/>
  <c r="I18" i="35"/>
  <c r="H18" i="35"/>
  <c r="G18" i="35"/>
  <c r="F18" i="35"/>
  <c r="K17" i="35"/>
  <c r="J17" i="35"/>
  <c r="I17" i="35"/>
  <c r="H17" i="35"/>
  <c r="G17" i="35"/>
  <c r="F17" i="35"/>
  <c r="K16" i="35"/>
  <c r="J16" i="35"/>
  <c r="I16" i="35"/>
  <c r="H16" i="35"/>
  <c r="G16" i="35"/>
  <c r="F16" i="35"/>
  <c r="K15" i="35"/>
  <c r="J15" i="35"/>
  <c r="I15" i="35"/>
  <c r="H15" i="35"/>
  <c r="G15" i="35"/>
  <c r="F15" i="35"/>
  <c r="K14" i="35"/>
  <c r="J14" i="35"/>
  <c r="I14" i="35"/>
  <c r="H14" i="35"/>
  <c r="G14" i="35"/>
  <c r="F14" i="35"/>
  <c r="K13" i="35"/>
  <c r="J13" i="35"/>
  <c r="I13" i="35"/>
  <c r="H13" i="35"/>
  <c r="G13" i="35"/>
  <c r="F13" i="35"/>
  <c r="K12" i="35"/>
  <c r="J12" i="35"/>
  <c r="I12" i="35"/>
  <c r="H12" i="35"/>
  <c r="G12" i="35"/>
  <c r="F12" i="35"/>
  <c r="K11" i="35"/>
  <c r="J11" i="35"/>
  <c r="I11" i="35"/>
  <c r="H11" i="35"/>
  <c r="G11" i="35"/>
  <c r="F11" i="35"/>
  <c r="K10" i="35"/>
  <c r="J10" i="35"/>
  <c r="I10" i="35"/>
  <c r="H10" i="35"/>
  <c r="G10" i="35"/>
  <c r="F10" i="35"/>
  <c r="K9" i="35"/>
  <c r="J9" i="35"/>
  <c r="I9" i="35"/>
  <c r="H9" i="35"/>
  <c r="G9" i="35"/>
  <c r="F9" i="35"/>
  <c r="K8" i="35"/>
  <c r="J8" i="35"/>
  <c r="I8" i="35"/>
  <c r="H8" i="35"/>
  <c r="G8" i="35"/>
  <c r="F8" i="35"/>
  <c r="K7" i="35"/>
  <c r="J7" i="35"/>
  <c r="I7" i="35"/>
  <c r="H7" i="35"/>
  <c r="G7" i="35"/>
  <c r="F7" i="35"/>
  <c r="K6" i="35"/>
  <c r="J6" i="35"/>
  <c r="I6" i="35"/>
  <c r="H6" i="35"/>
  <c r="G6" i="35"/>
  <c r="F6" i="35"/>
  <c r="K5" i="35"/>
  <c r="J5" i="35"/>
  <c r="I5" i="35"/>
  <c r="H5" i="35"/>
  <c r="G5" i="35"/>
  <c r="F5" i="35"/>
  <c r="K4" i="35"/>
  <c r="J4" i="35"/>
  <c r="I4" i="35"/>
  <c r="H4" i="35"/>
  <c r="G4" i="35"/>
  <c r="F4" i="35"/>
  <c r="K3" i="35"/>
  <c r="J3" i="35"/>
  <c r="I3" i="35"/>
  <c r="H3" i="35"/>
  <c r="G3" i="35"/>
  <c r="F3" i="35"/>
  <c r="K2" i="35"/>
  <c r="J2" i="35"/>
  <c r="I2" i="35"/>
  <c r="H2" i="35"/>
  <c r="G2" i="35"/>
  <c r="F2" i="35"/>
</calcChain>
</file>

<file path=xl/sharedStrings.xml><?xml version="1.0" encoding="utf-8"?>
<sst xmlns="http://schemas.openxmlformats.org/spreadsheetml/2006/main" count="58" uniqueCount="29">
  <si>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</si>
  <si>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</si>
  <si>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</si>
  <si>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</si>
  <si>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</si>
  <si>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</si>
  <si>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</si>
  <si>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gacha_id</t>
  </si>
  <si>
    <t>name</t>
    <phoneticPr fontId="3"/>
  </si>
  <si>
    <t>drop_label</t>
    <phoneticPr fontId="3"/>
  </si>
  <si>
    <t>rare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</si>
  <si>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</si>
  <si>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</si>
  <si>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</si>
  <si>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</si>
  <si>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</si>
  <si>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</si>
  <si>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</si>
  <si>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</si>
  <si>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  <phoneticPr fontId="34"/>
  </si>
  <si>
    <t>attack_plus</t>
    <phoneticPr fontId="34"/>
  </si>
  <si>
    <t>defense_plus</t>
    <phoneticPr fontId="34"/>
  </si>
  <si>
    <t>heal_plus</t>
    <phoneticPr fontId="34"/>
  </si>
  <si>
    <t>bug</t>
    <phoneticPr fontId="34"/>
  </si>
  <si>
    <t>hp_plus</t>
  </si>
  <si>
    <t>attack_plus</t>
  </si>
  <si>
    <t>defense_plus</t>
  </si>
  <si>
    <t>heal_plus</t>
  </si>
  <si>
    <t>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</si>
</sst>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672">
    <xf numFmtId="0" fontId="0" fillId="0" borderId="0"/>
    <xf numFmtId="0" fontId="2" fillId="0" borderId="0"/>
    <xf numFmtId="0" fontId="4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2" fillId="7" borderId="2" applyNumberFormat="0" applyAlignment="0" applyProtection="0"/>
    <xf numFmtId="0" fontId="13" fillId="8" borderId="0" applyNumberFormat="0" applyBorder="0" applyAlignment="0" applyProtection="0"/>
    <xf numFmtId="0" fontId="14" fillId="9" borderId="3" applyNumberFormat="0" applyAlignment="0" applyProtection="0"/>
    <xf numFmtId="0" fontId="15" fillId="0" borderId="0" applyNumberFormat="0" applyFill="0" applyBorder="0" applyAlignment="0" applyProtection="0"/>
    <xf numFmtId="0" fontId="16" fillId="10" borderId="0" applyNumberFormat="0" applyBorder="0" applyAlignment="0" applyProtection="0"/>
    <xf numFmtId="0" fontId="17" fillId="11" borderId="4" applyNumberFormat="0" applyAlignment="0" applyProtection="0"/>
    <xf numFmtId="0" fontId="18" fillId="0" borderId="0" applyNumberFormat="0" applyFill="0" applyBorder="0" applyAlignment="0" applyProtection="0"/>
    <xf numFmtId="0" fontId="19" fillId="0" borderId="5" applyNumberFormat="0" applyFill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0" applyNumberFormat="0" applyBorder="0" applyAlignment="0" applyProtection="0"/>
    <xf numFmtId="0" fontId="22" fillId="8" borderId="0" applyNumberFormat="0" applyBorder="0" applyAlignment="0" applyProtection="0"/>
    <xf numFmtId="0" fontId="22" fillId="12" borderId="0" applyNumberFormat="0" applyBorder="0" applyAlignment="0" applyProtection="0"/>
    <xf numFmtId="0" fontId="22" fillId="9" borderId="0" applyNumberFormat="0" applyBorder="0" applyAlignment="0" applyProtection="0"/>
    <xf numFmtId="0" fontId="22" fillId="13" borderId="0" applyNumberFormat="0" applyBorder="0" applyAlignment="0" applyProtection="0"/>
    <xf numFmtId="0" fontId="22" fillId="7" borderId="0" applyNumberFormat="0" applyBorder="0" applyAlignment="0" applyProtection="0"/>
    <xf numFmtId="0" fontId="22" fillId="9" borderId="0" applyNumberFormat="0" applyBorder="0" applyAlignment="0" applyProtection="0"/>
    <xf numFmtId="0" fontId="22" fillId="14" borderId="0" applyNumberFormat="0" applyBorder="0" applyAlignment="0" applyProtection="0"/>
    <xf numFmtId="0" fontId="22" fillId="12" borderId="0" applyNumberFormat="0" applyBorder="0" applyAlignment="0" applyProtection="0"/>
    <xf numFmtId="0" fontId="22" fillId="9" borderId="0" applyNumberFormat="0" applyBorder="0" applyAlignment="0" applyProtection="0"/>
    <xf numFmtId="0" fontId="22" fillId="15" borderId="0" applyNumberFormat="0" applyBorder="0" applyAlignment="0" applyProtection="0"/>
    <xf numFmtId="0" fontId="22" fillId="8" borderId="0" applyNumberFormat="0" applyBorder="0" applyAlignment="0" applyProtection="0"/>
    <xf numFmtId="0" fontId="23" fillId="16" borderId="0" applyNumberFormat="0" applyBorder="0" applyAlignment="0" applyProtection="0"/>
    <xf numFmtId="0" fontId="23" fillId="14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6" borderId="0" applyNumberFormat="0" applyBorder="0" applyAlignment="0" applyProtection="0"/>
    <xf numFmtId="0" fontId="23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2" borderId="0" applyNumberFormat="0" applyBorder="0" applyAlignment="0" applyProtection="0"/>
    <xf numFmtId="0" fontId="23" fillId="18" borderId="0" applyNumberFormat="0" applyBorder="0" applyAlignment="0" applyProtection="0"/>
    <xf numFmtId="0" fontId="23" fillId="16" borderId="0" applyNumberFormat="0" applyBorder="0" applyAlignment="0" applyProtection="0"/>
    <xf numFmtId="0" fontId="23" fillId="14" borderId="0" applyNumberFormat="0" applyBorder="0" applyAlignment="0" applyProtection="0"/>
    <xf numFmtId="0" fontId="24" fillId="19" borderId="0" applyNumberFormat="0" applyBorder="0" applyAlignment="0" applyProtection="0"/>
    <xf numFmtId="0" fontId="13" fillId="8" borderId="0" applyNumberFormat="0" applyBorder="0" applyAlignment="0" applyProtection="0"/>
    <xf numFmtId="0" fontId="25" fillId="0" borderId="8" applyNumberFormat="0" applyFill="0" applyAlignment="0" applyProtection="0"/>
    <xf numFmtId="0" fontId="26" fillId="9" borderId="9" applyNumberFormat="0" applyAlignment="0" applyProtection="0"/>
    <xf numFmtId="0" fontId="26" fillId="20" borderId="9" applyNumberFormat="0" applyAlignment="0" applyProtection="0"/>
    <xf numFmtId="0" fontId="14" fillId="8" borderId="3" applyNumberFormat="0" applyAlignment="0" applyProtection="0"/>
    <xf numFmtId="0" fontId="27" fillId="0" borderId="10" applyNumberFormat="0" applyFill="0" applyAlignment="0" applyProtection="0"/>
    <xf numFmtId="0" fontId="28" fillId="20" borderId="3" applyNumberFormat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1" fillId="21" borderId="0" applyNumberFormat="0" applyBorder="0" applyAlignment="0" applyProtection="0"/>
    <xf numFmtId="0" fontId="32" fillId="22" borderId="0" applyNumberFormat="0" applyBorder="0" applyAlignment="0" applyProtection="0"/>
    <xf numFmtId="0" fontId="1" fillId="0" borderId="0"/>
    <xf numFmtId="0" fontId="33" fillId="2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6" fillId="0" borderId="0" xfId="2" applyFont="1" applyAlignment="1">
      <alignment vertical="center"/>
    </xf>
    <xf numFmtId="0" fontId="6" fillId="3" borderId="1" xfId="2" applyFont="1" applyFill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1" xfId="2" applyFont="1" applyFill="1" applyBorder="1" applyAlignment="1">
      <alignment vertical="center"/>
    </xf>
    <xf numFmtId="0" fontId="6" fillId="4" borderId="1" xfId="2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10" fillId="5" borderId="0" xfId="2" applyFont="1" applyFill="1" applyAlignment="1">
      <alignment vertical="center"/>
    </xf>
    <xf numFmtId="0" fontId="1" fillId="0" borderId="0" xfId="19"/>
    <xf numFmtId="0" fontId="6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7" fillId="5" borderId="0" xfId="19" applyFont="1" applyFill="1"/>
    <xf numFmtId="0" fontId="1" fillId="2" borderId="0" xfId="19" applyFill="1"/>
    <xf numFmtId="0" fontId="10" fillId="5" borderId="0" xfId="70" applyFont="1" applyFill="1" applyBorder="1"/>
    <xf numFmtId="0" fontId="11" fillId="0" borderId="0" xfId="70" applyFont="1" applyFill="1" applyBorder="1"/>
    <xf numFmtId="0" fontId="5" fillId="0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5" fillId="23" borderId="1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vertical="center"/>
    </xf>
    <xf numFmtId="0" fontId="35" fillId="0" borderId="14" xfId="0" applyFont="1" applyBorder="1" applyAlignment="1">
      <alignment vertical="center"/>
    </xf>
  </cellXfs>
  <cellStyles count="2672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achas"/>
      <sheetName val="gacha_schedules"/>
      <sheetName val="gacha_layouts"/>
      <sheetName val="gacha_types"/>
      <sheetName val="gacha_rarity_bump"/>
      <sheetName val="gachas.csv"/>
      <sheetName val="gacha_schedules.csv"/>
      <sheetName val="gachas_i18n.csv"/>
      <sheetName val="gacha_layouts.csv"/>
      <sheetName val="gacha_types.csv"/>
      <sheetName val="gacha_rarity_bump.csv"/>
    </sheetNames>
    <sheetDataSet>
      <sheetData sheetId="0">
        <row r="1">
          <cell r="A1" t="str">
            <v>gacha_id</v>
          </cell>
          <cell r="B1" t="str">
            <v>gacha_type_id</v>
          </cell>
          <cell r="C1" t="str">
            <v>valid_flg</v>
          </cell>
          <cell r="D1" t="str">
            <v>detail</v>
          </cell>
          <cell r="E1" t="str">
            <v>image_filename</v>
          </cell>
          <cell r="F1" t="str">
            <v>備考</v>
          </cell>
          <cell r="G1" t="str">
            <v>use_item</v>
          </cell>
          <cell r="H1" t="str">
            <v>draw_cost</v>
          </cell>
        </row>
        <row r="2">
          <cell r="A2">
            <v>102</v>
          </cell>
        </row>
        <row r="3">
          <cell r="A3">
            <v>103</v>
          </cell>
        </row>
        <row r="4">
          <cell r="A4">
            <v>104</v>
          </cell>
        </row>
        <row r="5">
          <cell r="A5">
            <v>105</v>
          </cell>
        </row>
        <row r="6">
          <cell r="A6">
            <v>106</v>
          </cell>
        </row>
        <row r="7">
          <cell r="A7">
            <v>107</v>
          </cell>
        </row>
        <row r="8">
          <cell r="A8">
            <v>108</v>
          </cell>
        </row>
        <row r="9">
          <cell r="A9">
            <v>109</v>
          </cell>
        </row>
        <row r="10">
          <cell r="A10">
            <v>110</v>
          </cell>
        </row>
        <row r="11">
          <cell r="A11">
            <v>111</v>
          </cell>
        </row>
        <row r="12">
          <cell r="A12">
            <v>112</v>
          </cell>
        </row>
        <row r="13">
          <cell r="A13">
            <v>113</v>
          </cell>
        </row>
        <row r="14">
          <cell r="A14">
            <v>114</v>
          </cell>
        </row>
        <row r="15">
          <cell r="A15">
            <v>115</v>
          </cell>
        </row>
        <row r="16">
          <cell r="A16">
            <v>116</v>
          </cell>
        </row>
        <row r="17">
          <cell r="A17">
            <v>117</v>
          </cell>
        </row>
        <row r="18">
          <cell r="A18">
            <v>118</v>
          </cell>
        </row>
        <row r="19">
          <cell r="A19">
            <v>119</v>
          </cell>
        </row>
        <row r="20">
          <cell r="A20">
            <v>120</v>
          </cell>
        </row>
        <row r="21">
          <cell r="A21">
            <v>121</v>
          </cell>
        </row>
        <row r="22">
          <cell r="A22">
            <v>122</v>
          </cell>
        </row>
        <row r="23">
          <cell r="A23">
            <v>123</v>
          </cell>
        </row>
        <row r="24">
          <cell r="A24">
            <v>124</v>
          </cell>
        </row>
        <row r="25">
          <cell r="A25">
            <v>200</v>
          </cell>
        </row>
        <row r="26">
          <cell r="A26">
            <v>201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R80"/>
  <sheetViews>
    <sheetView showGridLines="0" tabSelected="1" workbookViewId="0">
      <pane ySplit="1" topLeftCell="A2" activePane="bottomLeft" state="frozen"/>
      <selection pane="bottomLeft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6.5" style="1" bestFit="1" customWidth="1" outlineLevel="1"/>
    <col min="4" max="4" width="12.5" style="1" bestFit="1" customWidth="1"/>
    <col min="5" max="5" width="15.33203125" style="1" bestFit="1" customWidth="1"/>
    <col min="6" max="6" width="24" style="1" bestFit="1" customWidth="1" outlineLevel="1"/>
    <col min="7" max="7" width="13.6640625" style="1" bestFit="1" customWidth="1" outlineLevel="1"/>
    <col min="8" max="8" width="9.6640625" style="1" bestFit="1" customWidth="1" outlineLevel="1"/>
    <col min="9" max="9" width="10.5" style="4" bestFit="1" customWidth="1" outlineLevel="1"/>
    <col min="10" max="10" width="18.83203125" style="1" bestFit="1" customWidth="1" outlineLevel="1"/>
    <col min="11" max="11" width="19" style="1" bestFit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3" t="s">
        <v>2</v>
      </c>
      <c r="C1" s="2" t="s">
        <v>1</v>
      </c>
      <c r="D1" s="3" t="s">
        <v>3</v>
      </c>
      <c r="E1" s="3" t="s">
        <v>4</v>
      </c>
      <c r="F1" s="2" t="s">
        <v>8</v>
      </c>
      <c r="G1" s="2" t="s">
        <v>9</v>
      </c>
      <c r="H1" s="2" t="s">
        <v>10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9" t="s">
        <v>24</v>
      </c>
      <c r="O1" s="20" t="s">
        <v>25</v>
      </c>
      <c r="P1" s="20" t="s">
        <v>26</v>
      </c>
      <c r="Q1" s="20" t="s">
        <v>27</v>
      </c>
      <c r="R1" s="20" t="s">
        <v>28</v>
      </c>
    </row>
    <row r="2" spans="1:18" ht="21" customHeight="1">
      <c r="A2" s="8" t="str">
        <f t="shared" ref="A2:A3" si="0">D2&amp;E2&amp;L2</f>
        <v>011</v>
      </c>
      <c r="B2" s="5">
        <v>200</v>
      </c>
      <c r="C2" s="10" t="str">
        <f ca="1">VLOOKUP($B2,OFFSET([1]gachas!$A$2,0,0,COUNTA([1]gachas!$A:$A),MATCH(C$1,[1]gachas!$1:$1,0)-MATCH($B$1,[1]gachas!$1:$1,0)+1),MATCH(C$1,[1]gachas!$1:$1,0)-MATCH($B$1,[1]gachas!$1:$1,0)+1,FALSE)</f>
        <v>フレンドガチャ（常設）</v>
      </c>
      <c r="D2" s="6">
        <v>0</v>
      </c>
      <c r="E2" s="7">
        <v>1</v>
      </c>
      <c r="F2" s="10" t="str">
        <f ca="1">VLOOKUP($E2,OFFSET([2]characters!$A$2,0,0,COUNTA([2]characters!$A:$A),MATCH(F$1,[2]characters!$2:$2,0)-MATCH($E$1,[2]characters!$2:$2,0)+1),MATCH(F$1,[2]characters!$2:$2,0)-MATCH($E$1,[2]characters!$2:$2,0)+1,FALSE)</f>
        <v>ジェリー</v>
      </c>
      <c r="G2" s="10" t="str">
        <f ca="1">VLOOKUP($E2,OFFSET([2]characters!$A$2,0,0,COUNTA([2]characters!$A:$A),MATCH(G$1,[2]characters!$2:$2,0)-MATCH($E$1,[2]characters!$2:$2,0)+1),MATCH(G$1,[2]characters!$2:$2,0)-MATCH($E$1,[2]characters!$2:$2,0)+1,FALSE)</f>
        <v>Drop1T</v>
      </c>
      <c r="H2" s="10">
        <f ca="1">VLOOKUP($E2,OFFSET([2]characters!$A$2,0,0,COUNTA([2]characters!$A:$A),MATCH(H$1,[2]characters!$2:$2,0)-MATCH($E$1,[2]characters!$2:$2,0)+1),MATCH(H$1,[2]characters!$2:$2,0)-MATCH($E$1,[2]characters!$2:$2,0)+1,FALSE)</f>
        <v>1</v>
      </c>
      <c r="I2" s="10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10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10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" s="6">
        <v>1</v>
      </c>
      <c r="M2" s="6">
        <v>1621</v>
      </c>
      <c r="N2" s="21">
        <v>0</v>
      </c>
      <c r="O2" s="22">
        <v>0</v>
      </c>
      <c r="P2" s="22">
        <v>0</v>
      </c>
      <c r="Q2" s="22">
        <v>0</v>
      </c>
      <c r="R2" s="22">
        <v>1</v>
      </c>
    </row>
    <row r="3" spans="1:18" ht="21" customHeight="1">
      <c r="A3" s="8" t="str">
        <f t="shared" si="0"/>
        <v>031</v>
      </c>
      <c r="B3" s="5">
        <v>200</v>
      </c>
      <c r="C3" s="10" t="str">
        <f ca="1">VLOOKUP($B3,OFFSET([1]gachas!$A$2,0,0,COUNTA([1]gachas!$A:$A),MATCH(C$1,[1]gachas!$1:$1,0)-MATCH($B$1,[1]gachas!$1:$1,0)+1),MATCH(C$1,[1]gachas!$1:$1,0)-MATCH($B$1,[1]gachas!$1:$1,0)+1,FALSE)</f>
        <v>フレンドガチャ（常設）</v>
      </c>
      <c r="D3" s="6">
        <v>0</v>
      </c>
      <c r="E3" s="7">
        <v>3</v>
      </c>
      <c r="F3" s="10" t="str">
        <f ca="1">VLOOKUP($E3,OFFSET([2]characters!$A$2,0,0,COUNTA([2]characters!$A:$A),MATCH(F$1,[2]characters!$2:$2,0)-MATCH($E$1,[2]characters!$2:$2,0)+1),MATCH(F$1,[2]characters!$2:$2,0)-MATCH($E$1,[2]characters!$2:$2,0)+1,FALSE)</f>
        <v>エージェント ジョー</v>
      </c>
      <c r="G3" s="10" t="str">
        <f ca="1">VLOOKUP($E3,OFFSET([2]characters!$A$2,0,0,COUNTA([2]characters!$A:$A),MATCH(G$1,[2]characters!$2:$2,0)-MATCH($E$1,[2]characters!$2:$2,0)+1),MATCH(G$1,[2]characters!$2:$2,0)-MATCH($E$1,[2]characters!$2:$2,0)+1,FALSE)</f>
        <v>Drop1T</v>
      </c>
      <c r="H3" s="10">
        <f ca="1">VLOOKUP($E3,OFFSET([2]characters!$A$2,0,0,COUNTA([2]characters!$A:$A),MATCH(H$1,[2]characters!$2:$2,0)-MATCH($E$1,[2]characters!$2:$2,0)+1),MATCH(H$1,[2]characters!$2:$2,0)-MATCH($E$1,[2]characters!$2:$2,0)+1,FALSE)</f>
        <v>1</v>
      </c>
      <c r="I3" s="10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10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" s="10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" s="6">
        <v>1</v>
      </c>
      <c r="M3" s="6">
        <v>1621</v>
      </c>
      <c r="N3" s="21">
        <v>0</v>
      </c>
      <c r="O3" s="22">
        <v>0</v>
      </c>
      <c r="P3" s="22">
        <v>0</v>
      </c>
      <c r="Q3" s="22">
        <v>0</v>
      </c>
      <c r="R3" s="22">
        <v>1</v>
      </c>
    </row>
    <row r="4" spans="1:18" ht="21" customHeight="1">
      <c r="A4" s="8" t="str">
        <f t="shared" ref="A4:A23" si="1">D4&amp;E4&amp;L4</f>
        <v>051</v>
      </c>
      <c r="B4" s="5">
        <v>200</v>
      </c>
      <c r="C4" s="10" t="str">
        <f ca="1">VLOOKUP($B4,OFFSET([1]gachas!$A$2,0,0,COUNTA([1]gachas!$A:$A),MATCH(C$1,[1]gachas!$1:$1,0)-MATCH($B$1,[1]gachas!$1:$1,0)+1),MATCH(C$1,[1]gachas!$1:$1,0)-MATCH($B$1,[1]gachas!$1:$1,0)+1,FALSE)</f>
        <v>フレンドガチャ（常設）</v>
      </c>
      <c r="D4" s="6">
        <v>0</v>
      </c>
      <c r="E4" s="7">
        <v>5</v>
      </c>
      <c r="F4" s="10" t="str">
        <f ca="1">VLOOKUP($E4,OFFSET([2]characters!$A$2,0,0,COUNTA([2]characters!$A:$A),MATCH(F$1,[2]characters!$2:$2,0)-MATCH($E$1,[2]characters!$2:$2,0)+1),MATCH(F$1,[2]characters!$2:$2,0)-MATCH($E$1,[2]characters!$2:$2,0)+1,FALSE)</f>
        <v>パトドッグ ポチ</v>
      </c>
      <c r="G4" s="10" t="str">
        <f ca="1">VLOOKUP($E4,OFFSET([2]characters!$A$2,0,0,COUNTA([2]characters!$A:$A),MATCH(G$1,[2]characters!$2:$2,0)-MATCH($E$1,[2]characters!$2:$2,0)+1),MATCH(G$1,[2]characters!$2:$2,0)-MATCH($E$1,[2]characters!$2:$2,0)+1,FALSE)</f>
        <v>Drop1T</v>
      </c>
      <c r="H4" s="10">
        <f ca="1">VLOOKUP($E4,OFFSET([2]characters!$A$2,0,0,COUNTA([2]characters!$A:$A),MATCH(H$1,[2]characters!$2:$2,0)-MATCH($E$1,[2]characters!$2:$2,0)+1),MATCH(H$1,[2]characters!$2:$2,0)-MATCH($E$1,[2]characters!$2:$2,0)+1,FALSE)</f>
        <v>1</v>
      </c>
      <c r="I4" s="10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10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" s="10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" s="6">
        <v>1</v>
      </c>
      <c r="M4" s="6">
        <v>1621</v>
      </c>
      <c r="N4" s="21">
        <v>0</v>
      </c>
      <c r="O4" s="22">
        <v>0</v>
      </c>
      <c r="P4" s="22">
        <v>0</v>
      </c>
      <c r="Q4" s="22">
        <v>0</v>
      </c>
      <c r="R4" s="22">
        <v>1</v>
      </c>
    </row>
    <row r="5" spans="1:18" ht="21" customHeight="1">
      <c r="A5" s="8" t="str">
        <f t="shared" si="1"/>
        <v>071</v>
      </c>
      <c r="B5" s="5">
        <v>200</v>
      </c>
      <c r="C5" s="10" t="str">
        <f ca="1">VLOOKUP($B5,OFFSET([1]gachas!$A$2,0,0,COUNTA([1]gachas!$A:$A),MATCH(C$1,[1]gachas!$1:$1,0)-MATCH($B$1,[1]gachas!$1:$1,0)+1),MATCH(C$1,[1]gachas!$1:$1,0)-MATCH($B$1,[1]gachas!$1:$1,0)+1,FALSE)</f>
        <v>フレンドガチャ（常設）</v>
      </c>
      <c r="D5" s="6">
        <v>0</v>
      </c>
      <c r="E5" s="7">
        <v>7</v>
      </c>
      <c r="F5" s="10" t="str">
        <f ca="1">VLOOKUP($E5,OFFSET([2]characters!$A$2,0,0,COUNTA([2]characters!$A:$A),MATCH(F$1,[2]characters!$2:$2,0)-MATCH($E$1,[2]characters!$2:$2,0)+1),MATCH(F$1,[2]characters!$2:$2,0)-MATCH($E$1,[2]characters!$2:$2,0)+1,FALSE)</f>
        <v>エレキポット</v>
      </c>
      <c r="G5" s="10" t="str">
        <f ca="1">VLOOKUP($E5,OFFSET([2]characters!$A$2,0,0,COUNTA([2]characters!$A:$A),MATCH(G$1,[2]characters!$2:$2,0)-MATCH($E$1,[2]characters!$2:$2,0)+1),MATCH(G$1,[2]characters!$2:$2,0)-MATCH($E$1,[2]characters!$2:$2,0)+1,FALSE)</f>
        <v>Drop1T</v>
      </c>
      <c r="H5" s="10">
        <f ca="1">VLOOKUP($E5,OFFSET([2]characters!$A$2,0,0,COUNTA([2]characters!$A:$A),MATCH(H$1,[2]characters!$2:$2,0)-MATCH($E$1,[2]characters!$2:$2,0)+1),MATCH(H$1,[2]characters!$2:$2,0)-MATCH($E$1,[2]characters!$2:$2,0)+1,FALSE)</f>
        <v>1</v>
      </c>
      <c r="I5" s="10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10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10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5" s="6">
        <v>1</v>
      </c>
      <c r="M5" s="6">
        <v>1621</v>
      </c>
      <c r="N5" s="21">
        <v>0</v>
      </c>
      <c r="O5" s="22">
        <v>0</v>
      </c>
      <c r="P5" s="22">
        <v>0</v>
      </c>
      <c r="Q5" s="22">
        <v>0</v>
      </c>
      <c r="R5" s="22">
        <v>1</v>
      </c>
    </row>
    <row r="6" spans="1:18" ht="21" customHeight="1">
      <c r="A6" s="8" t="str">
        <f t="shared" si="1"/>
        <v>091</v>
      </c>
      <c r="B6" s="5">
        <v>200</v>
      </c>
      <c r="C6" s="10" t="str">
        <f ca="1">VLOOKUP($B6,OFFSET([1]gachas!$A$2,0,0,COUNTA([1]gachas!$A:$A),MATCH(C$1,[1]gachas!$1:$1,0)-MATCH($B$1,[1]gachas!$1:$1,0)+1),MATCH(C$1,[1]gachas!$1:$1,0)-MATCH($B$1,[1]gachas!$1:$1,0)+1,FALSE)</f>
        <v>フレンドガチャ（常設）</v>
      </c>
      <c r="D6" s="6">
        <v>0</v>
      </c>
      <c r="E6" s="7">
        <v>9</v>
      </c>
      <c r="F6" s="10" t="str">
        <f ca="1">VLOOKUP($E6,OFFSET([2]characters!$A$2,0,0,COUNTA([2]characters!$A:$A),MATCH(F$1,[2]characters!$2:$2,0)-MATCH($E$1,[2]characters!$2:$2,0)+1),MATCH(F$1,[2]characters!$2:$2,0)-MATCH($E$1,[2]characters!$2:$2,0)+1,FALSE)</f>
        <v>ブレット</v>
      </c>
      <c r="G6" s="10" t="str">
        <f ca="1">VLOOKUP($E6,OFFSET([2]characters!$A$2,0,0,COUNTA([2]characters!$A:$A),MATCH(G$1,[2]characters!$2:$2,0)-MATCH($E$1,[2]characters!$2:$2,0)+1),MATCH(G$1,[2]characters!$2:$2,0)-MATCH($E$1,[2]characters!$2:$2,0)+1,FALSE)</f>
        <v>Drop1W</v>
      </c>
      <c r="H6" s="10">
        <f ca="1">VLOOKUP($E6,OFFSET([2]characters!$A$2,0,0,COUNTA([2]characters!$A:$A),MATCH(H$1,[2]characters!$2:$2,0)-MATCH($E$1,[2]characters!$2:$2,0)+1),MATCH(H$1,[2]characters!$2:$2,0)-MATCH($E$1,[2]characters!$2:$2,0)+1,FALSE)</f>
        <v>1</v>
      </c>
      <c r="I6" s="10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10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" s="10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" s="6">
        <v>1</v>
      </c>
      <c r="M6" s="6">
        <v>1621</v>
      </c>
      <c r="N6" s="21">
        <v>0</v>
      </c>
      <c r="O6" s="22">
        <v>0</v>
      </c>
      <c r="P6" s="22">
        <v>0</v>
      </c>
      <c r="Q6" s="22">
        <v>0</v>
      </c>
      <c r="R6" s="22">
        <v>1</v>
      </c>
    </row>
    <row r="7" spans="1:18" ht="21" customHeight="1">
      <c r="A7" s="8" t="str">
        <f t="shared" si="1"/>
        <v>0111</v>
      </c>
      <c r="B7" s="5">
        <v>200</v>
      </c>
      <c r="C7" s="10" t="str">
        <f ca="1">VLOOKUP($B7,OFFSET([1]gachas!$A$2,0,0,COUNTA([1]gachas!$A:$A),MATCH(C$1,[1]gachas!$1:$1,0)-MATCH($B$1,[1]gachas!$1:$1,0)+1),MATCH(C$1,[1]gachas!$1:$1,0)-MATCH($B$1,[1]gachas!$1:$1,0)+1,FALSE)</f>
        <v>フレンドガチャ（常設）</v>
      </c>
      <c r="D7" s="6">
        <v>0</v>
      </c>
      <c r="E7" s="7">
        <v>11</v>
      </c>
      <c r="F7" s="10" t="str">
        <f ca="1">VLOOKUP($E7,OFFSET([2]characters!$A$2,0,0,COUNTA([2]characters!$A:$A),MATCH(F$1,[2]characters!$2:$2,0)-MATCH($E$1,[2]characters!$2:$2,0)+1),MATCH(F$1,[2]characters!$2:$2,0)-MATCH($E$1,[2]characters!$2:$2,0)+1,FALSE)</f>
        <v>マグリット</v>
      </c>
      <c r="G7" s="10" t="str">
        <f ca="1">VLOOKUP($E7,OFFSET([2]characters!$A$2,0,0,COUNTA([2]characters!$A:$A),MATCH(G$1,[2]characters!$2:$2,0)-MATCH($E$1,[2]characters!$2:$2,0)+1),MATCH(G$1,[2]characters!$2:$2,0)-MATCH($E$1,[2]characters!$2:$2,0)+1,FALSE)</f>
        <v>Drop1W</v>
      </c>
      <c r="H7" s="10">
        <f ca="1">VLOOKUP($E7,OFFSET([2]characters!$A$2,0,0,COUNTA([2]characters!$A:$A),MATCH(H$1,[2]characters!$2:$2,0)-MATCH($E$1,[2]characters!$2:$2,0)+1),MATCH(H$1,[2]characters!$2:$2,0)-MATCH($E$1,[2]characters!$2:$2,0)+1,FALSE)</f>
        <v>1</v>
      </c>
      <c r="I7" s="10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10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" s="10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" s="6">
        <v>1</v>
      </c>
      <c r="M7" s="6">
        <v>1621</v>
      </c>
      <c r="N7" s="21">
        <v>0</v>
      </c>
      <c r="O7" s="22">
        <v>0</v>
      </c>
      <c r="P7" s="22">
        <v>0</v>
      </c>
      <c r="Q7" s="22">
        <v>0</v>
      </c>
      <c r="R7" s="22">
        <v>1</v>
      </c>
    </row>
    <row r="8" spans="1:18" ht="21" customHeight="1">
      <c r="A8" s="8" t="str">
        <f t="shared" si="1"/>
        <v>0131</v>
      </c>
      <c r="B8" s="5">
        <v>200</v>
      </c>
      <c r="C8" s="10" t="str">
        <f ca="1">VLOOKUP($B8,OFFSET([1]gachas!$A$2,0,0,COUNTA([1]gachas!$A:$A),MATCH(C$1,[1]gachas!$1:$1,0)-MATCH($B$1,[1]gachas!$1:$1,0)+1),MATCH(C$1,[1]gachas!$1:$1,0)-MATCH($B$1,[1]gachas!$1:$1,0)+1,FALSE)</f>
        <v>フレンドガチャ（常設）</v>
      </c>
      <c r="D8" s="6">
        <v>0</v>
      </c>
      <c r="E8" s="7">
        <v>13</v>
      </c>
      <c r="F8" s="10" t="str">
        <f ca="1">VLOOKUP($E8,OFFSET([2]characters!$A$2,0,0,COUNTA([2]characters!$A:$A),MATCH(F$1,[2]characters!$2:$2,0)-MATCH($E$1,[2]characters!$2:$2,0)+1),MATCH(F$1,[2]characters!$2:$2,0)-MATCH($E$1,[2]characters!$2:$2,0)+1,FALSE)</f>
        <v>ミミ</v>
      </c>
      <c r="G8" s="10" t="str">
        <f ca="1">VLOOKUP($E8,OFFSET([2]characters!$A$2,0,0,COUNTA([2]characters!$A:$A),MATCH(G$1,[2]characters!$2:$2,0)-MATCH($E$1,[2]characters!$2:$2,0)+1),MATCH(G$1,[2]characters!$2:$2,0)-MATCH($E$1,[2]characters!$2:$2,0)+1,FALSE)</f>
        <v>Drop1W</v>
      </c>
      <c r="H8" s="10">
        <f ca="1">VLOOKUP($E8,OFFSET([2]characters!$A$2,0,0,COUNTA([2]characters!$A:$A),MATCH(H$1,[2]characters!$2:$2,0)-MATCH($E$1,[2]characters!$2:$2,0)+1),MATCH(H$1,[2]characters!$2:$2,0)-MATCH($E$1,[2]characters!$2:$2,0)+1,FALSE)</f>
        <v>1</v>
      </c>
      <c r="I8" s="10" t="str">
        <f ca="1">VLOOKUP($E8,OFFSET([2]characters!$A$2,0,0,COUNTA([2]characters!$A:$A),MATCH(I$1,[2]characters!$2:$2,0)-MATCH($E$1,[2]characters!$2:$2,0)+1),MATCH(I$1,[2]characters!$2:$2,0)-MATCH($E$1,[2]characters!$2:$2,0)+1,FALSE)</f>
        <v>yellow</v>
      </c>
      <c r="J8" s="10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" s="10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8" s="6">
        <v>1</v>
      </c>
      <c r="M8" s="6">
        <v>1621</v>
      </c>
      <c r="N8" s="21">
        <v>0</v>
      </c>
      <c r="O8" s="22">
        <v>0</v>
      </c>
      <c r="P8" s="22">
        <v>0</v>
      </c>
      <c r="Q8" s="22">
        <v>0</v>
      </c>
      <c r="R8" s="22">
        <v>1</v>
      </c>
    </row>
    <row r="9" spans="1:18" ht="21" customHeight="1">
      <c r="A9" s="8" t="str">
        <f t="shared" si="1"/>
        <v>0151</v>
      </c>
      <c r="B9" s="5">
        <v>200</v>
      </c>
      <c r="C9" s="10" t="str">
        <f ca="1">VLOOKUP($B9,OFFSET([1]gachas!$A$2,0,0,COUNTA([1]gachas!$A:$A),MATCH(C$1,[1]gachas!$1:$1,0)-MATCH($B$1,[1]gachas!$1:$1,0)+1),MATCH(C$1,[1]gachas!$1:$1,0)-MATCH($B$1,[1]gachas!$1:$1,0)+1,FALSE)</f>
        <v>フレンドガチャ（常設）</v>
      </c>
      <c r="D9" s="6">
        <v>0</v>
      </c>
      <c r="E9" s="7">
        <v>15</v>
      </c>
      <c r="F9" s="10" t="str">
        <f ca="1">VLOOKUP($E9,OFFSET([2]characters!$A$2,0,0,COUNTA([2]characters!$A:$A),MATCH(F$1,[2]characters!$2:$2,0)-MATCH($E$1,[2]characters!$2:$2,0)+1),MATCH(F$1,[2]characters!$2:$2,0)-MATCH($E$1,[2]characters!$2:$2,0)+1,FALSE)</f>
        <v>アカネ</v>
      </c>
      <c r="G9" s="10" t="str">
        <f ca="1">VLOOKUP($E9,OFFSET([2]characters!$A$2,0,0,COUNTA([2]characters!$A:$A),MATCH(G$1,[2]characters!$2:$2,0)-MATCH($E$1,[2]characters!$2:$2,0)+1),MATCH(G$1,[2]characters!$2:$2,0)-MATCH($E$1,[2]characters!$2:$2,0)+1,FALSE)</f>
        <v>Drop1W</v>
      </c>
      <c r="H9" s="10">
        <f ca="1">VLOOKUP($E9,OFFSET([2]characters!$A$2,0,0,COUNTA([2]characters!$A:$A),MATCH(H$1,[2]characters!$2:$2,0)-MATCH($E$1,[2]characters!$2:$2,0)+1),MATCH(H$1,[2]characters!$2:$2,0)-MATCH($E$1,[2]characters!$2:$2,0)+1,FALSE)</f>
        <v>1</v>
      </c>
      <c r="I9" s="10" t="str">
        <f ca="1">VLOOKUP($E9,OFFSET([2]characters!$A$2,0,0,COUNTA([2]characters!$A:$A),MATCH(I$1,[2]characters!$2:$2,0)-MATCH($E$1,[2]characters!$2:$2,0)+1),MATCH(I$1,[2]characters!$2:$2,0)-MATCH($E$1,[2]characters!$2:$2,0)+1,FALSE)</f>
        <v>red</v>
      </c>
      <c r="J9" s="10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10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9" s="6">
        <v>1</v>
      </c>
      <c r="M9" s="6">
        <v>1621</v>
      </c>
      <c r="N9" s="21">
        <v>0</v>
      </c>
      <c r="O9" s="22">
        <v>0</v>
      </c>
      <c r="P9" s="22">
        <v>0</v>
      </c>
      <c r="Q9" s="22">
        <v>0</v>
      </c>
      <c r="R9" s="22">
        <v>1</v>
      </c>
    </row>
    <row r="10" spans="1:18" ht="21" customHeight="1">
      <c r="A10" s="8" t="str">
        <f t="shared" si="1"/>
        <v>0171</v>
      </c>
      <c r="B10" s="5">
        <v>200</v>
      </c>
      <c r="C10" s="10" t="str">
        <f ca="1">VLOOKUP($B10,OFFSET([1]gachas!$A$2,0,0,COUNTA([1]gachas!$A:$A),MATCH(C$1,[1]gachas!$1:$1,0)-MATCH($B$1,[1]gachas!$1:$1,0)+1),MATCH(C$1,[1]gachas!$1:$1,0)-MATCH($B$1,[1]gachas!$1:$1,0)+1,FALSE)</f>
        <v>フレンドガチャ（常設）</v>
      </c>
      <c r="D10" s="6">
        <v>0</v>
      </c>
      <c r="E10" s="7">
        <v>17</v>
      </c>
      <c r="F10" s="10" t="str">
        <f ca="1">VLOOKUP($E10,OFFSET([2]characters!$A$2,0,0,COUNTA([2]characters!$A:$A),MATCH(F$1,[2]characters!$2:$2,0)-MATCH($E$1,[2]characters!$2:$2,0)+1),MATCH(F$1,[2]characters!$2:$2,0)-MATCH($E$1,[2]characters!$2:$2,0)+1,FALSE)</f>
        <v>リム</v>
      </c>
      <c r="G10" s="10" t="str">
        <f ca="1">VLOOKUP($E10,OFFSET([2]characters!$A$2,0,0,COUNTA([2]characters!$A:$A),MATCH(G$1,[2]characters!$2:$2,0)-MATCH($E$1,[2]characters!$2:$2,0)+1),MATCH(G$1,[2]characters!$2:$2,0)-MATCH($E$1,[2]characters!$2:$2,0)+1,FALSE)</f>
        <v>Drop1W</v>
      </c>
      <c r="H10" s="10">
        <f ca="1">VLOOKUP($E10,OFFSET([2]characters!$A$2,0,0,COUNTA([2]characters!$A:$A),MATCH(H$1,[2]characters!$2:$2,0)-MATCH($E$1,[2]characters!$2:$2,0)+1),MATCH(H$1,[2]characters!$2:$2,0)-MATCH($E$1,[2]characters!$2:$2,0)+1,FALSE)</f>
        <v>1</v>
      </c>
      <c r="I10" s="10" t="str">
        <f ca="1">VLOOKUP($E10,OFFSET([2]characters!$A$2,0,0,COUNTA([2]characters!$A:$A),MATCH(I$1,[2]characters!$2:$2,0)-MATCH($E$1,[2]characters!$2:$2,0)+1),MATCH(I$1,[2]characters!$2:$2,0)-MATCH($E$1,[2]characters!$2:$2,0)+1,FALSE)</f>
        <v>blue</v>
      </c>
      <c r="J10" s="10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10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0" s="6">
        <v>1</v>
      </c>
      <c r="M10" s="6">
        <v>1621</v>
      </c>
      <c r="N10" s="21">
        <v>0</v>
      </c>
      <c r="O10" s="22">
        <v>0</v>
      </c>
      <c r="P10" s="22">
        <v>0</v>
      </c>
      <c r="Q10" s="22">
        <v>0</v>
      </c>
      <c r="R10" s="22">
        <v>1</v>
      </c>
    </row>
    <row r="11" spans="1:18" ht="21" customHeight="1">
      <c r="A11" s="8" t="str">
        <f t="shared" si="1"/>
        <v>0191</v>
      </c>
      <c r="B11" s="5">
        <v>200</v>
      </c>
      <c r="C11" s="10" t="str">
        <f ca="1">VLOOKUP($B11,OFFSET([1]gachas!$A$2,0,0,COUNTA([1]gachas!$A:$A),MATCH(C$1,[1]gachas!$1:$1,0)-MATCH($B$1,[1]gachas!$1:$1,0)+1),MATCH(C$1,[1]gachas!$1:$1,0)-MATCH($B$1,[1]gachas!$1:$1,0)+1,FALSE)</f>
        <v>フレンドガチャ（常設）</v>
      </c>
      <c r="D11" s="6">
        <v>0</v>
      </c>
      <c r="E11" s="7">
        <v>19</v>
      </c>
      <c r="F11" s="10" t="str">
        <f ca="1">VLOOKUP($E11,OFFSET([2]characters!$A$2,0,0,COUNTA([2]characters!$A:$A),MATCH(F$1,[2]characters!$2:$2,0)-MATCH($E$1,[2]characters!$2:$2,0)+1),MATCH(F$1,[2]characters!$2:$2,0)-MATCH($E$1,[2]characters!$2:$2,0)+1,FALSE)</f>
        <v>ティンク</v>
      </c>
      <c r="G11" s="10" t="str">
        <f ca="1">VLOOKUP($E11,OFFSET([2]characters!$A$2,0,0,COUNTA([2]characters!$A:$A),MATCH(G$1,[2]characters!$2:$2,0)-MATCH($E$1,[2]characters!$2:$2,0)+1),MATCH(G$1,[2]characters!$2:$2,0)-MATCH($E$1,[2]characters!$2:$2,0)+1,FALSE)</f>
        <v>Drop1W</v>
      </c>
      <c r="H11" s="10">
        <f ca="1">VLOOKUP($E11,OFFSET([2]characters!$A$2,0,0,COUNTA([2]characters!$A:$A),MATCH(H$1,[2]characters!$2:$2,0)-MATCH($E$1,[2]characters!$2:$2,0)+1),MATCH(H$1,[2]characters!$2:$2,0)-MATCH($E$1,[2]characters!$2:$2,0)+1,FALSE)</f>
        <v>1</v>
      </c>
      <c r="I11" s="10" t="str">
        <f ca="1">VLOOKUP($E11,OFFSET([2]characters!$A$2,0,0,COUNTA([2]characters!$A:$A),MATCH(I$1,[2]characters!$2:$2,0)-MATCH($E$1,[2]characters!$2:$2,0)+1),MATCH(I$1,[2]characters!$2:$2,0)-MATCH($E$1,[2]characters!$2:$2,0)+1,FALSE)</f>
        <v>yellow</v>
      </c>
      <c r="J11" s="10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" s="10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1" s="6">
        <v>1</v>
      </c>
      <c r="M11" s="6">
        <v>1621</v>
      </c>
      <c r="N11" s="21">
        <v>0</v>
      </c>
      <c r="O11" s="22">
        <v>0</v>
      </c>
      <c r="P11" s="22">
        <v>0</v>
      </c>
      <c r="Q11" s="22">
        <v>0</v>
      </c>
      <c r="R11" s="22">
        <v>1</v>
      </c>
    </row>
    <row r="12" spans="1:18" ht="21" customHeight="1">
      <c r="A12" s="8" t="str">
        <f t="shared" si="1"/>
        <v>0211</v>
      </c>
      <c r="B12" s="5">
        <v>200</v>
      </c>
      <c r="C12" s="10" t="str">
        <f ca="1">VLOOKUP($B12,OFFSET([1]gachas!$A$2,0,0,COUNTA([1]gachas!$A:$A),MATCH(C$1,[1]gachas!$1:$1,0)-MATCH($B$1,[1]gachas!$1:$1,0)+1),MATCH(C$1,[1]gachas!$1:$1,0)-MATCH($B$1,[1]gachas!$1:$1,0)+1,FALSE)</f>
        <v>フレンドガチャ（常設）</v>
      </c>
      <c r="D12" s="6">
        <v>0</v>
      </c>
      <c r="E12" s="7">
        <v>21</v>
      </c>
      <c r="F12" s="10" t="str">
        <f ca="1">VLOOKUP($E12,OFFSET([2]characters!$A$2,0,0,COUNTA([2]characters!$A:$A),MATCH(F$1,[2]characters!$2:$2,0)-MATCH($E$1,[2]characters!$2:$2,0)+1),MATCH(F$1,[2]characters!$2:$2,0)-MATCH($E$1,[2]characters!$2:$2,0)+1,FALSE)</f>
        <v>ヴェロキー</v>
      </c>
      <c r="G12" s="10" t="str">
        <f ca="1">VLOOKUP($E12,OFFSET([2]characters!$A$2,0,0,COUNTA([2]characters!$A:$A),MATCH(G$1,[2]characters!$2:$2,0)-MATCH($E$1,[2]characters!$2:$2,0)+1),MATCH(G$1,[2]characters!$2:$2,0)-MATCH($E$1,[2]characters!$2:$2,0)+1,FALSE)</f>
        <v>Drop1N</v>
      </c>
      <c r="H12" s="10">
        <f ca="1">VLOOKUP($E12,OFFSET([2]characters!$A$2,0,0,COUNTA([2]characters!$A:$A),MATCH(H$1,[2]characters!$2:$2,0)-MATCH($E$1,[2]characters!$2:$2,0)+1),MATCH(H$1,[2]characters!$2:$2,0)-MATCH($E$1,[2]characters!$2:$2,0)+1,FALSE)</f>
        <v>1</v>
      </c>
      <c r="I12" s="10" t="str">
        <f ca="1">VLOOKUP($E12,OFFSET([2]characters!$A$2,0,0,COUNTA([2]characters!$A:$A),MATCH(I$1,[2]characters!$2:$2,0)-MATCH($E$1,[2]characters!$2:$2,0)+1),MATCH(I$1,[2]characters!$2:$2,0)-MATCH($E$1,[2]characters!$2:$2,0)+1,FALSE)</f>
        <v>red</v>
      </c>
      <c r="J12" s="10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10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2" s="6">
        <v>1</v>
      </c>
      <c r="M12" s="6">
        <v>1621</v>
      </c>
      <c r="N12" s="21">
        <v>0</v>
      </c>
      <c r="O12" s="22">
        <v>0</v>
      </c>
      <c r="P12" s="22">
        <v>0</v>
      </c>
      <c r="Q12" s="22">
        <v>0</v>
      </c>
      <c r="R12" s="22">
        <v>1</v>
      </c>
    </row>
    <row r="13" spans="1:18" ht="21" customHeight="1">
      <c r="A13" s="8" t="str">
        <f t="shared" si="1"/>
        <v>0231</v>
      </c>
      <c r="B13" s="5">
        <v>200</v>
      </c>
      <c r="C13" s="10" t="str">
        <f ca="1">VLOOKUP($B13,OFFSET([1]gachas!$A$2,0,0,COUNTA([1]gachas!$A:$A),MATCH(C$1,[1]gachas!$1:$1,0)-MATCH($B$1,[1]gachas!$1:$1,0)+1),MATCH(C$1,[1]gachas!$1:$1,0)-MATCH($B$1,[1]gachas!$1:$1,0)+1,FALSE)</f>
        <v>フレンドガチャ（常設）</v>
      </c>
      <c r="D13" s="6">
        <v>0</v>
      </c>
      <c r="E13" s="7">
        <v>23</v>
      </c>
      <c r="F13" s="10" t="str">
        <f ca="1">VLOOKUP($E13,OFFSET([2]characters!$A$2,0,0,COUNTA([2]characters!$A:$A),MATCH(F$1,[2]characters!$2:$2,0)-MATCH($E$1,[2]characters!$2:$2,0)+1),MATCH(F$1,[2]characters!$2:$2,0)-MATCH($E$1,[2]characters!$2:$2,0)+1,FALSE)</f>
        <v>ミール</v>
      </c>
      <c r="G13" s="10" t="str">
        <f ca="1">VLOOKUP($E13,OFFSET([2]characters!$A$2,0,0,COUNTA([2]characters!$A:$A),MATCH(G$1,[2]characters!$2:$2,0)-MATCH($E$1,[2]characters!$2:$2,0)+1),MATCH(G$1,[2]characters!$2:$2,0)-MATCH($E$1,[2]characters!$2:$2,0)+1,FALSE)</f>
        <v>Drop1N</v>
      </c>
      <c r="H13" s="10">
        <f ca="1">VLOOKUP($E13,OFFSET([2]characters!$A$2,0,0,COUNTA([2]characters!$A:$A),MATCH(H$1,[2]characters!$2:$2,0)-MATCH($E$1,[2]characters!$2:$2,0)+1),MATCH(H$1,[2]characters!$2:$2,0)-MATCH($E$1,[2]characters!$2:$2,0)+1,FALSE)</f>
        <v>1</v>
      </c>
      <c r="I13" s="10" t="str">
        <f ca="1">VLOOKUP($E13,OFFSET([2]characters!$A$2,0,0,COUNTA([2]characters!$A:$A),MATCH(I$1,[2]characters!$2:$2,0)-MATCH($E$1,[2]characters!$2:$2,0)+1),MATCH(I$1,[2]characters!$2:$2,0)-MATCH($E$1,[2]characters!$2:$2,0)+1,FALSE)</f>
        <v>green</v>
      </c>
      <c r="J13" s="10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" s="10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3" s="6">
        <v>1</v>
      </c>
      <c r="M13" s="6">
        <v>1621</v>
      </c>
      <c r="N13" s="21">
        <v>0</v>
      </c>
      <c r="O13" s="22">
        <v>0</v>
      </c>
      <c r="P13" s="22">
        <v>0</v>
      </c>
      <c r="Q13" s="22">
        <v>0</v>
      </c>
      <c r="R13" s="22">
        <v>1</v>
      </c>
    </row>
    <row r="14" spans="1:18" ht="21" customHeight="1">
      <c r="A14" s="8" t="str">
        <f t="shared" si="1"/>
        <v>0251</v>
      </c>
      <c r="B14" s="5">
        <v>200</v>
      </c>
      <c r="C14" s="10" t="str">
        <f ca="1">VLOOKUP($B14,OFFSET([1]gachas!$A$2,0,0,COUNTA([1]gachas!$A:$A),MATCH(C$1,[1]gachas!$1:$1,0)-MATCH($B$1,[1]gachas!$1:$1,0)+1),MATCH(C$1,[1]gachas!$1:$1,0)-MATCH($B$1,[1]gachas!$1:$1,0)+1,FALSE)</f>
        <v>フレンドガチャ（常設）</v>
      </c>
      <c r="D14" s="6">
        <v>0</v>
      </c>
      <c r="E14" s="7">
        <v>25</v>
      </c>
      <c r="F14" s="10" t="str">
        <f ca="1">VLOOKUP($E14,OFFSET([2]characters!$A$2,0,0,COUNTA([2]characters!$A:$A),MATCH(F$1,[2]characters!$2:$2,0)-MATCH($E$1,[2]characters!$2:$2,0)+1),MATCH(F$1,[2]characters!$2:$2,0)-MATCH($E$1,[2]characters!$2:$2,0)+1,FALSE)</f>
        <v>ハチ</v>
      </c>
      <c r="G14" s="10" t="str">
        <f ca="1">VLOOKUP($E14,OFFSET([2]characters!$A$2,0,0,COUNTA([2]characters!$A:$A),MATCH(G$1,[2]characters!$2:$2,0)-MATCH($E$1,[2]characters!$2:$2,0)+1),MATCH(G$1,[2]characters!$2:$2,0)-MATCH($E$1,[2]characters!$2:$2,0)+1,FALSE)</f>
        <v>Drop1N</v>
      </c>
      <c r="H14" s="10">
        <f ca="1">VLOOKUP($E14,OFFSET([2]characters!$A$2,0,0,COUNTA([2]characters!$A:$A),MATCH(H$1,[2]characters!$2:$2,0)-MATCH($E$1,[2]characters!$2:$2,0)+1),MATCH(H$1,[2]characters!$2:$2,0)-MATCH($E$1,[2]characters!$2:$2,0)+1,FALSE)</f>
        <v>1</v>
      </c>
      <c r="I14" s="10" t="str">
        <f ca="1">VLOOKUP($E14,OFFSET([2]characters!$A$2,0,0,COUNTA([2]characters!$A:$A),MATCH(I$1,[2]characters!$2:$2,0)-MATCH($E$1,[2]characters!$2:$2,0)+1),MATCH(I$1,[2]characters!$2:$2,0)-MATCH($E$1,[2]characters!$2:$2,0)+1,FALSE)</f>
        <v>blue</v>
      </c>
      <c r="J14" s="10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" s="10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4" s="6">
        <v>1</v>
      </c>
      <c r="M14" s="6">
        <v>1621</v>
      </c>
      <c r="N14" s="21">
        <v>0</v>
      </c>
      <c r="O14" s="22">
        <v>0</v>
      </c>
      <c r="P14" s="22">
        <v>0</v>
      </c>
      <c r="Q14" s="22">
        <v>0</v>
      </c>
      <c r="R14" s="22">
        <v>1</v>
      </c>
    </row>
    <row r="15" spans="1:18" ht="21" customHeight="1">
      <c r="A15" s="8" t="str">
        <f t="shared" si="1"/>
        <v>0271</v>
      </c>
      <c r="B15" s="5">
        <v>200</v>
      </c>
      <c r="C15" s="10" t="str">
        <f ca="1">VLOOKUP($B15,OFFSET([1]gachas!$A$2,0,0,COUNTA([1]gachas!$A:$A),MATCH(C$1,[1]gachas!$1:$1,0)-MATCH($B$1,[1]gachas!$1:$1,0)+1),MATCH(C$1,[1]gachas!$1:$1,0)-MATCH($B$1,[1]gachas!$1:$1,0)+1,FALSE)</f>
        <v>フレンドガチャ（常設）</v>
      </c>
      <c r="D15" s="6">
        <v>0</v>
      </c>
      <c r="E15" s="7">
        <v>27</v>
      </c>
      <c r="F15" s="10" t="str">
        <f ca="1">VLOOKUP($E15,OFFSET([2]characters!$A$2,0,0,COUNTA([2]characters!$A:$A),MATCH(F$1,[2]characters!$2:$2,0)-MATCH($E$1,[2]characters!$2:$2,0)+1),MATCH(F$1,[2]characters!$2:$2,0)-MATCH($E$1,[2]characters!$2:$2,0)+1,FALSE)</f>
        <v>パトライン</v>
      </c>
      <c r="G15" s="10" t="str">
        <f ca="1">VLOOKUP($E15,OFFSET([2]characters!$A$2,0,0,COUNTA([2]characters!$A:$A),MATCH(G$1,[2]characters!$2:$2,0)-MATCH($E$1,[2]characters!$2:$2,0)+1),MATCH(G$1,[2]characters!$2:$2,0)-MATCH($E$1,[2]characters!$2:$2,0)+1,FALSE)</f>
        <v>Drop1N</v>
      </c>
      <c r="H15" s="10">
        <f ca="1">VLOOKUP($E15,OFFSET([2]characters!$A$2,0,0,COUNTA([2]characters!$A:$A),MATCH(H$1,[2]characters!$2:$2,0)-MATCH($E$1,[2]characters!$2:$2,0)+1),MATCH(H$1,[2]characters!$2:$2,0)-MATCH($E$1,[2]characters!$2:$2,0)+1,FALSE)</f>
        <v>1</v>
      </c>
      <c r="I15" s="10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10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10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5" s="6">
        <v>1</v>
      </c>
      <c r="M15" s="6">
        <v>1621</v>
      </c>
      <c r="N15" s="21">
        <v>0</v>
      </c>
      <c r="O15" s="22">
        <v>0</v>
      </c>
      <c r="P15" s="22">
        <v>0</v>
      </c>
      <c r="Q15" s="22">
        <v>0</v>
      </c>
      <c r="R15" s="22">
        <v>1</v>
      </c>
    </row>
    <row r="16" spans="1:18" ht="21" customHeight="1">
      <c r="A16" s="8" t="str">
        <f t="shared" si="1"/>
        <v>0291</v>
      </c>
      <c r="B16" s="5">
        <v>200</v>
      </c>
      <c r="C16" s="10" t="str">
        <f ca="1">VLOOKUP($B16,OFFSET([1]gachas!$A$2,0,0,COUNTA([1]gachas!$A:$A),MATCH(C$1,[1]gachas!$1:$1,0)-MATCH($B$1,[1]gachas!$1:$1,0)+1),MATCH(C$1,[1]gachas!$1:$1,0)-MATCH($B$1,[1]gachas!$1:$1,0)+1,FALSE)</f>
        <v>フレンドガチャ（常設）</v>
      </c>
      <c r="D16" s="6">
        <v>0</v>
      </c>
      <c r="E16" s="7">
        <v>29</v>
      </c>
      <c r="F16" s="10" t="str">
        <f ca="1">VLOOKUP($E16,OFFSET([2]characters!$A$2,0,0,COUNTA([2]characters!$A:$A),MATCH(F$1,[2]characters!$2:$2,0)-MATCH($E$1,[2]characters!$2:$2,0)+1),MATCH(F$1,[2]characters!$2:$2,0)-MATCH($E$1,[2]characters!$2:$2,0)+1,FALSE)</f>
        <v>スケアクロウ</v>
      </c>
      <c r="G16" s="10" t="str">
        <f ca="1">VLOOKUP($E16,OFFSET([2]characters!$A$2,0,0,COUNTA([2]characters!$A:$A),MATCH(G$1,[2]characters!$2:$2,0)-MATCH($E$1,[2]characters!$2:$2,0)+1),MATCH(G$1,[2]characters!$2:$2,0)-MATCH($E$1,[2]characters!$2:$2,0)+1,FALSE)</f>
        <v>Drop1N</v>
      </c>
      <c r="H16" s="10">
        <f ca="1">VLOOKUP($E16,OFFSET([2]characters!$A$2,0,0,COUNTA([2]characters!$A:$A),MATCH(H$1,[2]characters!$2:$2,0)-MATCH($E$1,[2]characters!$2:$2,0)+1),MATCH(H$1,[2]characters!$2:$2,0)-MATCH($E$1,[2]characters!$2:$2,0)+1,FALSE)</f>
        <v>1</v>
      </c>
      <c r="I16" s="10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10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10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6" s="6">
        <v>1</v>
      </c>
      <c r="M16" s="6">
        <v>1621</v>
      </c>
      <c r="N16" s="21">
        <v>0</v>
      </c>
      <c r="O16" s="22">
        <v>0</v>
      </c>
      <c r="P16" s="22">
        <v>0</v>
      </c>
      <c r="Q16" s="22">
        <v>0</v>
      </c>
      <c r="R16" s="22">
        <v>1</v>
      </c>
    </row>
    <row r="17" spans="1:18" ht="21" customHeight="1">
      <c r="A17" s="8" t="str">
        <f t="shared" si="1"/>
        <v>0311</v>
      </c>
      <c r="B17" s="5">
        <v>200</v>
      </c>
      <c r="C17" s="10" t="str">
        <f ca="1">VLOOKUP($B17,OFFSET([1]gachas!$A$2,0,0,COUNTA([1]gachas!$A:$A),MATCH(C$1,[1]gachas!$1:$1,0)-MATCH($B$1,[1]gachas!$1:$1,0)+1),MATCH(C$1,[1]gachas!$1:$1,0)-MATCH($B$1,[1]gachas!$1:$1,0)+1,FALSE)</f>
        <v>フレンドガチャ（常設）</v>
      </c>
      <c r="D17" s="6">
        <v>0</v>
      </c>
      <c r="E17" s="7">
        <v>31</v>
      </c>
      <c r="F17" s="10" t="str">
        <f ca="1">VLOOKUP($E17,OFFSET([2]characters!$A$2,0,0,COUNTA([2]characters!$A:$A),MATCH(F$1,[2]characters!$2:$2,0)-MATCH($E$1,[2]characters!$2:$2,0)+1),MATCH(F$1,[2]characters!$2:$2,0)-MATCH($E$1,[2]characters!$2:$2,0)+1,FALSE)</f>
        <v>マービー</v>
      </c>
      <c r="G17" s="10" t="str">
        <f ca="1">VLOOKUP($E17,OFFSET([2]characters!$A$2,0,0,COUNTA([2]characters!$A:$A),MATCH(G$1,[2]characters!$2:$2,0)-MATCH($E$1,[2]characters!$2:$2,0)+1),MATCH(G$1,[2]characters!$2:$2,0)-MATCH($E$1,[2]characters!$2:$2,0)+1,FALSE)</f>
        <v>Drop1N</v>
      </c>
      <c r="H17" s="10">
        <f ca="1">VLOOKUP($E17,OFFSET([2]characters!$A$2,0,0,COUNTA([2]characters!$A:$A),MATCH(H$1,[2]characters!$2:$2,0)-MATCH($E$1,[2]characters!$2:$2,0)+1),MATCH(H$1,[2]characters!$2:$2,0)-MATCH($E$1,[2]characters!$2:$2,0)+1,FALSE)</f>
        <v>1</v>
      </c>
      <c r="I17" s="10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10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" s="10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7" s="6">
        <v>1</v>
      </c>
      <c r="M17" s="6">
        <v>1621</v>
      </c>
      <c r="N17" s="21">
        <v>0</v>
      </c>
      <c r="O17" s="22">
        <v>0</v>
      </c>
      <c r="P17" s="22">
        <v>0</v>
      </c>
      <c r="Q17" s="22">
        <v>0</v>
      </c>
      <c r="R17" s="22">
        <v>1</v>
      </c>
    </row>
    <row r="18" spans="1:18" ht="21" customHeight="1">
      <c r="A18" s="8" t="str">
        <f t="shared" si="1"/>
        <v>0331</v>
      </c>
      <c r="B18" s="5">
        <v>200</v>
      </c>
      <c r="C18" s="10" t="str">
        <f ca="1">VLOOKUP($B18,OFFSET([1]gachas!$A$2,0,0,COUNTA([1]gachas!$A:$A),MATCH(C$1,[1]gachas!$1:$1,0)-MATCH($B$1,[1]gachas!$1:$1,0)+1),MATCH(C$1,[1]gachas!$1:$1,0)-MATCH($B$1,[1]gachas!$1:$1,0)+1,FALSE)</f>
        <v>フレンドガチャ（常設）</v>
      </c>
      <c r="D18" s="6">
        <v>0</v>
      </c>
      <c r="E18" s="7">
        <v>33</v>
      </c>
      <c r="F18" s="10" t="str">
        <f ca="1">VLOOKUP($E18,OFFSET([2]characters!$A$2,0,0,COUNTA([2]characters!$A:$A),MATCH(F$1,[2]characters!$2:$2,0)-MATCH($E$1,[2]characters!$2:$2,0)+1),MATCH(F$1,[2]characters!$2:$2,0)-MATCH($E$1,[2]characters!$2:$2,0)+1,FALSE)</f>
        <v>ゴクウ</v>
      </c>
      <c r="G18" s="10" t="str">
        <f ca="1">VLOOKUP($E18,OFFSET([2]characters!$A$2,0,0,COUNTA([2]characters!$A:$A),MATCH(G$1,[2]characters!$2:$2,0)-MATCH($E$1,[2]characters!$2:$2,0)+1),MATCH(G$1,[2]characters!$2:$2,0)-MATCH($E$1,[2]characters!$2:$2,0)+1,FALSE)</f>
        <v>Drop1S</v>
      </c>
      <c r="H18" s="10">
        <f ca="1">VLOOKUP($E18,OFFSET([2]characters!$A$2,0,0,COUNTA([2]characters!$A:$A),MATCH(H$1,[2]characters!$2:$2,0)-MATCH($E$1,[2]characters!$2:$2,0)+1),MATCH(H$1,[2]characters!$2:$2,0)-MATCH($E$1,[2]characters!$2:$2,0)+1,FALSE)</f>
        <v>2</v>
      </c>
      <c r="I18" s="10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10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" s="10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18" s="6">
        <v>1</v>
      </c>
      <c r="M18" s="6">
        <v>593</v>
      </c>
      <c r="N18" s="21">
        <v>0</v>
      </c>
      <c r="O18" s="22">
        <v>0</v>
      </c>
      <c r="P18" s="22">
        <v>0</v>
      </c>
      <c r="Q18" s="22">
        <v>0</v>
      </c>
      <c r="R18" s="22">
        <v>1</v>
      </c>
    </row>
    <row r="19" spans="1:18" ht="21" customHeight="1">
      <c r="A19" s="8" t="str">
        <f t="shared" si="1"/>
        <v>0351</v>
      </c>
      <c r="B19" s="5">
        <v>200</v>
      </c>
      <c r="C19" s="10" t="str">
        <f ca="1">VLOOKUP($B19,OFFSET([1]gachas!$A$2,0,0,COUNTA([1]gachas!$A:$A),MATCH(C$1,[1]gachas!$1:$1,0)-MATCH($B$1,[1]gachas!$1:$1,0)+1),MATCH(C$1,[1]gachas!$1:$1,0)-MATCH($B$1,[1]gachas!$1:$1,0)+1,FALSE)</f>
        <v>フレンドガチャ（常設）</v>
      </c>
      <c r="D19" s="6">
        <v>0</v>
      </c>
      <c r="E19" s="7">
        <v>35</v>
      </c>
      <c r="F19" s="10" t="str">
        <f ca="1">VLOOKUP($E19,OFFSET([2]characters!$A$2,0,0,COUNTA([2]characters!$A:$A),MATCH(F$1,[2]characters!$2:$2,0)-MATCH($E$1,[2]characters!$2:$2,0)+1),MATCH(F$1,[2]characters!$2:$2,0)-MATCH($E$1,[2]characters!$2:$2,0)+1,FALSE)</f>
        <v>F2</v>
      </c>
      <c r="G19" s="10" t="str">
        <f ca="1">VLOOKUP($E19,OFFSET([2]characters!$A$2,0,0,COUNTA([2]characters!$A:$A),MATCH(G$1,[2]characters!$2:$2,0)-MATCH($E$1,[2]characters!$2:$2,0)+1),MATCH(G$1,[2]characters!$2:$2,0)-MATCH($E$1,[2]characters!$2:$2,0)+1,FALSE)</f>
        <v>Drop1S</v>
      </c>
      <c r="H19" s="10">
        <f ca="1">VLOOKUP($E19,OFFSET([2]characters!$A$2,0,0,COUNTA([2]characters!$A:$A),MATCH(H$1,[2]characters!$2:$2,0)-MATCH($E$1,[2]characters!$2:$2,0)+1),MATCH(H$1,[2]characters!$2:$2,0)-MATCH($E$1,[2]characters!$2:$2,0)+1,FALSE)</f>
        <v>2</v>
      </c>
      <c r="I19" s="10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10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" s="10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9" s="6">
        <v>1</v>
      </c>
      <c r="M19" s="6">
        <v>593</v>
      </c>
      <c r="N19" s="21">
        <v>0</v>
      </c>
      <c r="O19" s="22">
        <v>0</v>
      </c>
      <c r="P19" s="22">
        <v>0</v>
      </c>
      <c r="Q19" s="22">
        <v>0</v>
      </c>
      <c r="R19" s="22">
        <v>1</v>
      </c>
    </row>
    <row r="20" spans="1:18" ht="21" customHeight="1">
      <c r="A20" s="8" t="str">
        <f t="shared" si="1"/>
        <v>0371</v>
      </c>
      <c r="B20" s="5">
        <v>200</v>
      </c>
      <c r="C20" s="10" t="str">
        <f ca="1">VLOOKUP($B20,OFFSET([1]gachas!$A$2,0,0,COUNTA([1]gachas!$A:$A),MATCH(C$1,[1]gachas!$1:$1,0)-MATCH($B$1,[1]gachas!$1:$1,0)+1),MATCH(C$1,[1]gachas!$1:$1,0)-MATCH($B$1,[1]gachas!$1:$1,0)+1,FALSE)</f>
        <v>フレンドガチャ（常設）</v>
      </c>
      <c r="D20" s="6">
        <v>0</v>
      </c>
      <c r="E20" s="7">
        <v>37</v>
      </c>
      <c r="F20" s="10" t="str">
        <f ca="1">VLOOKUP($E20,OFFSET([2]characters!$A$2,0,0,COUNTA([2]characters!$A:$A),MATCH(F$1,[2]characters!$2:$2,0)-MATCH($E$1,[2]characters!$2:$2,0)+1),MATCH(F$1,[2]characters!$2:$2,0)-MATCH($E$1,[2]characters!$2:$2,0)+1,FALSE)</f>
        <v>ガイル</v>
      </c>
      <c r="G20" s="10" t="str">
        <f ca="1">VLOOKUP($E20,OFFSET([2]characters!$A$2,0,0,COUNTA([2]characters!$A:$A),MATCH(G$1,[2]characters!$2:$2,0)-MATCH($E$1,[2]characters!$2:$2,0)+1),MATCH(G$1,[2]characters!$2:$2,0)-MATCH($E$1,[2]characters!$2:$2,0)+1,FALSE)</f>
        <v>Drop1S</v>
      </c>
      <c r="H20" s="10">
        <f ca="1">VLOOKUP($E20,OFFSET([2]characters!$A$2,0,0,COUNTA([2]characters!$A:$A),MATCH(H$1,[2]characters!$2:$2,0)-MATCH($E$1,[2]characters!$2:$2,0)+1),MATCH(H$1,[2]characters!$2:$2,0)-MATCH($E$1,[2]characters!$2:$2,0)+1,FALSE)</f>
        <v>2</v>
      </c>
      <c r="I20" s="10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10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" s="10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0" s="6">
        <v>1</v>
      </c>
      <c r="M20" s="6">
        <v>593</v>
      </c>
      <c r="N20" s="21">
        <v>0</v>
      </c>
      <c r="O20" s="22">
        <v>0</v>
      </c>
      <c r="P20" s="22">
        <v>0</v>
      </c>
      <c r="Q20" s="22">
        <v>0</v>
      </c>
      <c r="R20" s="22">
        <v>1</v>
      </c>
    </row>
    <row r="21" spans="1:18" ht="21" customHeight="1">
      <c r="A21" s="8" t="str">
        <f t="shared" si="1"/>
        <v>0391</v>
      </c>
      <c r="B21" s="5">
        <v>200</v>
      </c>
      <c r="C21" s="10" t="str">
        <f ca="1">VLOOKUP($B21,OFFSET([1]gachas!$A$2,0,0,COUNTA([1]gachas!$A:$A),MATCH(C$1,[1]gachas!$1:$1,0)-MATCH($B$1,[1]gachas!$1:$1,0)+1),MATCH(C$1,[1]gachas!$1:$1,0)-MATCH($B$1,[1]gachas!$1:$1,0)+1,FALSE)</f>
        <v>フレンドガチャ（常設）</v>
      </c>
      <c r="D21" s="6">
        <v>0</v>
      </c>
      <c r="E21" s="7">
        <v>39</v>
      </c>
      <c r="F21" s="10" t="str">
        <f ca="1">VLOOKUP($E21,OFFSET([2]characters!$A$2,0,0,COUNTA([2]characters!$A:$A),MATCH(F$1,[2]characters!$2:$2,0)-MATCH($E$1,[2]characters!$2:$2,0)+1),MATCH(F$1,[2]characters!$2:$2,0)-MATCH($E$1,[2]characters!$2:$2,0)+1,FALSE)</f>
        <v>マーロン</v>
      </c>
      <c r="G21" s="10" t="str">
        <f ca="1">VLOOKUP($E21,OFFSET([2]characters!$A$2,0,0,COUNTA([2]characters!$A:$A),MATCH(G$1,[2]characters!$2:$2,0)-MATCH($E$1,[2]characters!$2:$2,0)+1),MATCH(G$1,[2]characters!$2:$2,0)-MATCH($E$1,[2]characters!$2:$2,0)+1,FALSE)</f>
        <v>Drop1S</v>
      </c>
      <c r="H21" s="10">
        <f ca="1">VLOOKUP($E21,OFFSET([2]characters!$A$2,0,0,COUNTA([2]characters!$A:$A),MATCH(H$1,[2]characters!$2:$2,0)-MATCH($E$1,[2]characters!$2:$2,0)+1),MATCH(H$1,[2]characters!$2:$2,0)-MATCH($E$1,[2]characters!$2:$2,0)+1,FALSE)</f>
        <v>2</v>
      </c>
      <c r="I21" s="10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10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" s="10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1" s="6">
        <v>1</v>
      </c>
      <c r="M21" s="6">
        <v>593</v>
      </c>
      <c r="N21" s="21">
        <v>0</v>
      </c>
      <c r="O21" s="22">
        <v>0</v>
      </c>
      <c r="P21" s="22">
        <v>0</v>
      </c>
      <c r="Q21" s="22">
        <v>0</v>
      </c>
      <c r="R21" s="22">
        <v>1</v>
      </c>
    </row>
    <row r="22" spans="1:18" ht="21" customHeight="1">
      <c r="A22" s="8" t="str">
        <f t="shared" si="1"/>
        <v>0411</v>
      </c>
      <c r="B22" s="5">
        <v>200</v>
      </c>
      <c r="C22" s="10" t="str">
        <f ca="1">VLOOKUP($B22,OFFSET([1]gachas!$A$2,0,0,COUNTA([1]gachas!$A:$A),MATCH(C$1,[1]gachas!$1:$1,0)-MATCH($B$1,[1]gachas!$1:$1,0)+1),MATCH(C$1,[1]gachas!$1:$1,0)-MATCH($B$1,[1]gachas!$1:$1,0)+1,FALSE)</f>
        <v>フレンドガチャ（常設）</v>
      </c>
      <c r="D22" s="6">
        <v>0</v>
      </c>
      <c r="E22" s="7">
        <v>41</v>
      </c>
      <c r="F22" s="10" t="str">
        <f ca="1">VLOOKUP($E22,OFFSET([2]characters!$A$2,0,0,COUNTA([2]characters!$A:$A),MATCH(F$1,[2]characters!$2:$2,0)-MATCH($E$1,[2]characters!$2:$2,0)+1),MATCH(F$1,[2]characters!$2:$2,0)-MATCH($E$1,[2]characters!$2:$2,0)+1,FALSE)</f>
        <v>ヒュウガ</v>
      </c>
      <c r="G22" s="10" t="str">
        <f ca="1">VLOOKUP($E22,OFFSET([2]characters!$A$2,0,0,COUNTA([2]characters!$A:$A),MATCH(G$1,[2]characters!$2:$2,0)-MATCH($E$1,[2]characters!$2:$2,0)+1),MATCH(G$1,[2]characters!$2:$2,0)-MATCH($E$1,[2]characters!$2:$2,0)+1,FALSE)</f>
        <v>Drop1N</v>
      </c>
      <c r="H22" s="10">
        <f ca="1">VLOOKUP($E22,OFFSET([2]characters!$A$2,0,0,COUNTA([2]characters!$A:$A),MATCH(H$1,[2]characters!$2:$2,0)-MATCH($E$1,[2]characters!$2:$2,0)+1),MATCH(H$1,[2]characters!$2:$2,0)-MATCH($E$1,[2]characters!$2:$2,0)+1,FALSE)</f>
        <v>2</v>
      </c>
      <c r="I22" s="10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10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10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2" s="6">
        <v>1</v>
      </c>
      <c r="M22" s="6">
        <v>593</v>
      </c>
      <c r="N22" s="21">
        <v>0</v>
      </c>
      <c r="O22" s="22">
        <v>0</v>
      </c>
      <c r="P22" s="22">
        <v>0</v>
      </c>
      <c r="Q22" s="22">
        <v>0</v>
      </c>
      <c r="R22" s="22">
        <v>1</v>
      </c>
    </row>
    <row r="23" spans="1:18" ht="21" customHeight="1">
      <c r="A23" s="8" t="str">
        <f t="shared" si="1"/>
        <v>0431</v>
      </c>
      <c r="B23" s="5">
        <v>200</v>
      </c>
      <c r="C23" s="10" t="str">
        <f ca="1">VLOOKUP($B23,OFFSET([1]gachas!$A$2,0,0,COUNTA([1]gachas!$A:$A),MATCH(C$1,[1]gachas!$1:$1,0)-MATCH($B$1,[1]gachas!$1:$1,0)+1),MATCH(C$1,[1]gachas!$1:$1,0)-MATCH($B$1,[1]gachas!$1:$1,0)+1,FALSE)</f>
        <v>フレンドガチャ（常設）</v>
      </c>
      <c r="D23" s="6">
        <v>0</v>
      </c>
      <c r="E23" s="7">
        <v>43</v>
      </c>
      <c r="F23" s="10" t="str">
        <f ca="1">VLOOKUP($E23,OFFSET([2]characters!$A$2,0,0,COUNTA([2]characters!$A:$A),MATCH(F$1,[2]characters!$2:$2,0)-MATCH($E$1,[2]characters!$2:$2,0)+1),MATCH(F$1,[2]characters!$2:$2,0)-MATCH($E$1,[2]characters!$2:$2,0)+1,FALSE)</f>
        <v>ムゥ</v>
      </c>
      <c r="G23" s="10" t="str">
        <f ca="1">VLOOKUP($E23,OFFSET([2]characters!$A$2,0,0,COUNTA([2]characters!$A:$A),MATCH(G$1,[2]characters!$2:$2,0)-MATCH($E$1,[2]characters!$2:$2,0)+1),MATCH(G$1,[2]characters!$2:$2,0)-MATCH($E$1,[2]characters!$2:$2,0)+1,FALSE)</f>
        <v>Drop1N</v>
      </c>
      <c r="H23" s="10">
        <f ca="1">VLOOKUP($E23,OFFSET([2]characters!$A$2,0,0,COUNTA([2]characters!$A:$A),MATCH(H$1,[2]characters!$2:$2,0)-MATCH($E$1,[2]characters!$2:$2,0)+1),MATCH(H$1,[2]characters!$2:$2,0)-MATCH($E$1,[2]characters!$2:$2,0)+1,FALSE)</f>
        <v>2</v>
      </c>
      <c r="I23" s="10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10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" s="10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23" s="6">
        <v>1</v>
      </c>
      <c r="M23" s="6">
        <v>593</v>
      </c>
      <c r="N23" s="21">
        <v>0</v>
      </c>
      <c r="O23" s="22">
        <v>0</v>
      </c>
      <c r="P23" s="22">
        <v>0</v>
      </c>
      <c r="Q23" s="22">
        <v>0</v>
      </c>
      <c r="R23" s="22">
        <v>1</v>
      </c>
    </row>
    <row r="24" spans="1:18" ht="21" customHeight="1">
      <c r="A24" s="8" t="str">
        <f t="shared" ref="A24:A50" si="2">D24&amp;E24&amp;L24</f>
        <v>0451</v>
      </c>
      <c r="B24" s="5">
        <v>200</v>
      </c>
      <c r="C24" s="10" t="str">
        <f ca="1">VLOOKUP($B24,OFFSET([1]gachas!$A$2,0,0,COUNTA([1]gachas!$A:$A),MATCH(C$1,[1]gachas!$1:$1,0)-MATCH($B$1,[1]gachas!$1:$1,0)+1),MATCH(C$1,[1]gachas!$1:$1,0)-MATCH($B$1,[1]gachas!$1:$1,0)+1,FALSE)</f>
        <v>フレンドガチャ（常設）</v>
      </c>
      <c r="D24" s="6">
        <v>0</v>
      </c>
      <c r="E24" s="7">
        <v>45</v>
      </c>
      <c r="F24" s="10" t="str">
        <f ca="1">VLOOKUP($E24,OFFSET([2]characters!$A$2,0,0,COUNTA([2]characters!$A:$A),MATCH(F$1,[2]characters!$2:$2,0)-MATCH($E$1,[2]characters!$2:$2,0)+1),MATCH(F$1,[2]characters!$2:$2,0)-MATCH($E$1,[2]characters!$2:$2,0)+1,FALSE)</f>
        <v>ショウイン</v>
      </c>
      <c r="G24" s="10" t="str">
        <f ca="1">VLOOKUP($E24,OFFSET([2]characters!$A$2,0,0,COUNTA([2]characters!$A:$A),MATCH(G$1,[2]characters!$2:$2,0)-MATCH($E$1,[2]characters!$2:$2,0)+1),MATCH(G$1,[2]characters!$2:$2,0)-MATCH($E$1,[2]characters!$2:$2,0)+1,FALSE)</f>
        <v>Drop1N</v>
      </c>
      <c r="H24" s="10">
        <f ca="1">VLOOKUP($E24,OFFSET([2]characters!$A$2,0,0,COUNTA([2]characters!$A:$A),MATCH(H$1,[2]characters!$2:$2,0)-MATCH($E$1,[2]characters!$2:$2,0)+1),MATCH(H$1,[2]characters!$2:$2,0)-MATCH($E$1,[2]characters!$2:$2,0)+1,FALSE)</f>
        <v>2</v>
      </c>
      <c r="I24" s="10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10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" s="10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4" s="6">
        <v>1</v>
      </c>
      <c r="M24" s="6">
        <v>593</v>
      </c>
      <c r="N24" s="21">
        <v>0</v>
      </c>
      <c r="O24" s="22">
        <v>0</v>
      </c>
      <c r="P24" s="22">
        <v>0</v>
      </c>
      <c r="Q24" s="22">
        <v>0</v>
      </c>
      <c r="R24" s="22">
        <v>1</v>
      </c>
    </row>
    <row r="25" spans="1:18" ht="21" customHeight="1">
      <c r="A25" s="8" t="str">
        <f t="shared" si="2"/>
        <v>0471</v>
      </c>
      <c r="B25" s="5">
        <v>200</v>
      </c>
      <c r="C25" s="10" t="str">
        <f ca="1">VLOOKUP($B25,OFFSET([1]gachas!$A$2,0,0,COUNTA([1]gachas!$A:$A),MATCH(C$1,[1]gachas!$1:$1,0)-MATCH($B$1,[1]gachas!$1:$1,0)+1),MATCH(C$1,[1]gachas!$1:$1,0)-MATCH($B$1,[1]gachas!$1:$1,0)+1,FALSE)</f>
        <v>フレンドガチャ（常設）</v>
      </c>
      <c r="D25" s="6">
        <v>0</v>
      </c>
      <c r="E25" s="7">
        <v>47</v>
      </c>
      <c r="F25" s="10" t="str">
        <f ca="1">VLOOKUP($E25,OFFSET([2]characters!$A$2,0,0,COUNTA([2]characters!$A:$A),MATCH(F$1,[2]characters!$2:$2,0)-MATCH($E$1,[2]characters!$2:$2,0)+1),MATCH(F$1,[2]characters!$2:$2,0)-MATCH($E$1,[2]characters!$2:$2,0)+1,FALSE)</f>
        <v>ヒロ</v>
      </c>
      <c r="G25" s="10" t="str">
        <f ca="1">VLOOKUP($E25,OFFSET([2]characters!$A$2,0,0,COUNTA([2]characters!$A:$A),MATCH(G$1,[2]characters!$2:$2,0)-MATCH($E$1,[2]characters!$2:$2,0)+1),MATCH(G$1,[2]characters!$2:$2,0)-MATCH($E$1,[2]characters!$2:$2,0)+1,FALSE)</f>
        <v>Drop1N</v>
      </c>
      <c r="H25" s="10">
        <f ca="1">VLOOKUP($E25,OFFSET([2]characters!$A$2,0,0,COUNTA([2]characters!$A:$A),MATCH(H$1,[2]characters!$2:$2,0)-MATCH($E$1,[2]characters!$2:$2,0)+1),MATCH(H$1,[2]characters!$2:$2,0)-MATCH($E$1,[2]characters!$2:$2,0)+1,FALSE)</f>
        <v>2</v>
      </c>
      <c r="I25" s="10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10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10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5" s="6">
        <v>1</v>
      </c>
      <c r="M25" s="6">
        <v>593</v>
      </c>
      <c r="N25" s="21">
        <v>0</v>
      </c>
      <c r="O25" s="22">
        <v>0</v>
      </c>
      <c r="P25" s="22">
        <v>0</v>
      </c>
      <c r="Q25" s="22">
        <v>0</v>
      </c>
      <c r="R25" s="22">
        <v>1</v>
      </c>
    </row>
    <row r="26" spans="1:18" ht="21" customHeight="1">
      <c r="A26" s="8" t="str">
        <f t="shared" si="2"/>
        <v>0491</v>
      </c>
      <c r="B26" s="5">
        <v>200</v>
      </c>
      <c r="C26" s="10" t="str">
        <f ca="1">VLOOKUP($B26,OFFSET([1]gachas!$A$2,0,0,COUNTA([1]gachas!$A:$A),MATCH(C$1,[1]gachas!$1:$1,0)-MATCH($B$1,[1]gachas!$1:$1,0)+1),MATCH(C$1,[1]gachas!$1:$1,0)-MATCH($B$1,[1]gachas!$1:$1,0)+1,FALSE)</f>
        <v>フレンドガチャ（常設）</v>
      </c>
      <c r="D26" s="6">
        <v>0</v>
      </c>
      <c r="E26" s="7">
        <v>49</v>
      </c>
      <c r="F26" s="10" t="str">
        <f ca="1">VLOOKUP($E26,OFFSET([2]characters!$A$2,0,0,COUNTA([2]characters!$A:$A),MATCH(F$1,[2]characters!$2:$2,0)-MATCH($E$1,[2]characters!$2:$2,0)+1),MATCH(F$1,[2]characters!$2:$2,0)-MATCH($E$1,[2]characters!$2:$2,0)+1,FALSE)</f>
        <v>ヨシタカ</v>
      </c>
      <c r="G26" s="10" t="str">
        <f ca="1">VLOOKUP($E26,OFFSET([2]characters!$A$2,0,0,COUNTA([2]characters!$A:$A),MATCH(G$1,[2]characters!$2:$2,0)-MATCH($E$1,[2]characters!$2:$2,0)+1),MATCH(G$1,[2]characters!$2:$2,0)-MATCH($E$1,[2]characters!$2:$2,0)+1,FALSE)</f>
        <v>Drop1N</v>
      </c>
      <c r="H26" s="10">
        <f ca="1">VLOOKUP($E26,OFFSET([2]characters!$A$2,0,0,COUNTA([2]characters!$A:$A),MATCH(H$1,[2]characters!$2:$2,0)-MATCH($E$1,[2]characters!$2:$2,0)+1),MATCH(H$1,[2]characters!$2:$2,0)-MATCH($E$1,[2]characters!$2:$2,0)+1,FALSE)</f>
        <v>2</v>
      </c>
      <c r="I26" s="10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10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6" s="10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6" s="6">
        <v>1</v>
      </c>
      <c r="M26" s="6">
        <v>593</v>
      </c>
      <c r="N26" s="21">
        <v>0</v>
      </c>
      <c r="O26" s="22">
        <v>0</v>
      </c>
      <c r="P26" s="22">
        <v>0</v>
      </c>
      <c r="Q26" s="22">
        <v>0</v>
      </c>
      <c r="R26" s="22">
        <v>1</v>
      </c>
    </row>
    <row r="27" spans="1:18" ht="21" customHeight="1">
      <c r="A27" s="8" t="str">
        <f t="shared" si="2"/>
        <v>0511</v>
      </c>
      <c r="B27" s="5">
        <v>200</v>
      </c>
      <c r="C27" s="10" t="str">
        <f ca="1">VLOOKUP($B27,OFFSET([1]gachas!$A$2,0,0,COUNTA([1]gachas!$A:$A),MATCH(C$1,[1]gachas!$1:$1,0)-MATCH($B$1,[1]gachas!$1:$1,0)+1),MATCH(C$1,[1]gachas!$1:$1,0)-MATCH($B$1,[1]gachas!$1:$1,0)+1,FALSE)</f>
        <v>フレンドガチャ（常設）</v>
      </c>
      <c r="D27" s="6">
        <v>0</v>
      </c>
      <c r="E27" s="7">
        <v>51</v>
      </c>
      <c r="F27" s="10" t="str">
        <f ca="1">VLOOKUP($E27,OFFSET([2]characters!$A$2,0,0,COUNTA([2]characters!$A:$A),MATCH(F$1,[2]characters!$2:$2,0)-MATCH($E$1,[2]characters!$2:$2,0)+1),MATCH(F$1,[2]characters!$2:$2,0)-MATCH($E$1,[2]characters!$2:$2,0)+1,FALSE)</f>
        <v>マイ</v>
      </c>
      <c r="G27" s="10" t="str">
        <f ca="1">VLOOKUP($E27,OFFSET([2]characters!$A$2,0,0,COUNTA([2]characters!$A:$A),MATCH(G$1,[2]characters!$2:$2,0)-MATCH($E$1,[2]characters!$2:$2,0)+1),MATCH(G$1,[2]characters!$2:$2,0)-MATCH($E$1,[2]characters!$2:$2,0)+1,FALSE)</f>
        <v>Drop1N</v>
      </c>
      <c r="H27" s="10">
        <f ca="1">VLOOKUP($E27,OFFSET([2]characters!$A$2,0,0,COUNTA([2]characters!$A:$A),MATCH(H$1,[2]characters!$2:$2,0)-MATCH($E$1,[2]characters!$2:$2,0)+1),MATCH(H$1,[2]characters!$2:$2,0)-MATCH($E$1,[2]characters!$2:$2,0)+1,FALSE)</f>
        <v>2</v>
      </c>
      <c r="I27" s="10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10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7" s="10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7" s="6">
        <v>1</v>
      </c>
      <c r="M27" s="6">
        <v>593</v>
      </c>
      <c r="N27" s="21">
        <v>0</v>
      </c>
      <c r="O27" s="22">
        <v>0</v>
      </c>
      <c r="P27" s="22">
        <v>0</v>
      </c>
      <c r="Q27" s="22">
        <v>0</v>
      </c>
      <c r="R27" s="22">
        <v>1</v>
      </c>
    </row>
    <row r="28" spans="1:18" ht="21" customHeight="1">
      <c r="A28" s="8" t="str">
        <f t="shared" si="2"/>
        <v>0531</v>
      </c>
      <c r="B28" s="5">
        <v>200</v>
      </c>
      <c r="C28" s="10" t="str">
        <f ca="1">VLOOKUP($B28,OFFSET([1]gachas!$A$2,0,0,COUNTA([1]gachas!$A:$A),MATCH(C$1,[1]gachas!$1:$1,0)-MATCH($B$1,[1]gachas!$1:$1,0)+1),MATCH(C$1,[1]gachas!$1:$1,0)-MATCH($B$1,[1]gachas!$1:$1,0)+1,FALSE)</f>
        <v>フレンドガチャ（常設）</v>
      </c>
      <c r="D28" s="6">
        <v>0</v>
      </c>
      <c r="E28" s="7">
        <v>53</v>
      </c>
      <c r="F28" s="10" t="str">
        <f ca="1">VLOOKUP($E28,OFFSET([2]characters!$A$2,0,0,COUNTA([2]characters!$A:$A),MATCH(F$1,[2]characters!$2:$2,0)-MATCH($E$1,[2]characters!$2:$2,0)+1),MATCH(F$1,[2]characters!$2:$2,0)-MATCH($E$1,[2]characters!$2:$2,0)+1,FALSE)</f>
        <v>ケンジ</v>
      </c>
      <c r="G28" s="10" t="str">
        <f ca="1">VLOOKUP($E28,OFFSET([2]characters!$A$2,0,0,COUNTA([2]characters!$A:$A),MATCH(G$1,[2]characters!$2:$2,0)-MATCH($E$1,[2]characters!$2:$2,0)+1),MATCH(G$1,[2]characters!$2:$2,0)-MATCH($E$1,[2]characters!$2:$2,0)+1,FALSE)</f>
        <v>Drop1N</v>
      </c>
      <c r="H28" s="10">
        <f ca="1">VLOOKUP($E28,OFFSET([2]characters!$A$2,0,0,COUNTA([2]characters!$A:$A),MATCH(H$1,[2]characters!$2:$2,0)-MATCH($E$1,[2]characters!$2:$2,0)+1),MATCH(H$1,[2]characters!$2:$2,0)-MATCH($E$1,[2]characters!$2:$2,0)+1,FALSE)</f>
        <v>2</v>
      </c>
      <c r="I28" s="10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10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8" s="10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8" s="6">
        <v>1</v>
      </c>
      <c r="M28" s="6">
        <v>593</v>
      </c>
      <c r="N28" s="21">
        <v>0</v>
      </c>
      <c r="O28" s="22">
        <v>0</v>
      </c>
      <c r="P28" s="22">
        <v>0</v>
      </c>
      <c r="Q28" s="22">
        <v>0</v>
      </c>
      <c r="R28" s="22">
        <v>1</v>
      </c>
    </row>
    <row r="29" spans="1:18" ht="21" customHeight="1">
      <c r="A29" s="8" t="str">
        <f t="shared" si="2"/>
        <v>0551</v>
      </c>
      <c r="B29" s="5">
        <v>200</v>
      </c>
      <c r="C29" s="10" t="str">
        <f ca="1">VLOOKUP($B29,OFFSET([1]gachas!$A$2,0,0,COUNTA([1]gachas!$A:$A),MATCH(C$1,[1]gachas!$1:$1,0)-MATCH($B$1,[1]gachas!$1:$1,0)+1),MATCH(C$1,[1]gachas!$1:$1,0)-MATCH($B$1,[1]gachas!$1:$1,0)+1,FALSE)</f>
        <v>フレンドガチャ（常設）</v>
      </c>
      <c r="D29" s="6">
        <v>0</v>
      </c>
      <c r="E29" s="7">
        <v>55</v>
      </c>
      <c r="F29" s="10" t="str">
        <f ca="1">VLOOKUP($E29,OFFSET([2]characters!$A$2,0,0,COUNTA([2]characters!$A:$A),MATCH(F$1,[2]characters!$2:$2,0)-MATCH($E$1,[2]characters!$2:$2,0)+1),MATCH(F$1,[2]characters!$2:$2,0)-MATCH($E$1,[2]characters!$2:$2,0)+1,FALSE)</f>
        <v>マミコ</v>
      </c>
      <c r="G29" s="10" t="str">
        <f ca="1">VLOOKUP($E29,OFFSET([2]characters!$A$2,0,0,COUNTA([2]characters!$A:$A),MATCH(G$1,[2]characters!$2:$2,0)-MATCH($E$1,[2]characters!$2:$2,0)+1),MATCH(G$1,[2]characters!$2:$2,0)-MATCH($E$1,[2]characters!$2:$2,0)+1,FALSE)</f>
        <v>Drop1N</v>
      </c>
      <c r="H29" s="10">
        <f ca="1">VLOOKUP($E29,OFFSET([2]characters!$A$2,0,0,COUNTA([2]characters!$A:$A),MATCH(H$1,[2]characters!$2:$2,0)-MATCH($E$1,[2]characters!$2:$2,0)+1),MATCH(H$1,[2]characters!$2:$2,0)-MATCH($E$1,[2]characters!$2:$2,0)+1,FALSE)</f>
        <v>2</v>
      </c>
      <c r="I29" s="10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10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9" s="10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9" s="6">
        <v>1</v>
      </c>
      <c r="M29" s="6">
        <v>593</v>
      </c>
      <c r="N29" s="21">
        <v>0</v>
      </c>
      <c r="O29" s="22">
        <v>0</v>
      </c>
      <c r="P29" s="22">
        <v>0</v>
      </c>
      <c r="Q29" s="22">
        <v>0</v>
      </c>
      <c r="R29" s="22">
        <v>1</v>
      </c>
    </row>
    <row r="30" spans="1:18" ht="21" customHeight="1">
      <c r="A30" s="8" t="str">
        <f t="shared" si="2"/>
        <v>0571</v>
      </c>
      <c r="B30" s="5">
        <v>200</v>
      </c>
      <c r="C30" s="10" t="str">
        <f ca="1">VLOOKUP($B30,OFFSET([1]gachas!$A$2,0,0,COUNTA([1]gachas!$A:$A),MATCH(C$1,[1]gachas!$1:$1,0)-MATCH($B$1,[1]gachas!$1:$1,0)+1),MATCH(C$1,[1]gachas!$1:$1,0)-MATCH($B$1,[1]gachas!$1:$1,0)+1,FALSE)</f>
        <v>フレンドガチャ（常設）</v>
      </c>
      <c r="D30" s="6">
        <v>0</v>
      </c>
      <c r="E30" s="7">
        <v>57</v>
      </c>
      <c r="F30" s="10" t="str">
        <f ca="1">VLOOKUP($E30,OFFSET([2]characters!$A$2,0,0,COUNTA([2]characters!$A:$A),MATCH(F$1,[2]characters!$2:$2,0)-MATCH($E$1,[2]characters!$2:$2,0)+1),MATCH(F$1,[2]characters!$2:$2,0)-MATCH($E$1,[2]characters!$2:$2,0)+1,FALSE)</f>
        <v>チェン・リー</v>
      </c>
      <c r="G30" s="10" t="str">
        <f ca="1">VLOOKUP($E30,OFFSET([2]characters!$A$2,0,0,COUNTA([2]characters!$A:$A),MATCH(G$1,[2]characters!$2:$2,0)-MATCH($E$1,[2]characters!$2:$2,0)+1),MATCH(G$1,[2]characters!$2:$2,0)-MATCH($E$1,[2]characters!$2:$2,0)+1,FALSE)</f>
        <v>Drop1N</v>
      </c>
      <c r="H30" s="10">
        <f ca="1">VLOOKUP($E30,OFFSET([2]characters!$A$2,0,0,COUNTA([2]characters!$A:$A),MATCH(H$1,[2]characters!$2:$2,0)-MATCH($E$1,[2]characters!$2:$2,0)+1),MATCH(H$1,[2]characters!$2:$2,0)-MATCH($E$1,[2]characters!$2:$2,0)+1,FALSE)</f>
        <v>2</v>
      </c>
      <c r="I30" s="10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10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10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0" s="6">
        <v>1</v>
      </c>
      <c r="M30" s="6">
        <v>593</v>
      </c>
      <c r="N30" s="21">
        <v>0</v>
      </c>
      <c r="O30" s="22">
        <v>0</v>
      </c>
      <c r="P30" s="22">
        <v>0</v>
      </c>
      <c r="Q30" s="22">
        <v>0</v>
      </c>
      <c r="R30" s="22">
        <v>1</v>
      </c>
    </row>
    <row r="31" spans="1:18" ht="21" customHeight="1">
      <c r="A31" s="8" t="str">
        <f t="shared" si="2"/>
        <v>0591</v>
      </c>
      <c r="B31" s="5">
        <v>200</v>
      </c>
      <c r="C31" s="10" t="str">
        <f ca="1">VLOOKUP($B31,OFFSET([1]gachas!$A$2,0,0,COUNTA([1]gachas!$A:$A),MATCH(C$1,[1]gachas!$1:$1,0)-MATCH($B$1,[1]gachas!$1:$1,0)+1),MATCH(C$1,[1]gachas!$1:$1,0)-MATCH($B$1,[1]gachas!$1:$1,0)+1,FALSE)</f>
        <v>フレンドガチャ（常設）</v>
      </c>
      <c r="D31" s="6">
        <v>0</v>
      </c>
      <c r="E31" s="7">
        <v>59</v>
      </c>
      <c r="F31" s="10" t="str">
        <f ca="1">VLOOKUP($E31,OFFSET([2]characters!$A$2,0,0,COUNTA([2]characters!$A:$A),MATCH(F$1,[2]characters!$2:$2,0)-MATCH($E$1,[2]characters!$2:$2,0)+1),MATCH(F$1,[2]characters!$2:$2,0)-MATCH($E$1,[2]characters!$2:$2,0)+1,FALSE)</f>
        <v>マーチ</v>
      </c>
      <c r="G31" s="10" t="str">
        <f ca="1">VLOOKUP($E31,OFFSET([2]characters!$A$2,0,0,COUNTA([2]characters!$A:$A),MATCH(G$1,[2]characters!$2:$2,0)-MATCH($E$1,[2]characters!$2:$2,0)+1),MATCH(G$1,[2]characters!$2:$2,0)-MATCH($E$1,[2]characters!$2:$2,0)+1,FALSE)</f>
        <v>Drop1N</v>
      </c>
      <c r="H31" s="10">
        <f ca="1">VLOOKUP($E31,OFFSET([2]characters!$A$2,0,0,COUNTA([2]characters!$A:$A),MATCH(H$1,[2]characters!$2:$2,0)-MATCH($E$1,[2]characters!$2:$2,0)+1),MATCH(H$1,[2]characters!$2:$2,0)-MATCH($E$1,[2]characters!$2:$2,0)+1,FALSE)</f>
        <v>2</v>
      </c>
      <c r="I31" s="10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10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1" s="10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1" s="6">
        <v>1</v>
      </c>
      <c r="M31" s="6">
        <v>593</v>
      </c>
      <c r="N31" s="21">
        <v>0</v>
      </c>
      <c r="O31" s="22">
        <v>0</v>
      </c>
      <c r="P31" s="22">
        <v>0</v>
      </c>
      <c r="Q31" s="22">
        <v>0</v>
      </c>
      <c r="R31" s="22">
        <v>1</v>
      </c>
    </row>
    <row r="32" spans="1:18" ht="21" customHeight="1">
      <c r="A32" s="8" t="str">
        <f t="shared" si="2"/>
        <v>0611</v>
      </c>
      <c r="B32" s="5">
        <v>200</v>
      </c>
      <c r="C32" s="10" t="str">
        <f ca="1">VLOOKUP($B32,OFFSET([1]gachas!$A$2,0,0,COUNTA([1]gachas!$A:$A),MATCH(C$1,[1]gachas!$1:$1,0)-MATCH($B$1,[1]gachas!$1:$1,0)+1),MATCH(C$1,[1]gachas!$1:$1,0)-MATCH($B$1,[1]gachas!$1:$1,0)+1,FALSE)</f>
        <v>フレンドガチャ（常設）</v>
      </c>
      <c r="D32" s="6">
        <v>0</v>
      </c>
      <c r="E32" s="7">
        <v>61</v>
      </c>
      <c r="F32" s="10" t="str">
        <f ca="1">VLOOKUP($E32,OFFSET([2]characters!$A$2,0,0,COUNTA([2]characters!$A:$A),MATCH(F$1,[2]characters!$2:$2,0)-MATCH($E$1,[2]characters!$2:$2,0)+1),MATCH(F$1,[2]characters!$2:$2,0)-MATCH($E$1,[2]characters!$2:$2,0)+1,FALSE)</f>
        <v>クロウ</v>
      </c>
      <c r="G32" s="10" t="str">
        <f ca="1">VLOOKUP($E32,OFFSET([2]characters!$A$2,0,0,COUNTA([2]characters!$A:$A),MATCH(G$1,[2]characters!$2:$2,0)-MATCH($E$1,[2]characters!$2:$2,0)+1),MATCH(G$1,[2]characters!$2:$2,0)-MATCH($E$1,[2]characters!$2:$2,0)+1,FALSE)</f>
        <v>Drop1N</v>
      </c>
      <c r="H32" s="10">
        <f ca="1">VLOOKUP($E32,OFFSET([2]characters!$A$2,0,0,COUNTA([2]characters!$A:$A),MATCH(H$1,[2]characters!$2:$2,0)-MATCH($E$1,[2]characters!$2:$2,0)+1),MATCH(H$1,[2]characters!$2:$2,0)-MATCH($E$1,[2]characters!$2:$2,0)+1,FALSE)</f>
        <v>2</v>
      </c>
      <c r="I32" s="10" t="str">
        <f ca="1">VLOOKUP($E32,OFFSET([2]characters!$A$2,0,0,COUNTA([2]characters!$A:$A),MATCH(I$1,[2]characters!$2:$2,0)-MATCH($E$1,[2]characters!$2:$2,0)+1),MATCH(I$1,[2]characters!$2:$2,0)-MATCH($E$1,[2]characters!$2:$2,0)+1,FALSE)</f>
        <v>blue</v>
      </c>
      <c r="J32" s="10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2" s="10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2" s="6">
        <v>1</v>
      </c>
      <c r="M32" s="6">
        <v>593</v>
      </c>
      <c r="N32" s="21">
        <v>0</v>
      </c>
      <c r="O32" s="22">
        <v>0</v>
      </c>
      <c r="P32" s="22">
        <v>0</v>
      </c>
      <c r="Q32" s="22">
        <v>0</v>
      </c>
      <c r="R32" s="22">
        <v>1</v>
      </c>
    </row>
    <row r="33" spans="1:18" ht="21" customHeight="1">
      <c r="A33" s="8" t="str">
        <f t="shared" si="2"/>
        <v>0631</v>
      </c>
      <c r="B33" s="5">
        <v>200</v>
      </c>
      <c r="C33" s="10" t="str">
        <f ca="1">VLOOKUP($B33,OFFSET([1]gachas!$A$2,0,0,COUNTA([1]gachas!$A:$A),MATCH(C$1,[1]gachas!$1:$1,0)-MATCH($B$1,[1]gachas!$1:$1,0)+1),MATCH(C$1,[1]gachas!$1:$1,0)-MATCH($B$1,[1]gachas!$1:$1,0)+1,FALSE)</f>
        <v>フレンドガチャ（常設）</v>
      </c>
      <c r="D33" s="6">
        <v>0</v>
      </c>
      <c r="E33" s="7">
        <v>63</v>
      </c>
      <c r="F33" s="10" t="str">
        <f ca="1">VLOOKUP($E33,OFFSET([2]characters!$A$2,0,0,COUNTA([2]characters!$A:$A),MATCH(F$1,[2]characters!$2:$2,0)-MATCH($E$1,[2]characters!$2:$2,0)+1),MATCH(F$1,[2]characters!$2:$2,0)-MATCH($E$1,[2]characters!$2:$2,0)+1,FALSE)</f>
        <v>トニー</v>
      </c>
      <c r="G33" s="10" t="str">
        <f ca="1">VLOOKUP($E33,OFFSET([2]characters!$A$2,0,0,COUNTA([2]characters!$A:$A),MATCH(G$1,[2]characters!$2:$2,0)-MATCH($E$1,[2]characters!$2:$2,0)+1),MATCH(G$1,[2]characters!$2:$2,0)-MATCH($E$1,[2]characters!$2:$2,0)+1,FALSE)</f>
        <v>Drop1N</v>
      </c>
      <c r="H33" s="10">
        <f ca="1">VLOOKUP($E33,OFFSET([2]characters!$A$2,0,0,COUNTA([2]characters!$A:$A),MATCH(H$1,[2]characters!$2:$2,0)-MATCH($E$1,[2]characters!$2:$2,0)+1),MATCH(H$1,[2]characters!$2:$2,0)-MATCH($E$1,[2]characters!$2:$2,0)+1,FALSE)</f>
        <v>2</v>
      </c>
      <c r="I33" s="10" t="str">
        <f ca="1">VLOOKUP($E33,OFFSET([2]characters!$A$2,0,0,COUNTA([2]characters!$A:$A),MATCH(I$1,[2]characters!$2:$2,0)-MATCH($E$1,[2]characters!$2:$2,0)+1),MATCH(I$1,[2]characters!$2:$2,0)-MATCH($E$1,[2]characters!$2:$2,0)+1,FALSE)</f>
        <v>yellow</v>
      </c>
      <c r="J33" s="10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33" s="10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33" s="6">
        <v>1</v>
      </c>
      <c r="M33" s="6">
        <v>593</v>
      </c>
      <c r="N33" s="21">
        <v>0</v>
      </c>
      <c r="O33" s="22">
        <v>0</v>
      </c>
      <c r="P33" s="22">
        <v>0</v>
      </c>
      <c r="Q33" s="22">
        <v>0</v>
      </c>
      <c r="R33" s="22">
        <v>1</v>
      </c>
    </row>
    <row r="34" spans="1:18" ht="21" customHeight="1">
      <c r="A34" s="8" t="str">
        <f t="shared" si="2"/>
        <v>0651</v>
      </c>
      <c r="B34" s="5">
        <v>200</v>
      </c>
      <c r="C34" s="10" t="str">
        <f ca="1">VLOOKUP($B34,OFFSET([1]gachas!$A$2,0,0,COUNTA([1]gachas!$A:$A),MATCH(C$1,[1]gachas!$1:$1,0)-MATCH($B$1,[1]gachas!$1:$1,0)+1),MATCH(C$1,[1]gachas!$1:$1,0)-MATCH($B$1,[1]gachas!$1:$1,0)+1,FALSE)</f>
        <v>フレンドガチャ（常設）</v>
      </c>
      <c r="D34" s="6">
        <v>0</v>
      </c>
      <c r="E34" s="7">
        <v>65</v>
      </c>
      <c r="F34" s="10" t="str">
        <f ca="1">VLOOKUP($E34,OFFSET([2]characters!$A$2,0,0,COUNTA([2]characters!$A:$A),MATCH(F$1,[2]characters!$2:$2,0)-MATCH($E$1,[2]characters!$2:$2,0)+1),MATCH(F$1,[2]characters!$2:$2,0)-MATCH($E$1,[2]characters!$2:$2,0)+1,FALSE)</f>
        <v>ファイアフォックス</v>
      </c>
      <c r="G34" s="10" t="str">
        <f ca="1">VLOOKUP($E34,OFFSET([2]characters!$A$2,0,0,COUNTA([2]characters!$A:$A),MATCH(G$1,[2]characters!$2:$2,0)-MATCH($E$1,[2]characters!$2:$2,0)+1),MATCH(G$1,[2]characters!$2:$2,0)-MATCH($E$1,[2]characters!$2:$2,0)+1,FALSE)</f>
        <v>Drop1S</v>
      </c>
      <c r="H34" s="10">
        <f ca="1">VLOOKUP($E34,OFFSET([2]characters!$A$2,0,0,COUNTA([2]characters!$A:$A),MATCH(H$1,[2]characters!$2:$2,0)-MATCH($E$1,[2]characters!$2:$2,0)+1),MATCH(H$1,[2]characters!$2:$2,0)-MATCH($E$1,[2]characters!$2:$2,0)+1,FALSE)</f>
        <v>2</v>
      </c>
      <c r="I34" s="10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10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4" s="10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4" s="6">
        <v>1</v>
      </c>
      <c r="M34" s="6">
        <v>593</v>
      </c>
      <c r="N34" s="21">
        <v>0</v>
      </c>
      <c r="O34" s="22">
        <v>0</v>
      </c>
      <c r="P34" s="22">
        <v>0</v>
      </c>
      <c r="Q34" s="22">
        <v>0</v>
      </c>
      <c r="R34" s="22">
        <v>1</v>
      </c>
    </row>
    <row r="35" spans="1:18" ht="21" customHeight="1">
      <c r="A35" s="8" t="str">
        <f t="shared" si="2"/>
        <v>0681</v>
      </c>
      <c r="B35" s="5">
        <v>200</v>
      </c>
      <c r="C35" s="10" t="str">
        <f ca="1">VLOOKUP($B35,OFFSET([1]gachas!$A$2,0,0,COUNTA([1]gachas!$A:$A),MATCH(C$1,[1]gachas!$1:$1,0)-MATCH($B$1,[1]gachas!$1:$1,0)+1),MATCH(C$1,[1]gachas!$1:$1,0)-MATCH($B$1,[1]gachas!$1:$1,0)+1,FALSE)</f>
        <v>フレンドガチャ（常設）</v>
      </c>
      <c r="D35" s="6">
        <v>0</v>
      </c>
      <c r="E35" s="7">
        <v>68</v>
      </c>
      <c r="F35" s="10" t="str">
        <f ca="1">VLOOKUP($E35,OFFSET([2]characters!$A$2,0,0,COUNTA([2]characters!$A:$A),MATCH(F$1,[2]characters!$2:$2,0)-MATCH($E$1,[2]characters!$2:$2,0)+1),MATCH(F$1,[2]characters!$2:$2,0)-MATCH($E$1,[2]characters!$2:$2,0)+1,FALSE)</f>
        <v>ストール</v>
      </c>
      <c r="G35" s="10" t="str">
        <f ca="1">VLOOKUP($E35,OFFSET([2]characters!$A$2,0,0,COUNTA([2]characters!$A:$A),MATCH(G$1,[2]characters!$2:$2,0)-MATCH($E$1,[2]characters!$2:$2,0)+1),MATCH(G$1,[2]characters!$2:$2,0)-MATCH($E$1,[2]characters!$2:$2,0)+1,FALSE)</f>
        <v>Drop1S</v>
      </c>
      <c r="H35" s="10">
        <f ca="1">VLOOKUP($E35,OFFSET([2]characters!$A$2,0,0,COUNTA([2]characters!$A:$A),MATCH(H$1,[2]characters!$2:$2,0)-MATCH($E$1,[2]characters!$2:$2,0)+1),MATCH(H$1,[2]characters!$2:$2,0)-MATCH($E$1,[2]characters!$2:$2,0)+1,FALSE)</f>
        <v>2</v>
      </c>
      <c r="I35" s="10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10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10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35" s="6">
        <v>1</v>
      </c>
      <c r="M35" s="6">
        <v>593</v>
      </c>
      <c r="N35" s="21">
        <v>0</v>
      </c>
      <c r="O35" s="22">
        <v>0</v>
      </c>
      <c r="P35" s="22">
        <v>0</v>
      </c>
      <c r="Q35" s="22">
        <v>0</v>
      </c>
      <c r="R35" s="22">
        <v>1</v>
      </c>
    </row>
    <row r="36" spans="1:18" ht="21" customHeight="1">
      <c r="A36" s="8" t="str">
        <f t="shared" si="2"/>
        <v>0711</v>
      </c>
      <c r="B36" s="5">
        <v>200</v>
      </c>
      <c r="C36" s="10" t="str">
        <f ca="1">VLOOKUP($B36,OFFSET([1]gachas!$A$2,0,0,COUNTA([1]gachas!$A:$A),MATCH(C$1,[1]gachas!$1:$1,0)-MATCH($B$1,[1]gachas!$1:$1,0)+1),MATCH(C$1,[1]gachas!$1:$1,0)-MATCH($B$1,[1]gachas!$1:$1,0)+1,FALSE)</f>
        <v>フレンドガチャ（常設）</v>
      </c>
      <c r="D36" s="6">
        <v>0</v>
      </c>
      <c r="E36" s="7">
        <v>71</v>
      </c>
      <c r="F36" s="10" t="str">
        <f ca="1">VLOOKUP($E36,OFFSET([2]characters!$A$2,0,0,COUNTA([2]characters!$A:$A),MATCH(F$1,[2]characters!$2:$2,0)-MATCH($E$1,[2]characters!$2:$2,0)+1),MATCH(F$1,[2]characters!$2:$2,0)-MATCH($E$1,[2]characters!$2:$2,0)+1,FALSE)</f>
        <v>ダックス</v>
      </c>
      <c r="G36" s="10" t="str">
        <f ca="1">VLOOKUP($E36,OFFSET([2]characters!$A$2,0,0,COUNTA([2]characters!$A:$A),MATCH(G$1,[2]characters!$2:$2,0)-MATCH($E$1,[2]characters!$2:$2,0)+1),MATCH(G$1,[2]characters!$2:$2,0)-MATCH($E$1,[2]characters!$2:$2,0)+1,FALSE)</f>
        <v>Drop1S</v>
      </c>
      <c r="H36" s="10">
        <f ca="1">VLOOKUP($E36,OFFSET([2]characters!$A$2,0,0,COUNTA([2]characters!$A:$A),MATCH(H$1,[2]characters!$2:$2,0)-MATCH($E$1,[2]characters!$2:$2,0)+1),MATCH(H$1,[2]characters!$2:$2,0)-MATCH($E$1,[2]characters!$2:$2,0)+1,FALSE)</f>
        <v>2</v>
      </c>
      <c r="I36" s="10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10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6" s="10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6" s="6">
        <v>1</v>
      </c>
      <c r="M36" s="6">
        <v>593</v>
      </c>
      <c r="N36" s="21">
        <v>0</v>
      </c>
      <c r="O36" s="22">
        <v>0</v>
      </c>
      <c r="P36" s="22">
        <v>0</v>
      </c>
      <c r="Q36" s="22">
        <v>0</v>
      </c>
      <c r="R36" s="22">
        <v>1</v>
      </c>
    </row>
    <row r="37" spans="1:18" ht="21" customHeight="1">
      <c r="A37" s="8" t="str">
        <f t="shared" si="2"/>
        <v>0741</v>
      </c>
      <c r="B37" s="5">
        <v>200</v>
      </c>
      <c r="C37" s="10" t="str">
        <f ca="1">VLOOKUP($B37,OFFSET([1]gachas!$A$2,0,0,COUNTA([1]gachas!$A:$A),MATCH(C$1,[1]gachas!$1:$1,0)-MATCH($B$1,[1]gachas!$1:$1,0)+1),MATCH(C$1,[1]gachas!$1:$1,0)-MATCH($B$1,[1]gachas!$1:$1,0)+1,FALSE)</f>
        <v>フレンドガチャ（常設）</v>
      </c>
      <c r="D37" s="6">
        <v>0</v>
      </c>
      <c r="E37" s="7">
        <v>74</v>
      </c>
      <c r="F37" s="10" t="str">
        <f ca="1">VLOOKUP($E37,OFFSET([2]characters!$A$2,0,0,COUNTA([2]characters!$A:$A),MATCH(F$1,[2]characters!$2:$2,0)-MATCH($E$1,[2]characters!$2:$2,0)+1),MATCH(F$1,[2]characters!$2:$2,0)-MATCH($E$1,[2]characters!$2:$2,0)+1,FALSE)</f>
        <v>サンダーバード</v>
      </c>
      <c r="G37" s="10" t="str">
        <f ca="1">VLOOKUP($E37,OFFSET([2]characters!$A$2,0,0,COUNTA([2]characters!$A:$A),MATCH(G$1,[2]characters!$2:$2,0)-MATCH($E$1,[2]characters!$2:$2,0)+1),MATCH(G$1,[2]characters!$2:$2,0)-MATCH($E$1,[2]characters!$2:$2,0)+1,FALSE)</f>
        <v>Drop1S</v>
      </c>
      <c r="H37" s="10">
        <f ca="1">VLOOKUP($E37,OFFSET([2]characters!$A$2,0,0,COUNTA([2]characters!$A:$A),MATCH(H$1,[2]characters!$2:$2,0)-MATCH($E$1,[2]characters!$2:$2,0)+1),MATCH(H$1,[2]characters!$2:$2,0)-MATCH($E$1,[2]characters!$2:$2,0)+1,FALSE)</f>
        <v>2</v>
      </c>
      <c r="I37" s="10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10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7" s="10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7" s="6">
        <v>1</v>
      </c>
      <c r="M37" s="6">
        <v>593</v>
      </c>
      <c r="N37" s="21">
        <v>0</v>
      </c>
      <c r="O37" s="22">
        <v>0</v>
      </c>
      <c r="P37" s="22">
        <v>0</v>
      </c>
      <c r="Q37" s="22">
        <v>0</v>
      </c>
      <c r="R37" s="22">
        <v>1</v>
      </c>
    </row>
    <row r="38" spans="1:18" ht="21" customHeight="1">
      <c r="A38" s="8" t="str">
        <f t="shared" si="2"/>
        <v>021</v>
      </c>
      <c r="B38" s="5">
        <v>200</v>
      </c>
      <c r="C38" s="10" t="str">
        <f ca="1">VLOOKUP($B38,OFFSET([1]gachas!$A$2,0,0,COUNTA([1]gachas!$A:$A),MATCH(C$1,[1]gachas!$1:$1,0)-MATCH($B$1,[1]gachas!$1:$1,0)+1),MATCH(C$1,[1]gachas!$1:$1,0)-MATCH($B$1,[1]gachas!$1:$1,0)+1,FALSE)</f>
        <v>フレンドガチャ（常設）</v>
      </c>
      <c r="D38" s="6">
        <v>0</v>
      </c>
      <c r="E38" s="7">
        <v>2</v>
      </c>
      <c r="F38" s="10" t="str">
        <f ca="1">VLOOKUP($E38,OFFSET([2]characters!$A$2,0,0,COUNTA([2]characters!$A:$A),MATCH(F$1,[2]characters!$2:$2,0)-MATCH($E$1,[2]characters!$2:$2,0)+1),MATCH(F$1,[2]characters!$2:$2,0)-MATCH($E$1,[2]characters!$2:$2,0)+1,FALSE)</f>
        <v>イレギュラー・ジェリー</v>
      </c>
      <c r="G38" s="10" t="str">
        <f ca="1">VLOOKUP($E38,OFFSET([2]characters!$A$2,0,0,COUNTA([2]characters!$A:$A),MATCH(G$1,[2]characters!$2:$2,0)-MATCH($E$1,[2]characters!$2:$2,0)+1),MATCH(G$1,[2]characters!$2:$2,0)-MATCH($E$1,[2]characters!$2:$2,0)+1,FALSE)</f>
        <v>Drop1T</v>
      </c>
      <c r="H38" s="10">
        <f ca="1">VLOOKUP($E38,OFFSET([2]characters!$A$2,0,0,COUNTA([2]characters!$A:$A),MATCH(H$1,[2]characters!$2:$2,0)-MATCH($E$1,[2]characters!$2:$2,0)+1),MATCH(H$1,[2]characters!$2:$2,0)-MATCH($E$1,[2]characters!$2:$2,0)+1,FALSE)</f>
        <v>2</v>
      </c>
      <c r="I38" s="10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10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8" s="10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8" s="6">
        <v>1</v>
      </c>
      <c r="M38" s="6">
        <v>0</v>
      </c>
      <c r="N38" s="21">
        <v>0</v>
      </c>
      <c r="O38" s="22">
        <v>0</v>
      </c>
      <c r="P38" s="22">
        <v>0</v>
      </c>
      <c r="Q38" s="22">
        <v>0</v>
      </c>
      <c r="R38" s="22">
        <v>1</v>
      </c>
    </row>
    <row r="39" spans="1:18" ht="21" customHeight="1">
      <c r="A39" s="8" t="str">
        <f t="shared" si="2"/>
        <v>041</v>
      </c>
      <c r="B39" s="5">
        <v>200</v>
      </c>
      <c r="C39" s="10" t="str">
        <f ca="1">VLOOKUP($B39,OFFSET([1]gachas!$A$2,0,0,COUNTA([1]gachas!$A:$A),MATCH(C$1,[1]gachas!$1:$1,0)-MATCH($B$1,[1]gachas!$1:$1,0)+1),MATCH(C$1,[1]gachas!$1:$1,0)-MATCH($B$1,[1]gachas!$1:$1,0)+1,FALSE)</f>
        <v>フレンドガチャ（常設）</v>
      </c>
      <c r="D39" s="6">
        <v>0</v>
      </c>
      <c r="E39" s="7">
        <v>4</v>
      </c>
      <c r="F39" s="10" t="str">
        <f ca="1">VLOOKUP($E39,OFFSET([2]characters!$A$2,0,0,COUNTA([2]characters!$A:$A),MATCH(F$1,[2]characters!$2:$2,0)-MATCH($E$1,[2]characters!$2:$2,0)+1),MATCH(F$1,[2]characters!$2:$2,0)-MATCH($E$1,[2]characters!$2:$2,0)+1,FALSE)</f>
        <v>エースエージェント ジョー</v>
      </c>
      <c r="G39" s="10" t="str">
        <f ca="1">VLOOKUP($E39,OFFSET([2]characters!$A$2,0,0,COUNTA([2]characters!$A:$A),MATCH(G$1,[2]characters!$2:$2,0)-MATCH($E$1,[2]characters!$2:$2,0)+1),MATCH(G$1,[2]characters!$2:$2,0)-MATCH($E$1,[2]characters!$2:$2,0)+1,FALSE)</f>
        <v>Drop1T</v>
      </c>
      <c r="H39" s="10">
        <f ca="1">VLOOKUP($E39,OFFSET([2]characters!$A$2,0,0,COUNTA([2]characters!$A:$A),MATCH(H$1,[2]characters!$2:$2,0)-MATCH($E$1,[2]characters!$2:$2,0)+1),MATCH(H$1,[2]characters!$2:$2,0)-MATCH($E$1,[2]characters!$2:$2,0)+1,FALSE)</f>
        <v>2</v>
      </c>
      <c r="I39" s="10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10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9" s="10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9" s="6">
        <v>1</v>
      </c>
      <c r="M39" s="6">
        <v>0</v>
      </c>
      <c r="N39" s="21">
        <v>0</v>
      </c>
      <c r="O39" s="22">
        <v>0</v>
      </c>
      <c r="P39" s="22">
        <v>0</v>
      </c>
      <c r="Q39" s="22">
        <v>0</v>
      </c>
      <c r="R39" s="22">
        <v>1</v>
      </c>
    </row>
    <row r="40" spans="1:18" ht="21" customHeight="1">
      <c r="A40" s="8" t="str">
        <f t="shared" si="2"/>
        <v>061</v>
      </c>
      <c r="B40" s="5">
        <v>200</v>
      </c>
      <c r="C40" s="10" t="str">
        <f ca="1">VLOOKUP($B40,OFFSET([1]gachas!$A$2,0,0,COUNTA([1]gachas!$A:$A),MATCH(C$1,[1]gachas!$1:$1,0)-MATCH($B$1,[1]gachas!$1:$1,0)+1),MATCH(C$1,[1]gachas!$1:$1,0)-MATCH($B$1,[1]gachas!$1:$1,0)+1,FALSE)</f>
        <v>フレンドガチャ（常設）</v>
      </c>
      <c r="D40" s="6">
        <v>0</v>
      </c>
      <c r="E40" s="7">
        <v>6</v>
      </c>
      <c r="F40" s="10" t="str">
        <f ca="1">VLOOKUP($E40,OFFSET([2]characters!$A$2,0,0,COUNTA([2]characters!$A:$A),MATCH(F$1,[2]characters!$2:$2,0)-MATCH($E$1,[2]characters!$2:$2,0)+1),MATCH(F$1,[2]characters!$2:$2,0)-MATCH($E$1,[2]characters!$2:$2,0)+1,FALSE)</f>
        <v>パトドッグリーダー ポチ</v>
      </c>
      <c r="G40" s="10" t="str">
        <f ca="1">VLOOKUP($E40,OFFSET([2]characters!$A$2,0,0,COUNTA([2]characters!$A:$A),MATCH(G$1,[2]characters!$2:$2,0)-MATCH($E$1,[2]characters!$2:$2,0)+1),MATCH(G$1,[2]characters!$2:$2,0)-MATCH($E$1,[2]characters!$2:$2,0)+1,FALSE)</f>
        <v>Drop1T</v>
      </c>
      <c r="H40" s="10">
        <f ca="1">VLOOKUP($E40,OFFSET([2]characters!$A$2,0,0,COUNTA([2]characters!$A:$A),MATCH(H$1,[2]characters!$2:$2,0)-MATCH($E$1,[2]characters!$2:$2,0)+1),MATCH(H$1,[2]characters!$2:$2,0)-MATCH($E$1,[2]characters!$2:$2,0)+1,FALSE)</f>
        <v>2</v>
      </c>
      <c r="I40" s="10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10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0" s="10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0" s="6">
        <v>1</v>
      </c>
      <c r="M40" s="6">
        <v>0</v>
      </c>
      <c r="N40" s="21">
        <v>0</v>
      </c>
      <c r="O40" s="22">
        <v>0</v>
      </c>
      <c r="P40" s="22">
        <v>0</v>
      </c>
      <c r="Q40" s="22">
        <v>0</v>
      </c>
      <c r="R40" s="22">
        <v>1</v>
      </c>
    </row>
    <row r="41" spans="1:18" ht="21" customHeight="1">
      <c r="A41" s="8" t="str">
        <f t="shared" si="2"/>
        <v>081</v>
      </c>
      <c r="B41" s="5">
        <v>200</v>
      </c>
      <c r="C41" s="10" t="str">
        <f ca="1">VLOOKUP($B41,OFFSET([1]gachas!$A$2,0,0,COUNTA([1]gachas!$A:$A),MATCH(C$1,[1]gachas!$1:$1,0)-MATCH($B$1,[1]gachas!$1:$1,0)+1),MATCH(C$1,[1]gachas!$1:$1,0)-MATCH($B$1,[1]gachas!$1:$1,0)+1,FALSE)</f>
        <v>フレンドガチャ（常設）</v>
      </c>
      <c r="D41" s="6">
        <v>0</v>
      </c>
      <c r="E41" s="7">
        <v>8</v>
      </c>
      <c r="F41" s="10" t="str">
        <f ca="1">VLOOKUP($E41,OFFSET([2]characters!$A$2,0,0,COUNTA([2]characters!$A:$A),MATCH(F$1,[2]characters!$2:$2,0)-MATCH($E$1,[2]characters!$2:$2,0)+1),MATCH(F$1,[2]characters!$2:$2,0)-MATCH($E$1,[2]characters!$2:$2,0)+1,FALSE)</f>
        <v>ハイボルテージ エレキポット</v>
      </c>
      <c r="G41" s="10" t="str">
        <f ca="1">VLOOKUP($E41,OFFSET([2]characters!$A$2,0,0,COUNTA([2]characters!$A:$A),MATCH(G$1,[2]characters!$2:$2,0)-MATCH($E$1,[2]characters!$2:$2,0)+1),MATCH(G$1,[2]characters!$2:$2,0)-MATCH($E$1,[2]characters!$2:$2,0)+1,FALSE)</f>
        <v>Drop1T</v>
      </c>
      <c r="H41" s="10">
        <f ca="1">VLOOKUP($E41,OFFSET([2]characters!$A$2,0,0,COUNTA([2]characters!$A:$A),MATCH(H$1,[2]characters!$2:$2,0)-MATCH($E$1,[2]characters!$2:$2,0)+1),MATCH(H$1,[2]characters!$2:$2,0)-MATCH($E$1,[2]characters!$2:$2,0)+1,FALSE)</f>
        <v>2</v>
      </c>
      <c r="I41" s="10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10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1" s="10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1" s="6">
        <v>1</v>
      </c>
      <c r="M41" s="6">
        <v>0</v>
      </c>
      <c r="N41" s="21">
        <v>0</v>
      </c>
      <c r="O41" s="22">
        <v>0</v>
      </c>
      <c r="P41" s="22">
        <v>0</v>
      </c>
      <c r="Q41" s="22">
        <v>0</v>
      </c>
      <c r="R41" s="22">
        <v>1</v>
      </c>
    </row>
    <row r="42" spans="1:18" ht="21" customHeight="1">
      <c r="A42" s="8" t="str">
        <f t="shared" si="2"/>
        <v>0101</v>
      </c>
      <c r="B42" s="5">
        <v>200</v>
      </c>
      <c r="C42" s="10" t="str">
        <f ca="1">VLOOKUP($B42,OFFSET([1]gachas!$A$2,0,0,COUNTA([1]gachas!$A:$A),MATCH(C$1,[1]gachas!$1:$1,0)-MATCH($B$1,[1]gachas!$1:$1,0)+1),MATCH(C$1,[1]gachas!$1:$1,0)-MATCH($B$1,[1]gachas!$1:$1,0)+1,FALSE)</f>
        <v>フレンドガチャ（常設）</v>
      </c>
      <c r="D42" s="6">
        <v>0</v>
      </c>
      <c r="E42" s="7">
        <v>10</v>
      </c>
      <c r="F42" s="10" t="str">
        <f ca="1">VLOOKUP($E42,OFFSET([2]characters!$A$2,0,0,COUNTA([2]characters!$A:$A),MATCH(F$1,[2]characters!$2:$2,0)-MATCH($E$1,[2]characters!$2:$2,0)+1),MATCH(F$1,[2]characters!$2:$2,0)-MATCH($E$1,[2]characters!$2:$2,0)+1,FALSE)</f>
        <v>燃える悪戯魂 ブレット</v>
      </c>
      <c r="G42" s="10" t="str">
        <f ca="1">VLOOKUP($E42,OFFSET([2]characters!$A$2,0,0,COUNTA([2]characters!$A:$A),MATCH(G$1,[2]characters!$2:$2,0)-MATCH($E$1,[2]characters!$2:$2,0)+1),MATCH(G$1,[2]characters!$2:$2,0)-MATCH($E$1,[2]characters!$2:$2,0)+1,FALSE)</f>
        <v>Drop1W</v>
      </c>
      <c r="H42" s="10">
        <f ca="1">VLOOKUP($E42,OFFSET([2]characters!$A$2,0,0,COUNTA([2]characters!$A:$A),MATCH(H$1,[2]characters!$2:$2,0)-MATCH($E$1,[2]characters!$2:$2,0)+1),MATCH(H$1,[2]characters!$2:$2,0)-MATCH($E$1,[2]characters!$2:$2,0)+1,FALSE)</f>
        <v>2</v>
      </c>
      <c r="I42" s="10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10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10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2" s="6">
        <v>1</v>
      </c>
      <c r="M42" s="6">
        <v>0</v>
      </c>
      <c r="N42" s="21">
        <v>0</v>
      </c>
      <c r="O42" s="22">
        <v>0</v>
      </c>
      <c r="P42" s="22">
        <v>0</v>
      </c>
      <c r="Q42" s="22">
        <v>0</v>
      </c>
      <c r="R42" s="22">
        <v>1</v>
      </c>
    </row>
    <row r="43" spans="1:18" ht="21" customHeight="1">
      <c r="A43" s="8" t="str">
        <f t="shared" si="2"/>
        <v>0121</v>
      </c>
      <c r="B43" s="5">
        <v>200</v>
      </c>
      <c r="C43" s="10" t="str">
        <f ca="1">VLOOKUP($B43,OFFSET([1]gachas!$A$2,0,0,COUNTA([1]gachas!$A:$A),MATCH(C$1,[1]gachas!$1:$1,0)-MATCH($B$1,[1]gachas!$1:$1,0)+1),MATCH(C$1,[1]gachas!$1:$1,0)-MATCH($B$1,[1]gachas!$1:$1,0)+1,FALSE)</f>
        <v>フレンドガチャ（常設）</v>
      </c>
      <c r="D43" s="6">
        <v>0</v>
      </c>
      <c r="E43" s="7">
        <v>12</v>
      </c>
      <c r="F43" s="10" t="str">
        <f ca="1">VLOOKUP($E43,OFFSET([2]characters!$A$2,0,0,COUNTA([2]characters!$A:$A),MATCH(F$1,[2]characters!$2:$2,0)-MATCH($E$1,[2]characters!$2:$2,0)+1),MATCH(F$1,[2]characters!$2:$2,0)-MATCH($E$1,[2]characters!$2:$2,0)+1,FALSE)</f>
        <v>癒しのグラフィティ マグリット</v>
      </c>
      <c r="G43" s="10" t="str">
        <f ca="1">VLOOKUP($E43,OFFSET([2]characters!$A$2,0,0,COUNTA([2]characters!$A:$A),MATCH(G$1,[2]characters!$2:$2,0)-MATCH($E$1,[2]characters!$2:$2,0)+1),MATCH(G$1,[2]characters!$2:$2,0)-MATCH($E$1,[2]characters!$2:$2,0)+1,FALSE)</f>
        <v>Drop1W</v>
      </c>
      <c r="H43" s="10">
        <f ca="1">VLOOKUP($E43,OFFSET([2]characters!$A$2,0,0,COUNTA([2]characters!$A:$A),MATCH(H$1,[2]characters!$2:$2,0)-MATCH($E$1,[2]characters!$2:$2,0)+1),MATCH(H$1,[2]characters!$2:$2,0)-MATCH($E$1,[2]characters!$2:$2,0)+1,FALSE)</f>
        <v>2</v>
      </c>
      <c r="I43" s="10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10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3" s="10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3" s="6">
        <v>1</v>
      </c>
      <c r="M43" s="6">
        <v>0</v>
      </c>
      <c r="N43" s="21">
        <v>0</v>
      </c>
      <c r="O43" s="22">
        <v>0</v>
      </c>
      <c r="P43" s="22">
        <v>0</v>
      </c>
      <c r="Q43" s="22">
        <v>0</v>
      </c>
      <c r="R43" s="22">
        <v>1</v>
      </c>
    </row>
    <row r="44" spans="1:18" ht="21" customHeight="1">
      <c r="A44" s="8" t="str">
        <f t="shared" si="2"/>
        <v>0141</v>
      </c>
      <c r="B44" s="5">
        <v>200</v>
      </c>
      <c r="C44" s="10" t="str">
        <f ca="1">VLOOKUP($B44,OFFSET([1]gachas!$A$2,0,0,COUNTA([1]gachas!$A:$A),MATCH(C$1,[1]gachas!$1:$1,0)-MATCH($B$1,[1]gachas!$1:$1,0)+1),MATCH(C$1,[1]gachas!$1:$1,0)-MATCH($B$1,[1]gachas!$1:$1,0)+1,FALSE)</f>
        <v>フレンドガチャ（常設）</v>
      </c>
      <c r="D44" s="6">
        <v>0</v>
      </c>
      <c r="E44" s="7">
        <v>14</v>
      </c>
      <c r="F44" s="10" t="str">
        <f ca="1">VLOOKUP($E44,OFFSET([2]characters!$A$2,0,0,COUNTA([2]characters!$A:$A),MATCH(F$1,[2]characters!$2:$2,0)-MATCH($E$1,[2]characters!$2:$2,0)+1),MATCH(F$1,[2]characters!$2:$2,0)-MATCH($E$1,[2]characters!$2:$2,0)+1,FALSE)</f>
        <v>ミミ・ザ・ガンマンキャット</v>
      </c>
      <c r="G44" s="10" t="str">
        <f ca="1">VLOOKUP($E44,OFFSET([2]characters!$A$2,0,0,COUNTA([2]characters!$A:$A),MATCH(G$1,[2]characters!$2:$2,0)-MATCH($E$1,[2]characters!$2:$2,0)+1),MATCH(G$1,[2]characters!$2:$2,0)-MATCH($E$1,[2]characters!$2:$2,0)+1,FALSE)</f>
        <v>Drop1W</v>
      </c>
      <c r="H44" s="10">
        <f ca="1">VLOOKUP($E44,OFFSET([2]characters!$A$2,0,0,COUNTA([2]characters!$A:$A),MATCH(H$1,[2]characters!$2:$2,0)-MATCH($E$1,[2]characters!$2:$2,0)+1),MATCH(H$1,[2]characters!$2:$2,0)-MATCH($E$1,[2]characters!$2:$2,0)+1,FALSE)</f>
        <v>2</v>
      </c>
      <c r="I44" s="10" t="str">
        <f ca="1">VLOOKUP($E44,OFFSET([2]characters!$A$2,0,0,COUNTA([2]characters!$A:$A),MATCH(I$1,[2]characters!$2:$2,0)-MATCH($E$1,[2]characters!$2:$2,0)+1),MATCH(I$1,[2]characters!$2:$2,0)-MATCH($E$1,[2]characters!$2:$2,0)+1,FALSE)</f>
        <v>yellow</v>
      </c>
      <c r="J44" s="10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4" s="10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4" s="6">
        <v>1</v>
      </c>
      <c r="M44" s="6">
        <v>0</v>
      </c>
      <c r="N44" s="21">
        <v>0</v>
      </c>
      <c r="O44" s="22">
        <v>0</v>
      </c>
      <c r="P44" s="22">
        <v>0</v>
      </c>
      <c r="Q44" s="22">
        <v>0</v>
      </c>
      <c r="R44" s="22">
        <v>1</v>
      </c>
    </row>
    <row r="45" spans="1:18" ht="21" customHeight="1">
      <c r="A45" s="8" t="str">
        <f t="shared" si="2"/>
        <v>0161</v>
      </c>
      <c r="B45" s="5">
        <v>200</v>
      </c>
      <c r="C45" s="10" t="str">
        <f ca="1">VLOOKUP($B45,OFFSET([1]gachas!$A$2,0,0,COUNTA([1]gachas!$A:$A),MATCH(C$1,[1]gachas!$1:$1,0)-MATCH($B$1,[1]gachas!$1:$1,0)+1),MATCH(C$1,[1]gachas!$1:$1,0)-MATCH($B$1,[1]gachas!$1:$1,0)+1,FALSE)</f>
        <v>フレンドガチャ（常設）</v>
      </c>
      <c r="D45" s="6">
        <v>0</v>
      </c>
      <c r="E45" s="7">
        <v>16</v>
      </c>
      <c r="F45" s="10" t="str">
        <f ca="1">VLOOKUP($E45,OFFSET([2]characters!$A$2,0,0,COUNTA([2]characters!$A:$A),MATCH(F$1,[2]characters!$2:$2,0)-MATCH($E$1,[2]characters!$2:$2,0)+1),MATCH(F$1,[2]characters!$2:$2,0)-MATCH($E$1,[2]characters!$2:$2,0)+1,FALSE)</f>
        <v>炎戦少女 アカネ</v>
      </c>
      <c r="G45" s="10" t="str">
        <f ca="1">VLOOKUP($E45,OFFSET([2]characters!$A$2,0,0,COUNTA([2]characters!$A:$A),MATCH(G$1,[2]characters!$2:$2,0)-MATCH($E$1,[2]characters!$2:$2,0)+1),MATCH(G$1,[2]characters!$2:$2,0)-MATCH($E$1,[2]characters!$2:$2,0)+1,FALSE)</f>
        <v>Drop1W</v>
      </c>
      <c r="H45" s="10">
        <f ca="1">VLOOKUP($E45,OFFSET([2]characters!$A$2,0,0,COUNTA([2]characters!$A:$A),MATCH(H$1,[2]characters!$2:$2,0)-MATCH($E$1,[2]characters!$2:$2,0)+1),MATCH(H$1,[2]characters!$2:$2,0)-MATCH($E$1,[2]characters!$2:$2,0)+1,FALSE)</f>
        <v>2</v>
      </c>
      <c r="I45" s="10" t="str">
        <f ca="1">VLOOKUP($E45,OFFSET([2]characters!$A$2,0,0,COUNTA([2]characters!$A:$A),MATCH(I$1,[2]characters!$2:$2,0)-MATCH($E$1,[2]characters!$2:$2,0)+1),MATCH(I$1,[2]characters!$2:$2,0)-MATCH($E$1,[2]characters!$2:$2,0)+1,FALSE)</f>
        <v>red</v>
      </c>
      <c r="J45" s="10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5" s="10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5" s="6">
        <v>1</v>
      </c>
      <c r="M45" s="6">
        <v>0</v>
      </c>
      <c r="N45" s="21">
        <v>0</v>
      </c>
      <c r="O45" s="22">
        <v>0</v>
      </c>
      <c r="P45" s="22">
        <v>0</v>
      </c>
      <c r="Q45" s="22">
        <v>0</v>
      </c>
      <c r="R45" s="22">
        <v>1</v>
      </c>
    </row>
    <row r="46" spans="1:18" ht="21" customHeight="1">
      <c r="A46" s="8" t="str">
        <f t="shared" si="2"/>
        <v>0181</v>
      </c>
      <c r="B46" s="5">
        <v>200</v>
      </c>
      <c r="C46" s="10" t="str">
        <f ca="1">VLOOKUP($B46,OFFSET([1]gachas!$A$2,0,0,COUNTA([1]gachas!$A:$A),MATCH(C$1,[1]gachas!$1:$1,0)-MATCH($B$1,[1]gachas!$1:$1,0)+1),MATCH(C$1,[1]gachas!$1:$1,0)-MATCH($B$1,[1]gachas!$1:$1,0)+1,FALSE)</f>
        <v>フレンドガチャ（常設）</v>
      </c>
      <c r="D46" s="6">
        <v>0</v>
      </c>
      <c r="E46" s="7">
        <v>18</v>
      </c>
      <c r="F46" s="10" t="str">
        <f ca="1">VLOOKUP($E46,OFFSET([2]characters!$A$2,0,0,COUNTA([2]characters!$A:$A),MATCH(F$1,[2]characters!$2:$2,0)-MATCH($E$1,[2]characters!$2:$2,0)+1),MATCH(F$1,[2]characters!$2:$2,0)-MATCH($E$1,[2]characters!$2:$2,0)+1,FALSE)</f>
        <v>戦闘案内人 リム</v>
      </c>
      <c r="G46" s="10" t="str">
        <f ca="1">VLOOKUP($E46,OFFSET([2]characters!$A$2,0,0,COUNTA([2]characters!$A:$A),MATCH(G$1,[2]characters!$2:$2,0)-MATCH($E$1,[2]characters!$2:$2,0)+1),MATCH(G$1,[2]characters!$2:$2,0)-MATCH($E$1,[2]characters!$2:$2,0)+1,FALSE)</f>
        <v>Drop1W</v>
      </c>
      <c r="H46" s="10">
        <f ca="1">VLOOKUP($E46,OFFSET([2]characters!$A$2,0,0,COUNTA([2]characters!$A:$A),MATCH(H$1,[2]characters!$2:$2,0)-MATCH($E$1,[2]characters!$2:$2,0)+1),MATCH(H$1,[2]characters!$2:$2,0)-MATCH($E$1,[2]characters!$2:$2,0)+1,FALSE)</f>
        <v>2</v>
      </c>
      <c r="I46" s="10" t="str">
        <f ca="1">VLOOKUP($E46,OFFSET([2]characters!$A$2,0,0,COUNTA([2]characters!$A:$A),MATCH(I$1,[2]characters!$2:$2,0)-MATCH($E$1,[2]characters!$2:$2,0)+1),MATCH(I$1,[2]characters!$2:$2,0)-MATCH($E$1,[2]characters!$2:$2,0)+1,FALSE)</f>
        <v>blue</v>
      </c>
      <c r="J46" s="10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6" s="10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6" s="6">
        <v>1</v>
      </c>
      <c r="M46" s="6">
        <v>0</v>
      </c>
      <c r="N46" s="21">
        <v>0</v>
      </c>
      <c r="O46" s="22">
        <v>0</v>
      </c>
      <c r="P46" s="22">
        <v>0</v>
      </c>
      <c r="Q46" s="22">
        <v>0</v>
      </c>
      <c r="R46" s="22">
        <v>1</v>
      </c>
    </row>
    <row r="47" spans="1:18" ht="21" customHeight="1">
      <c r="A47" s="8" t="str">
        <f t="shared" si="2"/>
        <v>0201</v>
      </c>
      <c r="B47" s="5">
        <v>200</v>
      </c>
      <c r="C47" s="10" t="str">
        <f ca="1">VLOOKUP($B47,OFFSET([1]gachas!$A$2,0,0,COUNTA([1]gachas!$A:$A),MATCH(C$1,[1]gachas!$1:$1,0)-MATCH($B$1,[1]gachas!$1:$1,0)+1),MATCH(C$1,[1]gachas!$1:$1,0)-MATCH($B$1,[1]gachas!$1:$1,0)+1,FALSE)</f>
        <v>フレンドガチャ（常設）</v>
      </c>
      <c r="D47" s="6">
        <v>0</v>
      </c>
      <c r="E47" s="7">
        <v>20</v>
      </c>
      <c r="F47" s="10" t="str">
        <f ca="1">VLOOKUP($E47,OFFSET([2]characters!$A$2,0,0,COUNTA([2]characters!$A:$A),MATCH(F$1,[2]characters!$2:$2,0)-MATCH($E$1,[2]characters!$2:$2,0)+1),MATCH(F$1,[2]characters!$2:$2,0)-MATCH($E$1,[2]characters!$2:$2,0)+1,FALSE)</f>
        <v>電子妖精 ティンク</v>
      </c>
      <c r="G47" s="10" t="str">
        <f ca="1">VLOOKUP($E47,OFFSET([2]characters!$A$2,0,0,COUNTA([2]characters!$A:$A),MATCH(G$1,[2]characters!$2:$2,0)-MATCH($E$1,[2]characters!$2:$2,0)+1),MATCH(G$1,[2]characters!$2:$2,0)-MATCH($E$1,[2]characters!$2:$2,0)+1,FALSE)</f>
        <v>Drop1W</v>
      </c>
      <c r="H47" s="10">
        <f ca="1">VLOOKUP($E47,OFFSET([2]characters!$A$2,0,0,COUNTA([2]characters!$A:$A),MATCH(H$1,[2]characters!$2:$2,0)-MATCH($E$1,[2]characters!$2:$2,0)+1),MATCH(H$1,[2]characters!$2:$2,0)-MATCH($E$1,[2]characters!$2:$2,0)+1,FALSE)</f>
        <v>2</v>
      </c>
      <c r="I47" s="10" t="str">
        <f ca="1">VLOOKUP($E47,OFFSET([2]characters!$A$2,0,0,COUNTA([2]characters!$A:$A),MATCH(I$1,[2]characters!$2:$2,0)-MATCH($E$1,[2]characters!$2:$2,0)+1),MATCH(I$1,[2]characters!$2:$2,0)-MATCH($E$1,[2]characters!$2:$2,0)+1,FALSE)</f>
        <v>yellow</v>
      </c>
      <c r="J47" s="10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7" s="10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7" s="6">
        <v>1</v>
      </c>
      <c r="M47" s="6">
        <v>0</v>
      </c>
      <c r="N47" s="21">
        <v>0</v>
      </c>
      <c r="O47" s="22">
        <v>0</v>
      </c>
      <c r="P47" s="22">
        <v>0</v>
      </c>
      <c r="Q47" s="22">
        <v>0</v>
      </c>
      <c r="R47" s="22">
        <v>1</v>
      </c>
    </row>
    <row r="48" spans="1:18" ht="21" customHeight="1">
      <c r="A48" s="8" t="str">
        <f t="shared" si="2"/>
        <v>0221</v>
      </c>
      <c r="B48" s="5">
        <v>200</v>
      </c>
      <c r="C48" s="10" t="str">
        <f ca="1">VLOOKUP($B48,OFFSET([1]gachas!$A$2,0,0,COUNTA([1]gachas!$A:$A),MATCH(C$1,[1]gachas!$1:$1,0)-MATCH($B$1,[1]gachas!$1:$1,0)+1),MATCH(C$1,[1]gachas!$1:$1,0)-MATCH($B$1,[1]gachas!$1:$1,0)+1,FALSE)</f>
        <v>フレンドガチャ（常設）</v>
      </c>
      <c r="D48" s="6">
        <v>0</v>
      </c>
      <c r="E48" s="7">
        <v>22</v>
      </c>
      <c r="F48" s="10" t="str">
        <f ca="1">VLOOKUP($E48,OFFSET([2]characters!$A$2,0,0,COUNTA([2]characters!$A:$A),MATCH(F$1,[2]characters!$2:$2,0)-MATCH($E$1,[2]characters!$2:$2,0)+1),MATCH(F$1,[2]characters!$2:$2,0)-MATCH($E$1,[2]characters!$2:$2,0)+1,FALSE)</f>
        <v>突然変異ヴェロキー</v>
      </c>
      <c r="G48" s="10" t="str">
        <f ca="1">VLOOKUP($E48,OFFSET([2]characters!$A$2,0,0,COUNTA([2]characters!$A:$A),MATCH(G$1,[2]characters!$2:$2,0)-MATCH($E$1,[2]characters!$2:$2,0)+1),MATCH(G$1,[2]characters!$2:$2,0)-MATCH($E$1,[2]characters!$2:$2,0)+1,FALSE)</f>
        <v>Drop1N</v>
      </c>
      <c r="H48" s="10">
        <f ca="1">VLOOKUP($E48,OFFSET([2]characters!$A$2,0,0,COUNTA([2]characters!$A:$A),MATCH(H$1,[2]characters!$2:$2,0)-MATCH($E$1,[2]characters!$2:$2,0)+1),MATCH(H$1,[2]characters!$2:$2,0)-MATCH($E$1,[2]characters!$2:$2,0)+1,FALSE)</f>
        <v>2</v>
      </c>
      <c r="I48" s="10" t="str">
        <f ca="1">VLOOKUP($E48,OFFSET([2]characters!$A$2,0,0,COUNTA([2]characters!$A:$A),MATCH(I$1,[2]characters!$2:$2,0)-MATCH($E$1,[2]characters!$2:$2,0)+1),MATCH(I$1,[2]characters!$2:$2,0)-MATCH($E$1,[2]characters!$2:$2,0)+1,FALSE)</f>
        <v>red</v>
      </c>
      <c r="J48" s="10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8" s="10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8" s="6">
        <v>1</v>
      </c>
      <c r="M48" s="6">
        <v>0</v>
      </c>
      <c r="N48" s="21">
        <v>0</v>
      </c>
      <c r="O48" s="22">
        <v>0</v>
      </c>
      <c r="P48" s="22">
        <v>0</v>
      </c>
      <c r="Q48" s="22">
        <v>0</v>
      </c>
      <c r="R48" s="22">
        <v>1</v>
      </c>
    </row>
    <row r="49" spans="1:18" ht="21" customHeight="1">
      <c r="A49" s="8" t="str">
        <f t="shared" si="2"/>
        <v>0241</v>
      </c>
      <c r="B49" s="5">
        <v>200</v>
      </c>
      <c r="C49" s="10" t="str">
        <f ca="1">VLOOKUP($B49,OFFSET([1]gachas!$A$2,0,0,COUNTA([1]gachas!$A:$A),MATCH(C$1,[1]gachas!$1:$1,0)-MATCH($B$1,[1]gachas!$1:$1,0)+1),MATCH(C$1,[1]gachas!$1:$1,0)-MATCH($B$1,[1]gachas!$1:$1,0)+1,FALSE)</f>
        <v>フレンドガチャ（常設）</v>
      </c>
      <c r="D49" s="6">
        <v>0</v>
      </c>
      <c r="E49" s="7">
        <v>24</v>
      </c>
      <c r="F49" s="10" t="str">
        <f ca="1">VLOOKUP($E49,OFFSET([2]characters!$A$2,0,0,COUNTA([2]characters!$A:$A),MATCH(F$1,[2]characters!$2:$2,0)-MATCH($E$1,[2]characters!$2:$2,0)+1),MATCH(F$1,[2]characters!$2:$2,0)-MATCH($E$1,[2]characters!$2:$2,0)+1,FALSE)</f>
        <v>天翔のミール</v>
      </c>
      <c r="G49" s="10" t="str">
        <f ca="1">VLOOKUP($E49,OFFSET([2]characters!$A$2,0,0,COUNTA([2]characters!$A:$A),MATCH(G$1,[2]characters!$2:$2,0)-MATCH($E$1,[2]characters!$2:$2,0)+1),MATCH(G$1,[2]characters!$2:$2,0)-MATCH($E$1,[2]characters!$2:$2,0)+1,FALSE)</f>
        <v>Drop1N</v>
      </c>
      <c r="H49" s="10">
        <f ca="1">VLOOKUP($E49,OFFSET([2]characters!$A$2,0,0,COUNTA([2]characters!$A:$A),MATCH(H$1,[2]characters!$2:$2,0)-MATCH($E$1,[2]characters!$2:$2,0)+1),MATCH(H$1,[2]characters!$2:$2,0)-MATCH($E$1,[2]characters!$2:$2,0)+1,FALSE)</f>
        <v>2</v>
      </c>
      <c r="I49" s="10" t="str">
        <f ca="1">VLOOKUP($E49,OFFSET([2]characters!$A$2,0,0,COUNTA([2]characters!$A:$A),MATCH(I$1,[2]characters!$2:$2,0)-MATCH($E$1,[2]characters!$2:$2,0)+1),MATCH(I$1,[2]characters!$2:$2,0)-MATCH($E$1,[2]characters!$2:$2,0)+1,FALSE)</f>
        <v>green</v>
      </c>
      <c r="J49" s="10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9" s="10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9" s="6">
        <v>1</v>
      </c>
      <c r="M49" s="6">
        <v>0</v>
      </c>
      <c r="N49" s="21">
        <v>0</v>
      </c>
      <c r="O49" s="22">
        <v>0</v>
      </c>
      <c r="P49" s="22">
        <v>0</v>
      </c>
      <c r="Q49" s="22">
        <v>0</v>
      </c>
      <c r="R49" s="22">
        <v>1</v>
      </c>
    </row>
    <row r="50" spans="1:18" ht="21" customHeight="1">
      <c r="A50" s="8" t="str">
        <f t="shared" si="2"/>
        <v>0261</v>
      </c>
      <c r="B50" s="5">
        <v>200</v>
      </c>
      <c r="C50" s="10" t="str">
        <f ca="1">VLOOKUP($B50,OFFSET([1]gachas!$A$2,0,0,COUNTA([1]gachas!$A:$A),MATCH(C$1,[1]gachas!$1:$1,0)-MATCH($B$1,[1]gachas!$1:$1,0)+1),MATCH(C$1,[1]gachas!$1:$1,0)-MATCH($B$1,[1]gachas!$1:$1,0)+1,FALSE)</f>
        <v>フレンドガチャ（常設）</v>
      </c>
      <c r="D50" s="6">
        <v>0</v>
      </c>
      <c r="E50" s="7">
        <v>26</v>
      </c>
      <c r="F50" s="10" t="str">
        <f ca="1">VLOOKUP($E50,OFFSET([2]characters!$A$2,0,0,COUNTA([2]characters!$A:$A),MATCH(F$1,[2]characters!$2:$2,0)-MATCH($E$1,[2]characters!$2:$2,0)+1),MATCH(F$1,[2]characters!$2:$2,0)-MATCH($E$1,[2]characters!$2:$2,0)+1,FALSE)</f>
        <v>勇犬 ハチ</v>
      </c>
      <c r="G50" s="10" t="str">
        <f ca="1">VLOOKUP($E50,OFFSET([2]characters!$A$2,0,0,COUNTA([2]characters!$A:$A),MATCH(G$1,[2]characters!$2:$2,0)-MATCH($E$1,[2]characters!$2:$2,0)+1),MATCH(G$1,[2]characters!$2:$2,0)-MATCH($E$1,[2]characters!$2:$2,0)+1,FALSE)</f>
        <v>Drop1N</v>
      </c>
      <c r="H50" s="10">
        <f ca="1">VLOOKUP($E50,OFFSET([2]characters!$A$2,0,0,COUNTA([2]characters!$A:$A),MATCH(H$1,[2]characters!$2:$2,0)-MATCH($E$1,[2]characters!$2:$2,0)+1),MATCH(H$1,[2]characters!$2:$2,0)-MATCH($E$1,[2]characters!$2:$2,0)+1,FALSE)</f>
        <v>2</v>
      </c>
      <c r="I50" s="10" t="str">
        <f ca="1">VLOOKUP($E50,OFFSET([2]characters!$A$2,0,0,COUNTA([2]characters!$A:$A),MATCH(I$1,[2]characters!$2:$2,0)-MATCH($E$1,[2]characters!$2:$2,0)+1),MATCH(I$1,[2]characters!$2:$2,0)-MATCH($E$1,[2]characters!$2:$2,0)+1,FALSE)</f>
        <v>blue</v>
      </c>
      <c r="J50" s="10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0" s="10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50" s="6">
        <v>1</v>
      </c>
      <c r="M50" s="6">
        <v>0</v>
      </c>
      <c r="N50" s="21">
        <v>0</v>
      </c>
      <c r="O50" s="22">
        <v>0</v>
      </c>
      <c r="P50" s="22">
        <v>0</v>
      </c>
      <c r="Q50" s="22">
        <v>0</v>
      </c>
      <c r="R50" s="22">
        <v>1</v>
      </c>
    </row>
    <row r="51" spans="1:18" ht="21" customHeight="1">
      <c r="A51" s="8" t="str">
        <f t="shared" ref="A51:A65" si="3">D51&amp;E51&amp;L51</f>
        <v>0281</v>
      </c>
      <c r="B51" s="5">
        <v>200</v>
      </c>
      <c r="C51" s="10" t="str">
        <f ca="1">VLOOKUP($B51,OFFSET([1]gachas!$A$2,0,0,COUNTA([1]gachas!$A:$A),MATCH(C$1,[1]gachas!$1:$1,0)-MATCH($B$1,[1]gachas!$1:$1,0)+1),MATCH(C$1,[1]gachas!$1:$1,0)-MATCH($B$1,[1]gachas!$1:$1,0)+1,FALSE)</f>
        <v>フレンドガチャ（常設）</v>
      </c>
      <c r="D51" s="6">
        <v>0</v>
      </c>
      <c r="E51" s="7">
        <v>28</v>
      </c>
      <c r="F51" s="10" t="str">
        <f ca="1">VLOOKUP($E51,OFFSET([2]characters!$A$2,0,0,COUNTA([2]characters!$A:$A),MATCH(F$1,[2]characters!$2:$2,0)-MATCH($E$1,[2]characters!$2:$2,0)+1),MATCH(F$1,[2]characters!$2:$2,0)-MATCH($E$1,[2]characters!$2:$2,0)+1,FALSE)</f>
        <v>現場急行 パトラインカスタム</v>
      </c>
      <c r="G51" s="10" t="str">
        <f ca="1">VLOOKUP($E51,OFFSET([2]characters!$A$2,0,0,COUNTA([2]characters!$A:$A),MATCH(G$1,[2]characters!$2:$2,0)-MATCH($E$1,[2]characters!$2:$2,0)+1),MATCH(G$1,[2]characters!$2:$2,0)-MATCH($E$1,[2]characters!$2:$2,0)+1,FALSE)</f>
        <v>Drop1N</v>
      </c>
      <c r="H51" s="10">
        <f ca="1">VLOOKUP($E51,OFFSET([2]characters!$A$2,0,0,COUNTA([2]characters!$A:$A),MATCH(H$1,[2]characters!$2:$2,0)-MATCH($E$1,[2]characters!$2:$2,0)+1),MATCH(H$1,[2]characters!$2:$2,0)-MATCH($E$1,[2]characters!$2:$2,0)+1,FALSE)</f>
        <v>2</v>
      </c>
      <c r="I51" s="10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10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1" s="10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1" s="6">
        <v>1</v>
      </c>
      <c r="M51" s="6">
        <v>0</v>
      </c>
      <c r="N51" s="21">
        <v>0</v>
      </c>
      <c r="O51" s="22">
        <v>0</v>
      </c>
      <c r="P51" s="22">
        <v>0</v>
      </c>
      <c r="Q51" s="22">
        <v>0</v>
      </c>
      <c r="R51" s="22">
        <v>1</v>
      </c>
    </row>
    <row r="52" spans="1:18" ht="21" customHeight="1">
      <c r="A52" s="8" t="str">
        <f t="shared" si="3"/>
        <v>0301</v>
      </c>
      <c r="B52" s="5">
        <v>200</v>
      </c>
      <c r="C52" s="10" t="str">
        <f ca="1">VLOOKUP($B52,OFFSET([1]gachas!$A$2,0,0,COUNTA([1]gachas!$A:$A),MATCH(C$1,[1]gachas!$1:$1,0)-MATCH($B$1,[1]gachas!$1:$1,0)+1),MATCH(C$1,[1]gachas!$1:$1,0)-MATCH($B$1,[1]gachas!$1:$1,0)+1,FALSE)</f>
        <v>フレンドガチャ（常設）</v>
      </c>
      <c r="D52" s="6">
        <v>0</v>
      </c>
      <c r="E52" s="7">
        <v>30</v>
      </c>
      <c r="F52" s="10" t="str">
        <f ca="1">VLOOKUP($E52,OFFSET([2]characters!$A$2,0,0,COUNTA([2]characters!$A:$A),MATCH(F$1,[2]characters!$2:$2,0)-MATCH($E$1,[2]characters!$2:$2,0)+1),MATCH(F$1,[2]characters!$2:$2,0)-MATCH($E$1,[2]characters!$2:$2,0)+1,FALSE)</f>
        <v>護衛機人 スケアクロウ</v>
      </c>
      <c r="G52" s="10" t="str">
        <f ca="1">VLOOKUP($E52,OFFSET([2]characters!$A$2,0,0,COUNTA([2]characters!$A:$A),MATCH(G$1,[2]characters!$2:$2,0)-MATCH($E$1,[2]characters!$2:$2,0)+1),MATCH(G$1,[2]characters!$2:$2,0)-MATCH($E$1,[2]characters!$2:$2,0)+1,FALSE)</f>
        <v>Drop1N</v>
      </c>
      <c r="H52" s="10">
        <f ca="1">VLOOKUP($E52,OFFSET([2]characters!$A$2,0,0,COUNTA([2]characters!$A:$A),MATCH(H$1,[2]characters!$2:$2,0)-MATCH($E$1,[2]characters!$2:$2,0)+1),MATCH(H$1,[2]characters!$2:$2,0)-MATCH($E$1,[2]characters!$2:$2,0)+1,FALSE)</f>
        <v>2</v>
      </c>
      <c r="I52" s="10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10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10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2" s="6">
        <v>1</v>
      </c>
      <c r="M52" s="6">
        <v>0</v>
      </c>
      <c r="N52" s="21">
        <v>0</v>
      </c>
      <c r="O52" s="22">
        <v>0</v>
      </c>
      <c r="P52" s="22">
        <v>0</v>
      </c>
      <c r="Q52" s="22">
        <v>0</v>
      </c>
      <c r="R52" s="22">
        <v>1</v>
      </c>
    </row>
    <row r="53" spans="1:18" ht="21" customHeight="1">
      <c r="A53" s="8" t="str">
        <f t="shared" si="3"/>
        <v>0321</v>
      </c>
      <c r="B53" s="5">
        <v>200</v>
      </c>
      <c r="C53" s="10" t="str">
        <f ca="1">VLOOKUP($B53,OFFSET([1]gachas!$A$2,0,0,COUNTA([1]gachas!$A:$A),MATCH(C$1,[1]gachas!$1:$1,0)-MATCH($B$1,[1]gachas!$1:$1,0)+1),MATCH(C$1,[1]gachas!$1:$1,0)-MATCH($B$1,[1]gachas!$1:$1,0)+1,FALSE)</f>
        <v>フレンドガチャ（常設）</v>
      </c>
      <c r="D53" s="6">
        <v>0</v>
      </c>
      <c r="E53" s="7">
        <v>32</v>
      </c>
      <c r="F53" s="10" t="str">
        <f ca="1">VLOOKUP($E53,OFFSET([2]characters!$A$2,0,0,COUNTA([2]characters!$A:$A),MATCH(F$1,[2]characters!$2:$2,0)-MATCH($E$1,[2]characters!$2:$2,0)+1),MATCH(F$1,[2]characters!$2:$2,0)-MATCH($E$1,[2]characters!$2:$2,0)+1,FALSE)</f>
        <v>沈黙のジャミング マービー</v>
      </c>
      <c r="G53" s="10" t="str">
        <f ca="1">VLOOKUP($E53,OFFSET([2]characters!$A$2,0,0,COUNTA([2]characters!$A:$A),MATCH(G$1,[2]characters!$2:$2,0)-MATCH($E$1,[2]characters!$2:$2,0)+1),MATCH(G$1,[2]characters!$2:$2,0)-MATCH($E$1,[2]characters!$2:$2,0)+1,FALSE)</f>
        <v>Drop1N</v>
      </c>
      <c r="H53" s="10">
        <f ca="1">VLOOKUP($E53,OFFSET([2]characters!$A$2,0,0,COUNTA([2]characters!$A:$A),MATCH(H$1,[2]characters!$2:$2,0)-MATCH($E$1,[2]characters!$2:$2,0)+1),MATCH(H$1,[2]characters!$2:$2,0)-MATCH($E$1,[2]characters!$2:$2,0)+1,FALSE)</f>
        <v>2</v>
      </c>
      <c r="I53" s="10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10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3" s="10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3" s="6">
        <v>1</v>
      </c>
      <c r="M53" s="6">
        <v>0</v>
      </c>
      <c r="N53" s="21">
        <v>0</v>
      </c>
      <c r="O53" s="22">
        <v>0</v>
      </c>
      <c r="P53" s="22">
        <v>0</v>
      </c>
      <c r="Q53" s="22">
        <v>0</v>
      </c>
      <c r="R53" s="22">
        <v>1</v>
      </c>
    </row>
    <row r="54" spans="1:18" ht="21" customHeight="1">
      <c r="A54" s="8" t="str">
        <f t="shared" si="3"/>
        <v>0771</v>
      </c>
      <c r="B54" s="5">
        <v>200</v>
      </c>
      <c r="C54" s="10" t="str">
        <f ca="1">VLOOKUP($B54,OFFSET([1]gachas!$A$2,0,0,COUNTA([1]gachas!$A:$A),MATCH(C$1,[1]gachas!$1:$1,0)-MATCH($B$1,[1]gachas!$1:$1,0)+1),MATCH(C$1,[1]gachas!$1:$1,0)-MATCH($B$1,[1]gachas!$1:$1,0)+1,FALSE)</f>
        <v>フレンドガチャ（常設）</v>
      </c>
      <c r="D54" s="6">
        <v>0</v>
      </c>
      <c r="E54" s="7">
        <v>77</v>
      </c>
      <c r="F54" s="10" t="str">
        <f ca="1">VLOOKUP($E54,OFFSET([2]characters!$A$2,0,0,COUNTA([2]characters!$A:$A),MATCH(F$1,[2]characters!$2:$2,0)-MATCH($E$1,[2]characters!$2:$2,0)+1),MATCH(F$1,[2]characters!$2:$2,0)-MATCH($E$1,[2]characters!$2:$2,0)+1,FALSE)</f>
        <v>潜伏型メリッサ</v>
      </c>
      <c r="G54" s="10" t="str">
        <f ca="1">VLOOKUP($E54,OFFSET([2]characters!$A$2,0,0,COUNTA([2]characters!$A:$A),MATCH(G$1,[2]characters!$2:$2,0)-MATCH($E$1,[2]characters!$2:$2,0)+1),MATCH(G$1,[2]characters!$2:$2,0)-MATCH($E$1,[2]characters!$2:$2,0)+1,FALSE)</f>
        <v>PremiumW</v>
      </c>
      <c r="H54" s="10">
        <f ca="1">VLOOKUP($E54,OFFSET([2]characters!$A$2,0,0,COUNTA([2]characters!$A:$A),MATCH(H$1,[2]characters!$2:$2,0)-MATCH($E$1,[2]characters!$2:$2,0)+1),MATCH(H$1,[2]characters!$2:$2,0)-MATCH($E$1,[2]characters!$2:$2,0)+1,FALSE)</f>
        <v>3</v>
      </c>
      <c r="I54" s="10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10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4" s="10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4" s="6">
        <v>1</v>
      </c>
      <c r="M54" s="6">
        <v>0</v>
      </c>
      <c r="N54" s="21">
        <v>0</v>
      </c>
      <c r="O54" s="22">
        <v>0</v>
      </c>
      <c r="P54" s="22">
        <v>0</v>
      </c>
      <c r="Q54" s="22">
        <v>0</v>
      </c>
      <c r="R54" s="22">
        <v>1</v>
      </c>
    </row>
    <row r="55" spans="1:18" ht="21" customHeight="1">
      <c r="A55" s="8" t="str">
        <f t="shared" si="3"/>
        <v>0791</v>
      </c>
      <c r="B55" s="5">
        <v>200</v>
      </c>
      <c r="C55" s="10" t="str">
        <f ca="1">VLOOKUP($B55,OFFSET([1]gachas!$A$2,0,0,COUNTA([1]gachas!$A:$A),MATCH(C$1,[1]gachas!$1:$1,0)-MATCH($B$1,[1]gachas!$1:$1,0)+1),MATCH(C$1,[1]gachas!$1:$1,0)-MATCH($B$1,[1]gachas!$1:$1,0)+1,FALSE)</f>
        <v>フレンドガチャ（常設）</v>
      </c>
      <c r="D55" s="6">
        <v>0</v>
      </c>
      <c r="E55" s="7">
        <v>79</v>
      </c>
      <c r="F55" s="10" t="str">
        <f ca="1">VLOOKUP($E55,OFFSET([2]characters!$A$2,0,0,COUNTA([2]characters!$A:$A),MATCH(F$1,[2]characters!$2:$2,0)-MATCH($E$1,[2]characters!$2:$2,0)+1),MATCH(F$1,[2]characters!$2:$2,0)-MATCH($E$1,[2]characters!$2:$2,0)+1,FALSE)</f>
        <v>ハッピー100</v>
      </c>
      <c r="G55" s="10" t="str">
        <f ca="1">VLOOKUP($E55,OFFSET([2]characters!$A$2,0,0,COUNTA([2]characters!$A:$A),MATCH(G$1,[2]characters!$2:$2,0)-MATCH($E$1,[2]characters!$2:$2,0)+1),MATCH(G$1,[2]characters!$2:$2,0)-MATCH($E$1,[2]characters!$2:$2,0)+1,FALSE)</f>
        <v>PremiumW</v>
      </c>
      <c r="H55" s="10">
        <f ca="1">VLOOKUP($E55,OFFSET([2]characters!$A$2,0,0,COUNTA([2]characters!$A:$A),MATCH(H$1,[2]characters!$2:$2,0)-MATCH($E$1,[2]characters!$2:$2,0)+1),MATCH(H$1,[2]characters!$2:$2,0)-MATCH($E$1,[2]characters!$2:$2,0)+1,FALSE)</f>
        <v>3</v>
      </c>
      <c r="I55" s="10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10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5" s="10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5" s="6">
        <v>1</v>
      </c>
      <c r="M55" s="6">
        <v>0</v>
      </c>
      <c r="N55" s="21">
        <v>0</v>
      </c>
      <c r="O55" s="22">
        <v>0</v>
      </c>
      <c r="P55" s="22">
        <v>0</v>
      </c>
      <c r="Q55" s="22">
        <v>0</v>
      </c>
      <c r="R55" s="22">
        <v>1</v>
      </c>
    </row>
    <row r="56" spans="1:18" ht="21" customHeight="1">
      <c r="A56" s="8" t="str">
        <f t="shared" si="3"/>
        <v>0811</v>
      </c>
      <c r="B56" s="5">
        <v>200</v>
      </c>
      <c r="C56" s="10" t="str">
        <f ca="1">VLOOKUP($B56,OFFSET([1]gachas!$A$2,0,0,COUNTA([1]gachas!$A:$A),MATCH(C$1,[1]gachas!$1:$1,0)-MATCH($B$1,[1]gachas!$1:$1,0)+1),MATCH(C$1,[1]gachas!$1:$1,0)-MATCH($B$1,[1]gachas!$1:$1,0)+1,FALSE)</f>
        <v>フレンドガチャ（常設）</v>
      </c>
      <c r="D56" s="6">
        <v>0</v>
      </c>
      <c r="E56" s="7">
        <v>81</v>
      </c>
      <c r="F56" s="10" t="str">
        <f ca="1">VLOOKUP($E56,OFFSET([2]characters!$A$2,0,0,COUNTA([2]characters!$A:$A),MATCH(F$1,[2]characters!$2:$2,0)-MATCH($E$1,[2]characters!$2:$2,0)+1),MATCH(F$1,[2]characters!$2:$2,0)-MATCH($E$1,[2]characters!$2:$2,0)+1,FALSE)</f>
        <v>増幅型モリス</v>
      </c>
      <c r="G56" s="10" t="str">
        <f ca="1">VLOOKUP($E56,OFFSET([2]characters!$A$2,0,0,COUNTA([2]characters!$A:$A),MATCH(G$1,[2]characters!$2:$2,0)-MATCH($E$1,[2]characters!$2:$2,0)+1),MATCH(G$1,[2]characters!$2:$2,0)-MATCH($E$1,[2]characters!$2:$2,0)+1,FALSE)</f>
        <v>PremiumW</v>
      </c>
      <c r="H56" s="10">
        <f ca="1">VLOOKUP($E56,OFFSET([2]characters!$A$2,0,0,COUNTA([2]characters!$A:$A),MATCH(H$1,[2]characters!$2:$2,0)-MATCH($E$1,[2]characters!$2:$2,0)+1),MATCH(H$1,[2]characters!$2:$2,0)-MATCH($E$1,[2]characters!$2:$2,0)+1,FALSE)</f>
        <v>3</v>
      </c>
      <c r="I56" s="10" t="str">
        <f ca="1">VLOOKUP($E56,OFFSET([2]characters!$A$2,0,0,COUNTA([2]characters!$A:$A),MATCH(I$1,[2]characters!$2:$2,0)-MATCH($E$1,[2]characters!$2:$2,0)+1),MATCH(I$1,[2]characters!$2:$2,0)-MATCH($E$1,[2]characters!$2:$2,0)+1,FALSE)</f>
        <v>blue</v>
      </c>
      <c r="J56" s="10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10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6" s="6">
        <v>1</v>
      </c>
      <c r="M56" s="6">
        <v>0</v>
      </c>
      <c r="N56" s="21">
        <v>0</v>
      </c>
      <c r="O56" s="22">
        <v>0</v>
      </c>
      <c r="P56" s="22">
        <v>0</v>
      </c>
      <c r="Q56" s="22">
        <v>0</v>
      </c>
      <c r="R56" s="22">
        <v>1</v>
      </c>
    </row>
    <row r="57" spans="1:18" ht="21" customHeight="1">
      <c r="A57" s="8" t="str">
        <f t="shared" si="3"/>
        <v>0831</v>
      </c>
      <c r="B57" s="5">
        <v>200</v>
      </c>
      <c r="C57" s="10" t="str">
        <f ca="1">VLOOKUP($B57,OFFSET([1]gachas!$A$2,0,0,COUNTA([1]gachas!$A:$A),MATCH(C$1,[1]gachas!$1:$1,0)-MATCH($B$1,[1]gachas!$1:$1,0)+1),MATCH(C$1,[1]gachas!$1:$1,0)-MATCH($B$1,[1]gachas!$1:$1,0)+1,FALSE)</f>
        <v>フレンドガチャ（常設）</v>
      </c>
      <c r="D57" s="6">
        <v>0</v>
      </c>
      <c r="E57" s="7">
        <v>83</v>
      </c>
      <c r="F57" s="10" t="str">
        <f ca="1">VLOOKUP($E57,OFFSET([2]characters!$A$2,0,0,COUNTA([2]characters!$A:$A),MATCH(F$1,[2]characters!$2:$2,0)-MATCH($E$1,[2]characters!$2:$2,0)+1),MATCH(F$1,[2]characters!$2:$2,0)-MATCH($E$1,[2]characters!$2:$2,0)+1,FALSE)</f>
        <v>拡散性ニムダ</v>
      </c>
      <c r="G57" s="10" t="str">
        <f ca="1">VLOOKUP($E57,OFFSET([2]characters!$A$2,0,0,COUNTA([2]characters!$A:$A),MATCH(G$1,[2]characters!$2:$2,0)-MATCH($E$1,[2]characters!$2:$2,0)+1),MATCH(G$1,[2]characters!$2:$2,0)-MATCH($E$1,[2]characters!$2:$2,0)+1,FALSE)</f>
        <v>PremiumW</v>
      </c>
      <c r="H57" s="10">
        <f ca="1">VLOOKUP($E57,OFFSET([2]characters!$A$2,0,0,COUNTA([2]characters!$A:$A),MATCH(H$1,[2]characters!$2:$2,0)-MATCH($E$1,[2]characters!$2:$2,0)+1),MATCH(H$1,[2]characters!$2:$2,0)-MATCH($E$1,[2]characters!$2:$2,0)+1,FALSE)</f>
        <v>3</v>
      </c>
      <c r="I57" s="10" t="str">
        <f ca="1">VLOOKUP($E57,OFFSET([2]characters!$A$2,0,0,COUNTA([2]characters!$A:$A),MATCH(I$1,[2]characters!$2:$2,0)-MATCH($E$1,[2]characters!$2:$2,0)+1),MATCH(I$1,[2]characters!$2:$2,0)-MATCH($E$1,[2]characters!$2:$2,0)+1,FALSE)</f>
        <v>yellow</v>
      </c>
      <c r="J57" s="10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7" s="10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7" s="6">
        <v>1</v>
      </c>
      <c r="M57" s="6">
        <v>0</v>
      </c>
      <c r="N57" s="21">
        <v>0</v>
      </c>
      <c r="O57" s="22">
        <v>0</v>
      </c>
      <c r="P57" s="22">
        <v>0</v>
      </c>
      <c r="Q57" s="22">
        <v>0</v>
      </c>
      <c r="R57" s="22">
        <v>1</v>
      </c>
    </row>
    <row r="58" spans="1:18" ht="21" customHeight="1">
      <c r="A58" s="8" t="str">
        <f t="shared" si="3"/>
        <v>0851</v>
      </c>
      <c r="B58" s="5">
        <v>200</v>
      </c>
      <c r="C58" s="10" t="str">
        <f ca="1">VLOOKUP($B58,OFFSET([1]gachas!$A$2,0,0,COUNTA([1]gachas!$A:$A),MATCH(C$1,[1]gachas!$1:$1,0)-MATCH($B$1,[1]gachas!$1:$1,0)+1),MATCH(C$1,[1]gachas!$1:$1,0)-MATCH($B$1,[1]gachas!$1:$1,0)+1,FALSE)</f>
        <v>フレンドガチャ（常設）</v>
      </c>
      <c r="D58" s="6">
        <v>0</v>
      </c>
      <c r="E58" s="7">
        <v>85</v>
      </c>
      <c r="F58" s="10" t="str">
        <f ca="1">VLOOKUP($E58,OFFSET([2]characters!$A$2,0,0,COUNTA([2]characters!$A:$A),MATCH(F$1,[2]characters!$2:$2,0)-MATCH($E$1,[2]characters!$2:$2,0)+1),MATCH(F$1,[2]characters!$2:$2,0)-MATCH($E$1,[2]characters!$2:$2,0)+1,FALSE)</f>
        <v>朱雀</v>
      </c>
      <c r="G58" s="10" t="str">
        <f ca="1">VLOOKUP($E58,OFFSET([2]characters!$A$2,0,0,COUNTA([2]characters!$A:$A),MATCH(G$1,[2]characters!$2:$2,0)-MATCH($E$1,[2]characters!$2:$2,0)+1),MATCH(G$1,[2]characters!$2:$2,0)-MATCH($E$1,[2]characters!$2:$2,0)+1,FALSE)</f>
        <v>Drop2N</v>
      </c>
      <c r="H58" s="10">
        <f ca="1">VLOOKUP($E58,OFFSET([2]characters!$A$2,0,0,COUNTA([2]characters!$A:$A),MATCH(H$1,[2]characters!$2:$2,0)-MATCH($E$1,[2]characters!$2:$2,0)+1),MATCH(H$1,[2]characters!$2:$2,0)-MATCH($E$1,[2]characters!$2:$2,0)+1,FALSE)</f>
        <v>3</v>
      </c>
      <c r="I58" s="10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10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8" s="10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8" s="6">
        <v>1</v>
      </c>
      <c r="M58" s="6">
        <v>878</v>
      </c>
      <c r="N58" s="21">
        <v>0</v>
      </c>
      <c r="O58" s="22">
        <v>0</v>
      </c>
      <c r="P58" s="22">
        <v>0</v>
      </c>
      <c r="Q58" s="22">
        <v>0</v>
      </c>
      <c r="R58" s="22">
        <v>1</v>
      </c>
    </row>
    <row r="59" spans="1:18" ht="21" customHeight="1">
      <c r="A59" s="8" t="str">
        <f t="shared" si="3"/>
        <v>0881</v>
      </c>
      <c r="B59" s="5">
        <v>200</v>
      </c>
      <c r="C59" s="10" t="str">
        <f ca="1">VLOOKUP($B59,OFFSET([1]gachas!$A$2,0,0,COUNTA([1]gachas!$A:$A),MATCH(C$1,[1]gachas!$1:$1,0)-MATCH($B$1,[1]gachas!$1:$1,0)+1),MATCH(C$1,[1]gachas!$1:$1,0)-MATCH($B$1,[1]gachas!$1:$1,0)+1,FALSE)</f>
        <v>フレンドガチャ（常設）</v>
      </c>
      <c r="D59" s="6">
        <v>0</v>
      </c>
      <c r="E59" s="7">
        <v>88</v>
      </c>
      <c r="F59" s="10" t="str">
        <f ca="1">VLOOKUP($E59,OFFSET([2]characters!$A$2,0,0,COUNTA([2]characters!$A:$A),MATCH(F$1,[2]characters!$2:$2,0)-MATCH($E$1,[2]characters!$2:$2,0)+1),MATCH(F$1,[2]characters!$2:$2,0)-MATCH($E$1,[2]characters!$2:$2,0)+1,FALSE)</f>
        <v>玄武</v>
      </c>
      <c r="G59" s="10" t="str">
        <f ca="1">VLOOKUP($E59,OFFSET([2]characters!$A$2,0,0,COUNTA([2]characters!$A:$A),MATCH(G$1,[2]characters!$2:$2,0)-MATCH($E$1,[2]characters!$2:$2,0)+1),MATCH(G$1,[2]characters!$2:$2,0)-MATCH($E$1,[2]characters!$2:$2,0)+1,FALSE)</f>
        <v>Drop2N</v>
      </c>
      <c r="H59" s="10">
        <f ca="1">VLOOKUP($E59,OFFSET([2]characters!$A$2,0,0,COUNTA([2]characters!$A:$A),MATCH(H$1,[2]characters!$2:$2,0)-MATCH($E$1,[2]characters!$2:$2,0)+1),MATCH(H$1,[2]characters!$2:$2,0)-MATCH($E$1,[2]characters!$2:$2,0)+1,FALSE)</f>
        <v>3</v>
      </c>
      <c r="I59" s="10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10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9" s="10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9" s="6">
        <v>1</v>
      </c>
      <c r="M59" s="6">
        <v>878</v>
      </c>
      <c r="N59" s="21">
        <v>0</v>
      </c>
      <c r="O59" s="22">
        <v>0</v>
      </c>
      <c r="P59" s="22">
        <v>0</v>
      </c>
      <c r="Q59" s="22">
        <v>0</v>
      </c>
      <c r="R59" s="22">
        <v>1</v>
      </c>
    </row>
    <row r="60" spans="1:18" ht="21" customHeight="1">
      <c r="A60" s="8" t="str">
        <f t="shared" si="3"/>
        <v>0911</v>
      </c>
      <c r="B60" s="5">
        <v>200</v>
      </c>
      <c r="C60" s="10" t="str">
        <f ca="1">VLOOKUP($B60,OFFSET([1]gachas!$A$2,0,0,COUNTA([1]gachas!$A:$A),MATCH(C$1,[1]gachas!$1:$1,0)-MATCH($B$1,[1]gachas!$1:$1,0)+1),MATCH(C$1,[1]gachas!$1:$1,0)-MATCH($B$1,[1]gachas!$1:$1,0)+1,FALSE)</f>
        <v>フレンドガチャ（常設）</v>
      </c>
      <c r="D60" s="6">
        <v>0</v>
      </c>
      <c r="E60" s="7">
        <v>91</v>
      </c>
      <c r="F60" s="10" t="str">
        <f ca="1">VLOOKUP($E60,OFFSET([2]characters!$A$2,0,0,COUNTA([2]characters!$A:$A),MATCH(F$1,[2]characters!$2:$2,0)-MATCH($E$1,[2]characters!$2:$2,0)+1),MATCH(F$1,[2]characters!$2:$2,0)-MATCH($E$1,[2]characters!$2:$2,0)+1,FALSE)</f>
        <v>青龍</v>
      </c>
      <c r="G60" s="10" t="str">
        <f ca="1">VLOOKUP($E60,OFFSET([2]characters!$A$2,0,0,COUNTA([2]characters!$A:$A),MATCH(G$1,[2]characters!$2:$2,0)-MATCH($E$1,[2]characters!$2:$2,0)+1),MATCH(G$1,[2]characters!$2:$2,0)-MATCH($E$1,[2]characters!$2:$2,0)+1,FALSE)</f>
        <v>Drop2N</v>
      </c>
      <c r="H60" s="10">
        <f ca="1">VLOOKUP($E60,OFFSET([2]characters!$A$2,0,0,COUNTA([2]characters!$A:$A),MATCH(H$1,[2]characters!$2:$2,0)-MATCH($E$1,[2]characters!$2:$2,0)+1),MATCH(H$1,[2]characters!$2:$2,0)-MATCH($E$1,[2]characters!$2:$2,0)+1,FALSE)</f>
        <v>3</v>
      </c>
      <c r="I60" s="10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10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0" s="10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60" s="6">
        <v>1</v>
      </c>
      <c r="M60" s="6">
        <v>878</v>
      </c>
      <c r="N60" s="21">
        <v>0</v>
      </c>
      <c r="O60" s="22">
        <v>0</v>
      </c>
      <c r="P60" s="22">
        <v>0</v>
      </c>
      <c r="Q60" s="22">
        <v>0</v>
      </c>
      <c r="R60" s="22">
        <v>1</v>
      </c>
    </row>
    <row r="61" spans="1:18" ht="21" customHeight="1">
      <c r="A61" s="8" t="str">
        <f t="shared" si="3"/>
        <v>0941</v>
      </c>
      <c r="B61" s="5">
        <v>200</v>
      </c>
      <c r="C61" s="10" t="str">
        <f ca="1">VLOOKUP($B61,OFFSET([1]gachas!$A$2,0,0,COUNTA([1]gachas!$A:$A),MATCH(C$1,[1]gachas!$1:$1,0)-MATCH($B$1,[1]gachas!$1:$1,0)+1),MATCH(C$1,[1]gachas!$1:$1,0)-MATCH($B$1,[1]gachas!$1:$1,0)+1,FALSE)</f>
        <v>フレンドガチャ（常設）</v>
      </c>
      <c r="D61" s="6">
        <v>0</v>
      </c>
      <c r="E61" s="7">
        <v>94</v>
      </c>
      <c r="F61" s="10" t="str">
        <f ca="1">VLOOKUP($E61,OFFSET([2]characters!$A$2,0,0,COUNTA([2]characters!$A:$A),MATCH(F$1,[2]characters!$2:$2,0)-MATCH($E$1,[2]characters!$2:$2,0)+1),MATCH(F$1,[2]characters!$2:$2,0)-MATCH($E$1,[2]characters!$2:$2,0)+1,FALSE)</f>
        <v>白虎</v>
      </c>
      <c r="G61" s="10" t="str">
        <f ca="1">VLOOKUP($E61,OFFSET([2]characters!$A$2,0,0,COUNTA([2]characters!$A:$A),MATCH(G$1,[2]characters!$2:$2,0)-MATCH($E$1,[2]characters!$2:$2,0)+1),MATCH(G$1,[2]characters!$2:$2,0)-MATCH($E$1,[2]characters!$2:$2,0)+1,FALSE)</f>
        <v>Drop2N</v>
      </c>
      <c r="H61" s="10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10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10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10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1" s="6">
        <v>1</v>
      </c>
      <c r="M61" s="6">
        <v>878</v>
      </c>
      <c r="N61" s="21">
        <v>0</v>
      </c>
      <c r="O61" s="22">
        <v>0</v>
      </c>
      <c r="P61" s="22">
        <v>0</v>
      </c>
      <c r="Q61" s="22">
        <v>0</v>
      </c>
      <c r="R61" s="22">
        <v>1</v>
      </c>
    </row>
    <row r="62" spans="1:18" ht="21" customHeight="1">
      <c r="A62" s="8" t="str">
        <f t="shared" si="3"/>
        <v>03321</v>
      </c>
      <c r="B62" s="5">
        <v>200</v>
      </c>
      <c r="C62" s="10" t="str">
        <f ca="1">VLOOKUP($B62,OFFSET([1]gachas!$A$2,0,0,COUNTA([1]gachas!$A:$A),MATCH(C$1,[1]gachas!$1:$1,0)-MATCH($B$1,[1]gachas!$1:$1,0)+1),MATCH(C$1,[1]gachas!$1:$1,0)-MATCH($B$1,[1]gachas!$1:$1,0)+1,FALSE)</f>
        <v>フレンドガチャ（常設）</v>
      </c>
      <c r="D62" s="6">
        <v>0</v>
      </c>
      <c r="E62" s="7">
        <v>332</v>
      </c>
      <c r="F62" s="10" t="str">
        <f ca="1">VLOOKUP($E62,OFFSET([2]characters!$A$2,0,0,COUNTA([2]characters!$A:$A),MATCH(F$1,[2]characters!$2:$2,0)-MATCH($E$1,[2]characters!$2:$2,0)+1),MATCH(F$1,[2]characters!$2:$2,0)-MATCH($E$1,[2]characters!$2:$2,0)+1,FALSE)</f>
        <v>炎のメタルピヨピヨ</v>
      </c>
      <c r="G62" s="10" t="str">
        <f ca="1">VLOOKUP($E62,OFFSET([2]characters!$A$2,0,0,COUNTA([2]characters!$A:$A),MATCH(G$1,[2]characters!$2:$2,0)-MATCH($E$1,[2]characters!$2:$2,0)+1),MATCH(G$1,[2]characters!$2:$2,0)-MATCH($E$1,[2]characters!$2:$2,0)+1,FALSE)</f>
        <v>Material</v>
      </c>
      <c r="H62" s="10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10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10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2" s="10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2" s="6">
        <v>1</v>
      </c>
      <c r="M62" s="6">
        <v>2194</v>
      </c>
      <c r="N62" s="21">
        <v>0</v>
      </c>
      <c r="O62" s="22">
        <v>0</v>
      </c>
      <c r="P62" s="22">
        <v>0</v>
      </c>
      <c r="Q62" s="22">
        <v>0</v>
      </c>
      <c r="R62" s="22">
        <v>1</v>
      </c>
    </row>
    <row r="63" spans="1:18" ht="21" customHeight="1">
      <c r="A63" s="8" t="str">
        <f t="shared" si="3"/>
        <v>03361</v>
      </c>
      <c r="B63" s="5">
        <v>200</v>
      </c>
      <c r="C63" s="10" t="str">
        <f ca="1">VLOOKUP($B63,OFFSET([1]gachas!$A$2,0,0,COUNTA([1]gachas!$A:$A),MATCH(C$1,[1]gachas!$1:$1,0)-MATCH($B$1,[1]gachas!$1:$1,0)+1),MATCH(C$1,[1]gachas!$1:$1,0)-MATCH($B$1,[1]gachas!$1:$1,0)+1,FALSE)</f>
        <v>フレンドガチャ（常設）</v>
      </c>
      <c r="D63" s="6">
        <v>0</v>
      </c>
      <c r="E63" s="7">
        <v>336</v>
      </c>
      <c r="F63" s="10" t="str">
        <f ca="1">VLOOKUP($E63,OFFSET([2]characters!$A$2,0,0,COUNTA([2]characters!$A:$A),MATCH(F$1,[2]characters!$2:$2,0)-MATCH($E$1,[2]characters!$2:$2,0)+1),MATCH(F$1,[2]characters!$2:$2,0)-MATCH($E$1,[2]characters!$2:$2,0)+1,FALSE)</f>
        <v>森のメタルピヨピヨ</v>
      </c>
      <c r="G63" s="10" t="str">
        <f ca="1">VLOOKUP($E63,OFFSET([2]characters!$A$2,0,0,COUNTA([2]characters!$A:$A),MATCH(G$1,[2]characters!$2:$2,0)-MATCH($E$1,[2]characters!$2:$2,0)+1),MATCH(G$1,[2]characters!$2:$2,0)-MATCH($E$1,[2]characters!$2:$2,0)+1,FALSE)</f>
        <v>Material</v>
      </c>
      <c r="H63" s="10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10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10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3" s="10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3" s="6">
        <v>1</v>
      </c>
      <c r="M63" s="6">
        <v>2194</v>
      </c>
      <c r="N63" s="21">
        <v>0</v>
      </c>
      <c r="O63" s="22">
        <v>0</v>
      </c>
      <c r="P63" s="22">
        <v>0</v>
      </c>
      <c r="Q63" s="22">
        <v>0</v>
      </c>
      <c r="R63" s="22">
        <v>1</v>
      </c>
    </row>
    <row r="64" spans="1:18" ht="21" customHeight="1">
      <c r="A64" s="8" t="str">
        <f t="shared" si="3"/>
        <v>03401</v>
      </c>
      <c r="B64" s="5">
        <v>200</v>
      </c>
      <c r="C64" s="10" t="str">
        <f ca="1">VLOOKUP($B64,OFFSET([1]gachas!$A$2,0,0,COUNTA([1]gachas!$A:$A),MATCH(C$1,[1]gachas!$1:$1,0)-MATCH($B$1,[1]gachas!$1:$1,0)+1),MATCH(C$1,[1]gachas!$1:$1,0)-MATCH($B$1,[1]gachas!$1:$1,0)+1,FALSE)</f>
        <v>フレンドガチャ（常設）</v>
      </c>
      <c r="D64" s="6">
        <v>0</v>
      </c>
      <c r="E64" s="7">
        <v>340</v>
      </c>
      <c r="F64" s="10" t="str">
        <f ca="1">VLOOKUP($E64,OFFSET([2]characters!$A$2,0,0,COUNTA([2]characters!$A:$A),MATCH(F$1,[2]characters!$2:$2,0)-MATCH($E$1,[2]characters!$2:$2,0)+1),MATCH(F$1,[2]characters!$2:$2,0)-MATCH($E$1,[2]characters!$2:$2,0)+1,FALSE)</f>
        <v>水のメタルピヨピヨ</v>
      </c>
      <c r="G64" s="10" t="str">
        <f ca="1">VLOOKUP($E64,OFFSET([2]characters!$A$2,0,0,COUNTA([2]characters!$A:$A),MATCH(G$1,[2]characters!$2:$2,0)-MATCH($E$1,[2]characters!$2:$2,0)+1),MATCH(G$1,[2]characters!$2:$2,0)-MATCH($E$1,[2]characters!$2:$2,0)+1,FALSE)</f>
        <v>Material</v>
      </c>
      <c r="H64" s="10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10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10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4" s="10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4" s="6">
        <v>1</v>
      </c>
      <c r="M64" s="6">
        <v>2194</v>
      </c>
      <c r="N64" s="21">
        <v>0</v>
      </c>
      <c r="O64" s="22">
        <v>0</v>
      </c>
      <c r="P64" s="22">
        <v>0</v>
      </c>
      <c r="Q64" s="22">
        <v>0</v>
      </c>
      <c r="R64" s="22">
        <v>1</v>
      </c>
    </row>
    <row r="65" spans="1:18" ht="21" customHeight="1">
      <c r="A65" s="8" t="str">
        <f t="shared" si="3"/>
        <v>03441</v>
      </c>
      <c r="B65" s="5">
        <v>200</v>
      </c>
      <c r="C65" s="10" t="str">
        <f ca="1">VLOOKUP($B65,OFFSET([1]gachas!$A$2,0,0,COUNTA([1]gachas!$A:$A),MATCH(C$1,[1]gachas!$1:$1,0)-MATCH($B$1,[1]gachas!$1:$1,0)+1),MATCH(C$1,[1]gachas!$1:$1,0)-MATCH($B$1,[1]gachas!$1:$1,0)+1,FALSE)</f>
        <v>フレンドガチャ（常設）</v>
      </c>
      <c r="D65" s="6">
        <v>0</v>
      </c>
      <c r="E65" s="7">
        <v>344</v>
      </c>
      <c r="F65" s="10" t="str">
        <f ca="1">VLOOKUP($E65,OFFSET([2]characters!$A$2,0,0,COUNTA([2]characters!$A:$A),MATCH(F$1,[2]characters!$2:$2,0)-MATCH($E$1,[2]characters!$2:$2,0)+1),MATCH(F$1,[2]characters!$2:$2,0)-MATCH($E$1,[2]characters!$2:$2,0)+1,FALSE)</f>
        <v>雷のメタルピヨピヨ</v>
      </c>
      <c r="G65" s="10" t="str">
        <f ca="1">VLOOKUP($E65,OFFSET([2]characters!$A$2,0,0,COUNTA([2]characters!$A:$A),MATCH(G$1,[2]characters!$2:$2,0)-MATCH($E$1,[2]characters!$2:$2,0)+1),MATCH(G$1,[2]characters!$2:$2,0)-MATCH($E$1,[2]characters!$2:$2,0)+1,FALSE)</f>
        <v>Material</v>
      </c>
      <c r="H65" s="10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10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10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5" s="10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5" s="6">
        <v>1</v>
      </c>
      <c r="M65" s="6">
        <v>2194</v>
      </c>
      <c r="N65" s="21">
        <v>0</v>
      </c>
      <c r="O65" s="22">
        <v>0</v>
      </c>
      <c r="P65" s="22">
        <v>0</v>
      </c>
      <c r="Q65" s="22">
        <v>0</v>
      </c>
      <c r="R65" s="22">
        <v>1</v>
      </c>
    </row>
    <row r="66" spans="1:18" ht="21" customHeight="1">
      <c r="A66" s="8" t="str">
        <f t="shared" ref="A66:A80" si="4">D66&amp;E66&amp;L66</f>
        <v>03331</v>
      </c>
      <c r="B66" s="5">
        <v>200</v>
      </c>
      <c r="C66" s="10" t="str">
        <f ca="1">VLOOKUP($B66,OFFSET([1]gachas!$A$2,0,0,COUNTA([1]gachas!$A:$A),MATCH(C$1,[1]gachas!$1:$1,0)-MATCH($B$1,[1]gachas!$1:$1,0)+1),MATCH(C$1,[1]gachas!$1:$1,0)-MATCH($B$1,[1]gachas!$1:$1,0)+1,FALSE)</f>
        <v>フレンドガチャ（常設）</v>
      </c>
      <c r="D66" s="6">
        <v>0</v>
      </c>
      <c r="E66" s="7">
        <v>333</v>
      </c>
      <c r="F66" s="10" t="str">
        <f ca="1">VLOOKUP($E66,OFFSET([2]characters!$A$2,0,0,COUNTA([2]characters!$A:$A),MATCH(F$1,[2]characters!$2:$2,0)-MATCH($E$1,[2]characters!$2:$2,0)+1),MATCH(F$1,[2]characters!$2:$2,0)-MATCH($E$1,[2]characters!$2:$2,0)+1,FALSE)</f>
        <v>炎のメタルチック</v>
      </c>
      <c r="G66" s="10" t="str">
        <f ca="1">VLOOKUP($E66,OFFSET([2]characters!$A$2,0,0,COUNTA([2]characters!$A:$A),MATCH(G$1,[2]characters!$2:$2,0)-MATCH($E$1,[2]characters!$2:$2,0)+1),MATCH(G$1,[2]characters!$2:$2,0)-MATCH($E$1,[2]characters!$2:$2,0)+1,FALSE)</f>
        <v>Material</v>
      </c>
      <c r="H66" s="10">
        <f ca="1">VLOOKUP($E66,OFFSET([2]characters!$A$2,0,0,COUNTA([2]characters!$A:$A),MATCH(H$1,[2]characters!$2:$2,0)-MATCH($E$1,[2]characters!$2:$2,0)+1),MATCH(H$1,[2]characters!$2:$2,0)-MATCH($E$1,[2]characters!$2:$2,0)+1,FALSE)</f>
        <v>4</v>
      </c>
      <c r="I66" s="10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10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6" s="10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6" s="6">
        <v>1</v>
      </c>
      <c r="M66" s="6">
        <v>1097</v>
      </c>
      <c r="N66" s="21">
        <v>0</v>
      </c>
      <c r="O66" s="22">
        <v>0</v>
      </c>
      <c r="P66" s="22">
        <v>0</v>
      </c>
      <c r="Q66" s="22">
        <v>0</v>
      </c>
      <c r="R66" s="22">
        <v>1</v>
      </c>
    </row>
    <row r="67" spans="1:18" ht="21" customHeight="1">
      <c r="A67" s="8" t="str">
        <f t="shared" si="4"/>
        <v>03371</v>
      </c>
      <c r="B67" s="5">
        <v>200</v>
      </c>
      <c r="C67" s="10" t="str">
        <f ca="1">VLOOKUP($B67,OFFSET([1]gachas!$A$2,0,0,COUNTA([1]gachas!$A:$A),MATCH(C$1,[1]gachas!$1:$1,0)-MATCH($B$1,[1]gachas!$1:$1,0)+1),MATCH(C$1,[1]gachas!$1:$1,0)-MATCH($B$1,[1]gachas!$1:$1,0)+1,FALSE)</f>
        <v>フレンドガチャ（常設）</v>
      </c>
      <c r="D67" s="6">
        <v>0</v>
      </c>
      <c r="E67" s="7">
        <v>337</v>
      </c>
      <c r="F67" s="10" t="str">
        <f ca="1">VLOOKUP($E67,OFFSET([2]characters!$A$2,0,0,COUNTA([2]characters!$A:$A),MATCH(F$1,[2]characters!$2:$2,0)-MATCH($E$1,[2]characters!$2:$2,0)+1),MATCH(F$1,[2]characters!$2:$2,0)-MATCH($E$1,[2]characters!$2:$2,0)+1,FALSE)</f>
        <v>森のメタルチック</v>
      </c>
      <c r="G67" s="10" t="str">
        <f ca="1">VLOOKUP($E67,OFFSET([2]characters!$A$2,0,0,COUNTA([2]characters!$A:$A),MATCH(G$1,[2]characters!$2:$2,0)-MATCH($E$1,[2]characters!$2:$2,0)+1),MATCH(G$1,[2]characters!$2:$2,0)-MATCH($E$1,[2]characters!$2:$2,0)+1,FALSE)</f>
        <v>Material</v>
      </c>
      <c r="H67" s="10">
        <f ca="1">VLOOKUP($E67,OFFSET([2]characters!$A$2,0,0,COUNTA([2]characters!$A:$A),MATCH(H$1,[2]characters!$2:$2,0)-MATCH($E$1,[2]characters!$2:$2,0)+1),MATCH(H$1,[2]characters!$2:$2,0)-MATCH($E$1,[2]characters!$2:$2,0)+1,FALSE)</f>
        <v>4</v>
      </c>
      <c r="I67" s="10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10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7" s="10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7" s="6">
        <v>1</v>
      </c>
      <c r="M67" s="6">
        <v>1097</v>
      </c>
      <c r="N67" s="21">
        <v>0</v>
      </c>
      <c r="O67" s="22">
        <v>0</v>
      </c>
      <c r="P67" s="22">
        <v>0</v>
      </c>
      <c r="Q67" s="22">
        <v>0</v>
      </c>
      <c r="R67" s="22">
        <v>1</v>
      </c>
    </row>
    <row r="68" spans="1:18" ht="21" customHeight="1">
      <c r="A68" s="8" t="str">
        <f t="shared" si="4"/>
        <v>03411</v>
      </c>
      <c r="B68" s="5">
        <v>200</v>
      </c>
      <c r="C68" s="10" t="str">
        <f ca="1">VLOOKUP($B68,OFFSET([1]gachas!$A$2,0,0,COUNTA([1]gachas!$A:$A),MATCH(C$1,[1]gachas!$1:$1,0)-MATCH($B$1,[1]gachas!$1:$1,0)+1),MATCH(C$1,[1]gachas!$1:$1,0)-MATCH($B$1,[1]gachas!$1:$1,0)+1,FALSE)</f>
        <v>フレンドガチャ（常設）</v>
      </c>
      <c r="D68" s="6">
        <v>0</v>
      </c>
      <c r="E68" s="7">
        <v>341</v>
      </c>
      <c r="F68" s="10" t="str">
        <f ca="1">VLOOKUP($E68,OFFSET([2]characters!$A$2,0,0,COUNTA([2]characters!$A:$A),MATCH(F$1,[2]characters!$2:$2,0)-MATCH($E$1,[2]characters!$2:$2,0)+1),MATCH(F$1,[2]characters!$2:$2,0)-MATCH($E$1,[2]characters!$2:$2,0)+1,FALSE)</f>
        <v>水のメタルチック</v>
      </c>
      <c r="G68" s="10" t="str">
        <f ca="1">VLOOKUP($E68,OFFSET([2]characters!$A$2,0,0,COUNTA([2]characters!$A:$A),MATCH(G$1,[2]characters!$2:$2,0)-MATCH($E$1,[2]characters!$2:$2,0)+1),MATCH(G$1,[2]characters!$2:$2,0)-MATCH($E$1,[2]characters!$2:$2,0)+1,FALSE)</f>
        <v>Material</v>
      </c>
      <c r="H68" s="10">
        <f ca="1">VLOOKUP($E68,OFFSET([2]characters!$A$2,0,0,COUNTA([2]characters!$A:$A),MATCH(H$1,[2]characters!$2:$2,0)-MATCH($E$1,[2]characters!$2:$2,0)+1),MATCH(H$1,[2]characters!$2:$2,0)-MATCH($E$1,[2]characters!$2:$2,0)+1,FALSE)</f>
        <v>4</v>
      </c>
      <c r="I68" s="10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10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8" s="10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8" s="6">
        <v>1</v>
      </c>
      <c r="M68" s="6">
        <v>1097</v>
      </c>
      <c r="N68" s="21">
        <v>0</v>
      </c>
      <c r="O68" s="22">
        <v>0</v>
      </c>
      <c r="P68" s="22">
        <v>0</v>
      </c>
      <c r="Q68" s="22">
        <v>0</v>
      </c>
      <c r="R68" s="22">
        <v>1</v>
      </c>
    </row>
    <row r="69" spans="1:18" ht="21" customHeight="1">
      <c r="A69" s="8" t="str">
        <f t="shared" si="4"/>
        <v>03451</v>
      </c>
      <c r="B69" s="5">
        <v>200</v>
      </c>
      <c r="C69" s="10" t="str">
        <f ca="1">VLOOKUP($B69,OFFSET([1]gachas!$A$2,0,0,COUNTA([1]gachas!$A:$A),MATCH(C$1,[1]gachas!$1:$1,0)-MATCH($B$1,[1]gachas!$1:$1,0)+1),MATCH(C$1,[1]gachas!$1:$1,0)-MATCH($B$1,[1]gachas!$1:$1,0)+1,FALSE)</f>
        <v>フレンドガチャ（常設）</v>
      </c>
      <c r="D69" s="6">
        <v>0</v>
      </c>
      <c r="E69" s="7">
        <v>345</v>
      </c>
      <c r="F69" s="10" t="str">
        <f ca="1">VLOOKUP($E69,OFFSET([2]characters!$A$2,0,0,COUNTA([2]characters!$A:$A),MATCH(F$1,[2]characters!$2:$2,0)-MATCH($E$1,[2]characters!$2:$2,0)+1),MATCH(F$1,[2]characters!$2:$2,0)-MATCH($E$1,[2]characters!$2:$2,0)+1,FALSE)</f>
        <v>雷のメタルチック</v>
      </c>
      <c r="G69" s="10" t="str">
        <f ca="1">VLOOKUP($E69,OFFSET([2]characters!$A$2,0,0,COUNTA([2]characters!$A:$A),MATCH(G$1,[2]characters!$2:$2,0)-MATCH($E$1,[2]characters!$2:$2,0)+1),MATCH(G$1,[2]characters!$2:$2,0)-MATCH($E$1,[2]characters!$2:$2,0)+1,FALSE)</f>
        <v>Material</v>
      </c>
      <c r="H69" s="10">
        <f ca="1">VLOOKUP($E69,OFFSET([2]characters!$A$2,0,0,COUNTA([2]characters!$A:$A),MATCH(H$1,[2]characters!$2:$2,0)-MATCH($E$1,[2]characters!$2:$2,0)+1),MATCH(H$1,[2]characters!$2:$2,0)-MATCH($E$1,[2]characters!$2:$2,0)+1,FALSE)</f>
        <v>4</v>
      </c>
      <c r="I69" s="10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10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9" s="10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9" s="6">
        <v>1</v>
      </c>
      <c r="M69" s="6">
        <v>1097</v>
      </c>
      <c r="N69" s="21">
        <v>0</v>
      </c>
      <c r="O69" s="22">
        <v>0</v>
      </c>
      <c r="P69" s="22">
        <v>0</v>
      </c>
      <c r="Q69" s="22">
        <v>0</v>
      </c>
      <c r="R69" s="22">
        <v>1</v>
      </c>
    </row>
    <row r="70" spans="1:18" ht="21" customHeight="1">
      <c r="A70" s="8" t="str">
        <f t="shared" si="4"/>
        <v>03341</v>
      </c>
      <c r="B70" s="5">
        <v>200</v>
      </c>
      <c r="C70" s="10" t="str">
        <f ca="1">VLOOKUP($B70,OFFSET([1]gachas!$A$2,0,0,COUNTA([1]gachas!$A:$A),MATCH(C$1,[1]gachas!$1:$1,0)-MATCH($B$1,[1]gachas!$1:$1,0)+1),MATCH(C$1,[1]gachas!$1:$1,0)-MATCH($B$1,[1]gachas!$1:$1,0)+1,FALSE)</f>
        <v>フレンドガチャ（常設）</v>
      </c>
      <c r="D70" s="6">
        <v>0</v>
      </c>
      <c r="E70" s="7">
        <v>334</v>
      </c>
      <c r="F70" s="10" t="str">
        <f ca="1">VLOOKUP($E70,OFFSET([2]characters!$A$2,0,0,COUNTA([2]characters!$A:$A),MATCH(F$1,[2]characters!$2:$2,0)-MATCH($E$1,[2]characters!$2:$2,0)+1),MATCH(F$1,[2]characters!$2:$2,0)-MATCH($E$1,[2]characters!$2:$2,0)+1,FALSE)</f>
        <v>炎のメタルダック</v>
      </c>
      <c r="G70" s="10" t="str">
        <f ca="1">VLOOKUP($E70,OFFSET([2]characters!$A$2,0,0,COUNTA([2]characters!$A:$A),MATCH(G$1,[2]characters!$2:$2,0)-MATCH($E$1,[2]characters!$2:$2,0)+1),MATCH(G$1,[2]characters!$2:$2,0)-MATCH($E$1,[2]characters!$2:$2,0)+1,FALSE)</f>
        <v>Material</v>
      </c>
      <c r="H70" s="10">
        <f ca="1">VLOOKUP($E70,OFFSET([2]characters!$A$2,0,0,COUNTA([2]characters!$A:$A),MATCH(H$1,[2]characters!$2:$2,0)-MATCH($E$1,[2]characters!$2:$2,0)+1),MATCH(H$1,[2]characters!$2:$2,0)-MATCH($E$1,[2]characters!$2:$2,0)+1,FALSE)</f>
        <v>5</v>
      </c>
      <c r="I70" s="10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10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0" s="10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0" s="6">
        <v>1</v>
      </c>
      <c r="M70" s="6">
        <v>313</v>
      </c>
      <c r="N70" s="21">
        <v>0</v>
      </c>
      <c r="O70" s="22">
        <v>0</v>
      </c>
      <c r="P70" s="22">
        <v>0</v>
      </c>
      <c r="Q70" s="22">
        <v>0</v>
      </c>
      <c r="R70" s="22">
        <v>1</v>
      </c>
    </row>
    <row r="71" spans="1:18" ht="21" customHeight="1">
      <c r="A71" s="8" t="str">
        <f t="shared" si="4"/>
        <v>03381</v>
      </c>
      <c r="B71" s="5">
        <v>200</v>
      </c>
      <c r="C71" s="10" t="str">
        <f ca="1">VLOOKUP($B71,OFFSET([1]gachas!$A$2,0,0,COUNTA([1]gachas!$A:$A),MATCH(C$1,[1]gachas!$1:$1,0)-MATCH($B$1,[1]gachas!$1:$1,0)+1),MATCH(C$1,[1]gachas!$1:$1,0)-MATCH($B$1,[1]gachas!$1:$1,0)+1,FALSE)</f>
        <v>フレンドガチャ（常設）</v>
      </c>
      <c r="D71" s="6">
        <v>0</v>
      </c>
      <c r="E71" s="7">
        <v>338</v>
      </c>
      <c r="F71" s="10" t="str">
        <f ca="1">VLOOKUP($E71,OFFSET([2]characters!$A$2,0,0,COUNTA([2]characters!$A:$A),MATCH(F$1,[2]characters!$2:$2,0)-MATCH($E$1,[2]characters!$2:$2,0)+1),MATCH(F$1,[2]characters!$2:$2,0)-MATCH($E$1,[2]characters!$2:$2,0)+1,FALSE)</f>
        <v>森のメタルダック</v>
      </c>
      <c r="G71" s="10" t="str">
        <f ca="1">VLOOKUP($E71,OFFSET([2]characters!$A$2,0,0,COUNTA([2]characters!$A:$A),MATCH(G$1,[2]characters!$2:$2,0)-MATCH($E$1,[2]characters!$2:$2,0)+1),MATCH(G$1,[2]characters!$2:$2,0)-MATCH($E$1,[2]characters!$2:$2,0)+1,FALSE)</f>
        <v>Material</v>
      </c>
      <c r="H71" s="10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10" t="str">
        <f ca="1">VLOOKUP($E71,OFFSET([2]characters!$A$2,0,0,COUNTA([2]characters!$A:$A),MATCH(I$1,[2]characters!$2:$2,0)-MATCH($E$1,[2]characters!$2:$2,0)+1),MATCH(I$1,[2]characters!$2:$2,0)-MATCH($E$1,[2]characters!$2:$2,0)+1,FALSE)</f>
        <v>green</v>
      </c>
      <c r="J71" s="10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1" s="10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1" s="6">
        <v>1</v>
      </c>
      <c r="M71" s="6">
        <v>313</v>
      </c>
      <c r="N71" s="21">
        <v>0</v>
      </c>
      <c r="O71" s="22">
        <v>0</v>
      </c>
      <c r="P71" s="22">
        <v>0</v>
      </c>
      <c r="Q71" s="22">
        <v>0</v>
      </c>
      <c r="R71" s="22">
        <v>1</v>
      </c>
    </row>
    <row r="72" spans="1:18" ht="21" customHeight="1">
      <c r="A72" s="8" t="str">
        <f t="shared" si="4"/>
        <v>03421</v>
      </c>
      <c r="B72" s="5">
        <v>200</v>
      </c>
      <c r="C72" s="10" t="str">
        <f ca="1">VLOOKUP($B72,OFFSET([1]gachas!$A$2,0,0,COUNTA([1]gachas!$A:$A),MATCH(C$1,[1]gachas!$1:$1,0)-MATCH($B$1,[1]gachas!$1:$1,0)+1),MATCH(C$1,[1]gachas!$1:$1,0)-MATCH($B$1,[1]gachas!$1:$1,0)+1,FALSE)</f>
        <v>フレンドガチャ（常設）</v>
      </c>
      <c r="D72" s="6">
        <v>0</v>
      </c>
      <c r="E72" s="7">
        <v>342</v>
      </c>
      <c r="F72" s="10" t="str">
        <f ca="1">VLOOKUP($E72,OFFSET([2]characters!$A$2,0,0,COUNTA([2]characters!$A:$A),MATCH(F$1,[2]characters!$2:$2,0)-MATCH($E$1,[2]characters!$2:$2,0)+1),MATCH(F$1,[2]characters!$2:$2,0)-MATCH($E$1,[2]characters!$2:$2,0)+1,FALSE)</f>
        <v>水のメタルダック</v>
      </c>
      <c r="G72" s="10" t="str">
        <f ca="1">VLOOKUP($E72,OFFSET([2]characters!$A$2,0,0,COUNTA([2]characters!$A:$A),MATCH(G$1,[2]characters!$2:$2,0)-MATCH($E$1,[2]characters!$2:$2,0)+1),MATCH(G$1,[2]characters!$2:$2,0)-MATCH($E$1,[2]characters!$2:$2,0)+1,FALSE)</f>
        <v>Material</v>
      </c>
      <c r="H72" s="10">
        <f ca="1">VLOOKUP($E72,OFFSET([2]characters!$A$2,0,0,COUNTA([2]characters!$A:$A),MATCH(H$1,[2]characters!$2:$2,0)-MATCH($E$1,[2]characters!$2:$2,0)+1),MATCH(H$1,[2]characters!$2:$2,0)-MATCH($E$1,[2]characters!$2:$2,0)+1,FALSE)</f>
        <v>5</v>
      </c>
      <c r="I72" s="10" t="str">
        <f ca="1">VLOOKUP($E72,OFFSET([2]characters!$A$2,0,0,COUNTA([2]characters!$A:$A),MATCH(I$1,[2]characters!$2:$2,0)-MATCH($E$1,[2]characters!$2:$2,0)+1),MATCH(I$1,[2]characters!$2:$2,0)-MATCH($E$1,[2]characters!$2:$2,0)+1,FALSE)</f>
        <v>blue</v>
      </c>
      <c r="J72" s="10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2" s="10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2" s="6">
        <v>1</v>
      </c>
      <c r="M72" s="6">
        <v>313</v>
      </c>
      <c r="N72" s="21">
        <v>0</v>
      </c>
      <c r="O72" s="22">
        <v>0</v>
      </c>
      <c r="P72" s="22">
        <v>0</v>
      </c>
      <c r="Q72" s="22">
        <v>0</v>
      </c>
      <c r="R72" s="22">
        <v>1</v>
      </c>
    </row>
    <row r="73" spans="1:18" ht="21" customHeight="1">
      <c r="A73" s="8" t="str">
        <f t="shared" si="4"/>
        <v>03461</v>
      </c>
      <c r="B73" s="5">
        <v>200</v>
      </c>
      <c r="C73" s="10" t="str">
        <f ca="1">VLOOKUP($B73,OFFSET([1]gachas!$A$2,0,0,COUNTA([1]gachas!$A:$A),MATCH(C$1,[1]gachas!$1:$1,0)-MATCH($B$1,[1]gachas!$1:$1,0)+1),MATCH(C$1,[1]gachas!$1:$1,0)-MATCH($B$1,[1]gachas!$1:$1,0)+1,FALSE)</f>
        <v>フレンドガチャ（常設）</v>
      </c>
      <c r="D73" s="6">
        <v>0</v>
      </c>
      <c r="E73" s="7">
        <v>346</v>
      </c>
      <c r="F73" s="10" t="str">
        <f ca="1">VLOOKUP($E73,OFFSET([2]characters!$A$2,0,0,COUNTA([2]characters!$A:$A),MATCH(F$1,[2]characters!$2:$2,0)-MATCH($E$1,[2]characters!$2:$2,0)+1),MATCH(F$1,[2]characters!$2:$2,0)-MATCH($E$1,[2]characters!$2:$2,0)+1,FALSE)</f>
        <v>雷のメタルダック</v>
      </c>
      <c r="G73" s="10" t="str">
        <f ca="1">VLOOKUP($E73,OFFSET([2]characters!$A$2,0,0,COUNTA([2]characters!$A:$A),MATCH(G$1,[2]characters!$2:$2,0)-MATCH($E$1,[2]characters!$2:$2,0)+1),MATCH(G$1,[2]characters!$2:$2,0)-MATCH($E$1,[2]characters!$2:$2,0)+1,FALSE)</f>
        <v>Material</v>
      </c>
      <c r="H73" s="10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10" t="str">
        <f ca="1">VLOOKUP($E73,OFFSET([2]characters!$A$2,0,0,COUNTA([2]characters!$A:$A),MATCH(I$1,[2]characters!$2:$2,0)-MATCH($E$1,[2]characters!$2:$2,0)+1),MATCH(I$1,[2]characters!$2:$2,0)-MATCH($E$1,[2]characters!$2:$2,0)+1,FALSE)</f>
        <v>yellow</v>
      </c>
      <c r="J73" s="10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3" s="10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3" s="6">
        <v>1</v>
      </c>
      <c r="M73" s="6">
        <v>313</v>
      </c>
      <c r="N73" s="21">
        <v>0</v>
      </c>
      <c r="O73" s="22">
        <v>0</v>
      </c>
      <c r="P73" s="22">
        <v>0</v>
      </c>
      <c r="Q73" s="22">
        <v>0</v>
      </c>
      <c r="R73" s="22">
        <v>1</v>
      </c>
    </row>
    <row r="74" spans="1:18" ht="21" customHeight="1">
      <c r="A74" s="8" t="str">
        <f t="shared" si="4"/>
        <v>01171</v>
      </c>
      <c r="B74" s="5">
        <v>200</v>
      </c>
      <c r="C74" s="10" t="str">
        <f ca="1">VLOOKUP($B74,OFFSET([1]gachas!$A$2,0,0,COUNTA([1]gachas!$A:$A),MATCH(C$1,[1]gachas!$1:$1,0)-MATCH($B$1,[1]gachas!$1:$1,0)+1),MATCH(C$1,[1]gachas!$1:$1,0)-MATCH($B$1,[1]gachas!$1:$1,0)+1,FALSE)</f>
        <v>フレンドガチャ（常設）</v>
      </c>
      <c r="D74" s="6">
        <v>0</v>
      </c>
      <c r="E74" s="7">
        <v>117</v>
      </c>
      <c r="F74" s="10" t="str">
        <f ca="1">VLOOKUP($E74,OFFSET([2]characters!$A$2,0,0,COUNTA([2]characters!$A:$A),MATCH(F$1,[2]characters!$2:$2,0)-MATCH($E$1,[2]characters!$2:$2,0)+1),MATCH(F$1,[2]characters!$2:$2,0)-MATCH($E$1,[2]characters!$2:$2,0)+1,FALSE)</f>
        <v>ゴールドピヨピヨ</v>
      </c>
      <c r="G74" s="10" t="str">
        <f ca="1">VLOOKUP($E74,OFFSET([2]characters!$A$2,0,0,COUNTA([2]characters!$A:$A),MATCH(G$1,[2]characters!$2:$2,0)-MATCH($E$1,[2]characters!$2:$2,0)+1),MATCH(G$1,[2]characters!$2:$2,0)-MATCH($E$1,[2]characters!$2:$2,0)+1,FALSE)</f>
        <v>Material</v>
      </c>
      <c r="H74" s="10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10" t="str">
        <f ca="1">VLOOKUP($E74,OFFSET([2]characters!$A$2,0,0,COUNTA([2]characters!$A:$A),MATCH(I$1,[2]characters!$2:$2,0)-MATCH($E$1,[2]characters!$2:$2,0)+1),MATCH(I$1,[2]characters!$2:$2,0)-MATCH($E$1,[2]characters!$2:$2,0)+1,FALSE)</f>
        <v>yellow</v>
      </c>
      <c r="J74" s="10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4" s="10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4" s="6">
        <v>1</v>
      </c>
      <c r="M74" s="6">
        <v>8778</v>
      </c>
      <c r="N74" s="21">
        <v>0</v>
      </c>
      <c r="O74" s="22">
        <v>0</v>
      </c>
      <c r="P74" s="22">
        <v>0</v>
      </c>
      <c r="Q74" s="22">
        <v>0</v>
      </c>
      <c r="R74" s="22">
        <v>1</v>
      </c>
    </row>
    <row r="75" spans="1:18" ht="21" customHeight="1">
      <c r="A75" s="8" t="str">
        <f t="shared" si="4"/>
        <v>01181</v>
      </c>
      <c r="B75" s="5">
        <v>200</v>
      </c>
      <c r="C75" s="10" t="str">
        <f ca="1">VLOOKUP($B75,OFFSET([1]gachas!$A$2,0,0,COUNTA([1]gachas!$A:$A),MATCH(C$1,[1]gachas!$1:$1,0)-MATCH($B$1,[1]gachas!$1:$1,0)+1),MATCH(C$1,[1]gachas!$1:$1,0)-MATCH($B$1,[1]gachas!$1:$1,0)+1,FALSE)</f>
        <v>フレンドガチャ（常設）</v>
      </c>
      <c r="D75" s="6">
        <v>0</v>
      </c>
      <c r="E75" s="7">
        <v>118</v>
      </c>
      <c r="F75" s="10" t="str">
        <f ca="1">VLOOKUP($E75,OFFSET([2]characters!$A$2,0,0,COUNTA([2]characters!$A:$A),MATCH(F$1,[2]characters!$2:$2,0)-MATCH($E$1,[2]characters!$2:$2,0)+1),MATCH(F$1,[2]characters!$2:$2,0)-MATCH($E$1,[2]characters!$2:$2,0)+1,FALSE)</f>
        <v>ゴールドチック</v>
      </c>
      <c r="G75" s="10" t="str">
        <f ca="1">VLOOKUP($E75,OFFSET([2]characters!$A$2,0,0,COUNTA([2]characters!$A:$A),MATCH(G$1,[2]characters!$2:$2,0)-MATCH($E$1,[2]characters!$2:$2,0)+1),MATCH(G$1,[2]characters!$2:$2,0)-MATCH($E$1,[2]characters!$2:$2,0)+1,FALSE)</f>
        <v>Material</v>
      </c>
      <c r="H75" s="10">
        <f ca="1">VLOOKUP($E75,OFFSET([2]characters!$A$2,0,0,COUNTA([2]characters!$A:$A),MATCH(H$1,[2]characters!$2:$2,0)-MATCH($E$1,[2]characters!$2:$2,0)+1),MATCH(H$1,[2]characters!$2:$2,0)-MATCH($E$1,[2]characters!$2:$2,0)+1,FALSE)</f>
        <v>4</v>
      </c>
      <c r="I75" s="10" t="str">
        <f ca="1">VLOOKUP($E75,OFFSET([2]characters!$A$2,0,0,COUNTA([2]characters!$A:$A),MATCH(I$1,[2]characters!$2:$2,0)-MATCH($E$1,[2]characters!$2:$2,0)+1),MATCH(I$1,[2]characters!$2:$2,0)-MATCH($E$1,[2]characters!$2:$2,0)+1,FALSE)</f>
        <v>yellow</v>
      </c>
      <c r="J75" s="10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5" s="10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5" s="6">
        <v>1</v>
      </c>
      <c r="M75" s="6">
        <v>5852</v>
      </c>
      <c r="N75" s="21">
        <v>0</v>
      </c>
      <c r="O75" s="22">
        <v>0</v>
      </c>
      <c r="P75" s="22">
        <v>0</v>
      </c>
      <c r="Q75" s="22">
        <v>0</v>
      </c>
      <c r="R75" s="22">
        <v>1</v>
      </c>
    </row>
    <row r="76" spans="1:18" ht="21" customHeight="1">
      <c r="A76" s="8" t="str">
        <f t="shared" si="4"/>
        <v>01191</v>
      </c>
      <c r="B76" s="5">
        <v>200</v>
      </c>
      <c r="C76" s="10" t="str">
        <f ca="1">VLOOKUP($B76,OFFSET([1]gachas!$A$2,0,0,COUNTA([1]gachas!$A:$A),MATCH(C$1,[1]gachas!$1:$1,0)-MATCH($B$1,[1]gachas!$1:$1,0)+1),MATCH(C$1,[1]gachas!$1:$1,0)-MATCH($B$1,[1]gachas!$1:$1,0)+1,FALSE)</f>
        <v>フレンドガチャ（常設）</v>
      </c>
      <c r="D76" s="6">
        <v>0</v>
      </c>
      <c r="E76" s="7">
        <v>119</v>
      </c>
      <c r="F76" s="10" t="str">
        <f ca="1">VLOOKUP($E76,OFFSET([2]characters!$A$2,0,0,COUNTA([2]characters!$A:$A),MATCH(F$1,[2]characters!$2:$2,0)-MATCH($E$1,[2]characters!$2:$2,0)+1),MATCH(F$1,[2]characters!$2:$2,0)-MATCH($E$1,[2]characters!$2:$2,0)+1,FALSE)</f>
        <v>ゴールドダック</v>
      </c>
      <c r="G76" s="10" t="str">
        <f ca="1">VLOOKUP($E76,OFFSET([2]characters!$A$2,0,0,COUNTA([2]characters!$A:$A),MATCH(G$1,[2]characters!$2:$2,0)-MATCH($E$1,[2]characters!$2:$2,0)+1),MATCH(G$1,[2]characters!$2:$2,0)-MATCH($E$1,[2]characters!$2:$2,0)+1,FALSE)</f>
        <v>Material</v>
      </c>
      <c r="H76" s="10">
        <f ca="1">VLOOKUP($E76,OFFSET([2]characters!$A$2,0,0,COUNTA([2]characters!$A:$A),MATCH(H$1,[2]characters!$2:$2,0)-MATCH($E$1,[2]characters!$2:$2,0)+1),MATCH(H$1,[2]characters!$2:$2,0)-MATCH($E$1,[2]characters!$2:$2,0)+1,FALSE)</f>
        <v>5</v>
      </c>
      <c r="I76" s="10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10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6" s="10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6" s="6">
        <v>1</v>
      </c>
      <c r="M76" s="6">
        <v>2726</v>
      </c>
      <c r="N76" s="21">
        <v>0</v>
      </c>
      <c r="O76" s="22">
        <v>0</v>
      </c>
      <c r="P76" s="22">
        <v>0</v>
      </c>
      <c r="Q76" s="22">
        <v>0</v>
      </c>
      <c r="R76" s="22">
        <v>1</v>
      </c>
    </row>
    <row r="77" spans="1:18" ht="21" customHeight="1">
      <c r="A77" s="8" t="str">
        <f t="shared" si="4"/>
        <v>01211</v>
      </c>
      <c r="B77" s="5">
        <v>200</v>
      </c>
      <c r="C77" s="10" t="str">
        <f ca="1">VLOOKUP($B77,OFFSET([1]gachas!$A$2,0,0,COUNTA([1]gachas!$A:$A),MATCH(C$1,[1]gachas!$1:$1,0)-MATCH($B$1,[1]gachas!$1:$1,0)+1),MATCH(C$1,[1]gachas!$1:$1,0)-MATCH($B$1,[1]gachas!$1:$1,0)+1,FALSE)</f>
        <v>フレンドガチャ（常設）</v>
      </c>
      <c r="D77" s="6">
        <v>0</v>
      </c>
      <c r="E77" s="7">
        <v>121</v>
      </c>
      <c r="F77" s="10" t="str">
        <f ca="1">VLOOKUP($E77,OFFSET([2]characters!$A$2,0,0,COUNTA([2]characters!$A:$A),MATCH(F$1,[2]characters!$2:$2,0)-MATCH($E$1,[2]characters!$2:$2,0)+1),MATCH(F$1,[2]characters!$2:$2,0)-MATCH($E$1,[2]characters!$2:$2,0)+1,FALSE)</f>
        <v>攻めの果実</v>
      </c>
      <c r="G77" s="10" t="str">
        <f ca="1">VLOOKUP($E77,OFFSET([2]characters!$A$2,0,0,COUNTA([2]characters!$A:$A),MATCH(G$1,[2]characters!$2:$2,0)-MATCH($E$1,[2]characters!$2:$2,0)+1),MATCH(G$1,[2]characters!$2:$2,0)-MATCH($E$1,[2]characters!$2:$2,0)+1,FALSE)</f>
        <v>Material</v>
      </c>
      <c r="H77" s="10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10" t="str">
        <f ca="1">VLOOKUP($E77,OFFSET([2]characters!$A$2,0,0,COUNTA([2]characters!$A:$A),MATCH(I$1,[2]characters!$2:$2,0)-MATCH($E$1,[2]characters!$2:$2,0)+1),MATCH(I$1,[2]characters!$2:$2,0)-MATCH($E$1,[2]characters!$2:$2,0)+1,FALSE)</f>
        <v>red</v>
      </c>
      <c r="J77" s="10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10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77" s="6">
        <v>1</v>
      </c>
      <c r="M77" s="6">
        <v>1951</v>
      </c>
      <c r="N77" s="21">
        <v>0</v>
      </c>
      <c r="O77" s="22">
        <v>0</v>
      </c>
      <c r="P77" s="22">
        <v>0</v>
      </c>
      <c r="Q77" s="22">
        <v>0</v>
      </c>
      <c r="R77" s="22">
        <v>1</v>
      </c>
    </row>
    <row r="78" spans="1:18" ht="21" customHeight="1">
      <c r="A78" s="8" t="str">
        <f t="shared" si="4"/>
        <v>01221</v>
      </c>
      <c r="B78" s="5">
        <v>200</v>
      </c>
      <c r="C78" s="10" t="str">
        <f ca="1">VLOOKUP($B78,OFFSET([1]gachas!$A$2,0,0,COUNTA([1]gachas!$A:$A),MATCH(C$1,[1]gachas!$1:$1,0)-MATCH($B$1,[1]gachas!$1:$1,0)+1),MATCH(C$1,[1]gachas!$1:$1,0)-MATCH($B$1,[1]gachas!$1:$1,0)+1,FALSE)</f>
        <v>フレンドガチャ（常設）</v>
      </c>
      <c r="D78" s="6">
        <v>0</v>
      </c>
      <c r="E78" s="7">
        <v>122</v>
      </c>
      <c r="F78" s="10" t="str">
        <f ca="1">VLOOKUP($E78,OFFSET([2]characters!$A$2,0,0,COUNTA([2]characters!$A:$A),MATCH(F$1,[2]characters!$2:$2,0)-MATCH($E$1,[2]characters!$2:$2,0)+1),MATCH(F$1,[2]characters!$2:$2,0)-MATCH($E$1,[2]characters!$2:$2,0)+1,FALSE)</f>
        <v>生命の果実</v>
      </c>
      <c r="G78" s="10" t="str">
        <f ca="1">VLOOKUP($E78,OFFSET([2]characters!$A$2,0,0,COUNTA([2]characters!$A:$A),MATCH(G$1,[2]characters!$2:$2,0)-MATCH($E$1,[2]characters!$2:$2,0)+1),MATCH(G$1,[2]characters!$2:$2,0)-MATCH($E$1,[2]characters!$2:$2,0)+1,FALSE)</f>
        <v>Material</v>
      </c>
      <c r="H78" s="10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10" t="str">
        <f ca="1">VLOOKUP($E78,OFFSET([2]characters!$A$2,0,0,COUNTA([2]characters!$A:$A),MATCH(I$1,[2]characters!$2:$2,0)-MATCH($E$1,[2]characters!$2:$2,0)+1),MATCH(I$1,[2]characters!$2:$2,0)-MATCH($E$1,[2]characters!$2:$2,0)+1,FALSE)</f>
        <v>green</v>
      </c>
      <c r="J78" s="10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8" s="10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78" s="6">
        <v>1</v>
      </c>
      <c r="M78" s="6">
        <v>1951</v>
      </c>
      <c r="N78" s="21">
        <v>0</v>
      </c>
      <c r="O78" s="22">
        <v>0</v>
      </c>
      <c r="P78" s="22">
        <v>0</v>
      </c>
      <c r="Q78" s="22">
        <v>0</v>
      </c>
      <c r="R78" s="22">
        <v>1</v>
      </c>
    </row>
    <row r="79" spans="1:18" ht="21" customHeight="1">
      <c r="A79" s="8" t="str">
        <f t="shared" si="4"/>
        <v>01231</v>
      </c>
      <c r="B79" s="5">
        <v>200</v>
      </c>
      <c r="C79" s="10" t="str">
        <f ca="1">VLOOKUP($B79,OFFSET([1]gachas!$A$2,0,0,COUNTA([1]gachas!$A:$A),MATCH(C$1,[1]gachas!$1:$1,0)-MATCH($B$1,[1]gachas!$1:$1,0)+1),MATCH(C$1,[1]gachas!$1:$1,0)-MATCH($B$1,[1]gachas!$1:$1,0)+1,FALSE)</f>
        <v>フレンドガチャ（常設）</v>
      </c>
      <c r="D79" s="6">
        <v>0</v>
      </c>
      <c r="E79" s="7">
        <v>123</v>
      </c>
      <c r="F79" s="10" t="str">
        <f ca="1">VLOOKUP($E79,OFFSET([2]characters!$A$2,0,0,COUNTA([2]characters!$A:$A),MATCH(F$1,[2]characters!$2:$2,0)-MATCH($E$1,[2]characters!$2:$2,0)+1),MATCH(F$1,[2]characters!$2:$2,0)-MATCH($E$1,[2]characters!$2:$2,0)+1,FALSE)</f>
        <v>癒しの果実</v>
      </c>
      <c r="G79" s="10" t="str">
        <f ca="1">VLOOKUP($E79,OFFSET([2]characters!$A$2,0,0,COUNTA([2]characters!$A:$A),MATCH(G$1,[2]characters!$2:$2,0)-MATCH($E$1,[2]characters!$2:$2,0)+1),MATCH(G$1,[2]characters!$2:$2,0)-MATCH($E$1,[2]characters!$2:$2,0)+1,FALSE)</f>
        <v>Material</v>
      </c>
      <c r="H79" s="10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10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10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9" s="10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9" s="6">
        <v>1</v>
      </c>
      <c r="M79" s="6">
        <v>1951</v>
      </c>
      <c r="N79" s="21">
        <v>0</v>
      </c>
      <c r="O79" s="22">
        <v>0</v>
      </c>
      <c r="P79" s="22">
        <v>0</v>
      </c>
      <c r="Q79" s="22">
        <v>0</v>
      </c>
      <c r="R79" s="22">
        <v>1</v>
      </c>
    </row>
    <row r="80" spans="1:18" ht="21" customHeight="1">
      <c r="A80" s="8" t="str">
        <f t="shared" si="4"/>
        <v>01251</v>
      </c>
      <c r="B80" s="5">
        <v>200</v>
      </c>
      <c r="C80" s="10" t="str">
        <f ca="1">VLOOKUP($B80,OFFSET([1]gachas!$A$2,0,0,COUNTA([1]gachas!$A:$A),MATCH(C$1,[1]gachas!$1:$1,0)-MATCH($B$1,[1]gachas!$1:$1,0)+1),MATCH(C$1,[1]gachas!$1:$1,0)-MATCH($B$1,[1]gachas!$1:$1,0)+1,FALSE)</f>
        <v>フレンドガチャ（常設）</v>
      </c>
      <c r="D80" s="6">
        <v>0</v>
      </c>
      <c r="E80" s="7">
        <v>125</v>
      </c>
      <c r="F80" s="10" t="str">
        <f ca="1">VLOOKUP($E80,OFFSET([2]characters!$A$2,0,0,COUNTA([2]characters!$A:$A),MATCH(F$1,[2]characters!$2:$2,0)-MATCH($E$1,[2]characters!$2:$2,0)+1),MATCH(F$1,[2]characters!$2:$2,0)-MATCH($E$1,[2]characters!$2:$2,0)+1,FALSE)</f>
        <v>秘術の果実</v>
      </c>
      <c r="G80" s="10" t="str">
        <f ca="1">VLOOKUP($E80,OFFSET([2]characters!$A$2,0,0,COUNTA([2]characters!$A:$A),MATCH(G$1,[2]characters!$2:$2,0)-MATCH($E$1,[2]characters!$2:$2,0)+1),MATCH(G$1,[2]characters!$2:$2,0)-MATCH($E$1,[2]characters!$2:$2,0)+1,FALSE)</f>
        <v>Material</v>
      </c>
      <c r="H80" s="10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10" t="str">
        <f ca="1">VLOOKUP($E80,OFFSET([2]characters!$A$2,0,0,COUNTA([2]characters!$A:$A),MATCH(I$1,[2]characters!$2:$2,0)-MATCH($E$1,[2]characters!$2:$2,0)+1),MATCH(I$1,[2]characters!$2:$2,0)-MATCH($E$1,[2]characters!$2:$2,0)+1,FALSE)</f>
        <v>blue</v>
      </c>
      <c r="J80" s="10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0" s="10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80" s="6">
        <v>1</v>
      </c>
      <c r="M80" s="6">
        <v>88</v>
      </c>
      <c r="N80" s="21">
        <v>0</v>
      </c>
      <c r="O80" s="22">
        <v>0</v>
      </c>
      <c r="P80" s="22">
        <v>0</v>
      </c>
      <c r="Q80" s="22">
        <v>0</v>
      </c>
      <c r="R80" s="22">
        <v>1</v>
      </c>
    </row>
  </sheetData>
  <autoFilter ref="B1:M80">
    <sortState ref="B6:S124">
      <sortCondition ref="H1:H126"/>
    </sortState>
  </autoFilter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R80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8.5" style="1" bestFit="1" customWidth="1" outlineLevel="1"/>
    <col min="4" max="4" width="12.5" style="1" bestFit="1" customWidth="1"/>
    <col min="5" max="5" width="15.33203125" style="1" bestFit="1" customWidth="1"/>
    <col min="6" max="6" width="24" style="1" bestFit="1" customWidth="1" outlineLevel="1"/>
    <col min="7" max="7" width="13.6640625" style="1" bestFit="1" customWidth="1" outlineLevel="1"/>
    <col min="8" max="8" width="9.6640625" style="1" bestFit="1" customWidth="1" outlineLevel="1"/>
    <col min="9" max="9" width="10.5" style="4" bestFit="1" customWidth="1" outlineLevel="1"/>
    <col min="10" max="10" width="18.83203125" style="1" bestFit="1" customWidth="1" outlineLevel="1"/>
    <col min="11" max="11" width="19" style="1" bestFit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3" t="s">
        <v>2</v>
      </c>
      <c r="C1" s="2" t="s">
        <v>1</v>
      </c>
      <c r="D1" s="3" t="s">
        <v>3</v>
      </c>
      <c r="E1" s="3" t="s">
        <v>4</v>
      </c>
      <c r="F1" s="2" t="s">
        <v>8</v>
      </c>
      <c r="G1" s="2" t="s">
        <v>9</v>
      </c>
      <c r="H1" s="2" t="s">
        <v>10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8" t="s">
        <v>19</v>
      </c>
      <c r="O1" s="18" t="s">
        <v>20</v>
      </c>
      <c r="P1" s="18" t="s">
        <v>21</v>
      </c>
      <c r="Q1" s="18" t="s">
        <v>22</v>
      </c>
      <c r="R1" s="18" t="s">
        <v>23</v>
      </c>
    </row>
    <row r="2" spans="1:18" ht="21" customHeight="1">
      <c r="A2" s="8" t="str">
        <f>D2&amp;E2&amp;L2</f>
        <v>011</v>
      </c>
      <c r="B2" s="5">
        <v>201</v>
      </c>
      <c r="C2" s="10" t="str">
        <f ca="1">VLOOKUP($B2,OFFSET([1]gachas!$A$2,0,0,COUNTA([1]gachas!$A:$A),MATCH(C$1,[1]gachas!$1:$1,0)-MATCH($B$1,[1]gachas!$1:$1,0)+1),MATCH(C$1,[1]gachas!$1:$1,0)-MATCH($B$1,[1]gachas!$1:$1,0)+1,FALSE)</f>
        <v>男気リンクガチャ（常設）</v>
      </c>
      <c r="D2" s="6">
        <v>0</v>
      </c>
      <c r="E2" s="7">
        <v>1</v>
      </c>
      <c r="F2" s="10" t="str">
        <f ca="1">VLOOKUP($E2,OFFSET([2]characters!$A$2,0,0,COUNTA([2]characters!$A:$A),MATCH(F$1,[2]characters!$2:$2,0)-MATCH($E$1,[2]characters!$2:$2,0)+1),MATCH(F$1,[2]characters!$2:$2,0)-MATCH($E$1,[2]characters!$2:$2,0)+1,FALSE)</f>
        <v>ジェリー</v>
      </c>
      <c r="G2" s="10" t="str">
        <f ca="1">VLOOKUP($E2,OFFSET([2]characters!$A$2,0,0,COUNTA([2]characters!$A:$A),MATCH(G$1,[2]characters!$2:$2,0)-MATCH($E$1,[2]characters!$2:$2,0)+1),MATCH(G$1,[2]characters!$2:$2,0)-MATCH($E$1,[2]characters!$2:$2,0)+1,FALSE)</f>
        <v>Drop1T</v>
      </c>
      <c r="H2" s="10">
        <f ca="1">VLOOKUP($E2,OFFSET([2]characters!$A$2,0,0,COUNTA([2]characters!$A:$A),MATCH(H$1,[2]characters!$2:$2,0)-MATCH($E$1,[2]characters!$2:$2,0)+1),MATCH(H$1,[2]characters!$2:$2,0)-MATCH($E$1,[2]characters!$2:$2,0)+1,FALSE)</f>
        <v>1</v>
      </c>
      <c r="I2" s="10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10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10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" s="6">
        <v>1</v>
      </c>
      <c r="M2" s="6">
        <v>439</v>
      </c>
      <c r="N2" s="17">
        <v>0</v>
      </c>
      <c r="O2" s="17">
        <v>0</v>
      </c>
      <c r="P2" s="17">
        <v>0</v>
      </c>
      <c r="Q2" s="17">
        <v>0</v>
      </c>
      <c r="R2" s="17">
        <v>1</v>
      </c>
    </row>
    <row r="3" spans="1:18" ht="21" customHeight="1">
      <c r="A3" s="8" t="str">
        <f t="shared" ref="A3:A66" si="0">D3&amp;E3&amp;L3</f>
        <v>031</v>
      </c>
      <c r="B3" s="5">
        <v>201</v>
      </c>
      <c r="C3" s="10" t="str">
        <f ca="1">VLOOKUP($B3,OFFSET([1]gachas!$A$2,0,0,COUNTA([1]gachas!$A:$A),MATCH(C$1,[1]gachas!$1:$1,0)-MATCH($B$1,[1]gachas!$1:$1,0)+1),MATCH(C$1,[1]gachas!$1:$1,0)-MATCH($B$1,[1]gachas!$1:$1,0)+1,FALSE)</f>
        <v>男気リンクガチャ（常設）</v>
      </c>
      <c r="D3" s="6">
        <v>0</v>
      </c>
      <c r="E3" s="7">
        <v>3</v>
      </c>
      <c r="F3" s="10" t="str">
        <f ca="1">VLOOKUP($E3,OFFSET([2]characters!$A$2,0,0,COUNTA([2]characters!$A:$A),MATCH(F$1,[2]characters!$2:$2,0)-MATCH($E$1,[2]characters!$2:$2,0)+1),MATCH(F$1,[2]characters!$2:$2,0)-MATCH($E$1,[2]characters!$2:$2,0)+1,FALSE)</f>
        <v>エージェント ジョー</v>
      </c>
      <c r="G3" s="10" t="str">
        <f ca="1">VLOOKUP($E3,OFFSET([2]characters!$A$2,0,0,COUNTA([2]characters!$A:$A),MATCH(G$1,[2]characters!$2:$2,0)-MATCH($E$1,[2]characters!$2:$2,0)+1),MATCH(G$1,[2]characters!$2:$2,0)-MATCH($E$1,[2]characters!$2:$2,0)+1,FALSE)</f>
        <v>Drop1T</v>
      </c>
      <c r="H3" s="10">
        <f ca="1">VLOOKUP($E3,OFFSET([2]characters!$A$2,0,0,COUNTA([2]characters!$A:$A),MATCH(H$1,[2]characters!$2:$2,0)-MATCH($E$1,[2]characters!$2:$2,0)+1),MATCH(H$1,[2]characters!$2:$2,0)-MATCH($E$1,[2]characters!$2:$2,0)+1,FALSE)</f>
        <v>1</v>
      </c>
      <c r="I3" s="10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10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" s="10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" s="6">
        <v>1</v>
      </c>
      <c r="M3" s="6">
        <v>439</v>
      </c>
      <c r="N3" s="17">
        <v>0</v>
      </c>
      <c r="O3" s="17">
        <v>0</v>
      </c>
      <c r="P3" s="17">
        <v>0</v>
      </c>
      <c r="Q3" s="17">
        <v>0</v>
      </c>
      <c r="R3" s="17">
        <v>1</v>
      </c>
    </row>
    <row r="4" spans="1:18" ht="21" customHeight="1">
      <c r="A4" s="8" t="str">
        <f t="shared" si="0"/>
        <v>051</v>
      </c>
      <c r="B4" s="5">
        <v>201</v>
      </c>
      <c r="C4" s="10" t="str">
        <f ca="1">VLOOKUP($B4,OFFSET([1]gachas!$A$2,0,0,COUNTA([1]gachas!$A:$A),MATCH(C$1,[1]gachas!$1:$1,0)-MATCH($B$1,[1]gachas!$1:$1,0)+1),MATCH(C$1,[1]gachas!$1:$1,0)-MATCH($B$1,[1]gachas!$1:$1,0)+1,FALSE)</f>
        <v>男気リンクガチャ（常設）</v>
      </c>
      <c r="D4" s="6">
        <v>0</v>
      </c>
      <c r="E4" s="7">
        <v>5</v>
      </c>
      <c r="F4" s="10" t="str">
        <f ca="1">VLOOKUP($E4,OFFSET([2]characters!$A$2,0,0,COUNTA([2]characters!$A:$A),MATCH(F$1,[2]characters!$2:$2,0)-MATCH($E$1,[2]characters!$2:$2,0)+1),MATCH(F$1,[2]characters!$2:$2,0)-MATCH($E$1,[2]characters!$2:$2,0)+1,FALSE)</f>
        <v>パトドッグ ポチ</v>
      </c>
      <c r="G4" s="10" t="str">
        <f ca="1">VLOOKUP($E4,OFFSET([2]characters!$A$2,0,0,COUNTA([2]characters!$A:$A),MATCH(G$1,[2]characters!$2:$2,0)-MATCH($E$1,[2]characters!$2:$2,0)+1),MATCH(G$1,[2]characters!$2:$2,0)-MATCH($E$1,[2]characters!$2:$2,0)+1,FALSE)</f>
        <v>Drop1T</v>
      </c>
      <c r="H4" s="10">
        <f ca="1">VLOOKUP($E4,OFFSET([2]characters!$A$2,0,0,COUNTA([2]characters!$A:$A),MATCH(H$1,[2]characters!$2:$2,0)-MATCH($E$1,[2]characters!$2:$2,0)+1),MATCH(H$1,[2]characters!$2:$2,0)-MATCH($E$1,[2]characters!$2:$2,0)+1,FALSE)</f>
        <v>1</v>
      </c>
      <c r="I4" s="10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10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" s="10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" s="6">
        <v>1</v>
      </c>
      <c r="M4" s="6">
        <v>439</v>
      </c>
      <c r="N4" s="17">
        <v>0</v>
      </c>
      <c r="O4" s="17">
        <v>0</v>
      </c>
      <c r="P4" s="17">
        <v>0</v>
      </c>
      <c r="Q4" s="17">
        <v>0</v>
      </c>
      <c r="R4" s="17">
        <v>1</v>
      </c>
    </row>
    <row r="5" spans="1:18" ht="21" customHeight="1">
      <c r="A5" s="8" t="str">
        <f t="shared" si="0"/>
        <v>071</v>
      </c>
      <c r="B5" s="5">
        <v>201</v>
      </c>
      <c r="C5" s="10" t="str">
        <f ca="1">VLOOKUP($B5,OFFSET([1]gachas!$A$2,0,0,COUNTA([1]gachas!$A:$A),MATCH(C$1,[1]gachas!$1:$1,0)-MATCH($B$1,[1]gachas!$1:$1,0)+1),MATCH(C$1,[1]gachas!$1:$1,0)-MATCH($B$1,[1]gachas!$1:$1,0)+1,FALSE)</f>
        <v>男気リンクガチャ（常設）</v>
      </c>
      <c r="D5" s="6">
        <v>0</v>
      </c>
      <c r="E5" s="7">
        <v>7</v>
      </c>
      <c r="F5" s="10" t="str">
        <f ca="1">VLOOKUP($E5,OFFSET([2]characters!$A$2,0,0,COUNTA([2]characters!$A:$A),MATCH(F$1,[2]characters!$2:$2,0)-MATCH($E$1,[2]characters!$2:$2,0)+1),MATCH(F$1,[2]characters!$2:$2,0)-MATCH($E$1,[2]characters!$2:$2,0)+1,FALSE)</f>
        <v>エレキポット</v>
      </c>
      <c r="G5" s="10" t="str">
        <f ca="1">VLOOKUP($E5,OFFSET([2]characters!$A$2,0,0,COUNTA([2]characters!$A:$A),MATCH(G$1,[2]characters!$2:$2,0)-MATCH($E$1,[2]characters!$2:$2,0)+1),MATCH(G$1,[2]characters!$2:$2,0)-MATCH($E$1,[2]characters!$2:$2,0)+1,FALSE)</f>
        <v>Drop1T</v>
      </c>
      <c r="H5" s="10">
        <f ca="1">VLOOKUP($E5,OFFSET([2]characters!$A$2,0,0,COUNTA([2]characters!$A:$A),MATCH(H$1,[2]characters!$2:$2,0)-MATCH($E$1,[2]characters!$2:$2,0)+1),MATCH(H$1,[2]characters!$2:$2,0)-MATCH($E$1,[2]characters!$2:$2,0)+1,FALSE)</f>
        <v>1</v>
      </c>
      <c r="I5" s="10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10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10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5" s="6">
        <v>1</v>
      </c>
      <c r="M5" s="6">
        <v>439</v>
      </c>
      <c r="N5" s="17">
        <v>0</v>
      </c>
      <c r="O5" s="17">
        <v>0</v>
      </c>
      <c r="P5" s="17">
        <v>0</v>
      </c>
      <c r="Q5" s="17">
        <v>0</v>
      </c>
      <c r="R5" s="17">
        <v>1</v>
      </c>
    </row>
    <row r="6" spans="1:18" ht="21" customHeight="1">
      <c r="A6" s="8" t="str">
        <f t="shared" si="0"/>
        <v>091</v>
      </c>
      <c r="B6" s="5">
        <v>201</v>
      </c>
      <c r="C6" s="10" t="str">
        <f ca="1">VLOOKUP($B6,OFFSET([1]gachas!$A$2,0,0,COUNTA([1]gachas!$A:$A),MATCH(C$1,[1]gachas!$1:$1,0)-MATCH($B$1,[1]gachas!$1:$1,0)+1),MATCH(C$1,[1]gachas!$1:$1,0)-MATCH($B$1,[1]gachas!$1:$1,0)+1,FALSE)</f>
        <v>男気リンクガチャ（常設）</v>
      </c>
      <c r="D6" s="6">
        <v>0</v>
      </c>
      <c r="E6" s="7">
        <v>9</v>
      </c>
      <c r="F6" s="10" t="str">
        <f ca="1">VLOOKUP($E6,OFFSET([2]characters!$A$2,0,0,COUNTA([2]characters!$A:$A),MATCH(F$1,[2]characters!$2:$2,0)-MATCH($E$1,[2]characters!$2:$2,0)+1),MATCH(F$1,[2]characters!$2:$2,0)-MATCH($E$1,[2]characters!$2:$2,0)+1,FALSE)</f>
        <v>ブレット</v>
      </c>
      <c r="G6" s="10" t="str">
        <f ca="1">VLOOKUP($E6,OFFSET([2]characters!$A$2,0,0,COUNTA([2]characters!$A:$A),MATCH(G$1,[2]characters!$2:$2,0)-MATCH($E$1,[2]characters!$2:$2,0)+1),MATCH(G$1,[2]characters!$2:$2,0)-MATCH($E$1,[2]characters!$2:$2,0)+1,FALSE)</f>
        <v>Drop1W</v>
      </c>
      <c r="H6" s="10">
        <f ca="1">VLOOKUP($E6,OFFSET([2]characters!$A$2,0,0,COUNTA([2]characters!$A:$A),MATCH(H$1,[2]characters!$2:$2,0)-MATCH($E$1,[2]characters!$2:$2,0)+1),MATCH(H$1,[2]characters!$2:$2,0)-MATCH($E$1,[2]characters!$2:$2,0)+1,FALSE)</f>
        <v>1</v>
      </c>
      <c r="I6" s="10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10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" s="10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" s="6">
        <v>1</v>
      </c>
      <c r="M6" s="6">
        <v>439</v>
      </c>
      <c r="N6" s="17">
        <v>0</v>
      </c>
      <c r="O6" s="17">
        <v>0</v>
      </c>
      <c r="P6" s="17">
        <v>0</v>
      </c>
      <c r="Q6" s="17">
        <v>0</v>
      </c>
      <c r="R6" s="17">
        <v>1</v>
      </c>
    </row>
    <row r="7" spans="1:18" ht="21" customHeight="1">
      <c r="A7" s="8" t="str">
        <f t="shared" si="0"/>
        <v>0111</v>
      </c>
      <c r="B7" s="5">
        <v>201</v>
      </c>
      <c r="C7" s="10" t="str">
        <f ca="1">VLOOKUP($B7,OFFSET([1]gachas!$A$2,0,0,COUNTA([1]gachas!$A:$A),MATCH(C$1,[1]gachas!$1:$1,0)-MATCH($B$1,[1]gachas!$1:$1,0)+1),MATCH(C$1,[1]gachas!$1:$1,0)-MATCH($B$1,[1]gachas!$1:$1,0)+1,FALSE)</f>
        <v>男気リンクガチャ（常設）</v>
      </c>
      <c r="D7" s="6">
        <v>0</v>
      </c>
      <c r="E7" s="7">
        <v>11</v>
      </c>
      <c r="F7" s="10" t="str">
        <f ca="1">VLOOKUP($E7,OFFSET([2]characters!$A$2,0,0,COUNTA([2]characters!$A:$A),MATCH(F$1,[2]characters!$2:$2,0)-MATCH($E$1,[2]characters!$2:$2,0)+1),MATCH(F$1,[2]characters!$2:$2,0)-MATCH($E$1,[2]characters!$2:$2,0)+1,FALSE)</f>
        <v>マグリット</v>
      </c>
      <c r="G7" s="10" t="str">
        <f ca="1">VLOOKUP($E7,OFFSET([2]characters!$A$2,0,0,COUNTA([2]characters!$A:$A),MATCH(G$1,[2]characters!$2:$2,0)-MATCH($E$1,[2]characters!$2:$2,0)+1),MATCH(G$1,[2]characters!$2:$2,0)-MATCH($E$1,[2]characters!$2:$2,0)+1,FALSE)</f>
        <v>Drop1W</v>
      </c>
      <c r="H7" s="10">
        <f ca="1">VLOOKUP($E7,OFFSET([2]characters!$A$2,0,0,COUNTA([2]characters!$A:$A),MATCH(H$1,[2]characters!$2:$2,0)-MATCH($E$1,[2]characters!$2:$2,0)+1),MATCH(H$1,[2]characters!$2:$2,0)-MATCH($E$1,[2]characters!$2:$2,0)+1,FALSE)</f>
        <v>1</v>
      </c>
      <c r="I7" s="10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10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" s="10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" s="6">
        <v>1</v>
      </c>
      <c r="M7" s="6">
        <v>439</v>
      </c>
      <c r="N7" s="17">
        <v>0</v>
      </c>
      <c r="O7" s="17">
        <v>0</v>
      </c>
      <c r="P7" s="17">
        <v>0</v>
      </c>
      <c r="Q7" s="17">
        <v>0</v>
      </c>
      <c r="R7" s="17">
        <v>1</v>
      </c>
    </row>
    <row r="8" spans="1:18" ht="21" customHeight="1">
      <c r="A8" s="8" t="str">
        <f t="shared" si="0"/>
        <v>0131</v>
      </c>
      <c r="B8" s="5">
        <v>201</v>
      </c>
      <c r="C8" s="10" t="str">
        <f ca="1">VLOOKUP($B8,OFFSET([1]gachas!$A$2,0,0,COUNTA([1]gachas!$A:$A),MATCH(C$1,[1]gachas!$1:$1,0)-MATCH($B$1,[1]gachas!$1:$1,0)+1),MATCH(C$1,[1]gachas!$1:$1,0)-MATCH($B$1,[1]gachas!$1:$1,0)+1,FALSE)</f>
        <v>男気リンクガチャ（常設）</v>
      </c>
      <c r="D8" s="6">
        <v>0</v>
      </c>
      <c r="E8" s="7">
        <v>13</v>
      </c>
      <c r="F8" s="10" t="str">
        <f ca="1">VLOOKUP($E8,OFFSET([2]characters!$A$2,0,0,COUNTA([2]characters!$A:$A),MATCH(F$1,[2]characters!$2:$2,0)-MATCH($E$1,[2]characters!$2:$2,0)+1),MATCH(F$1,[2]characters!$2:$2,0)-MATCH($E$1,[2]characters!$2:$2,0)+1,FALSE)</f>
        <v>ミミ</v>
      </c>
      <c r="G8" s="10" t="str">
        <f ca="1">VLOOKUP($E8,OFFSET([2]characters!$A$2,0,0,COUNTA([2]characters!$A:$A),MATCH(G$1,[2]characters!$2:$2,0)-MATCH($E$1,[2]characters!$2:$2,0)+1),MATCH(G$1,[2]characters!$2:$2,0)-MATCH($E$1,[2]characters!$2:$2,0)+1,FALSE)</f>
        <v>Drop1W</v>
      </c>
      <c r="H8" s="10">
        <f ca="1">VLOOKUP($E8,OFFSET([2]characters!$A$2,0,0,COUNTA([2]characters!$A:$A),MATCH(H$1,[2]characters!$2:$2,0)-MATCH($E$1,[2]characters!$2:$2,0)+1),MATCH(H$1,[2]characters!$2:$2,0)-MATCH($E$1,[2]characters!$2:$2,0)+1,FALSE)</f>
        <v>1</v>
      </c>
      <c r="I8" s="10" t="str">
        <f ca="1">VLOOKUP($E8,OFFSET([2]characters!$A$2,0,0,COUNTA([2]characters!$A:$A),MATCH(I$1,[2]characters!$2:$2,0)-MATCH($E$1,[2]characters!$2:$2,0)+1),MATCH(I$1,[2]characters!$2:$2,0)-MATCH($E$1,[2]characters!$2:$2,0)+1,FALSE)</f>
        <v>yellow</v>
      </c>
      <c r="J8" s="10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" s="10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8" s="6">
        <v>1</v>
      </c>
      <c r="M8" s="6">
        <v>439</v>
      </c>
      <c r="N8" s="17">
        <v>0</v>
      </c>
      <c r="O8" s="17">
        <v>0</v>
      </c>
      <c r="P8" s="17">
        <v>0</v>
      </c>
      <c r="Q8" s="17">
        <v>0</v>
      </c>
      <c r="R8" s="17">
        <v>1</v>
      </c>
    </row>
    <row r="9" spans="1:18" ht="21" customHeight="1">
      <c r="A9" s="8" t="str">
        <f t="shared" si="0"/>
        <v>0151</v>
      </c>
      <c r="B9" s="5">
        <v>201</v>
      </c>
      <c r="C9" s="10" t="str">
        <f ca="1">VLOOKUP($B9,OFFSET([1]gachas!$A$2,0,0,COUNTA([1]gachas!$A:$A),MATCH(C$1,[1]gachas!$1:$1,0)-MATCH($B$1,[1]gachas!$1:$1,0)+1),MATCH(C$1,[1]gachas!$1:$1,0)-MATCH($B$1,[1]gachas!$1:$1,0)+1,FALSE)</f>
        <v>男気リンクガチャ（常設）</v>
      </c>
      <c r="D9" s="6">
        <v>0</v>
      </c>
      <c r="E9" s="7">
        <v>15</v>
      </c>
      <c r="F9" s="10" t="str">
        <f ca="1">VLOOKUP($E9,OFFSET([2]characters!$A$2,0,0,COUNTA([2]characters!$A:$A),MATCH(F$1,[2]characters!$2:$2,0)-MATCH($E$1,[2]characters!$2:$2,0)+1),MATCH(F$1,[2]characters!$2:$2,0)-MATCH($E$1,[2]characters!$2:$2,0)+1,FALSE)</f>
        <v>アカネ</v>
      </c>
      <c r="G9" s="10" t="str">
        <f ca="1">VLOOKUP($E9,OFFSET([2]characters!$A$2,0,0,COUNTA([2]characters!$A:$A),MATCH(G$1,[2]characters!$2:$2,0)-MATCH($E$1,[2]characters!$2:$2,0)+1),MATCH(G$1,[2]characters!$2:$2,0)-MATCH($E$1,[2]characters!$2:$2,0)+1,FALSE)</f>
        <v>Drop1W</v>
      </c>
      <c r="H9" s="10">
        <f ca="1">VLOOKUP($E9,OFFSET([2]characters!$A$2,0,0,COUNTA([2]characters!$A:$A),MATCH(H$1,[2]characters!$2:$2,0)-MATCH($E$1,[2]characters!$2:$2,0)+1),MATCH(H$1,[2]characters!$2:$2,0)-MATCH($E$1,[2]characters!$2:$2,0)+1,FALSE)</f>
        <v>1</v>
      </c>
      <c r="I9" s="10" t="str">
        <f ca="1">VLOOKUP($E9,OFFSET([2]characters!$A$2,0,0,COUNTA([2]characters!$A:$A),MATCH(I$1,[2]characters!$2:$2,0)-MATCH($E$1,[2]characters!$2:$2,0)+1),MATCH(I$1,[2]characters!$2:$2,0)-MATCH($E$1,[2]characters!$2:$2,0)+1,FALSE)</f>
        <v>red</v>
      </c>
      <c r="J9" s="10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10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9" s="6">
        <v>1</v>
      </c>
      <c r="M9" s="6">
        <v>439</v>
      </c>
      <c r="N9" s="17">
        <v>0</v>
      </c>
      <c r="O9" s="17">
        <v>0</v>
      </c>
      <c r="P9" s="17">
        <v>0</v>
      </c>
      <c r="Q9" s="17">
        <v>0</v>
      </c>
      <c r="R9" s="17">
        <v>1</v>
      </c>
    </row>
    <row r="10" spans="1:18" ht="21" customHeight="1">
      <c r="A10" s="8" t="str">
        <f t="shared" si="0"/>
        <v>0171</v>
      </c>
      <c r="B10" s="5">
        <v>201</v>
      </c>
      <c r="C10" s="10" t="str">
        <f ca="1">VLOOKUP($B10,OFFSET([1]gachas!$A$2,0,0,COUNTA([1]gachas!$A:$A),MATCH(C$1,[1]gachas!$1:$1,0)-MATCH($B$1,[1]gachas!$1:$1,0)+1),MATCH(C$1,[1]gachas!$1:$1,0)-MATCH($B$1,[1]gachas!$1:$1,0)+1,FALSE)</f>
        <v>男気リンクガチャ（常設）</v>
      </c>
      <c r="D10" s="6">
        <v>0</v>
      </c>
      <c r="E10" s="7">
        <v>17</v>
      </c>
      <c r="F10" s="10" t="str">
        <f ca="1">VLOOKUP($E10,OFFSET([2]characters!$A$2,0,0,COUNTA([2]characters!$A:$A),MATCH(F$1,[2]characters!$2:$2,0)-MATCH($E$1,[2]characters!$2:$2,0)+1),MATCH(F$1,[2]characters!$2:$2,0)-MATCH($E$1,[2]characters!$2:$2,0)+1,FALSE)</f>
        <v>リム</v>
      </c>
      <c r="G10" s="10" t="str">
        <f ca="1">VLOOKUP($E10,OFFSET([2]characters!$A$2,0,0,COUNTA([2]characters!$A:$A),MATCH(G$1,[2]characters!$2:$2,0)-MATCH($E$1,[2]characters!$2:$2,0)+1),MATCH(G$1,[2]characters!$2:$2,0)-MATCH($E$1,[2]characters!$2:$2,0)+1,FALSE)</f>
        <v>Drop1W</v>
      </c>
      <c r="H10" s="10">
        <f ca="1">VLOOKUP($E10,OFFSET([2]characters!$A$2,0,0,COUNTA([2]characters!$A:$A),MATCH(H$1,[2]characters!$2:$2,0)-MATCH($E$1,[2]characters!$2:$2,0)+1),MATCH(H$1,[2]characters!$2:$2,0)-MATCH($E$1,[2]characters!$2:$2,0)+1,FALSE)</f>
        <v>1</v>
      </c>
      <c r="I10" s="10" t="str">
        <f ca="1">VLOOKUP($E10,OFFSET([2]characters!$A$2,0,0,COUNTA([2]characters!$A:$A),MATCH(I$1,[2]characters!$2:$2,0)-MATCH($E$1,[2]characters!$2:$2,0)+1),MATCH(I$1,[2]characters!$2:$2,0)-MATCH($E$1,[2]characters!$2:$2,0)+1,FALSE)</f>
        <v>blue</v>
      </c>
      <c r="J10" s="10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10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0" s="6">
        <v>1</v>
      </c>
      <c r="M10" s="6">
        <v>439</v>
      </c>
      <c r="N10" s="17">
        <v>0</v>
      </c>
      <c r="O10" s="17">
        <v>0</v>
      </c>
      <c r="P10" s="17">
        <v>0</v>
      </c>
      <c r="Q10" s="17">
        <v>0</v>
      </c>
      <c r="R10" s="17">
        <v>1</v>
      </c>
    </row>
    <row r="11" spans="1:18" ht="21" customHeight="1">
      <c r="A11" s="8" t="str">
        <f t="shared" si="0"/>
        <v>0191</v>
      </c>
      <c r="B11" s="5">
        <v>201</v>
      </c>
      <c r="C11" s="10" t="str">
        <f ca="1">VLOOKUP($B11,OFFSET([1]gachas!$A$2,0,0,COUNTA([1]gachas!$A:$A),MATCH(C$1,[1]gachas!$1:$1,0)-MATCH($B$1,[1]gachas!$1:$1,0)+1),MATCH(C$1,[1]gachas!$1:$1,0)-MATCH($B$1,[1]gachas!$1:$1,0)+1,FALSE)</f>
        <v>男気リンクガチャ（常設）</v>
      </c>
      <c r="D11" s="6">
        <v>0</v>
      </c>
      <c r="E11" s="7">
        <v>19</v>
      </c>
      <c r="F11" s="10" t="str">
        <f ca="1">VLOOKUP($E11,OFFSET([2]characters!$A$2,0,0,COUNTA([2]characters!$A:$A),MATCH(F$1,[2]characters!$2:$2,0)-MATCH($E$1,[2]characters!$2:$2,0)+1),MATCH(F$1,[2]characters!$2:$2,0)-MATCH($E$1,[2]characters!$2:$2,0)+1,FALSE)</f>
        <v>ティンク</v>
      </c>
      <c r="G11" s="10" t="str">
        <f ca="1">VLOOKUP($E11,OFFSET([2]characters!$A$2,0,0,COUNTA([2]characters!$A:$A),MATCH(G$1,[2]characters!$2:$2,0)-MATCH($E$1,[2]characters!$2:$2,0)+1),MATCH(G$1,[2]characters!$2:$2,0)-MATCH($E$1,[2]characters!$2:$2,0)+1,FALSE)</f>
        <v>Drop1W</v>
      </c>
      <c r="H11" s="10">
        <f ca="1">VLOOKUP($E11,OFFSET([2]characters!$A$2,0,0,COUNTA([2]characters!$A:$A),MATCH(H$1,[2]characters!$2:$2,0)-MATCH($E$1,[2]characters!$2:$2,0)+1),MATCH(H$1,[2]characters!$2:$2,0)-MATCH($E$1,[2]characters!$2:$2,0)+1,FALSE)</f>
        <v>1</v>
      </c>
      <c r="I11" s="10" t="str">
        <f ca="1">VLOOKUP($E11,OFFSET([2]characters!$A$2,0,0,COUNTA([2]characters!$A:$A),MATCH(I$1,[2]characters!$2:$2,0)-MATCH($E$1,[2]characters!$2:$2,0)+1),MATCH(I$1,[2]characters!$2:$2,0)-MATCH($E$1,[2]characters!$2:$2,0)+1,FALSE)</f>
        <v>yellow</v>
      </c>
      <c r="J11" s="10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" s="10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1" s="6">
        <v>1</v>
      </c>
      <c r="M11" s="6">
        <v>439</v>
      </c>
      <c r="N11" s="17">
        <v>0</v>
      </c>
      <c r="O11" s="17">
        <v>0</v>
      </c>
      <c r="P11" s="17">
        <v>0</v>
      </c>
      <c r="Q11" s="17">
        <v>0</v>
      </c>
      <c r="R11" s="17">
        <v>1</v>
      </c>
    </row>
    <row r="12" spans="1:18" ht="21" customHeight="1">
      <c r="A12" s="8" t="str">
        <f t="shared" si="0"/>
        <v>0211</v>
      </c>
      <c r="B12" s="5">
        <v>201</v>
      </c>
      <c r="C12" s="10" t="str">
        <f ca="1">VLOOKUP($B12,OFFSET([1]gachas!$A$2,0,0,COUNTA([1]gachas!$A:$A),MATCH(C$1,[1]gachas!$1:$1,0)-MATCH($B$1,[1]gachas!$1:$1,0)+1),MATCH(C$1,[1]gachas!$1:$1,0)-MATCH($B$1,[1]gachas!$1:$1,0)+1,FALSE)</f>
        <v>男気リンクガチャ（常設）</v>
      </c>
      <c r="D12" s="6">
        <v>0</v>
      </c>
      <c r="E12" s="7">
        <v>21</v>
      </c>
      <c r="F12" s="10" t="str">
        <f ca="1">VLOOKUP($E12,OFFSET([2]characters!$A$2,0,0,COUNTA([2]characters!$A:$A),MATCH(F$1,[2]characters!$2:$2,0)-MATCH($E$1,[2]characters!$2:$2,0)+1),MATCH(F$1,[2]characters!$2:$2,0)-MATCH($E$1,[2]characters!$2:$2,0)+1,FALSE)</f>
        <v>ヴェロキー</v>
      </c>
      <c r="G12" s="10" t="str">
        <f ca="1">VLOOKUP($E12,OFFSET([2]characters!$A$2,0,0,COUNTA([2]characters!$A:$A),MATCH(G$1,[2]characters!$2:$2,0)-MATCH($E$1,[2]characters!$2:$2,0)+1),MATCH(G$1,[2]characters!$2:$2,0)-MATCH($E$1,[2]characters!$2:$2,0)+1,FALSE)</f>
        <v>Drop1N</v>
      </c>
      <c r="H12" s="10">
        <f ca="1">VLOOKUP($E12,OFFSET([2]characters!$A$2,0,0,COUNTA([2]characters!$A:$A),MATCH(H$1,[2]characters!$2:$2,0)-MATCH($E$1,[2]characters!$2:$2,0)+1),MATCH(H$1,[2]characters!$2:$2,0)-MATCH($E$1,[2]characters!$2:$2,0)+1,FALSE)</f>
        <v>1</v>
      </c>
      <c r="I12" s="10" t="str">
        <f ca="1">VLOOKUP($E12,OFFSET([2]characters!$A$2,0,0,COUNTA([2]characters!$A:$A),MATCH(I$1,[2]characters!$2:$2,0)-MATCH($E$1,[2]characters!$2:$2,0)+1),MATCH(I$1,[2]characters!$2:$2,0)-MATCH($E$1,[2]characters!$2:$2,0)+1,FALSE)</f>
        <v>red</v>
      </c>
      <c r="J12" s="10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10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2" s="6">
        <v>1</v>
      </c>
      <c r="M12" s="6">
        <v>439</v>
      </c>
      <c r="N12" s="17">
        <v>0</v>
      </c>
      <c r="O12" s="17">
        <v>0</v>
      </c>
      <c r="P12" s="17">
        <v>0</v>
      </c>
      <c r="Q12" s="17">
        <v>0</v>
      </c>
      <c r="R12" s="17">
        <v>1</v>
      </c>
    </row>
    <row r="13" spans="1:18" ht="21" customHeight="1">
      <c r="A13" s="8" t="str">
        <f t="shared" si="0"/>
        <v>0231</v>
      </c>
      <c r="B13" s="5">
        <v>201</v>
      </c>
      <c r="C13" s="10" t="str">
        <f ca="1">VLOOKUP($B13,OFFSET([1]gachas!$A$2,0,0,COUNTA([1]gachas!$A:$A),MATCH(C$1,[1]gachas!$1:$1,0)-MATCH($B$1,[1]gachas!$1:$1,0)+1),MATCH(C$1,[1]gachas!$1:$1,0)-MATCH($B$1,[1]gachas!$1:$1,0)+1,FALSE)</f>
        <v>男気リンクガチャ（常設）</v>
      </c>
      <c r="D13" s="6">
        <v>0</v>
      </c>
      <c r="E13" s="7">
        <v>23</v>
      </c>
      <c r="F13" s="10" t="str">
        <f ca="1">VLOOKUP($E13,OFFSET([2]characters!$A$2,0,0,COUNTA([2]characters!$A:$A),MATCH(F$1,[2]characters!$2:$2,0)-MATCH($E$1,[2]characters!$2:$2,0)+1),MATCH(F$1,[2]characters!$2:$2,0)-MATCH($E$1,[2]characters!$2:$2,0)+1,FALSE)</f>
        <v>ミール</v>
      </c>
      <c r="G13" s="10" t="str">
        <f ca="1">VLOOKUP($E13,OFFSET([2]characters!$A$2,0,0,COUNTA([2]characters!$A:$A),MATCH(G$1,[2]characters!$2:$2,0)-MATCH($E$1,[2]characters!$2:$2,0)+1),MATCH(G$1,[2]characters!$2:$2,0)-MATCH($E$1,[2]characters!$2:$2,0)+1,FALSE)</f>
        <v>Drop1N</v>
      </c>
      <c r="H13" s="10">
        <f ca="1">VLOOKUP($E13,OFFSET([2]characters!$A$2,0,0,COUNTA([2]characters!$A:$A),MATCH(H$1,[2]characters!$2:$2,0)-MATCH($E$1,[2]characters!$2:$2,0)+1),MATCH(H$1,[2]characters!$2:$2,0)-MATCH($E$1,[2]characters!$2:$2,0)+1,FALSE)</f>
        <v>1</v>
      </c>
      <c r="I13" s="10" t="str">
        <f ca="1">VLOOKUP($E13,OFFSET([2]characters!$A$2,0,0,COUNTA([2]characters!$A:$A),MATCH(I$1,[2]characters!$2:$2,0)-MATCH($E$1,[2]characters!$2:$2,0)+1),MATCH(I$1,[2]characters!$2:$2,0)-MATCH($E$1,[2]characters!$2:$2,0)+1,FALSE)</f>
        <v>green</v>
      </c>
      <c r="J13" s="10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" s="10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3" s="6">
        <v>1</v>
      </c>
      <c r="M13" s="6">
        <v>439</v>
      </c>
      <c r="N13" s="17">
        <v>0</v>
      </c>
      <c r="O13" s="17">
        <v>0</v>
      </c>
      <c r="P13" s="17">
        <v>0</v>
      </c>
      <c r="Q13" s="17">
        <v>0</v>
      </c>
      <c r="R13" s="17">
        <v>1</v>
      </c>
    </row>
    <row r="14" spans="1:18" ht="21" customHeight="1">
      <c r="A14" s="8" t="str">
        <f t="shared" si="0"/>
        <v>0251</v>
      </c>
      <c r="B14" s="5">
        <v>201</v>
      </c>
      <c r="C14" s="10" t="str">
        <f ca="1">VLOOKUP($B14,OFFSET([1]gachas!$A$2,0,0,COUNTA([1]gachas!$A:$A),MATCH(C$1,[1]gachas!$1:$1,0)-MATCH($B$1,[1]gachas!$1:$1,0)+1),MATCH(C$1,[1]gachas!$1:$1,0)-MATCH($B$1,[1]gachas!$1:$1,0)+1,FALSE)</f>
        <v>男気リンクガチャ（常設）</v>
      </c>
      <c r="D14" s="6">
        <v>0</v>
      </c>
      <c r="E14" s="7">
        <v>25</v>
      </c>
      <c r="F14" s="10" t="str">
        <f ca="1">VLOOKUP($E14,OFFSET([2]characters!$A$2,0,0,COUNTA([2]characters!$A:$A),MATCH(F$1,[2]characters!$2:$2,0)-MATCH($E$1,[2]characters!$2:$2,0)+1),MATCH(F$1,[2]characters!$2:$2,0)-MATCH($E$1,[2]characters!$2:$2,0)+1,FALSE)</f>
        <v>ハチ</v>
      </c>
      <c r="G14" s="10" t="str">
        <f ca="1">VLOOKUP($E14,OFFSET([2]characters!$A$2,0,0,COUNTA([2]characters!$A:$A),MATCH(G$1,[2]characters!$2:$2,0)-MATCH($E$1,[2]characters!$2:$2,0)+1),MATCH(G$1,[2]characters!$2:$2,0)-MATCH($E$1,[2]characters!$2:$2,0)+1,FALSE)</f>
        <v>Drop1N</v>
      </c>
      <c r="H14" s="10">
        <f ca="1">VLOOKUP($E14,OFFSET([2]characters!$A$2,0,0,COUNTA([2]characters!$A:$A),MATCH(H$1,[2]characters!$2:$2,0)-MATCH($E$1,[2]characters!$2:$2,0)+1),MATCH(H$1,[2]characters!$2:$2,0)-MATCH($E$1,[2]characters!$2:$2,0)+1,FALSE)</f>
        <v>1</v>
      </c>
      <c r="I14" s="10" t="str">
        <f ca="1">VLOOKUP($E14,OFFSET([2]characters!$A$2,0,0,COUNTA([2]characters!$A:$A),MATCH(I$1,[2]characters!$2:$2,0)-MATCH($E$1,[2]characters!$2:$2,0)+1),MATCH(I$1,[2]characters!$2:$2,0)-MATCH($E$1,[2]characters!$2:$2,0)+1,FALSE)</f>
        <v>blue</v>
      </c>
      <c r="J14" s="10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" s="10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4" s="6">
        <v>1</v>
      </c>
      <c r="M14" s="6">
        <v>439</v>
      </c>
      <c r="N14" s="17">
        <v>0</v>
      </c>
      <c r="O14" s="17">
        <v>0</v>
      </c>
      <c r="P14" s="17">
        <v>0</v>
      </c>
      <c r="Q14" s="17">
        <v>0</v>
      </c>
      <c r="R14" s="17">
        <v>1</v>
      </c>
    </row>
    <row r="15" spans="1:18" ht="21" customHeight="1">
      <c r="A15" s="8" t="str">
        <f t="shared" si="0"/>
        <v>0271</v>
      </c>
      <c r="B15" s="5">
        <v>201</v>
      </c>
      <c r="C15" s="10" t="str">
        <f ca="1">VLOOKUP($B15,OFFSET([1]gachas!$A$2,0,0,COUNTA([1]gachas!$A:$A),MATCH(C$1,[1]gachas!$1:$1,0)-MATCH($B$1,[1]gachas!$1:$1,0)+1),MATCH(C$1,[1]gachas!$1:$1,0)-MATCH($B$1,[1]gachas!$1:$1,0)+1,FALSE)</f>
        <v>男気リンクガチャ（常設）</v>
      </c>
      <c r="D15" s="6">
        <v>0</v>
      </c>
      <c r="E15" s="7">
        <v>27</v>
      </c>
      <c r="F15" s="10" t="str">
        <f ca="1">VLOOKUP($E15,OFFSET([2]characters!$A$2,0,0,COUNTA([2]characters!$A:$A),MATCH(F$1,[2]characters!$2:$2,0)-MATCH($E$1,[2]characters!$2:$2,0)+1),MATCH(F$1,[2]characters!$2:$2,0)-MATCH($E$1,[2]characters!$2:$2,0)+1,FALSE)</f>
        <v>パトライン</v>
      </c>
      <c r="G15" s="10" t="str">
        <f ca="1">VLOOKUP($E15,OFFSET([2]characters!$A$2,0,0,COUNTA([2]characters!$A:$A),MATCH(G$1,[2]characters!$2:$2,0)-MATCH($E$1,[2]characters!$2:$2,0)+1),MATCH(G$1,[2]characters!$2:$2,0)-MATCH($E$1,[2]characters!$2:$2,0)+1,FALSE)</f>
        <v>Drop1N</v>
      </c>
      <c r="H15" s="10">
        <f ca="1">VLOOKUP($E15,OFFSET([2]characters!$A$2,0,0,COUNTA([2]characters!$A:$A),MATCH(H$1,[2]characters!$2:$2,0)-MATCH($E$1,[2]characters!$2:$2,0)+1),MATCH(H$1,[2]characters!$2:$2,0)-MATCH($E$1,[2]characters!$2:$2,0)+1,FALSE)</f>
        <v>1</v>
      </c>
      <c r="I15" s="10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10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10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5" s="6">
        <v>1</v>
      </c>
      <c r="M15" s="6">
        <v>439</v>
      </c>
      <c r="N15" s="17">
        <v>0</v>
      </c>
      <c r="O15" s="17">
        <v>0</v>
      </c>
      <c r="P15" s="17">
        <v>0</v>
      </c>
      <c r="Q15" s="17">
        <v>0</v>
      </c>
      <c r="R15" s="17">
        <v>1</v>
      </c>
    </row>
    <row r="16" spans="1:18" ht="21" customHeight="1">
      <c r="A16" s="8" t="str">
        <f t="shared" si="0"/>
        <v>0291</v>
      </c>
      <c r="B16" s="5">
        <v>201</v>
      </c>
      <c r="C16" s="10" t="str">
        <f ca="1">VLOOKUP($B16,OFFSET([1]gachas!$A$2,0,0,COUNTA([1]gachas!$A:$A),MATCH(C$1,[1]gachas!$1:$1,0)-MATCH($B$1,[1]gachas!$1:$1,0)+1),MATCH(C$1,[1]gachas!$1:$1,0)-MATCH($B$1,[1]gachas!$1:$1,0)+1,FALSE)</f>
        <v>男気リンクガチャ（常設）</v>
      </c>
      <c r="D16" s="6">
        <v>0</v>
      </c>
      <c r="E16" s="7">
        <v>29</v>
      </c>
      <c r="F16" s="10" t="str">
        <f ca="1">VLOOKUP($E16,OFFSET([2]characters!$A$2,0,0,COUNTA([2]characters!$A:$A),MATCH(F$1,[2]characters!$2:$2,0)-MATCH($E$1,[2]characters!$2:$2,0)+1),MATCH(F$1,[2]characters!$2:$2,0)-MATCH($E$1,[2]characters!$2:$2,0)+1,FALSE)</f>
        <v>スケアクロウ</v>
      </c>
      <c r="G16" s="10" t="str">
        <f ca="1">VLOOKUP($E16,OFFSET([2]characters!$A$2,0,0,COUNTA([2]characters!$A:$A),MATCH(G$1,[2]characters!$2:$2,0)-MATCH($E$1,[2]characters!$2:$2,0)+1),MATCH(G$1,[2]characters!$2:$2,0)-MATCH($E$1,[2]characters!$2:$2,0)+1,FALSE)</f>
        <v>Drop1N</v>
      </c>
      <c r="H16" s="10">
        <f ca="1">VLOOKUP($E16,OFFSET([2]characters!$A$2,0,0,COUNTA([2]characters!$A:$A),MATCH(H$1,[2]characters!$2:$2,0)-MATCH($E$1,[2]characters!$2:$2,0)+1),MATCH(H$1,[2]characters!$2:$2,0)-MATCH($E$1,[2]characters!$2:$2,0)+1,FALSE)</f>
        <v>1</v>
      </c>
      <c r="I16" s="10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10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10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6" s="6">
        <v>1</v>
      </c>
      <c r="M16" s="6">
        <v>439</v>
      </c>
      <c r="N16" s="17">
        <v>0</v>
      </c>
      <c r="O16" s="17">
        <v>0</v>
      </c>
      <c r="P16" s="17">
        <v>0</v>
      </c>
      <c r="Q16" s="17">
        <v>0</v>
      </c>
      <c r="R16" s="17">
        <v>1</v>
      </c>
    </row>
    <row r="17" spans="1:18" ht="21" customHeight="1">
      <c r="A17" s="8" t="str">
        <f t="shared" si="0"/>
        <v>0311</v>
      </c>
      <c r="B17" s="5">
        <v>201</v>
      </c>
      <c r="C17" s="10" t="str">
        <f ca="1">VLOOKUP($B17,OFFSET([1]gachas!$A$2,0,0,COUNTA([1]gachas!$A:$A),MATCH(C$1,[1]gachas!$1:$1,0)-MATCH($B$1,[1]gachas!$1:$1,0)+1),MATCH(C$1,[1]gachas!$1:$1,0)-MATCH($B$1,[1]gachas!$1:$1,0)+1,FALSE)</f>
        <v>男気リンクガチャ（常設）</v>
      </c>
      <c r="D17" s="6">
        <v>0</v>
      </c>
      <c r="E17" s="7">
        <v>31</v>
      </c>
      <c r="F17" s="10" t="str">
        <f ca="1">VLOOKUP($E17,OFFSET([2]characters!$A$2,0,0,COUNTA([2]characters!$A:$A),MATCH(F$1,[2]characters!$2:$2,0)-MATCH($E$1,[2]characters!$2:$2,0)+1),MATCH(F$1,[2]characters!$2:$2,0)-MATCH($E$1,[2]characters!$2:$2,0)+1,FALSE)</f>
        <v>マービー</v>
      </c>
      <c r="G17" s="10" t="str">
        <f ca="1">VLOOKUP($E17,OFFSET([2]characters!$A$2,0,0,COUNTA([2]characters!$A:$A),MATCH(G$1,[2]characters!$2:$2,0)-MATCH($E$1,[2]characters!$2:$2,0)+1),MATCH(G$1,[2]characters!$2:$2,0)-MATCH($E$1,[2]characters!$2:$2,0)+1,FALSE)</f>
        <v>Drop1N</v>
      </c>
      <c r="H17" s="10">
        <f ca="1">VLOOKUP($E17,OFFSET([2]characters!$A$2,0,0,COUNTA([2]characters!$A:$A),MATCH(H$1,[2]characters!$2:$2,0)-MATCH($E$1,[2]characters!$2:$2,0)+1),MATCH(H$1,[2]characters!$2:$2,0)-MATCH($E$1,[2]characters!$2:$2,0)+1,FALSE)</f>
        <v>1</v>
      </c>
      <c r="I17" s="10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10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" s="10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7" s="6">
        <v>1</v>
      </c>
      <c r="M17" s="6">
        <v>439</v>
      </c>
      <c r="N17" s="17">
        <v>0</v>
      </c>
      <c r="O17" s="17">
        <v>0</v>
      </c>
      <c r="P17" s="17">
        <v>0</v>
      </c>
      <c r="Q17" s="17">
        <v>0</v>
      </c>
      <c r="R17" s="17">
        <v>1</v>
      </c>
    </row>
    <row r="18" spans="1:18" ht="21" customHeight="1">
      <c r="A18" s="8" t="str">
        <f t="shared" si="0"/>
        <v>0331</v>
      </c>
      <c r="B18" s="5">
        <v>201</v>
      </c>
      <c r="C18" s="10" t="str">
        <f ca="1">VLOOKUP($B18,OFFSET([1]gachas!$A$2,0,0,COUNTA([1]gachas!$A:$A),MATCH(C$1,[1]gachas!$1:$1,0)-MATCH($B$1,[1]gachas!$1:$1,0)+1),MATCH(C$1,[1]gachas!$1:$1,0)-MATCH($B$1,[1]gachas!$1:$1,0)+1,FALSE)</f>
        <v>男気リンクガチャ（常設）</v>
      </c>
      <c r="D18" s="6">
        <v>0</v>
      </c>
      <c r="E18" s="7">
        <v>33</v>
      </c>
      <c r="F18" s="10" t="str">
        <f ca="1">VLOOKUP($E18,OFFSET([2]characters!$A$2,0,0,COUNTA([2]characters!$A:$A),MATCH(F$1,[2]characters!$2:$2,0)-MATCH($E$1,[2]characters!$2:$2,0)+1),MATCH(F$1,[2]characters!$2:$2,0)-MATCH($E$1,[2]characters!$2:$2,0)+1,FALSE)</f>
        <v>ゴクウ</v>
      </c>
      <c r="G18" s="10" t="str">
        <f ca="1">VLOOKUP($E18,OFFSET([2]characters!$A$2,0,0,COUNTA([2]characters!$A:$A),MATCH(G$1,[2]characters!$2:$2,0)-MATCH($E$1,[2]characters!$2:$2,0)+1),MATCH(G$1,[2]characters!$2:$2,0)-MATCH($E$1,[2]characters!$2:$2,0)+1,FALSE)</f>
        <v>Drop1S</v>
      </c>
      <c r="H18" s="10">
        <f ca="1">VLOOKUP($E18,OFFSET([2]characters!$A$2,0,0,COUNTA([2]characters!$A:$A),MATCH(H$1,[2]characters!$2:$2,0)-MATCH($E$1,[2]characters!$2:$2,0)+1),MATCH(H$1,[2]characters!$2:$2,0)-MATCH($E$1,[2]characters!$2:$2,0)+1,FALSE)</f>
        <v>2</v>
      </c>
      <c r="I18" s="10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10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" s="10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18" s="6">
        <v>1</v>
      </c>
      <c r="M18" s="6">
        <v>316</v>
      </c>
      <c r="N18" s="17">
        <v>0</v>
      </c>
      <c r="O18" s="17">
        <v>0</v>
      </c>
      <c r="P18" s="17">
        <v>0</v>
      </c>
      <c r="Q18" s="17">
        <v>0</v>
      </c>
      <c r="R18" s="17">
        <v>1</v>
      </c>
    </row>
    <row r="19" spans="1:18" ht="21" customHeight="1">
      <c r="A19" s="8" t="str">
        <f t="shared" si="0"/>
        <v>0351</v>
      </c>
      <c r="B19" s="5">
        <v>201</v>
      </c>
      <c r="C19" s="10" t="str">
        <f ca="1">VLOOKUP($B19,OFFSET([1]gachas!$A$2,0,0,COUNTA([1]gachas!$A:$A),MATCH(C$1,[1]gachas!$1:$1,0)-MATCH($B$1,[1]gachas!$1:$1,0)+1),MATCH(C$1,[1]gachas!$1:$1,0)-MATCH($B$1,[1]gachas!$1:$1,0)+1,FALSE)</f>
        <v>男気リンクガチャ（常設）</v>
      </c>
      <c r="D19" s="6">
        <v>0</v>
      </c>
      <c r="E19" s="7">
        <v>35</v>
      </c>
      <c r="F19" s="10" t="str">
        <f ca="1">VLOOKUP($E19,OFFSET([2]characters!$A$2,0,0,COUNTA([2]characters!$A:$A),MATCH(F$1,[2]characters!$2:$2,0)-MATCH($E$1,[2]characters!$2:$2,0)+1),MATCH(F$1,[2]characters!$2:$2,0)-MATCH($E$1,[2]characters!$2:$2,0)+1,FALSE)</f>
        <v>F2</v>
      </c>
      <c r="G19" s="10" t="str">
        <f ca="1">VLOOKUP($E19,OFFSET([2]characters!$A$2,0,0,COUNTA([2]characters!$A:$A),MATCH(G$1,[2]characters!$2:$2,0)-MATCH($E$1,[2]characters!$2:$2,0)+1),MATCH(G$1,[2]characters!$2:$2,0)-MATCH($E$1,[2]characters!$2:$2,0)+1,FALSE)</f>
        <v>Drop1S</v>
      </c>
      <c r="H19" s="10">
        <f ca="1">VLOOKUP($E19,OFFSET([2]characters!$A$2,0,0,COUNTA([2]characters!$A:$A),MATCH(H$1,[2]characters!$2:$2,0)-MATCH($E$1,[2]characters!$2:$2,0)+1),MATCH(H$1,[2]characters!$2:$2,0)-MATCH($E$1,[2]characters!$2:$2,0)+1,FALSE)</f>
        <v>2</v>
      </c>
      <c r="I19" s="10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10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" s="10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9" s="6">
        <v>1</v>
      </c>
      <c r="M19" s="6">
        <v>316</v>
      </c>
      <c r="N19" s="17">
        <v>0</v>
      </c>
      <c r="O19" s="17">
        <v>0</v>
      </c>
      <c r="P19" s="17">
        <v>0</v>
      </c>
      <c r="Q19" s="17">
        <v>0</v>
      </c>
      <c r="R19" s="17">
        <v>1</v>
      </c>
    </row>
    <row r="20" spans="1:18" ht="21" customHeight="1">
      <c r="A20" s="8" t="str">
        <f t="shared" si="0"/>
        <v>0371</v>
      </c>
      <c r="B20" s="5">
        <v>201</v>
      </c>
      <c r="C20" s="10" t="str">
        <f ca="1">VLOOKUP($B20,OFFSET([1]gachas!$A$2,0,0,COUNTA([1]gachas!$A:$A),MATCH(C$1,[1]gachas!$1:$1,0)-MATCH($B$1,[1]gachas!$1:$1,0)+1),MATCH(C$1,[1]gachas!$1:$1,0)-MATCH($B$1,[1]gachas!$1:$1,0)+1,FALSE)</f>
        <v>男気リンクガチャ（常設）</v>
      </c>
      <c r="D20" s="6">
        <v>0</v>
      </c>
      <c r="E20" s="7">
        <v>37</v>
      </c>
      <c r="F20" s="10" t="str">
        <f ca="1">VLOOKUP($E20,OFFSET([2]characters!$A$2,0,0,COUNTA([2]characters!$A:$A),MATCH(F$1,[2]characters!$2:$2,0)-MATCH($E$1,[2]characters!$2:$2,0)+1),MATCH(F$1,[2]characters!$2:$2,0)-MATCH($E$1,[2]characters!$2:$2,0)+1,FALSE)</f>
        <v>ガイル</v>
      </c>
      <c r="G20" s="10" t="str">
        <f ca="1">VLOOKUP($E20,OFFSET([2]characters!$A$2,0,0,COUNTA([2]characters!$A:$A),MATCH(G$1,[2]characters!$2:$2,0)-MATCH($E$1,[2]characters!$2:$2,0)+1),MATCH(G$1,[2]characters!$2:$2,0)-MATCH($E$1,[2]characters!$2:$2,0)+1,FALSE)</f>
        <v>Drop1S</v>
      </c>
      <c r="H20" s="10">
        <f ca="1">VLOOKUP($E20,OFFSET([2]characters!$A$2,0,0,COUNTA([2]characters!$A:$A),MATCH(H$1,[2]characters!$2:$2,0)-MATCH($E$1,[2]characters!$2:$2,0)+1),MATCH(H$1,[2]characters!$2:$2,0)-MATCH($E$1,[2]characters!$2:$2,0)+1,FALSE)</f>
        <v>2</v>
      </c>
      <c r="I20" s="10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10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" s="10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0" s="6">
        <v>1</v>
      </c>
      <c r="M20" s="6">
        <v>316</v>
      </c>
      <c r="N20" s="17">
        <v>0</v>
      </c>
      <c r="O20" s="17">
        <v>0</v>
      </c>
      <c r="P20" s="17">
        <v>0</v>
      </c>
      <c r="Q20" s="17">
        <v>0</v>
      </c>
      <c r="R20" s="17">
        <v>1</v>
      </c>
    </row>
    <row r="21" spans="1:18" ht="21" customHeight="1">
      <c r="A21" s="8" t="str">
        <f t="shared" si="0"/>
        <v>0391</v>
      </c>
      <c r="B21" s="5">
        <v>201</v>
      </c>
      <c r="C21" s="10" t="str">
        <f ca="1">VLOOKUP($B21,OFFSET([1]gachas!$A$2,0,0,COUNTA([1]gachas!$A:$A),MATCH(C$1,[1]gachas!$1:$1,0)-MATCH($B$1,[1]gachas!$1:$1,0)+1),MATCH(C$1,[1]gachas!$1:$1,0)-MATCH($B$1,[1]gachas!$1:$1,0)+1,FALSE)</f>
        <v>男気リンクガチャ（常設）</v>
      </c>
      <c r="D21" s="6">
        <v>0</v>
      </c>
      <c r="E21" s="7">
        <v>39</v>
      </c>
      <c r="F21" s="10" t="str">
        <f ca="1">VLOOKUP($E21,OFFSET([2]characters!$A$2,0,0,COUNTA([2]characters!$A:$A),MATCH(F$1,[2]characters!$2:$2,0)-MATCH($E$1,[2]characters!$2:$2,0)+1),MATCH(F$1,[2]characters!$2:$2,0)-MATCH($E$1,[2]characters!$2:$2,0)+1,FALSE)</f>
        <v>マーロン</v>
      </c>
      <c r="G21" s="10" t="str">
        <f ca="1">VLOOKUP($E21,OFFSET([2]characters!$A$2,0,0,COUNTA([2]characters!$A:$A),MATCH(G$1,[2]characters!$2:$2,0)-MATCH($E$1,[2]characters!$2:$2,0)+1),MATCH(G$1,[2]characters!$2:$2,0)-MATCH($E$1,[2]characters!$2:$2,0)+1,FALSE)</f>
        <v>Drop1S</v>
      </c>
      <c r="H21" s="10">
        <f ca="1">VLOOKUP($E21,OFFSET([2]characters!$A$2,0,0,COUNTA([2]characters!$A:$A),MATCH(H$1,[2]characters!$2:$2,0)-MATCH($E$1,[2]characters!$2:$2,0)+1),MATCH(H$1,[2]characters!$2:$2,0)-MATCH($E$1,[2]characters!$2:$2,0)+1,FALSE)</f>
        <v>2</v>
      </c>
      <c r="I21" s="10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10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" s="10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1" s="6">
        <v>1</v>
      </c>
      <c r="M21" s="6">
        <v>316</v>
      </c>
      <c r="N21" s="17">
        <v>0</v>
      </c>
      <c r="O21" s="17">
        <v>0</v>
      </c>
      <c r="P21" s="17">
        <v>0</v>
      </c>
      <c r="Q21" s="17">
        <v>0</v>
      </c>
      <c r="R21" s="17">
        <v>1</v>
      </c>
    </row>
    <row r="22" spans="1:18" ht="21" customHeight="1">
      <c r="A22" s="8" t="str">
        <f t="shared" si="0"/>
        <v>0411</v>
      </c>
      <c r="B22" s="5">
        <v>201</v>
      </c>
      <c r="C22" s="10" t="str">
        <f ca="1">VLOOKUP($B22,OFFSET([1]gachas!$A$2,0,0,COUNTA([1]gachas!$A:$A),MATCH(C$1,[1]gachas!$1:$1,0)-MATCH($B$1,[1]gachas!$1:$1,0)+1),MATCH(C$1,[1]gachas!$1:$1,0)-MATCH($B$1,[1]gachas!$1:$1,0)+1,FALSE)</f>
        <v>男気リンクガチャ（常設）</v>
      </c>
      <c r="D22" s="6">
        <v>0</v>
      </c>
      <c r="E22" s="7">
        <v>41</v>
      </c>
      <c r="F22" s="10" t="str">
        <f ca="1">VLOOKUP($E22,OFFSET([2]characters!$A$2,0,0,COUNTA([2]characters!$A:$A),MATCH(F$1,[2]characters!$2:$2,0)-MATCH($E$1,[2]characters!$2:$2,0)+1),MATCH(F$1,[2]characters!$2:$2,0)-MATCH($E$1,[2]characters!$2:$2,0)+1,FALSE)</f>
        <v>ヒュウガ</v>
      </c>
      <c r="G22" s="10" t="str">
        <f ca="1">VLOOKUP($E22,OFFSET([2]characters!$A$2,0,0,COUNTA([2]characters!$A:$A),MATCH(G$1,[2]characters!$2:$2,0)-MATCH($E$1,[2]characters!$2:$2,0)+1),MATCH(G$1,[2]characters!$2:$2,0)-MATCH($E$1,[2]characters!$2:$2,0)+1,FALSE)</f>
        <v>Drop1N</v>
      </c>
      <c r="H22" s="10">
        <f ca="1">VLOOKUP($E22,OFFSET([2]characters!$A$2,0,0,COUNTA([2]characters!$A:$A),MATCH(H$1,[2]characters!$2:$2,0)-MATCH($E$1,[2]characters!$2:$2,0)+1),MATCH(H$1,[2]characters!$2:$2,0)-MATCH($E$1,[2]characters!$2:$2,0)+1,FALSE)</f>
        <v>2</v>
      </c>
      <c r="I22" s="10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10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10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2" s="6">
        <v>1</v>
      </c>
      <c r="M22" s="6">
        <v>316</v>
      </c>
      <c r="N22" s="17">
        <v>0</v>
      </c>
      <c r="O22" s="17">
        <v>0</v>
      </c>
      <c r="P22" s="17">
        <v>0</v>
      </c>
      <c r="Q22" s="17">
        <v>0</v>
      </c>
      <c r="R22" s="17">
        <v>1</v>
      </c>
    </row>
    <row r="23" spans="1:18" ht="21" customHeight="1">
      <c r="A23" s="8" t="str">
        <f t="shared" si="0"/>
        <v>0431</v>
      </c>
      <c r="B23" s="5">
        <v>201</v>
      </c>
      <c r="C23" s="10" t="str">
        <f ca="1">VLOOKUP($B23,OFFSET([1]gachas!$A$2,0,0,COUNTA([1]gachas!$A:$A),MATCH(C$1,[1]gachas!$1:$1,0)-MATCH($B$1,[1]gachas!$1:$1,0)+1),MATCH(C$1,[1]gachas!$1:$1,0)-MATCH($B$1,[1]gachas!$1:$1,0)+1,FALSE)</f>
        <v>男気リンクガチャ（常設）</v>
      </c>
      <c r="D23" s="6">
        <v>0</v>
      </c>
      <c r="E23" s="7">
        <v>43</v>
      </c>
      <c r="F23" s="10" t="str">
        <f ca="1">VLOOKUP($E23,OFFSET([2]characters!$A$2,0,0,COUNTA([2]characters!$A:$A),MATCH(F$1,[2]characters!$2:$2,0)-MATCH($E$1,[2]characters!$2:$2,0)+1),MATCH(F$1,[2]characters!$2:$2,0)-MATCH($E$1,[2]characters!$2:$2,0)+1,FALSE)</f>
        <v>ムゥ</v>
      </c>
      <c r="G23" s="10" t="str">
        <f ca="1">VLOOKUP($E23,OFFSET([2]characters!$A$2,0,0,COUNTA([2]characters!$A:$A),MATCH(G$1,[2]characters!$2:$2,0)-MATCH($E$1,[2]characters!$2:$2,0)+1),MATCH(G$1,[2]characters!$2:$2,0)-MATCH($E$1,[2]characters!$2:$2,0)+1,FALSE)</f>
        <v>Drop1N</v>
      </c>
      <c r="H23" s="10">
        <f ca="1">VLOOKUP($E23,OFFSET([2]characters!$A$2,0,0,COUNTA([2]characters!$A:$A),MATCH(H$1,[2]characters!$2:$2,0)-MATCH($E$1,[2]characters!$2:$2,0)+1),MATCH(H$1,[2]characters!$2:$2,0)-MATCH($E$1,[2]characters!$2:$2,0)+1,FALSE)</f>
        <v>2</v>
      </c>
      <c r="I23" s="10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10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" s="10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23" s="6">
        <v>1</v>
      </c>
      <c r="M23" s="6">
        <v>316</v>
      </c>
      <c r="N23" s="17">
        <v>0</v>
      </c>
      <c r="O23" s="17">
        <v>0</v>
      </c>
      <c r="P23" s="17">
        <v>0</v>
      </c>
      <c r="Q23" s="17">
        <v>0</v>
      </c>
      <c r="R23" s="17">
        <v>1</v>
      </c>
    </row>
    <row r="24" spans="1:18" ht="21" customHeight="1">
      <c r="A24" s="8" t="str">
        <f t="shared" si="0"/>
        <v>0451</v>
      </c>
      <c r="B24" s="5">
        <v>201</v>
      </c>
      <c r="C24" s="10" t="str">
        <f ca="1">VLOOKUP($B24,OFFSET([1]gachas!$A$2,0,0,COUNTA([1]gachas!$A:$A),MATCH(C$1,[1]gachas!$1:$1,0)-MATCH($B$1,[1]gachas!$1:$1,0)+1),MATCH(C$1,[1]gachas!$1:$1,0)-MATCH($B$1,[1]gachas!$1:$1,0)+1,FALSE)</f>
        <v>男気リンクガチャ（常設）</v>
      </c>
      <c r="D24" s="6">
        <v>0</v>
      </c>
      <c r="E24" s="7">
        <v>45</v>
      </c>
      <c r="F24" s="10" t="str">
        <f ca="1">VLOOKUP($E24,OFFSET([2]characters!$A$2,0,0,COUNTA([2]characters!$A:$A),MATCH(F$1,[2]characters!$2:$2,0)-MATCH($E$1,[2]characters!$2:$2,0)+1),MATCH(F$1,[2]characters!$2:$2,0)-MATCH($E$1,[2]characters!$2:$2,0)+1,FALSE)</f>
        <v>ショウイン</v>
      </c>
      <c r="G24" s="10" t="str">
        <f ca="1">VLOOKUP($E24,OFFSET([2]characters!$A$2,0,0,COUNTA([2]characters!$A:$A),MATCH(G$1,[2]characters!$2:$2,0)-MATCH($E$1,[2]characters!$2:$2,0)+1),MATCH(G$1,[2]characters!$2:$2,0)-MATCH($E$1,[2]characters!$2:$2,0)+1,FALSE)</f>
        <v>Drop1N</v>
      </c>
      <c r="H24" s="10">
        <f ca="1">VLOOKUP($E24,OFFSET([2]characters!$A$2,0,0,COUNTA([2]characters!$A:$A),MATCH(H$1,[2]characters!$2:$2,0)-MATCH($E$1,[2]characters!$2:$2,0)+1),MATCH(H$1,[2]characters!$2:$2,0)-MATCH($E$1,[2]characters!$2:$2,0)+1,FALSE)</f>
        <v>2</v>
      </c>
      <c r="I24" s="10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10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" s="10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4" s="6">
        <v>1</v>
      </c>
      <c r="M24" s="6">
        <v>316</v>
      </c>
      <c r="N24" s="17">
        <v>0</v>
      </c>
      <c r="O24" s="17">
        <v>0</v>
      </c>
      <c r="P24" s="17">
        <v>0</v>
      </c>
      <c r="Q24" s="17">
        <v>0</v>
      </c>
      <c r="R24" s="17">
        <v>1</v>
      </c>
    </row>
    <row r="25" spans="1:18" ht="21" customHeight="1">
      <c r="A25" s="8" t="str">
        <f t="shared" si="0"/>
        <v>0471</v>
      </c>
      <c r="B25" s="5">
        <v>201</v>
      </c>
      <c r="C25" s="10" t="str">
        <f ca="1">VLOOKUP($B25,OFFSET([1]gachas!$A$2,0,0,COUNTA([1]gachas!$A:$A),MATCH(C$1,[1]gachas!$1:$1,0)-MATCH($B$1,[1]gachas!$1:$1,0)+1),MATCH(C$1,[1]gachas!$1:$1,0)-MATCH($B$1,[1]gachas!$1:$1,0)+1,FALSE)</f>
        <v>男気リンクガチャ（常設）</v>
      </c>
      <c r="D25" s="6">
        <v>0</v>
      </c>
      <c r="E25" s="7">
        <v>47</v>
      </c>
      <c r="F25" s="10" t="str">
        <f ca="1">VLOOKUP($E25,OFFSET([2]characters!$A$2,0,0,COUNTA([2]characters!$A:$A),MATCH(F$1,[2]characters!$2:$2,0)-MATCH($E$1,[2]characters!$2:$2,0)+1),MATCH(F$1,[2]characters!$2:$2,0)-MATCH($E$1,[2]characters!$2:$2,0)+1,FALSE)</f>
        <v>ヒロ</v>
      </c>
      <c r="G25" s="10" t="str">
        <f ca="1">VLOOKUP($E25,OFFSET([2]characters!$A$2,0,0,COUNTA([2]characters!$A:$A),MATCH(G$1,[2]characters!$2:$2,0)-MATCH($E$1,[2]characters!$2:$2,0)+1),MATCH(G$1,[2]characters!$2:$2,0)-MATCH($E$1,[2]characters!$2:$2,0)+1,FALSE)</f>
        <v>Drop1N</v>
      </c>
      <c r="H25" s="10">
        <f ca="1">VLOOKUP($E25,OFFSET([2]characters!$A$2,0,0,COUNTA([2]characters!$A:$A),MATCH(H$1,[2]characters!$2:$2,0)-MATCH($E$1,[2]characters!$2:$2,0)+1),MATCH(H$1,[2]characters!$2:$2,0)-MATCH($E$1,[2]characters!$2:$2,0)+1,FALSE)</f>
        <v>2</v>
      </c>
      <c r="I25" s="10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10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10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5" s="6">
        <v>1</v>
      </c>
      <c r="M25" s="6">
        <v>316</v>
      </c>
      <c r="N25" s="17">
        <v>0</v>
      </c>
      <c r="O25" s="17">
        <v>0</v>
      </c>
      <c r="P25" s="17">
        <v>0</v>
      </c>
      <c r="Q25" s="17">
        <v>0</v>
      </c>
      <c r="R25" s="17">
        <v>1</v>
      </c>
    </row>
    <row r="26" spans="1:18" ht="21" customHeight="1">
      <c r="A26" s="8" t="str">
        <f t="shared" si="0"/>
        <v>0491</v>
      </c>
      <c r="B26" s="5">
        <v>201</v>
      </c>
      <c r="C26" s="10" t="str">
        <f ca="1">VLOOKUP($B26,OFFSET([1]gachas!$A$2,0,0,COUNTA([1]gachas!$A:$A),MATCH(C$1,[1]gachas!$1:$1,0)-MATCH($B$1,[1]gachas!$1:$1,0)+1),MATCH(C$1,[1]gachas!$1:$1,0)-MATCH($B$1,[1]gachas!$1:$1,0)+1,FALSE)</f>
        <v>男気リンクガチャ（常設）</v>
      </c>
      <c r="D26" s="6">
        <v>0</v>
      </c>
      <c r="E26" s="7">
        <v>49</v>
      </c>
      <c r="F26" s="10" t="str">
        <f ca="1">VLOOKUP($E26,OFFSET([2]characters!$A$2,0,0,COUNTA([2]characters!$A:$A),MATCH(F$1,[2]characters!$2:$2,0)-MATCH($E$1,[2]characters!$2:$2,0)+1),MATCH(F$1,[2]characters!$2:$2,0)-MATCH($E$1,[2]characters!$2:$2,0)+1,FALSE)</f>
        <v>ヨシタカ</v>
      </c>
      <c r="G26" s="10" t="str">
        <f ca="1">VLOOKUP($E26,OFFSET([2]characters!$A$2,0,0,COUNTA([2]characters!$A:$A),MATCH(G$1,[2]characters!$2:$2,0)-MATCH($E$1,[2]characters!$2:$2,0)+1),MATCH(G$1,[2]characters!$2:$2,0)-MATCH($E$1,[2]characters!$2:$2,0)+1,FALSE)</f>
        <v>Drop1N</v>
      </c>
      <c r="H26" s="10">
        <f ca="1">VLOOKUP($E26,OFFSET([2]characters!$A$2,0,0,COUNTA([2]characters!$A:$A),MATCH(H$1,[2]characters!$2:$2,0)-MATCH($E$1,[2]characters!$2:$2,0)+1),MATCH(H$1,[2]characters!$2:$2,0)-MATCH($E$1,[2]characters!$2:$2,0)+1,FALSE)</f>
        <v>2</v>
      </c>
      <c r="I26" s="10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10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6" s="10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6" s="6">
        <v>1</v>
      </c>
      <c r="M26" s="6">
        <v>316</v>
      </c>
      <c r="N26" s="17">
        <v>0</v>
      </c>
      <c r="O26" s="17">
        <v>0</v>
      </c>
      <c r="P26" s="17">
        <v>0</v>
      </c>
      <c r="Q26" s="17">
        <v>0</v>
      </c>
      <c r="R26" s="17">
        <v>1</v>
      </c>
    </row>
    <row r="27" spans="1:18" ht="21" customHeight="1">
      <c r="A27" s="8" t="str">
        <f t="shared" si="0"/>
        <v>0511</v>
      </c>
      <c r="B27" s="5">
        <v>201</v>
      </c>
      <c r="C27" s="10" t="str">
        <f ca="1">VLOOKUP($B27,OFFSET([1]gachas!$A$2,0,0,COUNTA([1]gachas!$A:$A),MATCH(C$1,[1]gachas!$1:$1,0)-MATCH($B$1,[1]gachas!$1:$1,0)+1),MATCH(C$1,[1]gachas!$1:$1,0)-MATCH($B$1,[1]gachas!$1:$1,0)+1,FALSE)</f>
        <v>男気リンクガチャ（常設）</v>
      </c>
      <c r="D27" s="6">
        <v>0</v>
      </c>
      <c r="E27" s="7">
        <v>51</v>
      </c>
      <c r="F27" s="10" t="str">
        <f ca="1">VLOOKUP($E27,OFFSET([2]characters!$A$2,0,0,COUNTA([2]characters!$A:$A),MATCH(F$1,[2]characters!$2:$2,0)-MATCH($E$1,[2]characters!$2:$2,0)+1),MATCH(F$1,[2]characters!$2:$2,0)-MATCH($E$1,[2]characters!$2:$2,0)+1,FALSE)</f>
        <v>マイ</v>
      </c>
      <c r="G27" s="10" t="str">
        <f ca="1">VLOOKUP($E27,OFFSET([2]characters!$A$2,0,0,COUNTA([2]characters!$A:$A),MATCH(G$1,[2]characters!$2:$2,0)-MATCH($E$1,[2]characters!$2:$2,0)+1),MATCH(G$1,[2]characters!$2:$2,0)-MATCH($E$1,[2]characters!$2:$2,0)+1,FALSE)</f>
        <v>Drop1N</v>
      </c>
      <c r="H27" s="10">
        <f ca="1">VLOOKUP($E27,OFFSET([2]characters!$A$2,0,0,COUNTA([2]characters!$A:$A),MATCH(H$1,[2]characters!$2:$2,0)-MATCH($E$1,[2]characters!$2:$2,0)+1),MATCH(H$1,[2]characters!$2:$2,0)-MATCH($E$1,[2]characters!$2:$2,0)+1,FALSE)</f>
        <v>2</v>
      </c>
      <c r="I27" s="10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10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7" s="10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7" s="6">
        <v>1</v>
      </c>
      <c r="M27" s="6">
        <v>316</v>
      </c>
      <c r="N27" s="17">
        <v>0</v>
      </c>
      <c r="O27" s="17">
        <v>0</v>
      </c>
      <c r="P27" s="17">
        <v>0</v>
      </c>
      <c r="Q27" s="17">
        <v>0</v>
      </c>
      <c r="R27" s="17">
        <v>1</v>
      </c>
    </row>
    <row r="28" spans="1:18" ht="21" customHeight="1">
      <c r="A28" s="8" t="str">
        <f t="shared" si="0"/>
        <v>0531</v>
      </c>
      <c r="B28" s="5">
        <v>201</v>
      </c>
      <c r="C28" s="10" t="str">
        <f ca="1">VLOOKUP($B28,OFFSET([1]gachas!$A$2,0,0,COUNTA([1]gachas!$A:$A),MATCH(C$1,[1]gachas!$1:$1,0)-MATCH($B$1,[1]gachas!$1:$1,0)+1),MATCH(C$1,[1]gachas!$1:$1,0)-MATCH($B$1,[1]gachas!$1:$1,0)+1,FALSE)</f>
        <v>男気リンクガチャ（常設）</v>
      </c>
      <c r="D28" s="6">
        <v>0</v>
      </c>
      <c r="E28" s="7">
        <v>53</v>
      </c>
      <c r="F28" s="10" t="str">
        <f ca="1">VLOOKUP($E28,OFFSET([2]characters!$A$2,0,0,COUNTA([2]characters!$A:$A),MATCH(F$1,[2]characters!$2:$2,0)-MATCH($E$1,[2]characters!$2:$2,0)+1),MATCH(F$1,[2]characters!$2:$2,0)-MATCH($E$1,[2]characters!$2:$2,0)+1,FALSE)</f>
        <v>ケンジ</v>
      </c>
      <c r="G28" s="10" t="str">
        <f ca="1">VLOOKUP($E28,OFFSET([2]characters!$A$2,0,0,COUNTA([2]characters!$A:$A),MATCH(G$1,[2]characters!$2:$2,0)-MATCH($E$1,[2]characters!$2:$2,0)+1),MATCH(G$1,[2]characters!$2:$2,0)-MATCH($E$1,[2]characters!$2:$2,0)+1,FALSE)</f>
        <v>Drop1N</v>
      </c>
      <c r="H28" s="10">
        <f ca="1">VLOOKUP($E28,OFFSET([2]characters!$A$2,0,0,COUNTA([2]characters!$A:$A),MATCH(H$1,[2]characters!$2:$2,0)-MATCH($E$1,[2]characters!$2:$2,0)+1),MATCH(H$1,[2]characters!$2:$2,0)-MATCH($E$1,[2]characters!$2:$2,0)+1,FALSE)</f>
        <v>2</v>
      </c>
      <c r="I28" s="10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10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8" s="10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8" s="6">
        <v>1</v>
      </c>
      <c r="M28" s="6">
        <v>316</v>
      </c>
      <c r="N28" s="17">
        <v>0</v>
      </c>
      <c r="O28" s="17">
        <v>0</v>
      </c>
      <c r="P28" s="17">
        <v>0</v>
      </c>
      <c r="Q28" s="17">
        <v>0</v>
      </c>
      <c r="R28" s="17">
        <v>1</v>
      </c>
    </row>
    <row r="29" spans="1:18" ht="21" customHeight="1">
      <c r="A29" s="8" t="str">
        <f t="shared" si="0"/>
        <v>0551</v>
      </c>
      <c r="B29" s="5">
        <v>201</v>
      </c>
      <c r="C29" s="10" t="str">
        <f ca="1">VLOOKUP($B29,OFFSET([1]gachas!$A$2,0,0,COUNTA([1]gachas!$A:$A),MATCH(C$1,[1]gachas!$1:$1,0)-MATCH($B$1,[1]gachas!$1:$1,0)+1),MATCH(C$1,[1]gachas!$1:$1,0)-MATCH($B$1,[1]gachas!$1:$1,0)+1,FALSE)</f>
        <v>男気リンクガチャ（常設）</v>
      </c>
      <c r="D29" s="6">
        <v>0</v>
      </c>
      <c r="E29" s="7">
        <v>55</v>
      </c>
      <c r="F29" s="10" t="str">
        <f ca="1">VLOOKUP($E29,OFFSET([2]characters!$A$2,0,0,COUNTA([2]characters!$A:$A),MATCH(F$1,[2]characters!$2:$2,0)-MATCH($E$1,[2]characters!$2:$2,0)+1),MATCH(F$1,[2]characters!$2:$2,0)-MATCH($E$1,[2]characters!$2:$2,0)+1,FALSE)</f>
        <v>マミコ</v>
      </c>
      <c r="G29" s="10" t="str">
        <f ca="1">VLOOKUP($E29,OFFSET([2]characters!$A$2,0,0,COUNTA([2]characters!$A:$A),MATCH(G$1,[2]characters!$2:$2,0)-MATCH($E$1,[2]characters!$2:$2,0)+1),MATCH(G$1,[2]characters!$2:$2,0)-MATCH($E$1,[2]characters!$2:$2,0)+1,FALSE)</f>
        <v>Drop1N</v>
      </c>
      <c r="H29" s="10">
        <f ca="1">VLOOKUP($E29,OFFSET([2]characters!$A$2,0,0,COUNTA([2]characters!$A:$A),MATCH(H$1,[2]characters!$2:$2,0)-MATCH($E$1,[2]characters!$2:$2,0)+1),MATCH(H$1,[2]characters!$2:$2,0)-MATCH($E$1,[2]characters!$2:$2,0)+1,FALSE)</f>
        <v>2</v>
      </c>
      <c r="I29" s="10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10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9" s="10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9" s="6">
        <v>1</v>
      </c>
      <c r="M29" s="6">
        <v>316</v>
      </c>
      <c r="N29" s="17">
        <v>0</v>
      </c>
      <c r="O29" s="17">
        <v>0</v>
      </c>
      <c r="P29" s="17">
        <v>0</v>
      </c>
      <c r="Q29" s="17">
        <v>0</v>
      </c>
      <c r="R29" s="17">
        <v>1</v>
      </c>
    </row>
    <row r="30" spans="1:18" ht="21" customHeight="1">
      <c r="A30" s="8" t="str">
        <f t="shared" si="0"/>
        <v>0571</v>
      </c>
      <c r="B30" s="5">
        <v>201</v>
      </c>
      <c r="C30" s="10" t="str">
        <f ca="1">VLOOKUP($B30,OFFSET([1]gachas!$A$2,0,0,COUNTA([1]gachas!$A:$A),MATCH(C$1,[1]gachas!$1:$1,0)-MATCH($B$1,[1]gachas!$1:$1,0)+1),MATCH(C$1,[1]gachas!$1:$1,0)-MATCH($B$1,[1]gachas!$1:$1,0)+1,FALSE)</f>
        <v>男気リンクガチャ（常設）</v>
      </c>
      <c r="D30" s="6">
        <v>0</v>
      </c>
      <c r="E30" s="7">
        <v>57</v>
      </c>
      <c r="F30" s="10" t="str">
        <f ca="1">VLOOKUP($E30,OFFSET([2]characters!$A$2,0,0,COUNTA([2]characters!$A:$A),MATCH(F$1,[2]characters!$2:$2,0)-MATCH($E$1,[2]characters!$2:$2,0)+1),MATCH(F$1,[2]characters!$2:$2,0)-MATCH($E$1,[2]characters!$2:$2,0)+1,FALSE)</f>
        <v>チェン・リー</v>
      </c>
      <c r="G30" s="10" t="str">
        <f ca="1">VLOOKUP($E30,OFFSET([2]characters!$A$2,0,0,COUNTA([2]characters!$A:$A),MATCH(G$1,[2]characters!$2:$2,0)-MATCH($E$1,[2]characters!$2:$2,0)+1),MATCH(G$1,[2]characters!$2:$2,0)-MATCH($E$1,[2]characters!$2:$2,0)+1,FALSE)</f>
        <v>Drop1N</v>
      </c>
      <c r="H30" s="10">
        <f ca="1">VLOOKUP($E30,OFFSET([2]characters!$A$2,0,0,COUNTA([2]characters!$A:$A),MATCH(H$1,[2]characters!$2:$2,0)-MATCH($E$1,[2]characters!$2:$2,0)+1),MATCH(H$1,[2]characters!$2:$2,0)-MATCH($E$1,[2]characters!$2:$2,0)+1,FALSE)</f>
        <v>2</v>
      </c>
      <c r="I30" s="10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10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10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0" s="6">
        <v>1</v>
      </c>
      <c r="M30" s="6">
        <v>316</v>
      </c>
      <c r="N30" s="17">
        <v>0</v>
      </c>
      <c r="O30" s="17">
        <v>0</v>
      </c>
      <c r="P30" s="17">
        <v>0</v>
      </c>
      <c r="Q30" s="17">
        <v>0</v>
      </c>
      <c r="R30" s="17">
        <v>1</v>
      </c>
    </row>
    <row r="31" spans="1:18" ht="21" customHeight="1">
      <c r="A31" s="8" t="str">
        <f t="shared" si="0"/>
        <v>0591</v>
      </c>
      <c r="B31" s="5">
        <v>201</v>
      </c>
      <c r="C31" s="10" t="str">
        <f ca="1">VLOOKUP($B31,OFFSET([1]gachas!$A$2,0,0,COUNTA([1]gachas!$A:$A),MATCH(C$1,[1]gachas!$1:$1,0)-MATCH($B$1,[1]gachas!$1:$1,0)+1),MATCH(C$1,[1]gachas!$1:$1,0)-MATCH($B$1,[1]gachas!$1:$1,0)+1,FALSE)</f>
        <v>男気リンクガチャ（常設）</v>
      </c>
      <c r="D31" s="6">
        <v>0</v>
      </c>
      <c r="E31" s="7">
        <v>59</v>
      </c>
      <c r="F31" s="10" t="str">
        <f ca="1">VLOOKUP($E31,OFFSET([2]characters!$A$2,0,0,COUNTA([2]characters!$A:$A),MATCH(F$1,[2]characters!$2:$2,0)-MATCH($E$1,[2]characters!$2:$2,0)+1),MATCH(F$1,[2]characters!$2:$2,0)-MATCH($E$1,[2]characters!$2:$2,0)+1,FALSE)</f>
        <v>マーチ</v>
      </c>
      <c r="G31" s="10" t="str">
        <f ca="1">VLOOKUP($E31,OFFSET([2]characters!$A$2,0,0,COUNTA([2]characters!$A:$A),MATCH(G$1,[2]characters!$2:$2,0)-MATCH($E$1,[2]characters!$2:$2,0)+1),MATCH(G$1,[2]characters!$2:$2,0)-MATCH($E$1,[2]characters!$2:$2,0)+1,FALSE)</f>
        <v>Drop1N</v>
      </c>
      <c r="H31" s="10">
        <f ca="1">VLOOKUP($E31,OFFSET([2]characters!$A$2,0,0,COUNTA([2]characters!$A:$A),MATCH(H$1,[2]characters!$2:$2,0)-MATCH($E$1,[2]characters!$2:$2,0)+1),MATCH(H$1,[2]characters!$2:$2,0)-MATCH($E$1,[2]characters!$2:$2,0)+1,FALSE)</f>
        <v>2</v>
      </c>
      <c r="I31" s="10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10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1" s="10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1" s="6">
        <v>1</v>
      </c>
      <c r="M31" s="6">
        <v>316</v>
      </c>
      <c r="N31" s="17">
        <v>0</v>
      </c>
      <c r="O31" s="17">
        <v>0</v>
      </c>
      <c r="P31" s="17">
        <v>0</v>
      </c>
      <c r="Q31" s="17">
        <v>0</v>
      </c>
      <c r="R31" s="17">
        <v>1</v>
      </c>
    </row>
    <row r="32" spans="1:18" ht="21" customHeight="1">
      <c r="A32" s="8" t="str">
        <f t="shared" si="0"/>
        <v>0611</v>
      </c>
      <c r="B32" s="5">
        <v>201</v>
      </c>
      <c r="C32" s="10" t="str">
        <f ca="1">VLOOKUP($B32,OFFSET([1]gachas!$A$2,0,0,COUNTA([1]gachas!$A:$A),MATCH(C$1,[1]gachas!$1:$1,0)-MATCH($B$1,[1]gachas!$1:$1,0)+1),MATCH(C$1,[1]gachas!$1:$1,0)-MATCH($B$1,[1]gachas!$1:$1,0)+1,FALSE)</f>
        <v>男気リンクガチャ（常設）</v>
      </c>
      <c r="D32" s="6">
        <v>0</v>
      </c>
      <c r="E32" s="7">
        <v>61</v>
      </c>
      <c r="F32" s="10" t="str">
        <f ca="1">VLOOKUP($E32,OFFSET([2]characters!$A$2,0,0,COUNTA([2]characters!$A:$A),MATCH(F$1,[2]characters!$2:$2,0)-MATCH($E$1,[2]characters!$2:$2,0)+1),MATCH(F$1,[2]characters!$2:$2,0)-MATCH($E$1,[2]characters!$2:$2,0)+1,FALSE)</f>
        <v>クロウ</v>
      </c>
      <c r="G32" s="10" t="str">
        <f ca="1">VLOOKUP($E32,OFFSET([2]characters!$A$2,0,0,COUNTA([2]characters!$A:$A),MATCH(G$1,[2]characters!$2:$2,0)-MATCH($E$1,[2]characters!$2:$2,0)+1),MATCH(G$1,[2]characters!$2:$2,0)-MATCH($E$1,[2]characters!$2:$2,0)+1,FALSE)</f>
        <v>Drop1N</v>
      </c>
      <c r="H32" s="10">
        <f ca="1">VLOOKUP($E32,OFFSET([2]characters!$A$2,0,0,COUNTA([2]characters!$A:$A),MATCH(H$1,[2]characters!$2:$2,0)-MATCH($E$1,[2]characters!$2:$2,0)+1),MATCH(H$1,[2]characters!$2:$2,0)-MATCH($E$1,[2]characters!$2:$2,0)+1,FALSE)</f>
        <v>2</v>
      </c>
      <c r="I32" s="10" t="str">
        <f ca="1">VLOOKUP($E32,OFFSET([2]characters!$A$2,0,0,COUNTA([2]characters!$A:$A),MATCH(I$1,[2]characters!$2:$2,0)-MATCH($E$1,[2]characters!$2:$2,0)+1),MATCH(I$1,[2]characters!$2:$2,0)-MATCH($E$1,[2]characters!$2:$2,0)+1,FALSE)</f>
        <v>blue</v>
      </c>
      <c r="J32" s="10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2" s="10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2" s="6">
        <v>1</v>
      </c>
      <c r="M32" s="6">
        <v>316</v>
      </c>
      <c r="N32" s="17">
        <v>0</v>
      </c>
      <c r="O32" s="17">
        <v>0</v>
      </c>
      <c r="P32" s="17">
        <v>0</v>
      </c>
      <c r="Q32" s="17">
        <v>0</v>
      </c>
      <c r="R32" s="17">
        <v>1</v>
      </c>
    </row>
    <row r="33" spans="1:18" ht="21" customHeight="1">
      <c r="A33" s="8" t="str">
        <f t="shared" si="0"/>
        <v>0631</v>
      </c>
      <c r="B33" s="5">
        <v>201</v>
      </c>
      <c r="C33" s="10" t="str">
        <f ca="1">VLOOKUP($B33,OFFSET([1]gachas!$A$2,0,0,COUNTA([1]gachas!$A:$A),MATCH(C$1,[1]gachas!$1:$1,0)-MATCH($B$1,[1]gachas!$1:$1,0)+1),MATCH(C$1,[1]gachas!$1:$1,0)-MATCH($B$1,[1]gachas!$1:$1,0)+1,FALSE)</f>
        <v>男気リンクガチャ（常設）</v>
      </c>
      <c r="D33" s="6">
        <v>0</v>
      </c>
      <c r="E33" s="7">
        <v>63</v>
      </c>
      <c r="F33" s="10" t="str">
        <f ca="1">VLOOKUP($E33,OFFSET([2]characters!$A$2,0,0,COUNTA([2]characters!$A:$A),MATCH(F$1,[2]characters!$2:$2,0)-MATCH($E$1,[2]characters!$2:$2,0)+1),MATCH(F$1,[2]characters!$2:$2,0)-MATCH($E$1,[2]characters!$2:$2,0)+1,FALSE)</f>
        <v>トニー</v>
      </c>
      <c r="G33" s="10" t="str">
        <f ca="1">VLOOKUP($E33,OFFSET([2]characters!$A$2,0,0,COUNTA([2]characters!$A:$A),MATCH(G$1,[2]characters!$2:$2,0)-MATCH($E$1,[2]characters!$2:$2,0)+1),MATCH(G$1,[2]characters!$2:$2,0)-MATCH($E$1,[2]characters!$2:$2,0)+1,FALSE)</f>
        <v>Drop1N</v>
      </c>
      <c r="H33" s="10">
        <f ca="1">VLOOKUP($E33,OFFSET([2]characters!$A$2,0,0,COUNTA([2]characters!$A:$A),MATCH(H$1,[2]characters!$2:$2,0)-MATCH($E$1,[2]characters!$2:$2,0)+1),MATCH(H$1,[2]characters!$2:$2,0)-MATCH($E$1,[2]characters!$2:$2,0)+1,FALSE)</f>
        <v>2</v>
      </c>
      <c r="I33" s="10" t="str">
        <f ca="1">VLOOKUP($E33,OFFSET([2]characters!$A$2,0,0,COUNTA([2]characters!$A:$A),MATCH(I$1,[2]characters!$2:$2,0)-MATCH($E$1,[2]characters!$2:$2,0)+1),MATCH(I$1,[2]characters!$2:$2,0)-MATCH($E$1,[2]characters!$2:$2,0)+1,FALSE)</f>
        <v>yellow</v>
      </c>
      <c r="J33" s="10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33" s="10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33" s="6">
        <v>1</v>
      </c>
      <c r="M33" s="6">
        <v>316</v>
      </c>
      <c r="N33" s="17">
        <v>0</v>
      </c>
      <c r="O33" s="17">
        <v>0</v>
      </c>
      <c r="P33" s="17">
        <v>0</v>
      </c>
      <c r="Q33" s="17">
        <v>0</v>
      </c>
      <c r="R33" s="17">
        <v>1</v>
      </c>
    </row>
    <row r="34" spans="1:18" ht="21" customHeight="1">
      <c r="A34" s="8" t="str">
        <f t="shared" si="0"/>
        <v>0651</v>
      </c>
      <c r="B34" s="5">
        <v>201</v>
      </c>
      <c r="C34" s="10" t="str">
        <f ca="1">VLOOKUP($B34,OFFSET([1]gachas!$A$2,0,0,COUNTA([1]gachas!$A:$A),MATCH(C$1,[1]gachas!$1:$1,0)-MATCH($B$1,[1]gachas!$1:$1,0)+1),MATCH(C$1,[1]gachas!$1:$1,0)-MATCH($B$1,[1]gachas!$1:$1,0)+1,FALSE)</f>
        <v>男気リンクガチャ（常設）</v>
      </c>
      <c r="D34" s="6">
        <v>0</v>
      </c>
      <c r="E34" s="7">
        <v>65</v>
      </c>
      <c r="F34" s="10" t="str">
        <f ca="1">VLOOKUP($E34,OFFSET([2]characters!$A$2,0,0,COUNTA([2]characters!$A:$A),MATCH(F$1,[2]characters!$2:$2,0)-MATCH($E$1,[2]characters!$2:$2,0)+1),MATCH(F$1,[2]characters!$2:$2,0)-MATCH($E$1,[2]characters!$2:$2,0)+1,FALSE)</f>
        <v>ファイアフォックス</v>
      </c>
      <c r="G34" s="10" t="str">
        <f ca="1">VLOOKUP($E34,OFFSET([2]characters!$A$2,0,0,COUNTA([2]characters!$A:$A),MATCH(G$1,[2]characters!$2:$2,0)-MATCH($E$1,[2]characters!$2:$2,0)+1),MATCH(G$1,[2]characters!$2:$2,0)-MATCH($E$1,[2]characters!$2:$2,0)+1,FALSE)</f>
        <v>Drop1S</v>
      </c>
      <c r="H34" s="10">
        <f ca="1">VLOOKUP($E34,OFFSET([2]characters!$A$2,0,0,COUNTA([2]characters!$A:$A),MATCH(H$1,[2]characters!$2:$2,0)-MATCH($E$1,[2]characters!$2:$2,0)+1),MATCH(H$1,[2]characters!$2:$2,0)-MATCH($E$1,[2]characters!$2:$2,0)+1,FALSE)</f>
        <v>2</v>
      </c>
      <c r="I34" s="10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10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4" s="10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4" s="6">
        <v>1</v>
      </c>
      <c r="M34" s="6">
        <v>316</v>
      </c>
      <c r="N34" s="17">
        <v>0</v>
      </c>
      <c r="O34" s="17">
        <v>0</v>
      </c>
      <c r="P34" s="17">
        <v>0</v>
      </c>
      <c r="Q34" s="17">
        <v>0</v>
      </c>
      <c r="R34" s="17">
        <v>1</v>
      </c>
    </row>
    <row r="35" spans="1:18" ht="21" customHeight="1">
      <c r="A35" s="8" t="str">
        <f t="shared" si="0"/>
        <v>0681</v>
      </c>
      <c r="B35" s="5">
        <v>201</v>
      </c>
      <c r="C35" s="10" t="str">
        <f ca="1">VLOOKUP($B35,OFFSET([1]gachas!$A$2,0,0,COUNTA([1]gachas!$A:$A),MATCH(C$1,[1]gachas!$1:$1,0)-MATCH($B$1,[1]gachas!$1:$1,0)+1),MATCH(C$1,[1]gachas!$1:$1,0)-MATCH($B$1,[1]gachas!$1:$1,0)+1,FALSE)</f>
        <v>男気リンクガチャ（常設）</v>
      </c>
      <c r="D35" s="6">
        <v>0</v>
      </c>
      <c r="E35" s="7">
        <v>68</v>
      </c>
      <c r="F35" s="10" t="str">
        <f ca="1">VLOOKUP($E35,OFFSET([2]characters!$A$2,0,0,COUNTA([2]characters!$A:$A),MATCH(F$1,[2]characters!$2:$2,0)-MATCH($E$1,[2]characters!$2:$2,0)+1),MATCH(F$1,[2]characters!$2:$2,0)-MATCH($E$1,[2]characters!$2:$2,0)+1,FALSE)</f>
        <v>ストール</v>
      </c>
      <c r="G35" s="10" t="str">
        <f ca="1">VLOOKUP($E35,OFFSET([2]characters!$A$2,0,0,COUNTA([2]characters!$A:$A),MATCH(G$1,[2]characters!$2:$2,0)-MATCH($E$1,[2]characters!$2:$2,0)+1),MATCH(G$1,[2]characters!$2:$2,0)-MATCH($E$1,[2]characters!$2:$2,0)+1,FALSE)</f>
        <v>Drop1S</v>
      </c>
      <c r="H35" s="10">
        <f ca="1">VLOOKUP($E35,OFFSET([2]characters!$A$2,0,0,COUNTA([2]characters!$A:$A),MATCH(H$1,[2]characters!$2:$2,0)-MATCH($E$1,[2]characters!$2:$2,0)+1),MATCH(H$1,[2]characters!$2:$2,0)-MATCH($E$1,[2]characters!$2:$2,0)+1,FALSE)</f>
        <v>2</v>
      </c>
      <c r="I35" s="10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10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10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35" s="6">
        <v>1</v>
      </c>
      <c r="M35" s="6">
        <v>316</v>
      </c>
      <c r="N35" s="17">
        <v>0</v>
      </c>
      <c r="O35" s="17">
        <v>0</v>
      </c>
      <c r="P35" s="17">
        <v>0</v>
      </c>
      <c r="Q35" s="17">
        <v>0</v>
      </c>
      <c r="R35" s="17">
        <v>1</v>
      </c>
    </row>
    <row r="36" spans="1:18" ht="21" customHeight="1">
      <c r="A36" s="8" t="str">
        <f t="shared" si="0"/>
        <v>0711</v>
      </c>
      <c r="B36" s="5">
        <v>201</v>
      </c>
      <c r="C36" s="10" t="str">
        <f ca="1">VLOOKUP($B36,OFFSET([1]gachas!$A$2,0,0,COUNTA([1]gachas!$A:$A),MATCH(C$1,[1]gachas!$1:$1,0)-MATCH($B$1,[1]gachas!$1:$1,0)+1),MATCH(C$1,[1]gachas!$1:$1,0)-MATCH($B$1,[1]gachas!$1:$1,0)+1,FALSE)</f>
        <v>男気リンクガチャ（常設）</v>
      </c>
      <c r="D36" s="6">
        <v>0</v>
      </c>
      <c r="E36" s="7">
        <v>71</v>
      </c>
      <c r="F36" s="10" t="str">
        <f ca="1">VLOOKUP($E36,OFFSET([2]characters!$A$2,0,0,COUNTA([2]characters!$A:$A),MATCH(F$1,[2]characters!$2:$2,0)-MATCH($E$1,[2]characters!$2:$2,0)+1),MATCH(F$1,[2]characters!$2:$2,0)-MATCH($E$1,[2]characters!$2:$2,0)+1,FALSE)</f>
        <v>ダックス</v>
      </c>
      <c r="G36" s="10" t="str">
        <f ca="1">VLOOKUP($E36,OFFSET([2]characters!$A$2,0,0,COUNTA([2]characters!$A:$A),MATCH(G$1,[2]characters!$2:$2,0)-MATCH($E$1,[2]characters!$2:$2,0)+1),MATCH(G$1,[2]characters!$2:$2,0)-MATCH($E$1,[2]characters!$2:$2,0)+1,FALSE)</f>
        <v>Drop1S</v>
      </c>
      <c r="H36" s="10">
        <f ca="1">VLOOKUP($E36,OFFSET([2]characters!$A$2,0,0,COUNTA([2]characters!$A:$A),MATCH(H$1,[2]characters!$2:$2,0)-MATCH($E$1,[2]characters!$2:$2,0)+1),MATCH(H$1,[2]characters!$2:$2,0)-MATCH($E$1,[2]characters!$2:$2,0)+1,FALSE)</f>
        <v>2</v>
      </c>
      <c r="I36" s="10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10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6" s="10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6" s="6">
        <v>1</v>
      </c>
      <c r="M36" s="6">
        <v>316</v>
      </c>
      <c r="N36" s="17">
        <v>0</v>
      </c>
      <c r="O36" s="17">
        <v>0</v>
      </c>
      <c r="P36" s="17">
        <v>0</v>
      </c>
      <c r="Q36" s="17">
        <v>0</v>
      </c>
      <c r="R36" s="17">
        <v>1</v>
      </c>
    </row>
    <row r="37" spans="1:18" ht="21" customHeight="1">
      <c r="A37" s="8" t="str">
        <f t="shared" si="0"/>
        <v>0741</v>
      </c>
      <c r="B37" s="5">
        <v>201</v>
      </c>
      <c r="C37" s="10" t="str">
        <f ca="1">VLOOKUP($B37,OFFSET([1]gachas!$A$2,0,0,COUNTA([1]gachas!$A:$A),MATCH(C$1,[1]gachas!$1:$1,0)-MATCH($B$1,[1]gachas!$1:$1,0)+1),MATCH(C$1,[1]gachas!$1:$1,0)-MATCH($B$1,[1]gachas!$1:$1,0)+1,FALSE)</f>
        <v>男気リンクガチャ（常設）</v>
      </c>
      <c r="D37" s="6">
        <v>0</v>
      </c>
      <c r="E37" s="7">
        <v>74</v>
      </c>
      <c r="F37" s="10" t="str">
        <f ca="1">VLOOKUP($E37,OFFSET([2]characters!$A$2,0,0,COUNTA([2]characters!$A:$A),MATCH(F$1,[2]characters!$2:$2,0)-MATCH($E$1,[2]characters!$2:$2,0)+1),MATCH(F$1,[2]characters!$2:$2,0)-MATCH($E$1,[2]characters!$2:$2,0)+1,FALSE)</f>
        <v>サンダーバード</v>
      </c>
      <c r="G37" s="10" t="str">
        <f ca="1">VLOOKUP($E37,OFFSET([2]characters!$A$2,0,0,COUNTA([2]characters!$A:$A),MATCH(G$1,[2]characters!$2:$2,0)-MATCH($E$1,[2]characters!$2:$2,0)+1),MATCH(G$1,[2]characters!$2:$2,0)-MATCH($E$1,[2]characters!$2:$2,0)+1,FALSE)</f>
        <v>Drop1S</v>
      </c>
      <c r="H37" s="10">
        <f ca="1">VLOOKUP($E37,OFFSET([2]characters!$A$2,0,0,COUNTA([2]characters!$A:$A),MATCH(H$1,[2]characters!$2:$2,0)-MATCH($E$1,[2]characters!$2:$2,0)+1),MATCH(H$1,[2]characters!$2:$2,0)-MATCH($E$1,[2]characters!$2:$2,0)+1,FALSE)</f>
        <v>2</v>
      </c>
      <c r="I37" s="10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10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7" s="10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7" s="6">
        <v>1</v>
      </c>
      <c r="M37" s="6">
        <v>0</v>
      </c>
      <c r="N37" s="17">
        <v>0</v>
      </c>
      <c r="O37" s="17">
        <v>0</v>
      </c>
      <c r="P37" s="17">
        <v>0</v>
      </c>
      <c r="Q37" s="17">
        <v>0</v>
      </c>
      <c r="R37" s="17">
        <v>1</v>
      </c>
    </row>
    <row r="38" spans="1:18" ht="21" customHeight="1">
      <c r="A38" s="8" t="str">
        <f t="shared" si="0"/>
        <v>021</v>
      </c>
      <c r="B38" s="5">
        <v>201</v>
      </c>
      <c r="C38" s="10" t="str">
        <f ca="1">VLOOKUP($B38,OFFSET([1]gachas!$A$2,0,0,COUNTA([1]gachas!$A:$A),MATCH(C$1,[1]gachas!$1:$1,0)-MATCH($B$1,[1]gachas!$1:$1,0)+1),MATCH(C$1,[1]gachas!$1:$1,0)-MATCH($B$1,[1]gachas!$1:$1,0)+1,FALSE)</f>
        <v>男気リンクガチャ（常設）</v>
      </c>
      <c r="D38" s="6">
        <v>0</v>
      </c>
      <c r="E38" s="7">
        <v>2</v>
      </c>
      <c r="F38" s="10" t="str">
        <f ca="1">VLOOKUP($E38,OFFSET([2]characters!$A$2,0,0,COUNTA([2]characters!$A:$A),MATCH(F$1,[2]characters!$2:$2,0)-MATCH($E$1,[2]characters!$2:$2,0)+1),MATCH(F$1,[2]characters!$2:$2,0)-MATCH($E$1,[2]characters!$2:$2,0)+1,FALSE)</f>
        <v>イレギュラー・ジェリー</v>
      </c>
      <c r="G38" s="10" t="str">
        <f ca="1">VLOOKUP($E38,OFFSET([2]characters!$A$2,0,0,COUNTA([2]characters!$A:$A),MATCH(G$1,[2]characters!$2:$2,0)-MATCH($E$1,[2]characters!$2:$2,0)+1),MATCH(G$1,[2]characters!$2:$2,0)-MATCH($E$1,[2]characters!$2:$2,0)+1,FALSE)</f>
        <v>Drop1T</v>
      </c>
      <c r="H38" s="10">
        <f ca="1">VLOOKUP($E38,OFFSET([2]characters!$A$2,0,0,COUNTA([2]characters!$A:$A),MATCH(H$1,[2]characters!$2:$2,0)-MATCH($E$1,[2]characters!$2:$2,0)+1),MATCH(H$1,[2]characters!$2:$2,0)-MATCH($E$1,[2]characters!$2:$2,0)+1,FALSE)</f>
        <v>2</v>
      </c>
      <c r="I38" s="10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10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8" s="10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8" s="6">
        <v>1</v>
      </c>
      <c r="M38" s="6">
        <v>0</v>
      </c>
      <c r="N38" s="17">
        <v>0</v>
      </c>
      <c r="O38" s="17">
        <v>0</v>
      </c>
      <c r="P38" s="17">
        <v>0</v>
      </c>
      <c r="Q38" s="17">
        <v>0</v>
      </c>
      <c r="R38" s="17">
        <v>1</v>
      </c>
    </row>
    <row r="39" spans="1:18" ht="21" customHeight="1">
      <c r="A39" s="8" t="str">
        <f t="shared" si="0"/>
        <v>041</v>
      </c>
      <c r="B39" s="5">
        <v>201</v>
      </c>
      <c r="C39" s="10" t="str">
        <f ca="1">VLOOKUP($B39,OFFSET([1]gachas!$A$2,0,0,COUNTA([1]gachas!$A:$A),MATCH(C$1,[1]gachas!$1:$1,0)-MATCH($B$1,[1]gachas!$1:$1,0)+1),MATCH(C$1,[1]gachas!$1:$1,0)-MATCH($B$1,[1]gachas!$1:$1,0)+1,FALSE)</f>
        <v>男気リンクガチャ（常設）</v>
      </c>
      <c r="D39" s="6">
        <v>0</v>
      </c>
      <c r="E39" s="7">
        <v>4</v>
      </c>
      <c r="F39" s="10" t="str">
        <f ca="1">VLOOKUP($E39,OFFSET([2]characters!$A$2,0,0,COUNTA([2]characters!$A:$A),MATCH(F$1,[2]characters!$2:$2,0)-MATCH($E$1,[2]characters!$2:$2,0)+1),MATCH(F$1,[2]characters!$2:$2,0)-MATCH($E$1,[2]characters!$2:$2,0)+1,FALSE)</f>
        <v>エースエージェント ジョー</v>
      </c>
      <c r="G39" s="10" t="str">
        <f ca="1">VLOOKUP($E39,OFFSET([2]characters!$A$2,0,0,COUNTA([2]characters!$A:$A),MATCH(G$1,[2]characters!$2:$2,0)-MATCH($E$1,[2]characters!$2:$2,0)+1),MATCH(G$1,[2]characters!$2:$2,0)-MATCH($E$1,[2]characters!$2:$2,0)+1,FALSE)</f>
        <v>Drop1T</v>
      </c>
      <c r="H39" s="10">
        <f ca="1">VLOOKUP($E39,OFFSET([2]characters!$A$2,0,0,COUNTA([2]characters!$A:$A),MATCH(H$1,[2]characters!$2:$2,0)-MATCH($E$1,[2]characters!$2:$2,0)+1),MATCH(H$1,[2]characters!$2:$2,0)-MATCH($E$1,[2]characters!$2:$2,0)+1,FALSE)</f>
        <v>2</v>
      </c>
      <c r="I39" s="10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10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9" s="10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9" s="6">
        <v>1</v>
      </c>
      <c r="M39" s="6">
        <v>0</v>
      </c>
      <c r="N39" s="17">
        <v>0</v>
      </c>
      <c r="O39" s="17">
        <v>0</v>
      </c>
      <c r="P39" s="17">
        <v>0</v>
      </c>
      <c r="Q39" s="17">
        <v>0</v>
      </c>
      <c r="R39" s="17">
        <v>1</v>
      </c>
    </row>
    <row r="40" spans="1:18" ht="21" customHeight="1">
      <c r="A40" s="8" t="str">
        <f t="shared" si="0"/>
        <v>061</v>
      </c>
      <c r="B40" s="5">
        <v>201</v>
      </c>
      <c r="C40" s="10" t="str">
        <f ca="1">VLOOKUP($B40,OFFSET([1]gachas!$A$2,0,0,COUNTA([1]gachas!$A:$A),MATCH(C$1,[1]gachas!$1:$1,0)-MATCH($B$1,[1]gachas!$1:$1,0)+1),MATCH(C$1,[1]gachas!$1:$1,0)-MATCH($B$1,[1]gachas!$1:$1,0)+1,FALSE)</f>
        <v>男気リンクガチャ（常設）</v>
      </c>
      <c r="D40" s="6">
        <v>0</v>
      </c>
      <c r="E40" s="7">
        <v>6</v>
      </c>
      <c r="F40" s="10" t="str">
        <f ca="1">VLOOKUP($E40,OFFSET([2]characters!$A$2,0,0,COUNTA([2]characters!$A:$A),MATCH(F$1,[2]characters!$2:$2,0)-MATCH($E$1,[2]characters!$2:$2,0)+1),MATCH(F$1,[2]characters!$2:$2,0)-MATCH($E$1,[2]characters!$2:$2,0)+1,FALSE)</f>
        <v>パトドッグリーダー ポチ</v>
      </c>
      <c r="G40" s="10" t="str">
        <f ca="1">VLOOKUP($E40,OFFSET([2]characters!$A$2,0,0,COUNTA([2]characters!$A:$A),MATCH(G$1,[2]characters!$2:$2,0)-MATCH($E$1,[2]characters!$2:$2,0)+1),MATCH(G$1,[2]characters!$2:$2,0)-MATCH($E$1,[2]characters!$2:$2,0)+1,FALSE)</f>
        <v>Drop1T</v>
      </c>
      <c r="H40" s="10">
        <f ca="1">VLOOKUP($E40,OFFSET([2]characters!$A$2,0,0,COUNTA([2]characters!$A:$A),MATCH(H$1,[2]characters!$2:$2,0)-MATCH($E$1,[2]characters!$2:$2,0)+1),MATCH(H$1,[2]characters!$2:$2,0)-MATCH($E$1,[2]characters!$2:$2,0)+1,FALSE)</f>
        <v>2</v>
      </c>
      <c r="I40" s="10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10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0" s="10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0" s="6">
        <v>1</v>
      </c>
      <c r="M40" s="6">
        <v>0</v>
      </c>
      <c r="N40" s="17">
        <v>0</v>
      </c>
      <c r="O40" s="17">
        <v>0</v>
      </c>
      <c r="P40" s="17">
        <v>0</v>
      </c>
      <c r="Q40" s="17">
        <v>0</v>
      </c>
      <c r="R40" s="17">
        <v>1</v>
      </c>
    </row>
    <row r="41" spans="1:18" ht="21" customHeight="1">
      <c r="A41" s="8" t="str">
        <f t="shared" si="0"/>
        <v>081</v>
      </c>
      <c r="B41" s="5">
        <v>201</v>
      </c>
      <c r="C41" s="10" t="str">
        <f ca="1">VLOOKUP($B41,OFFSET([1]gachas!$A$2,0,0,COUNTA([1]gachas!$A:$A),MATCH(C$1,[1]gachas!$1:$1,0)-MATCH($B$1,[1]gachas!$1:$1,0)+1),MATCH(C$1,[1]gachas!$1:$1,0)-MATCH($B$1,[1]gachas!$1:$1,0)+1,FALSE)</f>
        <v>男気リンクガチャ（常設）</v>
      </c>
      <c r="D41" s="6">
        <v>0</v>
      </c>
      <c r="E41" s="7">
        <v>8</v>
      </c>
      <c r="F41" s="10" t="str">
        <f ca="1">VLOOKUP($E41,OFFSET([2]characters!$A$2,0,0,COUNTA([2]characters!$A:$A),MATCH(F$1,[2]characters!$2:$2,0)-MATCH($E$1,[2]characters!$2:$2,0)+1),MATCH(F$1,[2]characters!$2:$2,0)-MATCH($E$1,[2]characters!$2:$2,0)+1,FALSE)</f>
        <v>ハイボルテージ エレキポット</v>
      </c>
      <c r="G41" s="10" t="str">
        <f ca="1">VLOOKUP($E41,OFFSET([2]characters!$A$2,0,0,COUNTA([2]characters!$A:$A),MATCH(G$1,[2]characters!$2:$2,0)-MATCH($E$1,[2]characters!$2:$2,0)+1),MATCH(G$1,[2]characters!$2:$2,0)-MATCH($E$1,[2]characters!$2:$2,0)+1,FALSE)</f>
        <v>Drop1T</v>
      </c>
      <c r="H41" s="10">
        <f ca="1">VLOOKUP($E41,OFFSET([2]characters!$A$2,0,0,COUNTA([2]characters!$A:$A),MATCH(H$1,[2]characters!$2:$2,0)-MATCH($E$1,[2]characters!$2:$2,0)+1),MATCH(H$1,[2]characters!$2:$2,0)-MATCH($E$1,[2]characters!$2:$2,0)+1,FALSE)</f>
        <v>2</v>
      </c>
      <c r="I41" s="10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10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1" s="10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1" s="6">
        <v>1</v>
      </c>
      <c r="M41" s="6">
        <v>0</v>
      </c>
      <c r="N41" s="17">
        <v>0</v>
      </c>
      <c r="O41" s="17">
        <v>0</v>
      </c>
      <c r="P41" s="17">
        <v>0</v>
      </c>
      <c r="Q41" s="17">
        <v>0</v>
      </c>
      <c r="R41" s="17">
        <v>1</v>
      </c>
    </row>
    <row r="42" spans="1:18" ht="21" customHeight="1">
      <c r="A42" s="8" t="str">
        <f t="shared" si="0"/>
        <v>0101</v>
      </c>
      <c r="B42" s="5">
        <v>201</v>
      </c>
      <c r="C42" s="10" t="str">
        <f ca="1">VLOOKUP($B42,OFFSET([1]gachas!$A$2,0,0,COUNTA([1]gachas!$A:$A),MATCH(C$1,[1]gachas!$1:$1,0)-MATCH($B$1,[1]gachas!$1:$1,0)+1),MATCH(C$1,[1]gachas!$1:$1,0)-MATCH($B$1,[1]gachas!$1:$1,0)+1,FALSE)</f>
        <v>男気リンクガチャ（常設）</v>
      </c>
      <c r="D42" s="6">
        <v>0</v>
      </c>
      <c r="E42" s="7">
        <v>10</v>
      </c>
      <c r="F42" s="10" t="str">
        <f ca="1">VLOOKUP($E42,OFFSET([2]characters!$A$2,0,0,COUNTA([2]characters!$A:$A),MATCH(F$1,[2]characters!$2:$2,0)-MATCH($E$1,[2]characters!$2:$2,0)+1),MATCH(F$1,[2]characters!$2:$2,0)-MATCH($E$1,[2]characters!$2:$2,0)+1,FALSE)</f>
        <v>燃える悪戯魂 ブレット</v>
      </c>
      <c r="G42" s="10" t="str">
        <f ca="1">VLOOKUP($E42,OFFSET([2]characters!$A$2,0,0,COUNTA([2]characters!$A:$A),MATCH(G$1,[2]characters!$2:$2,0)-MATCH($E$1,[2]characters!$2:$2,0)+1),MATCH(G$1,[2]characters!$2:$2,0)-MATCH($E$1,[2]characters!$2:$2,0)+1,FALSE)</f>
        <v>Drop1W</v>
      </c>
      <c r="H42" s="10">
        <f ca="1">VLOOKUP($E42,OFFSET([2]characters!$A$2,0,0,COUNTA([2]characters!$A:$A),MATCH(H$1,[2]characters!$2:$2,0)-MATCH($E$1,[2]characters!$2:$2,0)+1),MATCH(H$1,[2]characters!$2:$2,0)-MATCH($E$1,[2]characters!$2:$2,0)+1,FALSE)</f>
        <v>2</v>
      </c>
      <c r="I42" s="10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10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10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2" s="6">
        <v>1</v>
      </c>
      <c r="M42" s="6">
        <v>0</v>
      </c>
      <c r="N42" s="17">
        <v>0</v>
      </c>
      <c r="O42" s="17">
        <v>0</v>
      </c>
      <c r="P42" s="17">
        <v>0</v>
      </c>
      <c r="Q42" s="17">
        <v>0</v>
      </c>
      <c r="R42" s="17">
        <v>1</v>
      </c>
    </row>
    <row r="43" spans="1:18" ht="21" customHeight="1">
      <c r="A43" s="8" t="str">
        <f t="shared" si="0"/>
        <v>0121</v>
      </c>
      <c r="B43" s="5">
        <v>201</v>
      </c>
      <c r="C43" s="10" t="str">
        <f ca="1">VLOOKUP($B43,OFFSET([1]gachas!$A$2,0,0,COUNTA([1]gachas!$A:$A),MATCH(C$1,[1]gachas!$1:$1,0)-MATCH($B$1,[1]gachas!$1:$1,0)+1),MATCH(C$1,[1]gachas!$1:$1,0)-MATCH($B$1,[1]gachas!$1:$1,0)+1,FALSE)</f>
        <v>男気リンクガチャ（常設）</v>
      </c>
      <c r="D43" s="6">
        <v>0</v>
      </c>
      <c r="E43" s="7">
        <v>12</v>
      </c>
      <c r="F43" s="10" t="str">
        <f ca="1">VLOOKUP($E43,OFFSET([2]characters!$A$2,0,0,COUNTA([2]characters!$A:$A),MATCH(F$1,[2]characters!$2:$2,0)-MATCH($E$1,[2]characters!$2:$2,0)+1),MATCH(F$1,[2]characters!$2:$2,0)-MATCH($E$1,[2]characters!$2:$2,0)+1,FALSE)</f>
        <v>癒しのグラフィティ マグリット</v>
      </c>
      <c r="G43" s="10" t="str">
        <f ca="1">VLOOKUP($E43,OFFSET([2]characters!$A$2,0,0,COUNTA([2]characters!$A:$A),MATCH(G$1,[2]characters!$2:$2,0)-MATCH($E$1,[2]characters!$2:$2,0)+1),MATCH(G$1,[2]characters!$2:$2,0)-MATCH($E$1,[2]characters!$2:$2,0)+1,FALSE)</f>
        <v>Drop1W</v>
      </c>
      <c r="H43" s="10">
        <f ca="1">VLOOKUP($E43,OFFSET([2]characters!$A$2,0,0,COUNTA([2]characters!$A:$A),MATCH(H$1,[2]characters!$2:$2,0)-MATCH($E$1,[2]characters!$2:$2,0)+1),MATCH(H$1,[2]characters!$2:$2,0)-MATCH($E$1,[2]characters!$2:$2,0)+1,FALSE)</f>
        <v>2</v>
      </c>
      <c r="I43" s="10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10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3" s="10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3" s="6">
        <v>1</v>
      </c>
      <c r="M43" s="6">
        <v>0</v>
      </c>
      <c r="N43" s="17">
        <v>0</v>
      </c>
      <c r="O43" s="17">
        <v>0</v>
      </c>
      <c r="P43" s="17">
        <v>0</v>
      </c>
      <c r="Q43" s="17">
        <v>0</v>
      </c>
      <c r="R43" s="17">
        <v>1</v>
      </c>
    </row>
    <row r="44" spans="1:18" ht="21" customHeight="1">
      <c r="A44" s="8" t="str">
        <f t="shared" si="0"/>
        <v>0141</v>
      </c>
      <c r="B44" s="5">
        <v>201</v>
      </c>
      <c r="C44" s="10" t="str">
        <f ca="1">VLOOKUP($B44,OFFSET([1]gachas!$A$2,0,0,COUNTA([1]gachas!$A:$A),MATCH(C$1,[1]gachas!$1:$1,0)-MATCH($B$1,[1]gachas!$1:$1,0)+1),MATCH(C$1,[1]gachas!$1:$1,0)-MATCH($B$1,[1]gachas!$1:$1,0)+1,FALSE)</f>
        <v>男気リンクガチャ（常設）</v>
      </c>
      <c r="D44" s="6">
        <v>0</v>
      </c>
      <c r="E44" s="7">
        <v>14</v>
      </c>
      <c r="F44" s="10" t="str">
        <f ca="1">VLOOKUP($E44,OFFSET([2]characters!$A$2,0,0,COUNTA([2]characters!$A:$A),MATCH(F$1,[2]characters!$2:$2,0)-MATCH($E$1,[2]characters!$2:$2,0)+1),MATCH(F$1,[2]characters!$2:$2,0)-MATCH($E$1,[2]characters!$2:$2,0)+1,FALSE)</f>
        <v>ミミ・ザ・ガンマンキャット</v>
      </c>
      <c r="G44" s="10" t="str">
        <f ca="1">VLOOKUP($E44,OFFSET([2]characters!$A$2,0,0,COUNTA([2]characters!$A:$A),MATCH(G$1,[2]characters!$2:$2,0)-MATCH($E$1,[2]characters!$2:$2,0)+1),MATCH(G$1,[2]characters!$2:$2,0)-MATCH($E$1,[2]characters!$2:$2,0)+1,FALSE)</f>
        <v>Drop1W</v>
      </c>
      <c r="H44" s="10">
        <f ca="1">VLOOKUP($E44,OFFSET([2]characters!$A$2,0,0,COUNTA([2]characters!$A:$A),MATCH(H$1,[2]characters!$2:$2,0)-MATCH($E$1,[2]characters!$2:$2,0)+1),MATCH(H$1,[2]characters!$2:$2,0)-MATCH($E$1,[2]characters!$2:$2,0)+1,FALSE)</f>
        <v>2</v>
      </c>
      <c r="I44" s="10" t="str">
        <f ca="1">VLOOKUP($E44,OFFSET([2]characters!$A$2,0,0,COUNTA([2]characters!$A:$A),MATCH(I$1,[2]characters!$2:$2,0)-MATCH($E$1,[2]characters!$2:$2,0)+1),MATCH(I$1,[2]characters!$2:$2,0)-MATCH($E$1,[2]characters!$2:$2,0)+1,FALSE)</f>
        <v>yellow</v>
      </c>
      <c r="J44" s="10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4" s="10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4" s="6">
        <v>1</v>
      </c>
      <c r="M44" s="6">
        <v>0</v>
      </c>
      <c r="N44" s="17">
        <v>0</v>
      </c>
      <c r="O44" s="17">
        <v>0</v>
      </c>
      <c r="P44" s="17">
        <v>0</v>
      </c>
      <c r="Q44" s="17">
        <v>0</v>
      </c>
      <c r="R44" s="17">
        <v>1</v>
      </c>
    </row>
    <row r="45" spans="1:18" ht="21" customHeight="1">
      <c r="A45" s="8" t="str">
        <f t="shared" si="0"/>
        <v>0161</v>
      </c>
      <c r="B45" s="5">
        <v>201</v>
      </c>
      <c r="C45" s="10" t="str">
        <f ca="1">VLOOKUP($B45,OFFSET([1]gachas!$A$2,0,0,COUNTA([1]gachas!$A:$A),MATCH(C$1,[1]gachas!$1:$1,0)-MATCH($B$1,[1]gachas!$1:$1,0)+1),MATCH(C$1,[1]gachas!$1:$1,0)-MATCH($B$1,[1]gachas!$1:$1,0)+1,FALSE)</f>
        <v>男気リンクガチャ（常設）</v>
      </c>
      <c r="D45" s="6">
        <v>0</v>
      </c>
      <c r="E45" s="7">
        <v>16</v>
      </c>
      <c r="F45" s="10" t="str">
        <f ca="1">VLOOKUP($E45,OFFSET([2]characters!$A$2,0,0,COUNTA([2]characters!$A:$A),MATCH(F$1,[2]characters!$2:$2,0)-MATCH($E$1,[2]characters!$2:$2,0)+1),MATCH(F$1,[2]characters!$2:$2,0)-MATCH($E$1,[2]characters!$2:$2,0)+1,FALSE)</f>
        <v>炎戦少女 アカネ</v>
      </c>
      <c r="G45" s="10" t="str">
        <f ca="1">VLOOKUP($E45,OFFSET([2]characters!$A$2,0,0,COUNTA([2]characters!$A:$A),MATCH(G$1,[2]characters!$2:$2,0)-MATCH($E$1,[2]characters!$2:$2,0)+1),MATCH(G$1,[2]characters!$2:$2,0)-MATCH($E$1,[2]characters!$2:$2,0)+1,FALSE)</f>
        <v>Drop1W</v>
      </c>
      <c r="H45" s="10">
        <f ca="1">VLOOKUP($E45,OFFSET([2]characters!$A$2,0,0,COUNTA([2]characters!$A:$A),MATCH(H$1,[2]characters!$2:$2,0)-MATCH($E$1,[2]characters!$2:$2,0)+1),MATCH(H$1,[2]characters!$2:$2,0)-MATCH($E$1,[2]characters!$2:$2,0)+1,FALSE)</f>
        <v>2</v>
      </c>
      <c r="I45" s="10" t="str">
        <f ca="1">VLOOKUP($E45,OFFSET([2]characters!$A$2,0,0,COUNTA([2]characters!$A:$A),MATCH(I$1,[2]characters!$2:$2,0)-MATCH($E$1,[2]characters!$2:$2,0)+1),MATCH(I$1,[2]characters!$2:$2,0)-MATCH($E$1,[2]characters!$2:$2,0)+1,FALSE)</f>
        <v>red</v>
      </c>
      <c r="J45" s="10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5" s="10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5" s="6">
        <v>1</v>
      </c>
      <c r="M45" s="6">
        <v>0</v>
      </c>
      <c r="N45" s="17">
        <v>0</v>
      </c>
      <c r="O45" s="17">
        <v>0</v>
      </c>
      <c r="P45" s="17">
        <v>0</v>
      </c>
      <c r="Q45" s="17">
        <v>0</v>
      </c>
      <c r="R45" s="17">
        <v>1</v>
      </c>
    </row>
    <row r="46" spans="1:18" ht="21" customHeight="1">
      <c r="A46" s="8" t="str">
        <f t="shared" si="0"/>
        <v>0181</v>
      </c>
      <c r="B46" s="5">
        <v>201</v>
      </c>
      <c r="C46" s="10" t="str">
        <f ca="1">VLOOKUP($B46,OFFSET([1]gachas!$A$2,0,0,COUNTA([1]gachas!$A:$A),MATCH(C$1,[1]gachas!$1:$1,0)-MATCH($B$1,[1]gachas!$1:$1,0)+1),MATCH(C$1,[1]gachas!$1:$1,0)-MATCH($B$1,[1]gachas!$1:$1,0)+1,FALSE)</f>
        <v>男気リンクガチャ（常設）</v>
      </c>
      <c r="D46" s="6">
        <v>0</v>
      </c>
      <c r="E46" s="7">
        <v>18</v>
      </c>
      <c r="F46" s="10" t="str">
        <f ca="1">VLOOKUP($E46,OFFSET([2]characters!$A$2,0,0,COUNTA([2]characters!$A:$A),MATCH(F$1,[2]characters!$2:$2,0)-MATCH($E$1,[2]characters!$2:$2,0)+1),MATCH(F$1,[2]characters!$2:$2,0)-MATCH($E$1,[2]characters!$2:$2,0)+1,FALSE)</f>
        <v>戦闘案内人 リム</v>
      </c>
      <c r="G46" s="10" t="str">
        <f ca="1">VLOOKUP($E46,OFFSET([2]characters!$A$2,0,0,COUNTA([2]characters!$A:$A),MATCH(G$1,[2]characters!$2:$2,0)-MATCH($E$1,[2]characters!$2:$2,0)+1),MATCH(G$1,[2]characters!$2:$2,0)-MATCH($E$1,[2]characters!$2:$2,0)+1,FALSE)</f>
        <v>Drop1W</v>
      </c>
      <c r="H46" s="10">
        <f ca="1">VLOOKUP($E46,OFFSET([2]characters!$A$2,0,0,COUNTA([2]characters!$A:$A),MATCH(H$1,[2]characters!$2:$2,0)-MATCH($E$1,[2]characters!$2:$2,0)+1),MATCH(H$1,[2]characters!$2:$2,0)-MATCH($E$1,[2]characters!$2:$2,0)+1,FALSE)</f>
        <v>2</v>
      </c>
      <c r="I46" s="10" t="str">
        <f ca="1">VLOOKUP($E46,OFFSET([2]characters!$A$2,0,0,COUNTA([2]characters!$A:$A),MATCH(I$1,[2]characters!$2:$2,0)-MATCH($E$1,[2]characters!$2:$2,0)+1),MATCH(I$1,[2]characters!$2:$2,0)-MATCH($E$1,[2]characters!$2:$2,0)+1,FALSE)</f>
        <v>blue</v>
      </c>
      <c r="J46" s="10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6" s="10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6" s="6">
        <v>1</v>
      </c>
      <c r="M46" s="6">
        <v>0</v>
      </c>
      <c r="N46" s="17">
        <v>0</v>
      </c>
      <c r="O46" s="17">
        <v>0</v>
      </c>
      <c r="P46" s="17">
        <v>0</v>
      </c>
      <c r="Q46" s="17">
        <v>0</v>
      </c>
      <c r="R46" s="17">
        <v>1</v>
      </c>
    </row>
    <row r="47" spans="1:18" ht="21" customHeight="1">
      <c r="A47" s="8" t="str">
        <f t="shared" si="0"/>
        <v>0201</v>
      </c>
      <c r="B47" s="5">
        <v>201</v>
      </c>
      <c r="C47" s="10" t="str">
        <f ca="1">VLOOKUP($B47,OFFSET([1]gachas!$A$2,0,0,COUNTA([1]gachas!$A:$A),MATCH(C$1,[1]gachas!$1:$1,0)-MATCH($B$1,[1]gachas!$1:$1,0)+1),MATCH(C$1,[1]gachas!$1:$1,0)-MATCH($B$1,[1]gachas!$1:$1,0)+1,FALSE)</f>
        <v>男気リンクガチャ（常設）</v>
      </c>
      <c r="D47" s="6">
        <v>0</v>
      </c>
      <c r="E47" s="7">
        <v>20</v>
      </c>
      <c r="F47" s="10" t="str">
        <f ca="1">VLOOKUP($E47,OFFSET([2]characters!$A$2,0,0,COUNTA([2]characters!$A:$A),MATCH(F$1,[2]characters!$2:$2,0)-MATCH($E$1,[2]characters!$2:$2,0)+1),MATCH(F$1,[2]characters!$2:$2,0)-MATCH($E$1,[2]characters!$2:$2,0)+1,FALSE)</f>
        <v>電子妖精 ティンク</v>
      </c>
      <c r="G47" s="10" t="str">
        <f ca="1">VLOOKUP($E47,OFFSET([2]characters!$A$2,0,0,COUNTA([2]characters!$A:$A),MATCH(G$1,[2]characters!$2:$2,0)-MATCH($E$1,[2]characters!$2:$2,0)+1),MATCH(G$1,[2]characters!$2:$2,0)-MATCH($E$1,[2]characters!$2:$2,0)+1,FALSE)</f>
        <v>Drop1W</v>
      </c>
      <c r="H47" s="10">
        <f ca="1">VLOOKUP($E47,OFFSET([2]characters!$A$2,0,0,COUNTA([2]characters!$A:$A),MATCH(H$1,[2]characters!$2:$2,0)-MATCH($E$1,[2]characters!$2:$2,0)+1),MATCH(H$1,[2]characters!$2:$2,0)-MATCH($E$1,[2]characters!$2:$2,0)+1,FALSE)</f>
        <v>2</v>
      </c>
      <c r="I47" s="10" t="str">
        <f ca="1">VLOOKUP($E47,OFFSET([2]characters!$A$2,0,0,COUNTA([2]characters!$A:$A),MATCH(I$1,[2]characters!$2:$2,0)-MATCH($E$1,[2]characters!$2:$2,0)+1),MATCH(I$1,[2]characters!$2:$2,0)-MATCH($E$1,[2]characters!$2:$2,0)+1,FALSE)</f>
        <v>yellow</v>
      </c>
      <c r="J47" s="10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7" s="10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7" s="6">
        <v>1</v>
      </c>
      <c r="M47" s="6">
        <v>0</v>
      </c>
      <c r="N47" s="17">
        <v>0</v>
      </c>
      <c r="O47" s="17">
        <v>0</v>
      </c>
      <c r="P47" s="17">
        <v>0</v>
      </c>
      <c r="Q47" s="17">
        <v>0</v>
      </c>
      <c r="R47" s="17">
        <v>1</v>
      </c>
    </row>
    <row r="48" spans="1:18" ht="21" customHeight="1">
      <c r="A48" s="8" t="str">
        <f t="shared" si="0"/>
        <v>0221</v>
      </c>
      <c r="B48" s="5">
        <v>201</v>
      </c>
      <c r="C48" s="10" t="str">
        <f ca="1">VLOOKUP($B48,OFFSET([1]gachas!$A$2,0,0,COUNTA([1]gachas!$A:$A),MATCH(C$1,[1]gachas!$1:$1,0)-MATCH($B$1,[1]gachas!$1:$1,0)+1),MATCH(C$1,[1]gachas!$1:$1,0)-MATCH($B$1,[1]gachas!$1:$1,0)+1,FALSE)</f>
        <v>男気リンクガチャ（常設）</v>
      </c>
      <c r="D48" s="6">
        <v>0</v>
      </c>
      <c r="E48" s="7">
        <v>22</v>
      </c>
      <c r="F48" s="10" t="str">
        <f ca="1">VLOOKUP($E48,OFFSET([2]characters!$A$2,0,0,COUNTA([2]characters!$A:$A),MATCH(F$1,[2]characters!$2:$2,0)-MATCH($E$1,[2]characters!$2:$2,0)+1),MATCH(F$1,[2]characters!$2:$2,0)-MATCH($E$1,[2]characters!$2:$2,0)+1,FALSE)</f>
        <v>突然変異ヴェロキー</v>
      </c>
      <c r="G48" s="10" t="str">
        <f ca="1">VLOOKUP($E48,OFFSET([2]characters!$A$2,0,0,COUNTA([2]characters!$A:$A),MATCH(G$1,[2]characters!$2:$2,0)-MATCH($E$1,[2]characters!$2:$2,0)+1),MATCH(G$1,[2]characters!$2:$2,0)-MATCH($E$1,[2]characters!$2:$2,0)+1,FALSE)</f>
        <v>Drop1N</v>
      </c>
      <c r="H48" s="10">
        <f ca="1">VLOOKUP($E48,OFFSET([2]characters!$A$2,0,0,COUNTA([2]characters!$A:$A),MATCH(H$1,[2]characters!$2:$2,0)-MATCH($E$1,[2]characters!$2:$2,0)+1),MATCH(H$1,[2]characters!$2:$2,0)-MATCH($E$1,[2]characters!$2:$2,0)+1,FALSE)</f>
        <v>2</v>
      </c>
      <c r="I48" s="10" t="str">
        <f ca="1">VLOOKUP($E48,OFFSET([2]characters!$A$2,0,0,COUNTA([2]characters!$A:$A),MATCH(I$1,[2]characters!$2:$2,0)-MATCH($E$1,[2]characters!$2:$2,0)+1),MATCH(I$1,[2]characters!$2:$2,0)-MATCH($E$1,[2]characters!$2:$2,0)+1,FALSE)</f>
        <v>red</v>
      </c>
      <c r="J48" s="10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8" s="10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8" s="6">
        <v>1</v>
      </c>
      <c r="M48" s="6">
        <v>0</v>
      </c>
      <c r="N48" s="17">
        <v>0</v>
      </c>
      <c r="O48" s="17">
        <v>0</v>
      </c>
      <c r="P48" s="17">
        <v>0</v>
      </c>
      <c r="Q48" s="17">
        <v>0</v>
      </c>
      <c r="R48" s="17">
        <v>1</v>
      </c>
    </row>
    <row r="49" spans="1:18" ht="21" customHeight="1">
      <c r="A49" s="8" t="str">
        <f t="shared" si="0"/>
        <v>0241</v>
      </c>
      <c r="B49" s="5">
        <v>201</v>
      </c>
      <c r="C49" s="10" t="str">
        <f ca="1">VLOOKUP($B49,OFFSET([1]gachas!$A$2,0,0,COUNTA([1]gachas!$A:$A),MATCH(C$1,[1]gachas!$1:$1,0)-MATCH($B$1,[1]gachas!$1:$1,0)+1),MATCH(C$1,[1]gachas!$1:$1,0)-MATCH($B$1,[1]gachas!$1:$1,0)+1,FALSE)</f>
        <v>男気リンクガチャ（常設）</v>
      </c>
      <c r="D49" s="6">
        <v>0</v>
      </c>
      <c r="E49" s="7">
        <v>24</v>
      </c>
      <c r="F49" s="10" t="str">
        <f ca="1">VLOOKUP($E49,OFFSET([2]characters!$A$2,0,0,COUNTA([2]characters!$A:$A),MATCH(F$1,[2]characters!$2:$2,0)-MATCH($E$1,[2]characters!$2:$2,0)+1),MATCH(F$1,[2]characters!$2:$2,0)-MATCH($E$1,[2]characters!$2:$2,0)+1,FALSE)</f>
        <v>天翔のミール</v>
      </c>
      <c r="G49" s="10" t="str">
        <f ca="1">VLOOKUP($E49,OFFSET([2]characters!$A$2,0,0,COUNTA([2]characters!$A:$A),MATCH(G$1,[2]characters!$2:$2,0)-MATCH($E$1,[2]characters!$2:$2,0)+1),MATCH(G$1,[2]characters!$2:$2,0)-MATCH($E$1,[2]characters!$2:$2,0)+1,FALSE)</f>
        <v>Drop1N</v>
      </c>
      <c r="H49" s="10">
        <f ca="1">VLOOKUP($E49,OFFSET([2]characters!$A$2,0,0,COUNTA([2]characters!$A:$A),MATCH(H$1,[2]characters!$2:$2,0)-MATCH($E$1,[2]characters!$2:$2,0)+1),MATCH(H$1,[2]characters!$2:$2,0)-MATCH($E$1,[2]characters!$2:$2,0)+1,FALSE)</f>
        <v>2</v>
      </c>
      <c r="I49" s="10" t="str">
        <f ca="1">VLOOKUP($E49,OFFSET([2]characters!$A$2,0,0,COUNTA([2]characters!$A:$A),MATCH(I$1,[2]characters!$2:$2,0)-MATCH($E$1,[2]characters!$2:$2,0)+1),MATCH(I$1,[2]characters!$2:$2,0)-MATCH($E$1,[2]characters!$2:$2,0)+1,FALSE)</f>
        <v>green</v>
      </c>
      <c r="J49" s="10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9" s="10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9" s="6">
        <v>1</v>
      </c>
      <c r="M49" s="6">
        <v>0</v>
      </c>
      <c r="N49" s="17">
        <v>0</v>
      </c>
      <c r="O49" s="17">
        <v>0</v>
      </c>
      <c r="P49" s="17">
        <v>0</v>
      </c>
      <c r="Q49" s="17">
        <v>0</v>
      </c>
      <c r="R49" s="17">
        <v>1</v>
      </c>
    </row>
    <row r="50" spans="1:18" ht="21" customHeight="1">
      <c r="A50" s="8" t="str">
        <f t="shared" si="0"/>
        <v>0261</v>
      </c>
      <c r="B50" s="5">
        <v>201</v>
      </c>
      <c r="C50" s="10" t="str">
        <f ca="1">VLOOKUP($B50,OFFSET([1]gachas!$A$2,0,0,COUNTA([1]gachas!$A:$A),MATCH(C$1,[1]gachas!$1:$1,0)-MATCH($B$1,[1]gachas!$1:$1,0)+1),MATCH(C$1,[1]gachas!$1:$1,0)-MATCH($B$1,[1]gachas!$1:$1,0)+1,FALSE)</f>
        <v>男気リンクガチャ（常設）</v>
      </c>
      <c r="D50" s="6">
        <v>0</v>
      </c>
      <c r="E50" s="7">
        <v>26</v>
      </c>
      <c r="F50" s="10" t="str">
        <f ca="1">VLOOKUP($E50,OFFSET([2]characters!$A$2,0,0,COUNTA([2]characters!$A:$A),MATCH(F$1,[2]characters!$2:$2,0)-MATCH($E$1,[2]characters!$2:$2,0)+1),MATCH(F$1,[2]characters!$2:$2,0)-MATCH($E$1,[2]characters!$2:$2,0)+1,FALSE)</f>
        <v>勇犬 ハチ</v>
      </c>
      <c r="G50" s="10" t="str">
        <f ca="1">VLOOKUP($E50,OFFSET([2]characters!$A$2,0,0,COUNTA([2]characters!$A:$A),MATCH(G$1,[2]characters!$2:$2,0)-MATCH($E$1,[2]characters!$2:$2,0)+1),MATCH(G$1,[2]characters!$2:$2,0)-MATCH($E$1,[2]characters!$2:$2,0)+1,FALSE)</f>
        <v>Drop1N</v>
      </c>
      <c r="H50" s="10">
        <f ca="1">VLOOKUP($E50,OFFSET([2]characters!$A$2,0,0,COUNTA([2]characters!$A:$A),MATCH(H$1,[2]characters!$2:$2,0)-MATCH($E$1,[2]characters!$2:$2,0)+1),MATCH(H$1,[2]characters!$2:$2,0)-MATCH($E$1,[2]characters!$2:$2,0)+1,FALSE)</f>
        <v>2</v>
      </c>
      <c r="I50" s="10" t="str">
        <f ca="1">VLOOKUP($E50,OFFSET([2]characters!$A$2,0,0,COUNTA([2]characters!$A:$A),MATCH(I$1,[2]characters!$2:$2,0)-MATCH($E$1,[2]characters!$2:$2,0)+1),MATCH(I$1,[2]characters!$2:$2,0)-MATCH($E$1,[2]characters!$2:$2,0)+1,FALSE)</f>
        <v>blue</v>
      </c>
      <c r="J50" s="10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0" s="10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50" s="6">
        <v>1</v>
      </c>
      <c r="M50" s="6">
        <v>0</v>
      </c>
      <c r="N50" s="17">
        <v>0</v>
      </c>
      <c r="O50" s="17">
        <v>0</v>
      </c>
      <c r="P50" s="17">
        <v>0</v>
      </c>
      <c r="Q50" s="17">
        <v>0</v>
      </c>
      <c r="R50" s="17">
        <v>1</v>
      </c>
    </row>
    <row r="51" spans="1:18" ht="21" customHeight="1">
      <c r="A51" s="8" t="str">
        <f t="shared" si="0"/>
        <v>0281</v>
      </c>
      <c r="B51" s="5">
        <v>201</v>
      </c>
      <c r="C51" s="10" t="str">
        <f ca="1">VLOOKUP($B51,OFFSET([1]gachas!$A$2,0,0,COUNTA([1]gachas!$A:$A),MATCH(C$1,[1]gachas!$1:$1,0)-MATCH($B$1,[1]gachas!$1:$1,0)+1),MATCH(C$1,[1]gachas!$1:$1,0)-MATCH($B$1,[1]gachas!$1:$1,0)+1,FALSE)</f>
        <v>男気リンクガチャ（常設）</v>
      </c>
      <c r="D51" s="6">
        <v>0</v>
      </c>
      <c r="E51" s="7">
        <v>28</v>
      </c>
      <c r="F51" s="10" t="str">
        <f ca="1">VLOOKUP($E51,OFFSET([2]characters!$A$2,0,0,COUNTA([2]characters!$A:$A),MATCH(F$1,[2]characters!$2:$2,0)-MATCH($E$1,[2]characters!$2:$2,0)+1),MATCH(F$1,[2]characters!$2:$2,0)-MATCH($E$1,[2]characters!$2:$2,0)+1,FALSE)</f>
        <v>現場急行 パトラインカスタム</v>
      </c>
      <c r="G51" s="10" t="str">
        <f ca="1">VLOOKUP($E51,OFFSET([2]characters!$A$2,0,0,COUNTA([2]characters!$A:$A),MATCH(G$1,[2]characters!$2:$2,0)-MATCH($E$1,[2]characters!$2:$2,0)+1),MATCH(G$1,[2]characters!$2:$2,0)-MATCH($E$1,[2]characters!$2:$2,0)+1,FALSE)</f>
        <v>Drop1N</v>
      </c>
      <c r="H51" s="10">
        <f ca="1">VLOOKUP($E51,OFFSET([2]characters!$A$2,0,0,COUNTA([2]characters!$A:$A),MATCH(H$1,[2]characters!$2:$2,0)-MATCH($E$1,[2]characters!$2:$2,0)+1),MATCH(H$1,[2]characters!$2:$2,0)-MATCH($E$1,[2]characters!$2:$2,0)+1,FALSE)</f>
        <v>2</v>
      </c>
      <c r="I51" s="10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10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1" s="10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1" s="6">
        <v>1</v>
      </c>
      <c r="M51" s="6">
        <v>0</v>
      </c>
      <c r="N51" s="17">
        <v>0</v>
      </c>
      <c r="O51" s="17">
        <v>0</v>
      </c>
      <c r="P51" s="17">
        <v>0</v>
      </c>
      <c r="Q51" s="17">
        <v>0</v>
      </c>
      <c r="R51" s="17">
        <v>1</v>
      </c>
    </row>
    <row r="52" spans="1:18" ht="21" customHeight="1">
      <c r="A52" s="8" t="str">
        <f t="shared" si="0"/>
        <v>0301</v>
      </c>
      <c r="B52" s="5">
        <v>201</v>
      </c>
      <c r="C52" s="10" t="str">
        <f ca="1">VLOOKUP($B52,OFFSET([1]gachas!$A$2,0,0,COUNTA([1]gachas!$A:$A),MATCH(C$1,[1]gachas!$1:$1,0)-MATCH($B$1,[1]gachas!$1:$1,0)+1),MATCH(C$1,[1]gachas!$1:$1,0)-MATCH($B$1,[1]gachas!$1:$1,0)+1,FALSE)</f>
        <v>男気リンクガチャ（常設）</v>
      </c>
      <c r="D52" s="6">
        <v>0</v>
      </c>
      <c r="E52" s="7">
        <v>30</v>
      </c>
      <c r="F52" s="10" t="str">
        <f ca="1">VLOOKUP($E52,OFFSET([2]characters!$A$2,0,0,COUNTA([2]characters!$A:$A),MATCH(F$1,[2]characters!$2:$2,0)-MATCH($E$1,[2]characters!$2:$2,0)+1),MATCH(F$1,[2]characters!$2:$2,0)-MATCH($E$1,[2]characters!$2:$2,0)+1,FALSE)</f>
        <v>護衛機人 スケアクロウ</v>
      </c>
      <c r="G52" s="10" t="str">
        <f ca="1">VLOOKUP($E52,OFFSET([2]characters!$A$2,0,0,COUNTA([2]characters!$A:$A),MATCH(G$1,[2]characters!$2:$2,0)-MATCH($E$1,[2]characters!$2:$2,0)+1),MATCH(G$1,[2]characters!$2:$2,0)-MATCH($E$1,[2]characters!$2:$2,0)+1,FALSE)</f>
        <v>Drop1N</v>
      </c>
      <c r="H52" s="10">
        <f ca="1">VLOOKUP($E52,OFFSET([2]characters!$A$2,0,0,COUNTA([2]characters!$A:$A),MATCH(H$1,[2]characters!$2:$2,0)-MATCH($E$1,[2]characters!$2:$2,0)+1),MATCH(H$1,[2]characters!$2:$2,0)-MATCH($E$1,[2]characters!$2:$2,0)+1,FALSE)</f>
        <v>2</v>
      </c>
      <c r="I52" s="10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10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10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2" s="6">
        <v>1</v>
      </c>
      <c r="M52" s="6">
        <v>0</v>
      </c>
      <c r="N52" s="17">
        <v>0</v>
      </c>
      <c r="O52" s="17">
        <v>0</v>
      </c>
      <c r="P52" s="17">
        <v>0</v>
      </c>
      <c r="Q52" s="17">
        <v>0</v>
      </c>
      <c r="R52" s="17">
        <v>1</v>
      </c>
    </row>
    <row r="53" spans="1:18" ht="21" customHeight="1">
      <c r="A53" s="8" t="str">
        <f t="shared" si="0"/>
        <v>0321</v>
      </c>
      <c r="B53" s="5">
        <v>201</v>
      </c>
      <c r="C53" s="10" t="str">
        <f ca="1">VLOOKUP($B53,OFFSET([1]gachas!$A$2,0,0,COUNTA([1]gachas!$A:$A),MATCH(C$1,[1]gachas!$1:$1,0)-MATCH($B$1,[1]gachas!$1:$1,0)+1),MATCH(C$1,[1]gachas!$1:$1,0)-MATCH($B$1,[1]gachas!$1:$1,0)+1,FALSE)</f>
        <v>男気リンクガチャ（常設）</v>
      </c>
      <c r="D53" s="6">
        <v>0</v>
      </c>
      <c r="E53" s="7">
        <v>32</v>
      </c>
      <c r="F53" s="10" t="str">
        <f ca="1">VLOOKUP($E53,OFFSET([2]characters!$A$2,0,0,COUNTA([2]characters!$A:$A),MATCH(F$1,[2]characters!$2:$2,0)-MATCH($E$1,[2]characters!$2:$2,0)+1),MATCH(F$1,[2]characters!$2:$2,0)-MATCH($E$1,[2]characters!$2:$2,0)+1,FALSE)</f>
        <v>沈黙のジャミング マービー</v>
      </c>
      <c r="G53" s="10" t="str">
        <f ca="1">VLOOKUP($E53,OFFSET([2]characters!$A$2,0,0,COUNTA([2]characters!$A:$A),MATCH(G$1,[2]characters!$2:$2,0)-MATCH($E$1,[2]characters!$2:$2,0)+1),MATCH(G$1,[2]characters!$2:$2,0)-MATCH($E$1,[2]characters!$2:$2,0)+1,FALSE)</f>
        <v>Drop1N</v>
      </c>
      <c r="H53" s="10">
        <f ca="1">VLOOKUP($E53,OFFSET([2]characters!$A$2,0,0,COUNTA([2]characters!$A:$A),MATCH(H$1,[2]characters!$2:$2,0)-MATCH($E$1,[2]characters!$2:$2,0)+1),MATCH(H$1,[2]characters!$2:$2,0)-MATCH($E$1,[2]characters!$2:$2,0)+1,FALSE)</f>
        <v>2</v>
      </c>
      <c r="I53" s="10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10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3" s="10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3" s="6">
        <v>1</v>
      </c>
      <c r="M53" s="6">
        <v>0</v>
      </c>
      <c r="N53" s="17">
        <v>0</v>
      </c>
      <c r="O53" s="17">
        <v>0</v>
      </c>
      <c r="P53" s="17">
        <v>0</v>
      </c>
      <c r="Q53" s="17">
        <v>0</v>
      </c>
      <c r="R53" s="17">
        <v>1</v>
      </c>
    </row>
    <row r="54" spans="1:18" ht="21" customHeight="1">
      <c r="A54" s="8" t="str">
        <f t="shared" si="0"/>
        <v>0771</v>
      </c>
      <c r="B54" s="5">
        <v>201</v>
      </c>
      <c r="C54" s="10" t="str">
        <f ca="1">VLOOKUP($B54,OFFSET([1]gachas!$A$2,0,0,COUNTA([1]gachas!$A:$A),MATCH(C$1,[1]gachas!$1:$1,0)-MATCH($B$1,[1]gachas!$1:$1,0)+1),MATCH(C$1,[1]gachas!$1:$1,0)-MATCH($B$1,[1]gachas!$1:$1,0)+1,FALSE)</f>
        <v>男気リンクガチャ（常設）</v>
      </c>
      <c r="D54" s="6">
        <v>0</v>
      </c>
      <c r="E54" s="7">
        <v>77</v>
      </c>
      <c r="F54" s="10" t="str">
        <f ca="1">VLOOKUP($E54,OFFSET([2]characters!$A$2,0,0,COUNTA([2]characters!$A:$A),MATCH(F$1,[2]characters!$2:$2,0)-MATCH($E$1,[2]characters!$2:$2,0)+1),MATCH(F$1,[2]characters!$2:$2,0)-MATCH($E$1,[2]characters!$2:$2,0)+1,FALSE)</f>
        <v>潜伏型メリッサ</v>
      </c>
      <c r="G54" s="10" t="str">
        <f ca="1">VLOOKUP($E54,OFFSET([2]characters!$A$2,0,0,COUNTA([2]characters!$A:$A),MATCH(G$1,[2]characters!$2:$2,0)-MATCH($E$1,[2]characters!$2:$2,0)+1),MATCH(G$1,[2]characters!$2:$2,0)-MATCH($E$1,[2]characters!$2:$2,0)+1,FALSE)</f>
        <v>PremiumW</v>
      </c>
      <c r="H54" s="10">
        <f ca="1">VLOOKUP($E54,OFFSET([2]characters!$A$2,0,0,COUNTA([2]characters!$A:$A),MATCH(H$1,[2]characters!$2:$2,0)-MATCH($E$1,[2]characters!$2:$2,0)+1),MATCH(H$1,[2]characters!$2:$2,0)-MATCH($E$1,[2]characters!$2:$2,0)+1,FALSE)</f>
        <v>3</v>
      </c>
      <c r="I54" s="10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10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4" s="10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4" s="6">
        <v>1</v>
      </c>
      <c r="M54" s="6">
        <v>0</v>
      </c>
      <c r="N54" s="17">
        <v>0</v>
      </c>
      <c r="O54" s="17">
        <v>0</v>
      </c>
      <c r="P54" s="17">
        <v>0</v>
      </c>
      <c r="Q54" s="17">
        <v>0</v>
      </c>
      <c r="R54" s="17">
        <v>1</v>
      </c>
    </row>
    <row r="55" spans="1:18" ht="21" customHeight="1">
      <c r="A55" s="8" t="str">
        <f t="shared" si="0"/>
        <v>0791</v>
      </c>
      <c r="B55" s="5">
        <v>201</v>
      </c>
      <c r="C55" s="10" t="str">
        <f ca="1">VLOOKUP($B55,OFFSET([1]gachas!$A$2,0,0,COUNTA([1]gachas!$A:$A),MATCH(C$1,[1]gachas!$1:$1,0)-MATCH($B$1,[1]gachas!$1:$1,0)+1),MATCH(C$1,[1]gachas!$1:$1,0)-MATCH($B$1,[1]gachas!$1:$1,0)+1,FALSE)</f>
        <v>男気リンクガチャ（常設）</v>
      </c>
      <c r="D55" s="6">
        <v>0</v>
      </c>
      <c r="E55" s="7">
        <v>79</v>
      </c>
      <c r="F55" s="10" t="str">
        <f ca="1">VLOOKUP($E55,OFFSET([2]characters!$A$2,0,0,COUNTA([2]characters!$A:$A),MATCH(F$1,[2]characters!$2:$2,0)-MATCH($E$1,[2]characters!$2:$2,0)+1),MATCH(F$1,[2]characters!$2:$2,0)-MATCH($E$1,[2]characters!$2:$2,0)+1,FALSE)</f>
        <v>ハッピー100</v>
      </c>
      <c r="G55" s="10" t="str">
        <f ca="1">VLOOKUP($E55,OFFSET([2]characters!$A$2,0,0,COUNTA([2]characters!$A:$A),MATCH(G$1,[2]characters!$2:$2,0)-MATCH($E$1,[2]characters!$2:$2,0)+1),MATCH(G$1,[2]characters!$2:$2,0)-MATCH($E$1,[2]characters!$2:$2,0)+1,FALSE)</f>
        <v>PremiumW</v>
      </c>
      <c r="H55" s="10">
        <f ca="1">VLOOKUP($E55,OFFSET([2]characters!$A$2,0,0,COUNTA([2]characters!$A:$A),MATCH(H$1,[2]characters!$2:$2,0)-MATCH($E$1,[2]characters!$2:$2,0)+1),MATCH(H$1,[2]characters!$2:$2,0)-MATCH($E$1,[2]characters!$2:$2,0)+1,FALSE)</f>
        <v>3</v>
      </c>
      <c r="I55" s="10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10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5" s="10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5" s="6">
        <v>1</v>
      </c>
      <c r="M55" s="6">
        <v>0</v>
      </c>
      <c r="N55" s="17">
        <v>0</v>
      </c>
      <c r="O55" s="17">
        <v>0</v>
      </c>
      <c r="P55" s="17">
        <v>0</v>
      </c>
      <c r="Q55" s="17">
        <v>0</v>
      </c>
      <c r="R55" s="17">
        <v>1</v>
      </c>
    </row>
    <row r="56" spans="1:18" ht="21" customHeight="1">
      <c r="A56" s="8" t="str">
        <f t="shared" si="0"/>
        <v>0811</v>
      </c>
      <c r="B56" s="5">
        <v>201</v>
      </c>
      <c r="C56" s="10" t="str">
        <f ca="1">VLOOKUP($B56,OFFSET([1]gachas!$A$2,0,0,COUNTA([1]gachas!$A:$A),MATCH(C$1,[1]gachas!$1:$1,0)-MATCH($B$1,[1]gachas!$1:$1,0)+1),MATCH(C$1,[1]gachas!$1:$1,0)-MATCH($B$1,[1]gachas!$1:$1,0)+1,FALSE)</f>
        <v>男気リンクガチャ（常設）</v>
      </c>
      <c r="D56" s="6">
        <v>0</v>
      </c>
      <c r="E56" s="7">
        <v>81</v>
      </c>
      <c r="F56" s="10" t="str">
        <f ca="1">VLOOKUP($E56,OFFSET([2]characters!$A$2,0,0,COUNTA([2]characters!$A:$A),MATCH(F$1,[2]characters!$2:$2,0)-MATCH($E$1,[2]characters!$2:$2,0)+1),MATCH(F$1,[2]characters!$2:$2,0)-MATCH($E$1,[2]characters!$2:$2,0)+1,FALSE)</f>
        <v>増幅型モリス</v>
      </c>
      <c r="G56" s="10" t="str">
        <f ca="1">VLOOKUP($E56,OFFSET([2]characters!$A$2,0,0,COUNTA([2]characters!$A:$A),MATCH(G$1,[2]characters!$2:$2,0)-MATCH($E$1,[2]characters!$2:$2,0)+1),MATCH(G$1,[2]characters!$2:$2,0)-MATCH($E$1,[2]characters!$2:$2,0)+1,FALSE)</f>
        <v>PremiumW</v>
      </c>
      <c r="H56" s="10">
        <f ca="1">VLOOKUP($E56,OFFSET([2]characters!$A$2,0,0,COUNTA([2]characters!$A:$A),MATCH(H$1,[2]characters!$2:$2,0)-MATCH($E$1,[2]characters!$2:$2,0)+1),MATCH(H$1,[2]characters!$2:$2,0)-MATCH($E$1,[2]characters!$2:$2,0)+1,FALSE)</f>
        <v>3</v>
      </c>
      <c r="I56" s="10" t="str">
        <f ca="1">VLOOKUP($E56,OFFSET([2]characters!$A$2,0,0,COUNTA([2]characters!$A:$A),MATCH(I$1,[2]characters!$2:$2,0)-MATCH($E$1,[2]characters!$2:$2,0)+1),MATCH(I$1,[2]characters!$2:$2,0)-MATCH($E$1,[2]characters!$2:$2,0)+1,FALSE)</f>
        <v>blue</v>
      </c>
      <c r="J56" s="10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10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6" s="6">
        <v>1</v>
      </c>
      <c r="M56" s="6">
        <v>0</v>
      </c>
      <c r="N56" s="17">
        <v>0</v>
      </c>
      <c r="O56" s="17">
        <v>0</v>
      </c>
      <c r="P56" s="17">
        <v>0</v>
      </c>
      <c r="Q56" s="17">
        <v>0</v>
      </c>
      <c r="R56" s="17">
        <v>1</v>
      </c>
    </row>
    <row r="57" spans="1:18" ht="21" customHeight="1">
      <c r="A57" s="8" t="str">
        <f t="shared" si="0"/>
        <v>0831</v>
      </c>
      <c r="B57" s="5">
        <v>201</v>
      </c>
      <c r="C57" s="10" t="str">
        <f ca="1">VLOOKUP($B57,OFFSET([1]gachas!$A$2,0,0,COUNTA([1]gachas!$A:$A),MATCH(C$1,[1]gachas!$1:$1,0)-MATCH($B$1,[1]gachas!$1:$1,0)+1),MATCH(C$1,[1]gachas!$1:$1,0)-MATCH($B$1,[1]gachas!$1:$1,0)+1,FALSE)</f>
        <v>男気リンクガチャ（常設）</v>
      </c>
      <c r="D57" s="6">
        <v>0</v>
      </c>
      <c r="E57" s="7">
        <v>83</v>
      </c>
      <c r="F57" s="10" t="str">
        <f ca="1">VLOOKUP($E57,OFFSET([2]characters!$A$2,0,0,COUNTA([2]characters!$A:$A),MATCH(F$1,[2]characters!$2:$2,0)-MATCH($E$1,[2]characters!$2:$2,0)+1),MATCH(F$1,[2]characters!$2:$2,0)-MATCH($E$1,[2]characters!$2:$2,0)+1,FALSE)</f>
        <v>拡散性ニムダ</v>
      </c>
      <c r="G57" s="10" t="str">
        <f ca="1">VLOOKUP($E57,OFFSET([2]characters!$A$2,0,0,COUNTA([2]characters!$A:$A),MATCH(G$1,[2]characters!$2:$2,0)-MATCH($E$1,[2]characters!$2:$2,0)+1),MATCH(G$1,[2]characters!$2:$2,0)-MATCH($E$1,[2]characters!$2:$2,0)+1,FALSE)</f>
        <v>PremiumW</v>
      </c>
      <c r="H57" s="10">
        <f ca="1">VLOOKUP($E57,OFFSET([2]characters!$A$2,0,0,COUNTA([2]characters!$A:$A),MATCH(H$1,[2]characters!$2:$2,0)-MATCH($E$1,[2]characters!$2:$2,0)+1),MATCH(H$1,[2]characters!$2:$2,0)-MATCH($E$1,[2]characters!$2:$2,0)+1,FALSE)</f>
        <v>3</v>
      </c>
      <c r="I57" s="10" t="str">
        <f ca="1">VLOOKUP($E57,OFFSET([2]characters!$A$2,0,0,COUNTA([2]characters!$A:$A),MATCH(I$1,[2]characters!$2:$2,0)-MATCH($E$1,[2]characters!$2:$2,0)+1),MATCH(I$1,[2]characters!$2:$2,0)-MATCH($E$1,[2]characters!$2:$2,0)+1,FALSE)</f>
        <v>yellow</v>
      </c>
      <c r="J57" s="10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7" s="10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7" s="6">
        <v>1</v>
      </c>
      <c r="M57" s="6">
        <v>0</v>
      </c>
      <c r="N57" s="17">
        <v>0</v>
      </c>
      <c r="O57" s="17">
        <v>0</v>
      </c>
      <c r="P57" s="17">
        <v>0</v>
      </c>
      <c r="Q57" s="17">
        <v>0</v>
      </c>
      <c r="R57" s="17">
        <v>1</v>
      </c>
    </row>
    <row r="58" spans="1:18" ht="21" customHeight="1">
      <c r="A58" s="8" t="str">
        <f t="shared" si="0"/>
        <v>0851</v>
      </c>
      <c r="B58" s="5">
        <v>201</v>
      </c>
      <c r="C58" s="10" t="str">
        <f ca="1">VLOOKUP($B58,OFFSET([1]gachas!$A$2,0,0,COUNTA([1]gachas!$A:$A),MATCH(C$1,[1]gachas!$1:$1,0)-MATCH($B$1,[1]gachas!$1:$1,0)+1),MATCH(C$1,[1]gachas!$1:$1,0)-MATCH($B$1,[1]gachas!$1:$1,0)+1,FALSE)</f>
        <v>男気リンクガチャ（常設）</v>
      </c>
      <c r="D58" s="6">
        <v>0</v>
      </c>
      <c r="E58" s="7">
        <v>85</v>
      </c>
      <c r="F58" s="10" t="str">
        <f ca="1">VLOOKUP($E58,OFFSET([2]characters!$A$2,0,0,COUNTA([2]characters!$A:$A),MATCH(F$1,[2]characters!$2:$2,0)-MATCH($E$1,[2]characters!$2:$2,0)+1),MATCH(F$1,[2]characters!$2:$2,0)-MATCH($E$1,[2]characters!$2:$2,0)+1,FALSE)</f>
        <v>朱雀</v>
      </c>
      <c r="G58" s="10" t="str">
        <f ca="1">VLOOKUP($E58,OFFSET([2]characters!$A$2,0,0,COUNTA([2]characters!$A:$A),MATCH(G$1,[2]characters!$2:$2,0)-MATCH($E$1,[2]characters!$2:$2,0)+1),MATCH(G$1,[2]characters!$2:$2,0)-MATCH($E$1,[2]characters!$2:$2,0)+1,FALSE)</f>
        <v>Drop2N</v>
      </c>
      <c r="H58" s="10">
        <f ca="1">VLOOKUP($E58,OFFSET([2]characters!$A$2,0,0,COUNTA([2]characters!$A:$A),MATCH(H$1,[2]characters!$2:$2,0)-MATCH($E$1,[2]characters!$2:$2,0)+1),MATCH(H$1,[2]characters!$2:$2,0)-MATCH($E$1,[2]characters!$2:$2,0)+1,FALSE)</f>
        <v>3</v>
      </c>
      <c r="I58" s="10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10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8" s="10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8" s="6">
        <v>1</v>
      </c>
      <c r="M58" s="6">
        <v>877</v>
      </c>
      <c r="N58" s="17">
        <v>0</v>
      </c>
      <c r="O58" s="17">
        <v>0</v>
      </c>
      <c r="P58" s="17">
        <v>0</v>
      </c>
      <c r="Q58" s="17">
        <v>0</v>
      </c>
      <c r="R58" s="17">
        <v>1</v>
      </c>
    </row>
    <row r="59" spans="1:18" ht="21" customHeight="1">
      <c r="A59" s="8" t="str">
        <f t="shared" si="0"/>
        <v>0881</v>
      </c>
      <c r="B59" s="5">
        <v>201</v>
      </c>
      <c r="C59" s="10" t="str">
        <f ca="1">VLOOKUP($B59,OFFSET([1]gachas!$A$2,0,0,COUNTA([1]gachas!$A:$A),MATCH(C$1,[1]gachas!$1:$1,0)-MATCH($B$1,[1]gachas!$1:$1,0)+1),MATCH(C$1,[1]gachas!$1:$1,0)-MATCH($B$1,[1]gachas!$1:$1,0)+1,FALSE)</f>
        <v>男気リンクガチャ（常設）</v>
      </c>
      <c r="D59" s="6">
        <v>0</v>
      </c>
      <c r="E59" s="7">
        <v>88</v>
      </c>
      <c r="F59" s="10" t="str">
        <f ca="1">VLOOKUP($E59,OFFSET([2]characters!$A$2,0,0,COUNTA([2]characters!$A:$A),MATCH(F$1,[2]characters!$2:$2,0)-MATCH($E$1,[2]characters!$2:$2,0)+1),MATCH(F$1,[2]characters!$2:$2,0)-MATCH($E$1,[2]characters!$2:$2,0)+1,FALSE)</f>
        <v>玄武</v>
      </c>
      <c r="G59" s="10" t="str">
        <f ca="1">VLOOKUP($E59,OFFSET([2]characters!$A$2,0,0,COUNTA([2]characters!$A:$A),MATCH(G$1,[2]characters!$2:$2,0)-MATCH($E$1,[2]characters!$2:$2,0)+1),MATCH(G$1,[2]characters!$2:$2,0)-MATCH($E$1,[2]characters!$2:$2,0)+1,FALSE)</f>
        <v>Drop2N</v>
      </c>
      <c r="H59" s="10">
        <f ca="1">VLOOKUP($E59,OFFSET([2]characters!$A$2,0,0,COUNTA([2]characters!$A:$A),MATCH(H$1,[2]characters!$2:$2,0)-MATCH($E$1,[2]characters!$2:$2,0)+1),MATCH(H$1,[2]characters!$2:$2,0)-MATCH($E$1,[2]characters!$2:$2,0)+1,FALSE)</f>
        <v>3</v>
      </c>
      <c r="I59" s="10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10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9" s="10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9" s="6">
        <v>1</v>
      </c>
      <c r="M59" s="6">
        <v>877</v>
      </c>
      <c r="N59" s="17">
        <v>0</v>
      </c>
      <c r="O59" s="17">
        <v>0</v>
      </c>
      <c r="P59" s="17">
        <v>0</v>
      </c>
      <c r="Q59" s="17">
        <v>0</v>
      </c>
      <c r="R59" s="17">
        <v>1</v>
      </c>
    </row>
    <row r="60" spans="1:18" ht="21" customHeight="1">
      <c r="A60" s="8" t="str">
        <f t="shared" si="0"/>
        <v>0911</v>
      </c>
      <c r="B60" s="5">
        <v>201</v>
      </c>
      <c r="C60" s="10" t="str">
        <f ca="1">VLOOKUP($B60,OFFSET([1]gachas!$A$2,0,0,COUNTA([1]gachas!$A:$A),MATCH(C$1,[1]gachas!$1:$1,0)-MATCH($B$1,[1]gachas!$1:$1,0)+1),MATCH(C$1,[1]gachas!$1:$1,0)-MATCH($B$1,[1]gachas!$1:$1,0)+1,FALSE)</f>
        <v>男気リンクガチャ（常設）</v>
      </c>
      <c r="D60" s="6">
        <v>0</v>
      </c>
      <c r="E60" s="7">
        <v>91</v>
      </c>
      <c r="F60" s="10" t="str">
        <f ca="1">VLOOKUP($E60,OFFSET([2]characters!$A$2,0,0,COUNTA([2]characters!$A:$A),MATCH(F$1,[2]characters!$2:$2,0)-MATCH($E$1,[2]characters!$2:$2,0)+1),MATCH(F$1,[2]characters!$2:$2,0)-MATCH($E$1,[2]characters!$2:$2,0)+1,FALSE)</f>
        <v>青龍</v>
      </c>
      <c r="G60" s="10" t="str">
        <f ca="1">VLOOKUP($E60,OFFSET([2]characters!$A$2,0,0,COUNTA([2]characters!$A:$A),MATCH(G$1,[2]characters!$2:$2,0)-MATCH($E$1,[2]characters!$2:$2,0)+1),MATCH(G$1,[2]characters!$2:$2,0)-MATCH($E$1,[2]characters!$2:$2,0)+1,FALSE)</f>
        <v>Drop2N</v>
      </c>
      <c r="H60" s="10">
        <f ca="1">VLOOKUP($E60,OFFSET([2]characters!$A$2,0,0,COUNTA([2]characters!$A:$A),MATCH(H$1,[2]characters!$2:$2,0)-MATCH($E$1,[2]characters!$2:$2,0)+1),MATCH(H$1,[2]characters!$2:$2,0)-MATCH($E$1,[2]characters!$2:$2,0)+1,FALSE)</f>
        <v>3</v>
      </c>
      <c r="I60" s="10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10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0" s="10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60" s="6">
        <v>1</v>
      </c>
      <c r="M60" s="6">
        <v>877</v>
      </c>
      <c r="N60" s="17">
        <v>0</v>
      </c>
      <c r="O60" s="17">
        <v>0</v>
      </c>
      <c r="P60" s="17">
        <v>0</v>
      </c>
      <c r="Q60" s="17">
        <v>0</v>
      </c>
      <c r="R60" s="17">
        <v>1</v>
      </c>
    </row>
    <row r="61" spans="1:18" ht="21" customHeight="1">
      <c r="A61" s="8" t="str">
        <f t="shared" si="0"/>
        <v>0941</v>
      </c>
      <c r="B61" s="5">
        <v>201</v>
      </c>
      <c r="C61" s="10" t="str">
        <f ca="1">VLOOKUP($B61,OFFSET([1]gachas!$A$2,0,0,COUNTA([1]gachas!$A:$A),MATCH(C$1,[1]gachas!$1:$1,0)-MATCH($B$1,[1]gachas!$1:$1,0)+1),MATCH(C$1,[1]gachas!$1:$1,0)-MATCH($B$1,[1]gachas!$1:$1,0)+1,FALSE)</f>
        <v>男気リンクガチャ（常設）</v>
      </c>
      <c r="D61" s="6">
        <v>0</v>
      </c>
      <c r="E61" s="7">
        <v>94</v>
      </c>
      <c r="F61" s="10" t="str">
        <f ca="1">VLOOKUP($E61,OFFSET([2]characters!$A$2,0,0,COUNTA([2]characters!$A:$A),MATCH(F$1,[2]characters!$2:$2,0)-MATCH($E$1,[2]characters!$2:$2,0)+1),MATCH(F$1,[2]characters!$2:$2,0)-MATCH($E$1,[2]characters!$2:$2,0)+1,FALSE)</f>
        <v>白虎</v>
      </c>
      <c r="G61" s="10" t="str">
        <f ca="1">VLOOKUP($E61,OFFSET([2]characters!$A$2,0,0,COUNTA([2]characters!$A:$A),MATCH(G$1,[2]characters!$2:$2,0)-MATCH($E$1,[2]characters!$2:$2,0)+1),MATCH(G$1,[2]characters!$2:$2,0)-MATCH($E$1,[2]characters!$2:$2,0)+1,FALSE)</f>
        <v>Drop2N</v>
      </c>
      <c r="H61" s="10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10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10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10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1" s="6">
        <v>1</v>
      </c>
      <c r="M61" s="6">
        <v>877</v>
      </c>
      <c r="N61" s="17">
        <v>0</v>
      </c>
      <c r="O61" s="17">
        <v>0</v>
      </c>
      <c r="P61" s="17">
        <v>0</v>
      </c>
      <c r="Q61" s="17">
        <v>0</v>
      </c>
      <c r="R61" s="17">
        <v>1</v>
      </c>
    </row>
    <row r="62" spans="1:18" ht="21" customHeight="1">
      <c r="A62" s="8" t="str">
        <f t="shared" si="0"/>
        <v>03321</v>
      </c>
      <c r="B62" s="5">
        <v>201</v>
      </c>
      <c r="C62" s="10" t="str">
        <f ca="1">VLOOKUP($B62,OFFSET([1]gachas!$A$2,0,0,COUNTA([1]gachas!$A:$A),MATCH(C$1,[1]gachas!$1:$1,0)-MATCH($B$1,[1]gachas!$1:$1,0)+1),MATCH(C$1,[1]gachas!$1:$1,0)-MATCH($B$1,[1]gachas!$1:$1,0)+1,FALSE)</f>
        <v>男気リンクガチャ（常設）</v>
      </c>
      <c r="D62" s="6">
        <v>0</v>
      </c>
      <c r="E62" s="7">
        <v>332</v>
      </c>
      <c r="F62" s="10" t="str">
        <f ca="1">VLOOKUP($E62,OFFSET([2]characters!$A$2,0,0,COUNTA([2]characters!$A:$A),MATCH(F$1,[2]characters!$2:$2,0)-MATCH($E$1,[2]characters!$2:$2,0)+1),MATCH(F$1,[2]characters!$2:$2,0)-MATCH($E$1,[2]characters!$2:$2,0)+1,FALSE)</f>
        <v>炎のメタルピヨピヨ</v>
      </c>
      <c r="G62" s="10" t="str">
        <f ca="1">VLOOKUP($E62,OFFSET([2]characters!$A$2,0,0,COUNTA([2]characters!$A:$A),MATCH(G$1,[2]characters!$2:$2,0)-MATCH($E$1,[2]characters!$2:$2,0)+1),MATCH(G$1,[2]characters!$2:$2,0)-MATCH($E$1,[2]characters!$2:$2,0)+1,FALSE)</f>
        <v>Material</v>
      </c>
      <c r="H62" s="10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10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10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2" s="10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2" s="6">
        <v>1</v>
      </c>
      <c r="M62" s="6">
        <v>988</v>
      </c>
      <c r="N62" s="17">
        <v>0</v>
      </c>
      <c r="O62" s="17">
        <v>0</v>
      </c>
      <c r="P62" s="17">
        <v>0</v>
      </c>
      <c r="Q62" s="17">
        <v>0</v>
      </c>
      <c r="R62" s="17">
        <v>1</v>
      </c>
    </row>
    <row r="63" spans="1:18" ht="21" customHeight="1">
      <c r="A63" s="8" t="str">
        <f t="shared" si="0"/>
        <v>03361</v>
      </c>
      <c r="B63" s="5">
        <v>201</v>
      </c>
      <c r="C63" s="10" t="str">
        <f ca="1">VLOOKUP($B63,OFFSET([1]gachas!$A$2,0,0,COUNTA([1]gachas!$A:$A),MATCH(C$1,[1]gachas!$1:$1,0)-MATCH($B$1,[1]gachas!$1:$1,0)+1),MATCH(C$1,[1]gachas!$1:$1,0)-MATCH($B$1,[1]gachas!$1:$1,0)+1,FALSE)</f>
        <v>男気リンクガチャ（常設）</v>
      </c>
      <c r="D63" s="6">
        <v>0</v>
      </c>
      <c r="E63" s="7">
        <v>336</v>
      </c>
      <c r="F63" s="10" t="str">
        <f ca="1">VLOOKUP($E63,OFFSET([2]characters!$A$2,0,0,COUNTA([2]characters!$A:$A),MATCH(F$1,[2]characters!$2:$2,0)-MATCH($E$1,[2]characters!$2:$2,0)+1),MATCH(F$1,[2]characters!$2:$2,0)-MATCH($E$1,[2]characters!$2:$2,0)+1,FALSE)</f>
        <v>森のメタルピヨピヨ</v>
      </c>
      <c r="G63" s="10" t="str">
        <f ca="1">VLOOKUP($E63,OFFSET([2]characters!$A$2,0,0,COUNTA([2]characters!$A:$A),MATCH(G$1,[2]characters!$2:$2,0)-MATCH($E$1,[2]characters!$2:$2,0)+1),MATCH(G$1,[2]characters!$2:$2,0)-MATCH($E$1,[2]characters!$2:$2,0)+1,FALSE)</f>
        <v>Material</v>
      </c>
      <c r="H63" s="10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10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10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3" s="10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3" s="6">
        <v>1</v>
      </c>
      <c r="M63" s="6">
        <v>988</v>
      </c>
      <c r="N63" s="17">
        <v>0</v>
      </c>
      <c r="O63" s="17">
        <v>0</v>
      </c>
      <c r="P63" s="17">
        <v>0</v>
      </c>
      <c r="Q63" s="17">
        <v>0</v>
      </c>
      <c r="R63" s="17">
        <v>1</v>
      </c>
    </row>
    <row r="64" spans="1:18" ht="21" customHeight="1">
      <c r="A64" s="8" t="str">
        <f t="shared" si="0"/>
        <v>03401</v>
      </c>
      <c r="B64" s="5">
        <v>201</v>
      </c>
      <c r="C64" s="10" t="str">
        <f ca="1">VLOOKUP($B64,OFFSET([1]gachas!$A$2,0,0,COUNTA([1]gachas!$A:$A),MATCH(C$1,[1]gachas!$1:$1,0)-MATCH($B$1,[1]gachas!$1:$1,0)+1),MATCH(C$1,[1]gachas!$1:$1,0)-MATCH($B$1,[1]gachas!$1:$1,0)+1,FALSE)</f>
        <v>男気リンクガチャ（常設）</v>
      </c>
      <c r="D64" s="6">
        <v>0</v>
      </c>
      <c r="E64" s="7">
        <v>340</v>
      </c>
      <c r="F64" s="10" t="str">
        <f ca="1">VLOOKUP($E64,OFFSET([2]characters!$A$2,0,0,COUNTA([2]characters!$A:$A),MATCH(F$1,[2]characters!$2:$2,0)-MATCH($E$1,[2]characters!$2:$2,0)+1),MATCH(F$1,[2]characters!$2:$2,0)-MATCH($E$1,[2]characters!$2:$2,0)+1,FALSE)</f>
        <v>水のメタルピヨピヨ</v>
      </c>
      <c r="G64" s="10" t="str">
        <f ca="1">VLOOKUP($E64,OFFSET([2]characters!$A$2,0,0,COUNTA([2]characters!$A:$A),MATCH(G$1,[2]characters!$2:$2,0)-MATCH($E$1,[2]characters!$2:$2,0)+1),MATCH(G$1,[2]characters!$2:$2,0)-MATCH($E$1,[2]characters!$2:$2,0)+1,FALSE)</f>
        <v>Material</v>
      </c>
      <c r="H64" s="10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10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10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4" s="10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4" s="6">
        <v>1</v>
      </c>
      <c r="M64" s="6">
        <v>988</v>
      </c>
      <c r="N64" s="17">
        <v>0</v>
      </c>
      <c r="O64" s="17">
        <v>0</v>
      </c>
      <c r="P64" s="17">
        <v>0</v>
      </c>
      <c r="Q64" s="17">
        <v>0</v>
      </c>
      <c r="R64" s="17">
        <v>1</v>
      </c>
    </row>
    <row r="65" spans="1:18" ht="21" customHeight="1">
      <c r="A65" s="8" t="str">
        <f t="shared" si="0"/>
        <v>03441</v>
      </c>
      <c r="B65" s="5">
        <v>201</v>
      </c>
      <c r="C65" s="10" t="str">
        <f ca="1">VLOOKUP($B65,OFFSET([1]gachas!$A$2,0,0,COUNTA([1]gachas!$A:$A),MATCH(C$1,[1]gachas!$1:$1,0)-MATCH($B$1,[1]gachas!$1:$1,0)+1),MATCH(C$1,[1]gachas!$1:$1,0)-MATCH($B$1,[1]gachas!$1:$1,0)+1,FALSE)</f>
        <v>男気リンクガチャ（常設）</v>
      </c>
      <c r="D65" s="6">
        <v>0</v>
      </c>
      <c r="E65" s="7">
        <v>344</v>
      </c>
      <c r="F65" s="10" t="str">
        <f ca="1">VLOOKUP($E65,OFFSET([2]characters!$A$2,0,0,COUNTA([2]characters!$A:$A),MATCH(F$1,[2]characters!$2:$2,0)-MATCH($E$1,[2]characters!$2:$2,0)+1),MATCH(F$1,[2]characters!$2:$2,0)-MATCH($E$1,[2]characters!$2:$2,0)+1,FALSE)</f>
        <v>雷のメタルピヨピヨ</v>
      </c>
      <c r="G65" s="10" t="str">
        <f ca="1">VLOOKUP($E65,OFFSET([2]characters!$A$2,0,0,COUNTA([2]characters!$A:$A),MATCH(G$1,[2]characters!$2:$2,0)-MATCH($E$1,[2]characters!$2:$2,0)+1),MATCH(G$1,[2]characters!$2:$2,0)-MATCH($E$1,[2]characters!$2:$2,0)+1,FALSE)</f>
        <v>Material</v>
      </c>
      <c r="H65" s="10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10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10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5" s="10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5" s="6">
        <v>1</v>
      </c>
      <c r="M65" s="6">
        <v>988</v>
      </c>
      <c r="N65" s="17">
        <v>0</v>
      </c>
      <c r="O65" s="17">
        <v>0</v>
      </c>
      <c r="P65" s="17">
        <v>0</v>
      </c>
      <c r="Q65" s="17">
        <v>0</v>
      </c>
      <c r="R65" s="17">
        <v>1</v>
      </c>
    </row>
    <row r="66" spans="1:18" ht="21" customHeight="1">
      <c r="A66" s="8" t="str">
        <f t="shared" si="0"/>
        <v>03331</v>
      </c>
      <c r="B66" s="5">
        <v>201</v>
      </c>
      <c r="C66" s="10" t="str">
        <f ca="1">VLOOKUP($B66,OFFSET([1]gachas!$A$2,0,0,COUNTA([1]gachas!$A:$A),MATCH(C$1,[1]gachas!$1:$1,0)-MATCH($B$1,[1]gachas!$1:$1,0)+1),MATCH(C$1,[1]gachas!$1:$1,0)-MATCH($B$1,[1]gachas!$1:$1,0)+1,FALSE)</f>
        <v>男気リンクガチャ（常設）</v>
      </c>
      <c r="D66" s="6">
        <v>0</v>
      </c>
      <c r="E66" s="7">
        <v>333</v>
      </c>
      <c r="F66" s="10" t="str">
        <f ca="1">VLOOKUP($E66,OFFSET([2]characters!$A$2,0,0,COUNTA([2]characters!$A:$A),MATCH(F$1,[2]characters!$2:$2,0)-MATCH($E$1,[2]characters!$2:$2,0)+1),MATCH(F$1,[2]characters!$2:$2,0)-MATCH($E$1,[2]characters!$2:$2,0)+1,FALSE)</f>
        <v>炎のメタルチック</v>
      </c>
      <c r="G66" s="10" t="str">
        <f ca="1">VLOOKUP($E66,OFFSET([2]characters!$A$2,0,0,COUNTA([2]characters!$A:$A),MATCH(G$1,[2]characters!$2:$2,0)-MATCH($E$1,[2]characters!$2:$2,0)+1),MATCH(G$1,[2]characters!$2:$2,0)-MATCH($E$1,[2]characters!$2:$2,0)+1,FALSE)</f>
        <v>Material</v>
      </c>
      <c r="H66" s="10">
        <f ca="1">VLOOKUP($E66,OFFSET([2]characters!$A$2,0,0,COUNTA([2]characters!$A:$A),MATCH(H$1,[2]characters!$2:$2,0)-MATCH($E$1,[2]characters!$2:$2,0)+1),MATCH(H$1,[2]characters!$2:$2,0)-MATCH($E$1,[2]characters!$2:$2,0)+1,FALSE)</f>
        <v>4</v>
      </c>
      <c r="I66" s="10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10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6" s="10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6" s="6">
        <v>1</v>
      </c>
      <c r="M66" s="6">
        <v>988</v>
      </c>
      <c r="N66" s="17">
        <v>0</v>
      </c>
      <c r="O66" s="17">
        <v>0</v>
      </c>
      <c r="P66" s="17">
        <v>0</v>
      </c>
      <c r="Q66" s="17">
        <v>0</v>
      </c>
      <c r="R66" s="17">
        <v>1</v>
      </c>
    </row>
    <row r="67" spans="1:18" ht="21" customHeight="1">
      <c r="A67" s="8" t="str">
        <f t="shared" ref="A67:A80" si="1">D67&amp;E67&amp;L67</f>
        <v>03371</v>
      </c>
      <c r="B67" s="5">
        <v>201</v>
      </c>
      <c r="C67" s="10" t="str">
        <f ca="1">VLOOKUP($B67,OFFSET([1]gachas!$A$2,0,0,COUNTA([1]gachas!$A:$A),MATCH(C$1,[1]gachas!$1:$1,0)-MATCH($B$1,[1]gachas!$1:$1,0)+1),MATCH(C$1,[1]gachas!$1:$1,0)-MATCH($B$1,[1]gachas!$1:$1,0)+1,FALSE)</f>
        <v>男気リンクガチャ（常設）</v>
      </c>
      <c r="D67" s="6">
        <v>0</v>
      </c>
      <c r="E67" s="7">
        <v>337</v>
      </c>
      <c r="F67" s="10" t="str">
        <f ca="1">VLOOKUP($E67,OFFSET([2]characters!$A$2,0,0,COUNTA([2]characters!$A:$A),MATCH(F$1,[2]characters!$2:$2,0)-MATCH($E$1,[2]characters!$2:$2,0)+1),MATCH(F$1,[2]characters!$2:$2,0)-MATCH($E$1,[2]characters!$2:$2,0)+1,FALSE)</f>
        <v>森のメタルチック</v>
      </c>
      <c r="G67" s="10" t="str">
        <f ca="1">VLOOKUP($E67,OFFSET([2]characters!$A$2,0,0,COUNTA([2]characters!$A:$A),MATCH(G$1,[2]characters!$2:$2,0)-MATCH($E$1,[2]characters!$2:$2,0)+1),MATCH(G$1,[2]characters!$2:$2,0)-MATCH($E$1,[2]characters!$2:$2,0)+1,FALSE)</f>
        <v>Material</v>
      </c>
      <c r="H67" s="10">
        <f ca="1">VLOOKUP($E67,OFFSET([2]characters!$A$2,0,0,COUNTA([2]characters!$A:$A),MATCH(H$1,[2]characters!$2:$2,0)-MATCH($E$1,[2]characters!$2:$2,0)+1),MATCH(H$1,[2]characters!$2:$2,0)-MATCH($E$1,[2]characters!$2:$2,0)+1,FALSE)</f>
        <v>4</v>
      </c>
      <c r="I67" s="10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10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7" s="10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7" s="6">
        <v>1</v>
      </c>
      <c r="M67" s="6">
        <v>988</v>
      </c>
      <c r="N67" s="17">
        <v>0</v>
      </c>
      <c r="O67" s="17">
        <v>0</v>
      </c>
      <c r="P67" s="17">
        <v>0</v>
      </c>
      <c r="Q67" s="17">
        <v>0</v>
      </c>
      <c r="R67" s="17">
        <v>1</v>
      </c>
    </row>
    <row r="68" spans="1:18" ht="21" customHeight="1">
      <c r="A68" s="8" t="str">
        <f t="shared" si="1"/>
        <v>03411</v>
      </c>
      <c r="B68" s="5">
        <v>201</v>
      </c>
      <c r="C68" s="10" t="str">
        <f ca="1">VLOOKUP($B68,OFFSET([1]gachas!$A$2,0,0,COUNTA([1]gachas!$A:$A),MATCH(C$1,[1]gachas!$1:$1,0)-MATCH($B$1,[1]gachas!$1:$1,0)+1),MATCH(C$1,[1]gachas!$1:$1,0)-MATCH($B$1,[1]gachas!$1:$1,0)+1,FALSE)</f>
        <v>男気リンクガチャ（常設）</v>
      </c>
      <c r="D68" s="6">
        <v>0</v>
      </c>
      <c r="E68" s="7">
        <v>341</v>
      </c>
      <c r="F68" s="10" t="str">
        <f ca="1">VLOOKUP($E68,OFFSET([2]characters!$A$2,0,0,COUNTA([2]characters!$A:$A),MATCH(F$1,[2]characters!$2:$2,0)-MATCH($E$1,[2]characters!$2:$2,0)+1),MATCH(F$1,[2]characters!$2:$2,0)-MATCH($E$1,[2]characters!$2:$2,0)+1,FALSE)</f>
        <v>水のメタルチック</v>
      </c>
      <c r="G68" s="10" t="str">
        <f ca="1">VLOOKUP($E68,OFFSET([2]characters!$A$2,0,0,COUNTA([2]characters!$A:$A),MATCH(G$1,[2]characters!$2:$2,0)-MATCH($E$1,[2]characters!$2:$2,0)+1),MATCH(G$1,[2]characters!$2:$2,0)-MATCH($E$1,[2]characters!$2:$2,0)+1,FALSE)</f>
        <v>Material</v>
      </c>
      <c r="H68" s="10">
        <f ca="1">VLOOKUP($E68,OFFSET([2]characters!$A$2,0,0,COUNTA([2]characters!$A:$A),MATCH(H$1,[2]characters!$2:$2,0)-MATCH($E$1,[2]characters!$2:$2,0)+1),MATCH(H$1,[2]characters!$2:$2,0)-MATCH($E$1,[2]characters!$2:$2,0)+1,FALSE)</f>
        <v>4</v>
      </c>
      <c r="I68" s="10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10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8" s="10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8" s="6">
        <v>1</v>
      </c>
      <c r="M68" s="6">
        <v>988</v>
      </c>
      <c r="N68" s="17">
        <v>0</v>
      </c>
      <c r="O68" s="17">
        <v>0</v>
      </c>
      <c r="P68" s="17">
        <v>0</v>
      </c>
      <c r="Q68" s="17">
        <v>0</v>
      </c>
      <c r="R68" s="17">
        <v>1</v>
      </c>
    </row>
    <row r="69" spans="1:18" ht="21" customHeight="1">
      <c r="A69" s="8" t="str">
        <f t="shared" si="1"/>
        <v>03451</v>
      </c>
      <c r="B69" s="5">
        <v>201</v>
      </c>
      <c r="C69" s="10" t="str">
        <f ca="1">VLOOKUP($B69,OFFSET([1]gachas!$A$2,0,0,COUNTA([1]gachas!$A:$A),MATCH(C$1,[1]gachas!$1:$1,0)-MATCH($B$1,[1]gachas!$1:$1,0)+1),MATCH(C$1,[1]gachas!$1:$1,0)-MATCH($B$1,[1]gachas!$1:$1,0)+1,FALSE)</f>
        <v>男気リンクガチャ（常設）</v>
      </c>
      <c r="D69" s="6">
        <v>0</v>
      </c>
      <c r="E69" s="7">
        <v>345</v>
      </c>
      <c r="F69" s="10" t="str">
        <f ca="1">VLOOKUP($E69,OFFSET([2]characters!$A$2,0,0,COUNTA([2]characters!$A:$A),MATCH(F$1,[2]characters!$2:$2,0)-MATCH($E$1,[2]characters!$2:$2,0)+1),MATCH(F$1,[2]characters!$2:$2,0)-MATCH($E$1,[2]characters!$2:$2,0)+1,FALSE)</f>
        <v>雷のメタルチック</v>
      </c>
      <c r="G69" s="10" t="str">
        <f ca="1">VLOOKUP($E69,OFFSET([2]characters!$A$2,0,0,COUNTA([2]characters!$A:$A),MATCH(G$1,[2]characters!$2:$2,0)-MATCH($E$1,[2]characters!$2:$2,0)+1),MATCH(G$1,[2]characters!$2:$2,0)-MATCH($E$1,[2]characters!$2:$2,0)+1,FALSE)</f>
        <v>Material</v>
      </c>
      <c r="H69" s="10">
        <f ca="1">VLOOKUP($E69,OFFSET([2]characters!$A$2,0,0,COUNTA([2]characters!$A:$A),MATCH(H$1,[2]characters!$2:$2,0)-MATCH($E$1,[2]characters!$2:$2,0)+1),MATCH(H$1,[2]characters!$2:$2,0)-MATCH($E$1,[2]characters!$2:$2,0)+1,FALSE)</f>
        <v>4</v>
      </c>
      <c r="I69" s="10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10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9" s="10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9" s="6">
        <v>1</v>
      </c>
      <c r="M69" s="6">
        <v>988</v>
      </c>
      <c r="N69" s="17">
        <v>0</v>
      </c>
      <c r="O69" s="17">
        <v>0</v>
      </c>
      <c r="P69" s="17">
        <v>0</v>
      </c>
      <c r="Q69" s="17">
        <v>0</v>
      </c>
      <c r="R69" s="17">
        <v>1</v>
      </c>
    </row>
    <row r="70" spans="1:18" ht="21" customHeight="1">
      <c r="A70" s="8" t="str">
        <f t="shared" si="1"/>
        <v>03341</v>
      </c>
      <c r="B70" s="5">
        <v>201</v>
      </c>
      <c r="C70" s="10" t="str">
        <f ca="1">VLOOKUP($B70,OFFSET([1]gachas!$A$2,0,0,COUNTA([1]gachas!$A:$A),MATCH(C$1,[1]gachas!$1:$1,0)-MATCH($B$1,[1]gachas!$1:$1,0)+1),MATCH(C$1,[1]gachas!$1:$1,0)-MATCH($B$1,[1]gachas!$1:$1,0)+1,FALSE)</f>
        <v>男気リンクガチャ（常設）</v>
      </c>
      <c r="D70" s="6">
        <v>0</v>
      </c>
      <c r="E70" s="7">
        <v>334</v>
      </c>
      <c r="F70" s="10" t="str">
        <f ca="1">VLOOKUP($E70,OFFSET([2]characters!$A$2,0,0,COUNTA([2]characters!$A:$A),MATCH(F$1,[2]characters!$2:$2,0)-MATCH($E$1,[2]characters!$2:$2,0)+1),MATCH(F$1,[2]characters!$2:$2,0)-MATCH($E$1,[2]characters!$2:$2,0)+1,FALSE)</f>
        <v>炎のメタルダック</v>
      </c>
      <c r="G70" s="10" t="str">
        <f ca="1">VLOOKUP($E70,OFFSET([2]characters!$A$2,0,0,COUNTA([2]characters!$A:$A),MATCH(G$1,[2]characters!$2:$2,0)-MATCH($E$1,[2]characters!$2:$2,0)+1),MATCH(G$1,[2]characters!$2:$2,0)-MATCH($E$1,[2]characters!$2:$2,0)+1,FALSE)</f>
        <v>Material</v>
      </c>
      <c r="H70" s="10">
        <f ca="1">VLOOKUP($E70,OFFSET([2]characters!$A$2,0,0,COUNTA([2]characters!$A:$A),MATCH(H$1,[2]characters!$2:$2,0)-MATCH($E$1,[2]characters!$2:$2,0)+1),MATCH(H$1,[2]characters!$2:$2,0)-MATCH($E$1,[2]characters!$2:$2,0)+1,FALSE)</f>
        <v>5</v>
      </c>
      <c r="I70" s="10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10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0" s="10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0" s="6">
        <v>1</v>
      </c>
      <c r="M70" s="6">
        <v>3950</v>
      </c>
      <c r="N70" s="17">
        <v>0</v>
      </c>
      <c r="O70" s="17">
        <v>0</v>
      </c>
      <c r="P70" s="17">
        <v>0</v>
      </c>
      <c r="Q70" s="17">
        <v>0</v>
      </c>
      <c r="R70" s="17">
        <v>1</v>
      </c>
    </row>
    <row r="71" spans="1:18" ht="21" customHeight="1">
      <c r="A71" s="8" t="str">
        <f t="shared" si="1"/>
        <v>03381</v>
      </c>
      <c r="B71" s="5">
        <v>201</v>
      </c>
      <c r="C71" s="10" t="str">
        <f ca="1">VLOOKUP($B71,OFFSET([1]gachas!$A$2,0,0,COUNTA([1]gachas!$A:$A),MATCH(C$1,[1]gachas!$1:$1,0)-MATCH($B$1,[1]gachas!$1:$1,0)+1),MATCH(C$1,[1]gachas!$1:$1,0)-MATCH($B$1,[1]gachas!$1:$1,0)+1,FALSE)</f>
        <v>男気リンクガチャ（常設）</v>
      </c>
      <c r="D71" s="6">
        <v>0</v>
      </c>
      <c r="E71" s="7">
        <v>338</v>
      </c>
      <c r="F71" s="10" t="str">
        <f ca="1">VLOOKUP($E71,OFFSET([2]characters!$A$2,0,0,COUNTA([2]characters!$A:$A),MATCH(F$1,[2]characters!$2:$2,0)-MATCH($E$1,[2]characters!$2:$2,0)+1),MATCH(F$1,[2]characters!$2:$2,0)-MATCH($E$1,[2]characters!$2:$2,0)+1,FALSE)</f>
        <v>森のメタルダック</v>
      </c>
      <c r="G71" s="10" t="str">
        <f ca="1">VLOOKUP($E71,OFFSET([2]characters!$A$2,0,0,COUNTA([2]characters!$A:$A),MATCH(G$1,[2]characters!$2:$2,0)-MATCH($E$1,[2]characters!$2:$2,0)+1),MATCH(G$1,[2]characters!$2:$2,0)-MATCH($E$1,[2]characters!$2:$2,0)+1,FALSE)</f>
        <v>Material</v>
      </c>
      <c r="H71" s="10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10" t="str">
        <f ca="1">VLOOKUP($E71,OFFSET([2]characters!$A$2,0,0,COUNTA([2]characters!$A:$A),MATCH(I$1,[2]characters!$2:$2,0)-MATCH($E$1,[2]characters!$2:$2,0)+1),MATCH(I$1,[2]characters!$2:$2,0)-MATCH($E$1,[2]characters!$2:$2,0)+1,FALSE)</f>
        <v>green</v>
      </c>
      <c r="J71" s="10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1" s="10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1" s="6">
        <v>1</v>
      </c>
      <c r="M71" s="6">
        <v>3950</v>
      </c>
      <c r="N71" s="17">
        <v>0</v>
      </c>
      <c r="O71" s="17">
        <v>0</v>
      </c>
      <c r="P71" s="17">
        <v>0</v>
      </c>
      <c r="Q71" s="17">
        <v>0</v>
      </c>
      <c r="R71" s="17">
        <v>1</v>
      </c>
    </row>
    <row r="72" spans="1:18" ht="21" customHeight="1">
      <c r="A72" s="8" t="str">
        <f t="shared" si="1"/>
        <v>03421</v>
      </c>
      <c r="B72" s="5">
        <v>201</v>
      </c>
      <c r="C72" s="10" t="str">
        <f ca="1">VLOOKUP($B72,OFFSET([1]gachas!$A$2,0,0,COUNTA([1]gachas!$A:$A),MATCH(C$1,[1]gachas!$1:$1,0)-MATCH($B$1,[1]gachas!$1:$1,0)+1),MATCH(C$1,[1]gachas!$1:$1,0)-MATCH($B$1,[1]gachas!$1:$1,0)+1,FALSE)</f>
        <v>男気リンクガチャ（常設）</v>
      </c>
      <c r="D72" s="6">
        <v>0</v>
      </c>
      <c r="E72" s="7">
        <v>342</v>
      </c>
      <c r="F72" s="10" t="str">
        <f ca="1">VLOOKUP($E72,OFFSET([2]characters!$A$2,0,0,COUNTA([2]characters!$A:$A),MATCH(F$1,[2]characters!$2:$2,0)-MATCH($E$1,[2]characters!$2:$2,0)+1),MATCH(F$1,[2]characters!$2:$2,0)-MATCH($E$1,[2]characters!$2:$2,0)+1,FALSE)</f>
        <v>水のメタルダック</v>
      </c>
      <c r="G72" s="10" t="str">
        <f ca="1">VLOOKUP($E72,OFFSET([2]characters!$A$2,0,0,COUNTA([2]characters!$A:$A),MATCH(G$1,[2]characters!$2:$2,0)-MATCH($E$1,[2]characters!$2:$2,0)+1),MATCH(G$1,[2]characters!$2:$2,0)-MATCH($E$1,[2]characters!$2:$2,0)+1,FALSE)</f>
        <v>Material</v>
      </c>
      <c r="H72" s="10">
        <f ca="1">VLOOKUP($E72,OFFSET([2]characters!$A$2,0,0,COUNTA([2]characters!$A:$A),MATCH(H$1,[2]characters!$2:$2,0)-MATCH($E$1,[2]characters!$2:$2,0)+1),MATCH(H$1,[2]characters!$2:$2,0)-MATCH($E$1,[2]characters!$2:$2,0)+1,FALSE)</f>
        <v>5</v>
      </c>
      <c r="I72" s="10" t="str">
        <f ca="1">VLOOKUP($E72,OFFSET([2]characters!$A$2,0,0,COUNTA([2]characters!$A:$A),MATCH(I$1,[2]characters!$2:$2,0)-MATCH($E$1,[2]characters!$2:$2,0)+1),MATCH(I$1,[2]characters!$2:$2,0)-MATCH($E$1,[2]characters!$2:$2,0)+1,FALSE)</f>
        <v>blue</v>
      </c>
      <c r="J72" s="10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2" s="10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2" s="6">
        <v>1</v>
      </c>
      <c r="M72" s="6">
        <v>3950</v>
      </c>
      <c r="N72" s="17">
        <v>0</v>
      </c>
      <c r="O72" s="17">
        <v>0</v>
      </c>
      <c r="P72" s="17">
        <v>0</v>
      </c>
      <c r="Q72" s="17">
        <v>0</v>
      </c>
      <c r="R72" s="17">
        <v>1</v>
      </c>
    </row>
    <row r="73" spans="1:18" ht="21" customHeight="1">
      <c r="A73" s="8" t="str">
        <f t="shared" si="1"/>
        <v>03461</v>
      </c>
      <c r="B73" s="5">
        <v>201</v>
      </c>
      <c r="C73" s="10" t="str">
        <f ca="1">VLOOKUP($B73,OFFSET([1]gachas!$A$2,0,0,COUNTA([1]gachas!$A:$A),MATCH(C$1,[1]gachas!$1:$1,0)-MATCH($B$1,[1]gachas!$1:$1,0)+1),MATCH(C$1,[1]gachas!$1:$1,0)-MATCH($B$1,[1]gachas!$1:$1,0)+1,FALSE)</f>
        <v>男気リンクガチャ（常設）</v>
      </c>
      <c r="D73" s="6">
        <v>0</v>
      </c>
      <c r="E73" s="7">
        <v>346</v>
      </c>
      <c r="F73" s="10" t="str">
        <f ca="1">VLOOKUP($E73,OFFSET([2]characters!$A$2,0,0,COUNTA([2]characters!$A:$A),MATCH(F$1,[2]characters!$2:$2,0)-MATCH($E$1,[2]characters!$2:$2,0)+1),MATCH(F$1,[2]characters!$2:$2,0)-MATCH($E$1,[2]characters!$2:$2,0)+1,FALSE)</f>
        <v>雷のメタルダック</v>
      </c>
      <c r="G73" s="10" t="str">
        <f ca="1">VLOOKUP($E73,OFFSET([2]characters!$A$2,0,0,COUNTA([2]characters!$A:$A),MATCH(G$1,[2]characters!$2:$2,0)-MATCH($E$1,[2]characters!$2:$2,0)+1),MATCH(G$1,[2]characters!$2:$2,0)-MATCH($E$1,[2]characters!$2:$2,0)+1,FALSE)</f>
        <v>Material</v>
      </c>
      <c r="H73" s="10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10" t="str">
        <f ca="1">VLOOKUP($E73,OFFSET([2]characters!$A$2,0,0,COUNTA([2]characters!$A:$A),MATCH(I$1,[2]characters!$2:$2,0)-MATCH($E$1,[2]characters!$2:$2,0)+1),MATCH(I$1,[2]characters!$2:$2,0)-MATCH($E$1,[2]characters!$2:$2,0)+1,FALSE)</f>
        <v>yellow</v>
      </c>
      <c r="J73" s="10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3" s="10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3" s="6">
        <v>1</v>
      </c>
      <c r="M73" s="6">
        <v>3950</v>
      </c>
      <c r="N73" s="17">
        <v>0</v>
      </c>
      <c r="O73" s="17">
        <v>0</v>
      </c>
      <c r="P73" s="17">
        <v>0</v>
      </c>
      <c r="Q73" s="17">
        <v>0</v>
      </c>
      <c r="R73" s="17">
        <v>1</v>
      </c>
    </row>
    <row r="74" spans="1:18" ht="21" customHeight="1">
      <c r="A74" s="8" t="str">
        <f t="shared" si="1"/>
        <v>01171</v>
      </c>
      <c r="B74" s="5">
        <v>201</v>
      </c>
      <c r="C74" s="10" t="str">
        <f ca="1">VLOOKUP($B74,OFFSET([1]gachas!$A$2,0,0,COUNTA([1]gachas!$A:$A),MATCH(C$1,[1]gachas!$1:$1,0)-MATCH($B$1,[1]gachas!$1:$1,0)+1),MATCH(C$1,[1]gachas!$1:$1,0)-MATCH($B$1,[1]gachas!$1:$1,0)+1,FALSE)</f>
        <v>男気リンクガチャ（常設）</v>
      </c>
      <c r="D74" s="6">
        <v>0</v>
      </c>
      <c r="E74" s="7">
        <v>117</v>
      </c>
      <c r="F74" s="10" t="str">
        <f ca="1">VLOOKUP($E74,OFFSET([2]characters!$A$2,0,0,COUNTA([2]characters!$A:$A),MATCH(F$1,[2]characters!$2:$2,0)-MATCH($E$1,[2]characters!$2:$2,0)+1),MATCH(F$1,[2]characters!$2:$2,0)-MATCH($E$1,[2]characters!$2:$2,0)+1,FALSE)</f>
        <v>ゴールドピヨピヨ</v>
      </c>
      <c r="G74" s="10" t="str">
        <f ca="1">VLOOKUP($E74,OFFSET([2]characters!$A$2,0,0,COUNTA([2]characters!$A:$A),MATCH(G$1,[2]characters!$2:$2,0)-MATCH($E$1,[2]characters!$2:$2,0)+1),MATCH(G$1,[2]characters!$2:$2,0)-MATCH($E$1,[2]characters!$2:$2,0)+1,FALSE)</f>
        <v>Material</v>
      </c>
      <c r="H74" s="10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10" t="str">
        <f ca="1">VLOOKUP($E74,OFFSET([2]characters!$A$2,0,0,COUNTA([2]characters!$A:$A),MATCH(I$1,[2]characters!$2:$2,0)-MATCH($E$1,[2]characters!$2:$2,0)+1),MATCH(I$1,[2]characters!$2:$2,0)-MATCH($E$1,[2]characters!$2:$2,0)+1,FALSE)</f>
        <v>yellow</v>
      </c>
      <c r="J74" s="10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4" s="10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4" s="6">
        <v>1</v>
      </c>
      <c r="M74" s="6">
        <v>3950</v>
      </c>
      <c r="N74" s="17">
        <v>0</v>
      </c>
      <c r="O74" s="17">
        <v>0</v>
      </c>
      <c r="P74" s="17">
        <v>0</v>
      </c>
      <c r="Q74" s="17">
        <v>0</v>
      </c>
      <c r="R74" s="17">
        <v>1</v>
      </c>
    </row>
    <row r="75" spans="1:18" ht="21" customHeight="1">
      <c r="A75" s="8" t="str">
        <f t="shared" si="1"/>
        <v>01181</v>
      </c>
      <c r="B75" s="5">
        <v>201</v>
      </c>
      <c r="C75" s="10" t="str">
        <f ca="1">VLOOKUP($B75,OFFSET([1]gachas!$A$2,0,0,COUNTA([1]gachas!$A:$A),MATCH(C$1,[1]gachas!$1:$1,0)-MATCH($B$1,[1]gachas!$1:$1,0)+1),MATCH(C$1,[1]gachas!$1:$1,0)-MATCH($B$1,[1]gachas!$1:$1,0)+1,FALSE)</f>
        <v>男気リンクガチャ（常設）</v>
      </c>
      <c r="D75" s="6">
        <v>0</v>
      </c>
      <c r="E75" s="7">
        <v>118</v>
      </c>
      <c r="F75" s="10" t="str">
        <f ca="1">VLOOKUP($E75,OFFSET([2]characters!$A$2,0,0,COUNTA([2]characters!$A:$A),MATCH(F$1,[2]characters!$2:$2,0)-MATCH($E$1,[2]characters!$2:$2,0)+1),MATCH(F$1,[2]characters!$2:$2,0)-MATCH($E$1,[2]characters!$2:$2,0)+1,FALSE)</f>
        <v>ゴールドチック</v>
      </c>
      <c r="G75" s="10" t="str">
        <f ca="1">VLOOKUP($E75,OFFSET([2]characters!$A$2,0,0,COUNTA([2]characters!$A:$A),MATCH(G$1,[2]characters!$2:$2,0)-MATCH($E$1,[2]characters!$2:$2,0)+1),MATCH(G$1,[2]characters!$2:$2,0)-MATCH($E$1,[2]characters!$2:$2,0)+1,FALSE)</f>
        <v>Material</v>
      </c>
      <c r="H75" s="10">
        <f ca="1">VLOOKUP($E75,OFFSET([2]characters!$A$2,0,0,COUNTA([2]characters!$A:$A),MATCH(H$1,[2]characters!$2:$2,0)-MATCH($E$1,[2]characters!$2:$2,0)+1),MATCH(H$1,[2]characters!$2:$2,0)-MATCH($E$1,[2]characters!$2:$2,0)+1,FALSE)</f>
        <v>4</v>
      </c>
      <c r="I75" s="10" t="str">
        <f ca="1">VLOOKUP($E75,OFFSET([2]characters!$A$2,0,0,COUNTA([2]characters!$A:$A),MATCH(I$1,[2]characters!$2:$2,0)-MATCH($E$1,[2]characters!$2:$2,0)+1),MATCH(I$1,[2]characters!$2:$2,0)-MATCH($E$1,[2]characters!$2:$2,0)+1,FALSE)</f>
        <v>yellow</v>
      </c>
      <c r="J75" s="10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5" s="10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5" s="6">
        <v>1</v>
      </c>
      <c r="M75" s="6">
        <v>11850</v>
      </c>
      <c r="N75" s="17">
        <v>0</v>
      </c>
      <c r="O75" s="17">
        <v>0</v>
      </c>
      <c r="P75" s="17">
        <v>0</v>
      </c>
      <c r="Q75" s="17">
        <v>0</v>
      </c>
      <c r="R75" s="17">
        <v>1</v>
      </c>
    </row>
    <row r="76" spans="1:18" ht="21" customHeight="1">
      <c r="A76" s="8" t="str">
        <f t="shared" si="1"/>
        <v>01191</v>
      </c>
      <c r="B76" s="5">
        <v>201</v>
      </c>
      <c r="C76" s="10" t="str">
        <f ca="1">VLOOKUP($B76,OFFSET([1]gachas!$A$2,0,0,COUNTA([1]gachas!$A:$A),MATCH(C$1,[1]gachas!$1:$1,0)-MATCH($B$1,[1]gachas!$1:$1,0)+1),MATCH(C$1,[1]gachas!$1:$1,0)-MATCH($B$1,[1]gachas!$1:$1,0)+1,FALSE)</f>
        <v>男気リンクガチャ（常設）</v>
      </c>
      <c r="D76" s="6">
        <v>0</v>
      </c>
      <c r="E76" s="7">
        <v>119</v>
      </c>
      <c r="F76" s="10" t="str">
        <f ca="1">VLOOKUP($E76,OFFSET([2]characters!$A$2,0,0,COUNTA([2]characters!$A:$A),MATCH(F$1,[2]characters!$2:$2,0)-MATCH($E$1,[2]characters!$2:$2,0)+1),MATCH(F$1,[2]characters!$2:$2,0)-MATCH($E$1,[2]characters!$2:$2,0)+1,FALSE)</f>
        <v>ゴールドダック</v>
      </c>
      <c r="G76" s="10" t="str">
        <f ca="1">VLOOKUP($E76,OFFSET([2]characters!$A$2,0,0,COUNTA([2]characters!$A:$A),MATCH(G$1,[2]characters!$2:$2,0)-MATCH($E$1,[2]characters!$2:$2,0)+1),MATCH(G$1,[2]characters!$2:$2,0)-MATCH($E$1,[2]characters!$2:$2,0)+1,FALSE)</f>
        <v>Material</v>
      </c>
      <c r="H76" s="10">
        <f ca="1">VLOOKUP($E76,OFFSET([2]characters!$A$2,0,0,COUNTA([2]characters!$A:$A),MATCH(H$1,[2]characters!$2:$2,0)-MATCH($E$1,[2]characters!$2:$2,0)+1),MATCH(H$1,[2]characters!$2:$2,0)-MATCH($E$1,[2]characters!$2:$2,0)+1,FALSE)</f>
        <v>5</v>
      </c>
      <c r="I76" s="10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10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6" s="10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6" s="6">
        <v>1</v>
      </c>
      <c r="M76" s="6">
        <v>7900</v>
      </c>
      <c r="N76" s="17">
        <v>0</v>
      </c>
      <c r="O76" s="17">
        <v>0</v>
      </c>
      <c r="P76" s="17">
        <v>0</v>
      </c>
      <c r="Q76" s="17">
        <v>0</v>
      </c>
      <c r="R76" s="17">
        <v>1</v>
      </c>
    </row>
    <row r="77" spans="1:18" ht="21" customHeight="1">
      <c r="A77" s="8" t="str">
        <f t="shared" si="1"/>
        <v>01211</v>
      </c>
      <c r="B77" s="5">
        <v>201</v>
      </c>
      <c r="C77" s="10" t="str">
        <f ca="1">VLOOKUP($B77,OFFSET([1]gachas!$A$2,0,0,COUNTA([1]gachas!$A:$A),MATCH(C$1,[1]gachas!$1:$1,0)-MATCH($B$1,[1]gachas!$1:$1,0)+1),MATCH(C$1,[1]gachas!$1:$1,0)-MATCH($B$1,[1]gachas!$1:$1,0)+1,FALSE)</f>
        <v>男気リンクガチャ（常設）</v>
      </c>
      <c r="D77" s="6">
        <v>0</v>
      </c>
      <c r="E77" s="7">
        <v>121</v>
      </c>
      <c r="F77" s="10" t="str">
        <f ca="1">VLOOKUP($E77,OFFSET([2]characters!$A$2,0,0,COUNTA([2]characters!$A:$A),MATCH(F$1,[2]characters!$2:$2,0)-MATCH($E$1,[2]characters!$2:$2,0)+1),MATCH(F$1,[2]characters!$2:$2,0)-MATCH($E$1,[2]characters!$2:$2,0)+1,FALSE)</f>
        <v>攻めの果実</v>
      </c>
      <c r="G77" s="10" t="str">
        <f ca="1">VLOOKUP($E77,OFFSET([2]characters!$A$2,0,0,COUNTA([2]characters!$A:$A),MATCH(G$1,[2]characters!$2:$2,0)-MATCH($E$1,[2]characters!$2:$2,0)+1),MATCH(G$1,[2]characters!$2:$2,0)-MATCH($E$1,[2]characters!$2:$2,0)+1,FALSE)</f>
        <v>Material</v>
      </c>
      <c r="H77" s="10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10" t="str">
        <f ca="1">VLOOKUP($E77,OFFSET([2]characters!$A$2,0,0,COUNTA([2]characters!$A:$A),MATCH(I$1,[2]characters!$2:$2,0)-MATCH($E$1,[2]characters!$2:$2,0)+1),MATCH(I$1,[2]characters!$2:$2,0)-MATCH($E$1,[2]characters!$2:$2,0)+1,FALSE)</f>
        <v>red</v>
      </c>
      <c r="J77" s="10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10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77" s="6">
        <v>1</v>
      </c>
      <c r="M77" s="6">
        <v>5793</v>
      </c>
      <c r="N77" s="17">
        <v>0</v>
      </c>
      <c r="O77" s="17">
        <v>0</v>
      </c>
      <c r="P77" s="17">
        <v>0</v>
      </c>
      <c r="Q77" s="17">
        <v>0</v>
      </c>
      <c r="R77" s="17">
        <v>1</v>
      </c>
    </row>
    <row r="78" spans="1:18" ht="21" customHeight="1">
      <c r="A78" s="8" t="str">
        <f t="shared" si="1"/>
        <v>01221</v>
      </c>
      <c r="B78" s="5">
        <v>201</v>
      </c>
      <c r="C78" s="10" t="str">
        <f ca="1">VLOOKUP($B78,OFFSET([1]gachas!$A$2,0,0,COUNTA([1]gachas!$A:$A),MATCH(C$1,[1]gachas!$1:$1,0)-MATCH($B$1,[1]gachas!$1:$1,0)+1),MATCH(C$1,[1]gachas!$1:$1,0)-MATCH($B$1,[1]gachas!$1:$1,0)+1,FALSE)</f>
        <v>男気リンクガチャ（常設）</v>
      </c>
      <c r="D78" s="6">
        <v>0</v>
      </c>
      <c r="E78" s="7">
        <v>122</v>
      </c>
      <c r="F78" s="10" t="str">
        <f ca="1">VLOOKUP($E78,OFFSET([2]characters!$A$2,0,0,COUNTA([2]characters!$A:$A),MATCH(F$1,[2]characters!$2:$2,0)-MATCH($E$1,[2]characters!$2:$2,0)+1),MATCH(F$1,[2]characters!$2:$2,0)-MATCH($E$1,[2]characters!$2:$2,0)+1,FALSE)</f>
        <v>生命の果実</v>
      </c>
      <c r="G78" s="10" t="str">
        <f ca="1">VLOOKUP($E78,OFFSET([2]characters!$A$2,0,0,COUNTA([2]characters!$A:$A),MATCH(G$1,[2]characters!$2:$2,0)-MATCH($E$1,[2]characters!$2:$2,0)+1),MATCH(G$1,[2]characters!$2:$2,0)-MATCH($E$1,[2]characters!$2:$2,0)+1,FALSE)</f>
        <v>Material</v>
      </c>
      <c r="H78" s="10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10" t="str">
        <f ca="1">VLOOKUP($E78,OFFSET([2]characters!$A$2,0,0,COUNTA([2]characters!$A:$A),MATCH(I$1,[2]characters!$2:$2,0)-MATCH($E$1,[2]characters!$2:$2,0)+1),MATCH(I$1,[2]characters!$2:$2,0)-MATCH($E$1,[2]characters!$2:$2,0)+1,FALSE)</f>
        <v>green</v>
      </c>
      <c r="J78" s="10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8" s="10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78" s="6">
        <v>1</v>
      </c>
      <c r="M78" s="6">
        <v>5793</v>
      </c>
      <c r="N78" s="17">
        <v>0</v>
      </c>
      <c r="O78" s="17">
        <v>0</v>
      </c>
      <c r="P78" s="17">
        <v>0</v>
      </c>
      <c r="Q78" s="17">
        <v>0</v>
      </c>
      <c r="R78" s="17">
        <v>1</v>
      </c>
    </row>
    <row r="79" spans="1:18" ht="21" customHeight="1">
      <c r="A79" s="8" t="str">
        <f t="shared" si="1"/>
        <v>01231</v>
      </c>
      <c r="B79" s="5">
        <v>201</v>
      </c>
      <c r="C79" s="10" t="str">
        <f ca="1">VLOOKUP($B79,OFFSET([1]gachas!$A$2,0,0,COUNTA([1]gachas!$A:$A),MATCH(C$1,[1]gachas!$1:$1,0)-MATCH($B$1,[1]gachas!$1:$1,0)+1),MATCH(C$1,[1]gachas!$1:$1,0)-MATCH($B$1,[1]gachas!$1:$1,0)+1,FALSE)</f>
        <v>男気リンクガチャ（常設）</v>
      </c>
      <c r="D79" s="6">
        <v>0</v>
      </c>
      <c r="E79" s="7">
        <v>123</v>
      </c>
      <c r="F79" s="10" t="str">
        <f ca="1">VLOOKUP($E79,OFFSET([2]characters!$A$2,0,0,COUNTA([2]characters!$A:$A),MATCH(F$1,[2]characters!$2:$2,0)-MATCH($E$1,[2]characters!$2:$2,0)+1),MATCH(F$1,[2]characters!$2:$2,0)-MATCH($E$1,[2]characters!$2:$2,0)+1,FALSE)</f>
        <v>癒しの果実</v>
      </c>
      <c r="G79" s="10" t="str">
        <f ca="1">VLOOKUP($E79,OFFSET([2]characters!$A$2,0,0,COUNTA([2]characters!$A:$A),MATCH(G$1,[2]characters!$2:$2,0)-MATCH($E$1,[2]characters!$2:$2,0)+1),MATCH(G$1,[2]characters!$2:$2,0)-MATCH($E$1,[2]characters!$2:$2,0)+1,FALSE)</f>
        <v>Material</v>
      </c>
      <c r="H79" s="10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10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10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9" s="10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9" s="6">
        <v>1</v>
      </c>
      <c r="M79" s="6">
        <v>5793</v>
      </c>
      <c r="N79" s="17">
        <v>0</v>
      </c>
      <c r="O79" s="17">
        <v>0</v>
      </c>
      <c r="P79" s="17">
        <v>0</v>
      </c>
      <c r="Q79" s="17">
        <v>0</v>
      </c>
      <c r="R79" s="17">
        <v>1</v>
      </c>
    </row>
    <row r="80" spans="1:18" ht="21" customHeight="1">
      <c r="A80" s="8" t="str">
        <f t="shared" si="1"/>
        <v>01251</v>
      </c>
      <c r="B80" s="5">
        <v>201</v>
      </c>
      <c r="C80" s="10" t="str">
        <f ca="1">VLOOKUP($B80,OFFSET([1]gachas!$A$2,0,0,COUNTA([1]gachas!$A:$A),MATCH(C$1,[1]gachas!$1:$1,0)-MATCH($B$1,[1]gachas!$1:$1,0)+1),MATCH(C$1,[1]gachas!$1:$1,0)-MATCH($B$1,[1]gachas!$1:$1,0)+1,FALSE)</f>
        <v>男気リンクガチャ（常設）</v>
      </c>
      <c r="D80" s="6">
        <v>0</v>
      </c>
      <c r="E80" s="7">
        <v>125</v>
      </c>
      <c r="F80" s="10" t="str">
        <f ca="1">VLOOKUP($E80,OFFSET([2]characters!$A$2,0,0,COUNTA([2]characters!$A:$A),MATCH(F$1,[2]characters!$2:$2,0)-MATCH($E$1,[2]characters!$2:$2,0)+1),MATCH(F$1,[2]characters!$2:$2,0)-MATCH($E$1,[2]characters!$2:$2,0)+1,FALSE)</f>
        <v>秘術の果実</v>
      </c>
      <c r="G80" s="10" t="str">
        <f ca="1">VLOOKUP($E80,OFFSET([2]characters!$A$2,0,0,COUNTA([2]characters!$A:$A),MATCH(G$1,[2]characters!$2:$2,0)-MATCH($E$1,[2]characters!$2:$2,0)+1),MATCH(G$1,[2]characters!$2:$2,0)-MATCH($E$1,[2]characters!$2:$2,0)+1,FALSE)</f>
        <v>Material</v>
      </c>
      <c r="H80" s="10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10" t="str">
        <f ca="1">VLOOKUP($E80,OFFSET([2]characters!$A$2,0,0,COUNTA([2]characters!$A:$A),MATCH(I$1,[2]characters!$2:$2,0)-MATCH($E$1,[2]characters!$2:$2,0)+1),MATCH(I$1,[2]characters!$2:$2,0)-MATCH($E$1,[2]characters!$2:$2,0)+1,FALSE)</f>
        <v>blue</v>
      </c>
      <c r="J80" s="10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0" s="10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80" s="6">
        <v>1</v>
      </c>
      <c r="M80" s="6">
        <v>1319</v>
      </c>
      <c r="N80" s="17">
        <v>0</v>
      </c>
      <c r="O80" s="17">
        <v>0</v>
      </c>
      <c r="P80" s="17">
        <v>0</v>
      </c>
      <c r="Q80" s="17">
        <v>0</v>
      </c>
      <c r="R80" s="17">
        <v>1</v>
      </c>
    </row>
  </sheetData>
  <autoFilter ref="B1:M80">
    <sortState ref="B2:S126">
      <sortCondition ref="H1:H126"/>
    </sortState>
  </autoFilter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K4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gacha_unit_tables_200</v>
      </c>
    </row>
    <row r="2" spans="1:11" s="14" customFormat="1">
      <c r="A2" s="13" t="s">
        <v>14</v>
      </c>
      <c r="B2" s="14" t="s">
        <v>7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24</v>
      </c>
      <c r="H2" s="14" t="s">
        <v>25</v>
      </c>
      <c r="I2" s="14" t="s">
        <v>26</v>
      </c>
      <c r="J2" s="14" t="s">
        <v>27</v>
      </c>
      <c r="K2" s="14" t="s">
        <v>28</v>
      </c>
    </row>
    <row r="3" spans="1:11">
      <c r="A3" s="15" t="str">
        <f t="shared" ref="A3:A66" si="0">INDIRECT(ADDRESS(ROW()+$A$1,COLUMN(),1,TRUE,$C$1))</f>
        <v>011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3" s="16">
        <f t="shared" si="1"/>
        <v>0</v>
      </c>
      <c r="D3" s="16">
        <f t="shared" si="1"/>
        <v>1</v>
      </c>
      <c r="E3" s="16">
        <f t="shared" si="1"/>
        <v>1</v>
      </c>
      <c r="F3" s="16">
        <f t="shared" si="1"/>
        <v>1621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031</v>
      </c>
      <c r="B4" s="16">
        <f t="shared" si="1"/>
        <v>200</v>
      </c>
      <c r="C4" s="16">
        <f t="shared" si="1"/>
        <v>0</v>
      </c>
      <c r="D4" s="16">
        <f t="shared" si="1"/>
        <v>3</v>
      </c>
      <c r="E4" s="16">
        <f t="shared" si="1"/>
        <v>1</v>
      </c>
      <c r="F4" s="16">
        <f t="shared" si="1"/>
        <v>1621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051</v>
      </c>
      <c r="B5" s="16">
        <f t="shared" si="1"/>
        <v>200</v>
      </c>
      <c r="C5" s="16">
        <f t="shared" si="1"/>
        <v>0</v>
      </c>
      <c r="D5" s="16">
        <f t="shared" si="1"/>
        <v>5</v>
      </c>
      <c r="E5" s="16">
        <f t="shared" si="1"/>
        <v>1</v>
      </c>
      <c r="F5" s="16">
        <f t="shared" si="1"/>
        <v>1621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071</v>
      </c>
      <c r="B6" s="16">
        <f t="shared" si="1"/>
        <v>200</v>
      </c>
      <c r="C6" s="16">
        <f t="shared" si="1"/>
        <v>0</v>
      </c>
      <c r="D6" s="16">
        <f t="shared" si="1"/>
        <v>7</v>
      </c>
      <c r="E6" s="16">
        <f t="shared" si="1"/>
        <v>1</v>
      </c>
      <c r="F6" s="16">
        <f t="shared" si="1"/>
        <v>1621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091</v>
      </c>
      <c r="B7" s="16">
        <f t="shared" si="1"/>
        <v>200</v>
      </c>
      <c r="C7" s="16">
        <f t="shared" si="1"/>
        <v>0</v>
      </c>
      <c r="D7" s="16">
        <f t="shared" si="1"/>
        <v>9</v>
      </c>
      <c r="E7" s="16">
        <f t="shared" si="1"/>
        <v>1</v>
      </c>
      <c r="F7" s="16">
        <f t="shared" si="1"/>
        <v>1621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0111</v>
      </c>
      <c r="B8" s="16">
        <f t="shared" si="1"/>
        <v>200</v>
      </c>
      <c r="C8" s="16">
        <f t="shared" si="1"/>
        <v>0</v>
      </c>
      <c r="D8" s="16">
        <f t="shared" si="1"/>
        <v>11</v>
      </c>
      <c r="E8" s="16">
        <f t="shared" si="1"/>
        <v>1</v>
      </c>
      <c r="F8" s="16">
        <f t="shared" si="1"/>
        <v>1621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0131</v>
      </c>
      <c r="B9" s="16">
        <f t="shared" si="1"/>
        <v>200</v>
      </c>
      <c r="C9" s="16">
        <f t="shared" si="1"/>
        <v>0</v>
      </c>
      <c r="D9" s="16">
        <f t="shared" si="1"/>
        <v>13</v>
      </c>
      <c r="E9" s="16">
        <f t="shared" si="1"/>
        <v>1</v>
      </c>
      <c r="F9" s="16">
        <f t="shared" si="1"/>
        <v>1621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0151</v>
      </c>
      <c r="B10" s="16">
        <f t="shared" si="1"/>
        <v>200</v>
      </c>
      <c r="C10" s="16">
        <f t="shared" si="1"/>
        <v>0</v>
      </c>
      <c r="D10" s="16">
        <f t="shared" si="1"/>
        <v>15</v>
      </c>
      <c r="E10" s="16">
        <f t="shared" si="1"/>
        <v>1</v>
      </c>
      <c r="F10" s="16">
        <f t="shared" si="1"/>
        <v>1621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0171</v>
      </c>
      <c r="B11" s="16">
        <f t="shared" si="1"/>
        <v>200</v>
      </c>
      <c r="C11" s="16">
        <f t="shared" si="1"/>
        <v>0</v>
      </c>
      <c r="D11" s="16">
        <f t="shared" si="1"/>
        <v>17</v>
      </c>
      <c r="E11" s="16">
        <f t="shared" si="1"/>
        <v>1</v>
      </c>
      <c r="F11" s="16">
        <f t="shared" si="1"/>
        <v>1621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0191</v>
      </c>
      <c r="B12" s="16">
        <f t="shared" si="1"/>
        <v>200</v>
      </c>
      <c r="C12" s="16">
        <f t="shared" si="1"/>
        <v>0</v>
      </c>
      <c r="D12" s="16">
        <f t="shared" si="1"/>
        <v>19</v>
      </c>
      <c r="E12" s="16">
        <f t="shared" si="1"/>
        <v>1</v>
      </c>
      <c r="F12" s="16">
        <f t="shared" si="1"/>
        <v>1621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0211</v>
      </c>
      <c r="B13" s="16">
        <f t="shared" si="1"/>
        <v>200</v>
      </c>
      <c r="C13" s="16">
        <f t="shared" si="1"/>
        <v>0</v>
      </c>
      <c r="D13" s="16">
        <f t="shared" si="1"/>
        <v>21</v>
      </c>
      <c r="E13" s="16">
        <f t="shared" si="1"/>
        <v>1</v>
      </c>
      <c r="F13" s="16">
        <f t="shared" si="1"/>
        <v>1621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0231</v>
      </c>
      <c r="B14" s="16">
        <f t="shared" si="1"/>
        <v>200</v>
      </c>
      <c r="C14" s="16">
        <f t="shared" si="1"/>
        <v>0</v>
      </c>
      <c r="D14" s="16">
        <f t="shared" si="1"/>
        <v>23</v>
      </c>
      <c r="E14" s="16">
        <f t="shared" si="1"/>
        <v>1</v>
      </c>
      <c r="F14" s="16">
        <f t="shared" si="1"/>
        <v>1621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0251</v>
      </c>
      <c r="B15" s="16">
        <f t="shared" si="1"/>
        <v>200</v>
      </c>
      <c r="C15" s="16">
        <f t="shared" si="1"/>
        <v>0</v>
      </c>
      <c r="D15" s="16">
        <f t="shared" si="1"/>
        <v>25</v>
      </c>
      <c r="E15" s="16">
        <f t="shared" si="1"/>
        <v>1</v>
      </c>
      <c r="F15" s="16">
        <f t="shared" si="1"/>
        <v>1621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0271</v>
      </c>
      <c r="B16" s="16">
        <f t="shared" si="1"/>
        <v>200</v>
      </c>
      <c r="C16" s="16">
        <f t="shared" si="1"/>
        <v>0</v>
      </c>
      <c r="D16" s="16">
        <f t="shared" si="1"/>
        <v>27</v>
      </c>
      <c r="E16" s="16">
        <f t="shared" si="1"/>
        <v>1</v>
      </c>
      <c r="F16" s="16">
        <f t="shared" si="1"/>
        <v>1621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0291</v>
      </c>
      <c r="B17" s="16">
        <f t="shared" si="1"/>
        <v>200</v>
      </c>
      <c r="C17" s="16">
        <f t="shared" si="1"/>
        <v>0</v>
      </c>
      <c r="D17" s="16">
        <f t="shared" si="1"/>
        <v>29</v>
      </c>
      <c r="E17" s="16">
        <f t="shared" si="1"/>
        <v>1</v>
      </c>
      <c r="F17" s="16">
        <f t="shared" si="1"/>
        <v>1621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0311</v>
      </c>
      <c r="B18" s="16">
        <f t="shared" si="1"/>
        <v>200</v>
      </c>
      <c r="C18" s="16">
        <f t="shared" si="1"/>
        <v>0</v>
      </c>
      <c r="D18" s="16">
        <f t="shared" si="1"/>
        <v>31</v>
      </c>
      <c r="E18" s="16">
        <f t="shared" si="1"/>
        <v>1</v>
      </c>
      <c r="F18" s="16">
        <f t="shared" si="1"/>
        <v>1621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0331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19" s="16">
        <f t="shared" si="2"/>
        <v>0</v>
      </c>
      <c r="D19" s="16">
        <f t="shared" si="2"/>
        <v>33</v>
      </c>
      <c r="E19" s="16">
        <f t="shared" si="2"/>
        <v>1</v>
      </c>
      <c r="F19" s="16">
        <f t="shared" si="2"/>
        <v>593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0351</v>
      </c>
      <c r="B20" s="16">
        <f t="shared" si="2"/>
        <v>200</v>
      </c>
      <c r="C20" s="16">
        <f t="shared" si="2"/>
        <v>0</v>
      </c>
      <c r="D20" s="16">
        <f t="shared" si="2"/>
        <v>35</v>
      </c>
      <c r="E20" s="16">
        <f t="shared" si="2"/>
        <v>1</v>
      </c>
      <c r="F20" s="16">
        <f t="shared" si="2"/>
        <v>593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0371</v>
      </c>
      <c r="B21" s="16">
        <f t="shared" si="2"/>
        <v>200</v>
      </c>
      <c r="C21" s="16">
        <f t="shared" si="2"/>
        <v>0</v>
      </c>
      <c r="D21" s="16">
        <f t="shared" si="2"/>
        <v>37</v>
      </c>
      <c r="E21" s="16">
        <f t="shared" si="2"/>
        <v>1</v>
      </c>
      <c r="F21" s="16">
        <f t="shared" si="2"/>
        <v>593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0391</v>
      </c>
      <c r="B22" s="16">
        <f t="shared" si="2"/>
        <v>200</v>
      </c>
      <c r="C22" s="16">
        <f t="shared" si="2"/>
        <v>0</v>
      </c>
      <c r="D22" s="16">
        <f t="shared" si="2"/>
        <v>39</v>
      </c>
      <c r="E22" s="16">
        <f t="shared" si="2"/>
        <v>1</v>
      </c>
      <c r="F22" s="16">
        <f t="shared" si="2"/>
        <v>593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0411</v>
      </c>
      <c r="B23" s="16">
        <f t="shared" si="2"/>
        <v>200</v>
      </c>
      <c r="C23" s="16">
        <f t="shared" si="2"/>
        <v>0</v>
      </c>
      <c r="D23" s="16">
        <f t="shared" si="2"/>
        <v>41</v>
      </c>
      <c r="E23" s="16">
        <f t="shared" si="2"/>
        <v>1</v>
      </c>
      <c r="F23" s="16">
        <f t="shared" si="2"/>
        <v>593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0431</v>
      </c>
      <c r="B24" s="16">
        <f t="shared" si="2"/>
        <v>200</v>
      </c>
      <c r="C24" s="16">
        <f t="shared" si="2"/>
        <v>0</v>
      </c>
      <c r="D24" s="16">
        <f t="shared" si="2"/>
        <v>43</v>
      </c>
      <c r="E24" s="16">
        <f t="shared" si="2"/>
        <v>1</v>
      </c>
      <c r="F24" s="16">
        <f t="shared" si="2"/>
        <v>593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0451</v>
      </c>
      <c r="B25" s="16">
        <f t="shared" si="2"/>
        <v>200</v>
      </c>
      <c r="C25" s="16">
        <f t="shared" si="2"/>
        <v>0</v>
      </c>
      <c r="D25" s="16">
        <f t="shared" si="2"/>
        <v>45</v>
      </c>
      <c r="E25" s="16">
        <f t="shared" si="2"/>
        <v>1</v>
      </c>
      <c r="F25" s="16">
        <f t="shared" si="2"/>
        <v>593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0471</v>
      </c>
      <c r="B26" s="16">
        <f t="shared" si="2"/>
        <v>200</v>
      </c>
      <c r="C26" s="16">
        <f t="shared" si="2"/>
        <v>0</v>
      </c>
      <c r="D26" s="16">
        <f t="shared" si="2"/>
        <v>47</v>
      </c>
      <c r="E26" s="16">
        <f t="shared" si="2"/>
        <v>1</v>
      </c>
      <c r="F26" s="16">
        <f t="shared" si="2"/>
        <v>593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0491</v>
      </c>
      <c r="B27" s="16">
        <f t="shared" si="2"/>
        <v>200</v>
      </c>
      <c r="C27" s="16">
        <f t="shared" si="2"/>
        <v>0</v>
      </c>
      <c r="D27" s="16">
        <f t="shared" si="2"/>
        <v>49</v>
      </c>
      <c r="E27" s="16">
        <f t="shared" si="2"/>
        <v>1</v>
      </c>
      <c r="F27" s="16">
        <f t="shared" si="2"/>
        <v>593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0511</v>
      </c>
      <c r="B28" s="16">
        <f t="shared" si="2"/>
        <v>200</v>
      </c>
      <c r="C28" s="16">
        <f t="shared" si="2"/>
        <v>0</v>
      </c>
      <c r="D28" s="16">
        <f t="shared" si="2"/>
        <v>51</v>
      </c>
      <c r="E28" s="16">
        <f t="shared" si="2"/>
        <v>1</v>
      </c>
      <c r="F28" s="16">
        <f t="shared" si="2"/>
        <v>593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0531</v>
      </c>
      <c r="B29" s="16">
        <f t="shared" si="2"/>
        <v>200</v>
      </c>
      <c r="C29" s="16">
        <f t="shared" si="2"/>
        <v>0</v>
      </c>
      <c r="D29" s="16">
        <f t="shared" si="2"/>
        <v>53</v>
      </c>
      <c r="E29" s="16">
        <f t="shared" si="2"/>
        <v>1</v>
      </c>
      <c r="F29" s="16">
        <f t="shared" si="2"/>
        <v>593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0551</v>
      </c>
      <c r="B30" s="16">
        <f t="shared" si="2"/>
        <v>200</v>
      </c>
      <c r="C30" s="16">
        <f t="shared" si="2"/>
        <v>0</v>
      </c>
      <c r="D30" s="16">
        <f t="shared" si="2"/>
        <v>55</v>
      </c>
      <c r="E30" s="16">
        <f t="shared" si="2"/>
        <v>1</v>
      </c>
      <c r="F30" s="16">
        <f t="shared" si="2"/>
        <v>593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0571</v>
      </c>
      <c r="B31" s="16">
        <f t="shared" si="2"/>
        <v>200</v>
      </c>
      <c r="C31" s="16">
        <f t="shared" si="2"/>
        <v>0</v>
      </c>
      <c r="D31" s="16">
        <f t="shared" si="2"/>
        <v>57</v>
      </c>
      <c r="E31" s="16">
        <f t="shared" si="2"/>
        <v>1</v>
      </c>
      <c r="F31" s="16">
        <f t="shared" si="2"/>
        <v>593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0591</v>
      </c>
      <c r="B32" s="16">
        <f t="shared" si="2"/>
        <v>200</v>
      </c>
      <c r="C32" s="16">
        <f t="shared" si="2"/>
        <v>0</v>
      </c>
      <c r="D32" s="16">
        <f t="shared" si="2"/>
        <v>59</v>
      </c>
      <c r="E32" s="16">
        <f t="shared" si="2"/>
        <v>1</v>
      </c>
      <c r="F32" s="16">
        <f t="shared" si="2"/>
        <v>593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0611</v>
      </c>
      <c r="B33" s="16">
        <f t="shared" si="2"/>
        <v>200</v>
      </c>
      <c r="C33" s="16">
        <f t="shared" si="2"/>
        <v>0</v>
      </c>
      <c r="D33" s="16">
        <f t="shared" si="2"/>
        <v>61</v>
      </c>
      <c r="E33" s="16">
        <f t="shared" si="2"/>
        <v>1</v>
      </c>
      <c r="F33" s="16">
        <f t="shared" si="2"/>
        <v>593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0631</v>
      </c>
      <c r="B34" s="16">
        <f t="shared" si="2"/>
        <v>200</v>
      </c>
      <c r="C34" s="16">
        <f t="shared" si="2"/>
        <v>0</v>
      </c>
      <c r="D34" s="16">
        <f t="shared" si="2"/>
        <v>63</v>
      </c>
      <c r="E34" s="16">
        <f t="shared" si="2"/>
        <v>1</v>
      </c>
      <c r="F34" s="16">
        <f t="shared" si="2"/>
        <v>593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0651</v>
      </c>
      <c r="B35" s="16">
        <f t="shared" si="2"/>
        <v>200</v>
      </c>
      <c r="C35" s="16">
        <f t="shared" si="2"/>
        <v>0</v>
      </c>
      <c r="D35" s="16">
        <f t="shared" si="2"/>
        <v>65</v>
      </c>
      <c r="E35" s="16">
        <f t="shared" si="2"/>
        <v>1</v>
      </c>
      <c r="F35" s="16">
        <f t="shared" si="2"/>
        <v>593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0681</v>
      </c>
      <c r="B36" s="16">
        <f t="shared" si="2"/>
        <v>200</v>
      </c>
      <c r="C36" s="16">
        <f t="shared" si="2"/>
        <v>0</v>
      </c>
      <c r="D36" s="16">
        <f t="shared" si="2"/>
        <v>68</v>
      </c>
      <c r="E36" s="16">
        <f t="shared" si="2"/>
        <v>1</v>
      </c>
      <c r="F36" s="16">
        <f t="shared" si="2"/>
        <v>593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0711</v>
      </c>
      <c r="B37" s="16">
        <f t="shared" si="2"/>
        <v>200</v>
      </c>
      <c r="C37" s="16">
        <f t="shared" si="2"/>
        <v>0</v>
      </c>
      <c r="D37" s="16">
        <f t="shared" si="2"/>
        <v>71</v>
      </c>
      <c r="E37" s="16">
        <f t="shared" si="2"/>
        <v>1</v>
      </c>
      <c r="F37" s="16">
        <f t="shared" si="2"/>
        <v>593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0741</v>
      </c>
      <c r="B38" s="16">
        <f t="shared" si="2"/>
        <v>200</v>
      </c>
      <c r="C38" s="16">
        <f t="shared" si="2"/>
        <v>0</v>
      </c>
      <c r="D38" s="16">
        <f t="shared" si="2"/>
        <v>74</v>
      </c>
      <c r="E38" s="16">
        <f t="shared" si="2"/>
        <v>1</v>
      </c>
      <c r="F38" s="16">
        <f t="shared" si="2"/>
        <v>593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021</v>
      </c>
      <c r="B39" s="16">
        <f t="shared" si="2"/>
        <v>200</v>
      </c>
      <c r="C39" s="16">
        <f t="shared" si="2"/>
        <v>0</v>
      </c>
      <c r="D39" s="16">
        <f t="shared" si="2"/>
        <v>2</v>
      </c>
      <c r="E39" s="16">
        <f t="shared" si="2"/>
        <v>1</v>
      </c>
      <c r="F39" s="16">
        <f t="shared" si="2"/>
        <v>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041</v>
      </c>
      <c r="B40" s="16">
        <f t="shared" si="2"/>
        <v>200</v>
      </c>
      <c r="C40" s="16">
        <f t="shared" si="2"/>
        <v>0</v>
      </c>
      <c r="D40" s="16">
        <f t="shared" si="2"/>
        <v>4</v>
      </c>
      <c r="E40" s="16">
        <f t="shared" si="2"/>
        <v>1</v>
      </c>
      <c r="F40" s="16">
        <f t="shared" si="2"/>
        <v>0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061</v>
      </c>
      <c r="B41" s="16">
        <f t="shared" si="2"/>
        <v>200</v>
      </c>
      <c r="C41" s="16">
        <f t="shared" si="2"/>
        <v>0</v>
      </c>
      <c r="D41" s="16">
        <f t="shared" si="2"/>
        <v>6</v>
      </c>
      <c r="E41" s="16">
        <f t="shared" si="2"/>
        <v>1</v>
      </c>
      <c r="F41" s="16">
        <f t="shared" si="2"/>
        <v>0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081</v>
      </c>
      <c r="B42" s="16">
        <f t="shared" si="2"/>
        <v>200</v>
      </c>
      <c r="C42" s="16">
        <f t="shared" si="2"/>
        <v>0</v>
      </c>
      <c r="D42" s="16">
        <f t="shared" si="2"/>
        <v>8</v>
      </c>
      <c r="E42" s="16">
        <f t="shared" si="2"/>
        <v>1</v>
      </c>
      <c r="F42" s="16">
        <f t="shared" si="2"/>
        <v>0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0101</v>
      </c>
      <c r="B43" s="16">
        <f t="shared" si="2"/>
        <v>200</v>
      </c>
      <c r="C43" s="16">
        <f t="shared" si="2"/>
        <v>0</v>
      </c>
      <c r="D43" s="16">
        <f t="shared" si="2"/>
        <v>10</v>
      </c>
      <c r="E43" s="16">
        <f t="shared" si="2"/>
        <v>1</v>
      </c>
      <c r="F43" s="16">
        <f t="shared" si="2"/>
        <v>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0121</v>
      </c>
      <c r="B44" s="16">
        <f t="shared" si="2"/>
        <v>200</v>
      </c>
      <c r="C44" s="16">
        <f t="shared" si="2"/>
        <v>0</v>
      </c>
      <c r="D44" s="16">
        <f t="shared" si="2"/>
        <v>12</v>
      </c>
      <c r="E44" s="16">
        <f t="shared" si="2"/>
        <v>1</v>
      </c>
      <c r="F44" s="16">
        <f t="shared" si="2"/>
        <v>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0141</v>
      </c>
      <c r="B45" s="16">
        <f t="shared" si="3"/>
        <v>200</v>
      </c>
      <c r="C45" s="16">
        <f t="shared" si="3"/>
        <v>0</v>
      </c>
      <c r="D45" s="16">
        <f t="shared" si="3"/>
        <v>14</v>
      </c>
      <c r="E45" s="16">
        <f t="shared" si="3"/>
        <v>1</v>
      </c>
      <c r="F45" s="16">
        <f t="shared" si="3"/>
        <v>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0161</v>
      </c>
      <c r="B46" s="16">
        <f t="shared" si="3"/>
        <v>200</v>
      </c>
      <c r="C46" s="16">
        <f t="shared" si="3"/>
        <v>0</v>
      </c>
      <c r="D46" s="16">
        <f t="shared" si="3"/>
        <v>16</v>
      </c>
      <c r="E46" s="16">
        <f t="shared" si="3"/>
        <v>1</v>
      </c>
      <c r="F46" s="16">
        <f t="shared" si="3"/>
        <v>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0181</v>
      </c>
      <c r="B47" s="16">
        <f t="shared" si="3"/>
        <v>200</v>
      </c>
      <c r="C47" s="16">
        <f t="shared" si="3"/>
        <v>0</v>
      </c>
      <c r="D47" s="16">
        <f t="shared" si="3"/>
        <v>18</v>
      </c>
      <c r="E47" s="16">
        <f t="shared" si="3"/>
        <v>1</v>
      </c>
      <c r="F47" s="16">
        <f t="shared" si="3"/>
        <v>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0201</v>
      </c>
      <c r="B48" s="16">
        <f t="shared" si="3"/>
        <v>200</v>
      </c>
      <c r="C48" s="16">
        <f t="shared" si="3"/>
        <v>0</v>
      </c>
      <c r="D48" s="16">
        <f t="shared" si="3"/>
        <v>20</v>
      </c>
      <c r="E48" s="16">
        <f t="shared" si="3"/>
        <v>1</v>
      </c>
      <c r="F48" s="16">
        <f t="shared" si="3"/>
        <v>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0221</v>
      </c>
      <c r="B49" s="16">
        <f t="shared" si="3"/>
        <v>200</v>
      </c>
      <c r="C49" s="16">
        <f t="shared" si="3"/>
        <v>0</v>
      </c>
      <c r="D49" s="16">
        <f t="shared" si="3"/>
        <v>22</v>
      </c>
      <c r="E49" s="16">
        <f t="shared" si="3"/>
        <v>1</v>
      </c>
      <c r="F49" s="16">
        <f t="shared" si="3"/>
        <v>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0241</v>
      </c>
      <c r="B50" s="16">
        <f t="shared" si="3"/>
        <v>200</v>
      </c>
      <c r="C50" s="16">
        <f t="shared" si="3"/>
        <v>0</v>
      </c>
      <c r="D50" s="16">
        <f t="shared" si="3"/>
        <v>24</v>
      </c>
      <c r="E50" s="16">
        <f t="shared" si="3"/>
        <v>1</v>
      </c>
      <c r="F50" s="16">
        <f t="shared" si="3"/>
        <v>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0261</v>
      </c>
      <c r="B51" s="16">
        <f t="shared" si="3"/>
        <v>200</v>
      </c>
      <c r="C51" s="16">
        <f t="shared" si="3"/>
        <v>0</v>
      </c>
      <c r="D51" s="16">
        <f t="shared" si="3"/>
        <v>26</v>
      </c>
      <c r="E51" s="16">
        <f t="shared" si="3"/>
        <v>1</v>
      </c>
      <c r="F51" s="16">
        <f t="shared" si="3"/>
        <v>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0281</v>
      </c>
      <c r="B52" s="16">
        <f t="shared" si="3"/>
        <v>200</v>
      </c>
      <c r="C52" s="16">
        <f t="shared" si="3"/>
        <v>0</v>
      </c>
      <c r="D52" s="16">
        <f t="shared" si="3"/>
        <v>28</v>
      </c>
      <c r="E52" s="16">
        <f t="shared" si="3"/>
        <v>1</v>
      </c>
      <c r="F52" s="16">
        <f t="shared" si="3"/>
        <v>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0301</v>
      </c>
      <c r="B53" s="16">
        <f t="shared" si="3"/>
        <v>200</v>
      </c>
      <c r="C53" s="16">
        <f t="shared" si="3"/>
        <v>0</v>
      </c>
      <c r="D53" s="16">
        <f t="shared" si="3"/>
        <v>30</v>
      </c>
      <c r="E53" s="16">
        <f t="shared" si="3"/>
        <v>1</v>
      </c>
      <c r="F53" s="16">
        <f t="shared" si="3"/>
        <v>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0321</v>
      </c>
      <c r="B54" s="16">
        <f t="shared" si="3"/>
        <v>200</v>
      </c>
      <c r="C54" s="16">
        <f t="shared" si="3"/>
        <v>0</v>
      </c>
      <c r="D54" s="16">
        <f t="shared" si="3"/>
        <v>32</v>
      </c>
      <c r="E54" s="16">
        <f t="shared" si="3"/>
        <v>1</v>
      </c>
      <c r="F54" s="16">
        <f t="shared" si="3"/>
        <v>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0771</v>
      </c>
      <c r="B55" s="16">
        <f t="shared" si="3"/>
        <v>200</v>
      </c>
      <c r="C55" s="16">
        <f t="shared" si="3"/>
        <v>0</v>
      </c>
      <c r="D55" s="16">
        <f t="shared" si="3"/>
        <v>77</v>
      </c>
      <c r="E55" s="16">
        <f t="shared" si="3"/>
        <v>1</v>
      </c>
      <c r="F55" s="16">
        <f t="shared" si="3"/>
        <v>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0791</v>
      </c>
      <c r="B56" s="16">
        <f t="shared" si="3"/>
        <v>200</v>
      </c>
      <c r="C56" s="16">
        <f t="shared" si="3"/>
        <v>0</v>
      </c>
      <c r="D56" s="16">
        <f t="shared" si="3"/>
        <v>79</v>
      </c>
      <c r="E56" s="16">
        <f t="shared" si="3"/>
        <v>1</v>
      </c>
      <c r="F56" s="16">
        <f t="shared" si="3"/>
        <v>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0811</v>
      </c>
      <c r="B57" s="16">
        <f t="shared" si="3"/>
        <v>200</v>
      </c>
      <c r="C57" s="16">
        <f t="shared" si="3"/>
        <v>0</v>
      </c>
      <c r="D57" s="16">
        <f t="shared" si="3"/>
        <v>81</v>
      </c>
      <c r="E57" s="16">
        <f t="shared" si="3"/>
        <v>1</v>
      </c>
      <c r="F57" s="16">
        <f t="shared" si="3"/>
        <v>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0831</v>
      </c>
      <c r="B58" s="16">
        <f t="shared" si="3"/>
        <v>200</v>
      </c>
      <c r="C58" s="16">
        <f t="shared" si="3"/>
        <v>0</v>
      </c>
      <c r="D58" s="16">
        <f t="shared" si="3"/>
        <v>83</v>
      </c>
      <c r="E58" s="16">
        <f t="shared" si="3"/>
        <v>1</v>
      </c>
      <c r="F58" s="16">
        <f t="shared" si="3"/>
        <v>0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0851</v>
      </c>
      <c r="B59" s="16">
        <f t="shared" si="3"/>
        <v>200</v>
      </c>
      <c r="C59" s="16">
        <f t="shared" si="3"/>
        <v>0</v>
      </c>
      <c r="D59" s="16">
        <f t="shared" si="3"/>
        <v>85</v>
      </c>
      <c r="E59" s="16">
        <f t="shared" si="3"/>
        <v>1</v>
      </c>
      <c r="F59" s="16">
        <f t="shared" si="3"/>
        <v>878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0881</v>
      </c>
      <c r="B60" s="16">
        <f t="shared" si="3"/>
        <v>200</v>
      </c>
      <c r="C60" s="16">
        <f t="shared" si="3"/>
        <v>0</v>
      </c>
      <c r="D60" s="16">
        <f t="shared" si="3"/>
        <v>88</v>
      </c>
      <c r="E60" s="16">
        <f t="shared" si="3"/>
        <v>1</v>
      </c>
      <c r="F60" s="16">
        <f t="shared" si="3"/>
        <v>878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0911</v>
      </c>
      <c r="B61" s="16">
        <f t="shared" si="3"/>
        <v>200</v>
      </c>
      <c r="C61" s="16">
        <f t="shared" si="3"/>
        <v>0</v>
      </c>
      <c r="D61" s="16">
        <f t="shared" si="3"/>
        <v>91</v>
      </c>
      <c r="E61" s="16">
        <f t="shared" si="3"/>
        <v>1</v>
      </c>
      <c r="F61" s="16">
        <f t="shared" si="3"/>
        <v>878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0941</v>
      </c>
      <c r="B62" s="16">
        <f t="shared" si="3"/>
        <v>200</v>
      </c>
      <c r="C62" s="16">
        <f t="shared" si="3"/>
        <v>0</v>
      </c>
      <c r="D62" s="16">
        <f t="shared" si="3"/>
        <v>94</v>
      </c>
      <c r="E62" s="16">
        <f t="shared" si="3"/>
        <v>1</v>
      </c>
      <c r="F62" s="16">
        <f t="shared" si="3"/>
        <v>878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03321</v>
      </c>
      <c r="B63" s="16">
        <f t="shared" si="3"/>
        <v>200</v>
      </c>
      <c r="C63" s="16">
        <f t="shared" si="3"/>
        <v>0</v>
      </c>
      <c r="D63" s="16">
        <f t="shared" si="3"/>
        <v>332</v>
      </c>
      <c r="E63" s="16">
        <f t="shared" si="3"/>
        <v>1</v>
      </c>
      <c r="F63" s="16">
        <f t="shared" si="3"/>
        <v>2194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03361</v>
      </c>
      <c r="B64" s="16">
        <f t="shared" si="3"/>
        <v>200</v>
      </c>
      <c r="C64" s="16">
        <f t="shared" si="3"/>
        <v>0</v>
      </c>
      <c r="D64" s="16">
        <f t="shared" si="3"/>
        <v>336</v>
      </c>
      <c r="E64" s="16">
        <f t="shared" si="3"/>
        <v>1</v>
      </c>
      <c r="F64" s="16">
        <f t="shared" si="3"/>
        <v>2194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03401</v>
      </c>
      <c r="B65" s="16">
        <f t="shared" si="3"/>
        <v>200</v>
      </c>
      <c r="C65" s="16">
        <f t="shared" si="3"/>
        <v>0</v>
      </c>
      <c r="D65" s="16">
        <f t="shared" si="3"/>
        <v>340</v>
      </c>
      <c r="E65" s="16">
        <f t="shared" si="3"/>
        <v>1</v>
      </c>
      <c r="F65" s="16">
        <f t="shared" si="3"/>
        <v>2194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03441</v>
      </c>
      <c r="B66" s="16">
        <f t="shared" si="3"/>
        <v>200</v>
      </c>
      <c r="C66" s="16">
        <f t="shared" si="3"/>
        <v>0</v>
      </c>
      <c r="D66" s="16">
        <f t="shared" si="3"/>
        <v>344</v>
      </c>
      <c r="E66" s="16">
        <f t="shared" si="3"/>
        <v>1</v>
      </c>
      <c r="F66" s="16">
        <f t="shared" si="3"/>
        <v>2194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81" si="4">INDIRECT(ADDRESS(ROW()+$A$1,COLUMN(),1,TRUE,$C$1))</f>
        <v>03331</v>
      </c>
      <c r="B67" s="16">
        <f t="shared" si="3"/>
        <v>200</v>
      </c>
      <c r="C67" s="16">
        <f t="shared" si="3"/>
        <v>0</v>
      </c>
      <c r="D67" s="16">
        <f t="shared" si="3"/>
        <v>333</v>
      </c>
      <c r="E67" s="16">
        <f t="shared" si="3"/>
        <v>1</v>
      </c>
      <c r="F67" s="16">
        <f t="shared" si="3"/>
        <v>1097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03371</v>
      </c>
      <c r="B68" s="16">
        <f t="shared" si="3"/>
        <v>200</v>
      </c>
      <c r="C68" s="16">
        <f t="shared" si="3"/>
        <v>0</v>
      </c>
      <c r="D68" s="16">
        <f t="shared" si="3"/>
        <v>337</v>
      </c>
      <c r="E68" s="16">
        <f t="shared" si="3"/>
        <v>1</v>
      </c>
      <c r="F68" s="16">
        <f t="shared" si="3"/>
        <v>1097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03411</v>
      </c>
      <c r="B69" s="16">
        <f t="shared" si="3"/>
        <v>200</v>
      </c>
      <c r="C69" s="16">
        <f t="shared" si="3"/>
        <v>0</v>
      </c>
      <c r="D69" s="16">
        <f t="shared" si="3"/>
        <v>341</v>
      </c>
      <c r="E69" s="16">
        <f t="shared" si="3"/>
        <v>1</v>
      </c>
      <c r="F69" s="16">
        <f t="shared" si="3"/>
        <v>1097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03451</v>
      </c>
      <c r="B70" s="16">
        <f t="shared" ref="B70:K81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70" s="16">
        <f t="shared" si="5"/>
        <v>0</v>
      </c>
      <c r="D70" s="16">
        <f t="shared" si="5"/>
        <v>345</v>
      </c>
      <c r="E70" s="16">
        <f t="shared" si="5"/>
        <v>1</v>
      </c>
      <c r="F70" s="16">
        <f t="shared" si="5"/>
        <v>1097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03341</v>
      </c>
      <c r="B71" s="16">
        <f t="shared" si="5"/>
        <v>200</v>
      </c>
      <c r="C71" s="16">
        <f t="shared" si="5"/>
        <v>0</v>
      </c>
      <c r="D71" s="16">
        <f t="shared" si="5"/>
        <v>334</v>
      </c>
      <c r="E71" s="16">
        <f t="shared" si="5"/>
        <v>1</v>
      </c>
      <c r="F71" s="16">
        <f t="shared" si="5"/>
        <v>313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03381</v>
      </c>
      <c r="B72" s="16">
        <f t="shared" si="5"/>
        <v>200</v>
      </c>
      <c r="C72" s="16">
        <f t="shared" si="5"/>
        <v>0</v>
      </c>
      <c r="D72" s="16">
        <f t="shared" si="5"/>
        <v>338</v>
      </c>
      <c r="E72" s="16">
        <f t="shared" si="5"/>
        <v>1</v>
      </c>
      <c r="F72" s="16">
        <f t="shared" si="5"/>
        <v>313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03421</v>
      </c>
      <c r="B73" s="16">
        <f t="shared" si="5"/>
        <v>200</v>
      </c>
      <c r="C73" s="16">
        <f t="shared" si="5"/>
        <v>0</v>
      </c>
      <c r="D73" s="16">
        <f t="shared" si="5"/>
        <v>342</v>
      </c>
      <c r="E73" s="16">
        <f t="shared" si="5"/>
        <v>1</v>
      </c>
      <c r="F73" s="16">
        <f t="shared" si="5"/>
        <v>313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03461</v>
      </c>
      <c r="B74" s="16">
        <f t="shared" si="5"/>
        <v>200</v>
      </c>
      <c r="C74" s="16">
        <f t="shared" si="5"/>
        <v>0</v>
      </c>
      <c r="D74" s="16">
        <f t="shared" si="5"/>
        <v>346</v>
      </c>
      <c r="E74" s="16">
        <f t="shared" si="5"/>
        <v>1</v>
      </c>
      <c r="F74" s="16">
        <f t="shared" si="5"/>
        <v>313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01171</v>
      </c>
      <c r="B75" s="16">
        <f t="shared" si="5"/>
        <v>200</v>
      </c>
      <c r="C75" s="16">
        <f t="shared" si="5"/>
        <v>0</v>
      </c>
      <c r="D75" s="16">
        <f t="shared" si="5"/>
        <v>117</v>
      </c>
      <c r="E75" s="16">
        <f t="shared" si="5"/>
        <v>1</v>
      </c>
      <c r="F75" s="16">
        <f t="shared" si="5"/>
        <v>8778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01181</v>
      </c>
      <c r="B76" s="16">
        <f t="shared" si="5"/>
        <v>200</v>
      </c>
      <c r="C76" s="16">
        <f t="shared" si="5"/>
        <v>0</v>
      </c>
      <c r="D76" s="16">
        <f t="shared" si="5"/>
        <v>118</v>
      </c>
      <c r="E76" s="16">
        <f t="shared" si="5"/>
        <v>1</v>
      </c>
      <c r="F76" s="16">
        <f t="shared" si="5"/>
        <v>5852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01191</v>
      </c>
      <c r="B77" s="16">
        <f t="shared" si="5"/>
        <v>200</v>
      </c>
      <c r="C77" s="16">
        <f t="shared" si="5"/>
        <v>0</v>
      </c>
      <c r="D77" s="16">
        <f t="shared" si="5"/>
        <v>119</v>
      </c>
      <c r="E77" s="16">
        <f t="shared" si="5"/>
        <v>1</v>
      </c>
      <c r="F77" s="16">
        <f t="shared" si="5"/>
        <v>2726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01211</v>
      </c>
      <c r="B78" s="16">
        <f t="shared" si="5"/>
        <v>200</v>
      </c>
      <c r="C78" s="16">
        <f t="shared" si="5"/>
        <v>0</v>
      </c>
      <c r="D78" s="16">
        <f t="shared" si="5"/>
        <v>121</v>
      </c>
      <c r="E78" s="16">
        <f t="shared" si="5"/>
        <v>1</v>
      </c>
      <c r="F78" s="16">
        <f t="shared" si="5"/>
        <v>1951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01221</v>
      </c>
      <c r="B79" s="16">
        <f t="shared" si="5"/>
        <v>200</v>
      </c>
      <c r="C79" s="16">
        <f t="shared" si="5"/>
        <v>0</v>
      </c>
      <c r="D79" s="16">
        <f t="shared" si="5"/>
        <v>122</v>
      </c>
      <c r="E79" s="16">
        <f t="shared" si="5"/>
        <v>1</v>
      </c>
      <c r="F79" s="16">
        <f t="shared" si="5"/>
        <v>1951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01231</v>
      </c>
      <c r="B80" s="16">
        <f t="shared" si="5"/>
        <v>200</v>
      </c>
      <c r="C80" s="16">
        <f t="shared" si="5"/>
        <v>0</v>
      </c>
      <c r="D80" s="16">
        <f t="shared" si="5"/>
        <v>123</v>
      </c>
      <c r="E80" s="16">
        <f t="shared" si="5"/>
        <v>1</v>
      </c>
      <c r="F80" s="16">
        <f t="shared" si="5"/>
        <v>1951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01251</v>
      </c>
      <c r="B81" s="16">
        <f t="shared" si="5"/>
        <v>200</v>
      </c>
      <c r="C81" s="16">
        <f t="shared" si="5"/>
        <v>0</v>
      </c>
      <c r="D81" s="16">
        <f t="shared" si="5"/>
        <v>125</v>
      </c>
      <c r="E81" s="16">
        <f t="shared" si="5"/>
        <v>1</v>
      </c>
      <c r="F81" s="16">
        <f t="shared" si="5"/>
        <v>88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/>
      <c r="B82"/>
      <c r="C82"/>
      <c r="D82"/>
      <c r="E82"/>
      <c r="F82"/>
      <c r="G82"/>
      <c r="H82"/>
      <c r="I82"/>
      <c r="J82"/>
      <c r="K82"/>
    </row>
    <row r="83" spans="1:11">
      <c r="A83"/>
      <c r="B83"/>
      <c r="C83"/>
      <c r="D83"/>
      <c r="E83"/>
      <c r="F83"/>
      <c r="G83"/>
      <c r="H83"/>
      <c r="I83"/>
      <c r="J83"/>
      <c r="K83"/>
    </row>
    <row r="84" spans="1:11">
      <c r="A84"/>
      <c r="B84"/>
      <c r="C84"/>
      <c r="D84"/>
      <c r="E84"/>
      <c r="F84"/>
      <c r="G84"/>
      <c r="H84"/>
      <c r="I84"/>
      <c r="J84"/>
      <c r="K84"/>
    </row>
    <row r="85" spans="1:11">
      <c r="A85"/>
      <c r="B85"/>
      <c r="C85"/>
      <c r="D85"/>
      <c r="E85"/>
      <c r="F85"/>
      <c r="G85"/>
      <c r="H85"/>
      <c r="I85"/>
      <c r="J85"/>
      <c r="K85"/>
    </row>
    <row r="86" spans="1:11">
      <c r="A86"/>
      <c r="B86"/>
      <c r="C86"/>
      <c r="D86"/>
      <c r="E86"/>
      <c r="F86"/>
      <c r="G86"/>
      <c r="H86"/>
      <c r="I86"/>
      <c r="J86"/>
      <c r="K86"/>
    </row>
    <row r="87" spans="1:11">
      <c r="A87"/>
      <c r="B87"/>
      <c r="C87"/>
      <c r="D87"/>
      <c r="E87"/>
      <c r="F87"/>
      <c r="G87"/>
      <c r="H87"/>
      <c r="I87"/>
      <c r="J87"/>
      <c r="K87"/>
    </row>
    <row r="88" spans="1:11">
      <c r="A88"/>
      <c r="B88"/>
      <c r="C88"/>
      <c r="D88"/>
      <c r="E88"/>
      <c r="F88"/>
      <c r="G88"/>
      <c r="H88"/>
      <c r="I88"/>
      <c r="J88"/>
      <c r="K88"/>
    </row>
    <row r="89" spans="1:11">
      <c r="A89"/>
      <c r="B89"/>
      <c r="C89"/>
      <c r="D89"/>
      <c r="E89"/>
      <c r="F89"/>
      <c r="G89"/>
      <c r="H89"/>
      <c r="I89"/>
      <c r="J89"/>
      <c r="K89"/>
    </row>
    <row r="90" spans="1:11">
      <c r="A90"/>
      <c r="B90"/>
      <c r="C90"/>
      <c r="D90"/>
      <c r="E90"/>
      <c r="F90"/>
      <c r="G90"/>
      <c r="H90"/>
      <c r="I90"/>
      <c r="J90"/>
      <c r="K90"/>
    </row>
    <row r="91" spans="1:11">
      <c r="A91"/>
      <c r="B91"/>
      <c r="C91"/>
      <c r="D91"/>
      <c r="E91"/>
      <c r="F91"/>
      <c r="G91"/>
      <c r="H91"/>
      <c r="I91"/>
      <c r="J91"/>
      <c r="K91"/>
    </row>
    <row r="92" spans="1:11">
      <c r="A92"/>
      <c r="B92"/>
      <c r="C92"/>
      <c r="D92"/>
      <c r="E92"/>
      <c r="F92"/>
      <c r="G92"/>
      <c r="H92"/>
      <c r="I92"/>
      <c r="J92"/>
      <c r="K92"/>
    </row>
    <row r="93" spans="1:11">
      <c r="A93"/>
      <c r="B93"/>
      <c r="C93"/>
      <c r="D93"/>
      <c r="E93"/>
      <c r="F93"/>
      <c r="G93"/>
      <c r="H93"/>
      <c r="I93"/>
      <c r="J93"/>
      <c r="K93"/>
    </row>
    <row r="94" spans="1:11">
      <c r="A94"/>
      <c r="B94"/>
      <c r="C94"/>
      <c r="D94"/>
      <c r="E94"/>
      <c r="F94"/>
      <c r="G94"/>
      <c r="H94"/>
      <c r="I94"/>
      <c r="J94"/>
      <c r="K94"/>
    </row>
    <row r="95" spans="1:11">
      <c r="A95"/>
      <c r="B95"/>
      <c r="C95"/>
      <c r="D95"/>
      <c r="E95"/>
      <c r="F95"/>
      <c r="G95"/>
      <c r="H95"/>
      <c r="I95"/>
      <c r="J95"/>
      <c r="K95"/>
    </row>
    <row r="96" spans="1:11">
      <c r="A96"/>
      <c r="B96"/>
      <c r="C96"/>
      <c r="D96"/>
      <c r="E96"/>
      <c r="F96"/>
      <c r="G96"/>
      <c r="H96"/>
      <c r="I96"/>
      <c r="J96"/>
      <c r="K96"/>
    </row>
    <row r="97" spans="1:11">
      <c r="A97"/>
      <c r="B97"/>
      <c r="C97"/>
      <c r="D97"/>
      <c r="E97"/>
      <c r="F97"/>
      <c r="G97"/>
      <c r="H97"/>
      <c r="I97"/>
      <c r="J97"/>
      <c r="K97"/>
    </row>
    <row r="98" spans="1:11">
      <c r="A98"/>
      <c r="B98"/>
      <c r="C98"/>
      <c r="D98"/>
      <c r="E98"/>
      <c r="F98"/>
      <c r="G98"/>
      <c r="H98"/>
      <c r="I98"/>
      <c r="J98"/>
      <c r="K98"/>
    </row>
    <row r="99" spans="1:11">
      <c r="A99"/>
      <c r="B99"/>
      <c r="C99"/>
      <c r="D99"/>
      <c r="E99"/>
      <c r="F99"/>
      <c r="G99"/>
      <c r="H99"/>
      <c r="I99"/>
      <c r="J99"/>
      <c r="K99"/>
    </row>
    <row r="100" spans="1:11">
      <c r="A100"/>
      <c r="B100"/>
      <c r="C100"/>
      <c r="D100"/>
      <c r="E100"/>
      <c r="F100"/>
      <c r="G100"/>
      <c r="H100"/>
      <c r="I100"/>
      <c r="J100"/>
      <c r="K100"/>
    </row>
    <row r="101" spans="1:11">
      <c r="A101"/>
      <c r="B101"/>
      <c r="C101"/>
      <c r="D101"/>
      <c r="E101"/>
      <c r="F101"/>
      <c r="G101"/>
      <c r="H101"/>
      <c r="I101"/>
      <c r="J101"/>
      <c r="K101"/>
    </row>
    <row r="102" spans="1:11">
      <c r="A102"/>
      <c r="B102"/>
      <c r="C102"/>
      <c r="D102"/>
      <c r="E102"/>
      <c r="F102"/>
      <c r="G102"/>
      <c r="H102"/>
      <c r="I102"/>
      <c r="J102"/>
      <c r="K102"/>
    </row>
    <row r="103" spans="1:11">
      <c r="A103"/>
      <c r="B103"/>
      <c r="C103"/>
      <c r="D103"/>
      <c r="E103"/>
      <c r="F103"/>
      <c r="G103"/>
      <c r="H103"/>
      <c r="I103"/>
      <c r="J103"/>
      <c r="K103"/>
    </row>
    <row r="104" spans="1:11">
      <c r="A104"/>
      <c r="B104"/>
      <c r="C104"/>
      <c r="D104"/>
      <c r="E104"/>
      <c r="F104"/>
      <c r="G104"/>
      <c r="H104"/>
      <c r="I104"/>
      <c r="J104"/>
      <c r="K104"/>
    </row>
    <row r="105" spans="1:11">
      <c r="A105"/>
      <c r="B105"/>
      <c r="C105"/>
      <c r="D105"/>
      <c r="E105"/>
      <c r="F105"/>
      <c r="G105"/>
      <c r="H105"/>
      <c r="I105"/>
      <c r="J105"/>
      <c r="K105"/>
    </row>
    <row r="106" spans="1:11">
      <c r="A106"/>
      <c r="B106"/>
      <c r="C106"/>
      <c r="D106"/>
      <c r="E106"/>
      <c r="F106"/>
      <c r="G106"/>
      <c r="H106"/>
      <c r="I106"/>
      <c r="J106"/>
      <c r="K106"/>
    </row>
    <row r="107" spans="1:11">
      <c r="A107"/>
      <c r="B107"/>
      <c r="C107"/>
      <c r="D107"/>
      <c r="E107"/>
      <c r="F107"/>
      <c r="G107"/>
      <c r="H107"/>
      <c r="I107"/>
      <c r="J107"/>
      <c r="K107"/>
    </row>
    <row r="108" spans="1:11">
      <c r="A108"/>
      <c r="B108"/>
      <c r="C108"/>
      <c r="D108"/>
      <c r="E108"/>
      <c r="F108"/>
      <c r="G108"/>
      <c r="H108"/>
      <c r="I108"/>
      <c r="J108"/>
      <c r="K108"/>
    </row>
    <row r="109" spans="1:11">
      <c r="A109"/>
      <c r="B109"/>
      <c r="C109"/>
      <c r="D109"/>
      <c r="E109"/>
      <c r="F109"/>
      <c r="G109"/>
      <c r="H109"/>
      <c r="I109"/>
      <c r="J109"/>
      <c r="K109"/>
    </row>
    <row r="110" spans="1:11">
      <c r="A110"/>
      <c r="B110"/>
      <c r="C110"/>
      <c r="D110"/>
      <c r="E110"/>
      <c r="F110"/>
      <c r="G110"/>
      <c r="H110"/>
      <c r="I110"/>
      <c r="J110"/>
      <c r="K110"/>
    </row>
    <row r="111" spans="1:11">
      <c r="A111"/>
      <c r="B111"/>
      <c r="C111"/>
      <c r="D111"/>
      <c r="E111"/>
      <c r="F111"/>
      <c r="G111"/>
      <c r="H111"/>
      <c r="I111"/>
      <c r="J111"/>
      <c r="K111"/>
    </row>
    <row r="112" spans="1:11">
      <c r="A112"/>
      <c r="B112"/>
      <c r="C112"/>
      <c r="D112"/>
      <c r="E112"/>
      <c r="F112"/>
      <c r="G112"/>
      <c r="H112"/>
      <c r="I112"/>
      <c r="J112"/>
      <c r="K112"/>
    </row>
    <row r="113" spans="1:11">
      <c r="A113"/>
      <c r="B113"/>
      <c r="C113"/>
      <c r="D113"/>
      <c r="E113"/>
      <c r="F113"/>
      <c r="G113"/>
      <c r="H113"/>
      <c r="I113"/>
      <c r="J113"/>
      <c r="K113"/>
    </row>
    <row r="114" spans="1:11">
      <c r="A114"/>
      <c r="B114"/>
      <c r="C114"/>
      <c r="D114"/>
      <c r="E114"/>
      <c r="F114"/>
      <c r="G114"/>
      <c r="H114"/>
      <c r="I114"/>
      <c r="J114"/>
      <c r="K114"/>
    </row>
    <row r="115" spans="1:11">
      <c r="A115"/>
      <c r="B115"/>
      <c r="C115"/>
      <c r="D115"/>
      <c r="E115"/>
      <c r="F115"/>
      <c r="G115"/>
      <c r="H115"/>
      <c r="I115"/>
      <c r="J115"/>
      <c r="K115"/>
    </row>
    <row r="116" spans="1:11">
      <c r="A116"/>
      <c r="B116"/>
      <c r="C116"/>
      <c r="D116"/>
      <c r="E116"/>
      <c r="F116"/>
      <c r="G116"/>
      <c r="H116"/>
      <c r="I116"/>
      <c r="J116"/>
      <c r="K116"/>
    </row>
    <row r="117" spans="1:11">
      <c r="A117"/>
      <c r="B117"/>
      <c r="C117"/>
      <c r="D117"/>
      <c r="E117"/>
      <c r="F117"/>
      <c r="G117"/>
      <c r="H117"/>
      <c r="I117"/>
      <c r="J117"/>
      <c r="K117"/>
    </row>
    <row r="118" spans="1:11">
      <c r="A118"/>
      <c r="B118"/>
      <c r="C118"/>
      <c r="D118"/>
      <c r="E118"/>
      <c r="F118"/>
      <c r="G118"/>
      <c r="H118"/>
      <c r="I118"/>
      <c r="J118"/>
      <c r="K118"/>
    </row>
    <row r="119" spans="1:11">
      <c r="A119"/>
      <c r="B119"/>
      <c r="C119"/>
      <c r="D119"/>
      <c r="E119"/>
      <c r="F119"/>
      <c r="G119"/>
      <c r="H119"/>
      <c r="I119"/>
      <c r="J119"/>
      <c r="K119"/>
    </row>
    <row r="120" spans="1:11">
      <c r="A120"/>
      <c r="B120"/>
      <c r="C120"/>
      <c r="D120"/>
      <c r="E120"/>
      <c r="F120"/>
      <c r="G120"/>
      <c r="H120"/>
      <c r="I120"/>
      <c r="J120"/>
      <c r="K120"/>
    </row>
    <row r="121" spans="1:11">
      <c r="A121"/>
      <c r="B121"/>
      <c r="C121"/>
      <c r="D121"/>
      <c r="E121"/>
      <c r="F121"/>
      <c r="G121"/>
      <c r="H121"/>
      <c r="I121"/>
      <c r="J121"/>
      <c r="K121"/>
    </row>
    <row r="122" spans="1:11">
      <c r="A122"/>
      <c r="B122"/>
      <c r="C122"/>
      <c r="D122"/>
      <c r="E122"/>
      <c r="F122"/>
      <c r="G122"/>
      <c r="H122"/>
      <c r="I122"/>
      <c r="J122"/>
      <c r="K122"/>
    </row>
    <row r="123" spans="1:11">
      <c r="A123"/>
      <c r="B123"/>
      <c r="C123"/>
      <c r="D123"/>
      <c r="E123"/>
      <c r="F123"/>
      <c r="G123"/>
      <c r="H123"/>
      <c r="I123"/>
      <c r="J123"/>
      <c r="K123"/>
    </row>
    <row r="124" spans="1:11">
      <c r="A124"/>
      <c r="B124"/>
      <c r="C124"/>
      <c r="D124"/>
      <c r="E124"/>
      <c r="F124"/>
      <c r="G124"/>
      <c r="H124"/>
      <c r="I124"/>
      <c r="J124"/>
      <c r="K124"/>
    </row>
    <row r="125" spans="1:11">
      <c r="A125"/>
      <c r="B125"/>
      <c r="C125"/>
      <c r="D125"/>
      <c r="E125"/>
      <c r="F125"/>
      <c r="G125"/>
      <c r="H125"/>
      <c r="I125"/>
      <c r="J125"/>
      <c r="K125"/>
    </row>
    <row r="126" spans="1:11">
      <c r="A126"/>
      <c r="B126"/>
      <c r="C126"/>
      <c r="D126"/>
      <c r="E126"/>
      <c r="F126"/>
      <c r="G126"/>
      <c r="H126"/>
      <c r="I126"/>
      <c r="J126"/>
      <c r="K126"/>
    </row>
    <row r="127" spans="1:11">
      <c r="A127"/>
      <c r="B127"/>
      <c r="C127"/>
      <c r="D127"/>
      <c r="E127"/>
      <c r="F127"/>
      <c r="G127"/>
      <c r="H127"/>
      <c r="I127"/>
      <c r="J127"/>
      <c r="K127"/>
    </row>
    <row r="128" spans="1:11">
      <c r="A128"/>
      <c r="B128"/>
      <c r="C128"/>
      <c r="D128"/>
      <c r="E128"/>
      <c r="F128"/>
      <c r="G128"/>
      <c r="H128"/>
      <c r="I128"/>
      <c r="J128"/>
      <c r="K128"/>
    </row>
    <row r="129" spans="1:11">
      <c r="A129"/>
      <c r="B129"/>
      <c r="C129"/>
      <c r="D129"/>
      <c r="E129"/>
      <c r="F129"/>
      <c r="G129"/>
      <c r="H129"/>
      <c r="I129"/>
      <c r="J129"/>
      <c r="K129"/>
    </row>
    <row r="130" spans="1:11">
      <c r="A130"/>
      <c r="B130"/>
      <c r="C130"/>
      <c r="D130"/>
      <c r="E130"/>
      <c r="F130"/>
      <c r="G130"/>
      <c r="H130"/>
      <c r="I130"/>
      <c r="J130"/>
      <c r="K130"/>
    </row>
    <row r="131" spans="1:11">
      <c r="A131"/>
      <c r="B131"/>
      <c r="C131"/>
      <c r="D131"/>
      <c r="E131"/>
      <c r="F131"/>
      <c r="G131"/>
      <c r="H131"/>
      <c r="I131"/>
      <c r="J131"/>
      <c r="K131"/>
    </row>
    <row r="132" spans="1:11">
      <c r="A132"/>
      <c r="B132"/>
      <c r="C132"/>
      <c r="D132"/>
      <c r="E132"/>
      <c r="F132"/>
      <c r="G132"/>
      <c r="H132"/>
      <c r="I132"/>
      <c r="J132"/>
      <c r="K132"/>
    </row>
    <row r="133" spans="1:11">
      <c r="A133"/>
      <c r="B133"/>
      <c r="C133"/>
      <c r="D133"/>
      <c r="E133"/>
      <c r="F133"/>
      <c r="G133"/>
      <c r="H133"/>
      <c r="I133"/>
      <c r="J133"/>
      <c r="K133"/>
    </row>
    <row r="134" spans="1:11">
      <c r="A134"/>
      <c r="B134"/>
      <c r="C134"/>
      <c r="D134"/>
      <c r="E134"/>
      <c r="F134"/>
      <c r="G134"/>
      <c r="H134"/>
      <c r="I134"/>
      <c r="J134"/>
      <c r="K134"/>
    </row>
    <row r="135" spans="1:11">
      <c r="A135"/>
      <c r="B135"/>
      <c r="C135"/>
      <c r="D135"/>
      <c r="E135"/>
      <c r="F135"/>
      <c r="G135"/>
      <c r="H135"/>
      <c r="I135"/>
      <c r="J135"/>
      <c r="K135"/>
    </row>
    <row r="136" spans="1:11">
      <c r="A136"/>
      <c r="B136"/>
      <c r="C136"/>
      <c r="D136"/>
      <c r="E136"/>
      <c r="F136"/>
      <c r="G136"/>
      <c r="H136"/>
      <c r="I136"/>
      <c r="J136"/>
      <c r="K136"/>
    </row>
    <row r="137" spans="1:11">
      <c r="A137"/>
      <c r="B137"/>
      <c r="C137"/>
      <c r="D137"/>
      <c r="E137"/>
      <c r="F137"/>
      <c r="G137"/>
      <c r="H137"/>
      <c r="I137"/>
      <c r="J137"/>
      <c r="K137"/>
    </row>
    <row r="138" spans="1:11">
      <c r="A138"/>
      <c r="B138"/>
      <c r="C138"/>
      <c r="D138"/>
      <c r="E138"/>
      <c r="F138"/>
      <c r="G138"/>
      <c r="H138"/>
      <c r="I138"/>
      <c r="J138"/>
      <c r="K138"/>
    </row>
    <row r="139" spans="1:11">
      <c r="A139"/>
      <c r="B139"/>
      <c r="C139"/>
      <c r="D139"/>
      <c r="E139"/>
      <c r="F139"/>
      <c r="G139"/>
      <c r="H139"/>
      <c r="I139"/>
      <c r="J139"/>
      <c r="K139"/>
    </row>
    <row r="140" spans="1:11">
      <c r="A140"/>
      <c r="B140"/>
      <c r="C140"/>
      <c r="D140"/>
      <c r="E140"/>
      <c r="F140"/>
      <c r="G140"/>
      <c r="H140"/>
      <c r="I140"/>
      <c r="J140"/>
      <c r="K140"/>
    </row>
    <row r="141" spans="1:11">
      <c r="A141"/>
      <c r="B141"/>
      <c r="C141"/>
      <c r="D141"/>
      <c r="E141"/>
      <c r="F141"/>
      <c r="G141"/>
      <c r="H141"/>
      <c r="I141"/>
      <c r="J141"/>
      <c r="K141"/>
    </row>
    <row r="142" spans="1:11">
      <c r="A142"/>
      <c r="B142"/>
      <c r="C142"/>
      <c r="D142"/>
      <c r="E142"/>
      <c r="F142"/>
      <c r="G142"/>
      <c r="H142"/>
      <c r="I142"/>
      <c r="J142"/>
      <c r="K142"/>
    </row>
    <row r="143" spans="1:11">
      <c r="A143"/>
      <c r="B143"/>
      <c r="C143"/>
      <c r="D143"/>
      <c r="E143"/>
      <c r="F143"/>
      <c r="G143"/>
      <c r="H143"/>
      <c r="I143"/>
      <c r="J143"/>
      <c r="K143"/>
    </row>
    <row r="144" spans="1:11">
      <c r="A144"/>
      <c r="B144"/>
      <c r="C144"/>
      <c r="D144"/>
      <c r="E144"/>
      <c r="F144"/>
      <c r="G144"/>
      <c r="H144"/>
      <c r="I144"/>
      <c r="J144"/>
      <c r="K144"/>
    </row>
    <row r="145" spans="1:11">
      <c r="A145"/>
      <c r="B145"/>
      <c r="C145"/>
      <c r="D145"/>
      <c r="E145"/>
      <c r="F145"/>
      <c r="G145"/>
      <c r="H145"/>
      <c r="I145"/>
      <c r="J145"/>
      <c r="K145"/>
    </row>
    <row r="146" spans="1:11">
      <c r="A146"/>
      <c r="B146"/>
      <c r="C146"/>
      <c r="D146"/>
      <c r="E146"/>
      <c r="F146"/>
      <c r="G146"/>
      <c r="H146"/>
      <c r="I146"/>
      <c r="J146"/>
      <c r="K146"/>
    </row>
    <row r="147" spans="1:11">
      <c r="A147"/>
      <c r="B147"/>
      <c r="C147"/>
      <c r="D147"/>
      <c r="E147"/>
      <c r="F147"/>
      <c r="G147"/>
      <c r="H147"/>
      <c r="I147"/>
      <c r="J147"/>
      <c r="K147"/>
    </row>
    <row r="148" spans="1:11">
      <c r="A148"/>
      <c r="B148"/>
      <c r="C148"/>
      <c r="D148"/>
      <c r="E148"/>
      <c r="F148"/>
      <c r="G148"/>
      <c r="H148"/>
      <c r="I148"/>
      <c r="J148"/>
      <c r="K148"/>
    </row>
    <row r="149" spans="1:11">
      <c r="A149"/>
      <c r="B149"/>
      <c r="C149"/>
      <c r="D149"/>
      <c r="E149"/>
      <c r="F149"/>
      <c r="G149"/>
      <c r="H149"/>
      <c r="I149"/>
      <c r="J149"/>
      <c r="K149"/>
    </row>
    <row r="150" spans="1:11">
      <c r="A150"/>
      <c r="B150"/>
      <c r="C150"/>
      <c r="D150"/>
      <c r="E150"/>
      <c r="F150"/>
      <c r="G150"/>
      <c r="H150"/>
      <c r="I150"/>
      <c r="J150"/>
      <c r="K150"/>
    </row>
    <row r="151" spans="1:11">
      <c r="A151"/>
      <c r="B151"/>
      <c r="C151"/>
      <c r="D151"/>
      <c r="E151"/>
      <c r="F151"/>
      <c r="G151"/>
      <c r="H151"/>
      <c r="I151"/>
      <c r="J151"/>
      <c r="K151"/>
    </row>
    <row r="152" spans="1:11">
      <c r="A152"/>
      <c r="B152"/>
      <c r="C152"/>
      <c r="D152"/>
      <c r="E152"/>
      <c r="F152"/>
      <c r="G152"/>
      <c r="H152"/>
      <c r="I152"/>
      <c r="J152"/>
      <c r="K152"/>
    </row>
    <row r="153" spans="1:11">
      <c r="A153"/>
      <c r="B153"/>
      <c r="C153"/>
      <c r="D153"/>
      <c r="E153"/>
      <c r="F153"/>
      <c r="G153"/>
      <c r="H153"/>
      <c r="I153"/>
      <c r="J153"/>
      <c r="K153"/>
    </row>
    <row r="154" spans="1:11">
      <c r="A154"/>
      <c r="B154"/>
      <c r="C154"/>
      <c r="D154"/>
      <c r="E154"/>
      <c r="F154"/>
      <c r="G154"/>
      <c r="H154"/>
      <c r="I154"/>
      <c r="J154"/>
      <c r="K154"/>
    </row>
    <row r="155" spans="1:11">
      <c r="A155"/>
      <c r="B155"/>
      <c r="C155"/>
      <c r="D155"/>
      <c r="E155"/>
      <c r="F155"/>
      <c r="G155"/>
      <c r="H155"/>
      <c r="I155"/>
      <c r="J155"/>
      <c r="K155"/>
    </row>
    <row r="156" spans="1:11">
      <c r="A156"/>
      <c r="B156"/>
      <c r="C156"/>
      <c r="D156"/>
      <c r="E156"/>
      <c r="F156"/>
      <c r="G156"/>
      <c r="H156"/>
      <c r="I156"/>
      <c r="J156"/>
      <c r="K156"/>
    </row>
    <row r="157" spans="1:11">
      <c r="A157"/>
      <c r="B157"/>
      <c r="C157"/>
      <c r="D157"/>
      <c r="E157"/>
      <c r="F157"/>
      <c r="G157"/>
      <c r="H157"/>
      <c r="I157"/>
      <c r="J157"/>
      <c r="K157"/>
    </row>
    <row r="158" spans="1:11">
      <c r="A158"/>
      <c r="B158"/>
      <c r="C158"/>
      <c r="D158"/>
      <c r="E158"/>
      <c r="F158"/>
      <c r="G158"/>
      <c r="H158"/>
      <c r="I158"/>
      <c r="J158"/>
      <c r="K158"/>
    </row>
    <row r="159" spans="1:11">
      <c r="A159"/>
      <c r="B159"/>
      <c r="C159"/>
      <c r="D159"/>
      <c r="E159"/>
      <c r="F159"/>
      <c r="G159"/>
      <c r="H159"/>
      <c r="I159"/>
      <c r="J159"/>
      <c r="K159"/>
    </row>
    <row r="160" spans="1:11">
      <c r="A160"/>
      <c r="B160"/>
      <c r="C160"/>
      <c r="D160"/>
      <c r="E160"/>
      <c r="F160"/>
      <c r="G160"/>
      <c r="H160"/>
      <c r="I160"/>
      <c r="J160"/>
      <c r="K160"/>
    </row>
    <row r="161" spans="1:11">
      <c r="A161"/>
      <c r="B161"/>
      <c r="C161"/>
      <c r="D161"/>
      <c r="E161"/>
      <c r="F161"/>
      <c r="G161"/>
      <c r="H161"/>
      <c r="I161"/>
      <c r="J161"/>
      <c r="K161"/>
    </row>
    <row r="162" spans="1:11">
      <c r="A162"/>
      <c r="B162"/>
      <c r="C162"/>
      <c r="D162"/>
      <c r="E162"/>
      <c r="F162"/>
      <c r="G162"/>
      <c r="H162"/>
      <c r="I162"/>
      <c r="J162"/>
      <c r="K162"/>
    </row>
    <row r="163" spans="1:11">
      <c r="A163"/>
      <c r="B163"/>
      <c r="C163"/>
      <c r="D163"/>
      <c r="E163"/>
      <c r="F163"/>
      <c r="G163"/>
      <c r="H163"/>
      <c r="I163"/>
      <c r="J163"/>
      <c r="K163"/>
    </row>
    <row r="164" spans="1:11">
      <c r="A164"/>
      <c r="B164"/>
      <c r="C164"/>
      <c r="D164"/>
      <c r="E164"/>
      <c r="F164"/>
      <c r="G164"/>
      <c r="H164"/>
      <c r="I164"/>
      <c r="J164"/>
      <c r="K164"/>
    </row>
    <row r="165" spans="1:11">
      <c r="A165"/>
      <c r="B165"/>
      <c r="C165"/>
      <c r="D165"/>
      <c r="E165"/>
      <c r="F165"/>
      <c r="G165"/>
      <c r="H165"/>
      <c r="I165"/>
      <c r="J165"/>
      <c r="K165"/>
    </row>
    <row r="166" spans="1:11">
      <c r="A166"/>
      <c r="B166"/>
      <c r="C166"/>
      <c r="D166"/>
      <c r="E166"/>
      <c r="F166"/>
      <c r="G166"/>
      <c r="H166"/>
      <c r="I166"/>
      <c r="J166"/>
      <c r="K166"/>
    </row>
    <row r="167" spans="1:11">
      <c r="A167"/>
      <c r="B167"/>
      <c r="C167"/>
      <c r="D167"/>
      <c r="E167"/>
      <c r="F167"/>
      <c r="G167"/>
      <c r="H167"/>
      <c r="I167"/>
      <c r="J167"/>
      <c r="K167"/>
    </row>
    <row r="168" spans="1:11">
      <c r="A168"/>
      <c r="B168"/>
      <c r="C168"/>
      <c r="D168"/>
      <c r="E168"/>
      <c r="F168"/>
      <c r="G168"/>
      <c r="H168"/>
      <c r="I168"/>
      <c r="J168"/>
      <c r="K168"/>
    </row>
    <row r="169" spans="1:11">
      <c r="A169"/>
      <c r="B169"/>
      <c r="C169"/>
      <c r="D169"/>
      <c r="E169"/>
      <c r="F169"/>
      <c r="G169"/>
      <c r="H169"/>
      <c r="I169"/>
      <c r="J169"/>
      <c r="K169"/>
    </row>
    <row r="170" spans="1:11">
      <c r="A170"/>
      <c r="B170"/>
      <c r="C170"/>
      <c r="D170"/>
      <c r="E170"/>
      <c r="F170"/>
      <c r="G170"/>
      <c r="H170"/>
      <c r="I170"/>
      <c r="J170"/>
      <c r="K170"/>
    </row>
    <row r="171" spans="1:11">
      <c r="A171"/>
      <c r="B171"/>
      <c r="C171"/>
      <c r="D171"/>
      <c r="E171"/>
      <c r="F171"/>
      <c r="G171"/>
      <c r="H171"/>
      <c r="I171"/>
      <c r="J171"/>
      <c r="K171"/>
    </row>
    <row r="172" spans="1:11">
      <c r="A172"/>
      <c r="B172"/>
      <c r="C172"/>
      <c r="D172"/>
      <c r="E172"/>
      <c r="F172"/>
      <c r="G172"/>
      <c r="H172"/>
      <c r="I172"/>
      <c r="J172"/>
      <c r="K172"/>
    </row>
    <row r="173" spans="1:11">
      <c r="A173"/>
      <c r="B173"/>
      <c r="C173"/>
      <c r="D173"/>
      <c r="E173"/>
      <c r="F173"/>
      <c r="G173"/>
      <c r="H173"/>
      <c r="I173"/>
      <c r="J173"/>
      <c r="K173"/>
    </row>
    <row r="174" spans="1:11">
      <c r="A174"/>
      <c r="B174"/>
      <c r="C174"/>
      <c r="D174"/>
      <c r="E174"/>
      <c r="F174"/>
      <c r="G174"/>
      <c r="H174"/>
      <c r="I174"/>
      <c r="J174"/>
      <c r="K174"/>
    </row>
    <row r="175" spans="1:11">
      <c r="A175"/>
      <c r="B175"/>
      <c r="C175"/>
      <c r="D175"/>
      <c r="E175"/>
      <c r="F175"/>
      <c r="G175"/>
      <c r="H175"/>
      <c r="I175"/>
      <c r="J175"/>
      <c r="K175"/>
    </row>
    <row r="176" spans="1:11">
      <c r="A176"/>
      <c r="B176"/>
      <c r="C176"/>
      <c r="D176"/>
      <c r="E176"/>
      <c r="F176"/>
      <c r="G176"/>
      <c r="H176"/>
      <c r="I176"/>
      <c r="J176"/>
      <c r="K176"/>
    </row>
    <row r="177" spans="1:11">
      <c r="A177"/>
      <c r="B177"/>
      <c r="C177"/>
      <c r="D177"/>
      <c r="E177"/>
      <c r="F177"/>
      <c r="G177"/>
      <c r="H177"/>
      <c r="I177"/>
      <c r="J177"/>
      <c r="K177"/>
    </row>
    <row r="178" spans="1:11">
      <c r="A178"/>
      <c r="B178"/>
      <c r="C178"/>
      <c r="D178"/>
      <c r="E178"/>
      <c r="F178"/>
      <c r="G178"/>
      <c r="H178"/>
      <c r="I178"/>
      <c r="J178"/>
      <c r="K178"/>
    </row>
    <row r="179" spans="1:11">
      <c r="A179"/>
      <c r="B179"/>
      <c r="C179"/>
      <c r="D179"/>
      <c r="E179"/>
      <c r="F179"/>
      <c r="G179"/>
      <c r="H179"/>
      <c r="I179"/>
      <c r="J179"/>
      <c r="K179"/>
    </row>
    <row r="180" spans="1:11">
      <c r="A180"/>
      <c r="B180"/>
      <c r="C180"/>
      <c r="D180"/>
      <c r="E180"/>
      <c r="F180"/>
      <c r="G180"/>
      <c r="H180"/>
      <c r="I180"/>
      <c r="J180"/>
      <c r="K180"/>
    </row>
    <row r="181" spans="1:11">
      <c r="A181"/>
      <c r="B181"/>
      <c r="C181"/>
      <c r="D181"/>
      <c r="E181"/>
      <c r="F181"/>
      <c r="G181"/>
      <c r="H181"/>
      <c r="I181"/>
      <c r="J181"/>
      <c r="K181"/>
    </row>
    <row r="182" spans="1:11">
      <c r="A182"/>
      <c r="B182"/>
      <c r="C182"/>
      <c r="D182"/>
      <c r="E182"/>
      <c r="F182"/>
      <c r="G182"/>
      <c r="H182"/>
      <c r="I182"/>
      <c r="J182"/>
      <c r="K182"/>
    </row>
    <row r="183" spans="1:11">
      <c r="A183"/>
      <c r="B183"/>
      <c r="C183"/>
      <c r="D183"/>
      <c r="E183"/>
      <c r="F183"/>
      <c r="G183"/>
      <c r="H183"/>
      <c r="I183"/>
      <c r="J183"/>
      <c r="K183"/>
    </row>
    <row r="184" spans="1:11">
      <c r="A184"/>
      <c r="B184"/>
      <c r="C184"/>
      <c r="D184"/>
      <c r="E184"/>
      <c r="F184"/>
      <c r="G184"/>
      <c r="H184"/>
      <c r="I184"/>
      <c r="J184"/>
      <c r="K184"/>
    </row>
    <row r="185" spans="1:11">
      <c r="A185"/>
      <c r="B185"/>
      <c r="C185"/>
      <c r="D185"/>
      <c r="E185"/>
      <c r="F185"/>
      <c r="G185"/>
      <c r="H185"/>
      <c r="I185"/>
      <c r="J185"/>
      <c r="K185"/>
    </row>
    <row r="186" spans="1:11">
      <c r="A186"/>
      <c r="B186"/>
      <c r="C186"/>
      <c r="D186"/>
      <c r="E186"/>
      <c r="F186"/>
      <c r="G186"/>
      <c r="H186"/>
      <c r="I186"/>
      <c r="J186"/>
      <c r="K186"/>
    </row>
    <row r="187" spans="1:11">
      <c r="A187"/>
      <c r="B187"/>
      <c r="C187"/>
      <c r="D187"/>
      <c r="E187"/>
      <c r="F187"/>
      <c r="G187"/>
      <c r="H187"/>
      <c r="I187"/>
      <c r="J187"/>
      <c r="K187"/>
    </row>
    <row r="188" spans="1:11">
      <c r="A188"/>
      <c r="B188"/>
      <c r="C188"/>
      <c r="D188"/>
      <c r="E188"/>
      <c r="F188"/>
      <c r="G188"/>
      <c r="H188"/>
      <c r="I188"/>
      <c r="J188"/>
      <c r="K188"/>
    </row>
    <row r="189" spans="1:11">
      <c r="A189"/>
      <c r="B189"/>
      <c r="C189"/>
      <c r="D189"/>
      <c r="E189"/>
      <c r="F189"/>
      <c r="G189"/>
      <c r="H189"/>
      <c r="I189"/>
      <c r="J189"/>
      <c r="K189"/>
    </row>
    <row r="190" spans="1:11">
      <c r="A190"/>
      <c r="B190"/>
      <c r="C190"/>
      <c r="D190"/>
      <c r="E190"/>
      <c r="F190"/>
      <c r="G190"/>
      <c r="H190"/>
      <c r="I190"/>
      <c r="J190"/>
      <c r="K190"/>
    </row>
    <row r="191" spans="1:11">
      <c r="A191"/>
      <c r="B191"/>
      <c r="C191"/>
      <c r="D191"/>
      <c r="E191"/>
      <c r="F191"/>
      <c r="G191"/>
      <c r="H191"/>
      <c r="I191"/>
      <c r="J191"/>
      <c r="K191"/>
    </row>
    <row r="192" spans="1:11">
      <c r="A192"/>
      <c r="B192"/>
      <c r="C192"/>
      <c r="D192"/>
      <c r="E192"/>
      <c r="F192"/>
      <c r="G192"/>
      <c r="H192"/>
      <c r="I192"/>
      <c r="J192"/>
      <c r="K192"/>
    </row>
    <row r="193" spans="1:11">
      <c r="A193"/>
      <c r="B193"/>
      <c r="C193"/>
      <c r="D193"/>
      <c r="E193"/>
      <c r="F193"/>
      <c r="G193"/>
      <c r="H193"/>
      <c r="I193"/>
      <c r="J193"/>
      <c r="K193"/>
    </row>
    <row r="194" spans="1:11">
      <c r="A194"/>
      <c r="B194"/>
      <c r="C194"/>
      <c r="D194"/>
      <c r="E194"/>
      <c r="F194"/>
      <c r="G194"/>
      <c r="H194"/>
      <c r="I194"/>
      <c r="J194"/>
      <c r="K194"/>
    </row>
    <row r="195" spans="1:11">
      <c r="A195"/>
      <c r="B195"/>
      <c r="C195"/>
      <c r="D195"/>
      <c r="E195"/>
      <c r="F195"/>
      <c r="G195"/>
      <c r="H195"/>
      <c r="I195"/>
      <c r="J195"/>
      <c r="K195"/>
    </row>
    <row r="196" spans="1:11">
      <c r="A196"/>
      <c r="B196"/>
      <c r="C196"/>
      <c r="D196"/>
      <c r="E196"/>
      <c r="F196"/>
      <c r="G196"/>
      <c r="H196"/>
      <c r="I196"/>
      <c r="J196"/>
      <c r="K196"/>
    </row>
    <row r="197" spans="1:11">
      <c r="A197"/>
      <c r="B197"/>
      <c r="C197"/>
      <c r="D197"/>
      <c r="E197"/>
      <c r="F197"/>
      <c r="G197"/>
      <c r="H197"/>
      <c r="I197"/>
      <c r="J197"/>
      <c r="K197"/>
    </row>
    <row r="198" spans="1:11">
      <c r="A198"/>
      <c r="B198"/>
      <c r="C198"/>
      <c r="D198"/>
      <c r="E198"/>
      <c r="F198"/>
      <c r="G198"/>
      <c r="H198"/>
      <c r="I198"/>
      <c r="J198"/>
      <c r="K198"/>
    </row>
    <row r="199" spans="1:11">
      <c r="A199"/>
      <c r="B199"/>
      <c r="C199"/>
      <c r="D199"/>
      <c r="E199"/>
      <c r="F199"/>
      <c r="G199"/>
      <c r="H199"/>
      <c r="I199"/>
      <c r="J199"/>
      <c r="K199"/>
    </row>
    <row r="200" spans="1:11">
      <c r="A200"/>
      <c r="B200"/>
      <c r="C200"/>
      <c r="D200"/>
      <c r="E200"/>
      <c r="F200"/>
      <c r="G200"/>
      <c r="H200"/>
      <c r="I200"/>
      <c r="J200"/>
      <c r="K200"/>
    </row>
    <row r="201" spans="1:11">
      <c r="A201"/>
      <c r="B201"/>
      <c r="C201"/>
      <c r="D201"/>
      <c r="E201"/>
      <c r="F201"/>
      <c r="G201"/>
      <c r="H201"/>
      <c r="I201"/>
      <c r="J201"/>
      <c r="K201"/>
    </row>
    <row r="202" spans="1:11">
      <c r="A202"/>
      <c r="B202"/>
      <c r="C202"/>
      <c r="D202"/>
      <c r="E202"/>
      <c r="F202"/>
      <c r="G202"/>
      <c r="H202"/>
      <c r="I202"/>
      <c r="J202"/>
      <c r="K202"/>
    </row>
    <row r="203" spans="1:11">
      <c r="A203"/>
      <c r="B203"/>
      <c r="C203"/>
      <c r="D203"/>
      <c r="E203"/>
      <c r="F203"/>
      <c r="G203"/>
      <c r="H203"/>
      <c r="I203"/>
      <c r="J203"/>
      <c r="K203"/>
    </row>
    <row r="204" spans="1:11">
      <c r="A204"/>
      <c r="B204"/>
      <c r="C204"/>
      <c r="D204"/>
      <c r="E204"/>
      <c r="F204"/>
      <c r="G204"/>
      <c r="H204"/>
      <c r="I204"/>
      <c r="J204"/>
      <c r="K204"/>
    </row>
    <row r="205" spans="1:11">
      <c r="A205"/>
      <c r="B205"/>
      <c r="C205"/>
      <c r="D205"/>
      <c r="E205"/>
      <c r="F205"/>
      <c r="G205"/>
      <c r="H205"/>
      <c r="I205"/>
      <c r="J205"/>
      <c r="K205"/>
    </row>
    <row r="206" spans="1:11">
      <c r="A206"/>
      <c r="B206"/>
      <c r="C206"/>
      <c r="D206"/>
      <c r="E206"/>
      <c r="F206"/>
      <c r="G206"/>
      <c r="H206"/>
      <c r="I206"/>
      <c r="J206"/>
      <c r="K206"/>
    </row>
    <row r="207" spans="1:11">
      <c r="A207"/>
      <c r="B207"/>
      <c r="C207"/>
      <c r="D207"/>
      <c r="E207"/>
      <c r="F207"/>
      <c r="G207"/>
      <c r="H207"/>
      <c r="I207"/>
      <c r="J207"/>
      <c r="K207"/>
    </row>
    <row r="208" spans="1:11">
      <c r="A208"/>
      <c r="B208"/>
      <c r="C208"/>
      <c r="D208"/>
      <c r="E208"/>
      <c r="F208"/>
      <c r="G208"/>
      <c r="H208"/>
      <c r="I208"/>
      <c r="J208"/>
      <c r="K208"/>
    </row>
    <row r="209" spans="1:11">
      <c r="A209"/>
      <c r="B209"/>
      <c r="C209"/>
      <c r="D209"/>
      <c r="E209"/>
      <c r="F209"/>
      <c r="G209"/>
      <c r="H209"/>
      <c r="I209"/>
      <c r="J209"/>
      <c r="K209"/>
    </row>
    <row r="210" spans="1:11">
      <c r="A210"/>
      <c r="B210"/>
      <c r="C210"/>
      <c r="D210"/>
      <c r="E210"/>
      <c r="F210"/>
      <c r="G210"/>
      <c r="H210"/>
      <c r="I210"/>
      <c r="J210"/>
      <c r="K210"/>
    </row>
    <row r="211" spans="1:11">
      <c r="A211"/>
      <c r="B211"/>
      <c r="C211"/>
      <c r="D211"/>
      <c r="E211"/>
      <c r="F211"/>
      <c r="G211"/>
      <c r="H211"/>
      <c r="I211"/>
      <c r="J211"/>
      <c r="K211"/>
    </row>
    <row r="212" spans="1:11">
      <c r="A212"/>
      <c r="B212"/>
      <c r="C212"/>
      <c r="D212"/>
      <c r="E212"/>
      <c r="F212"/>
      <c r="G212"/>
      <c r="H212"/>
      <c r="I212"/>
      <c r="J212"/>
      <c r="K212"/>
    </row>
    <row r="213" spans="1:11">
      <c r="A213"/>
      <c r="B213"/>
      <c r="C213"/>
      <c r="D213"/>
      <c r="E213"/>
      <c r="F213"/>
      <c r="G213"/>
      <c r="H213"/>
      <c r="I213"/>
      <c r="J213"/>
      <c r="K213"/>
    </row>
    <row r="214" spans="1:11">
      <c r="A214"/>
      <c r="B214"/>
      <c r="C214"/>
      <c r="D214"/>
      <c r="E214"/>
      <c r="F214"/>
      <c r="G214"/>
      <c r="H214"/>
      <c r="I214"/>
      <c r="J214"/>
      <c r="K214"/>
    </row>
    <row r="215" spans="1:11">
      <c r="A215"/>
      <c r="B215"/>
      <c r="C215"/>
      <c r="D215"/>
      <c r="E215"/>
      <c r="F215"/>
      <c r="G215"/>
      <c r="H215"/>
      <c r="I215"/>
      <c r="J215"/>
      <c r="K215"/>
    </row>
    <row r="216" spans="1:11">
      <c r="A216"/>
      <c r="B216"/>
      <c r="C216"/>
      <c r="D216"/>
      <c r="E216"/>
      <c r="F216"/>
      <c r="G216"/>
      <c r="H216"/>
      <c r="I216"/>
      <c r="J216"/>
      <c r="K216"/>
    </row>
    <row r="217" spans="1:11">
      <c r="A217"/>
      <c r="B217"/>
      <c r="C217"/>
      <c r="D217"/>
      <c r="E217"/>
      <c r="F217"/>
      <c r="G217"/>
      <c r="H217"/>
      <c r="I217"/>
      <c r="J217"/>
      <c r="K217"/>
    </row>
    <row r="218" spans="1:11">
      <c r="A218"/>
      <c r="B218"/>
      <c r="C218"/>
      <c r="D218"/>
      <c r="E218"/>
      <c r="F218"/>
      <c r="G218"/>
      <c r="H218"/>
      <c r="I218"/>
      <c r="J218"/>
      <c r="K218"/>
    </row>
    <row r="219" spans="1:11">
      <c r="A219"/>
      <c r="B219"/>
      <c r="C219"/>
      <c r="D219"/>
      <c r="E219"/>
      <c r="F219"/>
      <c r="G219"/>
      <c r="H219"/>
      <c r="I219"/>
      <c r="J219"/>
      <c r="K219"/>
    </row>
    <row r="220" spans="1:11">
      <c r="A220"/>
      <c r="B220"/>
      <c r="C220"/>
      <c r="D220"/>
      <c r="E220"/>
      <c r="F220"/>
      <c r="G220"/>
      <c r="H220"/>
      <c r="I220"/>
      <c r="J220"/>
      <c r="K220"/>
    </row>
    <row r="221" spans="1:11">
      <c r="A221"/>
      <c r="B221"/>
      <c r="C221"/>
      <c r="D221"/>
      <c r="E221"/>
      <c r="F221"/>
      <c r="G221"/>
      <c r="H221"/>
      <c r="I221"/>
      <c r="J221"/>
      <c r="K221"/>
    </row>
    <row r="222" spans="1:11">
      <c r="A222"/>
      <c r="B222"/>
      <c r="C222"/>
      <c r="D222"/>
      <c r="E222"/>
      <c r="F222"/>
      <c r="G222"/>
      <c r="H222"/>
      <c r="I222"/>
      <c r="J222"/>
      <c r="K222"/>
    </row>
    <row r="223" spans="1:11">
      <c r="A223"/>
      <c r="B223"/>
      <c r="C223"/>
      <c r="D223"/>
      <c r="E223"/>
      <c r="F223"/>
      <c r="G223"/>
      <c r="H223"/>
      <c r="I223"/>
      <c r="J223"/>
      <c r="K223"/>
    </row>
    <row r="224" spans="1:11">
      <c r="A224"/>
      <c r="B224"/>
      <c r="C224"/>
      <c r="D224"/>
      <c r="E224"/>
      <c r="F224"/>
      <c r="G224"/>
      <c r="H224"/>
      <c r="I224"/>
      <c r="J224"/>
      <c r="K224"/>
    </row>
    <row r="225" spans="1:11">
      <c r="A225"/>
      <c r="B225"/>
      <c r="C225"/>
      <c r="D225"/>
      <c r="E225"/>
      <c r="F225"/>
      <c r="G225"/>
      <c r="H225"/>
      <c r="I225"/>
      <c r="J225"/>
      <c r="K225"/>
    </row>
    <row r="226" spans="1:11">
      <c r="A226"/>
      <c r="B226"/>
      <c r="C226"/>
      <c r="D226"/>
      <c r="E226"/>
      <c r="F226"/>
      <c r="G226"/>
      <c r="H226"/>
      <c r="I226"/>
      <c r="J226"/>
      <c r="K226"/>
    </row>
    <row r="227" spans="1:11">
      <c r="A227"/>
      <c r="B227"/>
      <c r="C227"/>
      <c r="D227"/>
      <c r="E227"/>
      <c r="F227"/>
      <c r="G227"/>
      <c r="H227"/>
      <c r="I227"/>
      <c r="J227"/>
      <c r="K227"/>
    </row>
    <row r="228" spans="1:11">
      <c r="A228"/>
      <c r="B228"/>
      <c r="C228"/>
      <c r="D228"/>
      <c r="E228"/>
      <c r="F228"/>
      <c r="G228"/>
      <c r="H228"/>
      <c r="I228"/>
      <c r="J228"/>
      <c r="K228"/>
    </row>
    <row r="229" spans="1:11">
      <c r="A229"/>
      <c r="B229"/>
      <c r="C229"/>
      <c r="D229"/>
      <c r="E229"/>
      <c r="F229"/>
      <c r="G229"/>
      <c r="H229"/>
      <c r="I229"/>
      <c r="J229"/>
      <c r="K229"/>
    </row>
    <row r="230" spans="1:11">
      <c r="A230"/>
      <c r="B230"/>
      <c r="C230"/>
      <c r="D230"/>
      <c r="E230"/>
      <c r="F230"/>
      <c r="G230"/>
      <c r="H230"/>
      <c r="I230"/>
      <c r="J230"/>
      <c r="K230"/>
    </row>
    <row r="231" spans="1:11">
      <c r="A231"/>
      <c r="B231"/>
      <c r="C231"/>
      <c r="D231"/>
      <c r="E231"/>
      <c r="F231"/>
      <c r="G231"/>
      <c r="H231"/>
      <c r="I231"/>
      <c r="J231"/>
      <c r="K231"/>
    </row>
    <row r="232" spans="1:11">
      <c r="A232"/>
      <c r="B232"/>
      <c r="C232"/>
      <c r="D232"/>
      <c r="E232"/>
      <c r="F232"/>
      <c r="G232"/>
      <c r="H232"/>
      <c r="I232"/>
      <c r="J232"/>
      <c r="K232"/>
    </row>
    <row r="233" spans="1:11">
      <c r="A233"/>
      <c r="B233"/>
      <c r="C233"/>
      <c r="D233"/>
      <c r="E233"/>
      <c r="F233"/>
      <c r="G233"/>
      <c r="H233"/>
      <c r="I233"/>
      <c r="J233"/>
      <c r="K233"/>
    </row>
    <row r="234" spans="1:11">
      <c r="A234"/>
      <c r="B234"/>
      <c r="C234"/>
      <c r="D234"/>
      <c r="E234"/>
      <c r="F234"/>
      <c r="G234"/>
      <c r="H234"/>
      <c r="I234"/>
      <c r="J234"/>
      <c r="K234"/>
    </row>
    <row r="235" spans="1:11">
      <c r="A235"/>
      <c r="B235"/>
      <c r="C235"/>
      <c r="D235"/>
      <c r="E235"/>
      <c r="F235"/>
      <c r="G235"/>
      <c r="H235"/>
      <c r="I235"/>
      <c r="J235"/>
      <c r="K235"/>
    </row>
    <row r="236" spans="1:11">
      <c r="A236"/>
      <c r="B236"/>
      <c r="C236"/>
      <c r="D236"/>
      <c r="E236"/>
      <c r="F236"/>
      <c r="G236"/>
      <c r="H236"/>
      <c r="I236"/>
      <c r="J236"/>
      <c r="K236"/>
    </row>
    <row r="237" spans="1:11">
      <c r="A237"/>
      <c r="B237"/>
      <c r="C237"/>
      <c r="D237"/>
      <c r="E237"/>
      <c r="F237"/>
      <c r="G237"/>
      <c r="H237"/>
      <c r="I237"/>
      <c r="J237"/>
      <c r="K237"/>
    </row>
    <row r="238" spans="1:11">
      <c r="A238"/>
      <c r="B238"/>
      <c r="C238"/>
      <c r="D238"/>
      <c r="E238"/>
      <c r="F238"/>
      <c r="G238"/>
      <c r="H238"/>
      <c r="I238"/>
      <c r="J238"/>
      <c r="K238"/>
    </row>
    <row r="239" spans="1:11">
      <c r="A239"/>
      <c r="B239"/>
      <c r="C239"/>
      <c r="D239"/>
      <c r="E239"/>
      <c r="F239"/>
      <c r="G239"/>
      <c r="H239"/>
      <c r="I239"/>
      <c r="J239"/>
      <c r="K239"/>
    </row>
    <row r="240" spans="1:11">
      <c r="A240"/>
      <c r="B240"/>
      <c r="C240"/>
      <c r="D240"/>
      <c r="E240"/>
      <c r="F240"/>
      <c r="G240"/>
      <c r="H240"/>
      <c r="I240"/>
      <c r="J240"/>
      <c r="K240"/>
    </row>
    <row r="241" spans="1:11">
      <c r="A241"/>
      <c r="B241"/>
      <c r="C241"/>
      <c r="D241"/>
      <c r="E241"/>
      <c r="F241"/>
      <c r="G241"/>
      <c r="H241"/>
      <c r="I241"/>
      <c r="J241"/>
      <c r="K241"/>
    </row>
    <row r="242" spans="1:11">
      <c r="A242"/>
      <c r="B242"/>
      <c r="C242"/>
      <c r="D242"/>
      <c r="E242"/>
      <c r="F242"/>
      <c r="G242"/>
      <c r="H242"/>
      <c r="I242"/>
      <c r="J242"/>
      <c r="K242"/>
    </row>
    <row r="243" spans="1:11">
      <c r="A243"/>
      <c r="B243"/>
      <c r="C243"/>
      <c r="D243"/>
      <c r="E243"/>
      <c r="F243"/>
      <c r="G243"/>
      <c r="H243"/>
      <c r="I243"/>
      <c r="J243"/>
      <c r="K243"/>
    </row>
    <row r="244" spans="1:11">
      <c r="A244"/>
      <c r="B244"/>
      <c r="C244"/>
      <c r="D244"/>
      <c r="E244"/>
      <c r="F244"/>
      <c r="G244"/>
      <c r="H244"/>
      <c r="I244"/>
      <c r="J244"/>
      <c r="K244"/>
    </row>
    <row r="245" spans="1:11">
      <c r="A245"/>
      <c r="B245"/>
      <c r="C245"/>
      <c r="D245"/>
      <c r="E245"/>
      <c r="F245"/>
      <c r="G245"/>
      <c r="H245"/>
      <c r="I245"/>
      <c r="J245"/>
      <c r="K245"/>
    </row>
    <row r="246" spans="1:11">
      <c r="A246"/>
      <c r="B246"/>
      <c r="C246"/>
      <c r="D246"/>
      <c r="E246"/>
      <c r="F246"/>
      <c r="G246"/>
      <c r="H246"/>
      <c r="I246"/>
      <c r="J246"/>
      <c r="K246"/>
    </row>
    <row r="247" spans="1:11">
      <c r="A247"/>
      <c r="B247"/>
      <c r="C247"/>
      <c r="D247"/>
      <c r="E247"/>
      <c r="F247"/>
      <c r="G247"/>
      <c r="H247"/>
      <c r="I247"/>
      <c r="J247"/>
      <c r="K247"/>
    </row>
    <row r="248" spans="1:11">
      <c r="A248"/>
      <c r="B248"/>
      <c r="C248"/>
      <c r="D248"/>
      <c r="E248"/>
      <c r="F248"/>
      <c r="G248"/>
      <c r="H248"/>
      <c r="I248"/>
      <c r="J248"/>
      <c r="K248"/>
    </row>
    <row r="249" spans="1:11">
      <c r="A249"/>
      <c r="B249"/>
      <c r="C249"/>
      <c r="D249"/>
      <c r="E249"/>
      <c r="F249"/>
      <c r="G249"/>
      <c r="H249"/>
      <c r="I249"/>
      <c r="J249"/>
      <c r="K249"/>
    </row>
    <row r="250" spans="1:11">
      <c r="A250"/>
      <c r="B250"/>
      <c r="C250"/>
      <c r="D250"/>
      <c r="E250"/>
      <c r="F250"/>
      <c r="G250"/>
      <c r="H250"/>
      <c r="I250"/>
      <c r="J250"/>
      <c r="K250"/>
    </row>
    <row r="251" spans="1:11">
      <c r="A251"/>
      <c r="B251"/>
      <c r="C251"/>
      <c r="D251"/>
      <c r="E251"/>
      <c r="F251"/>
      <c r="G251"/>
      <c r="H251"/>
      <c r="I251"/>
      <c r="J251"/>
      <c r="K251"/>
    </row>
    <row r="252" spans="1:11">
      <c r="A252"/>
      <c r="B252"/>
      <c r="C252"/>
      <c r="D252"/>
      <c r="E252"/>
      <c r="F252"/>
      <c r="G252"/>
      <c r="H252"/>
      <c r="I252"/>
      <c r="J252"/>
      <c r="K252"/>
    </row>
    <row r="253" spans="1:11">
      <c r="A253"/>
      <c r="B253"/>
      <c r="C253"/>
      <c r="D253"/>
      <c r="E253"/>
      <c r="F253"/>
      <c r="G253"/>
      <c r="H253"/>
      <c r="I253"/>
      <c r="J253"/>
      <c r="K253"/>
    </row>
    <row r="254" spans="1:11">
      <c r="A254"/>
      <c r="B254"/>
      <c r="C254"/>
      <c r="D254"/>
      <c r="E254"/>
      <c r="F254"/>
      <c r="G254"/>
      <c r="H254"/>
      <c r="I254"/>
      <c r="J254"/>
      <c r="K254"/>
    </row>
    <row r="255" spans="1:11">
      <c r="A255"/>
      <c r="B255"/>
      <c r="C255"/>
      <c r="D255"/>
      <c r="E255"/>
      <c r="F255"/>
      <c r="G255"/>
      <c r="H255"/>
      <c r="I255"/>
      <c r="J255"/>
      <c r="K255"/>
    </row>
    <row r="256" spans="1:11">
      <c r="A256"/>
      <c r="B256"/>
      <c r="C256"/>
      <c r="D256"/>
      <c r="E256"/>
      <c r="F256"/>
      <c r="G256"/>
      <c r="H256"/>
      <c r="I256"/>
      <c r="J256"/>
      <c r="K256"/>
    </row>
    <row r="257" spans="1:11">
      <c r="A257"/>
      <c r="B257"/>
      <c r="C257"/>
      <c r="D257"/>
      <c r="E257"/>
      <c r="F257"/>
      <c r="G257"/>
      <c r="H257"/>
      <c r="I257"/>
      <c r="J257"/>
      <c r="K257"/>
    </row>
    <row r="258" spans="1:11">
      <c r="A258"/>
      <c r="B258"/>
      <c r="C258"/>
      <c r="D258"/>
      <c r="E258"/>
      <c r="F258"/>
      <c r="G258"/>
      <c r="H258"/>
      <c r="I258"/>
      <c r="J258"/>
      <c r="K258"/>
    </row>
    <row r="259" spans="1:11">
      <c r="A259"/>
      <c r="B259"/>
      <c r="C259"/>
      <c r="D259"/>
      <c r="E259"/>
      <c r="F259"/>
      <c r="G259"/>
      <c r="H259"/>
      <c r="I259"/>
      <c r="J259"/>
      <c r="K259"/>
    </row>
    <row r="260" spans="1:11">
      <c r="A260"/>
      <c r="B260"/>
      <c r="C260"/>
      <c r="D260"/>
      <c r="E260"/>
      <c r="F260"/>
      <c r="G260"/>
      <c r="H260"/>
      <c r="I260"/>
      <c r="J260"/>
      <c r="K260"/>
    </row>
    <row r="261" spans="1:11">
      <c r="A261"/>
      <c r="B261"/>
      <c r="C261"/>
      <c r="D261"/>
      <c r="E261"/>
      <c r="F261"/>
      <c r="G261"/>
      <c r="H261"/>
      <c r="I261"/>
      <c r="J261"/>
      <c r="K261"/>
    </row>
    <row r="262" spans="1:11">
      <c r="A262"/>
      <c r="B262"/>
      <c r="C262"/>
      <c r="D262"/>
      <c r="E262"/>
      <c r="F262"/>
      <c r="G262"/>
      <c r="H262"/>
      <c r="I262"/>
      <c r="J262"/>
      <c r="K262"/>
    </row>
    <row r="263" spans="1:11">
      <c r="A263"/>
      <c r="B263"/>
      <c r="C263"/>
      <c r="D263"/>
      <c r="E263"/>
      <c r="F263"/>
      <c r="G263"/>
      <c r="H263"/>
      <c r="I263"/>
      <c r="J263"/>
      <c r="K263"/>
    </row>
    <row r="264" spans="1:11">
      <c r="A264"/>
      <c r="B264"/>
      <c r="C264"/>
      <c r="D264"/>
      <c r="E264"/>
      <c r="F264"/>
      <c r="G264"/>
      <c r="H264"/>
      <c r="I264"/>
      <c r="J264"/>
      <c r="K264"/>
    </row>
    <row r="265" spans="1:11">
      <c r="A265"/>
      <c r="B265"/>
      <c r="C265"/>
      <c r="D265"/>
      <c r="E265"/>
      <c r="F265"/>
      <c r="G265"/>
      <c r="H265"/>
      <c r="I265"/>
      <c r="J265"/>
      <c r="K265"/>
    </row>
    <row r="266" spans="1:11">
      <c r="A266"/>
      <c r="B266"/>
      <c r="C266"/>
      <c r="D266"/>
      <c r="E266"/>
      <c r="F266"/>
      <c r="G266"/>
      <c r="H266"/>
      <c r="I266"/>
      <c r="J266"/>
      <c r="K266"/>
    </row>
    <row r="267" spans="1:11">
      <c r="A267"/>
      <c r="B267"/>
      <c r="C267"/>
      <c r="D267"/>
      <c r="E267"/>
      <c r="F267"/>
      <c r="G267"/>
      <c r="H267"/>
      <c r="I267"/>
      <c r="J267"/>
      <c r="K267"/>
    </row>
    <row r="268" spans="1:11">
      <c r="A268"/>
      <c r="B268"/>
      <c r="C268"/>
      <c r="D268"/>
      <c r="E268"/>
      <c r="F268"/>
      <c r="G268"/>
      <c r="H268"/>
      <c r="I268"/>
      <c r="J268"/>
      <c r="K268"/>
    </row>
    <row r="269" spans="1:11">
      <c r="A269"/>
      <c r="B269"/>
      <c r="C269"/>
      <c r="D269"/>
      <c r="E269"/>
      <c r="F269"/>
      <c r="G269"/>
      <c r="H269"/>
      <c r="I269"/>
      <c r="J269"/>
      <c r="K269"/>
    </row>
    <row r="270" spans="1:11">
      <c r="A270"/>
      <c r="B270"/>
      <c r="C270"/>
      <c r="D270"/>
      <c r="E270"/>
      <c r="F270"/>
      <c r="G270"/>
      <c r="H270"/>
      <c r="I270"/>
      <c r="J270"/>
      <c r="K270"/>
    </row>
    <row r="271" spans="1:11">
      <c r="A271"/>
      <c r="B271"/>
      <c r="C271"/>
      <c r="D271"/>
      <c r="E271"/>
      <c r="F271"/>
      <c r="G271"/>
      <c r="H271"/>
      <c r="I271"/>
      <c r="J271"/>
      <c r="K271"/>
    </row>
    <row r="272" spans="1:11">
      <c r="A272"/>
      <c r="B272"/>
      <c r="C272"/>
      <c r="D272"/>
      <c r="E272"/>
      <c r="F272"/>
      <c r="G272"/>
      <c r="H272"/>
      <c r="I272"/>
      <c r="J272"/>
      <c r="K272"/>
    </row>
    <row r="273" spans="1:11">
      <c r="A273"/>
      <c r="B273"/>
      <c r="C273"/>
      <c r="D273"/>
      <c r="E273"/>
      <c r="F273"/>
      <c r="G273"/>
      <c r="H273"/>
      <c r="I273"/>
      <c r="J273"/>
      <c r="K273"/>
    </row>
    <row r="274" spans="1:11">
      <c r="A274"/>
      <c r="B274"/>
      <c r="C274"/>
      <c r="D274"/>
      <c r="E274"/>
      <c r="F274"/>
      <c r="G274"/>
      <c r="H274"/>
      <c r="I274"/>
      <c r="J274"/>
      <c r="K274"/>
    </row>
    <row r="275" spans="1:11">
      <c r="A275"/>
      <c r="B275"/>
      <c r="C275"/>
      <c r="D275"/>
      <c r="E275"/>
      <c r="F275"/>
      <c r="G275"/>
      <c r="H275"/>
      <c r="I275"/>
      <c r="J275"/>
      <c r="K275"/>
    </row>
    <row r="276" spans="1:11">
      <c r="A276"/>
      <c r="B276"/>
      <c r="C276"/>
      <c r="D276"/>
      <c r="E276"/>
      <c r="F276"/>
      <c r="G276"/>
      <c r="H276"/>
      <c r="I276"/>
      <c r="J276"/>
      <c r="K276"/>
    </row>
    <row r="277" spans="1:11">
      <c r="A277"/>
      <c r="B277"/>
      <c r="C277"/>
      <c r="D277"/>
      <c r="E277"/>
      <c r="F277"/>
      <c r="G277"/>
      <c r="H277"/>
      <c r="I277"/>
      <c r="J277"/>
      <c r="K277"/>
    </row>
    <row r="278" spans="1:11">
      <c r="A278"/>
      <c r="B278"/>
      <c r="C278"/>
      <c r="D278"/>
      <c r="E278"/>
      <c r="F278"/>
      <c r="G278"/>
      <c r="H278"/>
      <c r="I278"/>
      <c r="J278"/>
      <c r="K278"/>
    </row>
    <row r="279" spans="1:11">
      <c r="A279"/>
      <c r="B279"/>
      <c r="C279"/>
      <c r="D279"/>
      <c r="E279"/>
      <c r="F279"/>
      <c r="G279"/>
      <c r="H279"/>
      <c r="I279"/>
      <c r="J279"/>
      <c r="K279"/>
    </row>
    <row r="280" spans="1:11">
      <c r="A280"/>
      <c r="B280"/>
      <c r="C280"/>
      <c r="D280"/>
      <c r="E280"/>
      <c r="F280"/>
      <c r="G280"/>
      <c r="H280"/>
      <c r="I280"/>
      <c r="J280"/>
      <c r="K280"/>
    </row>
    <row r="281" spans="1:11">
      <c r="A281"/>
      <c r="B281"/>
      <c r="C281"/>
      <c r="D281"/>
      <c r="E281"/>
      <c r="F281"/>
      <c r="G281"/>
      <c r="H281"/>
      <c r="I281"/>
      <c r="J281"/>
      <c r="K281"/>
    </row>
    <row r="282" spans="1:11">
      <c r="A282"/>
      <c r="B282"/>
      <c r="C282"/>
      <c r="D282"/>
      <c r="E282"/>
      <c r="F282"/>
      <c r="G282"/>
      <c r="H282"/>
      <c r="I282"/>
      <c r="J282"/>
      <c r="K282"/>
    </row>
    <row r="283" spans="1:11">
      <c r="A283"/>
      <c r="B283"/>
      <c r="C283"/>
      <c r="D283"/>
      <c r="E283"/>
      <c r="F283"/>
      <c r="G283"/>
      <c r="H283"/>
      <c r="I283"/>
      <c r="J283"/>
      <c r="K283"/>
    </row>
    <row r="284" spans="1:11">
      <c r="A284"/>
      <c r="B284"/>
      <c r="C284"/>
      <c r="D284"/>
      <c r="E284"/>
      <c r="F284"/>
      <c r="G284"/>
      <c r="H284"/>
      <c r="I284"/>
      <c r="J284"/>
      <c r="K284"/>
    </row>
    <row r="285" spans="1:11">
      <c r="A285"/>
      <c r="B285"/>
      <c r="C285"/>
      <c r="D285"/>
      <c r="E285"/>
      <c r="F285"/>
      <c r="G285"/>
      <c r="H285"/>
      <c r="I285"/>
      <c r="J285"/>
      <c r="K285"/>
    </row>
    <row r="286" spans="1:11">
      <c r="A286"/>
      <c r="B286"/>
      <c r="C286"/>
      <c r="D286"/>
      <c r="E286"/>
      <c r="F286"/>
      <c r="G286"/>
      <c r="H286"/>
      <c r="I286"/>
      <c r="J286"/>
      <c r="K286"/>
    </row>
    <row r="287" spans="1:11">
      <c r="A287"/>
      <c r="B287"/>
      <c r="C287"/>
      <c r="D287"/>
      <c r="E287"/>
      <c r="F287"/>
      <c r="G287"/>
      <c r="H287"/>
      <c r="I287"/>
      <c r="J287"/>
      <c r="K287"/>
    </row>
    <row r="288" spans="1:11">
      <c r="A288"/>
      <c r="B288"/>
      <c r="C288"/>
      <c r="D288"/>
      <c r="E288"/>
      <c r="F288"/>
      <c r="G288"/>
      <c r="H288"/>
      <c r="I288"/>
      <c r="J288"/>
      <c r="K288"/>
    </row>
    <row r="289" spans="1:11">
      <c r="A289"/>
      <c r="B289"/>
      <c r="C289"/>
      <c r="D289"/>
      <c r="E289"/>
      <c r="F289"/>
      <c r="G289"/>
      <c r="H289"/>
      <c r="I289"/>
      <c r="J289"/>
      <c r="K289"/>
    </row>
    <row r="290" spans="1:11">
      <c r="A290"/>
      <c r="B290"/>
      <c r="C290"/>
      <c r="D290"/>
      <c r="E290"/>
      <c r="F290"/>
      <c r="G290"/>
      <c r="H290"/>
      <c r="I290"/>
      <c r="J290"/>
      <c r="K290"/>
    </row>
    <row r="291" spans="1:11">
      <c r="A291"/>
      <c r="B291"/>
      <c r="C291"/>
      <c r="D291"/>
      <c r="E291"/>
      <c r="F291"/>
      <c r="G291"/>
      <c r="H291"/>
      <c r="I291"/>
      <c r="J291"/>
      <c r="K291"/>
    </row>
    <row r="292" spans="1:11">
      <c r="A292"/>
      <c r="B292"/>
      <c r="C292"/>
      <c r="D292"/>
      <c r="E292"/>
      <c r="F292"/>
      <c r="G292"/>
      <c r="H292"/>
      <c r="I292"/>
      <c r="J292"/>
      <c r="K292"/>
    </row>
    <row r="293" spans="1:11">
      <c r="A293"/>
      <c r="B293"/>
      <c r="C293"/>
      <c r="D293"/>
      <c r="E293"/>
      <c r="F293"/>
      <c r="G293"/>
      <c r="H293"/>
      <c r="I293"/>
      <c r="J293"/>
      <c r="K293"/>
    </row>
    <row r="294" spans="1:11">
      <c r="A294"/>
      <c r="B294"/>
      <c r="C294"/>
      <c r="D294"/>
      <c r="E294"/>
      <c r="F294"/>
      <c r="G294"/>
      <c r="H294"/>
      <c r="I294"/>
      <c r="J294"/>
      <c r="K294"/>
    </row>
    <row r="295" spans="1:11">
      <c r="A295"/>
      <c r="B295"/>
      <c r="C295"/>
      <c r="D295"/>
      <c r="E295"/>
      <c r="F295"/>
      <c r="G295"/>
      <c r="H295"/>
      <c r="I295"/>
      <c r="J295"/>
      <c r="K295"/>
    </row>
    <row r="296" spans="1:11">
      <c r="A296"/>
      <c r="B296"/>
      <c r="C296"/>
      <c r="D296"/>
      <c r="E296"/>
      <c r="F296"/>
      <c r="G296"/>
      <c r="H296"/>
      <c r="I296"/>
      <c r="J296"/>
      <c r="K296"/>
    </row>
    <row r="297" spans="1:11">
      <c r="A297"/>
      <c r="B297"/>
      <c r="C297"/>
      <c r="D297"/>
      <c r="E297"/>
      <c r="F297"/>
      <c r="G297"/>
      <c r="H297"/>
      <c r="I297"/>
      <c r="J297"/>
      <c r="K297"/>
    </row>
    <row r="298" spans="1:11">
      <c r="A298"/>
      <c r="B298"/>
      <c r="C298"/>
      <c r="D298"/>
      <c r="E298"/>
      <c r="F298"/>
      <c r="G298"/>
      <c r="H298"/>
      <c r="I298"/>
      <c r="J298"/>
      <c r="K298"/>
    </row>
    <row r="299" spans="1:11">
      <c r="A299"/>
      <c r="B299"/>
      <c r="C299"/>
      <c r="D299"/>
      <c r="E299"/>
      <c r="F299"/>
      <c r="G299"/>
      <c r="H299"/>
      <c r="I299"/>
      <c r="J299"/>
      <c r="K299"/>
    </row>
    <row r="300" spans="1:11">
      <c r="A300"/>
      <c r="B300"/>
      <c r="C300"/>
      <c r="D300"/>
      <c r="E300"/>
      <c r="F300"/>
      <c r="G300"/>
      <c r="H300"/>
      <c r="I300"/>
      <c r="J300"/>
      <c r="K300"/>
    </row>
    <row r="301" spans="1:11">
      <c r="A301"/>
      <c r="B301"/>
      <c r="C301"/>
      <c r="D301"/>
      <c r="E301"/>
      <c r="F301"/>
      <c r="G301"/>
      <c r="H301"/>
      <c r="I301"/>
      <c r="J301"/>
      <c r="K301"/>
    </row>
    <row r="302" spans="1:11">
      <c r="A302"/>
      <c r="B302"/>
      <c r="C302"/>
      <c r="D302"/>
      <c r="E302"/>
      <c r="F302"/>
      <c r="G302"/>
      <c r="H302"/>
      <c r="I302"/>
      <c r="J302"/>
      <c r="K302"/>
    </row>
    <row r="303" spans="1:11">
      <c r="A303"/>
      <c r="B303"/>
      <c r="C303"/>
      <c r="D303"/>
      <c r="E303"/>
      <c r="F303"/>
      <c r="G303"/>
      <c r="H303"/>
      <c r="I303"/>
      <c r="J303"/>
      <c r="K303"/>
    </row>
    <row r="304" spans="1:1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/>
      <c r="B305"/>
      <c r="C305"/>
      <c r="D305"/>
      <c r="E305"/>
      <c r="F305"/>
      <c r="G305"/>
      <c r="H305"/>
      <c r="I305"/>
      <c r="J305"/>
      <c r="K305"/>
    </row>
    <row r="306" spans="1:11">
      <c r="A306"/>
      <c r="B306"/>
      <c r="C306"/>
      <c r="D306"/>
      <c r="E306"/>
      <c r="F306"/>
      <c r="G306"/>
      <c r="H306"/>
      <c r="I306"/>
      <c r="J306"/>
      <c r="K306"/>
    </row>
    <row r="307" spans="1:11">
      <c r="A307"/>
      <c r="B307"/>
      <c r="C307"/>
      <c r="D307"/>
      <c r="E307"/>
      <c r="F307"/>
      <c r="G307"/>
      <c r="H307"/>
      <c r="I307"/>
      <c r="J307"/>
      <c r="K307"/>
    </row>
    <row r="308" spans="1:11">
      <c r="A308"/>
      <c r="B308"/>
      <c r="C308"/>
      <c r="D308"/>
      <c r="E308"/>
      <c r="F308"/>
      <c r="G308"/>
      <c r="H308"/>
      <c r="I308"/>
      <c r="J308"/>
      <c r="K308"/>
    </row>
    <row r="309" spans="1:11">
      <c r="A309"/>
      <c r="B309"/>
      <c r="C309"/>
      <c r="D309"/>
      <c r="E309"/>
      <c r="F309"/>
      <c r="G309"/>
      <c r="H309"/>
      <c r="I309"/>
      <c r="J309"/>
      <c r="K309"/>
    </row>
    <row r="310" spans="1:11">
      <c r="A310"/>
      <c r="B310"/>
      <c r="C310"/>
      <c r="D310"/>
      <c r="E310"/>
      <c r="F310"/>
      <c r="G310"/>
      <c r="H310"/>
      <c r="I310"/>
      <c r="J310"/>
      <c r="K310"/>
    </row>
    <row r="311" spans="1:11">
      <c r="A311"/>
      <c r="B311"/>
      <c r="C311"/>
      <c r="D311"/>
      <c r="E311"/>
      <c r="F311"/>
      <c r="G311"/>
      <c r="H311"/>
      <c r="I311"/>
      <c r="J311"/>
      <c r="K311"/>
    </row>
    <row r="312" spans="1:11">
      <c r="A312"/>
      <c r="B312"/>
      <c r="C312"/>
      <c r="D312"/>
      <c r="E312"/>
      <c r="F312"/>
      <c r="G312"/>
      <c r="H312"/>
      <c r="I312"/>
      <c r="J312"/>
      <c r="K312"/>
    </row>
    <row r="313" spans="1:11">
      <c r="A313"/>
      <c r="B313"/>
      <c r="C313"/>
      <c r="D313"/>
      <c r="E313"/>
      <c r="F313"/>
      <c r="G313"/>
      <c r="H313"/>
      <c r="I313"/>
      <c r="J313"/>
      <c r="K313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B322"/>
      <c r="C322"/>
      <c r="D322"/>
      <c r="E322"/>
      <c r="F322"/>
      <c r="G322"/>
      <c r="H322"/>
      <c r="I322"/>
      <c r="J322"/>
      <c r="K322"/>
    </row>
    <row r="323" spans="1:11">
      <c r="A323"/>
      <c r="B323"/>
      <c r="C323"/>
      <c r="D323"/>
      <c r="E323"/>
      <c r="F323"/>
      <c r="G323"/>
      <c r="H323"/>
      <c r="I323"/>
      <c r="J323"/>
      <c r="K323"/>
    </row>
    <row r="324" spans="1:11">
      <c r="A324"/>
      <c r="B324"/>
      <c r="C324"/>
      <c r="D324"/>
      <c r="E324"/>
      <c r="F324"/>
      <c r="G324"/>
      <c r="H324"/>
      <c r="I324"/>
      <c r="J324"/>
      <c r="K324"/>
    </row>
    <row r="325" spans="1:11">
      <c r="A325"/>
      <c r="B325"/>
      <c r="C325"/>
      <c r="D325"/>
      <c r="E325"/>
      <c r="F325"/>
      <c r="G325"/>
      <c r="H325"/>
      <c r="I325"/>
      <c r="J325"/>
      <c r="K325"/>
    </row>
    <row r="326" spans="1:11">
      <c r="A326"/>
      <c r="B326"/>
      <c r="C326"/>
      <c r="D326"/>
      <c r="E326"/>
      <c r="F326"/>
      <c r="G326"/>
      <c r="H326"/>
      <c r="I326"/>
      <c r="J326"/>
      <c r="K326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B335"/>
      <c r="C335"/>
      <c r="D335"/>
      <c r="E335"/>
      <c r="F335"/>
      <c r="G335"/>
      <c r="H335"/>
      <c r="I335"/>
      <c r="J335"/>
      <c r="K335"/>
    </row>
    <row r="336" spans="1:11">
      <c r="A336"/>
      <c r="B336"/>
      <c r="C336"/>
      <c r="D336"/>
      <c r="E336"/>
      <c r="F336"/>
      <c r="G336"/>
      <c r="H336"/>
      <c r="I336"/>
      <c r="J336"/>
      <c r="K336"/>
    </row>
    <row r="337" spans="1:11">
      <c r="A337"/>
      <c r="B337"/>
      <c r="C337"/>
      <c r="D337"/>
      <c r="E337"/>
      <c r="F337"/>
      <c r="G337"/>
      <c r="H337"/>
      <c r="I337"/>
      <c r="J337"/>
      <c r="K337"/>
    </row>
    <row r="338" spans="1:11">
      <c r="A338"/>
      <c r="B338"/>
      <c r="C338"/>
      <c r="D338"/>
      <c r="E338"/>
      <c r="F338"/>
      <c r="G338"/>
      <c r="H338"/>
      <c r="I338"/>
      <c r="J338"/>
      <c r="K338"/>
    </row>
    <row r="339" spans="1:11">
      <c r="A339"/>
      <c r="B339"/>
      <c r="C339"/>
      <c r="D339"/>
      <c r="E339"/>
      <c r="F339"/>
      <c r="G339"/>
      <c r="H339"/>
      <c r="I339"/>
      <c r="J339"/>
      <c r="K339"/>
    </row>
    <row r="340" spans="1:11">
      <c r="A340"/>
      <c r="B340"/>
      <c r="C340"/>
      <c r="D340"/>
      <c r="E340"/>
      <c r="F340"/>
      <c r="G340"/>
      <c r="H340"/>
      <c r="I340"/>
      <c r="J340"/>
      <c r="K340"/>
    </row>
    <row r="341" spans="1:11">
      <c r="A341"/>
      <c r="B341"/>
      <c r="C341"/>
      <c r="D341"/>
      <c r="E341"/>
      <c r="F341"/>
      <c r="G341"/>
      <c r="H341"/>
      <c r="I341"/>
      <c r="J341"/>
      <c r="K341"/>
    </row>
    <row r="342" spans="1:11">
      <c r="A342"/>
      <c r="B342"/>
      <c r="C342"/>
      <c r="D342"/>
      <c r="E342"/>
      <c r="F342"/>
      <c r="G342"/>
      <c r="H342"/>
      <c r="I342"/>
      <c r="J342"/>
      <c r="K342"/>
    </row>
    <row r="343" spans="1:11">
      <c r="A343"/>
      <c r="B343"/>
      <c r="C343"/>
      <c r="D343"/>
      <c r="E343"/>
      <c r="F343"/>
      <c r="G343"/>
      <c r="H343"/>
      <c r="I343"/>
      <c r="J343"/>
      <c r="K343"/>
    </row>
    <row r="344" spans="1:11">
      <c r="A344"/>
      <c r="B344"/>
      <c r="C344"/>
      <c r="D344"/>
      <c r="E344"/>
      <c r="F344"/>
      <c r="G344"/>
      <c r="H344"/>
      <c r="I344"/>
      <c r="J344"/>
      <c r="K344"/>
    </row>
    <row r="345" spans="1:11">
      <c r="A345"/>
      <c r="B345"/>
      <c r="C345"/>
      <c r="D345"/>
      <c r="E345"/>
      <c r="F345"/>
      <c r="G345"/>
      <c r="H345"/>
      <c r="I345"/>
      <c r="J345"/>
      <c r="K345"/>
    </row>
    <row r="346" spans="1:11">
      <c r="A346"/>
      <c r="B346"/>
      <c r="C346"/>
      <c r="D346"/>
      <c r="E346"/>
      <c r="F346"/>
      <c r="G346"/>
      <c r="H346"/>
      <c r="I346"/>
      <c r="J346"/>
      <c r="K346"/>
    </row>
    <row r="347" spans="1:11">
      <c r="A347"/>
      <c r="B347"/>
      <c r="C347"/>
      <c r="D347"/>
      <c r="E347"/>
      <c r="F347"/>
      <c r="G347"/>
      <c r="H347"/>
      <c r="I347"/>
      <c r="J347"/>
      <c r="K347"/>
    </row>
    <row r="348" spans="1:11">
      <c r="A348"/>
      <c r="B348"/>
      <c r="C348"/>
      <c r="D348"/>
      <c r="E348"/>
      <c r="F348"/>
      <c r="G348"/>
      <c r="H348"/>
      <c r="I348"/>
      <c r="J348"/>
      <c r="K348"/>
    </row>
    <row r="349" spans="1:11">
      <c r="A349"/>
      <c r="B349"/>
      <c r="C349"/>
      <c r="D349"/>
      <c r="E349"/>
      <c r="F349"/>
      <c r="G349"/>
      <c r="H349"/>
      <c r="I349"/>
      <c r="J349"/>
      <c r="K349"/>
    </row>
    <row r="350" spans="1:11">
      <c r="A350"/>
      <c r="B350"/>
      <c r="C350"/>
      <c r="D350"/>
      <c r="E350"/>
      <c r="F350"/>
      <c r="G350"/>
      <c r="H350"/>
      <c r="I350"/>
      <c r="J350"/>
      <c r="K350"/>
    </row>
    <row r="351" spans="1:11">
      <c r="A351"/>
      <c r="B351"/>
      <c r="C351"/>
      <c r="D351"/>
      <c r="E351"/>
      <c r="F351"/>
      <c r="G351"/>
      <c r="H351"/>
      <c r="I351"/>
      <c r="J351"/>
      <c r="K351"/>
    </row>
    <row r="352" spans="1:11">
      <c r="A352"/>
      <c r="B352"/>
      <c r="C352"/>
      <c r="D352"/>
      <c r="E352"/>
      <c r="F352"/>
      <c r="G352"/>
      <c r="H352"/>
      <c r="I352"/>
      <c r="J352"/>
      <c r="K352"/>
    </row>
    <row r="353" spans="1:11">
      <c r="A353"/>
      <c r="B353"/>
      <c r="C353"/>
      <c r="D353"/>
      <c r="E353"/>
      <c r="F353"/>
      <c r="G353"/>
      <c r="H353"/>
      <c r="I353"/>
      <c r="J353"/>
      <c r="K353"/>
    </row>
    <row r="354" spans="1:11">
      <c r="A354"/>
      <c r="B354"/>
      <c r="C354"/>
      <c r="D354"/>
      <c r="E354"/>
      <c r="F354"/>
      <c r="G354"/>
      <c r="H354"/>
      <c r="I354"/>
      <c r="J354"/>
      <c r="K354"/>
    </row>
    <row r="355" spans="1:11">
      <c r="A355"/>
      <c r="B355"/>
      <c r="C355"/>
      <c r="D355"/>
      <c r="E355"/>
      <c r="F355"/>
      <c r="G355"/>
      <c r="H355"/>
      <c r="I355"/>
      <c r="J355"/>
      <c r="K355"/>
    </row>
    <row r="356" spans="1:11">
      <c r="A356"/>
      <c r="B356"/>
      <c r="C356"/>
      <c r="D356"/>
      <c r="E356"/>
      <c r="F356"/>
      <c r="G356"/>
      <c r="H356"/>
      <c r="I356"/>
      <c r="J356"/>
      <c r="K356"/>
    </row>
    <row r="357" spans="1:11">
      <c r="A357"/>
      <c r="B357"/>
      <c r="C357"/>
      <c r="D357"/>
      <c r="E357"/>
      <c r="F357"/>
      <c r="G357"/>
      <c r="H357"/>
      <c r="I357"/>
      <c r="J357"/>
      <c r="K357"/>
    </row>
    <row r="358" spans="1:11">
      <c r="A358"/>
      <c r="B358"/>
      <c r="C358"/>
      <c r="D358"/>
      <c r="E358"/>
      <c r="F358"/>
      <c r="G358"/>
      <c r="H358"/>
      <c r="I358"/>
      <c r="J358"/>
      <c r="K358"/>
    </row>
    <row r="359" spans="1:11">
      <c r="A359"/>
      <c r="B359"/>
      <c r="C359"/>
      <c r="D359"/>
      <c r="E359"/>
      <c r="F359"/>
      <c r="G359"/>
      <c r="H359"/>
      <c r="I359"/>
      <c r="J359"/>
      <c r="K359"/>
    </row>
    <row r="360" spans="1:11">
      <c r="A360"/>
      <c r="B360"/>
      <c r="C360"/>
      <c r="D360"/>
      <c r="E360"/>
      <c r="F360"/>
      <c r="G360"/>
      <c r="H360"/>
      <c r="I360"/>
      <c r="J360"/>
      <c r="K360"/>
    </row>
    <row r="361" spans="1:11">
      <c r="A361"/>
      <c r="B361"/>
      <c r="C361"/>
      <c r="D361"/>
      <c r="E361"/>
      <c r="F361"/>
      <c r="G361"/>
      <c r="H361"/>
      <c r="I361"/>
      <c r="J361"/>
      <c r="K361"/>
    </row>
    <row r="362" spans="1:11">
      <c r="A362"/>
      <c r="B362"/>
      <c r="C362"/>
      <c r="D362"/>
      <c r="E362"/>
      <c r="F362"/>
      <c r="G362"/>
      <c r="H362"/>
      <c r="I362"/>
      <c r="J362"/>
      <c r="K362"/>
    </row>
    <row r="363" spans="1:11">
      <c r="A363"/>
      <c r="B363"/>
      <c r="C363"/>
      <c r="D363"/>
      <c r="E363"/>
      <c r="F363"/>
      <c r="G363"/>
      <c r="H363"/>
      <c r="I363"/>
      <c r="J363"/>
      <c r="K363"/>
    </row>
    <row r="364" spans="1:11">
      <c r="A364"/>
      <c r="B364"/>
      <c r="C364"/>
      <c r="D364"/>
      <c r="E364"/>
      <c r="F364"/>
      <c r="G364"/>
      <c r="H364"/>
      <c r="I364"/>
      <c r="J364"/>
      <c r="K364"/>
    </row>
    <row r="365" spans="1:11">
      <c r="A365"/>
      <c r="B365"/>
      <c r="C365"/>
      <c r="D365"/>
      <c r="E365"/>
      <c r="F365"/>
      <c r="G365"/>
      <c r="H365"/>
      <c r="I365"/>
      <c r="J365"/>
      <c r="K365"/>
    </row>
    <row r="366" spans="1:11">
      <c r="A366"/>
      <c r="B366"/>
      <c r="C366"/>
      <c r="D366"/>
      <c r="E366"/>
      <c r="F366"/>
      <c r="G366"/>
      <c r="H366"/>
      <c r="I366"/>
      <c r="J366"/>
      <c r="K366"/>
    </row>
    <row r="367" spans="1:11">
      <c r="A367"/>
      <c r="B367"/>
      <c r="C367"/>
      <c r="D367"/>
      <c r="E367"/>
      <c r="F367"/>
      <c r="G367"/>
      <c r="H367"/>
      <c r="I367"/>
      <c r="J367"/>
      <c r="K367"/>
    </row>
    <row r="368" spans="1:11">
      <c r="A368"/>
      <c r="B368"/>
      <c r="C368"/>
      <c r="D368"/>
      <c r="E368"/>
      <c r="F368"/>
      <c r="G368"/>
      <c r="H368"/>
      <c r="I368"/>
      <c r="J368"/>
      <c r="K368"/>
    </row>
    <row r="369" spans="1:11">
      <c r="A369"/>
      <c r="B369"/>
      <c r="C369"/>
      <c r="D369"/>
      <c r="E369"/>
      <c r="F369"/>
      <c r="G369"/>
      <c r="H369"/>
      <c r="I369"/>
      <c r="J369"/>
      <c r="K369"/>
    </row>
    <row r="370" spans="1:11">
      <c r="A370"/>
      <c r="B370"/>
      <c r="C370"/>
      <c r="D370"/>
      <c r="E370"/>
      <c r="F370"/>
      <c r="G370"/>
      <c r="H370"/>
      <c r="I370"/>
      <c r="J370"/>
      <c r="K370"/>
    </row>
    <row r="371" spans="1:11">
      <c r="A371"/>
      <c r="B371"/>
      <c r="C371"/>
      <c r="D371"/>
      <c r="E371"/>
      <c r="F371"/>
      <c r="G371"/>
      <c r="H371"/>
      <c r="I371"/>
      <c r="J371"/>
      <c r="K371"/>
    </row>
    <row r="372" spans="1:11">
      <c r="A372"/>
      <c r="B372"/>
      <c r="C372"/>
      <c r="D372"/>
      <c r="E372"/>
      <c r="F372"/>
      <c r="G372"/>
      <c r="H372"/>
      <c r="I372"/>
      <c r="J372"/>
      <c r="K372"/>
    </row>
    <row r="373" spans="1:11">
      <c r="A373"/>
      <c r="B373"/>
      <c r="C373"/>
      <c r="D373"/>
      <c r="E373"/>
      <c r="F373"/>
      <c r="G373"/>
      <c r="H373"/>
      <c r="I373"/>
      <c r="J373"/>
      <c r="K373"/>
    </row>
    <row r="374" spans="1:11">
      <c r="A374"/>
      <c r="B374"/>
      <c r="C374"/>
      <c r="D374"/>
      <c r="E374"/>
      <c r="F374"/>
      <c r="G374"/>
      <c r="H374"/>
      <c r="I374"/>
      <c r="J374"/>
      <c r="K374"/>
    </row>
    <row r="375" spans="1:11">
      <c r="A375"/>
      <c r="B375"/>
      <c r="C375"/>
      <c r="D375"/>
      <c r="E375"/>
      <c r="F375"/>
      <c r="G375"/>
      <c r="H375"/>
      <c r="I375"/>
      <c r="J375"/>
      <c r="K375"/>
    </row>
    <row r="376" spans="1:11">
      <c r="A376"/>
      <c r="B376"/>
      <c r="C376"/>
      <c r="D376"/>
      <c r="E376"/>
      <c r="F376"/>
      <c r="G376"/>
      <c r="H376"/>
      <c r="I376"/>
      <c r="J376"/>
      <c r="K376"/>
    </row>
    <row r="377" spans="1:11">
      <c r="A377"/>
      <c r="B377"/>
      <c r="C377"/>
      <c r="D377"/>
      <c r="E377"/>
      <c r="F377"/>
      <c r="G377"/>
      <c r="H377"/>
      <c r="I377"/>
      <c r="J377"/>
      <c r="K377"/>
    </row>
    <row r="378" spans="1:11">
      <c r="A378"/>
      <c r="B378"/>
      <c r="C378"/>
      <c r="D378"/>
      <c r="E378"/>
      <c r="F378"/>
      <c r="G378"/>
      <c r="H378"/>
      <c r="I378"/>
      <c r="J378"/>
      <c r="K378"/>
    </row>
    <row r="379" spans="1:11">
      <c r="A379"/>
      <c r="B379"/>
      <c r="C379"/>
      <c r="D379"/>
      <c r="E379"/>
      <c r="F379"/>
      <c r="G379"/>
      <c r="H379"/>
      <c r="I379"/>
      <c r="J379"/>
      <c r="K379"/>
    </row>
    <row r="380" spans="1:11">
      <c r="A380"/>
      <c r="B380"/>
      <c r="C380"/>
      <c r="D380"/>
      <c r="E380"/>
      <c r="F380"/>
      <c r="G380"/>
      <c r="H380"/>
      <c r="I380"/>
      <c r="J380"/>
      <c r="K380"/>
    </row>
    <row r="381" spans="1:11">
      <c r="A381"/>
      <c r="B381"/>
      <c r="C381"/>
      <c r="D381"/>
      <c r="E381"/>
      <c r="F381"/>
      <c r="G381"/>
      <c r="H381"/>
      <c r="I381"/>
      <c r="J381"/>
      <c r="K381"/>
    </row>
    <row r="382" spans="1:11">
      <c r="A382"/>
      <c r="B382"/>
      <c r="C382"/>
      <c r="D382"/>
      <c r="E382"/>
      <c r="F382"/>
      <c r="G382"/>
      <c r="H382"/>
      <c r="I382"/>
      <c r="J382"/>
      <c r="K382"/>
    </row>
    <row r="383" spans="1:11">
      <c r="A383"/>
      <c r="B383"/>
      <c r="C383"/>
      <c r="D383"/>
      <c r="E383"/>
      <c r="F383"/>
      <c r="G383"/>
      <c r="H383"/>
      <c r="I383"/>
      <c r="J383"/>
      <c r="K383"/>
    </row>
    <row r="384" spans="1:11">
      <c r="A384"/>
      <c r="B384"/>
      <c r="C384"/>
      <c r="D384"/>
      <c r="E384"/>
      <c r="F384"/>
      <c r="G384"/>
      <c r="H384"/>
      <c r="I384"/>
      <c r="J384"/>
      <c r="K384"/>
    </row>
    <row r="385" spans="1:11">
      <c r="A385"/>
      <c r="B385"/>
      <c r="C385"/>
      <c r="D385"/>
      <c r="E385"/>
      <c r="F385"/>
      <c r="G385"/>
      <c r="H385"/>
      <c r="I385"/>
      <c r="J385"/>
      <c r="K385"/>
    </row>
    <row r="386" spans="1:11">
      <c r="A386"/>
      <c r="B386"/>
      <c r="C386"/>
      <c r="D386"/>
      <c r="E386"/>
      <c r="F386"/>
      <c r="G386"/>
      <c r="H386"/>
      <c r="I386"/>
      <c r="J386"/>
      <c r="K386"/>
    </row>
    <row r="387" spans="1:11">
      <c r="A387"/>
      <c r="B387"/>
      <c r="C387"/>
      <c r="D387"/>
      <c r="E387"/>
      <c r="F387"/>
      <c r="G387"/>
      <c r="H387"/>
      <c r="I387"/>
      <c r="J387"/>
      <c r="K387"/>
    </row>
    <row r="388" spans="1:11">
      <c r="A388"/>
      <c r="B388"/>
      <c r="C388"/>
      <c r="D388"/>
      <c r="E388"/>
      <c r="F388"/>
      <c r="G388"/>
      <c r="H388"/>
      <c r="I388"/>
      <c r="J388"/>
      <c r="K388"/>
    </row>
    <row r="389" spans="1:11">
      <c r="A389"/>
      <c r="B389"/>
      <c r="C389"/>
      <c r="D389"/>
      <c r="E389"/>
      <c r="F389"/>
      <c r="G389"/>
      <c r="H389"/>
      <c r="I389"/>
      <c r="J389"/>
      <c r="K389"/>
    </row>
    <row r="390" spans="1:11">
      <c r="A390"/>
      <c r="B390"/>
      <c r="C390"/>
      <c r="D390"/>
      <c r="E390"/>
      <c r="F390"/>
      <c r="G390"/>
      <c r="H390"/>
      <c r="I390"/>
      <c r="J390"/>
      <c r="K390"/>
    </row>
    <row r="391" spans="1:11">
      <c r="A391"/>
      <c r="B391"/>
      <c r="C391"/>
      <c r="D391"/>
      <c r="E391"/>
      <c r="F391"/>
      <c r="G391"/>
      <c r="H391"/>
      <c r="I391"/>
      <c r="J391"/>
      <c r="K391"/>
    </row>
    <row r="392" spans="1:11">
      <c r="A392"/>
      <c r="B392"/>
      <c r="C392"/>
      <c r="D392"/>
      <c r="E392"/>
      <c r="F392"/>
      <c r="G392"/>
      <c r="H392"/>
      <c r="I392"/>
      <c r="J392"/>
      <c r="K392"/>
    </row>
    <row r="393" spans="1:11">
      <c r="A393"/>
      <c r="B393"/>
      <c r="C393"/>
      <c r="D393"/>
      <c r="E393"/>
      <c r="F393"/>
      <c r="G393"/>
      <c r="H393"/>
      <c r="I393"/>
      <c r="J393"/>
      <c r="K393"/>
    </row>
    <row r="394" spans="1:11">
      <c r="A394"/>
      <c r="B394"/>
      <c r="C394"/>
      <c r="D394"/>
      <c r="E394"/>
      <c r="F394"/>
      <c r="G394"/>
      <c r="H394"/>
      <c r="I394"/>
      <c r="J394"/>
      <c r="K394"/>
    </row>
    <row r="395" spans="1:11">
      <c r="A395"/>
      <c r="B395"/>
      <c r="C395"/>
      <c r="D395"/>
      <c r="E395"/>
      <c r="F395"/>
      <c r="G395"/>
      <c r="H395"/>
      <c r="I395"/>
      <c r="J395"/>
      <c r="K395"/>
    </row>
    <row r="396" spans="1:11">
      <c r="A396"/>
      <c r="B396"/>
      <c r="C396"/>
      <c r="D396"/>
      <c r="E396"/>
      <c r="F396"/>
      <c r="G396"/>
      <c r="H396"/>
      <c r="I396"/>
      <c r="J396"/>
      <c r="K396"/>
    </row>
    <row r="397" spans="1:11">
      <c r="A397"/>
      <c r="B397"/>
      <c r="C397"/>
      <c r="D397"/>
      <c r="E397"/>
      <c r="F397"/>
      <c r="G397"/>
      <c r="H397"/>
      <c r="I397"/>
      <c r="J397"/>
      <c r="K397"/>
    </row>
    <row r="398" spans="1:11">
      <c r="A398"/>
      <c r="B398"/>
      <c r="C398"/>
      <c r="D398"/>
      <c r="E398"/>
      <c r="F398"/>
      <c r="G398"/>
      <c r="H398"/>
      <c r="I398"/>
      <c r="J398"/>
      <c r="K398"/>
    </row>
    <row r="399" spans="1:11">
      <c r="A399"/>
      <c r="B399"/>
      <c r="C399"/>
      <c r="D399"/>
      <c r="E399"/>
      <c r="F399"/>
      <c r="G399"/>
      <c r="H399"/>
      <c r="I399"/>
      <c r="J399"/>
      <c r="K399"/>
    </row>
    <row r="400" spans="1:11">
      <c r="A400"/>
      <c r="B400"/>
      <c r="C400"/>
      <c r="D400"/>
      <c r="E400"/>
      <c r="F400"/>
      <c r="G400"/>
      <c r="H400"/>
      <c r="I400"/>
      <c r="J400"/>
      <c r="K400"/>
    </row>
    <row r="401" spans="1:11">
      <c r="A401"/>
      <c r="B401"/>
      <c r="C401"/>
      <c r="D401"/>
      <c r="E401"/>
      <c r="F401"/>
      <c r="G401"/>
      <c r="H401"/>
      <c r="I401"/>
      <c r="J401"/>
      <c r="K401"/>
    </row>
    <row r="402" spans="1:11">
      <c r="A402"/>
      <c r="B402"/>
      <c r="C402"/>
      <c r="D402"/>
      <c r="E402"/>
      <c r="F402"/>
      <c r="G402"/>
      <c r="H402"/>
      <c r="I402"/>
      <c r="J402"/>
      <c r="K402"/>
    </row>
    <row r="403" spans="1:11">
      <c r="A403"/>
      <c r="B403"/>
      <c r="C403"/>
      <c r="D403"/>
      <c r="E403"/>
      <c r="F403"/>
      <c r="G403"/>
      <c r="H403"/>
      <c r="I403"/>
      <c r="J403"/>
      <c r="K403"/>
    </row>
    <row r="404" spans="1:11">
      <c r="A404"/>
      <c r="B404"/>
      <c r="C404"/>
      <c r="D404"/>
      <c r="E404"/>
      <c r="F404"/>
      <c r="G404"/>
      <c r="H404"/>
      <c r="I404"/>
      <c r="J404"/>
      <c r="K404"/>
    </row>
    <row r="405" spans="1:11">
      <c r="A405"/>
      <c r="B405"/>
      <c r="C405"/>
      <c r="D405"/>
      <c r="E405"/>
      <c r="F405"/>
      <c r="G405"/>
      <c r="H405"/>
      <c r="I405"/>
      <c r="J405"/>
      <c r="K405"/>
    </row>
    <row r="406" spans="1:11">
      <c r="A406"/>
      <c r="B406"/>
      <c r="C406"/>
      <c r="D406"/>
      <c r="E406"/>
      <c r="F406"/>
      <c r="G406"/>
      <c r="H406"/>
      <c r="I406"/>
      <c r="J406"/>
      <c r="K406"/>
    </row>
    <row r="407" spans="1:11">
      <c r="A407"/>
      <c r="B407"/>
      <c r="C407"/>
      <c r="D407"/>
      <c r="E407"/>
      <c r="F407"/>
      <c r="G407"/>
      <c r="H407"/>
      <c r="I407"/>
      <c r="J407"/>
      <c r="K407"/>
    </row>
    <row r="408" spans="1:11">
      <c r="A408"/>
      <c r="B408"/>
      <c r="C408"/>
      <c r="D408"/>
      <c r="E408"/>
      <c r="F408"/>
      <c r="G408"/>
      <c r="H408"/>
      <c r="I408"/>
      <c r="J408"/>
      <c r="K408"/>
    </row>
    <row r="409" spans="1:11">
      <c r="A409"/>
      <c r="B409"/>
      <c r="C409"/>
      <c r="D409"/>
      <c r="E409"/>
      <c r="F409"/>
      <c r="G409"/>
      <c r="H409"/>
      <c r="I409"/>
      <c r="J409"/>
      <c r="K409"/>
    </row>
    <row r="410" spans="1:11">
      <c r="A410"/>
      <c r="B410"/>
      <c r="C410"/>
      <c r="D410"/>
      <c r="E410"/>
      <c r="F410"/>
      <c r="G410"/>
      <c r="H410"/>
      <c r="I410"/>
      <c r="J410"/>
      <c r="K410"/>
    </row>
    <row r="411" spans="1:11">
      <c r="A411"/>
      <c r="B411"/>
      <c r="C411"/>
      <c r="D411"/>
      <c r="E411"/>
      <c r="F411"/>
      <c r="G411"/>
      <c r="H411"/>
      <c r="I411"/>
      <c r="J411"/>
      <c r="K411"/>
    </row>
    <row r="412" spans="1:11">
      <c r="A412"/>
      <c r="B412"/>
      <c r="C412"/>
      <c r="D412"/>
      <c r="E412"/>
      <c r="F412"/>
      <c r="G412"/>
      <c r="H412"/>
      <c r="I412"/>
      <c r="J412"/>
      <c r="K412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K4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21" sqref="L21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gacha_unit_tables_201</v>
      </c>
    </row>
    <row r="2" spans="1:11" s="14" customFormat="1">
      <c r="A2" s="13" t="s">
        <v>14</v>
      </c>
      <c r="B2" s="14" t="s">
        <v>7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24</v>
      </c>
      <c r="H2" s="14" t="s">
        <v>25</v>
      </c>
      <c r="I2" s="14" t="s">
        <v>26</v>
      </c>
      <c r="J2" s="14" t="s">
        <v>27</v>
      </c>
      <c r="K2" s="14" t="s">
        <v>28</v>
      </c>
    </row>
    <row r="3" spans="1:11">
      <c r="A3" s="15" t="str">
        <f t="shared" ref="A3:A66" si="0">INDIRECT(ADDRESS(ROW()+$A$1,COLUMN(),1,TRUE,$C$1))</f>
        <v>011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</v>
      </c>
      <c r="C3" s="16">
        <f t="shared" si="1"/>
        <v>0</v>
      </c>
      <c r="D3" s="16">
        <f t="shared" si="1"/>
        <v>1</v>
      </c>
      <c r="E3" s="16">
        <f t="shared" si="1"/>
        <v>1</v>
      </c>
      <c r="F3" s="16">
        <f t="shared" si="1"/>
        <v>439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031</v>
      </c>
      <c r="B4" s="16">
        <f t="shared" si="1"/>
        <v>201</v>
      </c>
      <c r="C4" s="16">
        <f t="shared" si="1"/>
        <v>0</v>
      </c>
      <c r="D4" s="16">
        <f t="shared" si="1"/>
        <v>3</v>
      </c>
      <c r="E4" s="16">
        <f t="shared" si="1"/>
        <v>1</v>
      </c>
      <c r="F4" s="16">
        <f t="shared" si="1"/>
        <v>439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051</v>
      </c>
      <c r="B5" s="16">
        <f t="shared" si="1"/>
        <v>201</v>
      </c>
      <c r="C5" s="16">
        <f t="shared" si="1"/>
        <v>0</v>
      </c>
      <c r="D5" s="16">
        <f t="shared" si="1"/>
        <v>5</v>
      </c>
      <c r="E5" s="16">
        <f t="shared" si="1"/>
        <v>1</v>
      </c>
      <c r="F5" s="16">
        <f t="shared" si="1"/>
        <v>439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071</v>
      </c>
      <c r="B6" s="16">
        <f t="shared" si="1"/>
        <v>201</v>
      </c>
      <c r="C6" s="16">
        <f t="shared" si="1"/>
        <v>0</v>
      </c>
      <c r="D6" s="16">
        <f t="shared" si="1"/>
        <v>7</v>
      </c>
      <c r="E6" s="16">
        <f t="shared" si="1"/>
        <v>1</v>
      </c>
      <c r="F6" s="16">
        <f t="shared" si="1"/>
        <v>439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091</v>
      </c>
      <c r="B7" s="16">
        <f t="shared" si="1"/>
        <v>201</v>
      </c>
      <c r="C7" s="16">
        <f t="shared" si="1"/>
        <v>0</v>
      </c>
      <c r="D7" s="16">
        <f t="shared" si="1"/>
        <v>9</v>
      </c>
      <c r="E7" s="16">
        <f t="shared" si="1"/>
        <v>1</v>
      </c>
      <c r="F7" s="16">
        <f t="shared" si="1"/>
        <v>439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0111</v>
      </c>
      <c r="B8" s="16">
        <f t="shared" si="1"/>
        <v>201</v>
      </c>
      <c r="C8" s="16">
        <f t="shared" si="1"/>
        <v>0</v>
      </c>
      <c r="D8" s="16">
        <f t="shared" si="1"/>
        <v>11</v>
      </c>
      <c r="E8" s="16">
        <f t="shared" si="1"/>
        <v>1</v>
      </c>
      <c r="F8" s="16">
        <f t="shared" si="1"/>
        <v>439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0131</v>
      </c>
      <c r="B9" s="16">
        <f t="shared" si="1"/>
        <v>201</v>
      </c>
      <c r="C9" s="16">
        <f t="shared" si="1"/>
        <v>0</v>
      </c>
      <c r="D9" s="16">
        <f t="shared" si="1"/>
        <v>13</v>
      </c>
      <c r="E9" s="16">
        <f t="shared" si="1"/>
        <v>1</v>
      </c>
      <c r="F9" s="16">
        <f t="shared" si="1"/>
        <v>439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0151</v>
      </c>
      <c r="B10" s="16">
        <f t="shared" si="1"/>
        <v>201</v>
      </c>
      <c r="C10" s="16">
        <f t="shared" si="1"/>
        <v>0</v>
      </c>
      <c r="D10" s="16">
        <f t="shared" si="1"/>
        <v>15</v>
      </c>
      <c r="E10" s="16">
        <f t="shared" si="1"/>
        <v>1</v>
      </c>
      <c r="F10" s="16">
        <f t="shared" si="1"/>
        <v>439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0171</v>
      </c>
      <c r="B11" s="16">
        <f t="shared" si="1"/>
        <v>201</v>
      </c>
      <c r="C11" s="16">
        <f t="shared" si="1"/>
        <v>0</v>
      </c>
      <c r="D11" s="16">
        <f t="shared" si="1"/>
        <v>17</v>
      </c>
      <c r="E11" s="16">
        <f t="shared" si="1"/>
        <v>1</v>
      </c>
      <c r="F11" s="16">
        <f t="shared" si="1"/>
        <v>439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0191</v>
      </c>
      <c r="B12" s="16">
        <f t="shared" si="1"/>
        <v>201</v>
      </c>
      <c r="C12" s="16">
        <f t="shared" si="1"/>
        <v>0</v>
      </c>
      <c r="D12" s="16">
        <f t="shared" si="1"/>
        <v>19</v>
      </c>
      <c r="E12" s="16">
        <f t="shared" si="1"/>
        <v>1</v>
      </c>
      <c r="F12" s="16">
        <f t="shared" si="1"/>
        <v>439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0211</v>
      </c>
      <c r="B13" s="16">
        <f t="shared" si="1"/>
        <v>201</v>
      </c>
      <c r="C13" s="16">
        <f t="shared" si="1"/>
        <v>0</v>
      </c>
      <c r="D13" s="16">
        <f t="shared" si="1"/>
        <v>21</v>
      </c>
      <c r="E13" s="16">
        <f t="shared" si="1"/>
        <v>1</v>
      </c>
      <c r="F13" s="16">
        <f t="shared" si="1"/>
        <v>439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0231</v>
      </c>
      <c r="B14" s="16">
        <f t="shared" si="1"/>
        <v>201</v>
      </c>
      <c r="C14" s="16">
        <f t="shared" si="1"/>
        <v>0</v>
      </c>
      <c r="D14" s="16">
        <f t="shared" si="1"/>
        <v>23</v>
      </c>
      <c r="E14" s="16">
        <f t="shared" si="1"/>
        <v>1</v>
      </c>
      <c r="F14" s="16">
        <f t="shared" si="1"/>
        <v>439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0251</v>
      </c>
      <c r="B15" s="16">
        <f t="shared" si="1"/>
        <v>201</v>
      </c>
      <c r="C15" s="16">
        <f t="shared" si="1"/>
        <v>0</v>
      </c>
      <c r="D15" s="16">
        <f t="shared" si="1"/>
        <v>25</v>
      </c>
      <c r="E15" s="16">
        <f t="shared" si="1"/>
        <v>1</v>
      </c>
      <c r="F15" s="16">
        <f t="shared" si="1"/>
        <v>439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0271</v>
      </c>
      <c r="B16" s="16">
        <f t="shared" si="1"/>
        <v>201</v>
      </c>
      <c r="C16" s="16">
        <f t="shared" si="1"/>
        <v>0</v>
      </c>
      <c r="D16" s="16">
        <f t="shared" si="1"/>
        <v>27</v>
      </c>
      <c r="E16" s="16">
        <f t="shared" si="1"/>
        <v>1</v>
      </c>
      <c r="F16" s="16">
        <f t="shared" si="1"/>
        <v>439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0291</v>
      </c>
      <c r="B17" s="16">
        <f t="shared" si="1"/>
        <v>201</v>
      </c>
      <c r="C17" s="16">
        <f t="shared" si="1"/>
        <v>0</v>
      </c>
      <c r="D17" s="16">
        <f t="shared" si="1"/>
        <v>29</v>
      </c>
      <c r="E17" s="16">
        <f t="shared" si="1"/>
        <v>1</v>
      </c>
      <c r="F17" s="16">
        <f t="shared" si="1"/>
        <v>439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0311</v>
      </c>
      <c r="B18" s="16">
        <f t="shared" si="1"/>
        <v>201</v>
      </c>
      <c r="C18" s="16">
        <f t="shared" si="1"/>
        <v>0</v>
      </c>
      <c r="D18" s="16">
        <f t="shared" si="1"/>
        <v>31</v>
      </c>
      <c r="E18" s="16">
        <f t="shared" si="1"/>
        <v>1</v>
      </c>
      <c r="F18" s="16">
        <f t="shared" si="1"/>
        <v>439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0331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</v>
      </c>
      <c r="C19" s="16">
        <f t="shared" si="2"/>
        <v>0</v>
      </c>
      <c r="D19" s="16">
        <f t="shared" si="2"/>
        <v>33</v>
      </c>
      <c r="E19" s="16">
        <f t="shared" si="2"/>
        <v>1</v>
      </c>
      <c r="F19" s="16">
        <f t="shared" si="2"/>
        <v>316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0351</v>
      </c>
      <c r="B20" s="16">
        <f t="shared" si="2"/>
        <v>201</v>
      </c>
      <c r="C20" s="16">
        <f t="shared" si="2"/>
        <v>0</v>
      </c>
      <c r="D20" s="16">
        <f t="shared" si="2"/>
        <v>35</v>
      </c>
      <c r="E20" s="16">
        <f t="shared" si="2"/>
        <v>1</v>
      </c>
      <c r="F20" s="16">
        <f t="shared" si="2"/>
        <v>316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0371</v>
      </c>
      <c r="B21" s="16">
        <f t="shared" si="2"/>
        <v>201</v>
      </c>
      <c r="C21" s="16">
        <f t="shared" si="2"/>
        <v>0</v>
      </c>
      <c r="D21" s="16">
        <f t="shared" si="2"/>
        <v>37</v>
      </c>
      <c r="E21" s="16">
        <f t="shared" si="2"/>
        <v>1</v>
      </c>
      <c r="F21" s="16">
        <f t="shared" si="2"/>
        <v>316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0391</v>
      </c>
      <c r="B22" s="16">
        <f t="shared" si="2"/>
        <v>201</v>
      </c>
      <c r="C22" s="16">
        <f t="shared" si="2"/>
        <v>0</v>
      </c>
      <c r="D22" s="16">
        <f t="shared" si="2"/>
        <v>39</v>
      </c>
      <c r="E22" s="16">
        <f t="shared" si="2"/>
        <v>1</v>
      </c>
      <c r="F22" s="16">
        <f t="shared" si="2"/>
        <v>316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0411</v>
      </c>
      <c r="B23" s="16">
        <f t="shared" si="2"/>
        <v>201</v>
      </c>
      <c r="C23" s="16">
        <f t="shared" si="2"/>
        <v>0</v>
      </c>
      <c r="D23" s="16">
        <f t="shared" si="2"/>
        <v>41</v>
      </c>
      <c r="E23" s="16">
        <f t="shared" si="2"/>
        <v>1</v>
      </c>
      <c r="F23" s="16">
        <f t="shared" si="2"/>
        <v>316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0431</v>
      </c>
      <c r="B24" s="16">
        <f t="shared" si="2"/>
        <v>201</v>
      </c>
      <c r="C24" s="16">
        <f t="shared" si="2"/>
        <v>0</v>
      </c>
      <c r="D24" s="16">
        <f t="shared" si="2"/>
        <v>43</v>
      </c>
      <c r="E24" s="16">
        <f t="shared" si="2"/>
        <v>1</v>
      </c>
      <c r="F24" s="16">
        <f t="shared" si="2"/>
        <v>316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0451</v>
      </c>
      <c r="B25" s="16">
        <f t="shared" si="2"/>
        <v>201</v>
      </c>
      <c r="C25" s="16">
        <f t="shared" si="2"/>
        <v>0</v>
      </c>
      <c r="D25" s="16">
        <f t="shared" si="2"/>
        <v>45</v>
      </c>
      <c r="E25" s="16">
        <f t="shared" si="2"/>
        <v>1</v>
      </c>
      <c r="F25" s="16">
        <f t="shared" si="2"/>
        <v>316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0471</v>
      </c>
      <c r="B26" s="16">
        <f t="shared" si="2"/>
        <v>201</v>
      </c>
      <c r="C26" s="16">
        <f t="shared" si="2"/>
        <v>0</v>
      </c>
      <c r="D26" s="16">
        <f t="shared" si="2"/>
        <v>47</v>
      </c>
      <c r="E26" s="16">
        <f t="shared" si="2"/>
        <v>1</v>
      </c>
      <c r="F26" s="16">
        <f t="shared" si="2"/>
        <v>316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0491</v>
      </c>
      <c r="B27" s="16">
        <f t="shared" si="2"/>
        <v>201</v>
      </c>
      <c r="C27" s="16">
        <f t="shared" si="2"/>
        <v>0</v>
      </c>
      <c r="D27" s="16">
        <f t="shared" si="2"/>
        <v>49</v>
      </c>
      <c r="E27" s="16">
        <f t="shared" si="2"/>
        <v>1</v>
      </c>
      <c r="F27" s="16">
        <f t="shared" si="2"/>
        <v>316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0511</v>
      </c>
      <c r="B28" s="16">
        <f t="shared" si="2"/>
        <v>201</v>
      </c>
      <c r="C28" s="16">
        <f t="shared" si="2"/>
        <v>0</v>
      </c>
      <c r="D28" s="16">
        <f t="shared" si="2"/>
        <v>51</v>
      </c>
      <c r="E28" s="16">
        <f t="shared" si="2"/>
        <v>1</v>
      </c>
      <c r="F28" s="16">
        <f t="shared" si="2"/>
        <v>316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0531</v>
      </c>
      <c r="B29" s="16">
        <f t="shared" si="2"/>
        <v>201</v>
      </c>
      <c r="C29" s="16">
        <f t="shared" si="2"/>
        <v>0</v>
      </c>
      <c r="D29" s="16">
        <f t="shared" si="2"/>
        <v>53</v>
      </c>
      <c r="E29" s="16">
        <f t="shared" si="2"/>
        <v>1</v>
      </c>
      <c r="F29" s="16">
        <f t="shared" si="2"/>
        <v>316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0551</v>
      </c>
      <c r="B30" s="16">
        <f t="shared" si="2"/>
        <v>201</v>
      </c>
      <c r="C30" s="16">
        <f t="shared" si="2"/>
        <v>0</v>
      </c>
      <c r="D30" s="16">
        <f t="shared" si="2"/>
        <v>55</v>
      </c>
      <c r="E30" s="16">
        <f t="shared" si="2"/>
        <v>1</v>
      </c>
      <c r="F30" s="16">
        <f t="shared" si="2"/>
        <v>316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0571</v>
      </c>
      <c r="B31" s="16">
        <f t="shared" si="2"/>
        <v>201</v>
      </c>
      <c r="C31" s="16">
        <f t="shared" si="2"/>
        <v>0</v>
      </c>
      <c r="D31" s="16">
        <f t="shared" si="2"/>
        <v>57</v>
      </c>
      <c r="E31" s="16">
        <f t="shared" si="2"/>
        <v>1</v>
      </c>
      <c r="F31" s="16">
        <f t="shared" si="2"/>
        <v>316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0591</v>
      </c>
      <c r="B32" s="16">
        <f t="shared" si="2"/>
        <v>201</v>
      </c>
      <c r="C32" s="16">
        <f t="shared" si="2"/>
        <v>0</v>
      </c>
      <c r="D32" s="16">
        <f t="shared" si="2"/>
        <v>59</v>
      </c>
      <c r="E32" s="16">
        <f t="shared" si="2"/>
        <v>1</v>
      </c>
      <c r="F32" s="16">
        <f t="shared" si="2"/>
        <v>316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0611</v>
      </c>
      <c r="B33" s="16">
        <f t="shared" si="2"/>
        <v>201</v>
      </c>
      <c r="C33" s="16">
        <f t="shared" si="2"/>
        <v>0</v>
      </c>
      <c r="D33" s="16">
        <f t="shared" si="2"/>
        <v>61</v>
      </c>
      <c r="E33" s="16">
        <f t="shared" si="2"/>
        <v>1</v>
      </c>
      <c r="F33" s="16">
        <f t="shared" si="2"/>
        <v>316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0631</v>
      </c>
      <c r="B34" s="16">
        <f t="shared" si="2"/>
        <v>201</v>
      </c>
      <c r="C34" s="16">
        <f t="shared" si="2"/>
        <v>0</v>
      </c>
      <c r="D34" s="16">
        <f t="shared" si="2"/>
        <v>63</v>
      </c>
      <c r="E34" s="16">
        <f t="shared" si="2"/>
        <v>1</v>
      </c>
      <c r="F34" s="16">
        <f t="shared" si="2"/>
        <v>316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0651</v>
      </c>
      <c r="B35" s="16">
        <f t="shared" si="2"/>
        <v>201</v>
      </c>
      <c r="C35" s="16">
        <f t="shared" si="2"/>
        <v>0</v>
      </c>
      <c r="D35" s="16">
        <f t="shared" si="2"/>
        <v>65</v>
      </c>
      <c r="E35" s="16">
        <f t="shared" si="2"/>
        <v>1</v>
      </c>
      <c r="F35" s="16">
        <f t="shared" si="2"/>
        <v>316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0681</v>
      </c>
      <c r="B36" s="16">
        <f t="shared" si="2"/>
        <v>201</v>
      </c>
      <c r="C36" s="16">
        <f t="shared" si="2"/>
        <v>0</v>
      </c>
      <c r="D36" s="16">
        <f t="shared" si="2"/>
        <v>68</v>
      </c>
      <c r="E36" s="16">
        <f t="shared" si="2"/>
        <v>1</v>
      </c>
      <c r="F36" s="16">
        <f t="shared" si="2"/>
        <v>316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0711</v>
      </c>
      <c r="B37" s="16">
        <f t="shared" si="2"/>
        <v>201</v>
      </c>
      <c r="C37" s="16">
        <f t="shared" si="2"/>
        <v>0</v>
      </c>
      <c r="D37" s="16">
        <f t="shared" si="2"/>
        <v>71</v>
      </c>
      <c r="E37" s="16">
        <f t="shared" si="2"/>
        <v>1</v>
      </c>
      <c r="F37" s="16">
        <f t="shared" si="2"/>
        <v>316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0741</v>
      </c>
      <c r="B38" s="16">
        <f t="shared" si="2"/>
        <v>201</v>
      </c>
      <c r="C38" s="16">
        <f t="shared" si="2"/>
        <v>0</v>
      </c>
      <c r="D38" s="16">
        <f t="shared" si="2"/>
        <v>74</v>
      </c>
      <c r="E38" s="16">
        <f t="shared" si="2"/>
        <v>1</v>
      </c>
      <c r="F38" s="16">
        <f t="shared" si="2"/>
        <v>0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021</v>
      </c>
      <c r="B39" s="16">
        <f t="shared" si="2"/>
        <v>201</v>
      </c>
      <c r="C39" s="16">
        <f t="shared" si="2"/>
        <v>0</v>
      </c>
      <c r="D39" s="16">
        <f t="shared" si="2"/>
        <v>2</v>
      </c>
      <c r="E39" s="16">
        <f t="shared" si="2"/>
        <v>1</v>
      </c>
      <c r="F39" s="16">
        <f t="shared" si="2"/>
        <v>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041</v>
      </c>
      <c r="B40" s="16">
        <f t="shared" si="2"/>
        <v>201</v>
      </c>
      <c r="C40" s="16">
        <f t="shared" si="2"/>
        <v>0</v>
      </c>
      <c r="D40" s="16">
        <f t="shared" si="2"/>
        <v>4</v>
      </c>
      <c r="E40" s="16">
        <f t="shared" si="2"/>
        <v>1</v>
      </c>
      <c r="F40" s="16">
        <f t="shared" si="2"/>
        <v>0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061</v>
      </c>
      <c r="B41" s="16">
        <f t="shared" si="2"/>
        <v>201</v>
      </c>
      <c r="C41" s="16">
        <f t="shared" si="2"/>
        <v>0</v>
      </c>
      <c r="D41" s="16">
        <f t="shared" si="2"/>
        <v>6</v>
      </c>
      <c r="E41" s="16">
        <f t="shared" si="2"/>
        <v>1</v>
      </c>
      <c r="F41" s="16">
        <f t="shared" si="2"/>
        <v>0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081</v>
      </c>
      <c r="B42" s="16">
        <f t="shared" si="2"/>
        <v>201</v>
      </c>
      <c r="C42" s="16">
        <f t="shared" si="2"/>
        <v>0</v>
      </c>
      <c r="D42" s="16">
        <f t="shared" si="2"/>
        <v>8</v>
      </c>
      <c r="E42" s="16">
        <f t="shared" si="2"/>
        <v>1</v>
      </c>
      <c r="F42" s="16">
        <f t="shared" si="2"/>
        <v>0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0101</v>
      </c>
      <c r="B43" s="16">
        <f t="shared" si="2"/>
        <v>201</v>
      </c>
      <c r="C43" s="16">
        <f t="shared" si="2"/>
        <v>0</v>
      </c>
      <c r="D43" s="16">
        <f t="shared" si="2"/>
        <v>10</v>
      </c>
      <c r="E43" s="16">
        <f t="shared" si="2"/>
        <v>1</v>
      </c>
      <c r="F43" s="16">
        <f t="shared" si="2"/>
        <v>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0121</v>
      </c>
      <c r="B44" s="16">
        <f t="shared" si="2"/>
        <v>201</v>
      </c>
      <c r="C44" s="16">
        <f t="shared" si="2"/>
        <v>0</v>
      </c>
      <c r="D44" s="16">
        <f t="shared" si="2"/>
        <v>12</v>
      </c>
      <c r="E44" s="16">
        <f t="shared" si="2"/>
        <v>1</v>
      </c>
      <c r="F44" s="16">
        <f t="shared" si="2"/>
        <v>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0141</v>
      </c>
      <c r="B45" s="16">
        <f t="shared" si="3"/>
        <v>201</v>
      </c>
      <c r="C45" s="16">
        <f t="shared" si="3"/>
        <v>0</v>
      </c>
      <c r="D45" s="16">
        <f t="shared" si="3"/>
        <v>14</v>
      </c>
      <c r="E45" s="16">
        <f t="shared" si="3"/>
        <v>1</v>
      </c>
      <c r="F45" s="16">
        <f t="shared" si="3"/>
        <v>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0161</v>
      </c>
      <c r="B46" s="16">
        <f t="shared" si="3"/>
        <v>201</v>
      </c>
      <c r="C46" s="16">
        <f t="shared" si="3"/>
        <v>0</v>
      </c>
      <c r="D46" s="16">
        <f t="shared" si="3"/>
        <v>16</v>
      </c>
      <c r="E46" s="16">
        <f t="shared" si="3"/>
        <v>1</v>
      </c>
      <c r="F46" s="16">
        <f t="shared" si="3"/>
        <v>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0181</v>
      </c>
      <c r="B47" s="16">
        <f t="shared" si="3"/>
        <v>201</v>
      </c>
      <c r="C47" s="16">
        <f t="shared" si="3"/>
        <v>0</v>
      </c>
      <c r="D47" s="16">
        <f t="shared" si="3"/>
        <v>18</v>
      </c>
      <c r="E47" s="16">
        <f t="shared" si="3"/>
        <v>1</v>
      </c>
      <c r="F47" s="16">
        <f t="shared" si="3"/>
        <v>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0201</v>
      </c>
      <c r="B48" s="16">
        <f t="shared" si="3"/>
        <v>201</v>
      </c>
      <c r="C48" s="16">
        <f t="shared" si="3"/>
        <v>0</v>
      </c>
      <c r="D48" s="16">
        <f t="shared" si="3"/>
        <v>20</v>
      </c>
      <c r="E48" s="16">
        <f t="shared" si="3"/>
        <v>1</v>
      </c>
      <c r="F48" s="16">
        <f t="shared" si="3"/>
        <v>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0221</v>
      </c>
      <c r="B49" s="16">
        <f t="shared" si="3"/>
        <v>201</v>
      </c>
      <c r="C49" s="16">
        <f t="shared" si="3"/>
        <v>0</v>
      </c>
      <c r="D49" s="16">
        <f t="shared" si="3"/>
        <v>22</v>
      </c>
      <c r="E49" s="16">
        <f t="shared" si="3"/>
        <v>1</v>
      </c>
      <c r="F49" s="16">
        <f t="shared" si="3"/>
        <v>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0241</v>
      </c>
      <c r="B50" s="16">
        <f t="shared" si="3"/>
        <v>201</v>
      </c>
      <c r="C50" s="16">
        <f t="shared" si="3"/>
        <v>0</v>
      </c>
      <c r="D50" s="16">
        <f t="shared" si="3"/>
        <v>24</v>
      </c>
      <c r="E50" s="16">
        <f t="shared" si="3"/>
        <v>1</v>
      </c>
      <c r="F50" s="16">
        <f t="shared" si="3"/>
        <v>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0261</v>
      </c>
      <c r="B51" s="16">
        <f t="shared" si="3"/>
        <v>201</v>
      </c>
      <c r="C51" s="16">
        <f t="shared" si="3"/>
        <v>0</v>
      </c>
      <c r="D51" s="16">
        <f t="shared" si="3"/>
        <v>26</v>
      </c>
      <c r="E51" s="16">
        <f t="shared" si="3"/>
        <v>1</v>
      </c>
      <c r="F51" s="16">
        <f t="shared" si="3"/>
        <v>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0281</v>
      </c>
      <c r="B52" s="16">
        <f t="shared" si="3"/>
        <v>201</v>
      </c>
      <c r="C52" s="16">
        <f t="shared" si="3"/>
        <v>0</v>
      </c>
      <c r="D52" s="16">
        <f t="shared" si="3"/>
        <v>28</v>
      </c>
      <c r="E52" s="16">
        <f t="shared" si="3"/>
        <v>1</v>
      </c>
      <c r="F52" s="16">
        <f t="shared" si="3"/>
        <v>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0301</v>
      </c>
      <c r="B53" s="16">
        <f t="shared" si="3"/>
        <v>201</v>
      </c>
      <c r="C53" s="16">
        <f t="shared" si="3"/>
        <v>0</v>
      </c>
      <c r="D53" s="16">
        <f t="shared" si="3"/>
        <v>30</v>
      </c>
      <c r="E53" s="16">
        <f t="shared" si="3"/>
        <v>1</v>
      </c>
      <c r="F53" s="16">
        <f t="shared" si="3"/>
        <v>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0321</v>
      </c>
      <c r="B54" s="16">
        <f t="shared" si="3"/>
        <v>201</v>
      </c>
      <c r="C54" s="16">
        <f t="shared" si="3"/>
        <v>0</v>
      </c>
      <c r="D54" s="16">
        <f t="shared" si="3"/>
        <v>32</v>
      </c>
      <c r="E54" s="16">
        <f t="shared" si="3"/>
        <v>1</v>
      </c>
      <c r="F54" s="16">
        <f t="shared" si="3"/>
        <v>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0771</v>
      </c>
      <c r="B55" s="16">
        <f t="shared" si="3"/>
        <v>201</v>
      </c>
      <c r="C55" s="16">
        <f t="shared" si="3"/>
        <v>0</v>
      </c>
      <c r="D55" s="16">
        <f t="shared" si="3"/>
        <v>77</v>
      </c>
      <c r="E55" s="16">
        <f t="shared" si="3"/>
        <v>1</v>
      </c>
      <c r="F55" s="16">
        <f t="shared" si="3"/>
        <v>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0791</v>
      </c>
      <c r="B56" s="16">
        <f t="shared" si="3"/>
        <v>201</v>
      </c>
      <c r="C56" s="16">
        <f t="shared" si="3"/>
        <v>0</v>
      </c>
      <c r="D56" s="16">
        <f t="shared" si="3"/>
        <v>79</v>
      </c>
      <c r="E56" s="16">
        <f t="shared" si="3"/>
        <v>1</v>
      </c>
      <c r="F56" s="16">
        <f t="shared" si="3"/>
        <v>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0811</v>
      </c>
      <c r="B57" s="16">
        <f t="shared" si="3"/>
        <v>201</v>
      </c>
      <c r="C57" s="16">
        <f t="shared" si="3"/>
        <v>0</v>
      </c>
      <c r="D57" s="16">
        <f t="shared" si="3"/>
        <v>81</v>
      </c>
      <c r="E57" s="16">
        <f t="shared" si="3"/>
        <v>1</v>
      </c>
      <c r="F57" s="16">
        <f t="shared" si="3"/>
        <v>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0831</v>
      </c>
      <c r="B58" s="16">
        <f t="shared" si="3"/>
        <v>201</v>
      </c>
      <c r="C58" s="16">
        <f t="shared" si="3"/>
        <v>0</v>
      </c>
      <c r="D58" s="16">
        <f t="shared" si="3"/>
        <v>83</v>
      </c>
      <c r="E58" s="16">
        <f t="shared" si="3"/>
        <v>1</v>
      </c>
      <c r="F58" s="16">
        <f t="shared" si="3"/>
        <v>0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0851</v>
      </c>
      <c r="B59" s="16">
        <f t="shared" si="3"/>
        <v>201</v>
      </c>
      <c r="C59" s="16">
        <f t="shared" si="3"/>
        <v>0</v>
      </c>
      <c r="D59" s="16">
        <f t="shared" si="3"/>
        <v>85</v>
      </c>
      <c r="E59" s="16">
        <f t="shared" si="3"/>
        <v>1</v>
      </c>
      <c r="F59" s="16">
        <f t="shared" si="3"/>
        <v>877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0881</v>
      </c>
      <c r="B60" s="16">
        <f t="shared" si="3"/>
        <v>201</v>
      </c>
      <c r="C60" s="16">
        <f t="shared" si="3"/>
        <v>0</v>
      </c>
      <c r="D60" s="16">
        <f t="shared" si="3"/>
        <v>88</v>
      </c>
      <c r="E60" s="16">
        <f t="shared" si="3"/>
        <v>1</v>
      </c>
      <c r="F60" s="16">
        <f t="shared" si="3"/>
        <v>877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0911</v>
      </c>
      <c r="B61" s="16">
        <f t="shared" si="3"/>
        <v>201</v>
      </c>
      <c r="C61" s="16">
        <f t="shared" si="3"/>
        <v>0</v>
      </c>
      <c r="D61" s="16">
        <f t="shared" si="3"/>
        <v>91</v>
      </c>
      <c r="E61" s="16">
        <f t="shared" si="3"/>
        <v>1</v>
      </c>
      <c r="F61" s="16">
        <f t="shared" si="3"/>
        <v>877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0941</v>
      </c>
      <c r="B62" s="16">
        <f t="shared" si="3"/>
        <v>201</v>
      </c>
      <c r="C62" s="16">
        <f t="shared" si="3"/>
        <v>0</v>
      </c>
      <c r="D62" s="16">
        <f t="shared" si="3"/>
        <v>94</v>
      </c>
      <c r="E62" s="16">
        <f t="shared" si="3"/>
        <v>1</v>
      </c>
      <c r="F62" s="16">
        <f t="shared" si="3"/>
        <v>877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03321</v>
      </c>
      <c r="B63" s="16">
        <f t="shared" si="3"/>
        <v>201</v>
      </c>
      <c r="C63" s="16">
        <f t="shared" si="3"/>
        <v>0</v>
      </c>
      <c r="D63" s="16">
        <f t="shared" si="3"/>
        <v>332</v>
      </c>
      <c r="E63" s="16">
        <f t="shared" si="3"/>
        <v>1</v>
      </c>
      <c r="F63" s="16">
        <f t="shared" si="3"/>
        <v>988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03361</v>
      </c>
      <c r="B64" s="16">
        <f t="shared" si="3"/>
        <v>201</v>
      </c>
      <c r="C64" s="16">
        <f t="shared" si="3"/>
        <v>0</v>
      </c>
      <c r="D64" s="16">
        <f t="shared" si="3"/>
        <v>336</v>
      </c>
      <c r="E64" s="16">
        <f t="shared" si="3"/>
        <v>1</v>
      </c>
      <c r="F64" s="16">
        <f t="shared" si="3"/>
        <v>988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03401</v>
      </c>
      <c r="B65" s="16">
        <f t="shared" si="3"/>
        <v>201</v>
      </c>
      <c r="C65" s="16">
        <f t="shared" si="3"/>
        <v>0</v>
      </c>
      <c r="D65" s="16">
        <f t="shared" si="3"/>
        <v>340</v>
      </c>
      <c r="E65" s="16">
        <f t="shared" si="3"/>
        <v>1</v>
      </c>
      <c r="F65" s="16">
        <f t="shared" si="3"/>
        <v>988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03441</v>
      </c>
      <c r="B66" s="16">
        <f t="shared" si="3"/>
        <v>201</v>
      </c>
      <c r="C66" s="16">
        <f t="shared" si="3"/>
        <v>0</v>
      </c>
      <c r="D66" s="16">
        <f t="shared" si="3"/>
        <v>344</v>
      </c>
      <c r="E66" s="16">
        <f t="shared" si="3"/>
        <v>1</v>
      </c>
      <c r="F66" s="16">
        <f t="shared" si="3"/>
        <v>988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81" si="4">INDIRECT(ADDRESS(ROW()+$A$1,COLUMN(),1,TRUE,$C$1))</f>
        <v>03331</v>
      </c>
      <c r="B67" s="16">
        <f t="shared" si="3"/>
        <v>201</v>
      </c>
      <c r="C67" s="16">
        <f t="shared" si="3"/>
        <v>0</v>
      </c>
      <c r="D67" s="16">
        <f t="shared" si="3"/>
        <v>333</v>
      </c>
      <c r="E67" s="16">
        <f t="shared" si="3"/>
        <v>1</v>
      </c>
      <c r="F67" s="16">
        <f t="shared" si="3"/>
        <v>988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03371</v>
      </c>
      <c r="B68" s="16">
        <f t="shared" si="3"/>
        <v>201</v>
      </c>
      <c r="C68" s="16">
        <f t="shared" si="3"/>
        <v>0</v>
      </c>
      <c r="D68" s="16">
        <f t="shared" si="3"/>
        <v>337</v>
      </c>
      <c r="E68" s="16">
        <f t="shared" si="3"/>
        <v>1</v>
      </c>
      <c r="F68" s="16">
        <f t="shared" si="3"/>
        <v>988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03411</v>
      </c>
      <c r="B69" s="16">
        <f t="shared" si="3"/>
        <v>201</v>
      </c>
      <c r="C69" s="16">
        <f t="shared" si="3"/>
        <v>0</v>
      </c>
      <c r="D69" s="16">
        <f t="shared" si="3"/>
        <v>341</v>
      </c>
      <c r="E69" s="16">
        <f t="shared" si="3"/>
        <v>1</v>
      </c>
      <c r="F69" s="16">
        <f t="shared" si="3"/>
        <v>988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03451</v>
      </c>
      <c r="B70" s="16">
        <f t="shared" ref="B70:K81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</v>
      </c>
      <c r="C70" s="16">
        <f t="shared" si="5"/>
        <v>0</v>
      </c>
      <c r="D70" s="16">
        <f t="shared" si="5"/>
        <v>345</v>
      </c>
      <c r="E70" s="16">
        <f t="shared" si="5"/>
        <v>1</v>
      </c>
      <c r="F70" s="16">
        <f t="shared" si="5"/>
        <v>988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03341</v>
      </c>
      <c r="B71" s="16">
        <f t="shared" si="5"/>
        <v>201</v>
      </c>
      <c r="C71" s="16">
        <f t="shared" si="5"/>
        <v>0</v>
      </c>
      <c r="D71" s="16">
        <f t="shared" si="5"/>
        <v>334</v>
      </c>
      <c r="E71" s="16">
        <f t="shared" si="5"/>
        <v>1</v>
      </c>
      <c r="F71" s="16">
        <f t="shared" si="5"/>
        <v>3950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03381</v>
      </c>
      <c r="B72" s="16">
        <f t="shared" si="5"/>
        <v>201</v>
      </c>
      <c r="C72" s="16">
        <f t="shared" si="5"/>
        <v>0</v>
      </c>
      <c r="D72" s="16">
        <f t="shared" si="5"/>
        <v>338</v>
      </c>
      <c r="E72" s="16">
        <f t="shared" si="5"/>
        <v>1</v>
      </c>
      <c r="F72" s="16">
        <f t="shared" si="5"/>
        <v>3950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03421</v>
      </c>
      <c r="B73" s="16">
        <f t="shared" si="5"/>
        <v>201</v>
      </c>
      <c r="C73" s="16">
        <f t="shared" si="5"/>
        <v>0</v>
      </c>
      <c r="D73" s="16">
        <f t="shared" si="5"/>
        <v>342</v>
      </c>
      <c r="E73" s="16">
        <f t="shared" si="5"/>
        <v>1</v>
      </c>
      <c r="F73" s="16">
        <f t="shared" si="5"/>
        <v>3950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03461</v>
      </c>
      <c r="B74" s="16">
        <f t="shared" si="5"/>
        <v>201</v>
      </c>
      <c r="C74" s="16">
        <f t="shared" si="5"/>
        <v>0</v>
      </c>
      <c r="D74" s="16">
        <f t="shared" si="5"/>
        <v>346</v>
      </c>
      <c r="E74" s="16">
        <f t="shared" si="5"/>
        <v>1</v>
      </c>
      <c r="F74" s="16">
        <f t="shared" si="5"/>
        <v>3950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01171</v>
      </c>
      <c r="B75" s="16">
        <f t="shared" si="5"/>
        <v>201</v>
      </c>
      <c r="C75" s="16">
        <f t="shared" si="5"/>
        <v>0</v>
      </c>
      <c r="D75" s="16">
        <f t="shared" si="5"/>
        <v>117</v>
      </c>
      <c r="E75" s="16">
        <f t="shared" si="5"/>
        <v>1</v>
      </c>
      <c r="F75" s="16">
        <f t="shared" si="5"/>
        <v>3950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01181</v>
      </c>
      <c r="B76" s="16">
        <f t="shared" si="5"/>
        <v>201</v>
      </c>
      <c r="C76" s="16">
        <f t="shared" si="5"/>
        <v>0</v>
      </c>
      <c r="D76" s="16">
        <f t="shared" si="5"/>
        <v>118</v>
      </c>
      <c r="E76" s="16">
        <f t="shared" si="5"/>
        <v>1</v>
      </c>
      <c r="F76" s="16">
        <f t="shared" si="5"/>
        <v>11850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01191</v>
      </c>
      <c r="B77" s="16">
        <f t="shared" si="5"/>
        <v>201</v>
      </c>
      <c r="C77" s="16">
        <f t="shared" si="5"/>
        <v>0</v>
      </c>
      <c r="D77" s="16">
        <f t="shared" si="5"/>
        <v>119</v>
      </c>
      <c r="E77" s="16">
        <f t="shared" si="5"/>
        <v>1</v>
      </c>
      <c r="F77" s="16">
        <f t="shared" si="5"/>
        <v>7900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01211</v>
      </c>
      <c r="B78" s="16">
        <f t="shared" si="5"/>
        <v>201</v>
      </c>
      <c r="C78" s="16">
        <f t="shared" si="5"/>
        <v>0</v>
      </c>
      <c r="D78" s="16">
        <f t="shared" si="5"/>
        <v>121</v>
      </c>
      <c r="E78" s="16">
        <f t="shared" si="5"/>
        <v>1</v>
      </c>
      <c r="F78" s="16">
        <f t="shared" si="5"/>
        <v>5793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01221</v>
      </c>
      <c r="B79" s="16">
        <f t="shared" si="5"/>
        <v>201</v>
      </c>
      <c r="C79" s="16">
        <f t="shared" si="5"/>
        <v>0</v>
      </c>
      <c r="D79" s="16">
        <f t="shared" si="5"/>
        <v>122</v>
      </c>
      <c r="E79" s="16">
        <f t="shared" si="5"/>
        <v>1</v>
      </c>
      <c r="F79" s="16">
        <f t="shared" si="5"/>
        <v>5793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01231</v>
      </c>
      <c r="B80" s="16">
        <f t="shared" si="5"/>
        <v>201</v>
      </c>
      <c r="C80" s="16">
        <f t="shared" si="5"/>
        <v>0</v>
      </c>
      <c r="D80" s="16">
        <f t="shared" si="5"/>
        <v>123</v>
      </c>
      <c r="E80" s="16">
        <f t="shared" si="5"/>
        <v>1</v>
      </c>
      <c r="F80" s="16">
        <f t="shared" si="5"/>
        <v>5793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01251</v>
      </c>
      <c r="B81" s="16">
        <f t="shared" si="5"/>
        <v>201</v>
      </c>
      <c r="C81" s="16">
        <f t="shared" si="5"/>
        <v>0</v>
      </c>
      <c r="D81" s="16">
        <f t="shared" si="5"/>
        <v>125</v>
      </c>
      <c r="E81" s="16">
        <f t="shared" si="5"/>
        <v>1</v>
      </c>
      <c r="F81" s="16">
        <f t="shared" si="5"/>
        <v>1319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/>
      <c r="B82"/>
      <c r="C82"/>
      <c r="D82"/>
      <c r="E82"/>
      <c r="F82"/>
      <c r="G82"/>
      <c r="H82"/>
      <c r="I82"/>
      <c r="J82"/>
      <c r="K82"/>
    </row>
    <row r="83" spans="1:11">
      <c r="A83"/>
      <c r="B83"/>
      <c r="C83"/>
      <c r="D83"/>
      <c r="E83"/>
      <c r="F83"/>
      <c r="G83"/>
      <c r="H83"/>
      <c r="I83"/>
      <c r="J83"/>
      <c r="K83"/>
    </row>
    <row r="84" spans="1:11">
      <c r="A84"/>
      <c r="B84"/>
      <c r="C84"/>
      <c r="D84"/>
      <c r="E84"/>
      <c r="F84"/>
      <c r="G84"/>
      <c r="H84"/>
      <c r="I84"/>
      <c r="J84"/>
      <c r="K84"/>
    </row>
    <row r="85" spans="1:11">
      <c r="A85"/>
      <c r="B85"/>
      <c r="C85"/>
      <c r="D85"/>
      <c r="E85"/>
      <c r="F85"/>
      <c r="G85"/>
      <c r="H85"/>
      <c r="I85"/>
      <c r="J85"/>
      <c r="K85"/>
    </row>
    <row r="86" spans="1:11">
      <c r="A86"/>
      <c r="B86"/>
      <c r="C86"/>
      <c r="D86"/>
      <c r="E86"/>
      <c r="F86"/>
      <c r="G86"/>
      <c r="H86"/>
      <c r="I86"/>
      <c r="J86"/>
      <c r="K86"/>
    </row>
    <row r="87" spans="1:11">
      <c r="A87"/>
      <c r="B87"/>
      <c r="C87"/>
      <c r="D87"/>
      <c r="E87"/>
      <c r="F87"/>
      <c r="G87"/>
      <c r="H87"/>
      <c r="I87"/>
      <c r="J87"/>
      <c r="K87"/>
    </row>
    <row r="88" spans="1:11">
      <c r="A88"/>
      <c r="B88"/>
      <c r="C88"/>
      <c r="D88"/>
      <c r="E88"/>
      <c r="F88"/>
      <c r="G88"/>
      <c r="H88"/>
      <c r="I88"/>
      <c r="J88"/>
      <c r="K88"/>
    </row>
    <row r="89" spans="1:11">
      <c r="A89"/>
      <c r="B89"/>
      <c r="C89"/>
      <c r="D89"/>
      <c r="E89"/>
      <c r="F89"/>
      <c r="G89"/>
      <c r="H89"/>
      <c r="I89"/>
      <c r="J89"/>
      <c r="K89"/>
    </row>
    <row r="90" spans="1:11">
      <c r="A90"/>
      <c r="B90"/>
      <c r="C90"/>
      <c r="D90"/>
      <c r="E90"/>
      <c r="F90"/>
      <c r="G90"/>
      <c r="H90"/>
      <c r="I90"/>
      <c r="J90"/>
      <c r="K90"/>
    </row>
    <row r="91" spans="1:11">
      <c r="A91"/>
      <c r="B91"/>
      <c r="C91"/>
      <c r="D91"/>
      <c r="E91"/>
      <c r="F91"/>
      <c r="G91"/>
      <c r="H91"/>
      <c r="I91"/>
      <c r="J91"/>
      <c r="K91"/>
    </row>
    <row r="92" spans="1:11">
      <c r="A92"/>
      <c r="B92"/>
      <c r="C92"/>
      <c r="D92"/>
      <c r="E92"/>
      <c r="F92"/>
      <c r="G92"/>
      <c r="H92"/>
      <c r="I92"/>
      <c r="J92"/>
      <c r="K92"/>
    </row>
    <row r="93" spans="1:11">
      <c r="A93"/>
      <c r="B93"/>
      <c r="C93"/>
      <c r="D93"/>
      <c r="E93"/>
      <c r="F93"/>
      <c r="G93"/>
      <c r="H93"/>
      <c r="I93"/>
      <c r="J93"/>
      <c r="K93"/>
    </row>
    <row r="94" spans="1:11">
      <c r="A94"/>
      <c r="B94"/>
      <c r="C94"/>
      <c r="D94"/>
      <c r="E94"/>
      <c r="F94"/>
      <c r="G94"/>
      <c r="H94"/>
      <c r="I94"/>
      <c r="J94"/>
      <c r="K94"/>
    </row>
    <row r="95" spans="1:11">
      <c r="A95"/>
      <c r="B95"/>
      <c r="C95"/>
      <c r="D95"/>
      <c r="E95"/>
      <c r="F95"/>
      <c r="G95"/>
      <c r="H95"/>
      <c r="I95"/>
      <c r="J95"/>
      <c r="K95"/>
    </row>
    <row r="96" spans="1:11">
      <c r="A96"/>
      <c r="B96"/>
      <c r="C96"/>
      <c r="D96"/>
      <c r="E96"/>
      <c r="F96"/>
      <c r="G96"/>
      <c r="H96"/>
      <c r="I96"/>
      <c r="J96"/>
      <c r="K96"/>
    </row>
    <row r="97" spans="1:11">
      <c r="A97"/>
      <c r="B97"/>
      <c r="C97"/>
      <c r="D97"/>
      <c r="E97"/>
      <c r="F97"/>
      <c r="G97"/>
      <c r="H97"/>
      <c r="I97"/>
      <c r="J97"/>
      <c r="K97"/>
    </row>
    <row r="98" spans="1:11">
      <c r="A98"/>
      <c r="B98"/>
      <c r="C98"/>
      <c r="D98"/>
      <c r="E98"/>
      <c r="F98"/>
      <c r="G98"/>
      <c r="H98"/>
      <c r="I98"/>
      <c r="J98"/>
      <c r="K98"/>
    </row>
    <row r="99" spans="1:11">
      <c r="A99"/>
      <c r="B99"/>
      <c r="C99"/>
      <c r="D99"/>
      <c r="E99"/>
      <c r="F99"/>
      <c r="G99"/>
      <c r="H99"/>
      <c r="I99"/>
      <c r="J99"/>
      <c r="K99"/>
    </row>
    <row r="100" spans="1:11">
      <c r="A100"/>
      <c r="B100"/>
      <c r="C100"/>
      <c r="D100"/>
      <c r="E100"/>
      <c r="F100"/>
      <c r="G100"/>
      <c r="H100"/>
      <c r="I100"/>
      <c r="J100"/>
      <c r="K100"/>
    </row>
    <row r="101" spans="1:11">
      <c r="A101"/>
      <c r="B101"/>
      <c r="C101"/>
      <c r="D101"/>
      <c r="E101"/>
      <c r="F101"/>
      <c r="G101"/>
      <c r="H101"/>
      <c r="I101"/>
      <c r="J101"/>
      <c r="K101"/>
    </row>
    <row r="102" spans="1:11">
      <c r="A102"/>
      <c r="B102"/>
      <c r="C102"/>
      <c r="D102"/>
      <c r="E102"/>
      <c r="F102"/>
      <c r="G102"/>
      <c r="H102"/>
      <c r="I102"/>
      <c r="J102"/>
      <c r="K102"/>
    </row>
    <row r="103" spans="1:11">
      <c r="A103"/>
      <c r="B103"/>
      <c r="C103"/>
      <c r="D103"/>
      <c r="E103"/>
      <c r="F103"/>
      <c r="G103"/>
      <c r="H103"/>
      <c r="I103"/>
      <c r="J103"/>
      <c r="K103"/>
    </row>
    <row r="104" spans="1:11">
      <c r="A104"/>
      <c r="B104"/>
      <c r="C104"/>
      <c r="D104"/>
      <c r="E104"/>
      <c r="F104"/>
      <c r="G104"/>
      <c r="H104"/>
      <c r="I104"/>
      <c r="J104"/>
      <c r="K104"/>
    </row>
    <row r="105" spans="1:11">
      <c r="A105"/>
      <c r="B105"/>
      <c r="C105"/>
      <c r="D105"/>
      <c r="E105"/>
      <c r="F105"/>
      <c r="G105"/>
      <c r="H105"/>
      <c r="I105"/>
      <c r="J105"/>
      <c r="K105"/>
    </row>
    <row r="106" spans="1:11">
      <c r="A106"/>
      <c r="B106"/>
      <c r="C106"/>
      <c r="D106"/>
      <c r="E106"/>
      <c r="F106"/>
      <c r="G106"/>
      <c r="H106"/>
      <c r="I106"/>
      <c r="J106"/>
      <c r="K106"/>
    </row>
    <row r="107" spans="1:11">
      <c r="A107"/>
      <c r="B107"/>
      <c r="C107"/>
      <c r="D107"/>
      <c r="E107"/>
      <c r="F107"/>
      <c r="G107"/>
      <c r="H107"/>
      <c r="I107"/>
      <c r="J107"/>
      <c r="K107"/>
    </row>
    <row r="108" spans="1:11">
      <c r="A108"/>
      <c r="B108"/>
      <c r="C108"/>
      <c r="D108"/>
      <c r="E108"/>
      <c r="F108"/>
      <c r="G108"/>
      <c r="H108"/>
      <c r="I108"/>
      <c r="J108"/>
      <c r="K108"/>
    </row>
    <row r="109" spans="1:11">
      <c r="A109"/>
      <c r="B109"/>
      <c r="C109"/>
      <c r="D109"/>
      <c r="E109"/>
      <c r="F109"/>
      <c r="G109"/>
      <c r="H109"/>
      <c r="I109"/>
      <c r="J109"/>
      <c r="K109"/>
    </row>
    <row r="110" spans="1:11">
      <c r="A110"/>
      <c r="B110"/>
      <c r="C110"/>
      <c r="D110"/>
      <c r="E110"/>
      <c r="F110"/>
      <c r="G110"/>
      <c r="H110"/>
      <c r="I110"/>
      <c r="J110"/>
      <c r="K110"/>
    </row>
    <row r="111" spans="1:11">
      <c r="A111"/>
      <c r="B111"/>
      <c r="C111"/>
      <c r="D111"/>
      <c r="E111"/>
      <c r="F111"/>
      <c r="G111"/>
      <c r="H111"/>
      <c r="I111"/>
      <c r="J111"/>
      <c r="K111"/>
    </row>
    <row r="112" spans="1:11">
      <c r="A112"/>
      <c r="B112"/>
      <c r="C112"/>
      <c r="D112"/>
      <c r="E112"/>
      <c r="F112"/>
      <c r="G112"/>
      <c r="H112"/>
      <c r="I112"/>
      <c r="J112"/>
      <c r="K112"/>
    </row>
    <row r="113" spans="1:11">
      <c r="A113"/>
      <c r="B113"/>
      <c r="C113"/>
      <c r="D113"/>
      <c r="E113"/>
      <c r="F113"/>
      <c r="G113"/>
      <c r="H113"/>
      <c r="I113"/>
      <c r="J113"/>
      <c r="K113"/>
    </row>
    <row r="114" spans="1:11">
      <c r="A114"/>
      <c r="B114"/>
      <c r="C114"/>
      <c r="D114"/>
      <c r="E114"/>
      <c r="F114"/>
      <c r="G114"/>
      <c r="H114"/>
      <c r="I114"/>
      <c r="J114"/>
      <c r="K114"/>
    </row>
    <row r="115" spans="1:11">
      <c r="A115"/>
      <c r="B115"/>
      <c r="C115"/>
      <c r="D115"/>
      <c r="E115"/>
      <c r="F115"/>
      <c r="G115"/>
      <c r="H115"/>
      <c r="I115"/>
      <c r="J115"/>
      <c r="K115"/>
    </row>
    <row r="116" spans="1:11">
      <c r="A116"/>
      <c r="B116"/>
      <c r="C116"/>
      <c r="D116"/>
      <c r="E116"/>
      <c r="F116"/>
      <c r="G116"/>
      <c r="H116"/>
      <c r="I116"/>
      <c r="J116"/>
      <c r="K116"/>
    </row>
    <row r="117" spans="1:11">
      <c r="A117"/>
      <c r="B117"/>
      <c r="C117"/>
      <c r="D117"/>
      <c r="E117"/>
      <c r="F117"/>
      <c r="G117"/>
      <c r="H117"/>
      <c r="I117"/>
      <c r="J117"/>
      <c r="K117"/>
    </row>
    <row r="118" spans="1:11">
      <c r="A118"/>
      <c r="B118"/>
      <c r="C118"/>
      <c r="D118"/>
      <c r="E118"/>
      <c r="F118"/>
      <c r="G118"/>
      <c r="H118"/>
      <c r="I118"/>
      <c r="J118"/>
      <c r="K118"/>
    </row>
    <row r="119" spans="1:11">
      <c r="A119"/>
      <c r="B119"/>
      <c r="C119"/>
      <c r="D119"/>
      <c r="E119"/>
      <c r="F119"/>
      <c r="G119"/>
      <c r="H119"/>
      <c r="I119"/>
      <c r="J119"/>
      <c r="K119"/>
    </row>
    <row r="120" spans="1:11">
      <c r="A120"/>
      <c r="B120"/>
      <c r="C120"/>
      <c r="D120"/>
      <c r="E120"/>
      <c r="F120"/>
      <c r="G120"/>
      <c r="H120"/>
      <c r="I120"/>
      <c r="J120"/>
      <c r="K120"/>
    </row>
    <row r="121" spans="1:11">
      <c r="A121"/>
      <c r="B121"/>
      <c r="C121"/>
      <c r="D121"/>
      <c r="E121"/>
      <c r="F121"/>
      <c r="G121"/>
      <c r="H121"/>
      <c r="I121"/>
      <c r="J121"/>
      <c r="K121"/>
    </row>
    <row r="122" spans="1:11">
      <c r="A122"/>
      <c r="B122"/>
      <c r="C122"/>
      <c r="D122"/>
      <c r="E122"/>
      <c r="F122"/>
      <c r="G122"/>
      <c r="H122"/>
      <c r="I122"/>
      <c r="J122"/>
      <c r="K122"/>
    </row>
    <row r="123" spans="1:11">
      <c r="A123"/>
      <c r="B123"/>
      <c r="C123"/>
      <c r="D123"/>
      <c r="E123"/>
      <c r="F123"/>
      <c r="G123"/>
      <c r="H123"/>
      <c r="I123"/>
      <c r="J123"/>
      <c r="K123"/>
    </row>
    <row r="124" spans="1:11">
      <c r="A124"/>
      <c r="B124"/>
      <c r="C124"/>
      <c r="D124"/>
      <c r="E124"/>
      <c r="F124"/>
      <c r="G124"/>
      <c r="H124"/>
      <c r="I124"/>
      <c r="J124"/>
      <c r="K124"/>
    </row>
    <row r="125" spans="1:11">
      <c r="A125"/>
      <c r="B125"/>
      <c r="C125"/>
      <c r="D125"/>
      <c r="E125"/>
      <c r="F125"/>
      <c r="G125"/>
      <c r="H125"/>
      <c r="I125"/>
      <c r="J125"/>
      <c r="K125"/>
    </row>
    <row r="126" spans="1:11">
      <c r="A126"/>
      <c r="B126"/>
      <c r="C126"/>
      <c r="D126"/>
      <c r="E126"/>
      <c r="F126"/>
      <c r="G126"/>
      <c r="H126"/>
      <c r="I126"/>
      <c r="J126"/>
      <c r="K126"/>
    </row>
    <row r="127" spans="1:11">
      <c r="A127"/>
      <c r="B127"/>
      <c r="C127"/>
      <c r="D127"/>
      <c r="E127"/>
      <c r="F127"/>
      <c r="G127"/>
      <c r="H127"/>
      <c r="I127"/>
      <c r="J127"/>
      <c r="K127"/>
    </row>
    <row r="128" spans="1:11">
      <c r="A128"/>
      <c r="B128"/>
      <c r="C128"/>
      <c r="D128"/>
      <c r="E128"/>
      <c r="F128"/>
      <c r="G128"/>
      <c r="H128"/>
      <c r="I128"/>
      <c r="J128"/>
      <c r="K128"/>
    </row>
    <row r="129" spans="1:11">
      <c r="A129"/>
      <c r="B129"/>
      <c r="C129"/>
      <c r="D129"/>
      <c r="E129"/>
      <c r="F129"/>
      <c r="G129"/>
      <c r="H129"/>
      <c r="I129"/>
      <c r="J129"/>
      <c r="K129"/>
    </row>
    <row r="130" spans="1:11">
      <c r="A130"/>
      <c r="B130"/>
      <c r="C130"/>
      <c r="D130"/>
      <c r="E130"/>
      <c r="F130"/>
      <c r="G130"/>
      <c r="H130"/>
      <c r="I130"/>
      <c r="J130"/>
      <c r="K130"/>
    </row>
    <row r="131" spans="1:11">
      <c r="A131"/>
      <c r="B131"/>
      <c r="C131"/>
      <c r="D131"/>
      <c r="E131"/>
      <c r="F131"/>
      <c r="G131"/>
      <c r="H131"/>
      <c r="I131"/>
      <c r="J131"/>
      <c r="K131"/>
    </row>
    <row r="132" spans="1:11">
      <c r="A132"/>
      <c r="B132"/>
      <c r="C132"/>
      <c r="D132"/>
      <c r="E132"/>
      <c r="F132"/>
      <c r="G132"/>
      <c r="H132"/>
      <c r="I132"/>
      <c r="J132"/>
      <c r="K132"/>
    </row>
    <row r="133" spans="1:11">
      <c r="A133"/>
      <c r="B133"/>
      <c r="C133"/>
      <c r="D133"/>
      <c r="E133"/>
      <c r="F133"/>
      <c r="G133"/>
      <c r="H133"/>
      <c r="I133"/>
      <c r="J133"/>
      <c r="K133"/>
    </row>
    <row r="134" spans="1:11">
      <c r="A134"/>
      <c r="B134"/>
      <c r="C134"/>
      <c r="D134"/>
      <c r="E134"/>
      <c r="F134"/>
      <c r="G134"/>
      <c r="H134"/>
      <c r="I134"/>
      <c r="J134"/>
      <c r="K134"/>
    </row>
    <row r="135" spans="1:11">
      <c r="A135"/>
      <c r="B135"/>
      <c r="C135"/>
      <c r="D135"/>
      <c r="E135"/>
      <c r="F135"/>
      <c r="G135"/>
      <c r="H135"/>
      <c r="I135"/>
      <c r="J135"/>
      <c r="K135"/>
    </row>
    <row r="136" spans="1:11">
      <c r="A136"/>
      <c r="B136"/>
      <c r="C136"/>
      <c r="D136"/>
      <c r="E136"/>
      <c r="F136"/>
      <c r="G136"/>
      <c r="H136"/>
      <c r="I136"/>
      <c r="J136"/>
      <c r="K136"/>
    </row>
    <row r="137" spans="1:11">
      <c r="A137"/>
      <c r="B137"/>
      <c r="C137"/>
      <c r="D137"/>
      <c r="E137"/>
      <c r="F137"/>
      <c r="G137"/>
      <c r="H137"/>
      <c r="I137"/>
      <c r="J137"/>
      <c r="K137"/>
    </row>
    <row r="138" spans="1:11">
      <c r="A138"/>
      <c r="B138"/>
      <c r="C138"/>
      <c r="D138"/>
      <c r="E138"/>
      <c r="F138"/>
      <c r="G138"/>
      <c r="H138"/>
      <c r="I138"/>
      <c r="J138"/>
      <c r="K138"/>
    </row>
    <row r="139" spans="1:11">
      <c r="A139"/>
      <c r="B139"/>
      <c r="C139"/>
      <c r="D139"/>
      <c r="E139"/>
      <c r="F139"/>
      <c r="G139"/>
      <c r="H139"/>
      <c r="I139"/>
      <c r="J139"/>
      <c r="K139"/>
    </row>
    <row r="140" spans="1:11">
      <c r="A140"/>
      <c r="B140"/>
      <c r="C140"/>
      <c r="D140"/>
      <c r="E140"/>
      <c r="F140"/>
      <c r="G140"/>
      <c r="H140"/>
      <c r="I140"/>
      <c r="J140"/>
      <c r="K140"/>
    </row>
    <row r="141" spans="1:11">
      <c r="A141"/>
      <c r="B141"/>
      <c r="C141"/>
      <c r="D141"/>
      <c r="E141"/>
      <c r="F141"/>
      <c r="G141"/>
      <c r="H141"/>
      <c r="I141"/>
      <c r="J141"/>
      <c r="K141"/>
    </row>
    <row r="142" spans="1:11">
      <c r="A142"/>
      <c r="B142"/>
      <c r="C142"/>
      <c r="D142"/>
      <c r="E142"/>
      <c r="F142"/>
      <c r="G142"/>
      <c r="H142"/>
      <c r="I142"/>
      <c r="J142"/>
      <c r="K142"/>
    </row>
    <row r="143" spans="1:11">
      <c r="A143"/>
      <c r="B143"/>
      <c r="C143"/>
      <c r="D143"/>
      <c r="E143"/>
      <c r="F143"/>
      <c r="G143"/>
      <c r="H143"/>
      <c r="I143"/>
      <c r="J143"/>
      <c r="K143"/>
    </row>
    <row r="144" spans="1:11">
      <c r="A144"/>
      <c r="B144"/>
      <c r="C144"/>
      <c r="D144"/>
      <c r="E144"/>
      <c r="F144"/>
      <c r="G144"/>
      <c r="H144"/>
      <c r="I144"/>
      <c r="J144"/>
      <c r="K144"/>
    </row>
    <row r="145" spans="1:11">
      <c r="A145"/>
      <c r="B145"/>
      <c r="C145"/>
      <c r="D145"/>
      <c r="E145"/>
      <c r="F145"/>
      <c r="G145"/>
      <c r="H145"/>
      <c r="I145"/>
      <c r="J145"/>
      <c r="K145"/>
    </row>
    <row r="146" spans="1:11">
      <c r="A146"/>
      <c r="B146"/>
      <c r="C146"/>
      <c r="D146"/>
      <c r="E146"/>
      <c r="F146"/>
      <c r="G146"/>
      <c r="H146"/>
      <c r="I146"/>
      <c r="J146"/>
      <c r="K146"/>
    </row>
    <row r="147" spans="1:11">
      <c r="A147"/>
      <c r="B147"/>
      <c r="C147"/>
      <c r="D147"/>
      <c r="E147"/>
      <c r="F147"/>
      <c r="G147"/>
      <c r="H147"/>
      <c r="I147"/>
      <c r="J147"/>
      <c r="K147"/>
    </row>
    <row r="148" spans="1:11">
      <c r="A148"/>
      <c r="B148"/>
      <c r="C148"/>
      <c r="D148"/>
      <c r="E148"/>
      <c r="F148"/>
      <c r="G148"/>
      <c r="H148"/>
      <c r="I148"/>
      <c r="J148"/>
      <c r="K148"/>
    </row>
    <row r="149" spans="1:11">
      <c r="A149"/>
      <c r="B149"/>
      <c r="C149"/>
      <c r="D149"/>
      <c r="E149"/>
      <c r="F149"/>
      <c r="G149"/>
      <c r="H149"/>
      <c r="I149"/>
      <c r="J149"/>
      <c r="K149"/>
    </row>
    <row r="150" spans="1:11">
      <c r="A150"/>
      <c r="B150"/>
      <c r="C150"/>
      <c r="D150"/>
      <c r="E150"/>
      <c r="F150"/>
      <c r="G150"/>
      <c r="H150"/>
      <c r="I150"/>
      <c r="J150"/>
      <c r="K150"/>
    </row>
    <row r="151" spans="1:11">
      <c r="A151"/>
      <c r="B151"/>
      <c r="C151"/>
      <c r="D151"/>
      <c r="E151"/>
      <c r="F151"/>
      <c r="G151"/>
      <c r="H151"/>
      <c r="I151"/>
      <c r="J151"/>
      <c r="K151"/>
    </row>
    <row r="152" spans="1:11">
      <c r="A152"/>
      <c r="B152"/>
      <c r="C152"/>
      <c r="D152"/>
      <c r="E152"/>
      <c r="F152"/>
      <c r="G152"/>
      <c r="H152"/>
      <c r="I152"/>
      <c r="J152"/>
      <c r="K152"/>
    </row>
    <row r="153" spans="1:11">
      <c r="A153"/>
      <c r="B153"/>
      <c r="C153"/>
      <c r="D153"/>
      <c r="E153"/>
      <c r="F153"/>
      <c r="G153"/>
      <c r="H153"/>
      <c r="I153"/>
      <c r="J153"/>
      <c r="K153"/>
    </row>
    <row r="154" spans="1:11">
      <c r="A154"/>
      <c r="B154"/>
      <c r="C154"/>
      <c r="D154"/>
      <c r="E154"/>
      <c r="F154"/>
      <c r="G154"/>
      <c r="H154"/>
      <c r="I154"/>
      <c r="J154"/>
      <c r="K154"/>
    </row>
    <row r="155" spans="1:11">
      <c r="A155"/>
      <c r="B155"/>
      <c r="C155"/>
      <c r="D155"/>
      <c r="E155"/>
      <c r="F155"/>
      <c r="G155"/>
      <c r="H155"/>
      <c r="I155"/>
      <c r="J155"/>
      <c r="K155"/>
    </row>
    <row r="156" spans="1:11">
      <c r="A156"/>
      <c r="B156"/>
      <c r="C156"/>
      <c r="D156"/>
      <c r="E156"/>
      <c r="F156"/>
      <c r="G156"/>
      <c r="H156"/>
      <c r="I156"/>
      <c r="J156"/>
      <c r="K156"/>
    </row>
    <row r="157" spans="1:11">
      <c r="A157"/>
      <c r="B157"/>
      <c r="C157"/>
      <c r="D157"/>
      <c r="E157"/>
      <c r="F157"/>
      <c r="G157"/>
      <c r="H157"/>
      <c r="I157"/>
      <c r="J157"/>
      <c r="K157"/>
    </row>
    <row r="158" spans="1:11">
      <c r="A158"/>
      <c r="B158"/>
      <c r="C158"/>
      <c r="D158"/>
      <c r="E158"/>
      <c r="F158"/>
      <c r="G158"/>
      <c r="H158"/>
      <c r="I158"/>
      <c r="J158"/>
      <c r="K158"/>
    </row>
    <row r="159" spans="1:11">
      <c r="A159"/>
      <c r="B159"/>
      <c r="C159"/>
      <c r="D159"/>
      <c r="E159"/>
      <c r="F159"/>
      <c r="G159"/>
      <c r="H159"/>
      <c r="I159"/>
      <c r="J159"/>
      <c r="K159"/>
    </row>
    <row r="160" spans="1:11">
      <c r="A160"/>
      <c r="B160"/>
      <c r="C160"/>
      <c r="D160"/>
      <c r="E160"/>
      <c r="F160"/>
      <c r="G160"/>
      <c r="H160"/>
      <c r="I160"/>
      <c r="J160"/>
      <c r="K160"/>
    </row>
    <row r="161" spans="1:11">
      <c r="A161"/>
      <c r="B161"/>
      <c r="C161"/>
      <c r="D161"/>
      <c r="E161"/>
      <c r="F161"/>
      <c r="G161"/>
      <c r="H161"/>
      <c r="I161"/>
      <c r="J161"/>
      <c r="K161"/>
    </row>
    <row r="162" spans="1:11">
      <c r="A162"/>
      <c r="B162"/>
      <c r="C162"/>
      <c r="D162"/>
      <c r="E162"/>
      <c r="F162"/>
      <c r="G162"/>
      <c r="H162"/>
      <c r="I162"/>
      <c r="J162"/>
      <c r="K162"/>
    </row>
    <row r="163" spans="1:11">
      <c r="A163"/>
      <c r="B163"/>
      <c r="C163"/>
      <c r="D163"/>
      <c r="E163"/>
      <c r="F163"/>
      <c r="G163"/>
      <c r="H163"/>
      <c r="I163"/>
      <c r="J163"/>
      <c r="K163"/>
    </row>
    <row r="164" spans="1:11">
      <c r="A164"/>
      <c r="B164"/>
      <c r="C164"/>
      <c r="D164"/>
      <c r="E164"/>
      <c r="F164"/>
      <c r="G164"/>
      <c r="H164"/>
      <c r="I164"/>
      <c r="J164"/>
      <c r="K164"/>
    </row>
    <row r="165" spans="1:11">
      <c r="A165"/>
      <c r="B165"/>
      <c r="C165"/>
      <c r="D165"/>
      <c r="E165"/>
      <c r="F165"/>
      <c r="G165"/>
      <c r="H165"/>
      <c r="I165"/>
      <c r="J165"/>
      <c r="K165"/>
    </row>
    <row r="166" spans="1:11">
      <c r="A166"/>
      <c r="B166"/>
      <c r="C166"/>
      <c r="D166"/>
      <c r="E166"/>
      <c r="F166"/>
      <c r="G166"/>
      <c r="H166"/>
      <c r="I166"/>
      <c r="J166"/>
      <c r="K166"/>
    </row>
    <row r="167" spans="1:11">
      <c r="A167"/>
      <c r="B167"/>
      <c r="C167"/>
      <c r="D167"/>
      <c r="E167"/>
      <c r="F167"/>
      <c r="G167"/>
      <c r="H167"/>
      <c r="I167"/>
      <c r="J167"/>
      <c r="K167"/>
    </row>
    <row r="168" spans="1:11">
      <c r="A168"/>
      <c r="B168"/>
      <c r="C168"/>
      <c r="D168"/>
      <c r="E168"/>
      <c r="F168"/>
      <c r="G168"/>
      <c r="H168"/>
      <c r="I168"/>
      <c r="J168"/>
      <c r="K168"/>
    </row>
    <row r="169" spans="1:11">
      <c r="A169"/>
      <c r="B169"/>
      <c r="C169"/>
      <c r="D169"/>
      <c r="E169"/>
      <c r="F169"/>
      <c r="G169"/>
      <c r="H169"/>
      <c r="I169"/>
      <c r="J169"/>
      <c r="K169"/>
    </row>
    <row r="170" spans="1:11">
      <c r="A170"/>
      <c r="B170"/>
      <c r="C170"/>
      <c r="D170"/>
      <c r="E170"/>
      <c r="F170"/>
      <c r="G170"/>
      <c r="H170"/>
      <c r="I170"/>
      <c r="J170"/>
      <c r="K170"/>
    </row>
    <row r="171" spans="1:11">
      <c r="A171"/>
      <c r="B171"/>
      <c r="C171"/>
      <c r="D171"/>
      <c r="E171"/>
      <c r="F171"/>
      <c r="G171"/>
      <c r="H171"/>
      <c r="I171"/>
      <c r="J171"/>
      <c r="K171"/>
    </row>
    <row r="172" spans="1:11">
      <c r="A172"/>
      <c r="B172"/>
      <c r="C172"/>
      <c r="D172"/>
      <c r="E172"/>
      <c r="F172"/>
      <c r="G172"/>
      <c r="H172"/>
      <c r="I172"/>
      <c r="J172"/>
      <c r="K172"/>
    </row>
    <row r="173" spans="1:11">
      <c r="A173"/>
      <c r="B173"/>
      <c r="C173"/>
      <c r="D173"/>
      <c r="E173"/>
      <c r="F173"/>
      <c r="G173"/>
      <c r="H173"/>
      <c r="I173"/>
      <c r="J173"/>
      <c r="K173"/>
    </row>
    <row r="174" spans="1:11">
      <c r="A174"/>
      <c r="B174"/>
      <c r="C174"/>
      <c r="D174"/>
      <c r="E174"/>
      <c r="F174"/>
      <c r="G174"/>
      <c r="H174"/>
      <c r="I174"/>
      <c r="J174"/>
      <c r="K174"/>
    </row>
    <row r="175" spans="1:11">
      <c r="A175"/>
      <c r="B175"/>
      <c r="C175"/>
      <c r="D175"/>
      <c r="E175"/>
      <c r="F175"/>
      <c r="G175"/>
      <c r="H175"/>
      <c r="I175"/>
      <c r="J175"/>
      <c r="K175"/>
    </row>
    <row r="176" spans="1:11">
      <c r="A176"/>
      <c r="B176"/>
      <c r="C176"/>
      <c r="D176"/>
      <c r="E176"/>
      <c r="F176"/>
      <c r="G176"/>
      <c r="H176"/>
      <c r="I176"/>
      <c r="J176"/>
      <c r="K176"/>
    </row>
    <row r="177" spans="1:11">
      <c r="A177"/>
      <c r="B177"/>
      <c r="C177"/>
      <c r="D177"/>
      <c r="E177"/>
      <c r="F177"/>
      <c r="G177"/>
      <c r="H177"/>
      <c r="I177"/>
      <c r="J177"/>
      <c r="K177"/>
    </row>
    <row r="178" spans="1:11">
      <c r="A178"/>
      <c r="B178"/>
      <c r="C178"/>
      <c r="D178"/>
      <c r="E178"/>
      <c r="F178"/>
      <c r="G178"/>
      <c r="H178"/>
      <c r="I178"/>
      <c r="J178"/>
      <c r="K178"/>
    </row>
    <row r="179" spans="1:11">
      <c r="A179"/>
      <c r="B179"/>
      <c r="C179"/>
      <c r="D179"/>
      <c r="E179"/>
      <c r="F179"/>
      <c r="G179"/>
      <c r="H179"/>
      <c r="I179"/>
      <c r="J179"/>
      <c r="K179"/>
    </row>
    <row r="180" spans="1:11">
      <c r="A180"/>
      <c r="B180"/>
      <c r="C180"/>
      <c r="D180"/>
      <c r="E180"/>
      <c r="F180"/>
      <c r="G180"/>
      <c r="H180"/>
      <c r="I180"/>
      <c r="J180"/>
      <c r="K180"/>
    </row>
    <row r="181" spans="1:11">
      <c r="A181"/>
      <c r="B181"/>
      <c r="C181"/>
      <c r="D181"/>
      <c r="E181"/>
      <c r="F181"/>
      <c r="G181"/>
      <c r="H181"/>
      <c r="I181"/>
      <c r="J181"/>
      <c r="K181"/>
    </row>
    <row r="182" spans="1:11">
      <c r="A182"/>
      <c r="B182"/>
      <c r="C182"/>
      <c r="D182"/>
      <c r="E182"/>
      <c r="F182"/>
      <c r="G182"/>
      <c r="H182"/>
      <c r="I182"/>
      <c r="J182"/>
      <c r="K182"/>
    </row>
    <row r="183" spans="1:11">
      <c r="A183"/>
      <c r="B183"/>
      <c r="C183"/>
      <c r="D183"/>
      <c r="E183"/>
      <c r="F183"/>
      <c r="G183"/>
      <c r="H183"/>
      <c r="I183"/>
      <c r="J183"/>
      <c r="K183"/>
    </row>
    <row r="184" spans="1:11">
      <c r="A184"/>
      <c r="B184"/>
      <c r="C184"/>
      <c r="D184"/>
      <c r="E184"/>
      <c r="F184"/>
      <c r="G184"/>
      <c r="H184"/>
      <c r="I184"/>
      <c r="J184"/>
      <c r="K184"/>
    </row>
    <row r="185" spans="1:11">
      <c r="A185"/>
      <c r="B185"/>
      <c r="C185"/>
      <c r="D185"/>
      <c r="E185"/>
      <c r="F185"/>
      <c r="G185"/>
      <c r="H185"/>
      <c r="I185"/>
      <c r="J185"/>
      <c r="K185"/>
    </row>
    <row r="186" spans="1:11">
      <c r="A186"/>
      <c r="B186"/>
      <c r="C186"/>
      <c r="D186"/>
      <c r="E186"/>
      <c r="F186"/>
      <c r="G186"/>
      <c r="H186"/>
      <c r="I186"/>
      <c r="J186"/>
      <c r="K186"/>
    </row>
    <row r="187" spans="1:11">
      <c r="A187"/>
      <c r="B187"/>
      <c r="C187"/>
      <c r="D187"/>
      <c r="E187"/>
      <c r="F187"/>
      <c r="G187"/>
      <c r="H187"/>
      <c r="I187"/>
      <c r="J187"/>
      <c r="K187"/>
    </row>
    <row r="188" spans="1:11">
      <c r="A188"/>
      <c r="B188"/>
      <c r="C188"/>
      <c r="D188"/>
      <c r="E188"/>
      <c r="F188"/>
      <c r="G188"/>
      <c r="H188"/>
      <c r="I188"/>
      <c r="J188"/>
      <c r="K188"/>
    </row>
    <row r="189" spans="1:11">
      <c r="A189"/>
      <c r="B189"/>
      <c r="C189"/>
      <c r="D189"/>
      <c r="E189"/>
      <c r="F189"/>
      <c r="G189"/>
      <c r="H189"/>
      <c r="I189"/>
      <c r="J189"/>
      <c r="K189"/>
    </row>
    <row r="190" spans="1:11">
      <c r="A190"/>
      <c r="B190"/>
      <c r="C190"/>
      <c r="D190"/>
      <c r="E190"/>
      <c r="F190"/>
      <c r="G190"/>
      <c r="H190"/>
      <c r="I190"/>
      <c r="J190"/>
      <c r="K190"/>
    </row>
    <row r="191" spans="1:11">
      <c r="A191"/>
      <c r="B191"/>
      <c r="C191"/>
      <c r="D191"/>
      <c r="E191"/>
      <c r="F191"/>
      <c r="G191"/>
      <c r="H191"/>
      <c r="I191"/>
      <c r="J191"/>
      <c r="K191"/>
    </row>
    <row r="192" spans="1:11">
      <c r="A192"/>
      <c r="B192"/>
      <c r="C192"/>
      <c r="D192"/>
      <c r="E192"/>
      <c r="F192"/>
      <c r="G192"/>
      <c r="H192"/>
      <c r="I192"/>
      <c r="J192"/>
      <c r="K192"/>
    </row>
    <row r="193" spans="1:11">
      <c r="A193"/>
      <c r="B193"/>
      <c r="C193"/>
      <c r="D193"/>
      <c r="E193"/>
      <c r="F193"/>
      <c r="G193"/>
      <c r="H193"/>
      <c r="I193"/>
      <c r="J193"/>
      <c r="K193"/>
    </row>
    <row r="194" spans="1:11">
      <c r="A194"/>
      <c r="B194"/>
      <c r="C194"/>
      <c r="D194"/>
      <c r="E194"/>
      <c r="F194"/>
      <c r="G194"/>
      <c r="H194"/>
      <c r="I194"/>
      <c r="J194"/>
      <c r="K194"/>
    </row>
    <row r="195" spans="1:11">
      <c r="A195"/>
      <c r="B195"/>
      <c r="C195"/>
      <c r="D195"/>
      <c r="E195"/>
      <c r="F195"/>
      <c r="G195"/>
      <c r="H195"/>
      <c r="I195"/>
      <c r="J195"/>
      <c r="K195"/>
    </row>
    <row r="196" spans="1:11">
      <c r="A196"/>
      <c r="B196"/>
      <c r="C196"/>
      <c r="D196"/>
      <c r="E196"/>
      <c r="F196"/>
      <c r="G196"/>
      <c r="H196"/>
      <c r="I196"/>
      <c r="J196"/>
      <c r="K196"/>
    </row>
    <row r="197" spans="1:11">
      <c r="A197"/>
      <c r="B197"/>
      <c r="C197"/>
      <c r="D197"/>
      <c r="E197"/>
      <c r="F197"/>
      <c r="G197"/>
      <c r="H197"/>
      <c r="I197"/>
      <c r="J197"/>
      <c r="K197"/>
    </row>
    <row r="198" spans="1:11">
      <c r="A198"/>
      <c r="B198"/>
      <c r="C198"/>
      <c r="D198"/>
      <c r="E198"/>
      <c r="F198"/>
      <c r="G198"/>
      <c r="H198"/>
      <c r="I198"/>
      <c r="J198"/>
      <c r="K198"/>
    </row>
    <row r="199" spans="1:11">
      <c r="A199"/>
      <c r="B199"/>
      <c r="C199"/>
      <c r="D199"/>
      <c r="E199"/>
      <c r="F199"/>
      <c r="G199"/>
      <c r="H199"/>
      <c r="I199"/>
      <c r="J199"/>
      <c r="K199"/>
    </row>
    <row r="200" spans="1:11">
      <c r="A200"/>
      <c r="B200"/>
      <c r="C200"/>
      <c r="D200"/>
      <c r="E200"/>
      <c r="F200"/>
      <c r="G200"/>
      <c r="H200"/>
      <c r="I200"/>
      <c r="J200"/>
      <c r="K200"/>
    </row>
    <row r="201" spans="1:11">
      <c r="A201"/>
      <c r="B201"/>
      <c r="C201"/>
      <c r="D201"/>
      <c r="E201"/>
      <c r="F201"/>
      <c r="G201"/>
      <c r="H201"/>
      <c r="I201"/>
      <c r="J201"/>
      <c r="K201"/>
    </row>
    <row r="202" spans="1:11">
      <c r="A202"/>
      <c r="B202"/>
      <c r="C202"/>
      <c r="D202"/>
      <c r="E202"/>
      <c r="F202"/>
      <c r="G202"/>
      <c r="H202"/>
      <c r="I202"/>
      <c r="J202"/>
      <c r="K202"/>
    </row>
    <row r="203" spans="1:11">
      <c r="A203"/>
      <c r="B203"/>
      <c r="C203"/>
      <c r="D203"/>
      <c r="E203"/>
      <c r="F203"/>
      <c r="G203"/>
      <c r="H203"/>
      <c r="I203"/>
      <c r="J203"/>
      <c r="K203"/>
    </row>
    <row r="204" spans="1:11">
      <c r="A204"/>
      <c r="B204"/>
      <c r="C204"/>
      <c r="D204"/>
      <c r="E204"/>
      <c r="F204"/>
      <c r="G204"/>
      <c r="H204"/>
      <c r="I204"/>
      <c r="J204"/>
      <c r="K204"/>
    </row>
    <row r="205" spans="1:11">
      <c r="A205"/>
      <c r="B205"/>
      <c r="C205"/>
      <c r="D205"/>
      <c r="E205"/>
      <c r="F205"/>
      <c r="G205"/>
      <c r="H205"/>
      <c r="I205"/>
      <c r="J205"/>
      <c r="K205"/>
    </row>
    <row r="206" spans="1:11">
      <c r="A206"/>
      <c r="B206"/>
      <c r="C206"/>
      <c r="D206"/>
      <c r="E206"/>
      <c r="F206"/>
      <c r="G206"/>
      <c r="H206"/>
      <c r="I206"/>
      <c r="J206"/>
      <c r="K206"/>
    </row>
    <row r="207" spans="1:11">
      <c r="A207"/>
      <c r="B207"/>
      <c r="C207"/>
      <c r="D207"/>
      <c r="E207"/>
      <c r="F207"/>
      <c r="G207"/>
      <c r="H207"/>
      <c r="I207"/>
      <c r="J207"/>
      <c r="K207"/>
    </row>
    <row r="208" spans="1:11">
      <c r="A208"/>
      <c r="B208"/>
      <c r="C208"/>
      <c r="D208"/>
      <c r="E208"/>
      <c r="F208"/>
      <c r="G208"/>
      <c r="H208"/>
      <c r="I208"/>
      <c r="J208"/>
      <c r="K208"/>
    </row>
    <row r="209" spans="1:11">
      <c r="A209"/>
      <c r="B209"/>
      <c r="C209"/>
      <c r="D209"/>
      <c r="E209"/>
      <c r="F209"/>
      <c r="G209"/>
      <c r="H209"/>
      <c r="I209"/>
      <c r="J209"/>
      <c r="K209"/>
    </row>
    <row r="210" spans="1:11">
      <c r="A210"/>
      <c r="B210"/>
      <c r="C210"/>
      <c r="D210"/>
      <c r="E210"/>
      <c r="F210"/>
      <c r="G210"/>
      <c r="H210"/>
      <c r="I210"/>
      <c r="J210"/>
      <c r="K210"/>
    </row>
    <row r="211" spans="1:11">
      <c r="A211"/>
      <c r="B211"/>
      <c r="C211"/>
      <c r="D211"/>
      <c r="E211"/>
      <c r="F211"/>
      <c r="G211"/>
      <c r="H211"/>
      <c r="I211"/>
      <c r="J211"/>
      <c r="K211"/>
    </row>
    <row r="212" spans="1:11">
      <c r="A212"/>
      <c r="B212"/>
      <c r="C212"/>
      <c r="D212"/>
      <c r="E212"/>
      <c r="F212"/>
      <c r="G212"/>
      <c r="H212"/>
      <c r="I212"/>
      <c r="J212"/>
      <c r="K212"/>
    </row>
    <row r="213" spans="1:11">
      <c r="A213"/>
      <c r="B213"/>
      <c r="C213"/>
      <c r="D213"/>
      <c r="E213"/>
      <c r="F213"/>
      <c r="G213"/>
      <c r="H213"/>
      <c r="I213"/>
      <c r="J213"/>
      <c r="K213"/>
    </row>
    <row r="214" spans="1:11">
      <c r="A214"/>
      <c r="B214"/>
      <c r="C214"/>
      <c r="D214"/>
      <c r="E214"/>
      <c r="F214"/>
      <c r="G214"/>
      <c r="H214"/>
      <c r="I214"/>
      <c r="J214"/>
      <c r="K214"/>
    </row>
    <row r="215" spans="1:11">
      <c r="A215"/>
      <c r="B215"/>
      <c r="C215"/>
      <c r="D215"/>
      <c r="E215"/>
      <c r="F215"/>
      <c r="G215"/>
      <c r="H215"/>
      <c r="I215"/>
      <c r="J215"/>
      <c r="K215"/>
    </row>
    <row r="216" spans="1:11">
      <c r="A216"/>
      <c r="B216"/>
      <c r="C216"/>
      <c r="D216"/>
      <c r="E216"/>
      <c r="F216"/>
      <c r="G216"/>
      <c r="H216"/>
      <c r="I216"/>
      <c r="J216"/>
      <c r="K216"/>
    </row>
    <row r="217" spans="1:11">
      <c r="A217"/>
      <c r="B217"/>
      <c r="C217"/>
      <c r="D217"/>
      <c r="E217"/>
      <c r="F217"/>
      <c r="G217"/>
      <c r="H217"/>
      <c r="I217"/>
      <c r="J217"/>
      <c r="K217"/>
    </row>
    <row r="218" spans="1:11">
      <c r="A218"/>
      <c r="B218"/>
      <c r="C218"/>
      <c r="D218"/>
      <c r="E218"/>
      <c r="F218"/>
      <c r="G218"/>
      <c r="H218"/>
      <c r="I218"/>
      <c r="J218"/>
      <c r="K218"/>
    </row>
    <row r="219" spans="1:11">
      <c r="A219"/>
      <c r="B219"/>
      <c r="C219"/>
      <c r="D219"/>
      <c r="E219"/>
      <c r="F219"/>
      <c r="G219"/>
      <c r="H219"/>
      <c r="I219"/>
      <c r="J219"/>
      <c r="K219"/>
    </row>
    <row r="220" spans="1:11">
      <c r="A220"/>
      <c r="B220"/>
      <c r="C220"/>
      <c r="D220"/>
      <c r="E220"/>
      <c r="F220"/>
      <c r="G220"/>
      <c r="H220"/>
      <c r="I220"/>
      <c r="J220"/>
      <c r="K220"/>
    </row>
    <row r="221" spans="1:11">
      <c r="A221"/>
      <c r="B221"/>
      <c r="C221"/>
      <c r="D221"/>
      <c r="E221"/>
      <c r="F221"/>
      <c r="G221"/>
      <c r="H221"/>
      <c r="I221"/>
      <c r="J221"/>
      <c r="K221"/>
    </row>
    <row r="222" spans="1:11">
      <c r="A222"/>
      <c r="B222"/>
      <c r="C222"/>
      <c r="D222"/>
      <c r="E222"/>
      <c r="F222"/>
      <c r="G222"/>
      <c r="H222"/>
      <c r="I222"/>
      <c r="J222"/>
      <c r="K222"/>
    </row>
    <row r="223" spans="1:11">
      <c r="A223"/>
      <c r="B223"/>
      <c r="C223"/>
      <c r="D223"/>
      <c r="E223"/>
      <c r="F223"/>
      <c r="G223"/>
      <c r="H223"/>
      <c r="I223"/>
      <c r="J223"/>
      <c r="K223"/>
    </row>
    <row r="224" spans="1:11">
      <c r="A224"/>
      <c r="B224"/>
      <c r="C224"/>
      <c r="D224"/>
      <c r="E224"/>
      <c r="F224"/>
      <c r="G224"/>
      <c r="H224"/>
      <c r="I224"/>
      <c r="J224"/>
      <c r="K224"/>
    </row>
    <row r="225" spans="1:11">
      <c r="A225"/>
      <c r="B225"/>
      <c r="C225"/>
      <c r="D225"/>
      <c r="E225"/>
      <c r="F225"/>
      <c r="G225"/>
      <c r="H225"/>
      <c r="I225"/>
      <c r="J225"/>
      <c r="K225"/>
    </row>
    <row r="226" spans="1:11">
      <c r="A226"/>
      <c r="B226"/>
      <c r="C226"/>
      <c r="D226"/>
      <c r="E226"/>
      <c r="F226"/>
      <c r="G226"/>
      <c r="H226"/>
      <c r="I226"/>
      <c r="J226"/>
      <c r="K226"/>
    </row>
    <row r="227" spans="1:11">
      <c r="A227"/>
      <c r="B227"/>
      <c r="C227"/>
      <c r="D227"/>
      <c r="E227"/>
      <c r="F227"/>
      <c r="G227"/>
      <c r="H227"/>
      <c r="I227"/>
      <c r="J227"/>
      <c r="K227"/>
    </row>
    <row r="228" spans="1:11">
      <c r="A228"/>
      <c r="B228"/>
      <c r="C228"/>
      <c r="D228"/>
      <c r="E228"/>
      <c r="F228"/>
      <c r="G228"/>
      <c r="H228"/>
      <c r="I228"/>
      <c r="J228"/>
      <c r="K228"/>
    </row>
    <row r="229" spans="1:11">
      <c r="A229"/>
      <c r="B229"/>
      <c r="C229"/>
      <c r="D229"/>
      <c r="E229"/>
      <c r="F229"/>
      <c r="G229"/>
      <c r="H229"/>
      <c r="I229"/>
      <c r="J229"/>
      <c r="K229"/>
    </row>
    <row r="230" spans="1:11">
      <c r="A230"/>
      <c r="B230"/>
      <c r="C230"/>
      <c r="D230"/>
      <c r="E230"/>
      <c r="F230"/>
      <c r="G230"/>
      <c r="H230"/>
      <c r="I230"/>
      <c r="J230"/>
      <c r="K230"/>
    </row>
    <row r="231" spans="1:11">
      <c r="A231"/>
      <c r="B231"/>
      <c r="C231"/>
      <c r="D231"/>
      <c r="E231"/>
      <c r="F231"/>
      <c r="G231"/>
      <c r="H231"/>
      <c r="I231"/>
      <c r="J231"/>
      <c r="K231"/>
    </row>
    <row r="232" spans="1:11">
      <c r="A232"/>
      <c r="B232"/>
      <c r="C232"/>
      <c r="D232"/>
      <c r="E232"/>
      <c r="F232"/>
      <c r="G232"/>
      <c r="H232"/>
      <c r="I232"/>
      <c r="J232"/>
      <c r="K232"/>
    </row>
    <row r="233" spans="1:11">
      <c r="A233"/>
      <c r="B233"/>
      <c r="C233"/>
      <c r="D233"/>
      <c r="E233"/>
      <c r="F233"/>
      <c r="G233"/>
      <c r="H233"/>
      <c r="I233"/>
      <c r="J233"/>
      <c r="K233"/>
    </row>
    <row r="234" spans="1:11">
      <c r="A234"/>
      <c r="B234"/>
      <c r="C234"/>
      <c r="D234"/>
      <c r="E234"/>
      <c r="F234"/>
      <c r="G234"/>
      <c r="H234"/>
      <c r="I234"/>
      <c r="J234"/>
      <c r="K234"/>
    </row>
    <row r="235" spans="1:11">
      <c r="A235"/>
      <c r="B235"/>
      <c r="C235"/>
      <c r="D235"/>
      <c r="E235"/>
      <c r="F235"/>
      <c r="G235"/>
      <c r="H235"/>
      <c r="I235"/>
      <c r="J235"/>
      <c r="K235"/>
    </row>
    <row r="236" spans="1:11">
      <c r="A236"/>
      <c r="B236"/>
      <c r="C236"/>
      <c r="D236"/>
      <c r="E236"/>
      <c r="F236"/>
      <c r="G236"/>
      <c r="H236"/>
      <c r="I236"/>
      <c r="J236"/>
      <c r="K236"/>
    </row>
    <row r="237" spans="1:11">
      <c r="A237"/>
      <c r="B237"/>
      <c r="C237"/>
      <c r="D237"/>
      <c r="E237"/>
      <c r="F237"/>
      <c r="G237"/>
      <c r="H237"/>
      <c r="I237"/>
      <c r="J237"/>
      <c r="K237"/>
    </row>
    <row r="238" spans="1:11">
      <c r="A238"/>
      <c r="B238"/>
      <c r="C238"/>
      <c r="D238"/>
      <c r="E238"/>
      <c r="F238"/>
      <c r="G238"/>
      <c r="H238"/>
      <c r="I238"/>
      <c r="J238"/>
      <c r="K238"/>
    </row>
    <row r="239" spans="1:11">
      <c r="A239"/>
      <c r="B239"/>
      <c r="C239"/>
      <c r="D239"/>
      <c r="E239"/>
      <c r="F239"/>
      <c r="G239"/>
      <c r="H239"/>
      <c r="I239"/>
      <c r="J239"/>
      <c r="K239"/>
    </row>
    <row r="240" spans="1:11">
      <c r="A240"/>
      <c r="B240"/>
      <c r="C240"/>
      <c r="D240"/>
      <c r="E240"/>
      <c r="F240"/>
      <c r="G240"/>
      <c r="H240"/>
      <c r="I240"/>
      <c r="J240"/>
      <c r="K240"/>
    </row>
    <row r="241" spans="1:11">
      <c r="A241"/>
      <c r="B241"/>
      <c r="C241"/>
      <c r="D241"/>
      <c r="E241"/>
      <c r="F241"/>
      <c r="G241"/>
      <c r="H241"/>
      <c r="I241"/>
      <c r="J241"/>
      <c r="K241"/>
    </row>
    <row r="242" spans="1:11">
      <c r="A242"/>
      <c r="B242"/>
      <c r="C242"/>
      <c r="D242"/>
      <c r="E242"/>
      <c r="F242"/>
      <c r="G242"/>
      <c r="H242"/>
      <c r="I242"/>
      <c r="J242"/>
      <c r="K242"/>
    </row>
    <row r="243" spans="1:11">
      <c r="A243"/>
      <c r="B243"/>
      <c r="C243"/>
      <c r="D243"/>
      <c r="E243"/>
      <c r="F243"/>
      <c r="G243"/>
      <c r="H243"/>
      <c r="I243"/>
      <c r="J243"/>
      <c r="K243"/>
    </row>
    <row r="244" spans="1:11">
      <c r="A244"/>
      <c r="B244"/>
      <c r="C244"/>
      <c r="D244"/>
      <c r="E244"/>
      <c r="F244"/>
      <c r="G244"/>
      <c r="H244"/>
      <c r="I244"/>
      <c r="J244"/>
      <c r="K244"/>
    </row>
    <row r="245" spans="1:11">
      <c r="A245"/>
      <c r="B245"/>
      <c r="C245"/>
      <c r="D245"/>
      <c r="E245"/>
      <c r="F245"/>
      <c r="G245"/>
      <c r="H245"/>
      <c r="I245"/>
      <c r="J245"/>
      <c r="K245"/>
    </row>
    <row r="246" spans="1:11">
      <c r="A246"/>
      <c r="B246"/>
      <c r="C246"/>
      <c r="D246"/>
      <c r="E246"/>
      <c r="F246"/>
      <c r="G246"/>
      <c r="H246"/>
      <c r="I246"/>
      <c r="J246"/>
      <c r="K246"/>
    </row>
    <row r="247" spans="1:11">
      <c r="A247"/>
      <c r="B247"/>
      <c r="C247"/>
      <c r="D247"/>
      <c r="E247"/>
      <c r="F247"/>
      <c r="G247"/>
      <c r="H247"/>
      <c r="I247"/>
      <c r="J247"/>
      <c r="K247"/>
    </row>
    <row r="248" spans="1:11">
      <c r="A248"/>
      <c r="B248"/>
      <c r="C248"/>
      <c r="D248"/>
      <c r="E248"/>
      <c r="F248"/>
      <c r="G248"/>
      <c r="H248"/>
      <c r="I248"/>
      <c r="J248"/>
      <c r="K248"/>
    </row>
    <row r="249" spans="1:11">
      <c r="A249"/>
      <c r="B249"/>
      <c r="C249"/>
      <c r="D249"/>
      <c r="E249"/>
      <c r="F249"/>
      <c r="G249"/>
      <c r="H249"/>
      <c r="I249"/>
      <c r="J249"/>
      <c r="K249"/>
    </row>
    <row r="250" spans="1:11">
      <c r="A250"/>
      <c r="B250"/>
      <c r="C250"/>
      <c r="D250"/>
      <c r="E250"/>
      <c r="F250"/>
      <c r="G250"/>
      <c r="H250"/>
      <c r="I250"/>
      <c r="J250"/>
      <c r="K250"/>
    </row>
    <row r="251" spans="1:11">
      <c r="A251"/>
      <c r="B251"/>
      <c r="C251"/>
      <c r="D251"/>
      <c r="E251"/>
      <c r="F251"/>
      <c r="G251"/>
      <c r="H251"/>
      <c r="I251"/>
      <c r="J251"/>
      <c r="K251"/>
    </row>
    <row r="252" spans="1:11">
      <c r="A252"/>
      <c r="B252"/>
      <c r="C252"/>
      <c r="D252"/>
      <c r="E252"/>
      <c r="F252"/>
      <c r="G252"/>
      <c r="H252"/>
      <c r="I252"/>
      <c r="J252"/>
      <c r="K252"/>
    </row>
    <row r="253" spans="1:11">
      <c r="A253"/>
      <c r="B253"/>
      <c r="C253"/>
      <c r="D253"/>
      <c r="E253"/>
      <c r="F253"/>
      <c r="G253"/>
      <c r="H253"/>
      <c r="I253"/>
      <c r="J253"/>
      <c r="K253"/>
    </row>
    <row r="254" spans="1:11">
      <c r="A254"/>
      <c r="B254"/>
      <c r="C254"/>
      <c r="D254"/>
      <c r="E254"/>
      <c r="F254"/>
      <c r="G254"/>
      <c r="H254"/>
      <c r="I254"/>
      <c r="J254"/>
      <c r="K254"/>
    </row>
    <row r="255" spans="1:11">
      <c r="A255"/>
      <c r="B255"/>
      <c r="C255"/>
      <c r="D255"/>
      <c r="E255"/>
      <c r="F255"/>
      <c r="G255"/>
      <c r="H255"/>
      <c r="I255"/>
      <c r="J255"/>
      <c r="K255"/>
    </row>
    <row r="256" spans="1:11">
      <c r="A256"/>
      <c r="B256"/>
      <c r="C256"/>
      <c r="D256"/>
      <c r="E256"/>
      <c r="F256"/>
      <c r="G256"/>
      <c r="H256"/>
      <c r="I256"/>
      <c r="J256"/>
      <c r="K256"/>
    </row>
    <row r="257" spans="1:11">
      <c r="A257"/>
      <c r="B257"/>
      <c r="C257"/>
      <c r="D257"/>
      <c r="E257"/>
      <c r="F257"/>
      <c r="G257"/>
      <c r="H257"/>
      <c r="I257"/>
      <c r="J257"/>
      <c r="K257"/>
    </row>
    <row r="258" spans="1:11">
      <c r="A258"/>
      <c r="B258"/>
      <c r="C258"/>
      <c r="D258"/>
      <c r="E258"/>
      <c r="F258"/>
      <c r="G258"/>
      <c r="H258"/>
      <c r="I258"/>
      <c r="J258"/>
      <c r="K258"/>
    </row>
    <row r="259" spans="1:11">
      <c r="A259"/>
      <c r="B259"/>
      <c r="C259"/>
      <c r="D259"/>
      <c r="E259"/>
      <c r="F259"/>
      <c r="G259"/>
      <c r="H259"/>
      <c r="I259"/>
      <c r="J259"/>
      <c r="K259"/>
    </row>
    <row r="260" spans="1:11">
      <c r="A260"/>
      <c r="B260"/>
      <c r="C260"/>
      <c r="D260"/>
      <c r="E260"/>
      <c r="F260"/>
      <c r="G260"/>
      <c r="H260"/>
      <c r="I260"/>
      <c r="J260"/>
      <c r="K260"/>
    </row>
    <row r="261" spans="1:11">
      <c r="A261"/>
      <c r="B261"/>
      <c r="C261"/>
      <c r="D261"/>
      <c r="E261"/>
      <c r="F261"/>
      <c r="G261"/>
      <c r="H261"/>
      <c r="I261"/>
      <c r="J261"/>
      <c r="K261"/>
    </row>
    <row r="262" spans="1:11">
      <c r="A262"/>
      <c r="B262"/>
      <c r="C262"/>
      <c r="D262"/>
      <c r="E262"/>
      <c r="F262"/>
      <c r="G262"/>
      <c r="H262"/>
      <c r="I262"/>
      <c r="J262"/>
      <c r="K262"/>
    </row>
    <row r="263" spans="1:11">
      <c r="A263"/>
      <c r="B263"/>
      <c r="C263"/>
      <c r="D263"/>
      <c r="E263"/>
      <c r="F263"/>
      <c r="G263"/>
      <c r="H263"/>
      <c r="I263"/>
      <c r="J263"/>
      <c r="K263"/>
    </row>
    <row r="264" spans="1:11">
      <c r="A264"/>
      <c r="B264"/>
      <c r="C264"/>
      <c r="D264"/>
      <c r="E264"/>
      <c r="F264"/>
      <c r="G264"/>
      <c r="H264"/>
      <c r="I264"/>
      <c r="J264"/>
      <c r="K264"/>
    </row>
    <row r="265" spans="1:11">
      <c r="A265"/>
      <c r="B265"/>
      <c r="C265"/>
      <c r="D265"/>
      <c r="E265"/>
      <c r="F265"/>
      <c r="G265"/>
      <c r="H265"/>
      <c r="I265"/>
      <c r="J265"/>
      <c r="K265"/>
    </row>
    <row r="266" spans="1:11">
      <c r="A266"/>
      <c r="B266"/>
      <c r="C266"/>
      <c r="D266"/>
      <c r="E266"/>
      <c r="F266"/>
      <c r="G266"/>
      <c r="H266"/>
      <c r="I266"/>
      <c r="J266"/>
      <c r="K266"/>
    </row>
    <row r="267" spans="1:11">
      <c r="A267"/>
      <c r="B267"/>
      <c r="C267"/>
      <c r="D267"/>
      <c r="E267"/>
      <c r="F267"/>
      <c r="G267"/>
      <c r="H267"/>
      <c r="I267"/>
      <c r="J267"/>
      <c r="K267"/>
    </row>
    <row r="268" spans="1:11">
      <c r="A268"/>
      <c r="B268"/>
      <c r="C268"/>
      <c r="D268"/>
      <c r="E268"/>
      <c r="F268"/>
      <c r="G268"/>
      <c r="H268"/>
      <c r="I268"/>
      <c r="J268"/>
      <c r="K268"/>
    </row>
    <row r="269" spans="1:11">
      <c r="A269"/>
      <c r="B269"/>
      <c r="C269"/>
      <c r="D269"/>
      <c r="E269"/>
      <c r="F269"/>
      <c r="G269"/>
      <c r="H269"/>
      <c r="I269"/>
      <c r="J269"/>
      <c r="K269"/>
    </row>
    <row r="270" spans="1:11">
      <c r="A270"/>
      <c r="B270"/>
      <c r="C270"/>
      <c r="D270"/>
      <c r="E270"/>
      <c r="F270"/>
      <c r="G270"/>
      <c r="H270"/>
      <c r="I270"/>
      <c r="J270"/>
      <c r="K270"/>
    </row>
    <row r="271" spans="1:11">
      <c r="A271"/>
      <c r="B271"/>
      <c r="C271"/>
      <c r="D271"/>
      <c r="E271"/>
      <c r="F271"/>
      <c r="G271"/>
      <c r="H271"/>
      <c r="I271"/>
      <c r="J271"/>
      <c r="K271"/>
    </row>
    <row r="272" spans="1:11">
      <c r="A272"/>
      <c r="B272"/>
      <c r="C272"/>
      <c r="D272"/>
      <c r="E272"/>
      <c r="F272"/>
      <c r="G272"/>
      <c r="H272"/>
      <c r="I272"/>
      <c r="J272"/>
      <c r="K272"/>
    </row>
    <row r="273" spans="1:11">
      <c r="A273"/>
      <c r="B273"/>
      <c r="C273"/>
      <c r="D273"/>
      <c r="E273"/>
      <c r="F273"/>
      <c r="G273"/>
      <c r="H273"/>
      <c r="I273"/>
      <c r="J273"/>
      <c r="K273"/>
    </row>
    <row r="274" spans="1:11">
      <c r="A274"/>
      <c r="B274"/>
      <c r="C274"/>
      <c r="D274"/>
      <c r="E274"/>
      <c r="F274"/>
      <c r="G274"/>
      <c r="H274"/>
      <c r="I274"/>
      <c r="J274"/>
      <c r="K274"/>
    </row>
    <row r="275" spans="1:11">
      <c r="A275"/>
      <c r="B275"/>
      <c r="C275"/>
      <c r="D275"/>
      <c r="E275"/>
      <c r="F275"/>
      <c r="G275"/>
      <c r="H275"/>
      <c r="I275"/>
      <c r="J275"/>
      <c r="K275"/>
    </row>
    <row r="276" spans="1:11">
      <c r="A276"/>
      <c r="B276"/>
      <c r="C276"/>
      <c r="D276"/>
      <c r="E276"/>
      <c r="F276"/>
      <c r="G276"/>
      <c r="H276"/>
      <c r="I276"/>
      <c r="J276"/>
      <c r="K276"/>
    </row>
    <row r="277" spans="1:11">
      <c r="A277"/>
      <c r="B277"/>
      <c r="C277"/>
      <c r="D277"/>
      <c r="E277"/>
      <c r="F277"/>
      <c r="G277"/>
      <c r="H277"/>
      <c r="I277"/>
      <c r="J277"/>
      <c r="K277"/>
    </row>
    <row r="278" spans="1:11">
      <c r="A278"/>
      <c r="B278"/>
      <c r="C278"/>
      <c r="D278"/>
      <c r="E278"/>
      <c r="F278"/>
      <c r="G278"/>
      <c r="H278"/>
      <c r="I278"/>
      <c r="J278"/>
      <c r="K278"/>
    </row>
    <row r="279" spans="1:11">
      <c r="A279"/>
      <c r="B279"/>
      <c r="C279"/>
      <c r="D279"/>
      <c r="E279"/>
      <c r="F279"/>
      <c r="G279"/>
      <c r="H279"/>
      <c r="I279"/>
      <c r="J279"/>
      <c r="K279"/>
    </row>
    <row r="280" spans="1:11">
      <c r="A280"/>
      <c r="B280"/>
      <c r="C280"/>
      <c r="D280"/>
      <c r="E280"/>
      <c r="F280"/>
      <c r="G280"/>
      <c r="H280"/>
      <c r="I280"/>
      <c r="J280"/>
      <c r="K280"/>
    </row>
    <row r="281" spans="1:11">
      <c r="A281"/>
      <c r="B281"/>
      <c r="C281"/>
      <c r="D281"/>
      <c r="E281"/>
      <c r="F281"/>
      <c r="G281"/>
      <c r="H281"/>
      <c r="I281"/>
      <c r="J281"/>
      <c r="K281"/>
    </row>
    <row r="282" spans="1:11">
      <c r="A282"/>
      <c r="B282"/>
      <c r="C282"/>
      <c r="D282"/>
      <c r="E282"/>
      <c r="F282"/>
      <c r="G282"/>
      <c r="H282"/>
      <c r="I282"/>
      <c r="J282"/>
      <c r="K282"/>
    </row>
    <row r="283" spans="1:11">
      <c r="A283"/>
      <c r="B283"/>
      <c r="C283"/>
      <c r="D283"/>
      <c r="E283"/>
      <c r="F283"/>
      <c r="G283"/>
      <c r="H283"/>
      <c r="I283"/>
      <c r="J283"/>
      <c r="K283"/>
    </row>
    <row r="284" spans="1:11">
      <c r="A284"/>
      <c r="B284"/>
      <c r="C284"/>
      <c r="D284"/>
      <c r="E284"/>
      <c r="F284"/>
      <c r="G284"/>
      <c r="H284"/>
      <c r="I284"/>
      <c r="J284"/>
      <c r="K284"/>
    </row>
    <row r="285" spans="1:11">
      <c r="A285"/>
      <c r="B285"/>
      <c r="C285"/>
      <c r="D285"/>
      <c r="E285"/>
      <c r="F285"/>
      <c r="G285"/>
      <c r="H285"/>
      <c r="I285"/>
      <c r="J285"/>
      <c r="K285"/>
    </row>
    <row r="286" spans="1:11">
      <c r="A286"/>
      <c r="B286"/>
      <c r="C286"/>
      <c r="D286"/>
      <c r="E286"/>
      <c r="F286"/>
      <c r="G286"/>
      <c r="H286"/>
      <c r="I286"/>
      <c r="J286"/>
      <c r="K286"/>
    </row>
    <row r="287" spans="1:11">
      <c r="A287"/>
      <c r="B287"/>
      <c r="C287"/>
      <c r="D287"/>
      <c r="E287"/>
      <c r="F287"/>
      <c r="G287"/>
      <c r="H287"/>
      <c r="I287"/>
      <c r="J287"/>
      <c r="K287"/>
    </row>
    <row r="288" spans="1:11">
      <c r="A288"/>
      <c r="B288"/>
      <c r="C288"/>
      <c r="D288"/>
      <c r="E288"/>
      <c r="F288"/>
      <c r="G288"/>
      <c r="H288"/>
      <c r="I288"/>
      <c r="J288"/>
      <c r="K288"/>
    </row>
    <row r="289" spans="1:11">
      <c r="A289"/>
      <c r="B289"/>
      <c r="C289"/>
      <c r="D289"/>
      <c r="E289"/>
      <c r="F289"/>
      <c r="G289"/>
      <c r="H289"/>
      <c r="I289"/>
      <c r="J289"/>
      <c r="K289"/>
    </row>
    <row r="290" spans="1:11">
      <c r="A290"/>
      <c r="B290"/>
      <c r="C290"/>
      <c r="D290"/>
      <c r="E290"/>
      <c r="F290"/>
      <c r="G290"/>
      <c r="H290"/>
      <c r="I290"/>
      <c r="J290"/>
      <c r="K290"/>
    </row>
    <row r="291" spans="1:11">
      <c r="A291"/>
      <c r="B291"/>
      <c r="C291"/>
      <c r="D291"/>
      <c r="E291"/>
      <c r="F291"/>
      <c r="G291"/>
      <c r="H291"/>
      <c r="I291"/>
      <c r="J291"/>
      <c r="K291"/>
    </row>
    <row r="292" spans="1:11">
      <c r="A292"/>
      <c r="B292"/>
      <c r="C292"/>
      <c r="D292"/>
      <c r="E292"/>
      <c r="F292"/>
      <c r="G292"/>
      <c r="H292"/>
      <c r="I292"/>
      <c r="J292"/>
      <c r="K292"/>
    </row>
    <row r="293" spans="1:11">
      <c r="A293"/>
      <c r="B293"/>
      <c r="C293"/>
      <c r="D293"/>
      <c r="E293"/>
      <c r="F293"/>
      <c r="G293"/>
      <c r="H293"/>
      <c r="I293"/>
      <c r="J293"/>
      <c r="K293"/>
    </row>
    <row r="294" spans="1:11">
      <c r="A294"/>
      <c r="B294"/>
      <c r="C294"/>
      <c r="D294"/>
      <c r="E294"/>
      <c r="F294"/>
      <c r="G294"/>
      <c r="H294"/>
      <c r="I294"/>
      <c r="J294"/>
      <c r="K294"/>
    </row>
    <row r="295" spans="1:11">
      <c r="A295"/>
      <c r="B295"/>
      <c r="C295"/>
      <c r="D295"/>
      <c r="E295"/>
      <c r="F295"/>
      <c r="G295"/>
      <c r="H295"/>
      <c r="I295"/>
      <c r="J295"/>
      <c r="K295"/>
    </row>
    <row r="296" spans="1:11">
      <c r="A296"/>
      <c r="B296"/>
      <c r="C296"/>
      <c r="D296"/>
      <c r="E296"/>
      <c r="F296"/>
      <c r="G296"/>
      <c r="H296"/>
      <c r="I296"/>
      <c r="J296"/>
      <c r="K296"/>
    </row>
    <row r="297" spans="1:11">
      <c r="A297"/>
      <c r="B297"/>
      <c r="C297"/>
      <c r="D297"/>
      <c r="E297"/>
      <c r="F297"/>
      <c r="G297"/>
      <c r="H297"/>
      <c r="I297"/>
      <c r="J297"/>
      <c r="K297"/>
    </row>
    <row r="298" spans="1:11">
      <c r="A298"/>
      <c r="B298"/>
      <c r="C298"/>
      <c r="D298"/>
      <c r="E298"/>
      <c r="F298"/>
      <c r="G298"/>
      <c r="H298"/>
      <c r="I298"/>
      <c r="J298"/>
      <c r="K298"/>
    </row>
    <row r="299" spans="1:11">
      <c r="A299"/>
      <c r="B299"/>
      <c r="C299"/>
      <c r="D299"/>
      <c r="E299"/>
      <c r="F299"/>
      <c r="G299"/>
      <c r="H299"/>
      <c r="I299"/>
      <c r="J299"/>
      <c r="K299"/>
    </row>
    <row r="300" spans="1:11">
      <c r="A300"/>
      <c r="B300"/>
      <c r="C300"/>
      <c r="D300"/>
      <c r="E300"/>
      <c r="F300"/>
      <c r="G300"/>
      <c r="H300"/>
      <c r="I300"/>
      <c r="J300"/>
      <c r="K300"/>
    </row>
    <row r="301" spans="1:11">
      <c r="A301"/>
      <c r="B301"/>
      <c r="C301"/>
      <c r="D301"/>
      <c r="E301"/>
      <c r="F301"/>
      <c r="G301"/>
      <c r="H301"/>
      <c r="I301"/>
      <c r="J301"/>
      <c r="K301"/>
    </row>
    <row r="302" spans="1:11">
      <c r="A302"/>
      <c r="B302"/>
      <c r="C302"/>
      <c r="D302"/>
      <c r="E302"/>
      <c r="F302"/>
      <c r="G302"/>
      <c r="H302"/>
      <c r="I302"/>
      <c r="J302"/>
      <c r="K302"/>
    </row>
    <row r="303" spans="1:11">
      <c r="A303"/>
      <c r="B303"/>
      <c r="C303"/>
      <c r="D303"/>
      <c r="E303"/>
      <c r="F303"/>
      <c r="G303"/>
      <c r="H303"/>
      <c r="I303"/>
      <c r="J303"/>
      <c r="K303"/>
    </row>
    <row r="304" spans="1:1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/>
      <c r="B305"/>
      <c r="C305"/>
      <c r="D305"/>
      <c r="E305"/>
      <c r="F305"/>
      <c r="G305"/>
      <c r="H305"/>
      <c r="I305"/>
      <c r="J305"/>
      <c r="K305"/>
    </row>
    <row r="306" spans="1:11">
      <c r="A306"/>
      <c r="B306"/>
      <c r="C306"/>
      <c r="D306"/>
      <c r="E306"/>
      <c r="F306"/>
      <c r="G306"/>
      <c r="H306"/>
      <c r="I306"/>
      <c r="J306"/>
      <c r="K306"/>
    </row>
    <row r="307" spans="1:11">
      <c r="A307"/>
      <c r="B307"/>
      <c r="C307"/>
      <c r="D307"/>
      <c r="E307"/>
      <c r="F307"/>
      <c r="G307"/>
      <c r="H307"/>
      <c r="I307"/>
      <c r="J307"/>
      <c r="K307"/>
    </row>
    <row r="308" spans="1:11">
      <c r="A308"/>
      <c r="B308"/>
      <c r="C308"/>
      <c r="D308"/>
      <c r="E308"/>
      <c r="F308"/>
      <c r="G308"/>
      <c r="H308"/>
      <c r="I308"/>
      <c r="J308"/>
      <c r="K308"/>
    </row>
    <row r="309" spans="1:11">
      <c r="A309"/>
      <c r="B309"/>
      <c r="C309"/>
      <c r="D309"/>
      <c r="E309"/>
      <c r="F309"/>
      <c r="G309"/>
      <c r="H309"/>
      <c r="I309"/>
      <c r="J309"/>
      <c r="K309"/>
    </row>
    <row r="310" spans="1:11">
      <c r="A310"/>
      <c r="B310"/>
      <c r="C310"/>
      <c r="D310"/>
      <c r="E310"/>
      <c r="F310"/>
      <c r="G310"/>
      <c r="H310"/>
      <c r="I310"/>
      <c r="J310"/>
      <c r="K310"/>
    </row>
    <row r="311" spans="1:11">
      <c r="A311"/>
      <c r="B311"/>
      <c r="C311"/>
      <c r="D311"/>
      <c r="E311"/>
      <c r="F311"/>
      <c r="G311"/>
      <c r="H311"/>
      <c r="I311"/>
      <c r="J311"/>
      <c r="K311"/>
    </row>
    <row r="312" spans="1:11">
      <c r="A312"/>
      <c r="B312"/>
      <c r="C312"/>
      <c r="D312"/>
      <c r="E312"/>
      <c r="F312"/>
      <c r="G312"/>
      <c r="H312"/>
      <c r="I312"/>
      <c r="J312"/>
      <c r="K312"/>
    </row>
    <row r="313" spans="1:11">
      <c r="A313"/>
      <c r="B313"/>
      <c r="C313"/>
      <c r="D313"/>
      <c r="E313"/>
      <c r="F313"/>
      <c r="G313"/>
      <c r="H313"/>
      <c r="I313"/>
      <c r="J313"/>
      <c r="K313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B322"/>
      <c r="C322"/>
      <c r="D322"/>
      <c r="E322"/>
      <c r="F322"/>
      <c r="G322"/>
      <c r="H322"/>
      <c r="I322"/>
      <c r="J322"/>
      <c r="K322"/>
    </row>
    <row r="323" spans="1:11">
      <c r="A323"/>
      <c r="B323"/>
      <c r="C323"/>
      <c r="D323"/>
      <c r="E323"/>
      <c r="F323"/>
      <c r="G323"/>
      <c r="H323"/>
      <c r="I323"/>
      <c r="J323"/>
      <c r="K323"/>
    </row>
    <row r="324" spans="1:11">
      <c r="A324"/>
      <c r="B324"/>
      <c r="C324"/>
      <c r="D324"/>
      <c r="E324"/>
      <c r="F324"/>
      <c r="G324"/>
      <c r="H324"/>
      <c r="I324"/>
      <c r="J324"/>
      <c r="K324"/>
    </row>
    <row r="325" spans="1:11">
      <c r="A325"/>
      <c r="B325"/>
      <c r="C325"/>
      <c r="D325"/>
      <c r="E325"/>
      <c r="F325"/>
      <c r="G325"/>
      <c r="H325"/>
      <c r="I325"/>
      <c r="J325"/>
      <c r="K325"/>
    </row>
    <row r="326" spans="1:11">
      <c r="A326"/>
      <c r="B326"/>
      <c r="C326"/>
      <c r="D326"/>
      <c r="E326"/>
      <c r="F326"/>
      <c r="G326"/>
      <c r="H326"/>
      <c r="I326"/>
      <c r="J326"/>
      <c r="K326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B335"/>
      <c r="C335"/>
      <c r="D335"/>
      <c r="E335"/>
      <c r="F335"/>
      <c r="G335"/>
      <c r="H335"/>
      <c r="I335"/>
      <c r="J335"/>
      <c r="K335"/>
    </row>
    <row r="336" spans="1:11">
      <c r="A336"/>
      <c r="B336"/>
      <c r="C336"/>
      <c r="D336"/>
      <c r="E336"/>
      <c r="F336"/>
      <c r="G336"/>
      <c r="H336"/>
      <c r="I336"/>
      <c r="J336"/>
      <c r="K336"/>
    </row>
    <row r="337" spans="1:11">
      <c r="A337"/>
      <c r="B337"/>
      <c r="C337"/>
      <c r="D337"/>
      <c r="E337"/>
      <c r="F337"/>
      <c r="G337"/>
      <c r="H337"/>
      <c r="I337"/>
      <c r="J337"/>
      <c r="K337"/>
    </row>
    <row r="338" spans="1:11">
      <c r="A338"/>
      <c r="B338"/>
      <c r="C338"/>
      <c r="D338"/>
      <c r="E338"/>
      <c r="F338"/>
      <c r="G338"/>
      <c r="H338"/>
      <c r="I338"/>
      <c r="J338"/>
      <c r="K338"/>
    </row>
    <row r="339" spans="1:11">
      <c r="A339"/>
      <c r="B339"/>
      <c r="C339"/>
      <c r="D339"/>
      <c r="E339"/>
      <c r="F339"/>
      <c r="G339"/>
      <c r="H339"/>
      <c r="I339"/>
      <c r="J339"/>
      <c r="K339"/>
    </row>
    <row r="340" spans="1:11">
      <c r="A340"/>
      <c r="B340"/>
      <c r="C340"/>
      <c r="D340"/>
      <c r="E340"/>
      <c r="F340"/>
      <c r="G340"/>
      <c r="H340"/>
      <c r="I340"/>
      <c r="J340"/>
      <c r="K340"/>
    </row>
    <row r="341" spans="1:11">
      <c r="A341"/>
      <c r="B341"/>
      <c r="C341"/>
      <c r="D341"/>
      <c r="E341"/>
      <c r="F341"/>
      <c r="G341"/>
      <c r="H341"/>
      <c r="I341"/>
      <c r="J341"/>
      <c r="K341"/>
    </row>
    <row r="342" spans="1:11">
      <c r="A342"/>
      <c r="B342"/>
      <c r="C342"/>
      <c r="D342"/>
      <c r="E342"/>
      <c r="F342"/>
      <c r="G342"/>
      <c r="H342"/>
      <c r="I342"/>
      <c r="J342"/>
      <c r="K342"/>
    </row>
    <row r="343" spans="1:11">
      <c r="A343"/>
      <c r="B343"/>
      <c r="C343"/>
      <c r="D343"/>
      <c r="E343"/>
      <c r="F343"/>
      <c r="G343"/>
      <c r="H343"/>
      <c r="I343"/>
      <c r="J343"/>
      <c r="K343"/>
    </row>
    <row r="344" spans="1:11">
      <c r="A344"/>
      <c r="B344"/>
      <c r="C344"/>
      <c r="D344"/>
      <c r="E344"/>
      <c r="F344"/>
      <c r="G344"/>
      <c r="H344"/>
      <c r="I344"/>
      <c r="J344"/>
      <c r="K344"/>
    </row>
    <row r="345" spans="1:11">
      <c r="A345"/>
      <c r="B345"/>
      <c r="C345"/>
      <c r="D345"/>
      <c r="E345"/>
      <c r="F345"/>
      <c r="G345"/>
      <c r="H345"/>
      <c r="I345"/>
      <c r="J345"/>
      <c r="K345"/>
    </row>
    <row r="346" spans="1:11">
      <c r="A346"/>
      <c r="B346"/>
      <c r="C346"/>
      <c r="D346"/>
      <c r="E346"/>
      <c r="F346"/>
      <c r="G346"/>
      <c r="H346"/>
      <c r="I346"/>
      <c r="J346"/>
      <c r="K346"/>
    </row>
    <row r="347" spans="1:11">
      <c r="A347"/>
      <c r="B347"/>
      <c r="C347"/>
      <c r="D347"/>
      <c r="E347"/>
      <c r="F347"/>
      <c r="G347"/>
      <c r="H347"/>
      <c r="I347"/>
      <c r="J347"/>
      <c r="K347"/>
    </row>
    <row r="348" spans="1:11">
      <c r="A348"/>
      <c r="B348"/>
      <c r="C348"/>
      <c r="D348"/>
      <c r="E348"/>
      <c r="F348"/>
      <c r="G348"/>
      <c r="H348"/>
      <c r="I348"/>
      <c r="J348"/>
      <c r="K348"/>
    </row>
    <row r="349" spans="1:11">
      <c r="A349"/>
      <c r="B349"/>
      <c r="C349"/>
      <c r="D349"/>
      <c r="E349"/>
      <c r="F349"/>
      <c r="G349"/>
      <c r="H349"/>
      <c r="I349"/>
      <c r="J349"/>
      <c r="K349"/>
    </row>
    <row r="350" spans="1:11">
      <c r="A350"/>
      <c r="B350"/>
      <c r="C350"/>
      <c r="D350"/>
      <c r="E350"/>
      <c r="F350"/>
      <c r="G350"/>
      <c r="H350"/>
      <c r="I350"/>
      <c r="J350"/>
      <c r="K350"/>
    </row>
    <row r="351" spans="1:11">
      <c r="A351"/>
      <c r="B351"/>
      <c r="C351"/>
      <c r="D351"/>
      <c r="E351"/>
      <c r="F351"/>
      <c r="G351"/>
      <c r="H351"/>
      <c r="I351"/>
      <c r="J351"/>
      <c r="K351"/>
    </row>
    <row r="352" spans="1:11">
      <c r="A352"/>
      <c r="B352"/>
      <c r="C352"/>
      <c r="D352"/>
      <c r="E352"/>
      <c r="F352"/>
      <c r="G352"/>
      <c r="H352"/>
      <c r="I352"/>
      <c r="J352"/>
      <c r="K352"/>
    </row>
    <row r="353" spans="1:11">
      <c r="A353"/>
      <c r="B353"/>
      <c r="C353"/>
      <c r="D353"/>
      <c r="E353"/>
      <c r="F353"/>
      <c r="G353"/>
      <c r="H353"/>
      <c r="I353"/>
      <c r="J353"/>
      <c r="K353"/>
    </row>
    <row r="354" spans="1:11">
      <c r="A354"/>
      <c r="B354"/>
      <c r="C354"/>
      <c r="D354"/>
      <c r="E354"/>
      <c r="F354"/>
      <c r="G354"/>
      <c r="H354"/>
      <c r="I354"/>
      <c r="J354"/>
      <c r="K354"/>
    </row>
    <row r="355" spans="1:11">
      <c r="A355"/>
      <c r="B355"/>
      <c r="C355"/>
      <c r="D355"/>
      <c r="E355"/>
      <c r="F355"/>
      <c r="G355"/>
      <c r="H355"/>
      <c r="I355"/>
      <c r="J355"/>
      <c r="K355"/>
    </row>
    <row r="356" spans="1:11">
      <c r="A356"/>
      <c r="B356"/>
      <c r="C356"/>
      <c r="D356"/>
      <c r="E356"/>
      <c r="F356"/>
      <c r="G356"/>
      <c r="H356"/>
      <c r="I356"/>
      <c r="J356"/>
      <c r="K356"/>
    </row>
    <row r="357" spans="1:11">
      <c r="A357"/>
      <c r="B357"/>
      <c r="C357"/>
      <c r="D357"/>
      <c r="E357"/>
      <c r="F357"/>
      <c r="G357"/>
      <c r="H357"/>
      <c r="I357"/>
      <c r="J357"/>
      <c r="K357"/>
    </row>
    <row r="358" spans="1:11">
      <c r="A358"/>
      <c r="B358"/>
      <c r="C358"/>
      <c r="D358"/>
      <c r="E358"/>
      <c r="F358"/>
      <c r="G358"/>
      <c r="H358"/>
      <c r="I358"/>
      <c r="J358"/>
      <c r="K358"/>
    </row>
    <row r="359" spans="1:11">
      <c r="A359"/>
      <c r="B359"/>
      <c r="C359"/>
      <c r="D359"/>
      <c r="E359"/>
      <c r="F359"/>
      <c r="G359"/>
      <c r="H359"/>
      <c r="I359"/>
      <c r="J359"/>
      <c r="K359"/>
    </row>
    <row r="360" spans="1:11">
      <c r="A360"/>
      <c r="B360"/>
      <c r="C360"/>
      <c r="D360"/>
      <c r="E360"/>
      <c r="F360"/>
      <c r="G360"/>
      <c r="H360"/>
      <c r="I360"/>
      <c r="J360"/>
      <c r="K360"/>
    </row>
    <row r="361" spans="1:11">
      <c r="A361"/>
      <c r="B361"/>
      <c r="C361"/>
      <c r="D361"/>
      <c r="E361"/>
      <c r="F361"/>
      <c r="G361"/>
      <c r="H361"/>
      <c r="I361"/>
      <c r="J361"/>
      <c r="K361"/>
    </row>
    <row r="362" spans="1:11">
      <c r="A362"/>
      <c r="B362"/>
      <c r="C362"/>
      <c r="D362"/>
      <c r="E362"/>
      <c r="F362"/>
      <c r="G362"/>
      <c r="H362"/>
      <c r="I362"/>
      <c r="J362"/>
      <c r="K362"/>
    </row>
    <row r="363" spans="1:11">
      <c r="A363"/>
      <c r="B363"/>
      <c r="C363"/>
      <c r="D363"/>
      <c r="E363"/>
      <c r="F363"/>
      <c r="G363"/>
      <c r="H363"/>
      <c r="I363"/>
      <c r="J363"/>
      <c r="K363"/>
    </row>
    <row r="364" spans="1:11">
      <c r="A364"/>
      <c r="B364"/>
      <c r="C364"/>
      <c r="D364"/>
      <c r="E364"/>
      <c r="F364"/>
      <c r="G364"/>
      <c r="H364"/>
      <c r="I364"/>
      <c r="J364"/>
      <c r="K364"/>
    </row>
    <row r="365" spans="1:11">
      <c r="A365"/>
      <c r="B365"/>
      <c r="C365"/>
      <c r="D365"/>
      <c r="E365"/>
      <c r="F365"/>
      <c r="G365"/>
      <c r="H365"/>
      <c r="I365"/>
      <c r="J365"/>
      <c r="K365"/>
    </row>
    <row r="366" spans="1:11">
      <c r="A366"/>
      <c r="B366"/>
      <c r="C366"/>
      <c r="D366"/>
      <c r="E366"/>
      <c r="F366"/>
      <c r="G366"/>
      <c r="H366"/>
      <c r="I366"/>
      <c r="J366"/>
      <c r="K366"/>
    </row>
    <row r="367" spans="1:11">
      <c r="A367"/>
      <c r="B367"/>
      <c r="C367"/>
      <c r="D367"/>
      <c r="E367"/>
      <c r="F367"/>
      <c r="G367"/>
      <c r="H367"/>
      <c r="I367"/>
      <c r="J367"/>
      <c r="K367"/>
    </row>
    <row r="368" spans="1:11">
      <c r="A368"/>
      <c r="B368"/>
      <c r="C368"/>
      <c r="D368"/>
      <c r="E368"/>
      <c r="F368"/>
      <c r="G368"/>
      <c r="H368"/>
      <c r="I368"/>
      <c r="J368"/>
      <c r="K368"/>
    </row>
    <row r="369" spans="1:11">
      <c r="A369"/>
      <c r="B369"/>
      <c r="C369"/>
      <c r="D369"/>
      <c r="E369"/>
      <c r="F369"/>
      <c r="G369"/>
      <c r="H369"/>
      <c r="I369"/>
      <c r="J369"/>
      <c r="K369"/>
    </row>
    <row r="370" spans="1:11">
      <c r="A370"/>
      <c r="B370"/>
      <c r="C370"/>
      <c r="D370"/>
      <c r="E370"/>
      <c r="F370"/>
      <c r="G370"/>
      <c r="H370"/>
      <c r="I370"/>
      <c r="J370"/>
      <c r="K370"/>
    </row>
    <row r="371" spans="1:11">
      <c r="A371"/>
      <c r="B371"/>
      <c r="C371"/>
      <c r="D371"/>
      <c r="E371"/>
      <c r="F371"/>
      <c r="G371"/>
      <c r="H371"/>
      <c r="I371"/>
      <c r="J371"/>
      <c r="K371"/>
    </row>
    <row r="372" spans="1:11">
      <c r="A372"/>
      <c r="B372"/>
      <c r="C372"/>
      <c r="D372"/>
      <c r="E372"/>
      <c r="F372"/>
      <c r="G372"/>
      <c r="H372"/>
      <c r="I372"/>
      <c r="J372"/>
      <c r="K372"/>
    </row>
    <row r="373" spans="1:11">
      <c r="A373"/>
      <c r="B373"/>
      <c r="C373"/>
      <c r="D373"/>
      <c r="E373"/>
      <c r="F373"/>
      <c r="G373"/>
      <c r="H373"/>
      <c r="I373"/>
      <c r="J373"/>
      <c r="K373"/>
    </row>
    <row r="374" spans="1:11">
      <c r="A374"/>
      <c r="B374"/>
      <c r="C374"/>
      <c r="D374"/>
      <c r="E374"/>
      <c r="F374"/>
      <c r="G374"/>
      <c r="H374"/>
      <c r="I374"/>
      <c r="J374"/>
      <c r="K374"/>
    </row>
    <row r="375" spans="1:11">
      <c r="A375"/>
      <c r="B375"/>
      <c r="C375"/>
      <c r="D375"/>
      <c r="E375"/>
      <c r="F375"/>
      <c r="G375"/>
      <c r="H375"/>
      <c r="I375"/>
      <c r="J375"/>
      <c r="K375"/>
    </row>
    <row r="376" spans="1:11">
      <c r="A376"/>
      <c r="B376"/>
      <c r="C376"/>
      <c r="D376"/>
      <c r="E376"/>
      <c r="F376"/>
      <c r="G376"/>
      <c r="H376"/>
      <c r="I376"/>
      <c r="J376"/>
      <c r="K376"/>
    </row>
    <row r="377" spans="1:11">
      <c r="A377"/>
      <c r="B377"/>
      <c r="C377"/>
      <c r="D377"/>
      <c r="E377"/>
      <c r="F377"/>
      <c r="G377"/>
      <c r="H377"/>
      <c r="I377"/>
      <c r="J377"/>
      <c r="K377"/>
    </row>
    <row r="378" spans="1:11">
      <c r="A378"/>
      <c r="B378"/>
      <c r="C378"/>
      <c r="D378"/>
      <c r="E378"/>
      <c r="F378"/>
      <c r="G378"/>
      <c r="H378"/>
      <c r="I378"/>
      <c r="J378"/>
      <c r="K378"/>
    </row>
    <row r="379" spans="1:11">
      <c r="A379"/>
      <c r="B379"/>
      <c r="C379"/>
      <c r="D379"/>
      <c r="E379"/>
      <c r="F379"/>
      <c r="G379"/>
      <c r="H379"/>
      <c r="I379"/>
      <c r="J379"/>
      <c r="K379"/>
    </row>
    <row r="380" spans="1:11">
      <c r="A380"/>
      <c r="B380"/>
      <c r="C380"/>
      <c r="D380"/>
      <c r="E380"/>
      <c r="F380"/>
      <c r="G380"/>
      <c r="H380"/>
      <c r="I380"/>
      <c r="J380"/>
      <c r="K380"/>
    </row>
    <row r="381" spans="1:11">
      <c r="A381"/>
      <c r="B381"/>
      <c r="C381"/>
      <c r="D381"/>
      <c r="E381"/>
      <c r="F381"/>
      <c r="G381"/>
      <c r="H381"/>
      <c r="I381"/>
      <c r="J381"/>
      <c r="K381"/>
    </row>
    <row r="382" spans="1:11">
      <c r="A382"/>
      <c r="B382"/>
      <c r="C382"/>
      <c r="D382"/>
      <c r="E382"/>
      <c r="F382"/>
      <c r="G382"/>
      <c r="H382"/>
      <c r="I382"/>
      <c r="J382"/>
      <c r="K382"/>
    </row>
    <row r="383" spans="1:11">
      <c r="A383"/>
      <c r="B383"/>
      <c r="C383"/>
      <c r="D383"/>
      <c r="E383"/>
      <c r="F383"/>
      <c r="G383"/>
      <c r="H383"/>
      <c r="I383"/>
      <c r="J383"/>
      <c r="K383"/>
    </row>
    <row r="384" spans="1:11">
      <c r="A384"/>
      <c r="B384"/>
      <c r="C384"/>
      <c r="D384"/>
      <c r="E384"/>
      <c r="F384"/>
      <c r="G384"/>
      <c r="H384"/>
      <c r="I384"/>
      <c r="J384"/>
      <c r="K384"/>
    </row>
    <row r="385" spans="1:11">
      <c r="A385"/>
      <c r="B385"/>
      <c r="C385"/>
      <c r="D385"/>
      <c r="E385"/>
      <c r="F385"/>
      <c r="G385"/>
      <c r="H385"/>
      <c r="I385"/>
      <c r="J385"/>
      <c r="K385"/>
    </row>
    <row r="386" spans="1:11">
      <c r="A386"/>
      <c r="B386"/>
      <c r="C386"/>
      <c r="D386"/>
      <c r="E386"/>
      <c r="F386"/>
      <c r="G386"/>
      <c r="H386"/>
      <c r="I386"/>
      <c r="J386"/>
      <c r="K386"/>
    </row>
    <row r="387" spans="1:11">
      <c r="A387"/>
      <c r="B387"/>
      <c r="C387"/>
      <c r="D387"/>
      <c r="E387"/>
      <c r="F387"/>
      <c r="G387"/>
      <c r="H387"/>
      <c r="I387"/>
      <c r="J387"/>
      <c r="K387"/>
    </row>
    <row r="388" spans="1:11">
      <c r="A388"/>
      <c r="B388"/>
      <c r="C388"/>
      <c r="D388"/>
      <c r="E388"/>
      <c r="F388"/>
      <c r="G388"/>
      <c r="H388"/>
      <c r="I388"/>
      <c r="J388"/>
      <c r="K388"/>
    </row>
    <row r="389" spans="1:11">
      <c r="A389"/>
      <c r="B389"/>
      <c r="C389"/>
      <c r="D389"/>
      <c r="E389"/>
      <c r="F389"/>
      <c r="G389"/>
      <c r="H389"/>
      <c r="I389"/>
      <c r="J389"/>
      <c r="K389"/>
    </row>
    <row r="390" spans="1:11">
      <c r="A390"/>
      <c r="B390"/>
      <c r="C390"/>
      <c r="D390"/>
      <c r="E390"/>
      <c r="F390"/>
      <c r="G390"/>
      <c r="H390"/>
      <c r="I390"/>
      <c r="J390"/>
      <c r="K390"/>
    </row>
    <row r="391" spans="1:11">
      <c r="A391"/>
      <c r="B391"/>
      <c r="C391"/>
      <c r="D391"/>
      <c r="E391"/>
      <c r="F391"/>
      <c r="G391"/>
      <c r="H391"/>
      <c r="I391"/>
      <c r="J391"/>
      <c r="K391"/>
    </row>
    <row r="392" spans="1:11">
      <c r="A392"/>
      <c r="B392"/>
      <c r="C392"/>
      <c r="D392"/>
      <c r="E392"/>
      <c r="F392"/>
      <c r="G392"/>
      <c r="H392"/>
      <c r="I392"/>
      <c r="J392"/>
      <c r="K392"/>
    </row>
    <row r="393" spans="1:11">
      <c r="A393"/>
      <c r="B393"/>
      <c r="C393"/>
      <c r="D393"/>
      <c r="E393"/>
      <c r="F393"/>
      <c r="G393"/>
      <c r="H393"/>
      <c r="I393"/>
      <c r="J393"/>
      <c r="K393"/>
    </row>
    <row r="394" spans="1:11">
      <c r="A394"/>
      <c r="B394"/>
      <c r="C394"/>
      <c r="D394"/>
      <c r="E394"/>
      <c r="F394"/>
      <c r="G394"/>
      <c r="H394"/>
      <c r="I394"/>
      <c r="J394"/>
      <c r="K394"/>
    </row>
    <row r="395" spans="1:11">
      <c r="A395"/>
      <c r="B395"/>
      <c r="C395"/>
      <c r="D395"/>
      <c r="E395"/>
      <c r="F395"/>
      <c r="G395"/>
      <c r="H395"/>
      <c r="I395"/>
      <c r="J395"/>
      <c r="K395"/>
    </row>
    <row r="396" spans="1:11">
      <c r="A396"/>
      <c r="B396"/>
      <c r="C396"/>
      <c r="D396"/>
      <c r="E396"/>
      <c r="F396"/>
      <c r="G396"/>
      <c r="H396"/>
      <c r="I396"/>
      <c r="J396"/>
      <c r="K396"/>
    </row>
    <row r="397" spans="1:11">
      <c r="A397"/>
      <c r="B397"/>
      <c r="C397"/>
      <c r="D397"/>
      <c r="E397"/>
      <c r="F397"/>
      <c r="G397"/>
      <c r="H397"/>
      <c r="I397"/>
      <c r="J397"/>
      <c r="K397"/>
    </row>
    <row r="398" spans="1:11">
      <c r="A398"/>
      <c r="B398"/>
      <c r="C398"/>
      <c r="D398"/>
      <c r="E398"/>
      <c r="F398"/>
      <c r="G398"/>
      <c r="H398"/>
      <c r="I398"/>
      <c r="J398"/>
      <c r="K398"/>
    </row>
    <row r="399" spans="1:11">
      <c r="A399"/>
      <c r="B399"/>
      <c r="C399"/>
      <c r="D399"/>
      <c r="E399"/>
      <c r="F399"/>
      <c r="G399"/>
      <c r="H399"/>
      <c r="I399"/>
      <c r="J399"/>
      <c r="K399"/>
    </row>
    <row r="400" spans="1:11">
      <c r="A400"/>
      <c r="B400"/>
      <c r="C400"/>
      <c r="D400"/>
      <c r="E400"/>
      <c r="F400"/>
      <c r="G400"/>
      <c r="H400"/>
      <c r="I400"/>
      <c r="J400"/>
      <c r="K400"/>
    </row>
    <row r="401" spans="1:11">
      <c r="A401"/>
      <c r="B401"/>
      <c r="C401"/>
      <c r="D401"/>
      <c r="E401"/>
      <c r="F401"/>
      <c r="G401"/>
      <c r="H401"/>
      <c r="I401"/>
      <c r="J401"/>
      <c r="K401"/>
    </row>
    <row r="402" spans="1:11">
      <c r="A402"/>
      <c r="B402"/>
      <c r="C402"/>
      <c r="D402"/>
      <c r="E402"/>
      <c r="F402"/>
      <c r="G402"/>
      <c r="H402"/>
      <c r="I402"/>
      <c r="J402"/>
      <c r="K402"/>
    </row>
    <row r="403" spans="1:11">
      <c r="A403"/>
      <c r="B403"/>
      <c r="C403"/>
      <c r="D403"/>
      <c r="E403"/>
      <c r="F403"/>
      <c r="G403"/>
      <c r="H403"/>
      <c r="I403"/>
      <c r="J403"/>
      <c r="K403"/>
    </row>
    <row r="404" spans="1:11">
      <c r="A404"/>
      <c r="B404"/>
      <c r="C404"/>
      <c r="D404"/>
      <c r="E404"/>
      <c r="F404"/>
      <c r="G404"/>
      <c r="H404"/>
      <c r="I404"/>
      <c r="J404"/>
      <c r="K404"/>
    </row>
    <row r="405" spans="1:11">
      <c r="A405"/>
      <c r="B405"/>
      <c r="C405"/>
      <c r="D405"/>
      <c r="E405"/>
      <c r="F405"/>
      <c r="G405"/>
      <c r="H405"/>
      <c r="I405"/>
      <c r="J405"/>
      <c r="K405"/>
    </row>
    <row r="406" spans="1:11">
      <c r="A406"/>
      <c r="B406"/>
      <c r="C406"/>
      <c r="D406"/>
      <c r="E406"/>
      <c r="F406"/>
      <c r="G406"/>
      <c r="H406"/>
      <c r="I406"/>
      <c r="J406"/>
      <c r="K406"/>
    </row>
    <row r="407" spans="1:11">
      <c r="A407"/>
      <c r="B407"/>
      <c r="C407"/>
      <c r="D407"/>
      <c r="E407"/>
      <c r="F407"/>
      <c r="G407"/>
      <c r="H407"/>
      <c r="I407"/>
      <c r="J407"/>
      <c r="K407"/>
    </row>
    <row r="408" spans="1:11">
      <c r="A408"/>
      <c r="B408"/>
      <c r="C408"/>
      <c r="D408"/>
      <c r="E408"/>
      <c r="F408"/>
      <c r="G408"/>
      <c r="H408"/>
      <c r="I408"/>
      <c r="J408"/>
      <c r="K408"/>
    </row>
    <row r="409" spans="1:11">
      <c r="A409"/>
      <c r="B409"/>
      <c r="C409"/>
      <c r="D409"/>
      <c r="E409"/>
      <c r="F409"/>
      <c r="G409"/>
      <c r="H409"/>
      <c r="I409"/>
      <c r="J409"/>
      <c r="K409"/>
    </row>
    <row r="410" spans="1:11">
      <c r="A410"/>
      <c r="B410"/>
      <c r="C410"/>
      <c r="D410"/>
      <c r="E410"/>
      <c r="F410"/>
      <c r="G410"/>
      <c r="H410"/>
      <c r="I410"/>
      <c r="J410"/>
      <c r="K410"/>
    </row>
    <row r="411" spans="1:11">
      <c r="A411"/>
      <c r="B411"/>
      <c r="C411"/>
      <c r="D411"/>
      <c r="E411"/>
      <c r="F411"/>
      <c r="G411"/>
      <c r="H411"/>
      <c r="I411"/>
      <c r="J411"/>
      <c r="K411"/>
    </row>
    <row r="412" spans="1:11">
      <c r="A412"/>
      <c r="B412"/>
      <c r="C412"/>
      <c r="D412"/>
      <c r="E412"/>
      <c r="F412"/>
      <c r="G412"/>
      <c r="H412"/>
      <c r="I412"/>
      <c r="J412"/>
      <c r="K412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gacha_unit_tables_200</vt:lpstr>
      <vt:lpstr>gacha_unit_tables_201</vt:lpstr>
      <vt:lpstr>gacha_unit_tables_200.tmp</vt:lpstr>
      <vt:lpstr>gacha_unit_tables_201.tmp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吉澤 曜祐</cp:lastModifiedBy>
  <dcterms:created xsi:type="dcterms:W3CDTF">2015-04-01T12:34:09Z</dcterms:created>
  <dcterms:modified xsi:type="dcterms:W3CDTF">2015-09-29T06:43:10Z</dcterms:modified>
</cp:coreProperties>
</file>