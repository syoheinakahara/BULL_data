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0" yWindow="0" windowWidth="25600" windowHeight="16060" tabRatio="943"/>
  </bookViews>
  <sheets>
    <sheet name="gacha_133_base" sheetId="95" r:id="rId1"/>
    <sheet name="gacha_unit_tables_133" sheetId="82" r:id="rId2"/>
    <sheet name="gacha_unit_tables_134" sheetId="88" r:id="rId3"/>
    <sheet name="gacha_unit_tables_135" sheetId="90" r:id="rId4"/>
    <sheet name="gacha_unit_tables_133.tmp" sheetId="87" r:id="rId5"/>
    <sheet name="gacha_unit_tables_134.tmp" sheetId="89" r:id="rId6"/>
    <sheet name="gacha_unit_tables_135.tmp" sheetId="93" r:id="rId7"/>
  </sheets>
  <externalReferences>
    <externalReference r:id="rId8"/>
  </externalReferences>
  <definedNames>
    <definedName name="_xlnm._FilterDatabase" localSheetId="0" hidden="1">gacha_133_base!$A$1:$B$26</definedName>
    <definedName name="_xlnm._FilterDatabase" localSheetId="1" hidden="1">gacha_unit_tables_133!$B$1:$N$263</definedName>
    <definedName name="_xlnm._FilterDatabase" localSheetId="2" hidden="1">gacha_unit_tables_134!$B$1:$M$255</definedName>
    <definedName name="_xlnm._FilterDatabase" localSheetId="3" hidden="1">gacha_unit_tables_135!$B$1:$M$255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73" i="90" l="1"/>
  <c r="I273" i="90"/>
  <c r="D273" i="90"/>
  <c r="N273" i="90"/>
  <c r="L273" i="90"/>
  <c r="K273" i="90"/>
  <c r="J273" i="90"/>
  <c r="G273" i="90"/>
  <c r="C273" i="90"/>
  <c r="B273" i="90"/>
  <c r="A273" i="90"/>
  <c r="H272" i="90"/>
  <c r="I272" i="90"/>
  <c r="D272" i="90"/>
  <c r="N272" i="90"/>
  <c r="L272" i="90"/>
  <c r="K272" i="90"/>
  <c r="J272" i="90"/>
  <c r="G272" i="90"/>
  <c r="C272" i="90"/>
  <c r="B272" i="90"/>
  <c r="A272" i="90"/>
  <c r="H271" i="90"/>
  <c r="I271" i="90"/>
  <c r="D271" i="90"/>
  <c r="N271" i="90"/>
  <c r="L271" i="90"/>
  <c r="K271" i="90"/>
  <c r="J271" i="90"/>
  <c r="G271" i="90"/>
  <c r="C271" i="90"/>
  <c r="B271" i="90"/>
  <c r="A271" i="90"/>
  <c r="H270" i="90"/>
  <c r="I270" i="90"/>
  <c r="D270" i="90"/>
  <c r="N270" i="90"/>
  <c r="L270" i="90"/>
  <c r="K270" i="90"/>
  <c r="J270" i="90"/>
  <c r="G270" i="90"/>
  <c r="C270" i="90"/>
  <c r="B270" i="90"/>
  <c r="A270" i="90"/>
  <c r="H269" i="90"/>
  <c r="I269" i="90"/>
  <c r="D269" i="90"/>
  <c r="N269" i="90"/>
  <c r="L269" i="90"/>
  <c r="K269" i="90"/>
  <c r="J269" i="90"/>
  <c r="G269" i="90"/>
  <c r="C269" i="90"/>
  <c r="B269" i="90"/>
  <c r="A269" i="90"/>
  <c r="H268" i="90"/>
  <c r="I268" i="90"/>
  <c r="D268" i="90"/>
  <c r="N268" i="90"/>
  <c r="L268" i="90"/>
  <c r="K268" i="90"/>
  <c r="J268" i="90"/>
  <c r="G268" i="90"/>
  <c r="C268" i="90"/>
  <c r="B268" i="90"/>
  <c r="A268" i="90"/>
  <c r="H267" i="90"/>
  <c r="I267" i="90"/>
  <c r="D267" i="90"/>
  <c r="N267" i="90"/>
  <c r="L267" i="90"/>
  <c r="K267" i="90"/>
  <c r="J267" i="90"/>
  <c r="G267" i="90"/>
  <c r="C267" i="90"/>
  <c r="B267" i="90"/>
  <c r="A267" i="90"/>
  <c r="H266" i="90"/>
  <c r="I266" i="90"/>
  <c r="D266" i="90"/>
  <c r="N266" i="90"/>
  <c r="L266" i="90"/>
  <c r="K266" i="90"/>
  <c r="J266" i="90"/>
  <c r="G266" i="90"/>
  <c r="C266" i="90"/>
  <c r="B266" i="90"/>
  <c r="A266" i="90"/>
  <c r="H265" i="90"/>
  <c r="I265" i="90"/>
  <c r="D265" i="90"/>
  <c r="N265" i="90"/>
  <c r="L265" i="90"/>
  <c r="K265" i="90"/>
  <c r="J265" i="90"/>
  <c r="G265" i="90"/>
  <c r="C265" i="90"/>
  <c r="B265" i="90"/>
  <c r="A265" i="90"/>
  <c r="H264" i="90"/>
  <c r="I264" i="90"/>
  <c r="D264" i="90"/>
  <c r="N264" i="90"/>
  <c r="L264" i="90"/>
  <c r="K264" i="90"/>
  <c r="J264" i="90"/>
  <c r="G264" i="90"/>
  <c r="C264" i="90"/>
  <c r="B264" i="90"/>
  <c r="A264" i="90"/>
  <c r="H263" i="90"/>
  <c r="I263" i="90"/>
  <c r="D263" i="90"/>
  <c r="N263" i="90"/>
  <c r="L263" i="90"/>
  <c r="K263" i="90"/>
  <c r="J263" i="90"/>
  <c r="G263" i="90"/>
  <c r="C263" i="90"/>
  <c r="B263" i="90"/>
  <c r="A263" i="90"/>
  <c r="H262" i="90"/>
  <c r="I262" i="90"/>
  <c r="D262" i="90"/>
  <c r="N262" i="90"/>
  <c r="L262" i="90"/>
  <c r="K262" i="90"/>
  <c r="J262" i="90"/>
  <c r="G262" i="90"/>
  <c r="C262" i="90"/>
  <c r="B262" i="90"/>
  <c r="A262" i="90"/>
  <c r="H261" i="90"/>
  <c r="I261" i="90"/>
  <c r="D261" i="90"/>
  <c r="N261" i="90"/>
  <c r="L261" i="90"/>
  <c r="K261" i="90"/>
  <c r="J261" i="90"/>
  <c r="G261" i="90"/>
  <c r="C261" i="90"/>
  <c r="B261" i="90"/>
  <c r="A261" i="90"/>
  <c r="H260" i="90"/>
  <c r="I260" i="90"/>
  <c r="D260" i="90"/>
  <c r="N260" i="90"/>
  <c r="L260" i="90"/>
  <c r="K260" i="90"/>
  <c r="J260" i="90"/>
  <c r="G260" i="90"/>
  <c r="C260" i="90"/>
  <c r="B260" i="90"/>
  <c r="A260" i="90"/>
  <c r="H259" i="90"/>
  <c r="I259" i="90"/>
  <c r="D259" i="90"/>
  <c r="N259" i="90"/>
  <c r="L259" i="90"/>
  <c r="K259" i="90"/>
  <c r="J259" i="90"/>
  <c r="G259" i="90"/>
  <c r="C259" i="90"/>
  <c r="B259" i="90"/>
  <c r="A259" i="90"/>
  <c r="H258" i="90"/>
  <c r="I258" i="90"/>
  <c r="D258" i="90"/>
  <c r="N258" i="90"/>
  <c r="L258" i="90"/>
  <c r="K258" i="90"/>
  <c r="J258" i="90"/>
  <c r="G258" i="90"/>
  <c r="C258" i="90"/>
  <c r="B258" i="90"/>
  <c r="A258" i="90"/>
  <c r="H257" i="90"/>
  <c r="I257" i="90"/>
  <c r="D257" i="90"/>
  <c r="N257" i="90"/>
  <c r="L257" i="90"/>
  <c r="K257" i="90"/>
  <c r="J257" i="90"/>
  <c r="G257" i="90"/>
  <c r="C257" i="90"/>
  <c r="B257" i="90"/>
  <c r="A257" i="90"/>
  <c r="H256" i="90"/>
  <c r="I256" i="90"/>
  <c r="D256" i="90"/>
  <c r="N256" i="90"/>
  <c r="L256" i="90"/>
  <c r="K256" i="90"/>
  <c r="J256" i="90"/>
  <c r="G256" i="90"/>
  <c r="C256" i="90"/>
  <c r="B256" i="90"/>
  <c r="A256" i="90"/>
  <c r="H255" i="90"/>
  <c r="I255" i="90"/>
  <c r="D255" i="90"/>
  <c r="N255" i="90"/>
  <c r="L255" i="90"/>
  <c r="K255" i="90"/>
  <c r="J255" i="90"/>
  <c r="G255" i="90"/>
  <c r="C255" i="90"/>
  <c r="B255" i="90"/>
  <c r="A255" i="90"/>
  <c r="H254" i="90"/>
  <c r="I254" i="90"/>
  <c r="D254" i="90"/>
  <c r="N254" i="90"/>
  <c r="L254" i="90"/>
  <c r="K254" i="90"/>
  <c r="J254" i="90"/>
  <c r="G254" i="90"/>
  <c r="C254" i="90"/>
  <c r="B254" i="90"/>
  <c r="A254" i="90"/>
  <c r="H253" i="90"/>
  <c r="I253" i="90"/>
  <c r="D253" i="90"/>
  <c r="N253" i="90"/>
  <c r="L253" i="90"/>
  <c r="K253" i="90"/>
  <c r="J253" i="90"/>
  <c r="G253" i="90"/>
  <c r="C253" i="90"/>
  <c r="B253" i="90"/>
  <c r="A253" i="90"/>
  <c r="H252" i="90"/>
  <c r="I252" i="90"/>
  <c r="D252" i="90"/>
  <c r="N252" i="90"/>
  <c r="L252" i="90"/>
  <c r="K252" i="90"/>
  <c r="J252" i="90"/>
  <c r="G252" i="90"/>
  <c r="C252" i="90"/>
  <c r="B252" i="90"/>
  <c r="A252" i="90"/>
  <c r="H251" i="90"/>
  <c r="I251" i="90"/>
  <c r="D251" i="90"/>
  <c r="N251" i="90"/>
  <c r="L251" i="90"/>
  <c r="K251" i="90"/>
  <c r="J251" i="90"/>
  <c r="G251" i="90"/>
  <c r="C251" i="90"/>
  <c r="B251" i="90"/>
  <c r="A251" i="90"/>
  <c r="H250" i="90"/>
  <c r="I250" i="90"/>
  <c r="D250" i="90"/>
  <c r="N250" i="90"/>
  <c r="L250" i="90"/>
  <c r="K250" i="90"/>
  <c r="J250" i="90"/>
  <c r="G250" i="90"/>
  <c r="C250" i="90"/>
  <c r="B250" i="90"/>
  <c r="A250" i="90"/>
  <c r="H249" i="90"/>
  <c r="I249" i="90"/>
  <c r="D249" i="90"/>
  <c r="N249" i="90"/>
  <c r="L249" i="90"/>
  <c r="K249" i="90"/>
  <c r="J249" i="90"/>
  <c r="G249" i="90"/>
  <c r="C249" i="90"/>
  <c r="B249" i="90"/>
  <c r="A249" i="90"/>
  <c r="H248" i="90"/>
  <c r="I248" i="90"/>
  <c r="D248" i="90"/>
  <c r="N248" i="90"/>
  <c r="L248" i="90"/>
  <c r="K248" i="90"/>
  <c r="J248" i="90"/>
  <c r="G248" i="90"/>
  <c r="C248" i="90"/>
  <c r="B248" i="90"/>
  <c r="A248" i="90"/>
  <c r="H247" i="90"/>
  <c r="I247" i="90"/>
  <c r="D247" i="90"/>
  <c r="N247" i="90"/>
  <c r="L247" i="90"/>
  <c r="K247" i="90"/>
  <c r="J247" i="90"/>
  <c r="G247" i="90"/>
  <c r="C247" i="90"/>
  <c r="B247" i="90"/>
  <c r="A247" i="90"/>
  <c r="H246" i="90"/>
  <c r="I246" i="90"/>
  <c r="D246" i="90"/>
  <c r="N246" i="90"/>
  <c r="L246" i="90"/>
  <c r="K246" i="90"/>
  <c r="J246" i="90"/>
  <c r="G246" i="90"/>
  <c r="C246" i="90"/>
  <c r="B246" i="90"/>
  <c r="A246" i="90"/>
  <c r="H245" i="90"/>
  <c r="I245" i="90"/>
  <c r="D245" i="90"/>
  <c r="N245" i="90"/>
  <c r="L245" i="90"/>
  <c r="K245" i="90"/>
  <c r="J245" i="90"/>
  <c r="G245" i="90"/>
  <c r="C245" i="90"/>
  <c r="B245" i="90"/>
  <c r="A245" i="90"/>
  <c r="H244" i="90"/>
  <c r="I244" i="90"/>
  <c r="D244" i="90"/>
  <c r="N244" i="90"/>
  <c r="L244" i="90"/>
  <c r="K244" i="90"/>
  <c r="J244" i="90"/>
  <c r="G244" i="90"/>
  <c r="C244" i="90"/>
  <c r="B244" i="90"/>
  <c r="A244" i="90"/>
  <c r="H243" i="90"/>
  <c r="I243" i="90"/>
  <c r="D243" i="90"/>
  <c r="N243" i="90"/>
  <c r="L243" i="90"/>
  <c r="K243" i="90"/>
  <c r="J243" i="90"/>
  <c r="G243" i="90"/>
  <c r="C243" i="90"/>
  <c r="B243" i="90"/>
  <c r="A243" i="90"/>
  <c r="H242" i="90"/>
  <c r="I242" i="90"/>
  <c r="D242" i="90"/>
  <c r="N242" i="90"/>
  <c r="L242" i="90"/>
  <c r="K242" i="90"/>
  <c r="J242" i="90"/>
  <c r="G242" i="90"/>
  <c r="C242" i="90"/>
  <c r="B242" i="90"/>
  <c r="A242" i="90"/>
  <c r="H241" i="90"/>
  <c r="I241" i="90"/>
  <c r="D241" i="90"/>
  <c r="N241" i="90"/>
  <c r="L241" i="90"/>
  <c r="K241" i="90"/>
  <c r="J241" i="90"/>
  <c r="G241" i="90"/>
  <c r="C241" i="90"/>
  <c r="B241" i="90"/>
  <c r="A241" i="90"/>
  <c r="H240" i="90"/>
  <c r="I240" i="90"/>
  <c r="D240" i="90"/>
  <c r="N240" i="90"/>
  <c r="L240" i="90"/>
  <c r="K240" i="90"/>
  <c r="J240" i="90"/>
  <c r="G240" i="90"/>
  <c r="C240" i="90"/>
  <c r="B240" i="90"/>
  <c r="A240" i="90"/>
  <c r="H239" i="90"/>
  <c r="I239" i="90"/>
  <c r="D239" i="90"/>
  <c r="N239" i="90"/>
  <c r="L239" i="90"/>
  <c r="K239" i="90"/>
  <c r="J239" i="90"/>
  <c r="G239" i="90"/>
  <c r="C239" i="90"/>
  <c r="B239" i="90"/>
  <c r="A239" i="90"/>
  <c r="H238" i="90"/>
  <c r="I238" i="90"/>
  <c r="D238" i="90"/>
  <c r="N238" i="90"/>
  <c r="L238" i="90"/>
  <c r="K238" i="90"/>
  <c r="J238" i="90"/>
  <c r="G238" i="90"/>
  <c r="C238" i="90"/>
  <c r="B238" i="90"/>
  <c r="A238" i="90"/>
  <c r="H237" i="90"/>
  <c r="I237" i="90"/>
  <c r="D237" i="90"/>
  <c r="N237" i="90"/>
  <c r="L237" i="90"/>
  <c r="K237" i="90"/>
  <c r="J237" i="90"/>
  <c r="G237" i="90"/>
  <c r="C237" i="90"/>
  <c r="B237" i="90"/>
  <c r="A237" i="90"/>
  <c r="H236" i="90"/>
  <c r="I236" i="90"/>
  <c r="D236" i="90"/>
  <c r="N236" i="90"/>
  <c r="L236" i="90"/>
  <c r="K236" i="90"/>
  <c r="J236" i="90"/>
  <c r="G236" i="90"/>
  <c r="C236" i="90"/>
  <c r="B236" i="90"/>
  <c r="A236" i="90"/>
  <c r="H235" i="90"/>
  <c r="I235" i="90"/>
  <c r="D235" i="90"/>
  <c r="N235" i="90"/>
  <c r="L235" i="90"/>
  <c r="K235" i="90"/>
  <c r="J235" i="90"/>
  <c r="G235" i="90"/>
  <c r="C235" i="90"/>
  <c r="B235" i="90"/>
  <c r="A235" i="90"/>
  <c r="H234" i="90"/>
  <c r="I234" i="90"/>
  <c r="D234" i="90"/>
  <c r="N234" i="90"/>
  <c r="L234" i="90"/>
  <c r="K234" i="90"/>
  <c r="J234" i="90"/>
  <c r="G234" i="90"/>
  <c r="C234" i="90"/>
  <c r="B234" i="90"/>
  <c r="A234" i="90"/>
  <c r="H233" i="90"/>
  <c r="I233" i="90"/>
  <c r="D233" i="90"/>
  <c r="N233" i="90"/>
  <c r="L233" i="90"/>
  <c r="K233" i="90"/>
  <c r="J233" i="90"/>
  <c r="G233" i="90"/>
  <c r="C233" i="90"/>
  <c r="B233" i="90"/>
  <c r="A233" i="90"/>
  <c r="H232" i="90"/>
  <c r="I232" i="90"/>
  <c r="D232" i="90"/>
  <c r="N232" i="90"/>
  <c r="L232" i="90"/>
  <c r="K232" i="90"/>
  <c r="J232" i="90"/>
  <c r="G232" i="90"/>
  <c r="C232" i="90"/>
  <c r="B232" i="90"/>
  <c r="A232" i="90"/>
  <c r="H231" i="90"/>
  <c r="I231" i="90"/>
  <c r="D231" i="90"/>
  <c r="N231" i="90"/>
  <c r="L231" i="90"/>
  <c r="K231" i="90"/>
  <c r="J231" i="90"/>
  <c r="G231" i="90"/>
  <c r="C231" i="90"/>
  <c r="B231" i="90"/>
  <c r="A231" i="90"/>
  <c r="H230" i="90"/>
  <c r="I230" i="90"/>
  <c r="D230" i="90"/>
  <c r="N230" i="90"/>
  <c r="L230" i="90"/>
  <c r="K230" i="90"/>
  <c r="J230" i="90"/>
  <c r="G230" i="90"/>
  <c r="C230" i="90"/>
  <c r="B230" i="90"/>
  <c r="A230" i="90"/>
  <c r="H229" i="90"/>
  <c r="I229" i="90"/>
  <c r="D229" i="90"/>
  <c r="N229" i="90"/>
  <c r="L229" i="90"/>
  <c r="K229" i="90"/>
  <c r="J229" i="90"/>
  <c r="G229" i="90"/>
  <c r="C229" i="90"/>
  <c r="B229" i="90"/>
  <c r="A229" i="90"/>
  <c r="H228" i="90"/>
  <c r="I228" i="90"/>
  <c r="D228" i="90"/>
  <c r="N228" i="90"/>
  <c r="L228" i="90"/>
  <c r="K228" i="90"/>
  <c r="J228" i="90"/>
  <c r="G228" i="90"/>
  <c r="C228" i="90"/>
  <c r="B228" i="90"/>
  <c r="A228" i="90"/>
  <c r="H227" i="90"/>
  <c r="I227" i="90"/>
  <c r="D227" i="90"/>
  <c r="N227" i="90"/>
  <c r="L227" i="90"/>
  <c r="K227" i="90"/>
  <c r="J227" i="90"/>
  <c r="G227" i="90"/>
  <c r="C227" i="90"/>
  <c r="B227" i="90"/>
  <c r="A227" i="90"/>
  <c r="H226" i="90"/>
  <c r="I226" i="90"/>
  <c r="D226" i="90"/>
  <c r="N226" i="90"/>
  <c r="L226" i="90"/>
  <c r="K226" i="90"/>
  <c r="J226" i="90"/>
  <c r="G226" i="90"/>
  <c r="C226" i="90"/>
  <c r="B226" i="90"/>
  <c r="A226" i="90"/>
  <c r="H225" i="90"/>
  <c r="I225" i="90"/>
  <c r="D225" i="90"/>
  <c r="N225" i="90"/>
  <c r="L225" i="90"/>
  <c r="K225" i="90"/>
  <c r="J225" i="90"/>
  <c r="G225" i="90"/>
  <c r="C225" i="90"/>
  <c r="B225" i="90"/>
  <c r="A225" i="90"/>
  <c r="H224" i="90"/>
  <c r="I224" i="90"/>
  <c r="D224" i="90"/>
  <c r="N224" i="90"/>
  <c r="L224" i="90"/>
  <c r="K224" i="90"/>
  <c r="J224" i="90"/>
  <c r="G224" i="90"/>
  <c r="C224" i="90"/>
  <c r="B224" i="90"/>
  <c r="A224" i="90"/>
  <c r="H223" i="90"/>
  <c r="I223" i="90"/>
  <c r="D223" i="90"/>
  <c r="N223" i="90"/>
  <c r="L223" i="90"/>
  <c r="K223" i="90"/>
  <c r="J223" i="90"/>
  <c r="G223" i="90"/>
  <c r="C223" i="90"/>
  <c r="B223" i="90"/>
  <c r="A223" i="90"/>
  <c r="H222" i="90"/>
  <c r="I222" i="90"/>
  <c r="D222" i="90"/>
  <c r="N222" i="90"/>
  <c r="L222" i="90"/>
  <c r="K222" i="90"/>
  <c r="J222" i="90"/>
  <c r="G222" i="90"/>
  <c r="C222" i="90"/>
  <c r="B222" i="90"/>
  <c r="A222" i="90"/>
  <c r="H221" i="90"/>
  <c r="I221" i="90"/>
  <c r="D221" i="90"/>
  <c r="N221" i="90"/>
  <c r="L221" i="90"/>
  <c r="K221" i="90"/>
  <c r="J221" i="90"/>
  <c r="G221" i="90"/>
  <c r="C221" i="90"/>
  <c r="B221" i="90"/>
  <c r="A221" i="90"/>
  <c r="H220" i="90"/>
  <c r="I220" i="90"/>
  <c r="D220" i="90"/>
  <c r="N220" i="90"/>
  <c r="L220" i="90"/>
  <c r="K220" i="90"/>
  <c r="J220" i="90"/>
  <c r="G220" i="90"/>
  <c r="C220" i="90"/>
  <c r="B220" i="90"/>
  <c r="A220" i="90"/>
  <c r="H219" i="90"/>
  <c r="I219" i="90"/>
  <c r="D219" i="90"/>
  <c r="N219" i="90"/>
  <c r="L219" i="90"/>
  <c r="K219" i="90"/>
  <c r="J219" i="90"/>
  <c r="G219" i="90"/>
  <c r="C219" i="90"/>
  <c r="B219" i="90"/>
  <c r="A219" i="90"/>
  <c r="H218" i="90"/>
  <c r="I218" i="90"/>
  <c r="D218" i="90"/>
  <c r="N218" i="90"/>
  <c r="L218" i="90"/>
  <c r="K218" i="90"/>
  <c r="J218" i="90"/>
  <c r="G218" i="90"/>
  <c r="C218" i="90"/>
  <c r="B218" i="90"/>
  <c r="A218" i="90"/>
  <c r="H217" i="90"/>
  <c r="I217" i="90"/>
  <c r="D217" i="90"/>
  <c r="N217" i="90"/>
  <c r="L217" i="90"/>
  <c r="K217" i="90"/>
  <c r="J217" i="90"/>
  <c r="G217" i="90"/>
  <c r="C217" i="90"/>
  <c r="B217" i="90"/>
  <c r="A217" i="90"/>
  <c r="H216" i="90"/>
  <c r="I216" i="90"/>
  <c r="D216" i="90"/>
  <c r="N216" i="90"/>
  <c r="L216" i="90"/>
  <c r="K216" i="90"/>
  <c r="J216" i="90"/>
  <c r="G216" i="90"/>
  <c r="C216" i="90"/>
  <c r="B216" i="90"/>
  <c r="A216" i="90"/>
  <c r="H215" i="90"/>
  <c r="I215" i="90"/>
  <c r="D215" i="90"/>
  <c r="N215" i="90"/>
  <c r="L215" i="90"/>
  <c r="K215" i="90"/>
  <c r="J215" i="90"/>
  <c r="G215" i="90"/>
  <c r="C215" i="90"/>
  <c r="B215" i="90"/>
  <c r="A215" i="90"/>
  <c r="H214" i="90"/>
  <c r="I214" i="90"/>
  <c r="D214" i="90"/>
  <c r="N214" i="90"/>
  <c r="L214" i="90"/>
  <c r="K214" i="90"/>
  <c r="J214" i="90"/>
  <c r="G214" i="90"/>
  <c r="C214" i="90"/>
  <c r="B214" i="90"/>
  <c r="A214" i="90"/>
  <c r="H213" i="90"/>
  <c r="I213" i="90"/>
  <c r="D213" i="90"/>
  <c r="N213" i="90"/>
  <c r="L213" i="90"/>
  <c r="K213" i="90"/>
  <c r="J213" i="90"/>
  <c r="G213" i="90"/>
  <c r="C213" i="90"/>
  <c r="B213" i="90"/>
  <c r="A213" i="90"/>
  <c r="H212" i="90"/>
  <c r="I212" i="90"/>
  <c r="D212" i="90"/>
  <c r="N212" i="90"/>
  <c r="L212" i="90"/>
  <c r="K212" i="90"/>
  <c r="J212" i="90"/>
  <c r="G212" i="90"/>
  <c r="C212" i="90"/>
  <c r="B212" i="90"/>
  <c r="A212" i="90"/>
  <c r="H211" i="90"/>
  <c r="I211" i="90"/>
  <c r="D211" i="90"/>
  <c r="N211" i="90"/>
  <c r="L211" i="90"/>
  <c r="K211" i="90"/>
  <c r="J211" i="90"/>
  <c r="G211" i="90"/>
  <c r="C211" i="90"/>
  <c r="B211" i="90"/>
  <c r="A211" i="90"/>
  <c r="H210" i="90"/>
  <c r="I210" i="90"/>
  <c r="D210" i="90"/>
  <c r="N210" i="90"/>
  <c r="L210" i="90"/>
  <c r="K210" i="90"/>
  <c r="J210" i="90"/>
  <c r="G210" i="90"/>
  <c r="C210" i="90"/>
  <c r="B210" i="90"/>
  <c r="A210" i="90"/>
  <c r="H209" i="90"/>
  <c r="I209" i="90"/>
  <c r="D209" i="90"/>
  <c r="N209" i="90"/>
  <c r="L209" i="90"/>
  <c r="K209" i="90"/>
  <c r="J209" i="90"/>
  <c r="G209" i="90"/>
  <c r="C209" i="90"/>
  <c r="B209" i="90"/>
  <c r="A209" i="90"/>
  <c r="H208" i="90"/>
  <c r="I208" i="90"/>
  <c r="D208" i="90"/>
  <c r="N208" i="90"/>
  <c r="L208" i="90"/>
  <c r="K208" i="90"/>
  <c r="J208" i="90"/>
  <c r="G208" i="90"/>
  <c r="C208" i="90"/>
  <c r="B208" i="90"/>
  <c r="A208" i="90"/>
  <c r="H207" i="90"/>
  <c r="I207" i="90"/>
  <c r="D207" i="90"/>
  <c r="N207" i="90"/>
  <c r="L207" i="90"/>
  <c r="K207" i="90"/>
  <c r="J207" i="90"/>
  <c r="G207" i="90"/>
  <c r="C207" i="90"/>
  <c r="B207" i="90"/>
  <c r="A207" i="90"/>
  <c r="H206" i="90"/>
  <c r="I206" i="90"/>
  <c r="D206" i="90"/>
  <c r="N206" i="90"/>
  <c r="L206" i="90"/>
  <c r="K206" i="90"/>
  <c r="J206" i="90"/>
  <c r="G206" i="90"/>
  <c r="C206" i="90"/>
  <c r="B206" i="90"/>
  <c r="A206" i="90"/>
  <c r="H205" i="90"/>
  <c r="I205" i="90"/>
  <c r="D205" i="90"/>
  <c r="N205" i="90"/>
  <c r="L205" i="90"/>
  <c r="K205" i="90"/>
  <c r="J205" i="90"/>
  <c r="G205" i="90"/>
  <c r="C205" i="90"/>
  <c r="B205" i="90"/>
  <c r="A205" i="90"/>
  <c r="H204" i="90"/>
  <c r="I204" i="90"/>
  <c r="D204" i="90"/>
  <c r="N204" i="90"/>
  <c r="L204" i="90"/>
  <c r="K204" i="90"/>
  <c r="J204" i="90"/>
  <c r="G204" i="90"/>
  <c r="C204" i="90"/>
  <c r="B204" i="90"/>
  <c r="A204" i="90"/>
  <c r="H203" i="90"/>
  <c r="I203" i="90"/>
  <c r="D203" i="90"/>
  <c r="N203" i="90"/>
  <c r="L203" i="90"/>
  <c r="K203" i="90"/>
  <c r="J203" i="90"/>
  <c r="G203" i="90"/>
  <c r="C203" i="90"/>
  <c r="B203" i="90"/>
  <c r="A203" i="90"/>
  <c r="H202" i="90"/>
  <c r="I202" i="90"/>
  <c r="D202" i="90"/>
  <c r="N202" i="90"/>
  <c r="L202" i="90"/>
  <c r="K202" i="90"/>
  <c r="J202" i="90"/>
  <c r="G202" i="90"/>
  <c r="C202" i="90"/>
  <c r="B202" i="90"/>
  <c r="A202" i="90"/>
  <c r="H201" i="90"/>
  <c r="I201" i="90"/>
  <c r="D201" i="90"/>
  <c r="N201" i="90"/>
  <c r="L201" i="90"/>
  <c r="K201" i="90"/>
  <c r="J201" i="90"/>
  <c r="G201" i="90"/>
  <c r="C201" i="90"/>
  <c r="B201" i="90"/>
  <c r="A201" i="90"/>
  <c r="H200" i="90"/>
  <c r="I200" i="90"/>
  <c r="D200" i="90"/>
  <c r="N200" i="90"/>
  <c r="L200" i="90"/>
  <c r="K200" i="90"/>
  <c r="J200" i="90"/>
  <c r="G200" i="90"/>
  <c r="C200" i="90"/>
  <c r="B200" i="90"/>
  <c r="A200" i="90"/>
  <c r="H199" i="90"/>
  <c r="I199" i="90"/>
  <c r="D199" i="90"/>
  <c r="N199" i="90"/>
  <c r="L199" i="90"/>
  <c r="K199" i="90"/>
  <c r="J199" i="90"/>
  <c r="G199" i="90"/>
  <c r="C199" i="90"/>
  <c r="B199" i="90"/>
  <c r="A199" i="90"/>
  <c r="H198" i="90"/>
  <c r="I198" i="90"/>
  <c r="D198" i="90"/>
  <c r="N198" i="90"/>
  <c r="L198" i="90"/>
  <c r="K198" i="90"/>
  <c r="J198" i="90"/>
  <c r="G198" i="90"/>
  <c r="C198" i="90"/>
  <c r="B198" i="90"/>
  <c r="A198" i="90"/>
  <c r="H197" i="90"/>
  <c r="I197" i="90"/>
  <c r="D197" i="90"/>
  <c r="N197" i="90"/>
  <c r="L197" i="90"/>
  <c r="K197" i="90"/>
  <c r="J197" i="90"/>
  <c r="G197" i="90"/>
  <c r="C197" i="90"/>
  <c r="B197" i="90"/>
  <c r="A197" i="90"/>
  <c r="H196" i="90"/>
  <c r="I196" i="90"/>
  <c r="D196" i="90"/>
  <c r="N196" i="90"/>
  <c r="L196" i="90"/>
  <c r="K196" i="90"/>
  <c r="J196" i="90"/>
  <c r="G196" i="90"/>
  <c r="C196" i="90"/>
  <c r="B196" i="90"/>
  <c r="A196" i="90"/>
  <c r="H195" i="90"/>
  <c r="I195" i="90"/>
  <c r="D195" i="90"/>
  <c r="N195" i="90"/>
  <c r="L195" i="90"/>
  <c r="K195" i="90"/>
  <c r="J195" i="90"/>
  <c r="G195" i="90"/>
  <c r="C195" i="90"/>
  <c r="B195" i="90"/>
  <c r="A195" i="90"/>
  <c r="H194" i="90"/>
  <c r="I194" i="90"/>
  <c r="D194" i="90"/>
  <c r="N194" i="90"/>
  <c r="L194" i="90"/>
  <c r="K194" i="90"/>
  <c r="J194" i="90"/>
  <c r="G194" i="90"/>
  <c r="C194" i="90"/>
  <c r="B194" i="90"/>
  <c r="A194" i="90"/>
  <c r="H193" i="90"/>
  <c r="I193" i="90"/>
  <c r="D193" i="90"/>
  <c r="N193" i="90"/>
  <c r="L193" i="90"/>
  <c r="K193" i="90"/>
  <c r="J193" i="90"/>
  <c r="G193" i="90"/>
  <c r="C193" i="90"/>
  <c r="B193" i="90"/>
  <c r="A193" i="90"/>
  <c r="H192" i="90"/>
  <c r="I192" i="90"/>
  <c r="D192" i="90"/>
  <c r="N192" i="90"/>
  <c r="L192" i="90"/>
  <c r="K192" i="90"/>
  <c r="J192" i="90"/>
  <c r="G192" i="90"/>
  <c r="C192" i="90"/>
  <c r="B192" i="90"/>
  <c r="A192" i="90"/>
  <c r="H191" i="90"/>
  <c r="I191" i="90"/>
  <c r="D191" i="90"/>
  <c r="N191" i="90"/>
  <c r="L191" i="90"/>
  <c r="K191" i="90"/>
  <c r="J191" i="90"/>
  <c r="G191" i="90"/>
  <c r="C191" i="90"/>
  <c r="B191" i="90"/>
  <c r="A191" i="90"/>
  <c r="H190" i="90"/>
  <c r="I190" i="90"/>
  <c r="D190" i="90"/>
  <c r="N190" i="90"/>
  <c r="L190" i="90"/>
  <c r="K190" i="90"/>
  <c r="J190" i="90"/>
  <c r="G190" i="90"/>
  <c r="C190" i="90"/>
  <c r="B190" i="90"/>
  <c r="A190" i="90"/>
  <c r="H189" i="90"/>
  <c r="I189" i="90"/>
  <c r="D189" i="90"/>
  <c r="N189" i="90"/>
  <c r="L189" i="90"/>
  <c r="K189" i="90"/>
  <c r="J189" i="90"/>
  <c r="G189" i="90"/>
  <c r="C189" i="90"/>
  <c r="B189" i="90"/>
  <c r="A189" i="90"/>
  <c r="H188" i="90"/>
  <c r="I188" i="90"/>
  <c r="D188" i="90"/>
  <c r="N188" i="90"/>
  <c r="L188" i="90"/>
  <c r="K188" i="90"/>
  <c r="J188" i="90"/>
  <c r="G188" i="90"/>
  <c r="C188" i="90"/>
  <c r="B188" i="90"/>
  <c r="A188" i="90"/>
  <c r="H187" i="90"/>
  <c r="I187" i="90"/>
  <c r="D187" i="90"/>
  <c r="N187" i="90"/>
  <c r="L187" i="90"/>
  <c r="K187" i="90"/>
  <c r="J187" i="90"/>
  <c r="G187" i="90"/>
  <c r="C187" i="90"/>
  <c r="B187" i="90"/>
  <c r="A187" i="90"/>
  <c r="H186" i="90"/>
  <c r="I186" i="90"/>
  <c r="D186" i="90"/>
  <c r="N186" i="90"/>
  <c r="L186" i="90"/>
  <c r="K186" i="90"/>
  <c r="J186" i="90"/>
  <c r="G186" i="90"/>
  <c r="C186" i="90"/>
  <c r="B186" i="90"/>
  <c r="A186" i="90"/>
  <c r="H185" i="90"/>
  <c r="I185" i="90"/>
  <c r="D185" i="90"/>
  <c r="N185" i="90"/>
  <c r="L185" i="90"/>
  <c r="K185" i="90"/>
  <c r="J185" i="90"/>
  <c r="G185" i="90"/>
  <c r="C185" i="90"/>
  <c r="B185" i="90"/>
  <c r="A185" i="90"/>
  <c r="H184" i="90"/>
  <c r="I184" i="90"/>
  <c r="D184" i="90"/>
  <c r="N184" i="90"/>
  <c r="L184" i="90"/>
  <c r="K184" i="90"/>
  <c r="J184" i="90"/>
  <c r="G184" i="90"/>
  <c r="C184" i="90"/>
  <c r="B184" i="90"/>
  <c r="A184" i="90"/>
  <c r="H183" i="90"/>
  <c r="I183" i="90"/>
  <c r="D183" i="90"/>
  <c r="N183" i="90"/>
  <c r="L183" i="90"/>
  <c r="K183" i="90"/>
  <c r="J183" i="90"/>
  <c r="G183" i="90"/>
  <c r="C183" i="90"/>
  <c r="B183" i="90"/>
  <c r="A183" i="90"/>
  <c r="H182" i="90"/>
  <c r="I182" i="90"/>
  <c r="D182" i="90"/>
  <c r="N182" i="90"/>
  <c r="L182" i="90"/>
  <c r="K182" i="90"/>
  <c r="J182" i="90"/>
  <c r="G182" i="90"/>
  <c r="C182" i="90"/>
  <c r="B182" i="90"/>
  <c r="A182" i="90"/>
  <c r="H181" i="90"/>
  <c r="I181" i="90"/>
  <c r="D181" i="90"/>
  <c r="N181" i="90"/>
  <c r="L181" i="90"/>
  <c r="K181" i="90"/>
  <c r="J181" i="90"/>
  <c r="G181" i="90"/>
  <c r="C181" i="90"/>
  <c r="B181" i="90"/>
  <c r="A181" i="90"/>
  <c r="H180" i="90"/>
  <c r="I180" i="90"/>
  <c r="D180" i="90"/>
  <c r="N180" i="90"/>
  <c r="L180" i="90"/>
  <c r="K180" i="90"/>
  <c r="J180" i="90"/>
  <c r="G180" i="90"/>
  <c r="C180" i="90"/>
  <c r="B180" i="90"/>
  <c r="A180" i="90"/>
  <c r="H179" i="90"/>
  <c r="I179" i="90"/>
  <c r="D179" i="90"/>
  <c r="N179" i="90"/>
  <c r="L179" i="90"/>
  <c r="K179" i="90"/>
  <c r="J179" i="90"/>
  <c r="G179" i="90"/>
  <c r="C179" i="90"/>
  <c r="B179" i="90"/>
  <c r="A179" i="90"/>
  <c r="H178" i="90"/>
  <c r="I178" i="90"/>
  <c r="D178" i="90"/>
  <c r="N178" i="90"/>
  <c r="L178" i="90"/>
  <c r="K178" i="90"/>
  <c r="J178" i="90"/>
  <c r="G178" i="90"/>
  <c r="C178" i="90"/>
  <c r="B178" i="90"/>
  <c r="A178" i="90"/>
  <c r="H177" i="90"/>
  <c r="I177" i="90"/>
  <c r="D177" i="90"/>
  <c r="N177" i="90"/>
  <c r="L177" i="90"/>
  <c r="K177" i="90"/>
  <c r="J177" i="90"/>
  <c r="G177" i="90"/>
  <c r="C177" i="90"/>
  <c r="B177" i="90"/>
  <c r="A177" i="90"/>
  <c r="H176" i="90"/>
  <c r="I176" i="90"/>
  <c r="D176" i="90"/>
  <c r="N176" i="90"/>
  <c r="L176" i="90"/>
  <c r="K176" i="90"/>
  <c r="J176" i="90"/>
  <c r="G176" i="90"/>
  <c r="C176" i="90"/>
  <c r="B176" i="90"/>
  <c r="A176" i="90"/>
  <c r="H175" i="90"/>
  <c r="I175" i="90"/>
  <c r="D175" i="90"/>
  <c r="N175" i="90"/>
  <c r="L175" i="90"/>
  <c r="K175" i="90"/>
  <c r="J175" i="90"/>
  <c r="G175" i="90"/>
  <c r="C175" i="90"/>
  <c r="B175" i="90"/>
  <c r="A175" i="90"/>
  <c r="H174" i="90"/>
  <c r="I174" i="90"/>
  <c r="D174" i="90"/>
  <c r="N174" i="90"/>
  <c r="L174" i="90"/>
  <c r="K174" i="90"/>
  <c r="J174" i="90"/>
  <c r="G174" i="90"/>
  <c r="C174" i="90"/>
  <c r="B174" i="90"/>
  <c r="A174" i="90"/>
  <c r="H173" i="90"/>
  <c r="I173" i="90"/>
  <c r="D173" i="90"/>
  <c r="N173" i="90"/>
  <c r="L173" i="90"/>
  <c r="K173" i="90"/>
  <c r="J173" i="90"/>
  <c r="G173" i="90"/>
  <c r="C173" i="90"/>
  <c r="B173" i="90"/>
  <c r="A173" i="90"/>
  <c r="H172" i="90"/>
  <c r="I172" i="90"/>
  <c r="D172" i="90"/>
  <c r="N172" i="90"/>
  <c r="L172" i="90"/>
  <c r="K172" i="90"/>
  <c r="J172" i="90"/>
  <c r="G172" i="90"/>
  <c r="C172" i="90"/>
  <c r="B172" i="90"/>
  <c r="A172" i="90"/>
  <c r="H171" i="90"/>
  <c r="I171" i="90"/>
  <c r="D171" i="90"/>
  <c r="N171" i="90"/>
  <c r="L171" i="90"/>
  <c r="K171" i="90"/>
  <c r="J171" i="90"/>
  <c r="G171" i="90"/>
  <c r="C171" i="90"/>
  <c r="B171" i="90"/>
  <c r="A171" i="90"/>
  <c r="H170" i="90"/>
  <c r="I170" i="90"/>
  <c r="D170" i="90"/>
  <c r="N170" i="90"/>
  <c r="L170" i="90"/>
  <c r="K170" i="90"/>
  <c r="J170" i="90"/>
  <c r="G170" i="90"/>
  <c r="C170" i="90"/>
  <c r="B170" i="90"/>
  <c r="A170" i="90"/>
  <c r="H169" i="90"/>
  <c r="I169" i="90"/>
  <c r="D169" i="90"/>
  <c r="N169" i="90"/>
  <c r="L169" i="90"/>
  <c r="K169" i="90"/>
  <c r="J169" i="90"/>
  <c r="G169" i="90"/>
  <c r="C169" i="90"/>
  <c r="B169" i="90"/>
  <c r="A169" i="90"/>
  <c r="H168" i="90"/>
  <c r="I168" i="90"/>
  <c r="D168" i="90"/>
  <c r="N168" i="90"/>
  <c r="L168" i="90"/>
  <c r="K168" i="90"/>
  <c r="J168" i="90"/>
  <c r="G168" i="90"/>
  <c r="C168" i="90"/>
  <c r="B168" i="90"/>
  <c r="A168" i="90"/>
  <c r="H167" i="90"/>
  <c r="I167" i="90"/>
  <c r="D167" i="90"/>
  <c r="N167" i="90"/>
  <c r="L167" i="90"/>
  <c r="K167" i="90"/>
  <c r="J167" i="90"/>
  <c r="G167" i="90"/>
  <c r="C167" i="90"/>
  <c r="B167" i="90"/>
  <c r="A167" i="90"/>
  <c r="H166" i="90"/>
  <c r="I166" i="90"/>
  <c r="D166" i="90"/>
  <c r="N166" i="90"/>
  <c r="L166" i="90"/>
  <c r="K166" i="90"/>
  <c r="J166" i="90"/>
  <c r="G166" i="90"/>
  <c r="C166" i="90"/>
  <c r="B166" i="90"/>
  <c r="A166" i="90"/>
  <c r="H165" i="90"/>
  <c r="I165" i="90"/>
  <c r="D165" i="90"/>
  <c r="N165" i="90"/>
  <c r="L165" i="90"/>
  <c r="K165" i="90"/>
  <c r="J165" i="90"/>
  <c r="G165" i="90"/>
  <c r="C165" i="90"/>
  <c r="B165" i="90"/>
  <c r="A165" i="90"/>
  <c r="H164" i="90"/>
  <c r="I164" i="90"/>
  <c r="D164" i="90"/>
  <c r="N164" i="90"/>
  <c r="L164" i="90"/>
  <c r="K164" i="90"/>
  <c r="J164" i="90"/>
  <c r="G164" i="90"/>
  <c r="C164" i="90"/>
  <c r="B164" i="90"/>
  <c r="A164" i="90"/>
  <c r="H163" i="90"/>
  <c r="I163" i="90"/>
  <c r="D163" i="90"/>
  <c r="N163" i="90"/>
  <c r="L163" i="90"/>
  <c r="K163" i="90"/>
  <c r="J163" i="90"/>
  <c r="G163" i="90"/>
  <c r="C163" i="90"/>
  <c r="B163" i="90"/>
  <c r="A163" i="90"/>
  <c r="H162" i="90"/>
  <c r="I162" i="90"/>
  <c r="D162" i="90"/>
  <c r="N162" i="90"/>
  <c r="L162" i="90"/>
  <c r="K162" i="90"/>
  <c r="J162" i="90"/>
  <c r="G162" i="90"/>
  <c r="C162" i="90"/>
  <c r="B162" i="90"/>
  <c r="A162" i="90"/>
  <c r="H161" i="90"/>
  <c r="I161" i="90"/>
  <c r="D161" i="90"/>
  <c r="N161" i="90"/>
  <c r="L161" i="90"/>
  <c r="K161" i="90"/>
  <c r="J161" i="90"/>
  <c r="G161" i="90"/>
  <c r="C161" i="90"/>
  <c r="B161" i="90"/>
  <c r="A161" i="90"/>
  <c r="H160" i="90"/>
  <c r="I160" i="90"/>
  <c r="D160" i="90"/>
  <c r="N160" i="90"/>
  <c r="L160" i="90"/>
  <c r="K160" i="90"/>
  <c r="J160" i="90"/>
  <c r="G160" i="90"/>
  <c r="C160" i="90"/>
  <c r="B160" i="90"/>
  <c r="A160" i="90"/>
  <c r="H159" i="90"/>
  <c r="I159" i="90"/>
  <c r="D159" i="90"/>
  <c r="N159" i="90"/>
  <c r="L159" i="90"/>
  <c r="K159" i="90"/>
  <c r="J159" i="90"/>
  <c r="G159" i="90"/>
  <c r="C159" i="90"/>
  <c r="B159" i="90"/>
  <c r="A159" i="90"/>
  <c r="H158" i="90"/>
  <c r="I158" i="90"/>
  <c r="D158" i="90"/>
  <c r="N158" i="90"/>
  <c r="L158" i="90"/>
  <c r="K158" i="90"/>
  <c r="J158" i="90"/>
  <c r="G158" i="90"/>
  <c r="C158" i="90"/>
  <c r="B158" i="90"/>
  <c r="A158" i="90"/>
  <c r="H157" i="90"/>
  <c r="I157" i="90"/>
  <c r="D157" i="90"/>
  <c r="N157" i="90"/>
  <c r="L157" i="90"/>
  <c r="K157" i="90"/>
  <c r="J157" i="90"/>
  <c r="G157" i="90"/>
  <c r="C157" i="90"/>
  <c r="B157" i="90"/>
  <c r="A157" i="90"/>
  <c r="H156" i="90"/>
  <c r="I156" i="90"/>
  <c r="D156" i="90"/>
  <c r="N156" i="90"/>
  <c r="L156" i="90"/>
  <c r="K156" i="90"/>
  <c r="J156" i="90"/>
  <c r="G156" i="90"/>
  <c r="C156" i="90"/>
  <c r="B156" i="90"/>
  <c r="A156" i="90"/>
  <c r="H155" i="90"/>
  <c r="I155" i="90"/>
  <c r="D155" i="90"/>
  <c r="N155" i="90"/>
  <c r="L155" i="90"/>
  <c r="K155" i="90"/>
  <c r="J155" i="90"/>
  <c r="G155" i="90"/>
  <c r="C155" i="90"/>
  <c r="B155" i="90"/>
  <c r="A155" i="90"/>
  <c r="H154" i="90"/>
  <c r="I154" i="90"/>
  <c r="D154" i="90"/>
  <c r="N154" i="90"/>
  <c r="L154" i="90"/>
  <c r="K154" i="90"/>
  <c r="J154" i="90"/>
  <c r="G154" i="90"/>
  <c r="C154" i="90"/>
  <c r="B154" i="90"/>
  <c r="A154" i="90"/>
  <c r="H153" i="90"/>
  <c r="I153" i="90"/>
  <c r="D153" i="90"/>
  <c r="N153" i="90"/>
  <c r="L153" i="90"/>
  <c r="K153" i="90"/>
  <c r="J153" i="90"/>
  <c r="G153" i="90"/>
  <c r="C153" i="90"/>
  <c r="B153" i="90"/>
  <c r="A153" i="90"/>
  <c r="H152" i="90"/>
  <c r="I152" i="90"/>
  <c r="D152" i="90"/>
  <c r="N152" i="90"/>
  <c r="L152" i="90"/>
  <c r="K152" i="90"/>
  <c r="J152" i="90"/>
  <c r="G152" i="90"/>
  <c r="C152" i="90"/>
  <c r="B152" i="90"/>
  <c r="A152" i="90"/>
  <c r="H151" i="90"/>
  <c r="I151" i="90"/>
  <c r="D151" i="90"/>
  <c r="N151" i="90"/>
  <c r="L151" i="90"/>
  <c r="K151" i="90"/>
  <c r="J151" i="90"/>
  <c r="G151" i="90"/>
  <c r="C151" i="90"/>
  <c r="B151" i="90"/>
  <c r="A151" i="90"/>
  <c r="H150" i="90"/>
  <c r="I150" i="90"/>
  <c r="D150" i="90"/>
  <c r="N150" i="90"/>
  <c r="L150" i="90"/>
  <c r="K150" i="90"/>
  <c r="J150" i="90"/>
  <c r="G150" i="90"/>
  <c r="C150" i="90"/>
  <c r="B150" i="90"/>
  <c r="A150" i="90"/>
  <c r="H149" i="90"/>
  <c r="I149" i="90"/>
  <c r="D149" i="90"/>
  <c r="N149" i="90"/>
  <c r="L149" i="90"/>
  <c r="K149" i="90"/>
  <c r="J149" i="90"/>
  <c r="G149" i="90"/>
  <c r="C149" i="90"/>
  <c r="B149" i="90"/>
  <c r="A149" i="90"/>
  <c r="H148" i="90"/>
  <c r="I148" i="90"/>
  <c r="D148" i="90"/>
  <c r="N148" i="90"/>
  <c r="L148" i="90"/>
  <c r="K148" i="90"/>
  <c r="J148" i="90"/>
  <c r="G148" i="90"/>
  <c r="C148" i="90"/>
  <c r="B148" i="90"/>
  <c r="A148" i="90"/>
  <c r="H147" i="90"/>
  <c r="I147" i="90"/>
  <c r="D147" i="90"/>
  <c r="N147" i="90"/>
  <c r="L147" i="90"/>
  <c r="K147" i="90"/>
  <c r="J147" i="90"/>
  <c r="G147" i="90"/>
  <c r="C147" i="90"/>
  <c r="B147" i="90"/>
  <c r="A147" i="90"/>
  <c r="H146" i="90"/>
  <c r="I146" i="90"/>
  <c r="D146" i="90"/>
  <c r="N146" i="90"/>
  <c r="L146" i="90"/>
  <c r="K146" i="90"/>
  <c r="J146" i="90"/>
  <c r="G146" i="90"/>
  <c r="C146" i="90"/>
  <c r="B146" i="90"/>
  <c r="A146" i="90"/>
  <c r="H145" i="90"/>
  <c r="I145" i="90"/>
  <c r="D145" i="90"/>
  <c r="N145" i="90"/>
  <c r="L145" i="90"/>
  <c r="K145" i="90"/>
  <c r="J145" i="90"/>
  <c r="G145" i="90"/>
  <c r="C145" i="90"/>
  <c r="B145" i="90"/>
  <c r="A145" i="90"/>
  <c r="H144" i="90"/>
  <c r="I144" i="90"/>
  <c r="D144" i="90"/>
  <c r="N144" i="90"/>
  <c r="L144" i="90"/>
  <c r="K144" i="90"/>
  <c r="J144" i="90"/>
  <c r="G144" i="90"/>
  <c r="C144" i="90"/>
  <c r="B144" i="90"/>
  <c r="A144" i="90"/>
  <c r="H143" i="90"/>
  <c r="I143" i="90"/>
  <c r="D143" i="90"/>
  <c r="N143" i="90"/>
  <c r="L143" i="90"/>
  <c r="K143" i="90"/>
  <c r="J143" i="90"/>
  <c r="G143" i="90"/>
  <c r="C143" i="90"/>
  <c r="B143" i="90"/>
  <c r="A143" i="90"/>
  <c r="H142" i="90"/>
  <c r="I142" i="90"/>
  <c r="D142" i="90"/>
  <c r="N142" i="90"/>
  <c r="L142" i="90"/>
  <c r="K142" i="90"/>
  <c r="J142" i="90"/>
  <c r="G142" i="90"/>
  <c r="C142" i="90"/>
  <c r="B142" i="90"/>
  <c r="A142" i="90"/>
  <c r="H141" i="90"/>
  <c r="I141" i="90"/>
  <c r="D141" i="90"/>
  <c r="N141" i="90"/>
  <c r="L141" i="90"/>
  <c r="K141" i="90"/>
  <c r="J141" i="90"/>
  <c r="G141" i="90"/>
  <c r="C141" i="90"/>
  <c r="B141" i="90"/>
  <c r="A141" i="90"/>
  <c r="H140" i="90"/>
  <c r="I140" i="90"/>
  <c r="D140" i="90"/>
  <c r="N140" i="90"/>
  <c r="L140" i="90"/>
  <c r="K140" i="90"/>
  <c r="J140" i="90"/>
  <c r="G140" i="90"/>
  <c r="C140" i="90"/>
  <c r="B140" i="90"/>
  <c r="A140" i="90"/>
  <c r="H139" i="90"/>
  <c r="I139" i="90"/>
  <c r="D139" i="90"/>
  <c r="N139" i="90"/>
  <c r="L139" i="90"/>
  <c r="K139" i="90"/>
  <c r="J139" i="90"/>
  <c r="G139" i="90"/>
  <c r="C139" i="90"/>
  <c r="B139" i="90"/>
  <c r="A139" i="90"/>
  <c r="H138" i="90"/>
  <c r="I138" i="90"/>
  <c r="D138" i="90"/>
  <c r="N138" i="90"/>
  <c r="L138" i="90"/>
  <c r="K138" i="90"/>
  <c r="J138" i="90"/>
  <c r="G138" i="90"/>
  <c r="C138" i="90"/>
  <c r="B138" i="90"/>
  <c r="A138" i="90"/>
  <c r="H137" i="90"/>
  <c r="I137" i="90"/>
  <c r="D137" i="90"/>
  <c r="N137" i="90"/>
  <c r="L137" i="90"/>
  <c r="K137" i="90"/>
  <c r="J137" i="90"/>
  <c r="G137" i="90"/>
  <c r="C137" i="90"/>
  <c r="B137" i="90"/>
  <c r="A137" i="90"/>
  <c r="H136" i="90"/>
  <c r="I136" i="90"/>
  <c r="D136" i="90"/>
  <c r="N136" i="90"/>
  <c r="L136" i="90"/>
  <c r="K136" i="90"/>
  <c r="J136" i="90"/>
  <c r="G136" i="90"/>
  <c r="C136" i="90"/>
  <c r="B136" i="90"/>
  <c r="A136" i="90"/>
  <c r="H135" i="90"/>
  <c r="I135" i="90"/>
  <c r="D135" i="90"/>
  <c r="N135" i="90"/>
  <c r="L135" i="90"/>
  <c r="K135" i="90"/>
  <c r="J135" i="90"/>
  <c r="G135" i="90"/>
  <c r="C135" i="90"/>
  <c r="B135" i="90"/>
  <c r="A135" i="90"/>
  <c r="H134" i="90"/>
  <c r="I134" i="90"/>
  <c r="D134" i="90"/>
  <c r="N134" i="90"/>
  <c r="L134" i="90"/>
  <c r="K134" i="90"/>
  <c r="J134" i="90"/>
  <c r="G134" i="90"/>
  <c r="C134" i="90"/>
  <c r="B134" i="90"/>
  <c r="A134" i="90"/>
  <c r="H133" i="90"/>
  <c r="I133" i="90"/>
  <c r="D133" i="90"/>
  <c r="N133" i="90"/>
  <c r="L133" i="90"/>
  <c r="K133" i="90"/>
  <c r="J133" i="90"/>
  <c r="G133" i="90"/>
  <c r="C133" i="90"/>
  <c r="B133" i="90"/>
  <c r="A133" i="90"/>
  <c r="H132" i="90"/>
  <c r="I132" i="90"/>
  <c r="D132" i="90"/>
  <c r="N132" i="90"/>
  <c r="L132" i="90"/>
  <c r="K132" i="90"/>
  <c r="J132" i="90"/>
  <c r="G132" i="90"/>
  <c r="C132" i="90"/>
  <c r="B132" i="90"/>
  <c r="A132" i="90"/>
  <c r="H131" i="90"/>
  <c r="I131" i="90"/>
  <c r="D131" i="90"/>
  <c r="N131" i="90"/>
  <c r="L131" i="90"/>
  <c r="K131" i="90"/>
  <c r="J131" i="90"/>
  <c r="G131" i="90"/>
  <c r="C131" i="90"/>
  <c r="B131" i="90"/>
  <c r="A131" i="90"/>
  <c r="H130" i="90"/>
  <c r="I130" i="90"/>
  <c r="D130" i="90"/>
  <c r="N130" i="90"/>
  <c r="L130" i="90"/>
  <c r="K130" i="90"/>
  <c r="J130" i="90"/>
  <c r="G130" i="90"/>
  <c r="C130" i="90"/>
  <c r="B130" i="90"/>
  <c r="A130" i="90"/>
  <c r="H129" i="90"/>
  <c r="I129" i="90"/>
  <c r="D129" i="90"/>
  <c r="N129" i="90"/>
  <c r="L129" i="90"/>
  <c r="K129" i="90"/>
  <c r="J129" i="90"/>
  <c r="G129" i="90"/>
  <c r="C129" i="90"/>
  <c r="B129" i="90"/>
  <c r="A129" i="90"/>
  <c r="H128" i="90"/>
  <c r="I128" i="90"/>
  <c r="D128" i="90"/>
  <c r="N128" i="90"/>
  <c r="L128" i="90"/>
  <c r="K128" i="90"/>
  <c r="J128" i="90"/>
  <c r="G128" i="90"/>
  <c r="C128" i="90"/>
  <c r="B128" i="90"/>
  <c r="A128" i="90"/>
  <c r="H127" i="90"/>
  <c r="I127" i="90"/>
  <c r="D127" i="90"/>
  <c r="N127" i="90"/>
  <c r="L127" i="90"/>
  <c r="K127" i="90"/>
  <c r="J127" i="90"/>
  <c r="G127" i="90"/>
  <c r="C127" i="90"/>
  <c r="B127" i="90"/>
  <c r="A127" i="90"/>
  <c r="H126" i="90"/>
  <c r="I126" i="90"/>
  <c r="D126" i="90"/>
  <c r="N126" i="90"/>
  <c r="L126" i="90"/>
  <c r="K126" i="90"/>
  <c r="J126" i="90"/>
  <c r="G126" i="90"/>
  <c r="C126" i="90"/>
  <c r="B126" i="90"/>
  <c r="A126" i="90"/>
  <c r="H125" i="90"/>
  <c r="I125" i="90"/>
  <c r="D125" i="90"/>
  <c r="N125" i="90"/>
  <c r="L125" i="90"/>
  <c r="K125" i="90"/>
  <c r="J125" i="90"/>
  <c r="G125" i="90"/>
  <c r="C125" i="90"/>
  <c r="B125" i="90"/>
  <c r="A125" i="90"/>
  <c r="H124" i="90"/>
  <c r="I124" i="90"/>
  <c r="D124" i="90"/>
  <c r="N124" i="90"/>
  <c r="L124" i="90"/>
  <c r="K124" i="90"/>
  <c r="J124" i="90"/>
  <c r="G124" i="90"/>
  <c r="C124" i="90"/>
  <c r="B124" i="90"/>
  <c r="A124" i="90"/>
  <c r="H123" i="90"/>
  <c r="I123" i="90"/>
  <c r="D123" i="90"/>
  <c r="N123" i="90"/>
  <c r="L123" i="90"/>
  <c r="K123" i="90"/>
  <c r="J123" i="90"/>
  <c r="G123" i="90"/>
  <c r="C123" i="90"/>
  <c r="B123" i="90"/>
  <c r="A123" i="90"/>
  <c r="H122" i="90"/>
  <c r="I122" i="90"/>
  <c r="D122" i="90"/>
  <c r="N122" i="90"/>
  <c r="L122" i="90"/>
  <c r="K122" i="90"/>
  <c r="J122" i="90"/>
  <c r="G122" i="90"/>
  <c r="C122" i="90"/>
  <c r="B122" i="90"/>
  <c r="A122" i="90"/>
  <c r="H121" i="90"/>
  <c r="I121" i="90"/>
  <c r="D121" i="90"/>
  <c r="N121" i="90"/>
  <c r="L121" i="90"/>
  <c r="K121" i="90"/>
  <c r="J121" i="90"/>
  <c r="G121" i="90"/>
  <c r="C121" i="90"/>
  <c r="B121" i="90"/>
  <c r="A121" i="90"/>
  <c r="H120" i="90"/>
  <c r="I120" i="90"/>
  <c r="D120" i="90"/>
  <c r="N120" i="90"/>
  <c r="L120" i="90"/>
  <c r="K120" i="90"/>
  <c r="J120" i="90"/>
  <c r="G120" i="90"/>
  <c r="C120" i="90"/>
  <c r="B120" i="90"/>
  <c r="A120" i="90"/>
  <c r="H119" i="90"/>
  <c r="I119" i="90"/>
  <c r="D119" i="90"/>
  <c r="N119" i="90"/>
  <c r="L119" i="90"/>
  <c r="K119" i="90"/>
  <c r="J119" i="90"/>
  <c r="G119" i="90"/>
  <c r="C119" i="90"/>
  <c r="B119" i="90"/>
  <c r="A119" i="90"/>
  <c r="H118" i="90"/>
  <c r="I118" i="90"/>
  <c r="D118" i="90"/>
  <c r="N118" i="90"/>
  <c r="L118" i="90"/>
  <c r="K118" i="90"/>
  <c r="J118" i="90"/>
  <c r="G118" i="90"/>
  <c r="C118" i="90"/>
  <c r="B118" i="90"/>
  <c r="A118" i="90"/>
  <c r="H117" i="90"/>
  <c r="I117" i="90"/>
  <c r="D117" i="90"/>
  <c r="N117" i="90"/>
  <c r="L117" i="90"/>
  <c r="K117" i="90"/>
  <c r="J117" i="90"/>
  <c r="G117" i="90"/>
  <c r="C117" i="90"/>
  <c r="B117" i="90"/>
  <c r="A117" i="90"/>
  <c r="H116" i="90"/>
  <c r="I116" i="90"/>
  <c r="D116" i="90"/>
  <c r="N116" i="90"/>
  <c r="L116" i="90"/>
  <c r="K116" i="90"/>
  <c r="J116" i="90"/>
  <c r="G116" i="90"/>
  <c r="C116" i="90"/>
  <c r="B116" i="90"/>
  <c r="A116" i="90"/>
  <c r="H115" i="90"/>
  <c r="I115" i="90"/>
  <c r="D115" i="90"/>
  <c r="N115" i="90"/>
  <c r="L115" i="90"/>
  <c r="K115" i="90"/>
  <c r="J115" i="90"/>
  <c r="G115" i="90"/>
  <c r="C115" i="90"/>
  <c r="B115" i="90"/>
  <c r="A115" i="90"/>
  <c r="H114" i="90"/>
  <c r="I114" i="90"/>
  <c r="D114" i="90"/>
  <c r="N114" i="90"/>
  <c r="L114" i="90"/>
  <c r="K114" i="90"/>
  <c r="J114" i="90"/>
  <c r="G114" i="90"/>
  <c r="C114" i="90"/>
  <c r="B114" i="90"/>
  <c r="A114" i="90"/>
  <c r="H113" i="90"/>
  <c r="I113" i="90"/>
  <c r="D113" i="90"/>
  <c r="N113" i="90"/>
  <c r="L113" i="90"/>
  <c r="K113" i="90"/>
  <c r="J113" i="90"/>
  <c r="G113" i="90"/>
  <c r="C113" i="90"/>
  <c r="B113" i="90"/>
  <c r="A113" i="90"/>
  <c r="H112" i="90"/>
  <c r="I112" i="90"/>
  <c r="D112" i="90"/>
  <c r="N112" i="90"/>
  <c r="L112" i="90"/>
  <c r="K112" i="90"/>
  <c r="J112" i="90"/>
  <c r="G112" i="90"/>
  <c r="C112" i="90"/>
  <c r="B112" i="90"/>
  <c r="A112" i="90"/>
  <c r="H111" i="90"/>
  <c r="I111" i="90"/>
  <c r="D111" i="90"/>
  <c r="N111" i="90"/>
  <c r="L111" i="90"/>
  <c r="K111" i="90"/>
  <c r="J111" i="90"/>
  <c r="G111" i="90"/>
  <c r="C111" i="90"/>
  <c r="B111" i="90"/>
  <c r="A111" i="90"/>
  <c r="H110" i="90"/>
  <c r="I110" i="90"/>
  <c r="D110" i="90"/>
  <c r="N110" i="90"/>
  <c r="L110" i="90"/>
  <c r="K110" i="90"/>
  <c r="J110" i="90"/>
  <c r="G110" i="90"/>
  <c r="C110" i="90"/>
  <c r="B110" i="90"/>
  <c r="A110" i="90"/>
  <c r="H109" i="90"/>
  <c r="I109" i="90"/>
  <c r="D109" i="90"/>
  <c r="N109" i="90"/>
  <c r="L109" i="90"/>
  <c r="K109" i="90"/>
  <c r="J109" i="90"/>
  <c r="G109" i="90"/>
  <c r="C109" i="90"/>
  <c r="B109" i="90"/>
  <c r="A109" i="90"/>
  <c r="H108" i="90"/>
  <c r="I108" i="90"/>
  <c r="D108" i="90"/>
  <c r="N108" i="90"/>
  <c r="L108" i="90"/>
  <c r="K108" i="90"/>
  <c r="J108" i="90"/>
  <c r="G108" i="90"/>
  <c r="C108" i="90"/>
  <c r="B108" i="90"/>
  <c r="A108" i="90"/>
  <c r="H107" i="90"/>
  <c r="I107" i="90"/>
  <c r="D107" i="90"/>
  <c r="N107" i="90"/>
  <c r="L107" i="90"/>
  <c r="K107" i="90"/>
  <c r="J107" i="90"/>
  <c r="G107" i="90"/>
  <c r="C107" i="90"/>
  <c r="B107" i="90"/>
  <c r="A107" i="90"/>
  <c r="H106" i="90"/>
  <c r="I106" i="90"/>
  <c r="D106" i="90"/>
  <c r="N106" i="90"/>
  <c r="L106" i="90"/>
  <c r="K106" i="90"/>
  <c r="J106" i="90"/>
  <c r="G106" i="90"/>
  <c r="C106" i="90"/>
  <c r="B106" i="90"/>
  <c r="A106" i="90"/>
  <c r="H105" i="90"/>
  <c r="I105" i="90"/>
  <c r="D105" i="90"/>
  <c r="N105" i="90"/>
  <c r="L105" i="90"/>
  <c r="K105" i="90"/>
  <c r="J105" i="90"/>
  <c r="G105" i="90"/>
  <c r="C105" i="90"/>
  <c r="B105" i="90"/>
  <c r="A105" i="90"/>
  <c r="H104" i="90"/>
  <c r="I104" i="90"/>
  <c r="D104" i="90"/>
  <c r="N104" i="90"/>
  <c r="L104" i="90"/>
  <c r="K104" i="90"/>
  <c r="J104" i="90"/>
  <c r="G104" i="90"/>
  <c r="C104" i="90"/>
  <c r="B104" i="90"/>
  <c r="A104" i="90"/>
  <c r="H103" i="90"/>
  <c r="I103" i="90"/>
  <c r="D103" i="90"/>
  <c r="N103" i="90"/>
  <c r="L103" i="90"/>
  <c r="K103" i="90"/>
  <c r="J103" i="90"/>
  <c r="G103" i="90"/>
  <c r="C103" i="90"/>
  <c r="B103" i="90"/>
  <c r="A103" i="90"/>
  <c r="H102" i="90"/>
  <c r="I102" i="90"/>
  <c r="D102" i="90"/>
  <c r="N102" i="90"/>
  <c r="L102" i="90"/>
  <c r="K102" i="90"/>
  <c r="J102" i="90"/>
  <c r="G102" i="90"/>
  <c r="C102" i="90"/>
  <c r="B102" i="90"/>
  <c r="A102" i="90"/>
  <c r="H101" i="90"/>
  <c r="I101" i="90"/>
  <c r="D101" i="90"/>
  <c r="N101" i="90"/>
  <c r="L101" i="90"/>
  <c r="K101" i="90"/>
  <c r="J101" i="90"/>
  <c r="G101" i="90"/>
  <c r="C101" i="90"/>
  <c r="B101" i="90"/>
  <c r="A101" i="90"/>
  <c r="H100" i="90"/>
  <c r="I100" i="90"/>
  <c r="D100" i="90"/>
  <c r="N100" i="90"/>
  <c r="L100" i="90"/>
  <c r="K100" i="90"/>
  <c r="J100" i="90"/>
  <c r="G100" i="90"/>
  <c r="C100" i="90"/>
  <c r="B100" i="90"/>
  <c r="A100" i="90"/>
  <c r="H99" i="90"/>
  <c r="I99" i="90"/>
  <c r="D99" i="90"/>
  <c r="N99" i="90"/>
  <c r="L99" i="90"/>
  <c r="K99" i="90"/>
  <c r="J99" i="90"/>
  <c r="G99" i="90"/>
  <c r="C99" i="90"/>
  <c r="B99" i="90"/>
  <c r="A99" i="90"/>
  <c r="H98" i="90"/>
  <c r="I98" i="90"/>
  <c r="D98" i="90"/>
  <c r="N98" i="90"/>
  <c r="L98" i="90"/>
  <c r="K98" i="90"/>
  <c r="J98" i="90"/>
  <c r="G98" i="90"/>
  <c r="C98" i="90"/>
  <c r="B98" i="90"/>
  <c r="A98" i="90"/>
  <c r="H97" i="90"/>
  <c r="I97" i="90"/>
  <c r="D97" i="90"/>
  <c r="N97" i="90"/>
  <c r="L97" i="90"/>
  <c r="K97" i="90"/>
  <c r="J97" i="90"/>
  <c r="G97" i="90"/>
  <c r="C97" i="90"/>
  <c r="B97" i="90"/>
  <c r="A97" i="90"/>
  <c r="H96" i="90"/>
  <c r="I96" i="90"/>
  <c r="D96" i="90"/>
  <c r="N96" i="90"/>
  <c r="L96" i="90"/>
  <c r="K96" i="90"/>
  <c r="J96" i="90"/>
  <c r="G96" i="90"/>
  <c r="C96" i="90"/>
  <c r="B96" i="90"/>
  <c r="A96" i="90"/>
  <c r="H95" i="90"/>
  <c r="I95" i="90"/>
  <c r="D95" i="90"/>
  <c r="N95" i="90"/>
  <c r="L95" i="90"/>
  <c r="K95" i="90"/>
  <c r="J95" i="90"/>
  <c r="G95" i="90"/>
  <c r="C95" i="90"/>
  <c r="B95" i="90"/>
  <c r="A95" i="90"/>
  <c r="H94" i="90"/>
  <c r="I94" i="90"/>
  <c r="D94" i="90"/>
  <c r="N94" i="90"/>
  <c r="L94" i="90"/>
  <c r="K94" i="90"/>
  <c r="J94" i="90"/>
  <c r="G94" i="90"/>
  <c r="C94" i="90"/>
  <c r="B94" i="90"/>
  <c r="A94" i="90"/>
  <c r="H93" i="90"/>
  <c r="I93" i="90"/>
  <c r="D93" i="90"/>
  <c r="N93" i="90"/>
  <c r="L93" i="90"/>
  <c r="K93" i="90"/>
  <c r="J93" i="90"/>
  <c r="G93" i="90"/>
  <c r="C93" i="90"/>
  <c r="B93" i="90"/>
  <c r="A93" i="90"/>
  <c r="H92" i="90"/>
  <c r="I92" i="90"/>
  <c r="D92" i="90"/>
  <c r="N92" i="90"/>
  <c r="L92" i="90"/>
  <c r="K92" i="90"/>
  <c r="J92" i="90"/>
  <c r="G92" i="90"/>
  <c r="C92" i="90"/>
  <c r="B92" i="90"/>
  <c r="A92" i="90"/>
  <c r="H91" i="90"/>
  <c r="I91" i="90"/>
  <c r="D91" i="90"/>
  <c r="N91" i="90"/>
  <c r="L91" i="90"/>
  <c r="K91" i="90"/>
  <c r="J91" i="90"/>
  <c r="G91" i="90"/>
  <c r="C91" i="90"/>
  <c r="B91" i="90"/>
  <c r="A91" i="90"/>
  <c r="H90" i="90"/>
  <c r="I90" i="90"/>
  <c r="D90" i="90"/>
  <c r="N90" i="90"/>
  <c r="L90" i="90"/>
  <c r="K90" i="90"/>
  <c r="J90" i="90"/>
  <c r="G90" i="90"/>
  <c r="C90" i="90"/>
  <c r="B90" i="90"/>
  <c r="A90" i="90"/>
  <c r="H89" i="90"/>
  <c r="I89" i="90"/>
  <c r="D89" i="90"/>
  <c r="N89" i="90"/>
  <c r="L89" i="90"/>
  <c r="K89" i="90"/>
  <c r="J89" i="90"/>
  <c r="G89" i="90"/>
  <c r="C89" i="90"/>
  <c r="B89" i="90"/>
  <c r="A89" i="90"/>
  <c r="H88" i="90"/>
  <c r="I88" i="90"/>
  <c r="D88" i="90"/>
  <c r="N88" i="90"/>
  <c r="L88" i="90"/>
  <c r="K88" i="90"/>
  <c r="J88" i="90"/>
  <c r="G88" i="90"/>
  <c r="C88" i="90"/>
  <c r="B88" i="90"/>
  <c r="A88" i="90"/>
  <c r="H87" i="90"/>
  <c r="I87" i="90"/>
  <c r="D87" i="90"/>
  <c r="N87" i="90"/>
  <c r="L87" i="90"/>
  <c r="K87" i="90"/>
  <c r="J87" i="90"/>
  <c r="G87" i="90"/>
  <c r="C87" i="90"/>
  <c r="B87" i="90"/>
  <c r="A87" i="90"/>
  <c r="H86" i="90"/>
  <c r="I86" i="90"/>
  <c r="D86" i="90"/>
  <c r="N86" i="90"/>
  <c r="L86" i="90"/>
  <c r="K86" i="90"/>
  <c r="J86" i="90"/>
  <c r="G86" i="90"/>
  <c r="C86" i="90"/>
  <c r="B86" i="90"/>
  <c r="A86" i="90"/>
  <c r="H85" i="90"/>
  <c r="I85" i="90"/>
  <c r="D85" i="90"/>
  <c r="N85" i="90"/>
  <c r="L85" i="90"/>
  <c r="K85" i="90"/>
  <c r="J85" i="90"/>
  <c r="G85" i="90"/>
  <c r="C85" i="90"/>
  <c r="B85" i="90"/>
  <c r="A85" i="90"/>
  <c r="H84" i="90"/>
  <c r="I84" i="90"/>
  <c r="D84" i="90"/>
  <c r="N84" i="90"/>
  <c r="L84" i="90"/>
  <c r="K84" i="90"/>
  <c r="J84" i="90"/>
  <c r="G84" i="90"/>
  <c r="C84" i="90"/>
  <c r="B84" i="90"/>
  <c r="A84" i="90"/>
  <c r="H83" i="90"/>
  <c r="I83" i="90"/>
  <c r="D83" i="90"/>
  <c r="N83" i="90"/>
  <c r="L83" i="90"/>
  <c r="K83" i="90"/>
  <c r="J83" i="90"/>
  <c r="G83" i="90"/>
  <c r="C83" i="90"/>
  <c r="B83" i="90"/>
  <c r="A83" i="90"/>
  <c r="H82" i="90"/>
  <c r="I82" i="90"/>
  <c r="D82" i="90"/>
  <c r="N82" i="90"/>
  <c r="L82" i="90"/>
  <c r="K82" i="90"/>
  <c r="J82" i="90"/>
  <c r="G82" i="90"/>
  <c r="C82" i="90"/>
  <c r="B82" i="90"/>
  <c r="A82" i="90"/>
  <c r="H81" i="90"/>
  <c r="I81" i="90"/>
  <c r="D81" i="90"/>
  <c r="N81" i="90"/>
  <c r="L81" i="90"/>
  <c r="K81" i="90"/>
  <c r="J81" i="90"/>
  <c r="G81" i="90"/>
  <c r="C81" i="90"/>
  <c r="B81" i="90"/>
  <c r="A81" i="90"/>
  <c r="H80" i="90"/>
  <c r="I80" i="90"/>
  <c r="D80" i="90"/>
  <c r="N80" i="90"/>
  <c r="L80" i="90"/>
  <c r="K80" i="90"/>
  <c r="J80" i="90"/>
  <c r="G80" i="90"/>
  <c r="C80" i="90"/>
  <c r="B80" i="90"/>
  <c r="A80" i="90"/>
  <c r="H79" i="90"/>
  <c r="I79" i="90"/>
  <c r="D79" i="90"/>
  <c r="N79" i="90"/>
  <c r="L79" i="90"/>
  <c r="K79" i="90"/>
  <c r="J79" i="90"/>
  <c r="G79" i="90"/>
  <c r="C79" i="90"/>
  <c r="B79" i="90"/>
  <c r="A79" i="90"/>
  <c r="H78" i="90"/>
  <c r="I78" i="90"/>
  <c r="D78" i="90"/>
  <c r="N78" i="90"/>
  <c r="L78" i="90"/>
  <c r="K78" i="90"/>
  <c r="J78" i="90"/>
  <c r="G78" i="90"/>
  <c r="C78" i="90"/>
  <c r="B78" i="90"/>
  <c r="A78" i="90"/>
  <c r="H77" i="90"/>
  <c r="I77" i="90"/>
  <c r="D77" i="90"/>
  <c r="N77" i="90"/>
  <c r="L77" i="90"/>
  <c r="K77" i="90"/>
  <c r="J77" i="90"/>
  <c r="G77" i="90"/>
  <c r="C77" i="90"/>
  <c r="B77" i="90"/>
  <c r="A77" i="90"/>
  <c r="H76" i="90"/>
  <c r="I76" i="90"/>
  <c r="D76" i="90"/>
  <c r="N76" i="90"/>
  <c r="L76" i="90"/>
  <c r="K76" i="90"/>
  <c r="J76" i="90"/>
  <c r="G76" i="90"/>
  <c r="C76" i="90"/>
  <c r="B76" i="90"/>
  <c r="A76" i="90"/>
  <c r="H75" i="90"/>
  <c r="I75" i="90"/>
  <c r="D75" i="90"/>
  <c r="N75" i="90"/>
  <c r="L75" i="90"/>
  <c r="K75" i="90"/>
  <c r="J75" i="90"/>
  <c r="G75" i="90"/>
  <c r="C75" i="90"/>
  <c r="B75" i="90"/>
  <c r="A75" i="90"/>
  <c r="H74" i="90"/>
  <c r="I74" i="90"/>
  <c r="D74" i="90"/>
  <c r="N74" i="90"/>
  <c r="L74" i="90"/>
  <c r="K74" i="90"/>
  <c r="J74" i="90"/>
  <c r="G74" i="90"/>
  <c r="C74" i="90"/>
  <c r="B74" i="90"/>
  <c r="A74" i="90"/>
  <c r="H73" i="90"/>
  <c r="I73" i="90"/>
  <c r="D73" i="90"/>
  <c r="N73" i="90"/>
  <c r="L73" i="90"/>
  <c r="K73" i="90"/>
  <c r="J73" i="90"/>
  <c r="G73" i="90"/>
  <c r="C73" i="90"/>
  <c r="B73" i="90"/>
  <c r="A73" i="90"/>
  <c r="H72" i="90"/>
  <c r="I72" i="90"/>
  <c r="D72" i="90"/>
  <c r="N72" i="90"/>
  <c r="L72" i="90"/>
  <c r="K72" i="90"/>
  <c r="J72" i="90"/>
  <c r="G72" i="90"/>
  <c r="C72" i="90"/>
  <c r="B72" i="90"/>
  <c r="A72" i="90"/>
  <c r="H71" i="90"/>
  <c r="I71" i="90"/>
  <c r="D71" i="90"/>
  <c r="N71" i="90"/>
  <c r="L71" i="90"/>
  <c r="K71" i="90"/>
  <c r="J71" i="90"/>
  <c r="G71" i="90"/>
  <c r="C71" i="90"/>
  <c r="B71" i="90"/>
  <c r="A71" i="90"/>
  <c r="H70" i="90"/>
  <c r="I70" i="90"/>
  <c r="D70" i="90"/>
  <c r="N70" i="90"/>
  <c r="L70" i="90"/>
  <c r="K70" i="90"/>
  <c r="J70" i="90"/>
  <c r="G70" i="90"/>
  <c r="C70" i="90"/>
  <c r="B70" i="90"/>
  <c r="A70" i="90"/>
  <c r="H69" i="90"/>
  <c r="I69" i="90"/>
  <c r="D69" i="90"/>
  <c r="N69" i="90"/>
  <c r="L69" i="90"/>
  <c r="K69" i="90"/>
  <c r="J69" i="90"/>
  <c r="G69" i="90"/>
  <c r="C69" i="90"/>
  <c r="B69" i="90"/>
  <c r="A69" i="90"/>
  <c r="H68" i="90"/>
  <c r="I68" i="90"/>
  <c r="D68" i="90"/>
  <c r="N68" i="90"/>
  <c r="L68" i="90"/>
  <c r="K68" i="90"/>
  <c r="J68" i="90"/>
  <c r="G68" i="90"/>
  <c r="C68" i="90"/>
  <c r="B68" i="90"/>
  <c r="A68" i="90"/>
  <c r="H67" i="90"/>
  <c r="I67" i="90"/>
  <c r="D67" i="90"/>
  <c r="N67" i="90"/>
  <c r="L67" i="90"/>
  <c r="K67" i="90"/>
  <c r="J67" i="90"/>
  <c r="G67" i="90"/>
  <c r="C67" i="90"/>
  <c r="B67" i="90"/>
  <c r="A67" i="90"/>
  <c r="H66" i="90"/>
  <c r="I66" i="90"/>
  <c r="D66" i="90"/>
  <c r="N66" i="90"/>
  <c r="L66" i="90"/>
  <c r="K66" i="90"/>
  <c r="J66" i="90"/>
  <c r="G66" i="90"/>
  <c r="C66" i="90"/>
  <c r="B66" i="90"/>
  <c r="A66" i="90"/>
  <c r="H65" i="90"/>
  <c r="I65" i="90"/>
  <c r="D65" i="90"/>
  <c r="N65" i="90"/>
  <c r="L65" i="90"/>
  <c r="K65" i="90"/>
  <c r="J65" i="90"/>
  <c r="G65" i="90"/>
  <c r="C65" i="90"/>
  <c r="B65" i="90"/>
  <c r="A65" i="90"/>
  <c r="H64" i="90"/>
  <c r="I64" i="90"/>
  <c r="D64" i="90"/>
  <c r="N64" i="90"/>
  <c r="L64" i="90"/>
  <c r="K64" i="90"/>
  <c r="J64" i="90"/>
  <c r="G64" i="90"/>
  <c r="C64" i="90"/>
  <c r="B64" i="90"/>
  <c r="A64" i="90"/>
  <c r="H63" i="90"/>
  <c r="I63" i="90"/>
  <c r="D63" i="90"/>
  <c r="N63" i="90"/>
  <c r="L63" i="90"/>
  <c r="K63" i="90"/>
  <c r="J63" i="90"/>
  <c r="G63" i="90"/>
  <c r="C63" i="90"/>
  <c r="B63" i="90"/>
  <c r="A63" i="90"/>
  <c r="H62" i="90"/>
  <c r="I62" i="90"/>
  <c r="D62" i="90"/>
  <c r="N62" i="90"/>
  <c r="L62" i="90"/>
  <c r="K62" i="90"/>
  <c r="J62" i="90"/>
  <c r="G62" i="90"/>
  <c r="C62" i="90"/>
  <c r="B62" i="90"/>
  <c r="A62" i="90"/>
  <c r="H61" i="90"/>
  <c r="I61" i="90"/>
  <c r="D61" i="90"/>
  <c r="N61" i="90"/>
  <c r="L61" i="90"/>
  <c r="K61" i="90"/>
  <c r="J61" i="90"/>
  <c r="G61" i="90"/>
  <c r="C61" i="90"/>
  <c r="B61" i="90"/>
  <c r="A61" i="90"/>
  <c r="H60" i="90"/>
  <c r="I60" i="90"/>
  <c r="D60" i="90"/>
  <c r="N60" i="90"/>
  <c r="L60" i="90"/>
  <c r="K60" i="90"/>
  <c r="J60" i="90"/>
  <c r="G60" i="90"/>
  <c r="C60" i="90"/>
  <c r="B60" i="90"/>
  <c r="A60" i="90"/>
  <c r="H59" i="90"/>
  <c r="I59" i="90"/>
  <c r="D59" i="90"/>
  <c r="N59" i="90"/>
  <c r="L59" i="90"/>
  <c r="K59" i="90"/>
  <c r="J59" i="90"/>
  <c r="G59" i="90"/>
  <c r="C59" i="90"/>
  <c r="B59" i="90"/>
  <c r="A59" i="90"/>
  <c r="H58" i="90"/>
  <c r="I58" i="90"/>
  <c r="D58" i="90"/>
  <c r="N58" i="90"/>
  <c r="L58" i="90"/>
  <c r="K58" i="90"/>
  <c r="J58" i="90"/>
  <c r="G58" i="90"/>
  <c r="C58" i="90"/>
  <c r="B58" i="90"/>
  <c r="A58" i="90"/>
  <c r="H57" i="90"/>
  <c r="I57" i="90"/>
  <c r="D57" i="90"/>
  <c r="N57" i="90"/>
  <c r="L57" i="90"/>
  <c r="K57" i="90"/>
  <c r="J57" i="90"/>
  <c r="G57" i="90"/>
  <c r="C57" i="90"/>
  <c r="B57" i="90"/>
  <c r="A57" i="90"/>
  <c r="H56" i="90"/>
  <c r="I56" i="90"/>
  <c r="D56" i="90"/>
  <c r="N56" i="90"/>
  <c r="L56" i="90"/>
  <c r="K56" i="90"/>
  <c r="J56" i="90"/>
  <c r="G56" i="90"/>
  <c r="C56" i="90"/>
  <c r="B56" i="90"/>
  <c r="A56" i="90"/>
  <c r="H55" i="90"/>
  <c r="I55" i="90"/>
  <c r="D55" i="90"/>
  <c r="N55" i="90"/>
  <c r="L55" i="90"/>
  <c r="K55" i="90"/>
  <c r="J55" i="90"/>
  <c r="G55" i="90"/>
  <c r="C55" i="90"/>
  <c r="B55" i="90"/>
  <c r="A55" i="90"/>
  <c r="H54" i="90"/>
  <c r="I54" i="90"/>
  <c r="D54" i="90"/>
  <c r="N54" i="90"/>
  <c r="L54" i="90"/>
  <c r="K54" i="90"/>
  <c r="J54" i="90"/>
  <c r="G54" i="90"/>
  <c r="C54" i="90"/>
  <c r="B54" i="90"/>
  <c r="A54" i="90"/>
  <c r="H53" i="90"/>
  <c r="I53" i="90"/>
  <c r="D53" i="90"/>
  <c r="N53" i="90"/>
  <c r="L53" i="90"/>
  <c r="K53" i="90"/>
  <c r="J53" i="90"/>
  <c r="G53" i="90"/>
  <c r="C53" i="90"/>
  <c r="B53" i="90"/>
  <c r="A53" i="90"/>
  <c r="H52" i="90"/>
  <c r="I52" i="90"/>
  <c r="D52" i="90"/>
  <c r="N52" i="90"/>
  <c r="L52" i="90"/>
  <c r="K52" i="90"/>
  <c r="J52" i="90"/>
  <c r="G52" i="90"/>
  <c r="C52" i="90"/>
  <c r="B52" i="90"/>
  <c r="A52" i="90"/>
  <c r="H51" i="90"/>
  <c r="I51" i="90"/>
  <c r="D51" i="90"/>
  <c r="N51" i="90"/>
  <c r="L51" i="90"/>
  <c r="K51" i="90"/>
  <c r="J51" i="90"/>
  <c r="G51" i="90"/>
  <c r="C51" i="90"/>
  <c r="B51" i="90"/>
  <c r="A51" i="90"/>
  <c r="H50" i="90"/>
  <c r="I50" i="90"/>
  <c r="D50" i="90"/>
  <c r="N50" i="90"/>
  <c r="L50" i="90"/>
  <c r="K50" i="90"/>
  <c r="J50" i="90"/>
  <c r="G50" i="90"/>
  <c r="C50" i="90"/>
  <c r="B50" i="90"/>
  <c r="A50" i="90"/>
  <c r="H49" i="90"/>
  <c r="I49" i="90"/>
  <c r="D49" i="90"/>
  <c r="N49" i="90"/>
  <c r="L49" i="90"/>
  <c r="K49" i="90"/>
  <c r="J49" i="90"/>
  <c r="G49" i="90"/>
  <c r="C49" i="90"/>
  <c r="B49" i="90"/>
  <c r="A49" i="90"/>
  <c r="H48" i="90"/>
  <c r="I48" i="90"/>
  <c r="D48" i="90"/>
  <c r="N48" i="90"/>
  <c r="L48" i="90"/>
  <c r="K48" i="90"/>
  <c r="J48" i="90"/>
  <c r="G48" i="90"/>
  <c r="C48" i="90"/>
  <c r="B48" i="90"/>
  <c r="A48" i="90"/>
  <c r="H47" i="90"/>
  <c r="I47" i="90"/>
  <c r="D47" i="90"/>
  <c r="N47" i="90"/>
  <c r="L47" i="90"/>
  <c r="K47" i="90"/>
  <c r="J47" i="90"/>
  <c r="G47" i="90"/>
  <c r="C47" i="90"/>
  <c r="B47" i="90"/>
  <c r="A47" i="90"/>
  <c r="H46" i="90"/>
  <c r="I46" i="90"/>
  <c r="D46" i="90"/>
  <c r="N46" i="90"/>
  <c r="L46" i="90"/>
  <c r="K46" i="90"/>
  <c r="J46" i="90"/>
  <c r="G46" i="90"/>
  <c r="C46" i="90"/>
  <c r="B46" i="90"/>
  <c r="A46" i="90"/>
  <c r="H45" i="90"/>
  <c r="I45" i="90"/>
  <c r="D45" i="90"/>
  <c r="N45" i="90"/>
  <c r="L45" i="90"/>
  <c r="K45" i="90"/>
  <c r="J45" i="90"/>
  <c r="G45" i="90"/>
  <c r="C45" i="90"/>
  <c r="B45" i="90"/>
  <c r="A45" i="90"/>
  <c r="H44" i="90"/>
  <c r="I44" i="90"/>
  <c r="D44" i="90"/>
  <c r="N44" i="90"/>
  <c r="L44" i="90"/>
  <c r="K44" i="90"/>
  <c r="J44" i="90"/>
  <c r="G44" i="90"/>
  <c r="C44" i="90"/>
  <c r="B44" i="90"/>
  <c r="A44" i="90"/>
  <c r="H43" i="90"/>
  <c r="I43" i="90"/>
  <c r="D43" i="90"/>
  <c r="N43" i="90"/>
  <c r="L43" i="90"/>
  <c r="K43" i="90"/>
  <c r="J43" i="90"/>
  <c r="G43" i="90"/>
  <c r="C43" i="90"/>
  <c r="B43" i="90"/>
  <c r="A43" i="90"/>
  <c r="H42" i="90"/>
  <c r="I42" i="90"/>
  <c r="D42" i="90"/>
  <c r="N42" i="90"/>
  <c r="L42" i="90"/>
  <c r="K42" i="90"/>
  <c r="J42" i="90"/>
  <c r="G42" i="90"/>
  <c r="C42" i="90"/>
  <c r="B42" i="90"/>
  <c r="A42" i="90"/>
  <c r="H41" i="90"/>
  <c r="I41" i="90"/>
  <c r="D41" i="90"/>
  <c r="N41" i="90"/>
  <c r="L41" i="90"/>
  <c r="K41" i="90"/>
  <c r="J41" i="90"/>
  <c r="G41" i="90"/>
  <c r="C41" i="90"/>
  <c r="B41" i="90"/>
  <c r="A41" i="90"/>
  <c r="H40" i="90"/>
  <c r="I40" i="90"/>
  <c r="D40" i="90"/>
  <c r="N40" i="90"/>
  <c r="L40" i="90"/>
  <c r="K40" i="90"/>
  <c r="J40" i="90"/>
  <c r="G40" i="90"/>
  <c r="C40" i="90"/>
  <c r="B40" i="90"/>
  <c r="A40" i="90"/>
  <c r="H39" i="90"/>
  <c r="I39" i="90"/>
  <c r="D39" i="90"/>
  <c r="N39" i="90"/>
  <c r="L39" i="90"/>
  <c r="K39" i="90"/>
  <c r="J39" i="90"/>
  <c r="G39" i="90"/>
  <c r="C39" i="90"/>
  <c r="B39" i="90"/>
  <c r="A39" i="90"/>
  <c r="H38" i="90"/>
  <c r="I38" i="90"/>
  <c r="D38" i="90"/>
  <c r="N38" i="90"/>
  <c r="L38" i="90"/>
  <c r="K38" i="90"/>
  <c r="J38" i="90"/>
  <c r="G38" i="90"/>
  <c r="C38" i="90"/>
  <c r="B38" i="90"/>
  <c r="A38" i="90"/>
  <c r="H37" i="90"/>
  <c r="I37" i="90"/>
  <c r="D37" i="90"/>
  <c r="N37" i="90"/>
  <c r="L37" i="90"/>
  <c r="K37" i="90"/>
  <c r="J37" i="90"/>
  <c r="G37" i="90"/>
  <c r="C37" i="90"/>
  <c r="B37" i="90"/>
  <c r="A37" i="90"/>
  <c r="H36" i="90"/>
  <c r="I36" i="90"/>
  <c r="D36" i="90"/>
  <c r="N36" i="90"/>
  <c r="L36" i="90"/>
  <c r="K36" i="90"/>
  <c r="J36" i="90"/>
  <c r="G36" i="90"/>
  <c r="C36" i="90"/>
  <c r="B36" i="90"/>
  <c r="A36" i="90"/>
  <c r="H35" i="90"/>
  <c r="I35" i="90"/>
  <c r="D35" i="90"/>
  <c r="N35" i="90"/>
  <c r="L35" i="90"/>
  <c r="K35" i="90"/>
  <c r="J35" i="90"/>
  <c r="G35" i="90"/>
  <c r="C35" i="90"/>
  <c r="B35" i="90"/>
  <c r="A35" i="90"/>
  <c r="H34" i="90"/>
  <c r="I34" i="90"/>
  <c r="D34" i="90"/>
  <c r="N34" i="90"/>
  <c r="L34" i="90"/>
  <c r="K34" i="90"/>
  <c r="J34" i="90"/>
  <c r="G34" i="90"/>
  <c r="C34" i="90"/>
  <c r="B34" i="90"/>
  <c r="A34" i="90"/>
  <c r="H33" i="90"/>
  <c r="I33" i="90"/>
  <c r="D33" i="90"/>
  <c r="N33" i="90"/>
  <c r="L33" i="90"/>
  <c r="K33" i="90"/>
  <c r="J33" i="90"/>
  <c r="G33" i="90"/>
  <c r="C33" i="90"/>
  <c r="B33" i="90"/>
  <c r="A33" i="90"/>
  <c r="H32" i="90"/>
  <c r="I32" i="90"/>
  <c r="D32" i="90"/>
  <c r="N32" i="90"/>
  <c r="L32" i="90"/>
  <c r="K32" i="90"/>
  <c r="J32" i="90"/>
  <c r="G32" i="90"/>
  <c r="C32" i="90"/>
  <c r="B32" i="90"/>
  <c r="A32" i="90"/>
  <c r="H31" i="90"/>
  <c r="I31" i="90"/>
  <c r="D31" i="90"/>
  <c r="N31" i="90"/>
  <c r="L31" i="90"/>
  <c r="K31" i="90"/>
  <c r="J31" i="90"/>
  <c r="G31" i="90"/>
  <c r="C31" i="90"/>
  <c r="B31" i="90"/>
  <c r="A31" i="90"/>
  <c r="H30" i="90"/>
  <c r="I30" i="90"/>
  <c r="D30" i="90"/>
  <c r="N30" i="90"/>
  <c r="L30" i="90"/>
  <c r="K30" i="90"/>
  <c r="J30" i="90"/>
  <c r="G30" i="90"/>
  <c r="C30" i="90"/>
  <c r="B30" i="90"/>
  <c r="A30" i="90"/>
  <c r="H29" i="90"/>
  <c r="I29" i="90"/>
  <c r="D29" i="90"/>
  <c r="N29" i="90"/>
  <c r="L29" i="90"/>
  <c r="K29" i="90"/>
  <c r="J29" i="90"/>
  <c r="G29" i="90"/>
  <c r="C29" i="90"/>
  <c r="B29" i="90"/>
  <c r="A29" i="90"/>
  <c r="H28" i="90"/>
  <c r="I28" i="90"/>
  <c r="D28" i="90"/>
  <c r="N28" i="90"/>
  <c r="L28" i="90"/>
  <c r="K28" i="90"/>
  <c r="J28" i="90"/>
  <c r="G28" i="90"/>
  <c r="C28" i="90"/>
  <c r="B28" i="90"/>
  <c r="A28" i="90"/>
  <c r="H27" i="90"/>
  <c r="I27" i="90"/>
  <c r="D27" i="90"/>
  <c r="N27" i="90"/>
  <c r="L27" i="90"/>
  <c r="K27" i="90"/>
  <c r="J27" i="90"/>
  <c r="G27" i="90"/>
  <c r="C27" i="90"/>
  <c r="B27" i="90"/>
  <c r="A27" i="90"/>
  <c r="H26" i="90"/>
  <c r="I26" i="90"/>
  <c r="D26" i="90"/>
  <c r="N26" i="90"/>
  <c r="L26" i="90"/>
  <c r="K26" i="90"/>
  <c r="J26" i="90"/>
  <c r="G26" i="90"/>
  <c r="C26" i="90"/>
  <c r="B26" i="90"/>
  <c r="A26" i="90"/>
  <c r="H25" i="90"/>
  <c r="I25" i="90"/>
  <c r="D25" i="90"/>
  <c r="N25" i="90"/>
  <c r="L25" i="90"/>
  <c r="K25" i="90"/>
  <c r="J25" i="90"/>
  <c r="G25" i="90"/>
  <c r="C25" i="90"/>
  <c r="B25" i="90"/>
  <c r="A25" i="90"/>
  <c r="H24" i="90"/>
  <c r="I24" i="90"/>
  <c r="D24" i="90"/>
  <c r="N24" i="90"/>
  <c r="L24" i="90"/>
  <c r="K24" i="90"/>
  <c r="J24" i="90"/>
  <c r="G24" i="90"/>
  <c r="C24" i="90"/>
  <c r="B24" i="90"/>
  <c r="A24" i="90"/>
  <c r="H23" i="90"/>
  <c r="I23" i="90"/>
  <c r="D23" i="90"/>
  <c r="N23" i="90"/>
  <c r="L23" i="90"/>
  <c r="K23" i="90"/>
  <c r="J23" i="90"/>
  <c r="G23" i="90"/>
  <c r="C23" i="90"/>
  <c r="B23" i="90"/>
  <c r="A23" i="90"/>
  <c r="H22" i="90"/>
  <c r="I22" i="90"/>
  <c r="D22" i="90"/>
  <c r="N22" i="90"/>
  <c r="L22" i="90"/>
  <c r="K22" i="90"/>
  <c r="J22" i="90"/>
  <c r="G22" i="90"/>
  <c r="C22" i="90"/>
  <c r="B22" i="90"/>
  <c r="A22" i="90"/>
  <c r="H21" i="90"/>
  <c r="I21" i="90"/>
  <c r="D21" i="90"/>
  <c r="N21" i="90"/>
  <c r="L21" i="90"/>
  <c r="K21" i="90"/>
  <c r="J21" i="90"/>
  <c r="G21" i="90"/>
  <c r="C21" i="90"/>
  <c r="B21" i="90"/>
  <c r="A21" i="90"/>
  <c r="H20" i="90"/>
  <c r="I20" i="90"/>
  <c r="D20" i="90"/>
  <c r="N20" i="90"/>
  <c r="L20" i="90"/>
  <c r="K20" i="90"/>
  <c r="J20" i="90"/>
  <c r="G20" i="90"/>
  <c r="C20" i="90"/>
  <c r="B20" i="90"/>
  <c r="A20" i="90"/>
  <c r="H19" i="90"/>
  <c r="I19" i="90"/>
  <c r="D19" i="90"/>
  <c r="N19" i="90"/>
  <c r="L19" i="90"/>
  <c r="K19" i="90"/>
  <c r="J19" i="90"/>
  <c r="G19" i="90"/>
  <c r="C19" i="90"/>
  <c r="B19" i="90"/>
  <c r="A19" i="90"/>
  <c r="H18" i="90"/>
  <c r="I18" i="90"/>
  <c r="D18" i="90"/>
  <c r="N18" i="90"/>
  <c r="L18" i="90"/>
  <c r="K18" i="90"/>
  <c r="J18" i="90"/>
  <c r="G18" i="90"/>
  <c r="C18" i="90"/>
  <c r="B18" i="90"/>
  <c r="A18" i="90"/>
  <c r="H17" i="90"/>
  <c r="I17" i="90"/>
  <c r="D17" i="90"/>
  <c r="N17" i="90"/>
  <c r="L17" i="90"/>
  <c r="K17" i="90"/>
  <c r="J17" i="90"/>
  <c r="G17" i="90"/>
  <c r="C17" i="90"/>
  <c r="B17" i="90"/>
  <c r="A17" i="90"/>
  <c r="H16" i="90"/>
  <c r="I16" i="90"/>
  <c r="D16" i="90"/>
  <c r="N16" i="90"/>
  <c r="L16" i="90"/>
  <c r="K16" i="90"/>
  <c r="J16" i="90"/>
  <c r="G16" i="90"/>
  <c r="C16" i="90"/>
  <c r="B16" i="90"/>
  <c r="A16" i="90"/>
  <c r="H15" i="90"/>
  <c r="I15" i="90"/>
  <c r="D15" i="90"/>
  <c r="N15" i="90"/>
  <c r="L15" i="90"/>
  <c r="K15" i="90"/>
  <c r="J15" i="90"/>
  <c r="G15" i="90"/>
  <c r="C15" i="90"/>
  <c r="B15" i="90"/>
  <c r="A15" i="90"/>
  <c r="H14" i="90"/>
  <c r="I14" i="90"/>
  <c r="D14" i="90"/>
  <c r="N14" i="90"/>
  <c r="L14" i="90"/>
  <c r="K14" i="90"/>
  <c r="J14" i="90"/>
  <c r="G14" i="90"/>
  <c r="C14" i="90"/>
  <c r="B14" i="90"/>
  <c r="A14" i="90"/>
  <c r="H13" i="90"/>
  <c r="I13" i="90"/>
  <c r="D13" i="90"/>
  <c r="N13" i="90"/>
  <c r="L13" i="90"/>
  <c r="K13" i="90"/>
  <c r="J13" i="90"/>
  <c r="G13" i="90"/>
  <c r="C13" i="90"/>
  <c r="B13" i="90"/>
  <c r="A13" i="90"/>
  <c r="H12" i="90"/>
  <c r="I12" i="90"/>
  <c r="D12" i="90"/>
  <c r="N12" i="90"/>
  <c r="L12" i="90"/>
  <c r="K12" i="90"/>
  <c r="J12" i="90"/>
  <c r="G12" i="90"/>
  <c r="C12" i="90"/>
  <c r="B12" i="90"/>
  <c r="A12" i="90"/>
  <c r="H11" i="90"/>
  <c r="I11" i="90"/>
  <c r="D11" i="90"/>
  <c r="N11" i="90"/>
  <c r="L11" i="90"/>
  <c r="K11" i="90"/>
  <c r="J11" i="90"/>
  <c r="G11" i="90"/>
  <c r="C11" i="90"/>
  <c r="B11" i="90"/>
  <c r="A11" i="90"/>
  <c r="H10" i="90"/>
  <c r="I10" i="90"/>
  <c r="D10" i="90"/>
  <c r="N10" i="90"/>
  <c r="L10" i="90"/>
  <c r="K10" i="90"/>
  <c r="J10" i="90"/>
  <c r="G10" i="90"/>
  <c r="C10" i="90"/>
  <c r="B10" i="90"/>
  <c r="A10" i="90"/>
  <c r="H9" i="90"/>
  <c r="I9" i="90"/>
  <c r="D9" i="90"/>
  <c r="N9" i="90"/>
  <c r="L9" i="90"/>
  <c r="K9" i="90"/>
  <c r="J9" i="90"/>
  <c r="G9" i="90"/>
  <c r="C9" i="90"/>
  <c r="B9" i="90"/>
  <c r="A9" i="90"/>
  <c r="H8" i="90"/>
  <c r="I8" i="90"/>
  <c r="D8" i="90"/>
  <c r="N8" i="90"/>
  <c r="L8" i="90"/>
  <c r="K8" i="90"/>
  <c r="J8" i="90"/>
  <c r="G8" i="90"/>
  <c r="C8" i="90"/>
  <c r="B8" i="90"/>
  <c r="A8" i="90"/>
  <c r="H7" i="90"/>
  <c r="I7" i="90"/>
  <c r="D7" i="90"/>
  <c r="N7" i="90"/>
  <c r="L7" i="90"/>
  <c r="K7" i="90"/>
  <c r="J7" i="90"/>
  <c r="G7" i="90"/>
  <c r="C7" i="90"/>
  <c r="B7" i="90"/>
  <c r="A7" i="90"/>
  <c r="H6" i="90"/>
  <c r="I6" i="90"/>
  <c r="D6" i="90"/>
  <c r="N6" i="90"/>
  <c r="L6" i="90"/>
  <c r="K6" i="90"/>
  <c r="J6" i="90"/>
  <c r="G6" i="90"/>
  <c r="C6" i="90"/>
  <c r="B6" i="90"/>
  <c r="A6" i="90"/>
  <c r="H5" i="90"/>
  <c r="I5" i="90"/>
  <c r="D5" i="90"/>
  <c r="N5" i="90"/>
  <c r="L5" i="90"/>
  <c r="K5" i="90"/>
  <c r="J5" i="90"/>
  <c r="G5" i="90"/>
  <c r="C5" i="90"/>
  <c r="B5" i="90"/>
  <c r="A5" i="90"/>
  <c r="H4" i="90"/>
  <c r="I4" i="90"/>
  <c r="D4" i="90"/>
  <c r="N4" i="90"/>
  <c r="L4" i="90"/>
  <c r="K4" i="90"/>
  <c r="J4" i="90"/>
  <c r="G4" i="90"/>
  <c r="C4" i="90"/>
  <c r="B4" i="90"/>
  <c r="A4" i="90"/>
  <c r="H3" i="90"/>
  <c r="I3" i="90"/>
  <c r="D3" i="90"/>
  <c r="N3" i="90"/>
  <c r="L3" i="90"/>
  <c r="K3" i="90"/>
  <c r="J3" i="90"/>
  <c r="G3" i="90"/>
  <c r="C3" i="90"/>
  <c r="B3" i="90"/>
  <c r="A3" i="90"/>
  <c r="H2" i="90"/>
  <c r="I2" i="90"/>
  <c r="D2" i="90"/>
  <c r="N2" i="90"/>
  <c r="L2" i="90"/>
  <c r="K2" i="90"/>
  <c r="J2" i="90"/>
  <c r="G2" i="90"/>
  <c r="C2" i="90"/>
  <c r="A2" i="90"/>
  <c r="H273" i="88"/>
  <c r="I273" i="88"/>
  <c r="D273" i="88"/>
  <c r="N273" i="88"/>
  <c r="L273" i="88"/>
  <c r="K273" i="88"/>
  <c r="J273" i="88"/>
  <c r="G273" i="88"/>
  <c r="C273" i="88"/>
  <c r="B273" i="88"/>
  <c r="A273" i="88"/>
  <c r="H272" i="88"/>
  <c r="I272" i="88"/>
  <c r="D272" i="88"/>
  <c r="N272" i="88"/>
  <c r="L272" i="88"/>
  <c r="K272" i="88"/>
  <c r="J272" i="88"/>
  <c r="G272" i="88"/>
  <c r="C272" i="88"/>
  <c r="B272" i="88"/>
  <c r="A272" i="88"/>
  <c r="H271" i="88"/>
  <c r="I271" i="88"/>
  <c r="D271" i="88"/>
  <c r="N271" i="88"/>
  <c r="L271" i="88"/>
  <c r="K271" i="88"/>
  <c r="J271" i="88"/>
  <c r="G271" i="88"/>
  <c r="C271" i="88"/>
  <c r="B271" i="88"/>
  <c r="A271" i="88"/>
  <c r="H270" i="88"/>
  <c r="I270" i="88"/>
  <c r="D270" i="88"/>
  <c r="N270" i="88"/>
  <c r="L270" i="88"/>
  <c r="K270" i="88"/>
  <c r="J270" i="88"/>
  <c r="G270" i="88"/>
  <c r="C270" i="88"/>
  <c r="B270" i="88"/>
  <c r="A270" i="88"/>
  <c r="H269" i="88"/>
  <c r="I269" i="88"/>
  <c r="D269" i="88"/>
  <c r="N269" i="88"/>
  <c r="L269" i="88"/>
  <c r="K269" i="88"/>
  <c r="J269" i="88"/>
  <c r="G269" i="88"/>
  <c r="C269" i="88"/>
  <c r="B269" i="88"/>
  <c r="A269" i="88"/>
  <c r="H268" i="88"/>
  <c r="I268" i="88"/>
  <c r="D268" i="88"/>
  <c r="N268" i="88"/>
  <c r="L268" i="88"/>
  <c r="K268" i="88"/>
  <c r="J268" i="88"/>
  <c r="G268" i="88"/>
  <c r="C268" i="88"/>
  <c r="B268" i="88"/>
  <c r="A268" i="88"/>
  <c r="H267" i="88"/>
  <c r="I267" i="88"/>
  <c r="D267" i="88"/>
  <c r="N267" i="88"/>
  <c r="L267" i="88"/>
  <c r="K267" i="88"/>
  <c r="J267" i="88"/>
  <c r="G267" i="88"/>
  <c r="C267" i="88"/>
  <c r="B267" i="88"/>
  <c r="A267" i="88"/>
  <c r="H266" i="88"/>
  <c r="I266" i="88"/>
  <c r="D266" i="88"/>
  <c r="N266" i="88"/>
  <c r="L266" i="88"/>
  <c r="K266" i="88"/>
  <c r="J266" i="88"/>
  <c r="G266" i="88"/>
  <c r="C266" i="88"/>
  <c r="B266" i="88"/>
  <c r="A266" i="88"/>
  <c r="H265" i="88"/>
  <c r="I265" i="88"/>
  <c r="D265" i="88"/>
  <c r="N265" i="88"/>
  <c r="L265" i="88"/>
  <c r="K265" i="88"/>
  <c r="J265" i="88"/>
  <c r="G265" i="88"/>
  <c r="C265" i="88"/>
  <c r="B265" i="88"/>
  <c r="A265" i="88"/>
  <c r="H264" i="88"/>
  <c r="I264" i="88"/>
  <c r="D264" i="88"/>
  <c r="N264" i="88"/>
  <c r="L264" i="88"/>
  <c r="K264" i="88"/>
  <c r="J264" i="88"/>
  <c r="G264" i="88"/>
  <c r="C264" i="88"/>
  <c r="B264" i="88"/>
  <c r="A264" i="88"/>
  <c r="H263" i="88"/>
  <c r="I263" i="88"/>
  <c r="D263" i="88"/>
  <c r="N263" i="88"/>
  <c r="L263" i="88"/>
  <c r="K263" i="88"/>
  <c r="J263" i="88"/>
  <c r="G263" i="88"/>
  <c r="C263" i="88"/>
  <c r="B263" i="88"/>
  <c r="A263" i="88"/>
  <c r="H262" i="88"/>
  <c r="I262" i="88"/>
  <c r="D262" i="88"/>
  <c r="N262" i="88"/>
  <c r="L262" i="88"/>
  <c r="K262" i="88"/>
  <c r="J262" i="88"/>
  <c r="G262" i="88"/>
  <c r="C262" i="88"/>
  <c r="B262" i="88"/>
  <c r="A262" i="88"/>
  <c r="H261" i="88"/>
  <c r="I261" i="88"/>
  <c r="D261" i="88"/>
  <c r="N261" i="88"/>
  <c r="L261" i="88"/>
  <c r="K261" i="88"/>
  <c r="J261" i="88"/>
  <c r="G261" i="88"/>
  <c r="C261" i="88"/>
  <c r="B261" i="88"/>
  <c r="A261" i="88"/>
  <c r="H260" i="88"/>
  <c r="I260" i="88"/>
  <c r="D260" i="88"/>
  <c r="N260" i="88"/>
  <c r="L260" i="88"/>
  <c r="K260" i="88"/>
  <c r="J260" i="88"/>
  <c r="G260" i="88"/>
  <c r="C260" i="88"/>
  <c r="B260" i="88"/>
  <c r="A260" i="88"/>
  <c r="H259" i="88"/>
  <c r="I259" i="88"/>
  <c r="D259" i="88"/>
  <c r="N259" i="88"/>
  <c r="L259" i="88"/>
  <c r="K259" i="88"/>
  <c r="J259" i="88"/>
  <c r="G259" i="88"/>
  <c r="C259" i="88"/>
  <c r="B259" i="88"/>
  <c r="A259" i="88"/>
  <c r="H258" i="88"/>
  <c r="I258" i="88"/>
  <c r="D258" i="88"/>
  <c r="N258" i="88"/>
  <c r="L258" i="88"/>
  <c r="K258" i="88"/>
  <c r="J258" i="88"/>
  <c r="G258" i="88"/>
  <c r="C258" i="88"/>
  <c r="B258" i="88"/>
  <c r="A258" i="88"/>
  <c r="H257" i="88"/>
  <c r="I257" i="88"/>
  <c r="D257" i="88"/>
  <c r="N257" i="88"/>
  <c r="L257" i="88"/>
  <c r="K257" i="88"/>
  <c r="J257" i="88"/>
  <c r="G257" i="88"/>
  <c r="C257" i="88"/>
  <c r="B257" i="88"/>
  <c r="A257" i="88"/>
  <c r="H256" i="88"/>
  <c r="I256" i="88"/>
  <c r="D256" i="88"/>
  <c r="N256" i="88"/>
  <c r="L256" i="88"/>
  <c r="K256" i="88"/>
  <c r="J256" i="88"/>
  <c r="G256" i="88"/>
  <c r="C256" i="88"/>
  <c r="B256" i="88"/>
  <c r="A256" i="88"/>
  <c r="H255" i="88"/>
  <c r="I255" i="88"/>
  <c r="D255" i="88"/>
  <c r="N255" i="88"/>
  <c r="L255" i="88"/>
  <c r="K255" i="88"/>
  <c r="J255" i="88"/>
  <c r="G255" i="88"/>
  <c r="C255" i="88"/>
  <c r="B255" i="88"/>
  <c r="A255" i="88"/>
  <c r="H254" i="88"/>
  <c r="I254" i="88"/>
  <c r="D254" i="88"/>
  <c r="N254" i="88"/>
  <c r="L254" i="88"/>
  <c r="K254" i="88"/>
  <c r="J254" i="88"/>
  <c r="G254" i="88"/>
  <c r="C254" i="88"/>
  <c r="B254" i="88"/>
  <c r="A254" i="88"/>
  <c r="H253" i="88"/>
  <c r="I253" i="88"/>
  <c r="D253" i="88"/>
  <c r="N253" i="88"/>
  <c r="L253" i="88"/>
  <c r="K253" i="88"/>
  <c r="J253" i="88"/>
  <c r="G253" i="88"/>
  <c r="C253" i="88"/>
  <c r="B253" i="88"/>
  <c r="A253" i="88"/>
  <c r="H252" i="88"/>
  <c r="I252" i="88"/>
  <c r="D252" i="88"/>
  <c r="N252" i="88"/>
  <c r="L252" i="88"/>
  <c r="K252" i="88"/>
  <c r="J252" i="88"/>
  <c r="G252" i="88"/>
  <c r="C252" i="88"/>
  <c r="B252" i="88"/>
  <c r="A252" i="88"/>
  <c r="H251" i="88"/>
  <c r="I251" i="88"/>
  <c r="D251" i="88"/>
  <c r="N251" i="88"/>
  <c r="L251" i="88"/>
  <c r="K251" i="88"/>
  <c r="J251" i="88"/>
  <c r="G251" i="88"/>
  <c r="C251" i="88"/>
  <c r="B251" i="88"/>
  <c r="A251" i="88"/>
  <c r="H250" i="88"/>
  <c r="I250" i="88"/>
  <c r="D250" i="88"/>
  <c r="N250" i="88"/>
  <c r="L250" i="88"/>
  <c r="K250" i="88"/>
  <c r="J250" i="88"/>
  <c r="G250" i="88"/>
  <c r="C250" i="88"/>
  <c r="B250" i="88"/>
  <c r="A250" i="88"/>
  <c r="H249" i="88"/>
  <c r="I249" i="88"/>
  <c r="D249" i="88"/>
  <c r="N249" i="88"/>
  <c r="L249" i="88"/>
  <c r="K249" i="88"/>
  <c r="J249" i="88"/>
  <c r="G249" i="88"/>
  <c r="C249" i="88"/>
  <c r="B249" i="88"/>
  <c r="A249" i="88"/>
  <c r="H248" i="88"/>
  <c r="I248" i="88"/>
  <c r="D248" i="88"/>
  <c r="N248" i="88"/>
  <c r="L248" i="88"/>
  <c r="K248" i="88"/>
  <c r="J248" i="88"/>
  <c r="G248" i="88"/>
  <c r="C248" i="88"/>
  <c r="B248" i="88"/>
  <c r="A248" i="88"/>
  <c r="H247" i="88"/>
  <c r="I247" i="88"/>
  <c r="D247" i="88"/>
  <c r="N247" i="88"/>
  <c r="L247" i="88"/>
  <c r="K247" i="88"/>
  <c r="J247" i="88"/>
  <c r="G247" i="88"/>
  <c r="C247" i="88"/>
  <c r="B247" i="88"/>
  <c r="A247" i="88"/>
  <c r="H246" i="88"/>
  <c r="I246" i="88"/>
  <c r="D246" i="88"/>
  <c r="N246" i="88"/>
  <c r="L246" i="88"/>
  <c r="K246" i="88"/>
  <c r="J246" i="88"/>
  <c r="G246" i="88"/>
  <c r="C246" i="88"/>
  <c r="B246" i="88"/>
  <c r="A246" i="88"/>
  <c r="H245" i="88"/>
  <c r="I245" i="88"/>
  <c r="D245" i="88"/>
  <c r="N245" i="88"/>
  <c r="L245" i="88"/>
  <c r="K245" i="88"/>
  <c r="J245" i="88"/>
  <c r="G245" i="88"/>
  <c r="C245" i="88"/>
  <c r="B245" i="88"/>
  <c r="A245" i="88"/>
  <c r="H244" i="88"/>
  <c r="I244" i="88"/>
  <c r="D244" i="88"/>
  <c r="N244" i="88"/>
  <c r="L244" i="88"/>
  <c r="K244" i="88"/>
  <c r="J244" i="88"/>
  <c r="G244" i="88"/>
  <c r="C244" i="88"/>
  <c r="B244" i="88"/>
  <c r="A244" i="88"/>
  <c r="H243" i="88"/>
  <c r="I243" i="88"/>
  <c r="D243" i="88"/>
  <c r="N243" i="88"/>
  <c r="L243" i="88"/>
  <c r="K243" i="88"/>
  <c r="J243" i="88"/>
  <c r="G243" i="88"/>
  <c r="C243" i="88"/>
  <c r="B243" i="88"/>
  <c r="A243" i="88"/>
  <c r="H242" i="88"/>
  <c r="I242" i="88"/>
  <c r="D242" i="88"/>
  <c r="N242" i="88"/>
  <c r="L242" i="88"/>
  <c r="K242" i="88"/>
  <c r="J242" i="88"/>
  <c r="G242" i="88"/>
  <c r="C242" i="88"/>
  <c r="B242" i="88"/>
  <c r="A242" i="88"/>
  <c r="H241" i="88"/>
  <c r="I241" i="88"/>
  <c r="D241" i="88"/>
  <c r="N241" i="88"/>
  <c r="L241" i="88"/>
  <c r="K241" i="88"/>
  <c r="J241" i="88"/>
  <c r="G241" i="88"/>
  <c r="C241" i="88"/>
  <c r="B241" i="88"/>
  <c r="A241" i="88"/>
  <c r="H240" i="88"/>
  <c r="I240" i="88"/>
  <c r="D240" i="88"/>
  <c r="N240" i="88"/>
  <c r="L240" i="88"/>
  <c r="K240" i="88"/>
  <c r="J240" i="88"/>
  <c r="G240" i="88"/>
  <c r="C240" i="88"/>
  <c r="B240" i="88"/>
  <c r="A240" i="88"/>
  <c r="H239" i="88"/>
  <c r="I239" i="88"/>
  <c r="D239" i="88"/>
  <c r="N239" i="88"/>
  <c r="L239" i="88"/>
  <c r="K239" i="88"/>
  <c r="J239" i="88"/>
  <c r="G239" i="88"/>
  <c r="C239" i="88"/>
  <c r="B239" i="88"/>
  <c r="A239" i="88"/>
  <c r="H238" i="88"/>
  <c r="I238" i="88"/>
  <c r="D238" i="88"/>
  <c r="N238" i="88"/>
  <c r="L238" i="88"/>
  <c r="K238" i="88"/>
  <c r="J238" i="88"/>
  <c r="G238" i="88"/>
  <c r="C238" i="88"/>
  <c r="B238" i="88"/>
  <c r="A238" i="88"/>
  <c r="H237" i="88"/>
  <c r="I237" i="88"/>
  <c r="D237" i="88"/>
  <c r="N237" i="88"/>
  <c r="L237" i="88"/>
  <c r="K237" i="88"/>
  <c r="J237" i="88"/>
  <c r="G237" i="88"/>
  <c r="C237" i="88"/>
  <c r="B237" i="88"/>
  <c r="A237" i="88"/>
  <c r="H236" i="88"/>
  <c r="I236" i="88"/>
  <c r="D236" i="88"/>
  <c r="N236" i="88"/>
  <c r="L236" i="88"/>
  <c r="K236" i="88"/>
  <c r="J236" i="88"/>
  <c r="G236" i="88"/>
  <c r="C236" i="88"/>
  <c r="B236" i="88"/>
  <c r="A236" i="88"/>
  <c r="H235" i="88"/>
  <c r="I235" i="88"/>
  <c r="D235" i="88"/>
  <c r="N235" i="88"/>
  <c r="L235" i="88"/>
  <c r="K235" i="88"/>
  <c r="J235" i="88"/>
  <c r="G235" i="88"/>
  <c r="C235" i="88"/>
  <c r="B235" i="88"/>
  <c r="A235" i="88"/>
  <c r="H234" i="88"/>
  <c r="I234" i="88"/>
  <c r="D234" i="88"/>
  <c r="N234" i="88"/>
  <c r="L234" i="88"/>
  <c r="K234" i="88"/>
  <c r="J234" i="88"/>
  <c r="G234" i="88"/>
  <c r="C234" i="88"/>
  <c r="B234" i="88"/>
  <c r="A234" i="88"/>
  <c r="H233" i="88"/>
  <c r="I233" i="88"/>
  <c r="D233" i="88"/>
  <c r="N233" i="88"/>
  <c r="L233" i="88"/>
  <c r="K233" i="88"/>
  <c r="J233" i="88"/>
  <c r="G233" i="88"/>
  <c r="C233" i="88"/>
  <c r="B233" i="88"/>
  <c r="A233" i="88"/>
  <c r="H232" i="88"/>
  <c r="I232" i="88"/>
  <c r="D232" i="88"/>
  <c r="N232" i="88"/>
  <c r="L232" i="88"/>
  <c r="K232" i="88"/>
  <c r="J232" i="88"/>
  <c r="G232" i="88"/>
  <c r="C232" i="88"/>
  <c r="B232" i="88"/>
  <c r="A232" i="88"/>
  <c r="H231" i="88"/>
  <c r="I231" i="88"/>
  <c r="D231" i="88"/>
  <c r="N231" i="88"/>
  <c r="L231" i="88"/>
  <c r="K231" i="88"/>
  <c r="J231" i="88"/>
  <c r="G231" i="88"/>
  <c r="C231" i="88"/>
  <c r="B231" i="88"/>
  <c r="A231" i="88"/>
  <c r="H230" i="88"/>
  <c r="I230" i="88"/>
  <c r="D230" i="88"/>
  <c r="N230" i="88"/>
  <c r="L230" i="88"/>
  <c r="K230" i="88"/>
  <c r="J230" i="88"/>
  <c r="G230" i="88"/>
  <c r="C230" i="88"/>
  <c r="B230" i="88"/>
  <c r="A230" i="88"/>
  <c r="H229" i="88"/>
  <c r="I229" i="88"/>
  <c r="D229" i="88"/>
  <c r="N229" i="88"/>
  <c r="L229" i="88"/>
  <c r="K229" i="88"/>
  <c r="J229" i="88"/>
  <c r="G229" i="88"/>
  <c r="C229" i="88"/>
  <c r="B229" i="88"/>
  <c r="A229" i="88"/>
  <c r="H228" i="88"/>
  <c r="I228" i="88"/>
  <c r="D228" i="88"/>
  <c r="N228" i="88"/>
  <c r="L228" i="88"/>
  <c r="K228" i="88"/>
  <c r="J228" i="88"/>
  <c r="G228" i="88"/>
  <c r="C228" i="88"/>
  <c r="B228" i="88"/>
  <c r="A228" i="88"/>
  <c r="H227" i="88"/>
  <c r="I227" i="88"/>
  <c r="D227" i="88"/>
  <c r="N227" i="88"/>
  <c r="L227" i="88"/>
  <c r="K227" i="88"/>
  <c r="J227" i="88"/>
  <c r="G227" i="88"/>
  <c r="C227" i="88"/>
  <c r="B227" i="88"/>
  <c r="A227" i="88"/>
  <c r="H226" i="88"/>
  <c r="I226" i="88"/>
  <c r="D226" i="88"/>
  <c r="N226" i="88"/>
  <c r="L226" i="88"/>
  <c r="K226" i="88"/>
  <c r="J226" i="88"/>
  <c r="G226" i="88"/>
  <c r="C226" i="88"/>
  <c r="B226" i="88"/>
  <c r="A226" i="88"/>
  <c r="H225" i="88"/>
  <c r="I225" i="88"/>
  <c r="D225" i="88"/>
  <c r="N225" i="88"/>
  <c r="L225" i="88"/>
  <c r="K225" i="88"/>
  <c r="J225" i="88"/>
  <c r="G225" i="88"/>
  <c r="C225" i="88"/>
  <c r="B225" i="88"/>
  <c r="A225" i="88"/>
  <c r="H224" i="88"/>
  <c r="I224" i="88"/>
  <c r="D224" i="88"/>
  <c r="N224" i="88"/>
  <c r="L224" i="88"/>
  <c r="K224" i="88"/>
  <c r="J224" i="88"/>
  <c r="G224" i="88"/>
  <c r="C224" i="88"/>
  <c r="B224" i="88"/>
  <c r="A224" i="88"/>
  <c r="H223" i="88"/>
  <c r="I223" i="88"/>
  <c r="D223" i="88"/>
  <c r="N223" i="88"/>
  <c r="L223" i="88"/>
  <c r="K223" i="88"/>
  <c r="J223" i="88"/>
  <c r="G223" i="88"/>
  <c r="C223" i="88"/>
  <c r="B223" i="88"/>
  <c r="A223" i="88"/>
  <c r="H222" i="88"/>
  <c r="I222" i="88"/>
  <c r="D222" i="88"/>
  <c r="N222" i="88"/>
  <c r="L222" i="88"/>
  <c r="K222" i="88"/>
  <c r="J222" i="88"/>
  <c r="G222" i="88"/>
  <c r="C222" i="88"/>
  <c r="B222" i="88"/>
  <c r="A222" i="88"/>
  <c r="H221" i="88"/>
  <c r="I221" i="88"/>
  <c r="D221" i="88"/>
  <c r="N221" i="88"/>
  <c r="L221" i="88"/>
  <c r="K221" i="88"/>
  <c r="J221" i="88"/>
  <c r="G221" i="88"/>
  <c r="C221" i="88"/>
  <c r="B221" i="88"/>
  <c r="A221" i="88"/>
  <c r="H220" i="88"/>
  <c r="I220" i="88"/>
  <c r="D220" i="88"/>
  <c r="N220" i="88"/>
  <c r="L220" i="88"/>
  <c r="K220" i="88"/>
  <c r="J220" i="88"/>
  <c r="G220" i="88"/>
  <c r="C220" i="88"/>
  <c r="B220" i="88"/>
  <c r="A220" i="88"/>
  <c r="H219" i="88"/>
  <c r="I219" i="88"/>
  <c r="D219" i="88"/>
  <c r="N219" i="88"/>
  <c r="L219" i="88"/>
  <c r="K219" i="88"/>
  <c r="J219" i="88"/>
  <c r="G219" i="88"/>
  <c r="C219" i="88"/>
  <c r="B219" i="88"/>
  <c r="A219" i="88"/>
  <c r="H218" i="88"/>
  <c r="I218" i="88"/>
  <c r="D218" i="88"/>
  <c r="N218" i="88"/>
  <c r="L218" i="88"/>
  <c r="K218" i="88"/>
  <c r="J218" i="88"/>
  <c r="G218" i="88"/>
  <c r="C218" i="88"/>
  <c r="B218" i="88"/>
  <c r="A218" i="88"/>
  <c r="H217" i="88"/>
  <c r="I217" i="88"/>
  <c r="D217" i="88"/>
  <c r="N217" i="88"/>
  <c r="L217" i="88"/>
  <c r="K217" i="88"/>
  <c r="J217" i="88"/>
  <c r="G217" i="88"/>
  <c r="C217" i="88"/>
  <c r="B217" i="88"/>
  <c r="A217" i="88"/>
  <c r="H216" i="88"/>
  <c r="I216" i="88"/>
  <c r="D216" i="88"/>
  <c r="N216" i="88"/>
  <c r="L216" i="88"/>
  <c r="K216" i="88"/>
  <c r="J216" i="88"/>
  <c r="G216" i="88"/>
  <c r="C216" i="88"/>
  <c r="B216" i="88"/>
  <c r="A216" i="88"/>
  <c r="H215" i="88"/>
  <c r="I215" i="88"/>
  <c r="D215" i="88"/>
  <c r="N215" i="88"/>
  <c r="L215" i="88"/>
  <c r="K215" i="88"/>
  <c r="J215" i="88"/>
  <c r="G215" i="88"/>
  <c r="C215" i="88"/>
  <c r="B215" i="88"/>
  <c r="A215" i="88"/>
  <c r="H214" i="88"/>
  <c r="I214" i="88"/>
  <c r="D214" i="88"/>
  <c r="N214" i="88"/>
  <c r="L214" i="88"/>
  <c r="K214" i="88"/>
  <c r="J214" i="88"/>
  <c r="G214" i="88"/>
  <c r="C214" i="88"/>
  <c r="B214" i="88"/>
  <c r="A214" i="88"/>
  <c r="H213" i="88"/>
  <c r="I213" i="88"/>
  <c r="D213" i="88"/>
  <c r="N213" i="88"/>
  <c r="L213" i="88"/>
  <c r="K213" i="88"/>
  <c r="J213" i="88"/>
  <c r="G213" i="88"/>
  <c r="C213" i="88"/>
  <c r="B213" i="88"/>
  <c r="A213" i="88"/>
  <c r="H212" i="88"/>
  <c r="I212" i="88"/>
  <c r="D212" i="88"/>
  <c r="N212" i="88"/>
  <c r="L212" i="88"/>
  <c r="K212" i="88"/>
  <c r="J212" i="88"/>
  <c r="G212" i="88"/>
  <c r="C212" i="88"/>
  <c r="B212" i="88"/>
  <c r="A212" i="88"/>
  <c r="H211" i="88"/>
  <c r="I211" i="88"/>
  <c r="D211" i="88"/>
  <c r="N211" i="88"/>
  <c r="L211" i="88"/>
  <c r="K211" i="88"/>
  <c r="J211" i="88"/>
  <c r="G211" i="88"/>
  <c r="C211" i="88"/>
  <c r="B211" i="88"/>
  <c r="A211" i="88"/>
  <c r="H210" i="88"/>
  <c r="I210" i="88"/>
  <c r="D210" i="88"/>
  <c r="N210" i="88"/>
  <c r="L210" i="88"/>
  <c r="K210" i="88"/>
  <c r="J210" i="88"/>
  <c r="G210" i="88"/>
  <c r="C210" i="88"/>
  <c r="B210" i="88"/>
  <c r="A210" i="88"/>
  <c r="H209" i="88"/>
  <c r="I209" i="88"/>
  <c r="D209" i="88"/>
  <c r="N209" i="88"/>
  <c r="L209" i="88"/>
  <c r="K209" i="88"/>
  <c r="J209" i="88"/>
  <c r="G209" i="88"/>
  <c r="C209" i="88"/>
  <c r="B209" i="88"/>
  <c r="A209" i="88"/>
  <c r="H208" i="88"/>
  <c r="I208" i="88"/>
  <c r="D208" i="88"/>
  <c r="N208" i="88"/>
  <c r="L208" i="88"/>
  <c r="K208" i="88"/>
  <c r="J208" i="88"/>
  <c r="G208" i="88"/>
  <c r="C208" i="88"/>
  <c r="B208" i="88"/>
  <c r="A208" i="88"/>
  <c r="H207" i="88"/>
  <c r="I207" i="88"/>
  <c r="D207" i="88"/>
  <c r="N207" i="88"/>
  <c r="L207" i="88"/>
  <c r="K207" i="88"/>
  <c r="J207" i="88"/>
  <c r="G207" i="88"/>
  <c r="C207" i="88"/>
  <c r="B207" i="88"/>
  <c r="A207" i="88"/>
  <c r="H206" i="88"/>
  <c r="I206" i="88"/>
  <c r="D206" i="88"/>
  <c r="N206" i="88"/>
  <c r="L206" i="88"/>
  <c r="K206" i="88"/>
  <c r="J206" i="88"/>
  <c r="G206" i="88"/>
  <c r="C206" i="88"/>
  <c r="B206" i="88"/>
  <c r="A206" i="88"/>
  <c r="H205" i="88"/>
  <c r="I205" i="88"/>
  <c r="D205" i="88"/>
  <c r="N205" i="88"/>
  <c r="L205" i="88"/>
  <c r="K205" i="88"/>
  <c r="J205" i="88"/>
  <c r="G205" i="88"/>
  <c r="C205" i="88"/>
  <c r="B205" i="88"/>
  <c r="A205" i="88"/>
  <c r="H204" i="88"/>
  <c r="I204" i="88"/>
  <c r="D204" i="88"/>
  <c r="N204" i="88"/>
  <c r="L204" i="88"/>
  <c r="K204" i="88"/>
  <c r="J204" i="88"/>
  <c r="G204" i="88"/>
  <c r="C204" i="88"/>
  <c r="B204" i="88"/>
  <c r="A204" i="88"/>
  <c r="H203" i="88"/>
  <c r="I203" i="88"/>
  <c r="D203" i="88"/>
  <c r="N203" i="88"/>
  <c r="L203" i="88"/>
  <c r="K203" i="88"/>
  <c r="J203" i="88"/>
  <c r="G203" i="88"/>
  <c r="C203" i="88"/>
  <c r="B203" i="88"/>
  <c r="A203" i="88"/>
  <c r="H202" i="88"/>
  <c r="I202" i="88"/>
  <c r="D202" i="88"/>
  <c r="N202" i="88"/>
  <c r="L202" i="88"/>
  <c r="K202" i="88"/>
  <c r="J202" i="88"/>
  <c r="G202" i="88"/>
  <c r="C202" i="88"/>
  <c r="B202" i="88"/>
  <c r="A202" i="88"/>
  <c r="H201" i="88"/>
  <c r="I201" i="88"/>
  <c r="D201" i="88"/>
  <c r="N201" i="88"/>
  <c r="L201" i="88"/>
  <c r="K201" i="88"/>
  <c r="J201" i="88"/>
  <c r="G201" i="88"/>
  <c r="C201" i="88"/>
  <c r="B201" i="88"/>
  <c r="A201" i="88"/>
  <c r="H200" i="88"/>
  <c r="I200" i="88"/>
  <c r="D200" i="88"/>
  <c r="N200" i="88"/>
  <c r="L200" i="88"/>
  <c r="K200" i="88"/>
  <c r="J200" i="88"/>
  <c r="G200" i="88"/>
  <c r="C200" i="88"/>
  <c r="B200" i="88"/>
  <c r="A200" i="88"/>
  <c r="H199" i="88"/>
  <c r="I199" i="88"/>
  <c r="D199" i="88"/>
  <c r="N199" i="88"/>
  <c r="L199" i="88"/>
  <c r="K199" i="88"/>
  <c r="J199" i="88"/>
  <c r="G199" i="88"/>
  <c r="C199" i="88"/>
  <c r="B199" i="88"/>
  <c r="A199" i="88"/>
  <c r="H198" i="88"/>
  <c r="I198" i="88"/>
  <c r="D198" i="88"/>
  <c r="N198" i="88"/>
  <c r="L198" i="88"/>
  <c r="K198" i="88"/>
  <c r="J198" i="88"/>
  <c r="G198" i="88"/>
  <c r="C198" i="88"/>
  <c r="B198" i="88"/>
  <c r="A198" i="88"/>
  <c r="H197" i="88"/>
  <c r="I197" i="88"/>
  <c r="D197" i="88"/>
  <c r="N197" i="88"/>
  <c r="L197" i="88"/>
  <c r="K197" i="88"/>
  <c r="J197" i="88"/>
  <c r="G197" i="88"/>
  <c r="C197" i="88"/>
  <c r="B197" i="88"/>
  <c r="A197" i="88"/>
  <c r="H196" i="88"/>
  <c r="I196" i="88"/>
  <c r="D196" i="88"/>
  <c r="N196" i="88"/>
  <c r="L196" i="88"/>
  <c r="K196" i="88"/>
  <c r="J196" i="88"/>
  <c r="G196" i="88"/>
  <c r="C196" i="88"/>
  <c r="B196" i="88"/>
  <c r="A196" i="88"/>
  <c r="H195" i="88"/>
  <c r="I195" i="88"/>
  <c r="D195" i="88"/>
  <c r="N195" i="88"/>
  <c r="L195" i="88"/>
  <c r="K195" i="88"/>
  <c r="J195" i="88"/>
  <c r="G195" i="88"/>
  <c r="C195" i="88"/>
  <c r="B195" i="88"/>
  <c r="A195" i="88"/>
  <c r="H194" i="88"/>
  <c r="I194" i="88"/>
  <c r="D194" i="88"/>
  <c r="N194" i="88"/>
  <c r="L194" i="88"/>
  <c r="K194" i="88"/>
  <c r="J194" i="88"/>
  <c r="G194" i="88"/>
  <c r="C194" i="88"/>
  <c r="B194" i="88"/>
  <c r="A194" i="88"/>
  <c r="H193" i="88"/>
  <c r="I193" i="88"/>
  <c r="D193" i="88"/>
  <c r="N193" i="88"/>
  <c r="L193" i="88"/>
  <c r="K193" i="88"/>
  <c r="J193" i="88"/>
  <c r="G193" i="88"/>
  <c r="C193" i="88"/>
  <c r="B193" i="88"/>
  <c r="A193" i="88"/>
  <c r="H192" i="88"/>
  <c r="I192" i="88"/>
  <c r="D192" i="88"/>
  <c r="N192" i="88"/>
  <c r="L192" i="88"/>
  <c r="K192" i="88"/>
  <c r="J192" i="88"/>
  <c r="G192" i="88"/>
  <c r="C192" i="88"/>
  <c r="B192" i="88"/>
  <c r="A192" i="88"/>
  <c r="H191" i="88"/>
  <c r="I191" i="88"/>
  <c r="D191" i="88"/>
  <c r="N191" i="88"/>
  <c r="L191" i="88"/>
  <c r="K191" i="88"/>
  <c r="J191" i="88"/>
  <c r="G191" i="88"/>
  <c r="C191" i="88"/>
  <c r="B191" i="88"/>
  <c r="A191" i="88"/>
  <c r="H190" i="88"/>
  <c r="I190" i="88"/>
  <c r="D190" i="88"/>
  <c r="N190" i="88"/>
  <c r="L190" i="88"/>
  <c r="K190" i="88"/>
  <c r="J190" i="88"/>
  <c r="G190" i="88"/>
  <c r="C190" i="88"/>
  <c r="B190" i="88"/>
  <c r="A190" i="88"/>
  <c r="H189" i="88"/>
  <c r="I189" i="88"/>
  <c r="D189" i="88"/>
  <c r="N189" i="88"/>
  <c r="L189" i="88"/>
  <c r="K189" i="88"/>
  <c r="J189" i="88"/>
  <c r="G189" i="88"/>
  <c r="C189" i="88"/>
  <c r="B189" i="88"/>
  <c r="A189" i="88"/>
  <c r="H188" i="88"/>
  <c r="I188" i="88"/>
  <c r="D188" i="88"/>
  <c r="N188" i="88"/>
  <c r="L188" i="88"/>
  <c r="K188" i="88"/>
  <c r="J188" i="88"/>
  <c r="G188" i="88"/>
  <c r="C188" i="88"/>
  <c r="B188" i="88"/>
  <c r="A188" i="88"/>
  <c r="H187" i="88"/>
  <c r="I187" i="88"/>
  <c r="D187" i="88"/>
  <c r="N187" i="88"/>
  <c r="L187" i="88"/>
  <c r="K187" i="88"/>
  <c r="J187" i="88"/>
  <c r="G187" i="88"/>
  <c r="C187" i="88"/>
  <c r="B187" i="88"/>
  <c r="A187" i="88"/>
  <c r="H186" i="88"/>
  <c r="I186" i="88"/>
  <c r="D186" i="88"/>
  <c r="N186" i="88"/>
  <c r="L186" i="88"/>
  <c r="K186" i="88"/>
  <c r="J186" i="88"/>
  <c r="G186" i="88"/>
  <c r="C186" i="88"/>
  <c r="B186" i="88"/>
  <c r="A186" i="88"/>
  <c r="H185" i="88"/>
  <c r="I185" i="88"/>
  <c r="D185" i="88"/>
  <c r="N185" i="88"/>
  <c r="L185" i="88"/>
  <c r="K185" i="88"/>
  <c r="J185" i="88"/>
  <c r="G185" i="88"/>
  <c r="C185" i="88"/>
  <c r="B185" i="88"/>
  <c r="A185" i="88"/>
  <c r="H184" i="88"/>
  <c r="I184" i="88"/>
  <c r="D184" i="88"/>
  <c r="N184" i="88"/>
  <c r="L184" i="88"/>
  <c r="K184" i="88"/>
  <c r="J184" i="88"/>
  <c r="G184" i="88"/>
  <c r="C184" i="88"/>
  <c r="B184" i="88"/>
  <c r="A184" i="88"/>
  <c r="H183" i="88"/>
  <c r="I183" i="88"/>
  <c r="D183" i="88"/>
  <c r="N183" i="88"/>
  <c r="L183" i="88"/>
  <c r="K183" i="88"/>
  <c r="J183" i="88"/>
  <c r="G183" i="88"/>
  <c r="C183" i="88"/>
  <c r="B183" i="88"/>
  <c r="A183" i="88"/>
  <c r="H182" i="88"/>
  <c r="I182" i="88"/>
  <c r="D182" i="88"/>
  <c r="N182" i="88"/>
  <c r="L182" i="88"/>
  <c r="K182" i="88"/>
  <c r="J182" i="88"/>
  <c r="G182" i="88"/>
  <c r="C182" i="88"/>
  <c r="B182" i="88"/>
  <c r="A182" i="88"/>
  <c r="H181" i="88"/>
  <c r="I181" i="88"/>
  <c r="D181" i="88"/>
  <c r="N181" i="88"/>
  <c r="L181" i="88"/>
  <c r="K181" i="88"/>
  <c r="J181" i="88"/>
  <c r="G181" i="88"/>
  <c r="C181" i="88"/>
  <c r="B181" i="88"/>
  <c r="A181" i="88"/>
  <c r="H180" i="88"/>
  <c r="I180" i="88"/>
  <c r="D180" i="88"/>
  <c r="N180" i="88"/>
  <c r="L180" i="88"/>
  <c r="K180" i="88"/>
  <c r="J180" i="88"/>
  <c r="G180" i="88"/>
  <c r="C180" i="88"/>
  <c r="B180" i="88"/>
  <c r="A180" i="88"/>
  <c r="H179" i="88"/>
  <c r="I179" i="88"/>
  <c r="D179" i="88"/>
  <c r="N179" i="88"/>
  <c r="L179" i="88"/>
  <c r="K179" i="88"/>
  <c r="J179" i="88"/>
  <c r="G179" i="88"/>
  <c r="C179" i="88"/>
  <c r="B179" i="88"/>
  <c r="A179" i="88"/>
  <c r="H178" i="88"/>
  <c r="I178" i="88"/>
  <c r="D178" i="88"/>
  <c r="N178" i="88"/>
  <c r="L178" i="88"/>
  <c r="K178" i="88"/>
  <c r="J178" i="88"/>
  <c r="G178" i="88"/>
  <c r="C178" i="88"/>
  <c r="B178" i="88"/>
  <c r="A178" i="88"/>
  <c r="H177" i="88"/>
  <c r="I177" i="88"/>
  <c r="D177" i="88"/>
  <c r="N177" i="88"/>
  <c r="L177" i="88"/>
  <c r="K177" i="88"/>
  <c r="J177" i="88"/>
  <c r="G177" i="88"/>
  <c r="C177" i="88"/>
  <c r="B177" i="88"/>
  <c r="A177" i="88"/>
  <c r="H176" i="88"/>
  <c r="I176" i="88"/>
  <c r="D176" i="88"/>
  <c r="N176" i="88"/>
  <c r="L176" i="88"/>
  <c r="K176" i="88"/>
  <c r="J176" i="88"/>
  <c r="G176" i="88"/>
  <c r="C176" i="88"/>
  <c r="B176" i="88"/>
  <c r="A176" i="88"/>
  <c r="H175" i="88"/>
  <c r="I175" i="88"/>
  <c r="D175" i="88"/>
  <c r="N175" i="88"/>
  <c r="L175" i="88"/>
  <c r="K175" i="88"/>
  <c r="J175" i="88"/>
  <c r="G175" i="88"/>
  <c r="C175" i="88"/>
  <c r="B175" i="88"/>
  <c r="A175" i="88"/>
  <c r="H174" i="88"/>
  <c r="I174" i="88"/>
  <c r="D174" i="88"/>
  <c r="N174" i="88"/>
  <c r="L174" i="88"/>
  <c r="K174" i="88"/>
  <c r="J174" i="88"/>
  <c r="G174" i="88"/>
  <c r="C174" i="88"/>
  <c r="B174" i="88"/>
  <c r="A174" i="88"/>
  <c r="H173" i="88"/>
  <c r="I173" i="88"/>
  <c r="D173" i="88"/>
  <c r="N173" i="88"/>
  <c r="L173" i="88"/>
  <c r="K173" i="88"/>
  <c r="J173" i="88"/>
  <c r="G173" i="88"/>
  <c r="C173" i="88"/>
  <c r="B173" i="88"/>
  <c r="A173" i="88"/>
  <c r="H172" i="88"/>
  <c r="I172" i="88"/>
  <c r="D172" i="88"/>
  <c r="N172" i="88"/>
  <c r="L172" i="88"/>
  <c r="K172" i="88"/>
  <c r="J172" i="88"/>
  <c r="G172" i="88"/>
  <c r="C172" i="88"/>
  <c r="B172" i="88"/>
  <c r="A172" i="88"/>
  <c r="H171" i="88"/>
  <c r="I171" i="88"/>
  <c r="D171" i="88"/>
  <c r="N171" i="88"/>
  <c r="L171" i="88"/>
  <c r="K171" i="88"/>
  <c r="J171" i="88"/>
  <c r="G171" i="88"/>
  <c r="C171" i="88"/>
  <c r="B171" i="88"/>
  <c r="A171" i="88"/>
  <c r="H170" i="88"/>
  <c r="I170" i="88"/>
  <c r="D170" i="88"/>
  <c r="N170" i="88"/>
  <c r="L170" i="88"/>
  <c r="K170" i="88"/>
  <c r="J170" i="88"/>
  <c r="G170" i="88"/>
  <c r="C170" i="88"/>
  <c r="B170" i="88"/>
  <c r="A170" i="88"/>
  <c r="H169" i="88"/>
  <c r="I169" i="88"/>
  <c r="D169" i="88"/>
  <c r="N169" i="88"/>
  <c r="L169" i="88"/>
  <c r="K169" i="88"/>
  <c r="J169" i="88"/>
  <c r="G169" i="88"/>
  <c r="C169" i="88"/>
  <c r="B169" i="88"/>
  <c r="A169" i="88"/>
  <c r="H168" i="88"/>
  <c r="I168" i="88"/>
  <c r="D168" i="88"/>
  <c r="N168" i="88"/>
  <c r="L168" i="88"/>
  <c r="K168" i="88"/>
  <c r="J168" i="88"/>
  <c r="G168" i="88"/>
  <c r="C168" i="88"/>
  <c r="B168" i="88"/>
  <c r="A168" i="88"/>
  <c r="H167" i="88"/>
  <c r="I167" i="88"/>
  <c r="D167" i="88"/>
  <c r="N167" i="88"/>
  <c r="L167" i="88"/>
  <c r="K167" i="88"/>
  <c r="J167" i="88"/>
  <c r="G167" i="88"/>
  <c r="C167" i="88"/>
  <c r="B167" i="88"/>
  <c r="A167" i="88"/>
  <c r="H166" i="88"/>
  <c r="I166" i="88"/>
  <c r="D166" i="88"/>
  <c r="N166" i="88"/>
  <c r="L166" i="88"/>
  <c r="K166" i="88"/>
  <c r="J166" i="88"/>
  <c r="G166" i="88"/>
  <c r="C166" i="88"/>
  <c r="B166" i="88"/>
  <c r="A166" i="88"/>
  <c r="H165" i="88"/>
  <c r="I165" i="88"/>
  <c r="D165" i="88"/>
  <c r="N165" i="88"/>
  <c r="L165" i="88"/>
  <c r="K165" i="88"/>
  <c r="J165" i="88"/>
  <c r="G165" i="88"/>
  <c r="C165" i="88"/>
  <c r="B165" i="88"/>
  <c r="A165" i="88"/>
  <c r="H164" i="88"/>
  <c r="I164" i="88"/>
  <c r="D164" i="88"/>
  <c r="N164" i="88"/>
  <c r="L164" i="88"/>
  <c r="K164" i="88"/>
  <c r="J164" i="88"/>
  <c r="G164" i="88"/>
  <c r="C164" i="88"/>
  <c r="B164" i="88"/>
  <c r="A164" i="88"/>
  <c r="H163" i="88"/>
  <c r="I163" i="88"/>
  <c r="D163" i="88"/>
  <c r="N163" i="88"/>
  <c r="L163" i="88"/>
  <c r="K163" i="88"/>
  <c r="J163" i="88"/>
  <c r="G163" i="88"/>
  <c r="C163" i="88"/>
  <c r="B163" i="88"/>
  <c r="A163" i="88"/>
  <c r="H162" i="88"/>
  <c r="I162" i="88"/>
  <c r="D162" i="88"/>
  <c r="N162" i="88"/>
  <c r="L162" i="88"/>
  <c r="K162" i="88"/>
  <c r="J162" i="88"/>
  <c r="G162" i="88"/>
  <c r="C162" i="88"/>
  <c r="B162" i="88"/>
  <c r="A162" i="88"/>
  <c r="H161" i="88"/>
  <c r="I161" i="88"/>
  <c r="D161" i="88"/>
  <c r="N161" i="88"/>
  <c r="L161" i="88"/>
  <c r="K161" i="88"/>
  <c r="J161" i="88"/>
  <c r="G161" i="88"/>
  <c r="C161" i="88"/>
  <c r="B161" i="88"/>
  <c r="A161" i="88"/>
  <c r="H160" i="88"/>
  <c r="I160" i="88"/>
  <c r="D160" i="88"/>
  <c r="N160" i="88"/>
  <c r="L160" i="88"/>
  <c r="K160" i="88"/>
  <c r="J160" i="88"/>
  <c r="G160" i="88"/>
  <c r="C160" i="88"/>
  <c r="B160" i="88"/>
  <c r="A160" i="88"/>
  <c r="H159" i="88"/>
  <c r="I159" i="88"/>
  <c r="D159" i="88"/>
  <c r="N159" i="88"/>
  <c r="L159" i="88"/>
  <c r="K159" i="88"/>
  <c r="J159" i="88"/>
  <c r="G159" i="88"/>
  <c r="C159" i="88"/>
  <c r="B159" i="88"/>
  <c r="A159" i="88"/>
  <c r="H158" i="88"/>
  <c r="I158" i="88"/>
  <c r="D158" i="88"/>
  <c r="N158" i="88"/>
  <c r="L158" i="88"/>
  <c r="K158" i="88"/>
  <c r="J158" i="88"/>
  <c r="G158" i="88"/>
  <c r="C158" i="88"/>
  <c r="B158" i="88"/>
  <c r="A158" i="88"/>
  <c r="H157" i="88"/>
  <c r="I157" i="88"/>
  <c r="D157" i="88"/>
  <c r="N157" i="88"/>
  <c r="L157" i="88"/>
  <c r="K157" i="88"/>
  <c r="J157" i="88"/>
  <c r="G157" i="88"/>
  <c r="C157" i="88"/>
  <c r="B157" i="88"/>
  <c r="A157" i="88"/>
  <c r="H156" i="88"/>
  <c r="I156" i="88"/>
  <c r="D156" i="88"/>
  <c r="N156" i="88"/>
  <c r="L156" i="88"/>
  <c r="K156" i="88"/>
  <c r="J156" i="88"/>
  <c r="G156" i="88"/>
  <c r="C156" i="88"/>
  <c r="B156" i="88"/>
  <c r="A156" i="88"/>
  <c r="H155" i="88"/>
  <c r="I155" i="88"/>
  <c r="D155" i="88"/>
  <c r="N155" i="88"/>
  <c r="L155" i="88"/>
  <c r="K155" i="88"/>
  <c r="J155" i="88"/>
  <c r="G155" i="88"/>
  <c r="C155" i="88"/>
  <c r="B155" i="88"/>
  <c r="A155" i="88"/>
  <c r="H154" i="88"/>
  <c r="I154" i="88"/>
  <c r="D154" i="88"/>
  <c r="N154" i="88"/>
  <c r="L154" i="88"/>
  <c r="K154" i="88"/>
  <c r="J154" i="88"/>
  <c r="G154" i="88"/>
  <c r="C154" i="88"/>
  <c r="B154" i="88"/>
  <c r="A154" i="88"/>
  <c r="H153" i="88"/>
  <c r="I153" i="88"/>
  <c r="D153" i="88"/>
  <c r="N153" i="88"/>
  <c r="L153" i="88"/>
  <c r="K153" i="88"/>
  <c r="J153" i="88"/>
  <c r="G153" i="88"/>
  <c r="C153" i="88"/>
  <c r="B153" i="88"/>
  <c r="A153" i="88"/>
  <c r="H152" i="88"/>
  <c r="I152" i="88"/>
  <c r="D152" i="88"/>
  <c r="N152" i="88"/>
  <c r="L152" i="88"/>
  <c r="K152" i="88"/>
  <c r="J152" i="88"/>
  <c r="G152" i="88"/>
  <c r="C152" i="88"/>
  <c r="B152" i="88"/>
  <c r="A152" i="88"/>
  <c r="H151" i="88"/>
  <c r="I151" i="88"/>
  <c r="D151" i="88"/>
  <c r="N151" i="88"/>
  <c r="L151" i="88"/>
  <c r="K151" i="88"/>
  <c r="J151" i="88"/>
  <c r="G151" i="88"/>
  <c r="C151" i="88"/>
  <c r="B151" i="88"/>
  <c r="A151" i="88"/>
  <c r="H150" i="88"/>
  <c r="I150" i="88"/>
  <c r="D150" i="88"/>
  <c r="N150" i="88"/>
  <c r="L150" i="88"/>
  <c r="K150" i="88"/>
  <c r="J150" i="88"/>
  <c r="G150" i="88"/>
  <c r="C150" i="88"/>
  <c r="B150" i="88"/>
  <c r="A150" i="88"/>
  <c r="H149" i="88"/>
  <c r="I149" i="88"/>
  <c r="D149" i="88"/>
  <c r="N149" i="88"/>
  <c r="L149" i="88"/>
  <c r="K149" i="88"/>
  <c r="J149" i="88"/>
  <c r="G149" i="88"/>
  <c r="C149" i="88"/>
  <c r="B149" i="88"/>
  <c r="A149" i="88"/>
  <c r="H148" i="88"/>
  <c r="I148" i="88"/>
  <c r="D148" i="88"/>
  <c r="N148" i="88"/>
  <c r="L148" i="88"/>
  <c r="K148" i="88"/>
  <c r="J148" i="88"/>
  <c r="G148" i="88"/>
  <c r="C148" i="88"/>
  <c r="B148" i="88"/>
  <c r="A148" i="88"/>
  <c r="H147" i="88"/>
  <c r="I147" i="88"/>
  <c r="D147" i="88"/>
  <c r="N147" i="88"/>
  <c r="L147" i="88"/>
  <c r="K147" i="88"/>
  <c r="J147" i="88"/>
  <c r="G147" i="88"/>
  <c r="C147" i="88"/>
  <c r="B147" i="88"/>
  <c r="A147" i="88"/>
  <c r="H146" i="88"/>
  <c r="I146" i="88"/>
  <c r="D146" i="88"/>
  <c r="N146" i="88"/>
  <c r="L146" i="88"/>
  <c r="K146" i="88"/>
  <c r="J146" i="88"/>
  <c r="G146" i="88"/>
  <c r="C146" i="88"/>
  <c r="B146" i="88"/>
  <c r="A146" i="88"/>
  <c r="H145" i="88"/>
  <c r="I145" i="88"/>
  <c r="D145" i="88"/>
  <c r="N145" i="88"/>
  <c r="L145" i="88"/>
  <c r="K145" i="88"/>
  <c r="J145" i="88"/>
  <c r="G145" i="88"/>
  <c r="C145" i="88"/>
  <c r="B145" i="88"/>
  <c r="A145" i="88"/>
  <c r="H144" i="88"/>
  <c r="I144" i="88"/>
  <c r="D144" i="88"/>
  <c r="N144" i="88"/>
  <c r="L144" i="88"/>
  <c r="K144" i="88"/>
  <c r="J144" i="88"/>
  <c r="G144" i="88"/>
  <c r="C144" i="88"/>
  <c r="B144" i="88"/>
  <c r="A144" i="88"/>
  <c r="H143" i="88"/>
  <c r="I143" i="88"/>
  <c r="D143" i="88"/>
  <c r="N143" i="88"/>
  <c r="L143" i="88"/>
  <c r="K143" i="88"/>
  <c r="J143" i="88"/>
  <c r="G143" i="88"/>
  <c r="C143" i="88"/>
  <c r="B143" i="88"/>
  <c r="A143" i="88"/>
  <c r="H142" i="88"/>
  <c r="I142" i="88"/>
  <c r="D142" i="88"/>
  <c r="N142" i="88"/>
  <c r="L142" i="88"/>
  <c r="K142" i="88"/>
  <c r="J142" i="88"/>
  <c r="G142" i="88"/>
  <c r="C142" i="88"/>
  <c r="B142" i="88"/>
  <c r="A142" i="88"/>
  <c r="H141" i="88"/>
  <c r="I141" i="88"/>
  <c r="D141" i="88"/>
  <c r="N141" i="88"/>
  <c r="L141" i="88"/>
  <c r="K141" i="88"/>
  <c r="J141" i="88"/>
  <c r="G141" i="88"/>
  <c r="C141" i="88"/>
  <c r="B141" i="88"/>
  <c r="A141" i="88"/>
  <c r="H140" i="88"/>
  <c r="I140" i="88"/>
  <c r="D140" i="88"/>
  <c r="N140" i="88"/>
  <c r="L140" i="88"/>
  <c r="K140" i="88"/>
  <c r="J140" i="88"/>
  <c r="G140" i="88"/>
  <c r="C140" i="88"/>
  <c r="B140" i="88"/>
  <c r="A140" i="88"/>
  <c r="H139" i="88"/>
  <c r="I139" i="88"/>
  <c r="D139" i="88"/>
  <c r="N139" i="88"/>
  <c r="L139" i="88"/>
  <c r="K139" i="88"/>
  <c r="J139" i="88"/>
  <c r="G139" i="88"/>
  <c r="C139" i="88"/>
  <c r="B139" i="88"/>
  <c r="A139" i="88"/>
  <c r="H138" i="88"/>
  <c r="I138" i="88"/>
  <c r="D138" i="88"/>
  <c r="N138" i="88"/>
  <c r="L138" i="88"/>
  <c r="K138" i="88"/>
  <c r="J138" i="88"/>
  <c r="G138" i="88"/>
  <c r="C138" i="88"/>
  <c r="B138" i="88"/>
  <c r="A138" i="88"/>
  <c r="H137" i="88"/>
  <c r="I137" i="88"/>
  <c r="D137" i="88"/>
  <c r="N137" i="88"/>
  <c r="L137" i="88"/>
  <c r="K137" i="88"/>
  <c r="J137" i="88"/>
  <c r="G137" i="88"/>
  <c r="C137" i="88"/>
  <c r="B137" i="88"/>
  <c r="A137" i="88"/>
  <c r="H136" i="88"/>
  <c r="I136" i="88"/>
  <c r="D136" i="88"/>
  <c r="N136" i="88"/>
  <c r="L136" i="88"/>
  <c r="K136" i="88"/>
  <c r="J136" i="88"/>
  <c r="G136" i="88"/>
  <c r="C136" i="88"/>
  <c r="B136" i="88"/>
  <c r="A136" i="88"/>
  <c r="H135" i="88"/>
  <c r="I135" i="88"/>
  <c r="D135" i="88"/>
  <c r="N135" i="88"/>
  <c r="L135" i="88"/>
  <c r="K135" i="88"/>
  <c r="J135" i="88"/>
  <c r="G135" i="88"/>
  <c r="C135" i="88"/>
  <c r="B135" i="88"/>
  <c r="A135" i="88"/>
  <c r="H134" i="88"/>
  <c r="I134" i="88"/>
  <c r="D134" i="88"/>
  <c r="N134" i="88"/>
  <c r="L134" i="88"/>
  <c r="K134" i="88"/>
  <c r="J134" i="88"/>
  <c r="G134" i="88"/>
  <c r="C134" i="88"/>
  <c r="B134" i="88"/>
  <c r="A134" i="88"/>
  <c r="H133" i="88"/>
  <c r="I133" i="88"/>
  <c r="D133" i="88"/>
  <c r="N133" i="88"/>
  <c r="L133" i="88"/>
  <c r="K133" i="88"/>
  <c r="J133" i="88"/>
  <c r="G133" i="88"/>
  <c r="C133" i="88"/>
  <c r="B133" i="88"/>
  <c r="A133" i="88"/>
  <c r="H132" i="88"/>
  <c r="I132" i="88"/>
  <c r="D132" i="88"/>
  <c r="N132" i="88"/>
  <c r="L132" i="88"/>
  <c r="K132" i="88"/>
  <c r="J132" i="88"/>
  <c r="G132" i="88"/>
  <c r="C132" i="88"/>
  <c r="B132" i="88"/>
  <c r="A132" i="88"/>
  <c r="H131" i="88"/>
  <c r="I131" i="88"/>
  <c r="D131" i="88"/>
  <c r="N131" i="88"/>
  <c r="L131" i="88"/>
  <c r="K131" i="88"/>
  <c r="J131" i="88"/>
  <c r="G131" i="88"/>
  <c r="C131" i="88"/>
  <c r="B131" i="88"/>
  <c r="A131" i="88"/>
  <c r="H130" i="88"/>
  <c r="I130" i="88"/>
  <c r="D130" i="88"/>
  <c r="N130" i="88"/>
  <c r="L130" i="88"/>
  <c r="K130" i="88"/>
  <c r="J130" i="88"/>
  <c r="G130" i="88"/>
  <c r="C130" i="88"/>
  <c r="B130" i="88"/>
  <c r="A130" i="88"/>
  <c r="H129" i="88"/>
  <c r="I129" i="88"/>
  <c r="D129" i="88"/>
  <c r="N129" i="88"/>
  <c r="L129" i="88"/>
  <c r="K129" i="88"/>
  <c r="J129" i="88"/>
  <c r="G129" i="88"/>
  <c r="C129" i="88"/>
  <c r="B129" i="88"/>
  <c r="A129" i="88"/>
  <c r="H128" i="88"/>
  <c r="I128" i="88"/>
  <c r="D128" i="88"/>
  <c r="N128" i="88"/>
  <c r="L128" i="88"/>
  <c r="K128" i="88"/>
  <c r="J128" i="88"/>
  <c r="G128" i="88"/>
  <c r="C128" i="88"/>
  <c r="B128" i="88"/>
  <c r="A128" i="88"/>
  <c r="H127" i="88"/>
  <c r="I127" i="88"/>
  <c r="D127" i="88"/>
  <c r="N127" i="88"/>
  <c r="L127" i="88"/>
  <c r="K127" i="88"/>
  <c r="J127" i="88"/>
  <c r="G127" i="88"/>
  <c r="C127" i="88"/>
  <c r="B127" i="88"/>
  <c r="A127" i="88"/>
  <c r="H126" i="88"/>
  <c r="I126" i="88"/>
  <c r="D126" i="88"/>
  <c r="N126" i="88"/>
  <c r="L126" i="88"/>
  <c r="K126" i="88"/>
  <c r="J126" i="88"/>
  <c r="G126" i="88"/>
  <c r="C126" i="88"/>
  <c r="B126" i="88"/>
  <c r="A126" i="88"/>
  <c r="H125" i="88"/>
  <c r="I125" i="88"/>
  <c r="D125" i="88"/>
  <c r="N125" i="88"/>
  <c r="L125" i="88"/>
  <c r="K125" i="88"/>
  <c r="J125" i="88"/>
  <c r="G125" i="88"/>
  <c r="C125" i="88"/>
  <c r="B125" i="88"/>
  <c r="A125" i="88"/>
  <c r="H124" i="88"/>
  <c r="I124" i="88"/>
  <c r="D124" i="88"/>
  <c r="N124" i="88"/>
  <c r="L124" i="88"/>
  <c r="K124" i="88"/>
  <c r="J124" i="88"/>
  <c r="G124" i="88"/>
  <c r="C124" i="88"/>
  <c r="B124" i="88"/>
  <c r="A124" i="88"/>
  <c r="H123" i="88"/>
  <c r="I123" i="88"/>
  <c r="D123" i="88"/>
  <c r="N123" i="88"/>
  <c r="L123" i="88"/>
  <c r="K123" i="88"/>
  <c r="J123" i="88"/>
  <c r="G123" i="88"/>
  <c r="C123" i="88"/>
  <c r="B123" i="88"/>
  <c r="A123" i="88"/>
  <c r="H122" i="88"/>
  <c r="I122" i="88"/>
  <c r="D122" i="88"/>
  <c r="N122" i="88"/>
  <c r="L122" i="88"/>
  <c r="K122" i="88"/>
  <c r="J122" i="88"/>
  <c r="G122" i="88"/>
  <c r="C122" i="88"/>
  <c r="B122" i="88"/>
  <c r="A122" i="88"/>
  <c r="H121" i="88"/>
  <c r="I121" i="88"/>
  <c r="D121" i="88"/>
  <c r="N121" i="88"/>
  <c r="L121" i="88"/>
  <c r="K121" i="88"/>
  <c r="J121" i="88"/>
  <c r="G121" i="88"/>
  <c r="C121" i="88"/>
  <c r="B121" i="88"/>
  <c r="A121" i="88"/>
  <c r="H120" i="88"/>
  <c r="I120" i="88"/>
  <c r="D120" i="88"/>
  <c r="N120" i="88"/>
  <c r="L120" i="88"/>
  <c r="K120" i="88"/>
  <c r="J120" i="88"/>
  <c r="G120" i="88"/>
  <c r="C120" i="88"/>
  <c r="B120" i="88"/>
  <c r="A120" i="88"/>
  <c r="H119" i="88"/>
  <c r="I119" i="88"/>
  <c r="D119" i="88"/>
  <c r="N119" i="88"/>
  <c r="L119" i="88"/>
  <c r="K119" i="88"/>
  <c r="J119" i="88"/>
  <c r="G119" i="88"/>
  <c r="C119" i="88"/>
  <c r="B119" i="88"/>
  <c r="A119" i="88"/>
  <c r="H118" i="88"/>
  <c r="I118" i="88"/>
  <c r="D118" i="88"/>
  <c r="N118" i="88"/>
  <c r="L118" i="88"/>
  <c r="K118" i="88"/>
  <c r="J118" i="88"/>
  <c r="G118" i="88"/>
  <c r="C118" i="88"/>
  <c r="B118" i="88"/>
  <c r="A118" i="88"/>
  <c r="H117" i="88"/>
  <c r="I117" i="88"/>
  <c r="D117" i="88"/>
  <c r="N117" i="88"/>
  <c r="L117" i="88"/>
  <c r="K117" i="88"/>
  <c r="J117" i="88"/>
  <c r="G117" i="88"/>
  <c r="C117" i="88"/>
  <c r="B117" i="88"/>
  <c r="A117" i="88"/>
  <c r="H116" i="88"/>
  <c r="I116" i="88"/>
  <c r="D116" i="88"/>
  <c r="N116" i="88"/>
  <c r="L116" i="88"/>
  <c r="K116" i="88"/>
  <c r="J116" i="88"/>
  <c r="G116" i="88"/>
  <c r="C116" i="88"/>
  <c r="B116" i="88"/>
  <c r="A116" i="88"/>
  <c r="H115" i="88"/>
  <c r="I115" i="88"/>
  <c r="D115" i="88"/>
  <c r="N115" i="88"/>
  <c r="L115" i="88"/>
  <c r="K115" i="88"/>
  <c r="J115" i="88"/>
  <c r="G115" i="88"/>
  <c r="C115" i="88"/>
  <c r="B115" i="88"/>
  <c r="A115" i="88"/>
  <c r="H114" i="88"/>
  <c r="I114" i="88"/>
  <c r="D114" i="88"/>
  <c r="N114" i="88"/>
  <c r="L114" i="88"/>
  <c r="K114" i="88"/>
  <c r="J114" i="88"/>
  <c r="G114" i="88"/>
  <c r="C114" i="88"/>
  <c r="B114" i="88"/>
  <c r="A114" i="88"/>
  <c r="H113" i="88"/>
  <c r="I113" i="88"/>
  <c r="D113" i="88"/>
  <c r="N113" i="88"/>
  <c r="L113" i="88"/>
  <c r="K113" i="88"/>
  <c r="J113" i="88"/>
  <c r="G113" i="88"/>
  <c r="C113" i="88"/>
  <c r="B113" i="88"/>
  <c r="A113" i="88"/>
  <c r="H112" i="88"/>
  <c r="I112" i="88"/>
  <c r="D112" i="88"/>
  <c r="N112" i="88"/>
  <c r="L112" i="88"/>
  <c r="K112" i="88"/>
  <c r="J112" i="88"/>
  <c r="G112" i="88"/>
  <c r="C112" i="88"/>
  <c r="B112" i="88"/>
  <c r="A112" i="88"/>
  <c r="H111" i="88"/>
  <c r="I111" i="88"/>
  <c r="D111" i="88"/>
  <c r="N111" i="88"/>
  <c r="L111" i="88"/>
  <c r="K111" i="88"/>
  <c r="J111" i="88"/>
  <c r="G111" i="88"/>
  <c r="C111" i="88"/>
  <c r="B111" i="88"/>
  <c r="A111" i="88"/>
  <c r="H110" i="88"/>
  <c r="I110" i="88"/>
  <c r="D110" i="88"/>
  <c r="N110" i="88"/>
  <c r="L110" i="88"/>
  <c r="K110" i="88"/>
  <c r="J110" i="88"/>
  <c r="G110" i="88"/>
  <c r="C110" i="88"/>
  <c r="B110" i="88"/>
  <c r="A110" i="88"/>
  <c r="H109" i="88"/>
  <c r="I109" i="88"/>
  <c r="D109" i="88"/>
  <c r="N109" i="88"/>
  <c r="L109" i="88"/>
  <c r="K109" i="88"/>
  <c r="J109" i="88"/>
  <c r="G109" i="88"/>
  <c r="C109" i="88"/>
  <c r="B109" i="88"/>
  <c r="A109" i="88"/>
  <c r="H108" i="88"/>
  <c r="I108" i="88"/>
  <c r="D108" i="88"/>
  <c r="N108" i="88"/>
  <c r="L108" i="88"/>
  <c r="K108" i="88"/>
  <c r="J108" i="88"/>
  <c r="G108" i="88"/>
  <c r="C108" i="88"/>
  <c r="B108" i="88"/>
  <c r="A108" i="88"/>
  <c r="H107" i="88"/>
  <c r="I107" i="88"/>
  <c r="D107" i="88"/>
  <c r="N107" i="88"/>
  <c r="L107" i="88"/>
  <c r="K107" i="88"/>
  <c r="J107" i="88"/>
  <c r="G107" i="88"/>
  <c r="C107" i="88"/>
  <c r="B107" i="88"/>
  <c r="A107" i="88"/>
  <c r="H106" i="88"/>
  <c r="I106" i="88"/>
  <c r="D106" i="88"/>
  <c r="N106" i="88"/>
  <c r="L106" i="88"/>
  <c r="K106" i="88"/>
  <c r="J106" i="88"/>
  <c r="G106" i="88"/>
  <c r="C106" i="88"/>
  <c r="B106" i="88"/>
  <c r="A106" i="88"/>
  <c r="H105" i="88"/>
  <c r="I105" i="88"/>
  <c r="D105" i="88"/>
  <c r="N105" i="88"/>
  <c r="L105" i="88"/>
  <c r="K105" i="88"/>
  <c r="J105" i="88"/>
  <c r="G105" i="88"/>
  <c r="C105" i="88"/>
  <c r="B105" i="88"/>
  <c r="A105" i="88"/>
  <c r="H104" i="88"/>
  <c r="I104" i="88"/>
  <c r="D104" i="88"/>
  <c r="N104" i="88"/>
  <c r="L104" i="88"/>
  <c r="K104" i="88"/>
  <c r="J104" i="88"/>
  <c r="G104" i="88"/>
  <c r="C104" i="88"/>
  <c r="B104" i="88"/>
  <c r="A104" i="88"/>
  <c r="H103" i="88"/>
  <c r="I103" i="88"/>
  <c r="D103" i="88"/>
  <c r="N103" i="88"/>
  <c r="L103" i="88"/>
  <c r="K103" i="88"/>
  <c r="J103" i="88"/>
  <c r="G103" i="88"/>
  <c r="C103" i="88"/>
  <c r="B103" i="88"/>
  <c r="A103" i="88"/>
  <c r="H102" i="88"/>
  <c r="I102" i="88"/>
  <c r="D102" i="88"/>
  <c r="N102" i="88"/>
  <c r="L102" i="88"/>
  <c r="K102" i="88"/>
  <c r="J102" i="88"/>
  <c r="G102" i="88"/>
  <c r="C102" i="88"/>
  <c r="B102" i="88"/>
  <c r="A102" i="88"/>
  <c r="H101" i="88"/>
  <c r="I101" i="88"/>
  <c r="D101" i="88"/>
  <c r="N101" i="88"/>
  <c r="L101" i="88"/>
  <c r="K101" i="88"/>
  <c r="J101" i="88"/>
  <c r="G101" i="88"/>
  <c r="C101" i="88"/>
  <c r="B101" i="88"/>
  <c r="A101" i="88"/>
  <c r="H100" i="88"/>
  <c r="I100" i="88"/>
  <c r="D100" i="88"/>
  <c r="N100" i="88"/>
  <c r="L100" i="88"/>
  <c r="K100" i="88"/>
  <c r="J100" i="88"/>
  <c r="G100" i="88"/>
  <c r="C100" i="88"/>
  <c r="B100" i="88"/>
  <c r="A100" i="88"/>
  <c r="H99" i="88"/>
  <c r="I99" i="88"/>
  <c r="D99" i="88"/>
  <c r="N99" i="88"/>
  <c r="L99" i="88"/>
  <c r="K99" i="88"/>
  <c r="J99" i="88"/>
  <c r="G99" i="88"/>
  <c r="C99" i="88"/>
  <c r="B99" i="88"/>
  <c r="A99" i="88"/>
  <c r="H98" i="88"/>
  <c r="I98" i="88"/>
  <c r="D98" i="88"/>
  <c r="N98" i="88"/>
  <c r="L98" i="88"/>
  <c r="K98" i="88"/>
  <c r="J98" i="88"/>
  <c r="G98" i="88"/>
  <c r="C98" i="88"/>
  <c r="B98" i="88"/>
  <c r="A98" i="88"/>
  <c r="H97" i="88"/>
  <c r="I97" i="88"/>
  <c r="D97" i="88"/>
  <c r="N97" i="88"/>
  <c r="L97" i="88"/>
  <c r="K97" i="88"/>
  <c r="J97" i="88"/>
  <c r="G97" i="88"/>
  <c r="C97" i="88"/>
  <c r="B97" i="88"/>
  <c r="A97" i="88"/>
  <c r="H96" i="88"/>
  <c r="I96" i="88"/>
  <c r="D96" i="88"/>
  <c r="N96" i="88"/>
  <c r="L96" i="88"/>
  <c r="K96" i="88"/>
  <c r="J96" i="88"/>
  <c r="G96" i="88"/>
  <c r="C96" i="88"/>
  <c r="B96" i="88"/>
  <c r="A96" i="88"/>
  <c r="H95" i="88"/>
  <c r="I95" i="88"/>
  <c r="D95" i="88"/>
  <c r="N95" i="88"/>
  <c r="L95" i="88"/>
  <c r="K95" i="88"/>
  <c r="J95" i="88"/>
  <c r="G95" i="88"/>
  <c r="C95" i="88"/>
  <c r="B95" i="88"/>
  <c r="A95" i="88"/>
  <c r="H94" i="88"/>
  <c r="I94" i="88"/>
  <c r="D94" i="88"/>
  <c r="N94" i="88"/>
  <c r="L94" i="88"/>
  <c r="K94" i="88"/>
  <c r="J94" i="88"/>
  <c r="G94" i="88"/>
  <c r="C94" i="88"/>
  <c r="B94" i="88"/>
  <c r="A94" i="88"/>
  <c r="H93" i="88"/>
  <c r="I93" i="88"/>
  <c r="D93" i="88"/>
  <c r="N93" i="88"/>
  <c r="L93" i="88"/>
  <c r="K93" i="88"/>
  <c r="J93" i="88"/>
  <c r="G93" i="88"/>
  <c r="C93" i="88"/>
  <c r="B93" i="88"/>
  <c r="A93" i="88"/>
  <c r="H92" i="88"/>
  <c r="I92" i="88"/>
  <c r="D92" i="88"/>
  <c r="N92" i="88"/>
  <c r="L92" i="88"/>
  <c r="K92" i="88"/>
  <c r="J92" i="88"/>
  <c r="G92" i="88"/>
  <c r="C92" i="88"/>
  <c r="B92" i="88"/>
  <c r="A92" i="88"/>
  <c r="H91" i="88"/>
  <c r="I91" i="88"/>
  <c r="D91" i="88"/>
  <c r="N91" i="88"/>
  <c r="L91" i="88"/>
  <c r="K91" i="88"/>
  <c r="J91" i="88"/>
  <c r="G91" i="88"/>
  <c r="C91" i="88"/>
  <c r="B91" i="88"/>
  <c r="A91" i="88"/>
  <c r="H90" i="88"/>
  <c r="I90" i="88"/>
  <c r="D90" i="88"/>
  <c r="N90" i="88"/>
  <c r="L90" i="88"/>
  <c r="K90" i="88"/>
  <c r="J90" i="88"/>
  <c r="G90" i="88"/>
  <c r="C90" i="88"/>
  <c r="B90" i="88"/>
  <c r="A90" i="88"/>
  <c r="H89" i="88"/>
  <c r="I89" i="88"/>
  <c r="D89" i="88"/>
  <c r="N89" i="88"/>
  <c r="L89" i="88"/>
  <c r="K89" i="88"/>
  <c r="J89" i="88"/>
  <c r="G89" i="88"/>
  <c r="C89" i="88"/>
  <c r="B89" i="88"/>
  <c r="A89" i="88"/>
  <c r="H88" i="88"/>
  <c r="I88" i="88"/>
  <c r="D88" i="88"/>
  <c r="N88" i="88"/>
  <c r="L88" i="88"/>
  <c r="K88" i="88"/>
  <c r="J88" i="88"/>
  <c r="G88" i="88"/>
  <c r="C88" i="88"/>
  <c r="B88" i="88"/>
  <c r="A88" i="88"/>
  <c r="H87" i="88"/>
  <c r="I87" i="88"/>
  <c r="D87" i="88"/>
  <c r="N87" i="88"/>
  <c r="L87" i="88"/>
  <c r="K87" i="88"/>
  <c r="J87" i="88"/>
  <c r="G87" i="88"/>
  <c r="C87" i="88"/>
  <c r="B87" i="88"/>
  <c r="A87" i="88"/>
  <c r="H86" i="88"/>
  <c r="I86" i="88"/>
  <c r="D86" i="88"/>
  <c r="N86" i="88"/>
  <c r="L86" i="88"/>
  <c r="K86" i="88"/>
  <c r="J86" i="88"/>
  <c r="G86" i="88"/>
  <c r="C86" i="88"/>
  <c r="B86" i="88"/>
  <c r="A86" i="88"/>
  <c r="H85" i="88"/>
  <c r="I85" i="88"/>
  <c r="D85" i="88"/>
  <c r="N85" i="88"/>
  <c r="L85" i="88"/>
  <c r="K85" i="88"/>
  <c r="J85" i="88"/>
  <c r="G85" i="88"/>
  <c r="C85" i="88"/>
  <c r="B85" i="88"/>
  <c r="A85" i="88"/>
  <c r="H84" i="88"/>
  <c r="I84" i="88"/>
  <c r="D84" i="88"/>
  <c r="N84" i="88"/>
  <c r="L84" i="88"/>
  <c r="K84" i="88"/>
  <c r="J84" i="88"/>
  <c r="G84" i="88"/>
  <c r="C84" i="88"/>
  <c r="B84" i="88"/>
  <c r="A84" i="88"/>
  <c r="H83" i="88"/>
  <c r="I83" i="88"/>
  <c r="D83" i="88"/>
  <c r="N83" i="88"/>
  <c r="L83" i="88"/>
  <c r="K83" i="88"/>
  <c r="J83" i="88"/>
  <c r="G83" i="88"/>
  <c r="C83" i="88"/>
  <c r="B83" i="88"/>
  <c r="A83" i="88"/>
  <c r="H82" i="88"/>
  <c r="I82" i="88"/>
  <c r="D82" i="88"/>
  <c r="N82" i="88"/>
  <c r="L82" i="88"/>
  <c r="K82" i="88"/>
  <c r="J82" i="88"/>
  <c r="G82" i="88"/>
  <c r="C82" i="88"/>
  <c r="B82" i="88"/>
  <c r="A82" i="88"/>
  <c r="H81" i="88"/>
  <c r="I81" i="88"/>
  <c r="D81" i="88"/>
  <c r="N81" i="88"/>
  <c r="L81" i="88"/>
  <c r="K81" i="88"/>
  <c r="J81" i="88"/>
  <c r="G81" i="88"/>
  <c r="C81" i="88"/>
  <c r="B81" i="88"/>
  <c r="A81" i="88"/>
  <c r="H80" i="88"/>
  <c r="I80" i="88"/>
  <c r="D80" i="88"/>
  <c r="N80" i="88"/>
  <c r="L80" i="88"/>
  <c r="K80" i="88"/>
  <c r="J80" i="88"/>
  <c r="G80" i="88"/>
  <c r="C80" i="88"/>
  <c r="B80" i="88"/>
  <c r="A80" i="88"/>
  <c r="H79" i="88"/>
  <c r="I79" i="88"/>
  <c r="D79" i="88"/>
  <c r="N79" i="88"/>
  <c r="L79" i="88"/>
  <c r="K79" i="88"/>
  <c r="J79" i="88"/>
  <c r="G79" i="88"/>
  <c r="C79" i="88"/>
  <c r="B79" i="88"/>
  <c r="A79" i="88"/>
  <c r="H78" i="88"/>
  <c r="I78" i="88"/>
  <c r="D78" i="88"/>
  <c r="N78" i="88"/>
  <c r="L78" i="88"/>
  <c r="K78" i="88"/>
  <c r="J78" i="88"/>
  <c r="G78" i="88"/>
  <c r="C78" i="88"/>
  <c r="B78" i="88"/>
  <c r="A78" i="88"/>
  <c r="H77" i="88"/>
  <c r="I77" i="88"/>
  <c r="D77" i="88"/>
  <c r="N77" i="88"/>
  <c r="L77" i="88"/>
  <c r="K77" i="88"/>
  <c r="J77" i="88"/>
  <c r="G77" i="88"/>
  <c r="C77" i="88"/>
  <c r="B77" i="88"/>
  <c r="A77" i="88"/>
  <c r="H76" i="88"/>
  <c r="I76" i="88"/>
  <c r="D76" i="88"/>
  <c r="N76" i="88"/>
  <c r="L76" i="88"/>
  <c r="K76" i="88"/>
  <c r="J76" i="88"/>
  <c r="G76" i="88"/>
  <c r="C76" i="88"/>
  <c r="B76" i="88"/>
  <c r="A76" i="88"/>
  <c r="H75" i="88"/>
  <c r="I75" i="88"/>
  <c r="D75" i="88"/>
  <c r="N75" i="88"/>
  <c r="L75" i="88"/>
  <c r="K75" i="88"/>
  <c r="J75" i="88"/>
  <c r="G75" i="88"/>
  <c r="C75" i="88"/>
  <c r="B75" i="88"/>
  <c r="A75" i="88"/>
  <c r="H74" i="88"/>
  <c r="I74" i="88"/>
  <c r="D74" i="88"/>
  <c r="N74" i="88"/>
  <c r="L74" i="88"/>
  <c r="K74" i="88"/>
  <c r="J74" i="88"/>
  <c r="G74" i="88"/>
  <c r="C74" i="88"/>
  <c r="B74" i="88"/>
  <c r="A74" i="88"/>
  <c r="H73" i="88"/>
  <c r="I73" i="88"/>
  <c r="D73" i="88"/>
  <c r="N73" i="88"/>
  <c r="L73" i="88"/>
  <c r="K73" i="88"/>
  <c r="J73" i="88"/>
  <c r="G73" i="88"/>
  <c r="C73" i="88"/>
  <c r="B73" i="88"/>
  <c r="A73" i="88"/>
  <c r="H72" i="88"/>
  <c r="I72" i="88"/>
  <c r="D72" i="88"/>
  <c r="N72" i="88"/>
  <c r="L72" i="88"/>
  <c r="K72" i="88"/>
  <c r="J72" i="88"/>
  <c r="G72" i="88"/>
  <c r="C72" i="88"/>
  <c r="B72" i="88"/>
  <c r="A72" i="88"/>
  <c r="H71" i="88"/>
  <c r="I71" i="88"/>
  <c r="D71" i="88"/>
  <c r="N71" i="88"/>
  <c r="L71" i="88"/>
  <c r="K71" i="88"/>
  <c r="J71" i="88"/>
  <c r="G71" i="88"/>
  <c r="C71" i="88"/>
  <c r="B71" i="88"/>
  <c r="A71" i="88"/>
  <c r="H70" i="88"/>
  <c r="I70" i="88"/>
  <c r="D70" i="88"/>
  <c r="N70" i="88"/>
  <c r="L70" i="88"/>
  <c r="K70" i="88"/>
  <c r="J70" i="88"/>
  <c r="G70" i="88"/>
  <c r="C70" i="88"/>
  <c r="B70" i="88"/>
  <c r="A70" i="88"/>
  <c r="H69" i="88"/>
  <c r="I69" i="88"/>
  <c r="D69" i="88"/>
  <c r="N69" i="88"/>
  <c r="L69" i="88"/>
  <c r="K69" i="88"/>
  <c r="J69" i="88"/>
  <c r="G69" i="88"/>
  <c r="C69" i="88"/>
  <c r="B69" i="88"/>
  <c r="A69" i="88"/>
  <c r="H68" i="88"/>
  <c r="I68" i="88"/>
  <c r="D68" i="88"/>
  <c r="N68" i="88"/>
  <c r="L68" i="88"/>
  <c r="K68" i="88"/>
  <c r="J68" i="88"/>
  <c r="G68" i="88"/>
  <c r="C68" i="88"/>
  <c r="B68" i="88"/>
  <c r="A68" i="88"/>
  <c r="H67" i="88"/>
  <c r="I67" i="88"/>
  <c r="D67" i="88"/>
  <c r="N67" i="88"/>
  <c r="L67" i="88"/>
  <c r="K67" i="88"/>
  <c r="J67" i="88"/>
  <c r="G67" i="88"/>
  <c r="C67" i="88"/>
  <c r="B67" i="88"/>
  <c r="A67" i="88"/>
  <c r="H66" i="88"/>
  <c r="I66" i="88"/>
  <c r="D66" i="88"/>
  <c r="N66" i="88"/>
  <c r="L66" i="88"/>
  <c r="K66" i="88"/>
  <c r="J66" i="88"/>
  <c r="G66" i="88"/>
  <c r="C66" i="88"/>
  <c r="B66" i="88"/>
  <c r="A66" i="88"/>
  <c r="H65" i="88"/>
  <c r="I65" i="88"/>
  <c r="D65" i="88"/>
  <c r="N65" i="88"/>
  <c r="L65" i="88"/>
  <c r="K65" i="88"/>
  <c r="J65" i="88"/>
  <c r="G65" i="88"/>
  <c r="C65" i="88"/>
  <c r="B65" i="88"/>
  <c r="A65" i="88"/>
  <c r="H64" i="88"/>
  <c r="I64" i="88"/>
  <c r="D64" i="88"/>
  <c r="N64" i="88"/>
  <c r="L64" i="88"/>
  <c r="K64" i="88"/>
  <c r="J64" i="88"/>
  <c r="G64" i="88"/>
  <c r="C64" i="88"/>
  <c r="B64" i="88"/>
  <c r="A64" i="88"/>
  <c r="H63" i="88"/>
  <c r="I63" i="88"/>
  <c r="D63" i="88"/>
  <c r="N63" i="88"/>
  <c r="L63" i="88"/>
  <c r="K63" i="88"/>
  <c r="J63" i="88"/>
  <c r="G63" i="88"/>
  <c r="C63" i="88"/>
  <c r="B63" i="88"/>
  <c r="A63" i="88"/>
  <c r="H62" i="88"/>
  <c r="I62" i="88"/>
  <c r="D62" i="88"/>
  <c r="N62" i="88"/>
  <c r="L62" i="88"/>
  <c r="K62" i="88"/>
  <c r="J62" i="88"/>
  <c r="G62" i="88"/>
  <c r="C62" i="88"/>
  <c r="B62" i="88"/>
  <c r="A62" i="88"/>
  <c r="H61" i="88"/>
  <c r="I61" i="88"/>
  <c r="D61" i="88"/>
  <c r="N61" i="88"/>
  <c r="L61" i="88"/>
  <c r="K61" i="88"/>
  <c r="J61" i="88"/>
  <c r="G61" i="88"/>
  <c r="C61" i="88"/>
  <c r="B61" i="88"/>
  <c r="A61" i="88"/>
  <c r="H60" i="88"/>
  <c r="I60" i="88"/>
  <c r="D60" i="88"/>
  <c r="N60" i="88"/>
  <c r="L60" i="88"/>
  <c r="K60" i="88"/>
  <c r="J60" i="88"/>
  <c r="G60" i="88"/>
  <c r="C60" i="88"/>
  <c r="B60" i="88"/>
  <c r="A60" i="88"/>
  <c r="H59" i="88"/>
  <c r="I59" i="88"/>
  <c r="D59" i="88"/>
  <c r="N59" i="88"/>
  <c r="L59" i="88"/>
  <c r="K59" i="88"/>
  <c r="J59" i="88"/>
  <c r="G59" i="88"/>
  <c r="C59" i="88"/>
  <c r="B59" i="88"/>
  <c r="A59" i="88"/>
  <c r="H58" i="88"/>
  <c r="I58" i="88"/>
  <c r="D58" i="88"/>
  <c r="N58" i="88"/>
  <c r="L58" i="88"/>
  <c r="K58" i="88"/>
  <c r="J58" i="88"/>
  <c r="G58" i="88"/>
  <c r="C58" i="88"/>
  <c r="B58" i="88"/>
  <c r="A58" i="88"/>
  <c r="H57" i="88"/>
  <c r="I57" i="88"/>
  <c r="D57" i="88"/>
  <c r="N57" i="88"/>
  <c r="L57" i="88"/>
  <c r="K57" i="88"/>
  <c r="J57" i="88"/>
  <c r="G57" i="88"/>
  <c r="C57" i="88"/>
  <c r="B57" i="88"/>
  <c r="A57" i="88"/>
  <c r="H56" i="88"/>
  <c r="I56" i="88"/>
  <c r="D56" i="88"/>
  <c r="N56" i="88"/>
  <c r="L56" i="88"/>
  <c r="K56" i="88"/>
  <c r="J56" i="88"/>
  <c r="G56" i="88"/>
  <c r="C56" i="88"/>
  <c r="B56" i="88"/>
  <c r="A56" i="88"/>
  <c r="H55" i="88"/>
  <c r="I55" i="88"/>
  <c r="D55" i="88"/>
  <c r="N55" i="88"/>
  <c r="L55" i="88"/>
  <c r="K55" i="88"/>
  <c r="J55" i="88"/>
  <c r="G55" i="88"/>
  <c r="C55" i="88"/>
  <c r="B55" i="88"/>
  <c r="A55" i="88"/>
  <c r="H54" i="88"/>
  <c r="I54" i="88"/>
  <c r="D54" i="88"/>
  <c r="N54" i="88"/>
  <c r="L54" i="88"/>
  <c r="K54" i="88"/>
  <c r="J54" i="88"/>
  <c r="G54" i="88"/>
  <c r="C54" i="88"/>
  <c r="B54" i="88"/>
  <c r="A54" i="88"/>
  <c r="H53" i="88"/>
  <c r="I53" i="88"/>
  <c r="D53" i="88"/>
  <c r="N53" i="88"/>
  <c r="L53" i="88"/>
  <c r="K53" i="88"/>
  <c r="J53" i="88"/>
  <c r="G53" i="88"/>
  <c r="C53" i="88"/>
  <c r="B53" i="88"/>
  <c r="A53" i="88"/>
  <c r="H52" i="88"/>
  <c r="I52" i="88"/>
  <c r="D52" i="88"/>
  <c r="N52" i="88"/>
  <c r="L52" i="88"/>
  <c r="K52" i="88"/>
  <c r="J52" i="88"/>
  <c r="G52" i="88"/>
  <c r="C52" i="88"/>
  <c r="B52" i="88"/>
  <c r="A52" i="88"/>
  <c r="H51" i="88"/>
  <c r="I51" i="88"/>
  <c r="D51" i="88"/>
  <c r="N51" i="88"/>
  <c r="L51" i="88"/>
  <c r="K51" i="88"/>
  <c r="J51" i="88"/>
  <c r="G51" i="88"/>
  <c r="C51" i="88"/>
  <c r="B51" i="88"/>
  <c r="A51" i="88"/>
  <c r="H50" i="88"/>
  <c r="I50" i="88"/>
  <c r="D50" i="88"/>
  <c r="N50" i="88"/>
  <c r="L50" i="88"/>
  <c r="K50" i="88"/>
  <c r="J50" i="88"/>
  <c r="G50" i="88"/>
  <c r="C50" i="88"/>
  <c r="B50" i="88"/>
  <c r="A50" i="88"/>
  <c r="H49" i="88"/>
  <c r="I49" i="88"/>
  <c r="D49" i="88"/>
  <c r="N49" i="88"/>
  <c r="L49" i="88"/>
  <c r="K49" i="88"/>
  <c r="J49" i="88"/>
  <c r="G49" i="88"/>
  <c r="C49" i="88"/>
  <c r="B49" i="88"/>
  <c r="A49" i="88"/>
  <c r="H48" i="88"/>
  <c r="I48" i="88"/>
  <c r="D48" i="88"/>
  <c r="N48" i="88"/>
  <c r="L48" i="88"/>
  <c r="K48" i="88"/>
  <c r="J48" i="88"/>
  <c r="G48" i="88"/>
  <c r="C48" i="88"/>
  <c r="B48" i="88"/>
  <c r="A48" i="88"/>
  <c r="H47" i="88"/>
  <c r="I47" i="88"/>
  <c r="D47" i="88"/>
  <c r="N47" i="88"/>
  <c r="L47" i="88"/>
  <c r="K47" i="88"/>
  <c r="J47" i="88"/>
  <c r="G47" i="88"/>
  <c r="C47" i="88"/>
  <c r="B47" i="88"/>
  <c r="A47" i="88"/>
  <c r="H46" i="88"/>
  <c r="I46" i="88"/>
  <c r="D46" i="88"/>
  <c r="N46" i="88"/>
  <c r="L46" i="88"/>
  <c r="K46" i="88"/>
  <c r="J46" i="88"/>
  <c r="G46" i="88"/>
  <c r="C46" i="88"/>
  <c r="B46" i="88"/>
  <c r="A46" i="88"/>
  <c r="H45" i="88"/>
  <c r="I45" i="88"/>
  <c r="D45" i="88"/>
  <c r="N45" i="88"/>
  <c r="L45" i="88"/>
  <c r="K45" i="88"/>
  <c r="J45" i="88"/>
  <c r="G45" i="88"/>
  <c r="C45" i="88"/>
  <c r="B45" i="88"/>
  <c r="A45" i="88"/>
  <c r="H44" i="88"/>
  <c r="I44" i="88"/>
  <c r="D44" i="88"/>
  <c r="N44" i="88"/>
  <c r="L44" i="88"/>
  <c r="K44" i="88"/>
  <c r="J44" i="88"/>
  <c r="G44" i="88"/>
  <c r="C44" i="88"/>
  <c r="B44" i="88"/>
  <c r="A44" i="88"/>
  <c r="H43" i="88"/>
  <c r="I43" i="88"/>
  <c r="D43" i="88"/>
  <c r="N43" i="88"/>
  <c r="L43" i="88"/>
  <c r="K43" i="88"/>
  <c r="J43" i="88"/>
  <c r="G43" i="88"/>
  <c r="C43" i="88"/>
  <c r="B43" i="88"/>
  <c r="A43" i="88"/>
  <c r="H42" i="88"/>
  <c r="I42" i="88"/>
  <c r="D42" i="88"/>
  <c r="N42" i="88"/>
  <c r="L42" i="88"/>
  <c r="K42" i="88"/>
  <c r="J42" i="88"/>
  <c r="G42" i="88"/>
  <c r="C42" i="88"/>
  <c r="B42" i="88"/>
  <c r="A42" i="88"/>
  <c r="H41" i="88"/>
  <c r="I41" i="88"/>
  <c r="D41" i="88"/>
  <c r="N41" i="88"/>
  <c r="L41" i="88"/>
  <c r="K41" i="88"/>
  <c r="J41" i="88"/>
  <c r="G41" i="88"/>
  <c r="C41" i="88"/>
  <c r="B41" i="88"/>
  <c r="A41" i="88"/>
  <c r="H40" i="88"/>
  <c r="I40" i="88"/>
  <c r="D40" i="88"/>
  <c r="N40" i="88"/>
  <c r="L40" i="88"/>
  <c r="K40" i="88"/>
  <c r="J40" i="88"/>
  <c r="G40" i="88"/>
  <c r="C40" i="88"/>
  <c r="B40" i="88"/>
  <c r="A40" i="88"/>
  <c r="H39" i="88"/>
  <c r="I39" i="88"/>
  <c r="D39" i="88"/>
  <c r="N39" i="88"/>
  <c r="L39" i="88"/>
  <c r="K39" i="88"/>
  <c r="J39" i="88"/>
  <c r="G39" i="88"/>
  <c r="C39" i="88"/>
  <c r="B39" i="88"/>
  <c r="A39" i="88"/>
  <c r="H38" i="88"/>
  <c r="I38" i="88"/>
  <c r="D38" i="88"/>
  <c r="N38" i="88"/>
  <c r="L38" i="88"/>
  <c r="K38" i="88"/>
  <c r="J38" i="88"/>
  <c r="G38" i="88"/>
  <c r="C38" i="88"/>
  <c r="B38" i="88"/>
  <c r="A38" i="88"/>
  <c r="H37" i="88"/>
  <c r="I37" i="88"/>
  <c r="D37" i="88"/>
  <c r="N37" i="88"/>
  <c r="L37" i="88"/>
  <c r="K37" i="88"/>
  <c r="J37" i="88"/>
  <c r="G37" i="88"/>
  <c r="C37" i="88"/>
  <c r="B37" i="88"/>
  <c r="A37" i="88"/>
  <c r="H36" i="88"/>
  <c r="I36" i="88"/>
  <c r="D36" i="88"/>
  <c r="N36" i="88"/>
  <c r="L36" i="88"/>
  <c r="K36" i="88"/>
  <c r="J36" i="88"/>
  <c r="G36" i="88"/>
  <c r="C36" i="88"/>
  <c r="B36" i="88"/>
  <c r="A36" i="88"/>
  <c r="H35" i="88"/>
  <c r="I35" i="88"/>
  <c r="D35" i="88"/>
  <c r="N35" i="88"/>
  <c r="L35" i="88"/>
  <c r="K35" i="88"/>
  <c r="J35" i="88"/>
  <c r="G35" i="88"/>
  <c r="C35" i="88"/>
  <c r="B35" i="88"/>
  <c r="A35" i="88"/>
  <c r="H34" i="88"/>
  <c r="I34" i="88"/>
  <c r="D34" i="88"/>
  <c r="N34" i="88"/>
  <c r="L34" i="88"/>
  <c r="K34" i="88"/>
  <c r="J34" i="88"/>
  <c r="G34" i="88"/>
  <c r="C34" i="88"/>
  <c r="B34" i="88"/>
  <c r="A34" i="88"/>
  <c r="H33" i="88"/>
  <c r="I33" i="88"/>
  <c r="D33" i="88"/>
  <c r="N33" i="88"/>
  <c r="L33" i="88"/>
  <c r="K33" i="88"/>
  <c r="J33" i="88"/>
  <c r="G33" i="88"/>
  <c r="C33" i="88"/>
  <c r="B33" i="88"/>
  <c r="A33" i="88"/>
  <c r="H32" i="88"/>
  <c r="I32" i="88"/>
  <c r="D32" i="88"/>
  <c r="N32" i="88"/>
  <c r="L32" i="88"/>
  <c r="K32" i="88"/>
  <c r="J32" i="88"/>
  <c r="G32" i="88"/>
  <c r="C32" i="88"/>
  <c r="B32" i="88"/>
  <c r="A32" i="88"/>
  <c r="H31" i="88"/>
  <c r="I31" i="88"/>
  <c r="D31" i="88"/>
  <c r="N31" i="88"/>
  <c r="L31" i="88"/>
  <c r="K31" i="88"/>
  <c r="J31" i="88"/>
  <c r="G31" i="88"/>
  <c r="C31" i="88"/>
  <c r="B31" i="88"/>
  <c r="A31" i="88"/>
  <c r="H30" i="88"/>
  <c r="I30" i="88"/>
  <c r="D30" i="88"/>
  <c r="N30" i="88"/>
  <c r="L30" i="88"/>
  <c r="K30" i="88"/>
  <c r="J30" i="88"/>
  <c r="G30" i="88"/>
  <c r="C30" i="88"/>
  <c r="B30" i="88"/>
  <c r="A30" i="88"/>
  <c r="H29" i="88"/>
  <c r="I29" i="88"/>
  <c r="D29" i="88"/>
  <c r="N29" i="88"/>
  <c r="L29" i="88"/>
  <c r="K29" i="88"/>
  <c r="J29" i="88"/>
  <c r="G29" i="88"/>
  <c r="C29" i="88"/>
  <c r="B29" i="88"/>
  <c r="A29" i="88"/>
  <c r="H28" i="88"/>
  <c r="I28" i="88"/>
  <c r="D28" i="88"/>
  <c r="N28" i="88"/>
  <c r="L28" i="88"/>
  <c r="K28" i="88"/>
  <c r="J28" i="88"/>
  <c r="G28" i="88"/>
  <c r="C28" i="88"/>
  <c r="B28" i="88"/>
  <c r="A28" i="88"/>
  <c r="H27" i="88"/>
  <c r="I27" i="88"/>
  <c r="D27" i="88"/>
  <c r="N27" i="88"/>
  <c r="L27" i="88"/>
  <c r="K27" i="88"/>
  <c r="J27" i="88"/>
  <c r="G27" i="88"/>
  <c r="C27" i="88"/>
  <c r="B27" i="88"/>
  <c r="A27" i="88"/>
  <c r="H26" i="88"/>
  <c r="I26" i="88"/>
  <c r="D26" i="88"/>
  <c r="N26" i="88"/>
  <c r="L26" i="88"/>
  <c r="K26" i="88"/>
  <c r="J26" i="88"/>
  <c r="G26" i="88"/>
  <c r="C26" i="88"/>
  <c r="B26" i="88"/>
  <c r="A26" i="88"/>
  <c r="H25" i="88"/>
  <c r="I25" i="88"/>
  <c r="D25" i="88"/>
  <c r="N25" i="88"/>
  <c r="L25" i="88"/>
  <c r="K25" i="88"/>
  <c r="J25" i="88"/>
  <c r="G25" i="88"/>
  <c r="C25" i="88"/>
  <c r="B25" i="88"/>
  <c r="A25" i="88"/>
  <c r="H24" i="88"/>
  <c r="I24" i="88"/>
  <c r="D24" i="88"/>
  <c r="N24" i="88"/>
  <c r="L24" i="88"/>
  <c r="K24" i="88"/>
  <c r="J24" i="88"/>
  <c r="G24" i="88"/>
  <c r="C24" i="88"/>
  <c r="B24" i="88"/>
  <c r="A24" i="88"/>
  <c r="H23" i="88"/>
  <c r="I23" i="88"/>
  <c r="D23" i="88"/>
  <c r="N23" i="88"/>
  <c r="L23" i="88"/>
  <c r="K23" i="88"/>
  <c r="J23" i="88"/>
  <c r="G23" i="88"/>
  <c r="C23" i="88"/>
  <c r="B23" i="88"/>
  <c r="A23" i="88"/>
  <c r="H22" i="88"/>
  <c r="I22" i="88"/>
  <c r="D22" i="88"/>
  <c r="N22" i="88"/>
  <c r="L22" i="88"/>
  <c r="K22" i="88"/>
  <c r="J22" i="88"/>
  <c r="G22" i="88"/>
  <c r="C22" i="88"/>
  <c r="B22" i="88"/>
  <c r="A22" i="88"/>
  <c r="H21" i="88"/>
  <c r="I21" i="88"/>
  <c r="D21" i="88"/>
  <c r="N21" i="88"/>
  <c r="L21" i="88"/>
  <c r="K21" i="88"/>
  <c r="J21" i="88"/>
  <c r="G21" i="88"/>
  <c r="C21" i="88"/>
  <c r="B21" i="88"/>
  <c r="A21" i="88"/>
  <c r="H20" i="88"/>
  <c r="I20" i="88"/>
  <c r="D20" i="88"/>
  <c r="N20" i="88"/>
  <c r="L20" i="88"/>
  <c r="K20" i="88"/>
  <c r="J20" i="88"/>
  <c r="G20" i="88"/>
  <c r="C20" i="88"/>
  <c r="B20" i="88"/>
  <c r="A20" i="88"/>
  <c r="H19" i="88"/>
  <c r="I19" i="88"/>
  <c r="D19" i="88"/>
  <c r="N19" i="88"/>
  <c r="L19" i="88"/>
  <c r="K19" i="88"/>
  <c r="J19" i="88"/>
  <c r="G19" i="88"/>
  <c r="C19" i="88"/>
  <c r="B19" i="88"/>
  <c r="A19" i="88"/>
  <c r="H18" i="88"/>
  <c r="I18" i="88"/>
  <c r="D18" i="88"/>
  <c r="N18" i="88"/>
  <c r="L18" i="88"/>
  <c r="K18" i="88"/>
  <c r="J18" i="88"/>
  <c r="G18" i="88"/>
  <c r="C18" i="88"/>
  <c r="B18" i="88"/>
  <c r="A18" i="88"/>
  <c r="H17" i="88"/>
  <c r="I17" i="88"/>
  <c r="D17" i="88"/>
  <c r="N17" i="88"/>
  <c r="L17" i="88"/>
  <c r="K17" i="88"/>
  <c r="J17" i="88"/>
  <c r="G17" i="88"/>
  <c r="C17" i="88"/>
  <c r="B17" i="88"/>
  <c r="A17" i="88"/>
  <c r="H16" i="88"/>
  <c r="I16" i="88"/>
  <c r="D16" i="88"/>
  <c r="N16" i="88"/>
  <c r="L16" i="88"/>
  <c r="K16" i="88"/>
  <c r="J16" i="88"/>
  <c r="G16" i="88"/>
  <c r="C16" i="88"/>
  <c r="B16" i="88"/>
  <c r="A16" i="88"/>
  <c r="H15" i="88"/>
  <c r="I15" i="88"/>
  <c r="D15" i="88"/>
  <c r="N15" i="88"/>
  <c r="L15" i="88"/>
  <c r="K15" i="88"/>
  <c r="J15" i="88"/>
  <c r="G15" i="88"/>
  <c r="C15" i="88"/>
  <c r="B15" i="88"/>
  <c r="A15" i="88"/>
  <c r="H14" i="88"/>
  <c r="I14" i="88"/>
  <c r="D14" i="88"/>
  <c r="N14" i="88"/>
  <c r="L14" i="88"/>
  <c r="K14" i="88"/>
  <c r="J14" i="88"/>
  <c r="G14" i="88"/>
  <c r="C14" i="88"/>
  <c r="B14" i="88"/>
  <c r="A14" i="88"/>
  <c r="H13" i="88"/>
  <c r="I13" i="88"/>
  <c r="D13" i="88"/>
  <c r="N13" i="88"/>
  <c r="L13" i="88"/>
  <c r="K13" i="88"/>
  <c r="J13" i="88"/>
  <c r="G13" i="88"/>
  <c r="C13" i="88"/>
  <c r="B13" i="88"/>
  <c r="A13" i="88"/>
  <c r="H12" i="88"/>
  <c r="I12" i="88"/>
  <c r="D12" i="88"/>
  <c r="N12" i="88"/>
  <c r="L12" i="88"/>
  <c r="K12" i="88"/>
  <c r="J12" i="88"/>
  <c r="G12" i="88"/>
  <c r="C12" i="88"/>
  <c r="B12" i="88"/>
  <c r="A12" i="88"/>
  <c r="H11" i="88"/>
  <c r="I11" i="88"/>
  <c r="D11" i="88"/>
  <c r="N11" i="88"/>
  <c r="L11" i="88"/>
  <c r="K11" i="88"/>
  <c r="J11" i="88"/>
  <c r="G11" i="88"/>
  <c r="C11" i="88"/>
  <c r="B11" i="88"/>
  <c r="A11" i="88"/>
  <c r="H10" i="88"/>
  <c r="I10" i="88"/>
  <c r="D10" i="88"/>
  <c r="N10" i="88"/>
  <c r="L10" i="88"/>
  <c r="K10" i="88"/>
  <c r="J10" i="88"/>
  <c r="G10" i="88"/>
  <c r="C10" i="88"/>
  <c r="B10" i="88"/>
  <c r="A10" i="88"/>
  <c r="H9" i="88"/>
  <c r="I9" i="88"/>
  <c r="D9" i="88"/>
  <c r="N9" i="88"/>
  <c r="L9" i="88"/>
  <c r="K9" i="88"/>
  <c r="J9" i="88"/>
  <c r="G9" i="88"/>
  <c r="C9" i="88"/>
  <c r="B9" i="88"/>
  <c r="A9" i="88"/>
  <c r="H8" i="88"/>
  <c r="I8" i="88"/>
  <c r="D8" i="88"/>
  <c r="N8" i="88"/>
  <c r="L8" i="88"/>
  <c r="K8" i="88"/>
  <c r="J8" i="88"/>
  <c r="G8" i="88"/>
  <c r="C8" i="88"/>
  <c r="B8" i="88"/>
  <c r="A8" i="88"/>
  <c r="H7" i="88"/>
  <c r="I7" i="88"/>
  <c r="D7" i="88"/>
  <c r="N7" i="88"/>
  <c r="L7" i="88"/>
  <c r="K7" i="88"/>
  <c r="J7" i="88"/>
  <c r="G7" i="88"/>
  <c r="C7" i="88"/>
  <c r="B7" i="88"/>
  <c r="A7" i="88"/>
  <c r="H6" i="88"/>
  <c r="I6" i="88"/>
  <c r="D6" i="88"/>
  <c r="N6" i="88"/>
  <c r="L6" i="88"/>
  <c r="K6" i="88"/>
  <c r="J6" i="88"/>
  <c r="G6" i="88"/>
  <c r="C6" i="88"/>
  <c r="B6" i="88"/>
  <c r="A6" i="88"/>
  <c r="H5" i="88"/>
  <c r="I5" i="88"/>
  <c r="D5" i="88"/>
  <c r="N5" i="88"/>
  <c r="L5" i="88"/>
  <c r="K5" i="88"/>
  <c r="J5" i="88"/>
  <c r="G5" i="88"/>
  <c r="C5" i="88"/>
  <c r="B5" i="88"/>
  <c r="A5" i="88"/>
  <c r="H4" i="88"/>
  <c r="I4" i="88"/>
  <c r="D4" i="88"/>
  <c r="N4" i="88"/>
  <c r="L4" i="88"/>
  <c r="K4" i="88"/>
  <c r="J4" i="88"/>
  <c r="G4" i="88"/>
  <c r="C4" i="88"/>
  <c r="B4" i="88"/>
  <c r="A4" i="88"/>
  <c r="H3" i="88"/>
  <c r="I3" i="88"/>
  <c r="D3" i="88"/>
  <c r="N3" i="88"/>
  <c r="L3" i="88"/>
  <c r="K3" i="88"/>
  <c r="J3" i="88"/>
  <c r="G3" i="88"/>
  <c r="C3" i="88"/>
  <c r="B3" i="88"/>
  <c r="A3" i="88"/>
  <c r="H2" i="88"/>
  <c r="I2" i="88"/>
  <c r="D2" i="88"/>
  <c r="N2" i="88"/>
  <c r="L2" i="88"/>
  <c r="K2" i="88"/>
  <c r="J2" i="88"/>
  <c r="G2" i="88"/>
  <c r="C2" i="88"/>
  <c r="A2" i="88"/>
  <c r="H109" i="82"/>
  <c r="I109" i="82"/>
  <c r="D109" i="82"/>
  <c r="N109" i="82"/>
  <c r="L109" i="82"/>
  <c r="K109" i="82"/>
  <c r="J109" i="82"/>
  <c r="G109" i="82"/>
  <c r="C109" i="82"/>
  <c r="B109" i="82"/>
  <c r="A109" i="82"/>
  <c r="H108" i="82"/>
  <c r="I108" i="82"/>
  <c r="D108" i="82"/>
  <c r="N108" i="82"/>
  <c r="L108" i="82"/>
  <c r="K108" i="82"/>
  <c r="J108" i="82"/>
  <c r="G108" i="82"/>
  <c r="C108" i="82"/>
  <c r="B108" i="82"/>
  <c r="A108" i="82"/>
  <c r="C1" i="93"/>
  <c r="A1" i="93"/>
  <c r="A272" i="93"/>
  <c r="B1" i="93"/>
  <c r="K272" i="93"/>
  <c r="J272" i="93"/>
  <c r="I272" i="93"/>
  <c r="H272" i="93"/>
  <c r="G272" i="93"/>
  <c r="F272" i="93"/>
  <c r="E272" i="93"/>
  <c r="D272" i="93"/>
  <c r="C272" i="93"/>
  <c r="B272" i="93"/>
  <c r="A271" i="93"/>
  <c r="K271" i="93"/>
  <c r="J271" i="93"/>
  <c r="I271" i="93"/>
  <c r="H271" i="93"/>
  <c r="G271" i="93"/>
  <c r="F271" i="93"/>
  <c r="E271" i="93"/>
  <c r="D271" i="93"/>
  <c r="C271" i="93"/>
  <c r="B271" i="93"/>
  <c r="A270" i="93"/>
  <c r="K270" i="93"/>
  <c r="J270" i="93"/>
  <c r="I270" i="93"/>
  <c r="H270" i="93"/>
  <c r="G270" i="93"/>
  <c r="F270" i="93"/>
  <c r="E270" i="93"/>
  <c r="D270" i="93"/>
  <c r="C270" i="93"/>
  <c r="B270" i="93"/>
  <c r="A269" i="93"/>
  <c r="K269" i="93"/>
  <c r="J269" i="93"/>
  <c r="I269" i="93"/>
  <c r="H269" i="93"/>
  <c r="G269" i="93"/>
  <c r="F269" i="93"/>
  <c r="E269" i="93"/>
  <c r="D269" i="93"/>
  <c r="C269" i="93"/>
  <c r="B269" i="93"/>
  <c r="A268" i="93"/>
  <c r="K268" i="93"/>
  <c r="J268" i="93"/>
  <c r="I268" i="93"/>
  <c r="H268" i="93"/>
  <c r="G268" i="93"/>
  <c r="F268" i="93"/>
  <c r="E268" i="93"/>
  <c r="D268" i="93"/>
  <c r="C268" i="93"/>
  <c r="B268" i="93"/>
  <c r="A267" i="93"/>
  <c r="K267" i="93"/>
  <c r="J267" i="93"/>
  <c r="I267" i="93"/>
  <c r="H267" i="93"/>
  <c r="G267" i="93"/>
  <c r="F267" i="93"/>
  <c r="E267" i="93"/>
  <c r="D267" i="93"/>
  <c r="C267" i="93"/>
  <c r="B267" i="93"/>
  <c r="A266" i="93"/>
  <c r="K266" i="93"/>
  <c r="J266" i="93"/>
  <c r="I266" i="93"/>
  <c r="H266" i="93"/>
  <c r="G266" i="93"/>
  <c r="F266" i="93"/>
  <c r="E266" i="93"/>
  <c r="D266" i="93"/>
  <c r="C266" i="93"/>
  <c r="B266" i="93"/>
  <c r="A265" i="93"/>
  <c r="K265" i="93"/>
  <c r="J265" i="93"/>
  <c r="I265" i="93"/>
  <c r="H265" i="93"/>
  <c r="G265" i="93"/>
  <c r="F265" i="93"/>
  <c r="E265" i="93"/>
  <c r="D265" i="93"/>
  <c r="C265" i="93"/>
  <c r="B265" i="93"/>
  <c r="A264" i="93"/>
  <c r="K264" i="93"/>
  <c r="J264" i="93"/>
  <c r="I264" i="93"/>
  <c r="H264" i="93"/>
  <c r="G264" i="93"/>
  <c r="F264" i="93"/>
  <c r="E264" i="93"/>
  <c r="D264" i="93"/>
  <c r="C264" i="93"/>
  <c r="B264" i="93"/>
  <c r="A263" i="93"/>
  <c r="K263" i="93"/>
  <c r="J263" i="93"/>
  <c r="I263" i="93"/>
  <c r="H263" i="93"/>
  <c r="G263" i="93"/>
  <c r="F263" i="93"/>
  <c r="E263" i="93"/>
  <c r="D263" i="93"/>
  <c r="C263" i="93"/>
  <c r="B263" i="93"/>
  <c r="A262" i="93"/>
  <c r="K262" i="93"/>
  <c r="J262" i="93"/>
  <c r="I262" i="93"/>
  <c r="H262" i="93"/>
  <c r="G262" i="93"/>
  <c r="F262" i="93"/>
  <c r="E262" i="93"/>
  <c r="D262" i="93"/>
  <c r="C262" i="93"/>
  <c r="B262" i="93"/>
  <c r="A261" i="93"/>
  <c r="K261" i="93"/>
  <c r="J261" i="93"/>
  <c r="I261" i="93"/>
  <c r="H261" i="93"/>
  <c r="G261" i="93"/>
  <c r="F261" i="93"/>
  <c r="E261" i="93"/>
  <c r="D261" i="93"/>
  <c r="C261" i="93"/>
  <c r="B261" i="93"/>
  <c r="A260" i="93"/>
  <c r="K260" i="93"/>
  <c r="J260" i="93"/>
  <c r="I260" i="93"/>
  <c r="H260" i="93"/>
  <c r="G260" i="93"/>
  <c r="F260" i="93"/>
  <c r="E260" i="93"/>
  <c r="D260" i="93"/>
  <c r="C260" i="93"/>
  <c r="B260" i="93"/>
  <c r="A259" i="93"/>
  <c r="K259" i="93"/>
  <c r="J259" i="93"/>
  <c r="I259" i="93"/>
  <c r="H259" i="93"/>
  <c r="G259" i="93"/>
  <c r="F259" i="93"/>
  <c r="E259" i="93"/>
  <c r="D259" i="93"/>
  <c r="C259" i="93"/>
  <c r="B259" i="93"/>
  <c r="A258" i="93"/>
  <c r="K258" i="93"/>
  <c r="J258" i="93"/>
  <c r="I258" i="93"/>
  <c r="H258" i="93"/>
  <c r="G258" i="93"/>
  <c r="F258" i="93"/>
  <c r="E258" i="93"/>
  <c r="D258" i="93"/>
  <c r="C258" i="93"/>
  <c r="B258" i="93"/>
  <c r="A257" i="93"/>
  <c r="K257" i="93"/>
  <c r="J257" i="93"/>
  <c r="I257" i="93"/>
  <c r="H257" i="93"/>
  <c r="G257" i="93"/>
  <c r="F257" i="93"/>
  <c r="E257" i="93"/>
  <c r="D257" i="93"/>
  <c r="C257" i="93"/>
  <c r="B257" i="93"/>
  <c r="A256" i="93"/>
  <c r="K256" i="93"/>
  <c r="J256" i="93"/>
  <c r="I256" i="93"/>
  <c r="H256" i="93"/>
  <c r="G256" i="93"/>
  <c r="F256" i="93"/>
  <c r="E256" i="93"/>
  <c r="D256" i="93"/>
  <c r="C256" i="93"/>
  <c r="B256" i="93"/>
  <c r="A255" i="93"/>
  <c r="K255" i="93"/>
  <c r="J255" i="93"/>
  <c r="I255" i="93"/>
  <c r="H255" i="93"/>
  <c r="G255" i="93"/>
  <c r="F255" i="93"/>
  <c r="E255" i="93"/>
  <c r="D255" i="93"/>
  <c r="C255" i="93"/>
  <c r="B255" i="93"/>
  <c r="A254" i="93"/>
  <c r="K254" i="93"/>
  <c r="J254" i="93"/>
  <c r="I254" i="93"/>
  <c r="H254" i="93"/>
  <c r="G254" i="93"/>
  <c r="F254" i="93"/>
  <c r="E254" i="93"/>
  <c r="D254" i="93"/>
  <c r="C254" i="93"/>
  <c r="B254" i="93"/>
  <c r="A253" i="93"/>
  <c r="K253" i="93"/>
  <c r="J253" i="93"/>
  <c r="I253" i="93"/>
  <c r="H253" i="93"/>
  <c r="G253" i="93"/>
  <c r="F253" i="93"/>
  <c r="E253" i="93"/>
  <c r="D253" i="93"/>
  <c r="C253" i="93"/>
  <c r="B253" i="93"/>
  <c r="A252" i="93"/>
  <c r="K252" i="93"/>
  <c r="J252" i="93"/>
  <c r="I252" i="93"/>
  <c r="H252" i="93"/>
  <c r="G252" i="93"/>
  <c r="F252" i="93"/>
  <c r="E252" i="93"/>
  <c r="D252" i="93"/>
  <c r="C252" i="93"/>
  <c r="B252" i="93"/>
  <c r="A251" i="93"/>
  <c r="K251" i="93"/>
  <c r="J251" i="93"/>
  <c r="I251" i="93"/>
  <c r="H251" i="93"/>
  <c r="G251" i="93"/>
  <c r="F251" i="93"/>
  <c r="E251" i="93"/>
  <c r="D251" i="93"/>
  <c r="C251" i="93"/>
  <c r="B251" i="93"/>
  <c r="A250" i="93"/>
  <c r="K250" i="93"/>
  <c r="J250" i="93"/>
  <c r="I250" i="93"/>
  <c r="H250" i="93"/>
  <c r="G250" i="93"/>
  <c r="F250" i="93"/>
  <c r="E250" i="93"/>
  <c r="D250" i="93"/>
  <c r="C250" i="93"/>
  <c r="B250" i="93"/>
  <c r="A249" i="93"/>
  <c r="K249" i="93"/>
  <c r="J249" i="93"/>
  <c r="I249" i="93"/>
  <c r="H249" i="93"/>
  <c r="G249" i="93"/>
  <c r="F249" i="93"/>
  <c r="E249" i="93"/>
  <c r="D249" i="93"/>
  <c r="C249" i="93"/>
  <c r="B249" i="93"/>
  <c r="A248" i="93"/>
  <c r="K248" i="93"/>
  <c r="J248" i="93"/>
  <c r="I248" i="93"/>
  <c r="H248" i="93"/>
  <c r="G248" i="93"/>
  <c r="F248" i="93"/>
  <c r="E248" i="93"/>
  <c r="D248" i="93"/>
  <c r="C248" i="93"/>
  <c r="B248" i="93"/>
  <c r="A247" i="93"/>
  <c r="K247" i="93"/>
  <c r="J247" i="93"/>
  <c r="I247" i="93"/>
  <c r="H247" i="93"/>
  <c r="G247" i="93"/>
  <c r="F247" i="93"/>
  <c r="E247" i="93"/>
  <c r="D247" i="93"/>
  <c r="C247" i="93"/>
  <c r="B247" i="93"/>
  <c r="A246" i="93"/>
  <c r="K246" i="93"/>
  <c r="J246" i="93"/>
  <c r="I246" i="93"/>
  <c r="H246" i="93"/>
  <c r="G246" i="93"/>
  <c r="F246" i="93"/>
  <c r="E246" i="93"/>
  <c r="D246" i="93"/>
  <c r="C246" i="93"/>
  <c r="B246" i="93"/>
  <c r="A245" i="93"/>
  <c r="K245" i="93"/>
  <c r="J245" i="93"/>
  <c r="I245" i="93"/>
  <c r="H245" i="93"/>
  <c r="G245" i="93"/>
  <c r="F245" i="93"/>
  <c r="E245" i="93"/>
  <c r="D245" i="93"/>
  <c r="C245" i="93"/>
  <c r="B245" i="93"/>
  <c r="A244" i="93"/>
  <c r="K244" i="93"/>
  <c r="J244" i="93"/>
  <c r="I244" i="93"/>
  <c r="H244" i="93"/>
  <c r="G244" i="93"/>
  <c r="F244" i="93"/>
  <c r="E244" i="93"/>
  <c r="D244" i="93"/>
  <c r="C244" i="93"/>
  <c r="B244" i="93"/>
  <c r="A243" i="93"/>
  <c r="K243" i="93"/>
  <c r="J243" i="93"/>
  <c r="I243" i="93"/>
  <c r="H243" i="93"/>
  <c r="G243" i="93"/>
  <c r="F243" i="93"/>
  <c r="E243" i="93"/>
  <c r="D243" i="93"/>
  <c r="C243" i="93"/>
  <c r="B243" i="93"/>
  <c r="A242" i="93"/>
  <c r="K242" i="93"/>
  <c r="J242" i="93"/>
  <c r="I242" i="93"/>
  <c r="H242" i="93"/>
  <c r="G242" i="93"/>
  <c r="F242" i="93"/>
  <c r="E242" i="93"/>
  <c r="D242" i="93"/>
  <c r="C242" i="93"/>
  <c r="B242" i="93"/>
  <c r="A241" i="93"/>
  <c r="K241" i="93"/>
  <c r="J241" i="93"/>
  <c r="I241" i="93"/>
  <c r="H241" i="93"/>
  <c r="G241" i="93"/>
  <c r="F241" i="93"/>
  <c r="E241" i="93"/>
  <c r="D241" i="93"/>
  <c r="C241" i="93"/>
  <c r="B241" i="93"/>
  <c r="A240" i="93"/>
  <c r="K240" i="93"/>
  <c r="J240" i="93"/>
  <c r="I240" i="93"/>
  <c r="H240" i="93"/>
  <c r="G240" i="93"/>
  <c r="F240" i="93"/>
  <c r="E240" i="93"/>
  <c r="D240" i="93"/>
  <c r="C240" i="93"/>
  <c r="B240" i="93"/>
  <c r="A239" i="93"/>
  <c r="K239" i="93"/>
  <c r="J239" i="93"/>
  <c r="I239" i="93"/>
  <c r="H239" i="93"/>
  <c r="G239" i="93"/>
  <c r="F239" i="93"/>
  <c r="E239" i="93"/>
  <c r="D239" i="93"/>
  <c r="C239" i="93"/>
  <c r="B239" i="93"/>
  <c r="A238" i="93"/>
  <c r="K238" i="93"/>
  <c r="J238" i="93"/>
  <c r="I238" i="93"/>
  <c r="H238" i="93"/>
  <c r="G238" i="93"/>
  <c r="F238" i="93"/>
  <c r="E238" i="93"/>
  <c r="D238" i="93"/>
  <c r="C238" i="93"/>
  <c r="B238" i="93"/>
  <c r="A237" i="93"/>
  <c r="K237" i="93"/>
  <c r="J237" i="93"/>
  <c r="I237" i="93"/>
  <c r="H237" i="93"/>
  <c r="G237" i="93"/>
  <c r="F237" i="93"/>
  <c r="E237" i="93"/>
  <c r="D237" i="93"/>
  <c r="C237" i="93"/>
  <c r="B237" i="93"/>
  <c r="A236" i="93"/>
  <c r="K236" i="93"/>
  <c r="J236" i="93"/>
  <c r="I236" i="93"/>
  <c r="H236" i="93"/>
  <c r="G236" i="93"/>
  <c r="F236" i="93"/>
  <c r="E236" i="93"/>
  <c r="D236" i="93"/>
  <c r="C236" i="93"/>
  <c r="B236" i="93"/>
  <c r="A235" i="93"/>
  <c r="K235" i="93"/>
  <c r="J235" i="93"/>
  <c r="I235" i="93"/>
  <c r="H235" i="93"/>
  <c r="G235" i="93"/>
  <c r="F235" i="93"/>
  <c r="E235" i="93"/>
  <c r="D235" i="93"/>
  <c r="C235" i="93"/>
  <c r="B235" i="93"/>
  <c r="A234" i="93"/>
  <c r="K234" i="93"/>
  <c r="J234" i="93"/>
  <c r="I234" i="93"/>
  <c r="H234" i="93"/>
  <c r="G234" i="93"/>
  <c r="F234" i="93"/>
  <c r="E234" i="93"/>
  <c r="D234" i="93"/>
  <c r="C234" i="93"/>
  <c r="B234" i="93"/>
  <c r="A233" i="93"/>
  <c r="K233" i="93"/>
  <c r="J233" i="93"/>
  <c r="I233" i="93"/>
  <c r="H233" i="93"/>
  <c r="G233" i="93"/>
  <c r="F233" i="93"/>
  <c r="E233" i="93"/>
  <c r="D233" i="93"/>
  <c r="C233" i="93"/>
  <c r="B233" i="93"/>
  <c r="A232" i="93"/>
  <c r="K232" i="93"/>
  <c r="J232" i="93"/>
  <c r="I232" i="93"/>
  <c r="H232" i="93"/>
  <c r="G232" i="93"/>
  <c r="F232" i="93"/>
  <c r="E232" i="93"/>
  <c r="D232" i="93"/>
  <c r="C232" i="93"/>
  <c r="B232" i="93"/>
  <c r="A231" i="93"/>
  <c r="K231" i="93"/>
  <c r="J231" i="93"/>
  <c r="I231" i="93"/>
  <c r="H231" i="93"/>
  <c r="G231" i="93"/>
  <c r="F231" i="93"/>
  <c r="E231" i="93"/>
  <c r="D231" i="93"/>
  <c r="C231" i="93"/>
  <c r="B231" i="93"/>
  <c r="A230" i="93"/>
  <c r="K230" i="93"/>
  <c r="J230" i="93"/>
  <c r="I230" i="93"/>
  <c r="H230" i="93"/>
  <c r="G230" i="93"/>
  <c r="F230" i="93"/>
  <c r="E230" i="93"/>
  <c r="D230" i="93"/>
  <c r="C230" i="93"/>
  <c r="B230" i="93"/>
  <c r="A229" i="93"/>
  <c r="K229" i="93"/>
  <c r="J229" i="93"/>
  <c r="I229" i="93"/>
  <c r="H229" i="93"/>
  <c r="G229" i="93"/>
  <c r="F229" i="93"/>
  <c r="E229" i="93"/>
  <c r="D229" i="93"/>
  <c r="C229" i="93"/>
  <c r="B229" i="93"/>
  <c r="A228" i="93"/>
  <c r="K228" i="93"/>
  <c r="J228" i="93"/>
  <c r="I228" i="93"/>
  <c r="H228" i="93"/>
  <c r="G228" i="93"/>
  <c r="F228" i="93"/>
  <c r="E228" i="93"/>
  <c r="D228" i="93"/>
  <c r="C228" i="93"/>
  <c r="B228" i="93"/>
  <c r="A227" i="93"/>
  <c r="K227" i="93"/>
  <c r="J227" i="93"/>
  <c r="I227" i="93"/>
  <c r="H227" i="93"/>
  <c r="G227" i="93"/>
  <c r="F227" i="93"/>
  <c r="E227" i="93"/>
  <c r="D227" i="93"/>
  <c r="C227" i="93"/>
  <c r="B227" i="93"/>
  <c r="A226" i="93"/>
  <c r="K226" i="93"/>
  <c r="J226" i="93"/>
  <c r="I226" i="93"/>
  <c r="H226" i="93"/>
  <c r="G226" i="93"/>
  <c r="F226" i="93"/>
  <c r="E226" i="93"/>
  <c r="D226" i="93"/>
  <c r="C226" i="93"/>
  <c r="B226" i="93"/>
  <c r="A225" i="93"/>
  <c r="K225" i="93"/>
  <c r="J225" i="93"/>
  <c r="I225" i="93"/>
  <c r="H225" i="93"/>
  <c r="G225" i="93"/>
  <c r="F225" i="93"/>
  <c r="E225" i="93"/>
  <c r="D225" i="93"/>
  <c r="C225" i="93"/>
  <c r="B225" i="93"/>
  <c r="A224" i="93"/>
  <c r="K224" i="93"/>
  <c r="J224" i="93"/>
  <c r="I224" i="93"/>
  <c r="H224" i="93"/>
  <c r="G224" i="93"/>
  <c r="F224" i="93"/>
  <c r="E224" i="93"/>
  <c r="D224" i="93"/>
  <c r="C224" i="93"/>
  <c r="B224" i="93"/>
  <c r="A223" i="93"/>
  <c r="K223" i="93"/>
  <c r="J223" i="93"/>
  <c r="I223" i="93"/>
  <c r="H223" i="93"/>
  <c r="G223" i="93"/>
  <c r="F223" i="93"/>
  <c r="E223" i="93"/>
  <c r="D223" i="93"/>
  <c r="C223" i="93"/>
  <c r="B223" i="93"/>
  <c r="A222" i="93"/>
  <c r="K222" i="93"/>
  <c r="J222" i="93"/>
  <c r="I222" i="93"/>
  <c r="H222" i="93"/>
  <c r="G222" i="93"/>
  <c r="F222" i="93"/>
  <c r="E222" i="93"/>
  <c r="D222" i="93"/>
  <c r="C222" i="93"/>
  <c r="B222" i="93"/>
  <c r="A221" i="93"/>
  <c r="K221" i="93"/>
  <c r="J221" i="93"/>
  <c r="I221" i="93"/>
  <c r="H221" i="93"/>
  <c r="G221" i="93"/>
  <c r="F221" i="93"/>
  <c r="E221" i="93"/>
  <c r="D221" i="93"/>
  <c r="C221" i="93"/>
  <c r="B221" i="93"/>
  <c r="A220" i="93"/>
  <c r="K220" i="93"/>
  <c r="J220" i="93"/>
  <c r="I220" i="93"/>
  <c r="H220" i="93"/>
  <c r="G220" i="93"/>
  <c r="F220" i="93"/>
  <c r="E220" i="93"/>
  <c r="D220" i="93"/>
  <c r="C220" i="93"/>
  <c r="B220" i="93"/>
  <c r="A219" i="93"/>
  <c r="K219" i="93"/>
  <c r="J219" i="93"/>
  <c r="I219" i="93"/>
  <c r="H219" i="93"/>
  <c r="G219" i="93"/>
  <c r="F219" i="93"/>
  <c r="E219" i="93"/>
  <c r="D219" i="93"/>
  <c r="C219" i="93"/>
  <c r="B219" i="93"/>
  <c r="A218" i="93"/>
  <c r="K218" i="93"/>
  <c r="J218" i="93"/>
  <c r="I218" i="93"/>
  <c r="H218" i="93"/>
  <c r="G218" i="93"/>
  <c r="F218" i="93"/>
  <c r="E218" i="93"/>
  <c r="D218" i="93"/>
  <c r="C218" i="93"/>
  <c r="B218" i="93"/>
  <c r="A217" i="93"/>
  <c r="K217" i="93"/>
  <c r="J217" i="93"/>
  <c r="I217" i="93"/>
  <c r="H217" i="93"/>
  <c r="G217" i="93"/>
  <c r="F217" i="93"/>
  <c r="E217" i="93"/>
  <c r="D217" i="93"/>
  <c r="C217" i="93"/>
  <c r="B217" i="93"/>
  <c r="A216" i="93"/>
  <c r="K216" i="93"/>
  <c r="J216" i="93"/>
  <c r="I216" i="93"/>
  <c r="H216" i="93"/>
  <c r="G216" i="93"/>
  <c r="F216" i="93"/>
  <c r="E216" i="93"/>
  <c r="D216" i="93"/>
  <c r="C216" i="93"/>
  <c r="B216" i="93"/>
  <c r="A215" i="93"/>
  <c r="K215" i="93"/>
  <c r="J215" i="93"/>
  <c r="I215" i="93"/>
  <c r="H215" i="93"/>
  <c r="G215" i="93"/>
  <c r="F215" i="93"/>
  <c r="E215" i="93"/>
  <c r="D215" i="93"/>
  <c r="C215" i="93"/>
  <c r="B215" i="93"/>
  <c r="A214" i="93"/>
  <c r="K214" i="93"/>
  <c r="J214" i="93"/>
  <c r="I214" i="93"/>
  <c r="H214" i="93"/>
  <c r="G214" i="93"/>
  <c r="F214" i="93"/>
  <c r="E214" i="93"/>
  <c r="D214" i="93"/>
  <c r="C214" i="93"/>
  <c r="B214" i="93"/>
  <c r="A213" i="93"/>
  <c r="K213" i="93"/>
  <c r="J213" i="93"/>
  <c r="I213" i="93"/>
  <c r="H213" i="93"/>
  <c r="G213" i="93"/>
  <c r="F213" i="93"/>
  <c r="E213" i="93"/>
  <c r="D213" i="93"/>
  <c r="C213" i="93"/>
  <c r="B213" i="93"/>
  <c r="A212" i="93"/>
  <c r="K212" i="93"/>
  <c r="J212" i="93"/>
  <c r="I212" i="93"/>
  <c r="H212" i="93"/>
  <c r="G212" i="93"/>
  <c r="F212" i="93"/>
  <c r="E212" i="93"/>
  <c r="D212" i="93"/>
  <c r="C212" i="93"/>
  <c r="B212" i="93"/>
  <c r="A211" i="93"/>
  <c r="K211" i="93"/>
  <c r="J211" i="93"/>
  <c r="I211" i="93"/>
  <c r="H211" i="93"/>
  <c r="G211" i="93"/>
  <c r="F211" i="93"/>
  <c r="E211" i="93"/>
  <c r="D211" i="93"/>
  <c r="C211" i="93"/>
  <c r="B211" i="93"/>
  <c r="A210" i="93"/>
  <c r="K210" i="93"/>
  <c r="J210" i="93"/>
  <c r="I210" i="93"/>
  <c r="H210" i="93"/>
  <c r="G210" i="93"/>
  <c r="F210" i="93"/>
  <c r="E210" i="93"/>
  <c r="D210" i="93"/>
  <c r="C210" i="93"/>
  <c r="B210" i="93"/>
  <c r="A209" i="93"/>
  <c r="K209" i="93"/>
  <c r="J209" i="93"/>
  <c r="I209" i="93"/>
  <c r="H209" i="93"/>
  <c r="G209" i="93"/>
  <c r="F209" i="93"/>
  <c r="E209" i="93"/>
  <c r="D209" i="93"/>
  <c r="C209" i="93"/>
  <c r="B209" i="93"/>
  <c r="A208" i="93"/>
  <c r="K208" i="93"/>
  <c r="J208" i="93"/>
  <c r="I208" i="93"/>
  <c r="H208" i="93"/>
  <c r="G208" i="93"/>
  <c r="F208" i="93"/>
  <c r="E208" i="93"/>
  <c r="D208" i="93"/>
  <c r="C208" i="93"/>
  <c r="B208" i="93"/>
  <c r="A207" i="93"/>
  <c r="K207" i="93"/>
  <c r="J207" i="93"/>
  <c r="I207" i="93"/>
  <c r="H207" i="93"/>
  <c r="G207" i="93"/>
  <c r="F207" i="93"/>
  <c r="E207" i="93"/>
  <c r="D207" i="93"/>
  <c r="C207" i="93"/>
  <c r="B207" i="93"/>
  <c r="A206" i="93"/>
  <c r="K206" i="93"/>
  <c r="J206" i="93"/>
  <c r="I206" i="93"/>
  <c r="H206" i="93"/>
  <c r="G206" i="93"/>
  <c r="F206" i="93"/>
  <c r="E206" i="93"/>
  <c r="D206" i="93"/>
  <c r="C206" i="93"/>
  <c r="B206" i="93"/>
  <c r="A205" i="93"/>
  <c r="K205" i="93"/>
  <c r="J205" i="93"/>
  <c r="I205" i="93"/>
  <c r="H205" i="93"/>
  <c r="G205" i="93"/>
  <c r="F205" i="93"/>
  <c r="E205" i="93"/>
  <c r="D205" i="93"/>
  <c r="C205" i="93"/>
  <c r="B205" i="93"/>
  <c r="A204" i="93"/>
  <c r="K204" i="93"/>
  <c r="J204" i="93"/>
  <c r="I204" i="93"/>
  <c r="H204" i="93"/>
  <c r="G204" i="93"/>
  <c r="F204" i="93"/>
  <c r="E204" i="93"/>
  <c r="D204" i="93"/>
  <c r="C204" i="93"/>
  <c r="B204" i="93"/>
  <c r="A203" i="93"/>
  <c r="K203" i="93"/>
  <c r="J203" i="93"/>
  <c r="I203" i="93"/>
  <c r="H203" i="93"/>
  <c r="G203" i="93"/>
  <c r="F203" i="93"/>
  <c r="E203" i="93"/>
  <c r="D203" i="93"/>
  <c r="C203" i="93"/>
  <c r="B203" i="93"/>
  <c r="A202" i="93"/>
  <c r="K202" i="93"/>
  <c r="J202" i="93"/>
  <c r="I202" i="93"/>
  <c r="H202" i="93"/>
  <c r="G202" i="93"/>
  <c r="F202" i="93"/>
  <c r="E202" i="93"/>
  <c r="D202" i="93"/>
  <c r="C202" i="93"/>
  <c r="B202" i="93"/>
  <c r="A201" i="93"/>
  <c r="K201" i="93"/>
  <c r="J201" i="93"/>
  <c r="I201" i="93"/>
  <c r="H201" i="93"/>
  <c r="G201" i="93"/>
  <c r="F201" i="93"/>
  <c r="E201" i="93"/>
  <c r="D201" i="93"/>
  <c r="C201" i="93"/>
  <c r="B201" i="93"/>
  <c r="A200" i="93"/>
  <c r="K200" i="93"/>
  <c r="J200" i="93"/>
  <c r="I200" i="93"/>
  <c r="H200" i="93"/>
  <c r="G200" i="93"/>
  <c r="F200" i="93"/>
  <c r="E200" i="93"/>
  <c r="D200" i="93"/>
  <c r="C200" i="93"/>
  <c r="B200" i="93"/>
  <c r="A199" i="93"/>
  <c r="K199" i="93"/>
  <c r="J199" i="93"/>
  <c r="I199" i="93"/>
  <c r="H199" i="93"/>
  <c r="G199" i="93"/>
  <c r="F199" i="93"/>
  <c r="E199" i="93"/>
  <c r="D199" i="93"/>
  <c r="C199" i="93"/>
  <c r="B199" i="93"/>
  <c r="A198" i="93"/>
  <c r="K198" i="93"/>
  <c r="J198" i="93"/>
  <c r="I198" i="93"/>
  <c r="H198" i="93"/>
  <c r="G198" i="93"/>
  <c r="F198" i="93"/>
  <c r="E198" i="93"/>
  <c r="D198" i="93"/>
  <c r="C198" i="93"/>
  <c r="B198" i="93"/>
  <c r="A197" i="93"/>
  <c r="K197" i="93"/>
  <c r="J197" i="93"/>
  <c r="I197" i="93"/>
  <c r="H197" i="93"/>
  <c r="G197" i="93"/>
  <c r="F197" i="93"/>
  <c r="E197" i="93"/>
  <c r="D197" i="93"/>
  <c r="C197" i="93"/>
  <c r="B197" i="93"/>
  <c r="A196" i="93"/>
  <c r="K196" i="93"/>
  <c r="J196" i="93"/>
  <c r="I196" i="93"/>
  <c r="H196" i="93"/>
  <c r="G196" i="93"/>
  <c r="F196" i="93"/>
  <c r="E196" i="93"/>
  <c r="D196" i="93"/>
  <c r="C196" i="93"/>
  <c r="B196" i="93"/>
  <c r="A195" i="93"/>
  <c r="K195" i="93"/>
  <c r="J195" i="93"/>
  <c r="I195" i="93"/>
  <c r="H195" i="93"/>
  <c r="G195" i="93"/>
  <c r="F195" i="93"/>
  <c r="E195" i="93"/>
  <c r="D195" i="93"/>
  <c r="C195" i="93"/>
  <c r="B195" i="93"/>
  <c r="A194" i="93"/>
  <c r="K194" i="93"/>
  <c r="J194" i="93"/>
  <c r="I194" i="93"/>
  <c r="H194" i="93"/>
  <c r="G194" i="93"/>
  <c r="F194" i="93"/>
  <c r="E194" i="93"/>
  <c r="D194" i="93"/>
  <c r="C194" i="93"/>
  <c r="B194" i="93"/>
  <c r="A193" i="93"/>
  <c r="K193" i="93"/>
  <c r="J193" i="93"/>
  <c r="I193" i="93"/>
  <c r="H193" i="93"/>
  <c r="G193" i="93"/>
  <c r="F193" i="93"/>
  <c r="E193" i="93"/>
  <c r="D193" i="93"/>
  <c r="C193" i="93"/>
  <c r="B193" i="93"/>
  <c r="A192" i="93"/>
  <c r="K192" i="93"/>
  <c r="J192" i="93"/>
  <c r="I192" i="93"/>
  <c r="H192" i="93"/>
  <c r="G192" i="93"/>
  <c r="F192" i="93"/>
  <c r="E192" i="93"/>
  <c r="D192" i="93"/>
  <c r="C192" i="93"/>
  <c r="B192" i="93"/>
  <c r="A191" i="93"/>
  <c r="K191" i="93"/>
  <c r="J191" i="93"/>
  <c r="I191" i="93"/>
  <c r="H191" i="93"/>
  <c r="G191" i="93"/>
  <c r="F191" i="93"/>
  <c r="E191" i="93"/>
  <c r="D191" i="93"/>
  <c r="C191" i="93"/>
  <c r="B191" i="93"/>
  <c r="A190" i="93"/>
  <c r="K190" i="93"/>
  <c r="J190" i="93"/>
  <c r="I190" i="93"/>
  <c r="H190" i="93"/>
  <c r="G190" i="93"/>
  <c r="F190" i="93"/>
  <c r="E190" i="93"/>
  <c r="D190" i="93"/>
  <c r="C190" i="93"/>
  <c r="B190" i="93"/>
  <c r="A189" i="93"/>
  <c r="K189" i="93"/>
  <c r="J189" i="93"/>
  <c r="I189" i="93"/>
  <c r="H189" i="93"/>
  <c r="G189" i="93"/>
  <c r="F189" i="93"/>
  <c r="E189" i="93"/>
  <c r="D189" i="93"/>
  <c r="C189" i="93"/>
  <c r="B189" i="93"/>
  <c r="A188" i="93"/>
  <c r="K188" i="93"/>
  <c r="J188" i="93"/>
  <c r="I188" i="93"/>
  <c r="H188" i="93"/>
  <c r="G188" i="93"/>
  <c r="F188" i="93"/>
  <c r="E188" i="93"/>
  <c r="D188" i="93"/>
  <c r="C188" i="93"/>
  <c r="B188" i="93"/>
  <c r="A187" i="93"/>
  <c r="K187" i="93"/>
  <c r="J187" i="93"/>
  <c r="I187" i="93"/>
  <c r="H187" i="93"/>
  <c r="G187" i="93"/>
  <c r="F187" i="93"/>
  <c r="E187" i="93"/>
  <c r="D187" i="93"/>
  <c r="C187" i="93"/>
  <c r="B187" i="93"/>
  <c r="A186" i="93"/>
  <c r="K186" i="93"/>
  <c r="J186" i="93"/>
  <c r="I186" i="93"/>
  <c r="H186" i="93"/>
  <c r="G186" i="93"/>
  <c r="F186" i="93"/>
  <c r="E186" i="93"/>
  <c r="D186" i="93"/>
  <c r="C186" i="93"/>
  <c r="B186" i="93"/>
  <c r="A185" i="93"/>
  <c r="K185" i="93"/>
  <c r="J185" i="93"/>
  <c r="I185" i="93"/>
  <c r="H185" i="93"/>
  <c r="G185" i="93"/>
  <c r="F185" i="93"/>
  <c r="E185" i="93"/>
  <c r="D185" i="93"/>
  <c r="C185" i="93"/>
  <c r="B185" i="93"/>
  <c r="A184" i="93"/>
  <c r="K184" i="93"/>
  <c r="J184" i="93"/>
  <c r="I184" i="93"/>
  <c r="H184" i="93"/>
  <c r="G184" i="93"/>
  <c r="F184" i="93"/>
  <c r="E184" i="93"/>
  <c r="D184" i="93"/>
  <c r="C184" i="93"/>
  <c r="B184" i="93"/>
  <c r="A183" i="93"/>
  <c r="K183" i="93"/>
  <c r="J183" i="93"/>
  <c r="I183" i="93"/>
  <c r="H183" i="93"/>
  <c r="G183" i="93"/>
  <c r="F183" i="93"/>
  <c r="E183" i="93"/>
  <c r="D183" i="93"/>
  <c r="C183" i="93"/>
  <c r="B183" i="93"/>
  <c r="A182" i="93"/>
  <c r="K182" i="93"/>
  <c r="J182" i="93"/>
  <c r="I182" i="93"/>
  <c r="H182" i="93"/>
  <c r="G182" i="93"/>
  <c r="F182" i="93"/>
  <c r="E182" i="93"/>
  <c r="D182" i="93"/>
  <c r="C182" i="93"/>
  <c r="B182" i="93"/>
  <c r="A181" i="93"/>
  <c r="K181" i="93"/>
  <c r="J181" i="93"/>
  <c r="I181" i="93"/>
  <c r="H181" i="93"/>
  <c r="G181" i="93"/>
  <c r="F181" i="93"/>
  <c r="E181" i="93"/>
  <c r="D181" i="93"/>
  <c r="C181" i="93"/>
  <c r="B181" i="93"/>
  <c r="A180" i="93"/>
  <c r="K180" i="93"/>
  <c r="J180" i="93"/>
  <c r="I180" i="93"/>
  <c r="H180" i="93"/>
  <c r="G180" i="93"/>
  <c r="F180" i="93"/>
  <c r="E180" i="93"/>
  <c r="D180" i="93"/>
  <c r="C180" i="93"/>
  <c r="B180" i="93"/>
  <c r="A179" i="93"/>
  <c r="K179" i="93"/>
  <c r="J179" i="93"/>
  <c r="I179" i="93"/>
  <c r="H179" i="93"/>
  <c r="G179" i="93"/>
  <c r="F179" i="93"/>
  <c r="E179" i="93"/>
  <c r="D179" i="93"/>
  <c r="C179" i="93"/>
  <c r="B179" i="93"/>
  <c r="A178" i="93"/>
  <c r="K178" i="93"/>
  <c r="J178" i="93"/>
  <c r="I178" i="93"/>
  <c r="H178" i="93"/>
  <c r="G178" i="93"/>
  <c r="F178" i="93"/>
  <c r="E178" i="93"/>
  <c r="D178" i="93"/>
  <c r="C178" i="93"/>
  <c r="B178" i="93"/>
  <c r="A177" i="93"/>
  <c r="K177" i="93"/>
  <c r="J177" i="93"/>
  <c r="I177" i="93"/>
  <c r="H177" i="93"/>
  <c r="G177" i="93"/>
  <c r="F177" i="93"/>
  <c r="E177" i="93"/>
  <c r="D177" i="93"/>
  <c r="C177" i="93"/>
  <c r="B177" i="93"/>
  <c r="A176" i="93"/>
  <c r="K176" i="93"/>
  <c r="J176" i="93"/>
  <c r="I176" i="93"/>
  <c r="H176" i="93"/>
  <c r="G176" i="93"/>
  <c r="F176" i="93"/>
  <c r="E176" i="93"/>
  <c r="D176" i="93"/>
  <c r="C176" i="93"/>
  <c r="B176" i="93"/>
  <c r="A175" i="93"/>
  <c r="K175" i="93"/>
  <c r="J175" i="93"/>
  <c r="I175" i="93"/>
  <c r="H175" i="93"/>
  <c r="G175" i="93"/>
  <c r="F175" i="93"/>
  <c r="E175" i="93"/>
  <c r="D175" i="93"/>
  <c r="C175" i="93"/>
  <c r="B175" i="93"/>
  <c r="A174" i="93"/>
  <c r="K174" i="93"/>
  <c r="J174" i="93"/>
  <c r="I174" i="93"/>
  <c r="H174" i="93"/>
  <c r="G174" i="93"/>
  <c r="F174" i="93"/>
  <c r="E174" i="93"/>
  <c r="D174" i="93"/>
  <c r="C174" i="93"/>
  <c r="B174" i="93"/>
  <c r="A173" i="93"/>
  <c r="K173" i="93"/>
  <c r="J173" i="93"/>
  <c r="I173" i="93"/>
  <c r="H173" i="93"/>
  <c r="G173" i="93"/>
  <c r="F173" i="93"/>
  <c r="E173" i="93"/>
  <c r="D173" i="93"/>
  <c r="C173" i="93"/>
  <c r="B173" i="93"/>
  <c r="A172" i="93"/>
  <c r="K172" i="93"/>
  <c r="J172" i="93"/>
  <c r="I172" i="93"/>
  <c r="H172" i="93"/>
  <c r="G172" i="93"/>
  <c r="F172" i="93"/>
  <c r="E172" i="93"/>
  <c r="D172" i="93"/>
  <c r="C172" i="93"/>
  <c r="B172" i="93"/>
  <c r="A171" i="93"/>
  <c r="K171" i="93"/>
  <c r="J171" i="93"/>
  <c r="I171" i="93"/>
  <c r="H171" i="93"/>
  <c r="G171" i="93"/>
  <c r="F171" i="93"/>
  <c r="E171" i="93"/>
  <c r="D171" i="93"/>
  <c r="C171" i="93"/>
  <c r="B171" i="93"/>
  <c r="A170" i="93"/>
  <c r="K170" i="93"/>
  <c r="J170" i="93"/>
  <c r="I170" i="93"/>
  <c r="H170" i="93"/>
  <c r="G170" i="93"/>
  <c r="F170" i="93"/>
  <c r="E170" i="93"/>
  <c r="D170" i="93"/>
  <c r="C170" i="93"/>
  <c r="B170" i="93"/>
  <c r="A169" i="93"/>
  <c r="K169" i="93"/>
  <c r="J169" i="93"/>
  <c r="I169" i="93"/>
  <c r="H169" i="93"/>
  <c r="G169" i="93"/>
  <c r="F169" i="93"/>
  <c r="E169" i="93"/>
  <c r="D169" i="93"/>
  <c r="C169" i="93"/>
  <c r="B169" i="93"/>
  <c r="A168" i="93"/>
  <c r="K168" i="93"/>
  <c r="J168" i="93"/>
  <c r="I168" i="93"/>
  <c r="H168" i="93"/>
  <c r="G168" i="93"/>
  <c r="F168" i="93"/>
  <c r="E168" i="93"/>
  <c r="D168" i="93"/>
  <c r="C168" i="93"/>
  <c r="B168" i="93"/>
  <c r="A167" i="93"/>
  <c r="K167" i="93"/>
  <c r="J167" i="93"/>
  <c r="I167" i="93"/>
  <c r="H167" i="93"/>
  <c r="G167" i="93"/>
  <c r="F167" i="93"/>
  <c r="E167" i="93"/>
  <c r="D167" i="93"/>
  <c r="C167" i="93"/>
  <c r="B167" i="93"/>
  <c r="A166" i="93"/>
  <c r="K166" i="93"/>
  <c r="J166" i="93"/>
  <c r="I166" i="93"/>
  <c r="H166" i="93"/>
  <c r="G166" i="93"/>
  <c r="F166" i="93"/>
  <c r="E166" i="93"/>
  <c r="D166" i="93"/>
  <c r="C166" i="93"/>
  <c r="B166" i="93"/>
  <c r="A165" i="93"/>
  <c r="K165" i="93"/>
  <c r="J165" i="93"/>
  <c r="I165" i="93"/>
  <c r="H165" i="93"/>
  <c r="G165" i="93"/>
  <c r="F165" i="93"/>
  <c r="E165" i="93"/>
  <c r="D165" i="93"/>
  <c r="C165" i="93"/>
  <c r="B165" i="93"/>
  <c r="A164" i="93"/>
  <c r="K164" i="93"/>
  <c r="J164" i="93"/>
  <c r="I164" i="93"/>
  <c r="H164" i="93"/>
  <c r="G164" i="93"/>
  <c r="F164" i="93"/>
  <c r="E164" i="93"/>
  <c r="D164" i="93"/>
  <c r="C164" i="93"/>
  <c r="B164" i="93"/>
  <c r="A163" i="93"/>
  <c r="K163" i="93"/>
  <c r="J163" i="93"/>
  <c r="I163" i="93"/>
  <c r="H163" i="93"/>
  <c r="G163" i="93"/>
  <c r="F163" i="93"/>
  <c r="E163" i="93"/>
  <c r="D163" i="93"/>
  <c r="C163" i="93"/>
  <c r="B163" i="93"/>
  <c r="A162" i="93"/>
  <c r="K162" i="93"/>
  <c r="J162" i="93"/>
  <c r="I162" i="93"/>
  <c r="H162" i="93"/>
  <c r="G162" i="93"/>
  <c r="F162" i="93"/>
  <c r="E162" i="93"/>
  <c r="D162" i="93"/>
  <c r="C162" i="93"/>
  <c r="B162" i="93"/>
  <c r="A161" i="93"/>
  <c r="K161" i="93"/>
  <c r="J161" i="93"/>
  <c r="I161" i="93"/>
  <c r="H161" i="93"/>
  <c r="G161" i="93"/>
  <c r="F161" i="93"/>
  <c r="E161" i="93"/>
  <c r="D161" i="93"/>
  <c r="C161" i="93"/>
  <c r="B161" i="93"/>
  <c r="A160" i="93"/>
  <c r="K160" i="93"/>
  <c r="J160" i="93"/>
  <c r="I160" i="93"/>
  <c r="H160" i="93"/>
  <c r="G160" i="93"/>
  <c r="F160" i="93"/>
  <c r="E160" i="93"/>
  <c r="D160" i="93"/>
  <c r="C160" i="93"/>
  <c r="B160" i="93"/>
  <c r="A159" i="93"/>
  <c r="K159" i="93"/>
  <c r="J159" i="93"/>
  <c r="I159" i="93"/>
  <c r="H159" i="93"/>
  <c r="G159" i="93"/>
  <c r="F159" i="93"/>
  <c r="E159" i="93"/>
  <c r="D159" i="93"/>
  <c r="C159" i="93"/>
  <c r="B159" i="93"/>
  <c r="A158" i="93"/>
  <c r="K158" i="93"/>
  <c r="J158" i="93"/>
  <c r="I158" i="93"/>
  <c r="H158" i="93"/>
  <c r="G158" i="93"/>
  <c r="F158" i="93"/>
  <c r="E158" i="93"/>
  <c r="D158" i="93"/>
  <c r="C158" i="93"/>
  <c r="B158" i="93"/>
  <c r="A157" i="93"/>
  <c r="K157" i="93"/>
  <c r="J157" i="93"/>
  <c r="I157" i="93"/>
  <c r="H157" i="93"/>
  <c r="G157" i="93"/>
  <c r="F157" i="93"/>
  <c r="E157" i="93"/>
  <c r="D157" i="93"/>
  <c r="C157" i="93"/>
  <c r="B157" i="93"/>
  <c r="A156" i="93"/>
  <c r="K156" i="93"/>
  <c r="J156" i="93"/>
  <c r="I156" i="93"/>
  <c r="H156" i="93"/>
  <c r="G156" i="93"/>
  <c r="F156" i="93"/>
  <c r="E156" i="93"/>
  <c r="D156" i="93"/>
  <c r="C156" i="93"/>
  <c r="B156" i="93"/>
  <c r="A155" i="93"/>
  <c r="K155" i="93"/>
  <c r="J155" i="93"/>
  <c r="I155" i="93"/>
  <c r="H155" i="93"/>
  <c r="G155" i="93"/>
  <c r="F155" i="93"/>
  <c r="E155" i="93"/>
  <c r="D155" i="93"/>
  <c r="C155" i="93"/>
  <c r="B155" i="93"/>
  <c r="A154" i="93"/>
  <c r="K154" i="93"/>
  <c r="J154" i="93"/>
  <c r="I154" i="93"/>
  <c r="H154" i="93"/>
  <c r="G154" i="93"/>
  <c r="F154" i="93"/>
  <c r="E154" i="93"/>
  <c r="D154" i="93"/>
  <c r="C154" i="93"/>
  <c r="B154" i="93"/>
  <c r="A153" i="93"/>
  <c r="K153" i="93"/>
  <c r="J153" i="93"/>
  <c r="I153" i="93"/>
  <c r="H153" i="93"/>
  <c r="G153" i="93"/>
  <c r="F153" i="93"/>
  <c r="E153" i="93"/>
  <c r="D153" i="93"/>
  <c r="C153" i="93"/>
  <c r="B153" i="93"/>
  <c r="A152" i="93"/>
  <c r="K152" i="93"/>
  <c r="J152" i="93"/>
  <c r="I152" i="93"/>
  <c r="H152" i="93"/>
  <c r="G152" i="93"/>
  <c r="F152" i="93"/>
  <c r="E152" i="93"/>
  <c r="D152" i="93"/>
  <c r="C152" i="93"/>
  <c r="B152" i="93"/>
  <c r="A151" i="93"/>
  <c r="K151" i="93"/>
  <c r="J151" i="93"/>
  <c r="I151" i="93"/>
  <c r="H151" i="93"/>
  <c r="G151" i="93"/>
  <c r="F151" i="93"/>
  <c r="E151" i="93"/>
  <c r="D151" i="93"/>
  <c r="C151" i="93"/>
  <c r="B151" i="93"/>
  <c r="A150" i="93"/>
  <c r="K150" i="93"/>
  <c r="J150" i="93"/>
  <c r="I150" i="93"/>
  <c r="H150" i="93"/>
  <c r="G150" i="93"/>
  <c r="F150" i="93"/>
  <c r="E150" i="93"/>
  <c r="D150" i="93"/>
  <c r="C150" i="93"/>
  <c r="B150" i="93"/>
  <c r="A149" i="93"/>
  <c r="K149" i="93"/>
  <c r="J149" i="93"/>
  <c r="I149" i="93"/>
  <c r="H149" i="93"/>
  <c r="G149" i="93"/>
  <c r="F149" i="93"/>
  <c r="E149" i="93"/>
  <c r="D149" i="93"/>
  <c r="C149" i="93"/>
  <c r="B149" i="93"/>
  <c r="A148" i="93"/>
  <c r="K148" i="93"/>
  <c r="J148" i="93"/>
  <c r="I148" i="93"/>
  <c r="H148" i="93"/>
  <c r="G148" i="93"/>
  <c r="F148" i="93"/>
  <c r="E148" i="93"/>
  <c r="D148" i="93"/>
  <c r="C148" i="93"/>
  <c r="B148" i="93"/>
  <c r="A147" i="93"/>
  <c r="K147" i="93"/>
  <c r="J147" i="93"/>
  <c r="I147" i="93"/>
  <c r="H147" i="93"/>
  <c r="G147" i="93"/>
  <c r="F147" i="93"/>
  <c r="E147" i="93"/>
  <c r="D147" i="93"/>
  <c r="C147" i="93"/>
  <c r="B147" i="93"/>
  <c r="A146" i="93"/>
  <c r="K146" i="93"/>
  <c r="J146" i="93"/>
  <c r="I146" i="93"/>
  <c r="H146" i="93"/>
  <c r="G146" i="93"/>
  <c r="F146" i="93"/>
  <c r="E146" i="93"/>
  <c r="D146" i="93"/>
  <c r="C146" i="93"/>
  <c r="B146" i="93"/>
  <c r="A145" i="93"/>
  <c r="K145" i="93"/>
  <c r="J145" i="93"/>
  <c r="I145" i="93"/>
  <c r="H145" i="93"/>
  <c r="G145" i="93"/>
  <c r="F145" i="93"/>
  <c r="E145" i="93"/>
  <c r="D145" i="93"/>
  <c r="C145" i="93"/>
  <c r="B145" i="93"/>
  <c r="A144" i="93"/>
  <c r="K144" i="93"/>
  <c r="J144" i="93"/>
  <c r="I144" i="93"/>
  <c r="H144" i="93"/>
  <c r="G144" i="93"/>
  <c r="F144" i="93"/>
  <c r="E144" i="93"/>
  <c r="D144" i="93"/>
  <c r="C144" i="93"/>
  <c r="B144" i="93"/>
  <c r="A143" i="93"/>
  <c r="K143" i="93"/>
  <c r="J143" i="93"/>
  <c r="I143" i="93"/>
  <c r="H143" i="93"/>
  <c r="G143" i="93"/>
  <c r="F143" i="93"/>
  <c r="E143" i="93"/>
  <c r="D143" i="93"/>
  <c r="C143" i="93"/>
  <c r="B143" i="93"/>
  <c r="A142" i="93"/>
  <c r="K142" i="93"/>
  <c r="J142" i="93"/>
  <c r="I142" i="93"/>
  <c r="H142" i="93"/>
  <c r="G142" i="93"/>
  <c r="F142" i="93"/>
  <c r="E142" i="93"/>
  <c r="D142" i="93"/>
  <c r="C142" i="93"/>
  <c r="B142" i="93"/>
  <c r="A141" i="93"/>
  <c r="K141" i="93"/>
  <c r="J141" i="93"/>
  <c r="I141" i="93"/>
  <c r="H141" i="93"/>
  <c r="G141" i="93"/>
  <c r="F141" i="93"/>
  <c r="E141" i="93"/>
  <c r="D141" i="93"/>
  <c r="C141" i="93"/>
  <c r="B141" i="93"/>
  <c r="A140" i="93"/>
  <c r="K140" i="93"/>
  <c r="J140" i="93"/>
  <c r="I140" i="93"/>
  <c r="H140" i="93"/>
  <c r="G140" i="93"/>
  <c r="F140" i="93"/>
  <c r="E140" i="93"/>
  <c r="D140" i="93"/>
  <c r="C140" i="93"/>
  <c r="B140" i="93"/>
  <c r="A139" i="93"/>
  <c r="K139" i="93"/>
  <c r="J139" i="93"/>
  <c r="I139" i="93"/>
  <c r="H139" i="93"/>
  <c r="G139" i="93"/>
  <c r="F139" i="93"/>
  <c r="E139" i="93"/>
  <c r="D139" i="93"/>
  <c r="C139" i="93"/>
  <c r="B139" i="93"/>
  <c r="A138" i="93"/>
  <c r="K138" i="93"/>
  <c r="J138" i="93"/>
  <c r="I138" i="93"/>
  <c r="H138" i="93"/>
  <c r="G138" i="93"/>
  <c r="F138" i="93"/>
  <c r="E138" i="93"/>
  <c r="D138" i="93"/>
  <c r="C138" i="93"/>
  <c r="B138" i="93"/>
  <c r="A137" i="93"/>
  <c r="K137" i="93"/>
  <c r="J137" i="93"/>
  <c r="I137" i="93"/>
  <c r="H137" i="93"/>
  <c r="G137" i="93"/>
  <c r="F137" i="93"/>
  <c r="E137" i="93"/>
  <c r="D137" i="93"/>
  <c r="C137" i="93"/>
  <c r="B137" i="93"/>
  <c r="A136" i="93"/>
  <c r="K136" i="93"/>
  <c r="J136" i="93"/>
  <c r="I136" i="93"/>
  <c r="H136" i="93"/>
  <c r="G136" i="93"/>
  <c r="F136" i="93"/>
  <c r="E136" i="93"/>
  <c r="D136" i="93"/>
  <c r="C136" i="93"/>
  <c r="B136" i="93"/>
  <c r="A135" i="93"/>
  <c r="K135" i="93"/>
  <c r="J135" i="93"/>
  <c r="I135" i="93"/>
  <c r="H135" i="93"/>
  <c r="G135" i="93"/>
  <c r="F135" i="93"/>
  <c r="E135" i="93"/>
  <c r="D135" i="93"/>
  <c r="C135" i="93"/>
  <c r="B135" i="93"/>
  <c r="A134" i="93"/>
  <c r="K134" i="93"/>
  <c r="J134" i="93"/>
  <c r="I134" i="93"/>
  <c r="H134" i="93"/>
  <c r="G134" i="93"/>
  <c r="F134" i="93"/>
  <c r="E134" i="93"/>
  <c r="D134" i="93"/>
  <c r="C134" i="93"/>
  <c r="B134" i="93"/>
  <c r="A133" i="93"/>
  <c r="K133" i="93"/>
  <c r="J133" i="93"/>
  <c r="I133" i="93"/>
  <c r="H133" i="93"/>
  <c r="G133" i="93"/>
  <c r="F133" i="93"/>
  <c r="E133" i="93"/>
  <c r="D133" i="93"/>
  <c r="C133" i="93"/>
  <c r="B133" i="93"/>
  <c r="A132" i="93"/>
  <c r="K132" i="93"/>
  <c r="J132" i="93"/>
  <c r="I132" i="93"/>
  <c r="H132" i="93"/>
  <c r="G132" i="93"/>
  <c r="F132" i="93"/>
  <c r="E132" i="93"/>
  <c r="D132" i="93"/>
  <c r="C132" i="93"/>
  <c r="B132" i="93"/>
  <c r="A131" i="93"/>
  <c r="K131" i="93"/>
  <c r="J131" i="93"/>
  <c r="I131" i="93"/>
  <c r="H131" i="93"/>
  <c r="G131" i="93"/>
  <c r="F131" i="93"/>
  <c r="E131" i="93"/>
  <c r="D131" i="93"/>
  <c r="C131" i="93"/>
  <c r="B131" i="93"/>
  <c r="A130" i="93"/>
  <c r="K130" i="93"/>
  <c r="J130" i="93"/>
  <c r="I130" i="93"/>
  <c r="H130" i="93"/>
  <c r="G130" i="93"/>
  <c r="F130" i="93"/>
  <c r="E130" i="93"/>
  <c r="D130" i="93"/>
  <c r="C130" i="93"/>
  <c r="B130" i="93"/>
  <c r="A129" i="93"/>
  <c r="K129" i="93"/>
  <c r="J129" i="93"/>
  <c r="I129" i="93"/>
  <c r="H129" i="93"/>
  <c r="G129" i="93"/>
  <c r="F129" i="93"/>
  <c r="E129" i="93"/>
  <c r="D129" i="93"/>
  <c r="C129" i="93"/>
  <c r="B129" i="93"/>
  <c r="A128" i="93"/>
  <c r="K128" i="93"/>
  <c r="J128" i="93"/>
  <c r="I128" i="93"/>
  <c r="H128" i="93"/>
  <c r="G128" i="93"/>
  <c r="F128" i="93"/>
  <c r="E128" i="93"/>
  <c r="D128" i="93"/>
  <c r="C128" i="93"/>
  <c r="B128" i="93"/>
  <c r="A127" i="93"/>
  <c r="K127" i="93"/>
  <c r="J127" i="93"/>
  <c r="I127" i="93"/>
  <c r="H127" i="93"/>
  <c r="G127" i="93"/>
  <c r="F127" i="93"/>
  <c r="E127" i="93"/>
  <c r="D127" i="93"/>
  <c r="C127" i="93"/>
  <c r="B127" i="93"/>
  <c r="A126" i="93"/>
  <c r="K126" i="93"/>
  <c r="J126" i="93"/>
  <c r="I126" i="93"/>
  <c r="H126" i="93"/>
  <c r="G126" i="93"/>
  <c r="F126" i="93"/>
  <c r="E126" i="93"/>
  <c r="D126" i="93"/>
  <c r="C126" i="93"/>
  <c r="B126" i="93"/>
  <c r="A125" i="93"/>
  <c r="K125" i="93"/>
  <c r="J125" i="93"/>
  <c r="I125" i="93"/>
  <c r="H125" i="93"/>
  <c r="G125" i="93"/>
  <c r="F125" i="93"/>
  <c r="E125" i="93"/>
  <c r="D125" i="93"/>
  <c r="C125" i="93"/>
  <c r="B125" i="93"/>
  <c r="A124" i="93"/>
  <c r="K124" i="93"/>
  <c r="J124" i="93"/>
  <c r="I124" i="93"/>
  <c r="H124" i="93"/>
  <c r="G124" i="93"/>
  <c r="F124" i="93"/>
  <c r="E124" i="93"/>
  <c r="D124" i="93"/>
  <c r="C124" i="93"/>
  <c r="B124" i="93"/>
  <c r="A123" i="93"/>
  <c r="K123" i="93"/>
  <c r="J123" i="93"/>
  <c r="I123" i="93"/>
  <c r="H123" i="93"/>
  <c r="G123" i="93"/>
  <c r="F123" i="93"/>
  <c r="E123" i="93"/>
  <c r="D123" i="93"/>
  <c r="C123" i="93"/>
  <c r="B123" i="93"/>
  <c r="A122" i="93"/>
  <c r="K122" i="93"/>
  <c r="J122" i="93"/>
  <c r="I122" i="93"/>
  <c r="H122" i="93"/>
  <c r="G122" i="93"/>
  <c r="F122" i="93"/>
  <c r="E122" i="93"/>
  <c r="D122" i="93"/>
  <c r="C122" i="93"/>
  <c r="B122" i="93"/>
  <c r="A121" i="93"/>
  <c r="K121" i="93"/>
  <c r="J121" i="93"/>
  <c r="I121" i="93"/>
  <c r="H121" i="93"/>
  <c r="G121" i="93"/>
  <c r="F121" i="93"/>
  <c r="E121" i="93"/>
  <c r="D121" i="93"/>
  <c r="C121" i="93"/>
  <c r="B121" i="93"/>
  <c r="A120" i="93"/>
  <c r="K120" i="93"/>
  <c r="J120" i="93"/>
  <c r="I120" i="93"/>
  <c r="H120" i="93"/>
  <c r="G120" i="93"/>
  <c r="F120" i="93"/>
  <c r="E120" i="93"/>
  <c r="D120" i="93"/>
  <c r="C120" i="93"/>
  <c r="B120" i="93"/>
  <c r="A119" i="93"/>
  <c r="K119" i="93"/>
  <c r="J119" i="93"/>
  <c r="I119" i="93"/>
  <c r="H119" i="93"/>
  <c r="G119" i="93"/>
  <c r="F119" i="93"/>
  <c r="E119" i="93"/>
  <c r="D119" i="93"/>
  <c r="C119" i="93"/>
  <c r="B119" i="93"/>
  <c r="A118" i="93"/>
  <c r="K118" i="93"/>
  <c r="J118" i="93"/>
  <c r="I118" i="93"/>
  <c r="H118" i="93"/>
  <c r="G118" i="93"/>
  <c r="F118" i="93"/>
  <c r="E118" i="93"/>
  <c r="D118" i="93"/>
  <c r="C118" i="93"/>
  <c r="B118" i="93"/>
  <c r="A117" i="93"/>
  <c r="K117" i="93"/>
  <c r="J117" i="93"/>
  <c r="I117" i="93"/>
  <c r="H117" i="93"/>
  <c r="G117" i="93"/>
  <c r="F117" i="93"/>
  <c r="E117" i="93"/>
  <c r="D117" i="93"/>
  <c r="C117" i="93"/>
  <c r="B117" i="93"/>
  <c r="A116" i="93"/>
  <c r="K116" i="93"/>
  <c r="J116" i="93"/>
  <c r="I116" i="93"/>
  <c r="H116" i="93"/>
  <c r="G116" i="93"/>
  <c r="F116" i="93"/>
  <c r="E116" i="93"/>
  <c r="D116" i="93"/>
  <c r="C116" i="93"/>
  <c r="B116" i="93"/>
  <c r="A115" i="93"/>
  <c r="K115" i="93"/>
  <c r="J115" i="93"/>
  <c r="I115" i="93"/>
  <c r="H115" i="93"/>
  <c r="G115" i="93"/>
  <c r="F115" i="93"/>
  <c r="E115" i="93"/>
  <c r="D115" i="93"/>
  <c r="C115" i="93"/>
  <c r="B115" i="93"/>
  <c r="A114" i="93"/>
  <c r="K114" i="93"/>
  <c r="J114" i="93"/>
  <c r="I114" i="93"/>
  <c r="H114" i="93"/>
  <c r="G114" i="93"/>
  <c r="F114" i="93"/>
  <c r="E114" i="93"/>
  <c r="D114" i="93"/>
  <c r="C114" i="93"/>
  <c r="B114" i="93"/>
  <c r="A113" i="93"/>
  <c r="K113" i="93"/>
  <c r="J113" i="93"/>
  <c r="I113" i="93"/>
  <c r="H113" i="93"/>
  <c r="G113" i="93"/>
  <c r="F113" i="93"/>
  <c r="E113" i="93"/>
  <c r="D113" i="93"/>
  <c r="C113" i="93"/>
  <c r="B113" i="93"/>
  <c r="A112" i="93"/>
  <c r="K112" i="93"/>
  <c r="J112" i="93"/>
  <c r="I112" i="93"/>
  <c r="H112" i="93"/>
  <c r="G112" i="93"/>
  <c r="F112" i="93"/>
  <c r="E112" i="93"/>
  <c r="D112" i="93"/>
  <c r="C112" i="93"/>
  <c r="B112" i="93"/>
  <c r="A111" i="93"/>
  <c r="K111" i="93"/>
  <c r="J111" i="93"/>
  <c r="I111" i="93"/>
  <c r="H111" i="93"/>
  <c r="G111" i="93"/>
  <c r="F111" i="93"/>
  <c r="E111" i="93"/>
  <c r="D111" i="93"/>
  <c r="C111" i="93"/>
  <c r="B111" i="93"/>
  <c r="A110" i="93"/>
  <c r="K110" i="93"/>
  <c r="J110" i="93"/>
  <c r="I110" i="93"/>
  <c r="H110" i="93"/>
  <c r="G110" i="93"/>
  <c r="F110" i="93"/>
  <c r="E110" i="93"/>
  <c r="D110" i="93"/>
  <c r="C110" i="93"/>
  <c r="B110" i="93"/>
  <c r="A109" i="93"/>
  <c r="K109" i="93"/>
  <c r="J109" i="93"/>
  <c r="I109" i="93"/>
  <c r="H109" i="93"/>
  <c r="G109" i="93"/>
  <c r="F109" i="93"/>
  <c r="E109" i="93"/>
  <c r="D109" i="93"/>
  <c r="C109" i="93"/>
  <c r="B109" i="93"/>
  <c r="A108" i="93"/>
  <c r="K108" i="93"/>
  <c r="J108" i="93"/>
  <c r="I108" i="93"/>
  <c r="H108" i="93"/>
  <c r="G108" i="93"/>
  <c r="F108" i="93"/>
  <c r="E108" i="93"/>
  <c r="D108" i="93"/>
  <c r="C108" i="93"/>
  <c r="B108" i="93"/>
  <c r="A107" i="93"/>
  <c r="K107" i="93"/>
  <c r="J107" i="93"/>
  <c r="I107" i="93"/>
  <c r="H107" i="93"/>
  <c r="G107" i="93"/>
  <c r="F107" i="93"/>
  <c r="E107" i="93"/>
  <c r="D107" i="93"/>
  <c r="C107" i="93"/>
  <c r="B107" i="93"/>
  <c r="A106" i="93"/>
  <c r="K106" i="93"/>
  <c r="J106" i="93"/>
  <c r="I106" i="93"/>
  <c r="H106" i="93"/>
  <c r="G106" i="93"/>
  <c r="F106" i="93"/>
  <c r="E106" i="93"/>
  <c r="D106" i="93"/>
  <c r="C106" i="93"/>
  <c r="B106" i="93"/>
  <c r="A105" i="93"/>
  <c r="K105" i="93"/>
  <c r="J105" i="93"/>
  <c r="I105" i="93"/>
  <c r="H105" i="93"/>
  <c r="G105" i="93"/>
  <c r="F105" i="93"/>
  <c r="E105" i="93"/>
  <c r="D105" i="93"/>
  <c r="C105" i="93"/>
  <c r="B105" i="93"/>
  <c r="A104" i="93"/>
  <c r="K104" i="93"/>
  <c r="J104" i="93"/>
  <c r="I104" i="93"/>
  <c r="H104" i="93"/>
  <c r="G104" i="93"/>
  <c r="F104" i="93"/>
  <c r="E104" i="93"/>
  <c r="D104" i="93"/>
  <c r="C104" i="93"/>
  <c r="B104" i="93"/>
  <c r="A103" i="93"/>
  <c r="K103" i="93"/>
  <c r="J103" i="93"/>
  <c r="I103" i="93"/>
  <c r="H103" i="93"/>
  <c r="G103" i="93"/>
  <c r="F103" i="93"/>
  <c r="E103" i="93"/>
  <c r="D103" i="93"/>
  <c r="C103" i="93"/>
  <c r="B103" i="93"/>
  <c r="A102" i="93"/>
  <c r="K102" i="93"/>
  <c r="J102" i="93"/>
  <c r="I102" i="93"/>
  <c r="H102" i="93"/>
  <c r="G102" i="93"/>
  <c r="F102" i="93"/>
  <c r="E102" i="93"/>
  <c r="D102" i="93"/>
  <c r="C102" i="93"/>
  <c r="B102" i="93"/>
  <c r="A101" i="93"/>
  <c r="K101" i="93"/>
  <c r="J101" i="93"/>
  <c r="I101" i="93"/>
  <c r="H101" i="93"/>
  <c r="G101" i="93"/>
  <c r="F101" i="93"/>
  <c r="E101" i="93"/>
  <c r="D101" i="93"/>
  <c r="C101" i="93"/>
  <c r="B101" i="93"/>
  <c r="A100" i="93"/>
  <c r="K100" i="93"/>
  <c r="J100" i="93"/>
  <c r="I100" i="93"/>
  <c r="H100" i="93"/>
  <c r="G100" i="93"/>
  <c r="F100" i="93"/>
  <c r="E100" i="93"/>
  <c r="D100" i="93"/>
  <c r="C100" i="93"/>
  <c r="B100" i="93"/>
  <c r="A99" i="93"/>
  <c r="K99" i="93"/>
  <c r="J99" i="93"/>
  <c r="I99" i="93"/>
  <c r="H99" i="93"/>
  <c r="G99" i="93"/>
  <c r="F99" i="93"/>
  <c r="E99" i="93"/>
  <c r="D99" i="93"/>
  <c r="C99" i="93"/>
  <c r="B99" i="93"/>
  <c r="A98" i="93"/>
  <c r="K98" i="93"/>
  <c r="J98" i="93"/>
  <c r="I98" i="93"/>
  <c r="H98" i="93"/>
  <c r="G98" i="93"/>
  <c r="F98" i="93"/>
  <c r="E98" i="93"/>
  <c r="D98" i="93"/>
  <c r="C98" i="93"/>
  <c r="B98" i="93"/>
  <c r="A97" i="93"/>
  <c r="K97" i="93"/>
  <c r="J97" i="93"/>
  <c r="I97" i="93"/>
  <c r="H97" i="93"/>
  <c r="G97" i="93"/>
  <c r="F97" i="93"/>
  <c r="E97" i="93"/>
  <c r="D97" i="93"/>
  <c r="C97" i="93"/>
  <c r="B97" i="93"/>
  <c r="A96" i="93"/>
  <c r="K96" i="93"/>
  <c r="J96" i="93"/>
  <c r="I96" i="93"/>
  <c r="H96" i="93"/>
  <c r="G96" i="93"/>
  <c r="F96" i="93"/>
  <c r="E96" i="93"/>
  <c r="D96" i="93"/>
  <c r="C96" i="93"/>
  <c r="B96" i="93"/>
  <c r="A95" i="93"/>
  <c r="K95" i="93"/>
  <c r="J95" i="93"/>
  <c r="I95" i="93"/>
  <c r="H95" i="93"/>
  <c r="G95" i="93"/>
  <c r="F95" i="93"/>
  <c r="E95" i="93"/>
  <c r="D95" i="93"/>
  <c r="C95" i="93"/>
  <c r="B95" i="93"/>
  <c r="A94" i="93"/>
  <c r="K94" i="93"/>
  <c r="J94" i="93"/>
  <c r="I94" i="93"/>
  <c r="H94" i="93"/>
  <c r="G94" i="93"/>
  <c r="F94" i="93"/>
  <c r="E94" i="93"/>
  <c r="D94" i="93"/>
  <c r="C94" i="93"/>
  <c r="B94" i="93"/>
  <c r="A93" i="93"/>
  <c r="K93" i="93"/>
  <c r="J93" i="93"/>
  <c r="I93" i="93"/>
  <c r="H93" i="93"/>
  <c r="G93" i="93"/>
  <c r="F93" i="93"/>
  <c r="E93" i="93"/>
  <c r="D93" i="93"/>
  <c r="C93" i="93"/>
  <c r="B93" i="93"/>
  <c r="A92" i="93"/>
  <c r="K92" i="93"/>
  <c r="J92" i="93"/>
  <c r="I92" i="93"/>
  <c r="H92" i="93"/>
  <c r="G92" i="93"/>
  <c r="F92" i="93"/>
  <c r="E92" i="93"/>
  <c r="D92" i="93"/>
  <c r="C92" i="93"/>
  <c r="B92" i="93"/>
  <c r="A91" i="93"/>
  <c r="K91" i="93"/>
  <c r="J91" i="93"/>
  <c r="I91" i="93"/>
  <c r="H91" i="93"/>
  <c r="G91" i="93"/>
  <c r="F91" i="93"/>
  <c r="E91" i="93"/>
  <c r="D91" i="93"/>
  <c r="C91" i="93"/>
  <c r="B91" i="93"/>
  <c r="A90" i="93"/>
  <c r="K90" i="93"/>
  <c r="J90" i="93"/>
  <c r="I90" i="93"/>
  <c r="H90" i="93"/>
  <c r="G90" i="93"/>
  <c r="F90" i="93"/>
  <c r="E90" i="93"/>
  <c r="D90" i="93"/>
  <c r="C90" i="93"/>
  <c r="B90" i="93"/>
  <c r="A89" i="93"/>
  <c r="K89" i="93"/>
  <c r="J89" i="93"/>
  <c r="I89" i="93"/>
  <c r="H89" i="93"/>
  <c r="G89" i="93"/>
  <c r="F89" i="93"/>
  <c r="E89" i="93"/>
  <c r="D89" i="93"/>
  <c r="C89" i="93"/>
  <c r="B89" i="93"/>
  <c r="A88" i="93"/>
  <c r="K88" i="93"/>
  <c r="J88" i="93"/>
  <c r="I88" i="93"/>
  <c r="H88" i="93"/>
  <c r="G88" i="93"/>
  <c r="F88" i="93"/>
  <c r="E88" i="93"/>
  <c r="D88" i="93"/>
  <c r="C88" i="93"/>
  <c r="B88" i="93"/>
  <c r="A87" i="93"/>
  <c r="K87" i="93"/>
  <c r="J87" i="93"/>
  <c r="I87" i="93"/>
  <c r="H87" i="93"/>
  <c r="G87" i="93"/>
  <c r="F87" i="93"/>
  <c r="E87" i="93"/>
  <c r="D87" i="93"/>
  <c r="C87" i="93"/>
  <c r="B87" i="93"/>
  <c r="A86" i="93"/>
  <c r="K86" i="93"/>
  <c r="J86" i="93"/>
  <c r="I86" i="93"/>
  <c r="H86" i="93"/>
  <c r="G86" i="93"/>
  <c r="F86" i="93"/>
  <c r="E86" i="93"/>
  <c r="D86" i="93"/>
  <c r="C86" i="93"/>
  <c r="B86" i="93"/>
  <c r="A85" i="93"/>
  <c r="K85" i="93"/>
  <c r="J85" i="93"/>
  <c r="I85" i="93"/>
  <c r="H85" i="93"/>
  <c r="G85" i="93"/>
  <c r="F85" i="93"/>
  <c r="E85" i="93"/>
  <c r="D85" i="93"/>
  <c r="C85" i="93"/>
  <c r="B85" i="93"/>
  <c r="A84" i="93"/>
  <c r="K84" i="93"/>
  <c r="J84" i="93"/>
  <c r="I84" i="93"/>
  <c r="H84" i="93"/>
  <c r="G84" i="93"/>
  <c r="F84" i="93"/>
  <c r="E84" i="93"/>
  <c r="D84" i="93"/>
  <c r="C84" i="93"/>
  <c r="B84" i="93"/>
  <c r="A83" i="93"/>
  <c r="K83" i="93"/>
  <c r="J83" i="93"/>
  <c r="I83" i="93"/>
  <c r="H83" i="93"/>
  <c r="G83" i="93"/>
  <c r="F83" i="93"/>
  <c r="E83" i="93"/>
  <c r="D83" i="93"/>
  <c r="C83" i="93"/>
  <c r="B83" i="93"/>
  <c r="A82" i="93"/>
  <c r="K82" i="93"/>
  <c r="J82" i="93"/>
  <c r="I82" i="93"/>
  <c r="H82" i="93"/>
  <c r="G82" i="93"/>
  <c r="F82" i="93"/>
  <c r="E82" i="93"/>
  <c r="D82" i="93"/>
  <c r="C82" i="93"/>
  <c r="B82" i="93"/>
  <c r="A81" i="93"/>
  <c r="K81" i="93"/>
  <c r="J81" i="93"/>
  <c r="I81" i="93"/>
  <c r="H81" i="93"/>
  <c r="G81" i="93"/>
  <c r="F81" i="93"/>
  <c r="E81" i="93"/>
  <c r="D81" i="93"/>
  <c r="C81" i="93"/>
  <c r="B81" i="93"/>
  <c r="A80" i="93"/>
  <c r="K80" i="93"/>
  <c r="J80" i="93"/>
  <c r="I80" i="93"/>
  <c r="H80" i="93"/>
  <c r="G80" i="93"/>
  <c r="F80" i="93"/>
  <c r="E80" i="93"/>
  <c r="D80" i="93"/>
  <c r="C80" i="93"/>
  <c r="B80" i="93"/>
  <c r="A79" i="93"/>
  <c r="K79" i="93"/>
  <c r="J79" i="93"/>
  <c r="I79" i="93"/>
  <c r="H79" i="93"/>
  <c r="G79" i="93"/>
  <c r="F79" i="93"/>
  <c r="E79" i="93"/>
  <c r="D79" i="93"/>
  <c r="C79" i="93"/>
  <c r="B79" i="93"/>
  <c r="A78" i="93"/>
  <c r="K78" i="93"/>
  <c r="J78" i="93"/>
  <c r="I78" i="93"/>
  <c r="H78" i="93"/>
  <c r="G78" i="93"/>
  <c r="F78" i="93"/>
  <c r="E78" i="93"/>
  <c r="D78" i="93"/>
  <c r="C78" i="93"/>
  <c r="B78" i="93"/>
  <c r="A77" i="93"/>
  <c r="K77" i="93"/>
  <c r="J77" i="93"/>
  <c r="I77" i="93"/>
  <c r="H77" i="93"/>
  <c r="G77" i="93"/>
  <c r="F77" i="93"/>
  <c r="E77" i="93"/>
  <c r="D77" i="93"/>
  <c r="C77" i="93"/>
  <c r="B77" i="93"/>
  <c r="A76" i="93"/>
  <c r="K76" i="93"/>
  <c r="J76" i="93"/>
  <c r="I76" i="93"/>
  <c r="H76" i="93"/>
  <c r="G76" i="93"/>
  <c r="F76" i="93"/>
  <c r="E76" i="93"/>
  <c r="D76" i="93"/>
  <c r="C76" i="93"/>
  <c r="B76" i="93"/>
  <c r="A75" i="93"/>
  <c r="K75" i="93"/>
  <c r="J75" i="93"/>
  <c r="I75" i="93"/>
  <c r="H75" i="93"/>
  <c r="G75" i="93"/>
  <c r="F75" i="93"/>
  <c r="E75" i="93"/>
  <c r="D75" i="93"/>
  <c r="C75" i="93"/>
  <c r="B75" i="93"/>
  <c r="A74" i="93"/>
  <c r="K74" i="93"/>
  <c r="J74" i="93"/>
  <c r="I74" i="93"/>
  <c r="H74" i="93"/>
  <c r="G74" i="93"/>
  <c r="F74" i="93"/>
  <c r="E74" i="93"/>
  <c r="D74" i="93"/>
  <c r="C74" i="93"/>
  <c r="B74" i="93"/>
  <c r="A73" i="93"/>
  <c r="K73" i="93"/>
  <c r="J73" i="93"/>
  <c r="I73" i="93"/>
  <c r="H73" i="93"/>
  <c r="G73" i="93"/>
  <c r="F73" i="93"/>
  <c r="E73" i="93"/>
  <c r="D73" i="93"/>
  <c r="C73" i="93"/>
  <c r="B73" i="93"/>
  <c r="A72" i="93"/>
  <c r="K72" i="93"/>
  <c r="J72" i="93"/>
  <c r="I72" i="93"/>
  <c r="H72" i="93"/>
  <c r="G72" i="93"/>
  <c r="F72" i="93"/>
  <c r="E72" i="93"/>
  <c r="D72" i="93"/>
  <c r="C72" i="93"/>
  <c r="B72" i="93"/>
  <c r="A71" i="93"/>
  <c r="K71" i="93"/>
  <c r="J71" i="93"/>
  <c r="I71" i="93"/>
  <c r="H71" i="93"/>
  <c r="G71" i="93"/>
  <c r="F71" i="93"/>
  <c r="E71" i="93"/>
  <c r="D71" i="93"/>
  <c r="C71" i="93"/>
  <c r="B71" i="93"/>
  <c r="A70" i="93"/>
  <c r="K70" i="93"/>
  <c r="J70" i="93"/>
  <c r="I70" i="93"/>
  <c r="H70" i="93"/>
  <c r="G70" i="93"/>
  <c r="F70" i="93"/>
  <c r="E70" i="93"/>
  <c r="D70" i="93"/>
  <c r="C70" i="93"/>
  <c r="B70" i="93"/>
  <c r="A69" i="93"/>
  <c r="K69" i="93"/>
  <c r="J69" i="93"/>
  <c r="I69" i="93"/>
  <c r="H69" i="93"/>
  <c r="G69" i="93"/>
  <c r="F69" i="93"/>
  <c r="E69" i="93"/>
  <c r="D69" i="93"/>
  <c r="C69" i="93"/>
  <c r="B69" i="93"/>
  <c r="A68" i="93"/>
  <c r="K68" i="93"/>
  <c r="J68" i="93"/>
  <c r="I68" i="93"/>
  <c r="H68" i="93"/>
  <c r="G68" i="93"/>
  <c r="F68" i="93"/>
  <c r="E68" i="93"/>
  <c r="D68" i="93"/>
  <c r="C68" i="93"/>
  <c r="B68" i="93"/>
  <c r="A67" i="93"/>
  <c r="K67" i="93"/>
  <c r="J67" i="93"/>
  <c r="I67" i="93"/>
  <c r="H67" i="93"/>
  <c r="G67" i="93"/>
  <c r="F67" i="93"/>
  <c r="E67" i="93"/>
  <c r="D67" i="93"/>
  <c r="C67" i="93"/>
  <c r="B67" i="93"/>
  <c r="A66" i="93"/>
  <c r="K66" i="93"/>
  <c r="J66" i="93"/>
  <c r="I66" i="93"/>
  <c r="H66" i="93"/>
  <c r="G66" i="93"/>
  <c r="F66" i="93"/>
  <c r="E66" i="93"/>
  <c r="D66" i="93"/>
  <c r="C66" i="93"/>
  <c r="B66" i="93"/>
  <c r="A65" i="93"/>
  <c r="K65" i="93"/>
  <c r="J65" i="93"/>
  <c r="I65" i="93"/>
  <c r="H65" i="93"/>
  <c r="G65" i="93"/>
  <c r="F65" i="93"/>
  <c r="E65" i="93"/>
  <c r="D65" i="93"/>
  <c r="C65" i="93"/>
  <c r="B65" i="93"/>
  <c r="A64" i="93"/>
  <c r="K64" i="93"/>
  <c r="J64" i="93"/>
  <c r="I64" i="93"/>
  <c r="H64" i="93"/>
  <c r="G64" i="93"/>
  <c r="F64" i="93"/>
  <c r="E64" i="93"/>
  <c r="D64" i="93"/>
  <c r="C64" i="93"/>
  <c r="B64" i="93"/>
  <c r="A63" i="93"/>
  <c r="K63" i="93"/>
  <c r="J63" i="93"/>
  <c r="I63" i="93"/>
  <c r="H63" i="93"/>
  <c r="G63" i="93"/>
  <c r="F63" i="93"/>
  <c r="E63" i="93"/>
  <c r="D63" i="93"/>
  <c r="C63" i="93"/>
  <c r="B63" i="93"/>
  <c r="A62" i="93"/>
  <c r="K62" i="93"/>
  <c r="J62" i="93"/>
  <c r="I62" i="93"/>
  <c r="H62" i="93"/>
  <c r="G62" i="93"/>
  <c r="F62" i="93"/>
  <c r="E62" i="93"/>
  <c r="D62" i="93"/>
  <c r="C62" i="93"/>
  <c r="B62" i="93"/>
  <c r="A61" i="93"/>
  <c r="K61" i="93"/>
  <c r="J61" i="93"/>
  <c r="I61" i="93"/>
  <c r="H61" i="93"/>
  <c r="G61" i="93"/>
  <c r="F61" i="93"/>
  <c r="E61" i="93"/>
  <c r="D61" i="93"/>
  <c r="C61" i="93"/>
  <c r="B61" i="93"/>
  <c r="A60" i="93"/>
  <c r="K60" i="93"/>
  <c r="J60" i="93"/>
  <c r="I60" i="93"/>
  <c r="H60" i="93"/>
  <c r="G60" i="93"/>
  <c r="F60" i="93"/>
  <c r="E60" i="93"/>
  <c r="D60" i="93"/>
  <c r="C60" i="93"/>
  <c r="B60" i="93"/>
  <c r="A59" i="93"/>
  <c r="K59" i="93"/>
  <c r="J59" i="93"/>
  <c r="I59" i="93"/>
  <c r="H59" i="93"/>
  <c r="G59" i="93"/>
  <c r="F59" i="93"/>
  <c r="E59" i="93"/>
  <c r="D59" i="93"/>
  <c r="C59" i="93"/>
  <c r="B59" i="93"/>
  <c r="A58" i="93"/>
  <c r="K58" i="93"/>
  <c r="J58" i="93"/>
  <c r="I58" i="93"/>
  <c r="H58" i="93"/>
  <c r="G58" i="93"/>
  <c r="F58" i="93"/>
  <c r="E58" i="93"/>
  <c r="D58" i="93"/>
  <c r="C58" i="93"/>
  <c r="B58" i="93"/>
  <c r="A57" i="93"/>
  <c r="K57" i="93"/>
  <c r="J57" i="93"/>
  <c r="I57" i="93"/>
  <c r="H57" i="93"/>
  <c r="G57" i="93"/>
  <c r="F57" i="93"/>
  <c r="E57" i="93"/>
  <c r="D57" i="93"/>
  <c r="C57" i="93"/>
  <c r="B57" i="93"/>
  <c r="A56" i="93"/>
  <c r="K56" i="93"/>
  <c r="J56" i="93"/>
  <c r="I56" i="93"/>
  <c r="H56" i="93"/>
  <c r="G56" i="93"/>
  <c r="F56" i="93"/>
  <c r="E56" i="93"/>
  <c r="D56" i="93"/>
  <c r="C56" i="93"/>
  <c r="B56" i="93"/>
  <c r="A55" i="93"/>
  <c r="K55" i="93"/>
  <c r="J55" i="93"/>
  <c r="I55" i="93"/>
  <c r="H55" i="93"/>
  <c r="G55" i="93"/>
  <c r="F55" i="93"/>
  <c r="E55" i="93"/>
  <c r="D55" i="93"/>
  <c r="C55" i="93"/>
  <c r="B55" i="93"/>
  <c r="A54" i="93"/>
  <c r="K54" i="93"/>
  <c r="J54" i="93"/>
  <c r="I54" i="93"/>
  <c r="H54" i="93"/>
  <c r="G54" i="93"/>
  <c r="F54" i="93"/>
  <c r="E54" i="93"/>
  <c r="D54" i="93"/>
  <c r="C54" i="93"/>
  <c r="B54" i="93"/>
  <c r="A53" i="93"/>
  <c r="K53" i="93"/>
  <c r="J53" i="93"/>
  <c r="I53" i="93"/>
  <c r="H53" i="93"/>
  <c r="G53" i="93"/>
  <c r="F53" i="93"/>
  <c r="E53" i="93"/>
  <c r="D53" i="93"/>
  <c r="C53" i="93"/>
  <c r="B53" i="93"/>
  <c r="A52" i="93"/>
  <c r="K52" i="93"/>
  <c r="J52" i="93"/>
  <c r="I52" i="93"/>
  <c r="H52" i="93"/>
  <c r="G52" i="93"/>
  <c r="F52" i="93"/>
  <c r="E52" i="93"/>
  <c r="D52" i="93"/>
  <c r="C52" i="93"/>
  <c r="B52" i="93"/>
  <c r="A51" i="93"/>
  <c r="K51" i="93"/>
  <c r="J51" i="93"/>
  <c r="I51" i="93"/>
  <c r="H51" i="93"/>
  <c r="G51" i="93"/>
  <c r="F51" i="93"/>
  <c r="E51" i="93"/>
  <c r="D51" i="93"/>
  <c r="C51" i="93"/>
  <c r="B51" i="93"/>
  <c r="A50" i="93"/>
  <c r="K50" i="93"/>
  <c r="J50" i="93"/>
  <c r="I50" i="93"/>
  <c r="H50" i="93"/>
  <c r="G50" i="93"/>
  <c r="F50" i="93"/>
  <c r="E50" i="93"/>
  <c r="D50" i="93"/>
  <c r="C50" i="93"/>
  <c r="B50" i="93"/>
  <c r="A49" i="93"/>
  <c r="K49" i="93"/>
  <c r="J49" i="93"/>
  <c r="I49" i="93"/>
  <c r="H49" i="93"/>
  <c r="G49" i="93"/>
  <c r="F49" i="93"/>
  <c r="E49" i="93"/>
  <c r="D49" i="93"/>
  <c r="C49" i="93"/>
  <c r="B49" i="93"/>
  <c r="A48" i="93"/>
  <c r="K48" i="93"/>
  <c r="J48" i="93"/>
  <c r="I48" i="93"/>
  <c r="H48" i="93"/>
  <c r="G48" i="93"/>
  <c r="F48" i="93"/>
  <c r="E48" i="93"/>
  <c r="D48" i="93"/>
  <c r="C48" i="93"/>
  <c r="B48" i="93"/>
  <c r="A47" i="93"/>
  <c r="K47" i="93"/>
  <c r="J47" i="93"/>
  <c r="I47" i="93"/>
  <c r="H47" i="93"/>
  <c r="G47" i="93"/>
  <c r="F47" i="93"/>
  <c r="E47" i="93"/>
  <c r="D47" i="93"/>
  <c r="C47" i="93"/>
  <c r="B47" i="93"/>
  <c r="A46" i="93"/>
  <c r="K46" i="93"/>
  <c r="J46" i="93"/>
  <c r="I46" i="93"/>
  <c r="H46" i="93"/>
  <c r="G46" i="93"/>
  <c r="F46" i="93"/>
  <c r="E46" i="93"/>
  <c r="D46" i="93"/>
  <c r="C46" i="93"/>
  <c r="B46" i="93"/>
  <c r="A45" i="93"/>
  <c r="K45" i="93"/>
  <c r="J45" i="93"/>
  <c r="I45" i="93"/>
  <c r="H45" i="93"/>
  <c r="G45" i="93"/>
  <c r="F45" i="93"/>
  <c r="E45" i="93"/>
  <c r="D45" i="93"/>
  <c r="C45" i="93"/>
  <c r="B45" i="93"/>
  <c r="A44" i="93"/>
  <c r="K44" i="93"/>
  <c r="J44" i="93"/>
  <c r="I44" i="93"/>
  <c r="H44" i="93"/>
  <c r="G44" i="93"/>
  <c r="F44" i="93"/>
  <c r="E44" i="93"/>
  <c r="D44" i="93"/>
  <c r="C44" i="93"/>
  <c r="B44" i="93"/>
  <c r="A43" i="93"/>
  <c r="K43" i="93"/>
  <c r="J43" i="93"/>
  <c r="I43" i="93"/>
  <c r="H43" i="93"/>
  <c r="G43" i="93"/>
  <c r="F43" i="93"/>
  <c r="E43" i="93"/>
  <c r="D43" i="93"/>
  <c r="C43" i="93"/>
  <c r="B43" i="93"/>
  <c r="A42" i="93"/>
  <c r="K42" i="93"/>
  <c r="J42" i="93"/>
  <c r="I42" i="93"/>
  <c r="H42" i="93"/>
  <c r="G42" i="93"/>
  <c r="F42" i="93"/>
  <c r="E42" i="93"/>
  <c r="D42" i="93"/>
  <c r="C42" i="93"/>
  <c r="B42" i="93"/>
  <c r="A41" i="93"/>
  <c r="K41" i="93"/>
  <c r="J41" i="93"/>
  <c r="I41" i="93"/>
  <c r="H41" i="93"/>
  <c r="G41" i="93"/>
  <c r="F41" i="93"/>
  <c r="E41" i="93"/>
  <c r="D41" i="93"/>
  <c r="C41" i="93"/>
  <c r="B41" i="93"/>
  <c r="A40" i="93"/>
  <c r="K40" i="93"/>
  <c r="J40" i="93"/>
  <c r="I40" i="93"/>
  <c r="H40" i="93"/>
  <c r="G40" i="93"/>
  <c r="F40" i="93"/>
  <c r="E40" i="93"/>
  <c r="D40" i="93"/>
  <c r="C40" i="93"/>
  <c r="B40" i="93"/>
  <c r="A39" i="93"/>
  <c r="K39" i="93"/>
  <c r="J39" i="93"/>
  <c r="I39" i="93"/>
  <c r="H39" i="93"/>
  <c r="G39" i="93"/>
  <c r="F39" i="93"/>
  <c r="E39" i="93"/>
  <c r="D39" i="93"/>
  <c r="C39" i="93"/>
  <c r="B39" i="93"/>
  <c r="A38" i="93"/>
  <c r="K38" i="93"/>
  <c r="J38" i="93"/>
  <c r="I38" i="93"/>
  <c r="H38" i="93"/>
  <c r="G38" i="93"/>
  <c r="F38" i="93"/>
  <c r="E38" i="93"/>
  <c r="D38" i="93"/>
  <c r="C38" i="93"/>
  <c r="B38" i="93"/>
  <c r="A37" i="93"/>
  <c r="K37" i="93"/>
  <c r="J37" i="93"/>
  <c r="I37" i="93"/>
  <c r="H37" i="93"/>
  <c r="G37" i="93"/>
  <c r="F37" i="93"/>
  <c r="E37" i="93"/>
  <c r="D37" i="93"/>
  <c r="C37" i="93"/>
  <c r="B37" i="93"/>
  <c r="A36" i="93"/>
  <c r="K36" i="93"/>
  <c r="J36" i="93"/>
  <c r="I36" i="93"/>
  <c r="H36" i="93"/>
  <c r="G36" i="93"/>
  <c r="F36" i="93"/>
  <c r="E36" i="93"/>
  <c r="D36" i="93"/>
  <c r="C36" i="93"/>
  <c r="B36" i="93"/>
  <c r="A35" i="93"/>
  <c r="K35" i="93"/>
  <c r="J35" i="93"/>
  <c r="I35" i="93"/>
  <c r="H35" i="93"/>
  <c r="G35" i="93"/>
  <c r="F35" i="93"/>
  <c r="E35" i="93"/>
  <c r="D35" i="93"/>
  <c r="C35" i="93"/>
  <c r="B35" i="93"/>
  <c r="A34" i="93"/>
  <c r="K34" i="93"/>
  <c r="J34" i="93"/>
  <c r="I34" i="93"/>
  <c r="H34" i="93"/>
  <c r="G34" i="93"/>
  <c r="F34" i="93"/>
  <c r="E34" i="93"/>
  <c r="D34" i="93"/>
  <c r="C34" i="93"/>
  <c r="B34" i="93"/>
  <c r="A33" i="93"/>
  <c r="K33" i="93"/>
  <c r="J33" i="93"/>
  <c r="I33" i="93"/>
  <c r="H33" i="93"/>
  <c r="G33" i="93"/>
  <c r="F33" i="93"/>
  <c r="E33" i="93"/>
  <c r="D33" i="93"/>
  <c r="C33" i="93"/>
  <c r="B33" i="93"/>
  <c r="A32" i="93"/>
  <c r="K32" i="93"/>
  <c r="J32" i="93"/>
  <c r="I32" i="93"/>
  <c r="H32" i="93"/>
  <c r="G32" i="93"/>
  <c r="F32" i="93"/>
  <c r="E32" i="93"/>
  <c r="D32" i="93"/>
  <c r="C32" i="93"/>
  <c r="B32" i="93"/>
  <c r="A31" i="93"/>
  <c r="K31" i="93"/>
  <c r="J31" i="93"/>
  <c r="I31" i="93"/>
  <c r="H31" i="93"/>
  <c r="G31" i="93"/>
  <c r="F31" i="93"/>
  <c r="E31" i="93"/>
  <c r="D31" i="93"/>
  <c r="C31" i="93"/>
  <c r="B31" i="93"/>
  <c r="A30" i="93"/>
  <c r="K30" i="93"/>
  <c r="J30" i="93"/>
  <c r="I30" i="93"/>
  <c r="H30" i="93"/>
  <c r="G30" i="93"/>
  <c r="F30" i="93"/>
  <c r="E30" i="93"/>
  <c r="D30" i="93"/>
  <c r="C30" i="93"/>
  <c r="B30" i="93"/>
  <c r="A29" i="93"/>
  <c r="K29" i="93"/>
  <c r="J29" i="93"/>
  <c r="I29" i="93"/>
  <c r="H29" i="93"/>
  <c r="G29" i="93"/>
  <c r="F29" i="93"/>
  <c r="E29" i="93"/>
  <c r="D29" i="93"/>
  <c r="C29" i="93"/>
  <c r="B29" i="93"/>
  <c r="A28" i="93"/>
  <c r="K28" i="93"/>
  <c r="J28" i="93"/>
  <c r="I28" i="93"/>
  <c r="H28" i="93"/>
  <c r="G28" i="93"/>
  <c r="F28" i="93"/>
  <c r="E28" i="93"/>
  <c r="D28" i="93"/>
  <c r="C28" i="93"/>
  <c r="B28" i="93"/>
  <c r="A27" i="93"/>
  <c r="K27" i="93"/>
  <c r="J27" i="93"/>
  <c r="I27" i="93"/>
  <c r="H27" i="93"/>
  <c r="G27" i="93"/>
  <c r="F27" i="93"/>
  <c r="E27" i="93"/>
  <c r="D27" i="93"/>
  <c r="C27" i="93"/>
  <c r="B27" i="93"/>
  <c r="A26" i="93"/>
  <c r="K26" i="93"/>
  <c r="J26" i="93"/>
  <c r="I26" i="93"/>
  <c r="H26" i="93"/>
  <c r="G26" i="93"/>
  <c r="F26" i="93"/>
  <c r="E26" i="93"/>
  <c r="D26" i="93"/>
  <c r="C26" i="93"/>
  <c r="B26" i="93"/>
  <c r="A25" i="93"/>
  <c r="K25" i="93"/>
  <c r="J25" i="93"/>
  <c r="I25" i="93"/>
  <c r="H25" i="93"/>
  <c r="G25" i="93"/>
  <c r="F25" i="93"/>
  <c r="E25" i="93"/>
  <c r="D25" i="93"/>
  <c r="C25" i="93"/>
  <c r="B25" i="93"/>
  <c r="A24" i="93"/>
  <c r="K24" i="93"/>
  <c r="J24" i="93"/>
  <c r="I24" i="93"/>
  <c r="H24" i="93"/>
  <c r="G24" i="93"/>
  <c r="F24" i="93"/>
  <c r="E24" i="93"/>
  <c r="D24" i="93"/>
  <c r="C24" i="93"/>
  <c r="B24" i="93"/>
  <c r="A23" i="93"/>
  <c r="K23" i="93"/>
  <c r="J23" i="93"/>
  <c r="I23" i="93"/>
  <c r="H23" i="93"/>
  <c r="G23" i="93"/>
  <c r="F23" i="93"/>
  <c r="E23" i="93"/>
  <c r="D23" i="93"/>
  <c r="C23" i="93"/>
  <c r="B23" i="93"/>
  <c r="A22" i="93"/>
  <c r="K22" i="93"/>
  <c r="J22" i="93"/>
  <c r="I22" i="93"/>
  <c r="H22" i="93"/>
  <c r="G22" i="93"/>
  <c r="F22" i="93"/>
  <c r="E22" i="93"/>
  <c r="D22" i="93"/>
  <c r="C22" i="93"/>
  <c r="B22" i="93"/>
  <c r="A21" i="93"/>
  <c r="K21" i="93"/>
  <c r="J21" i="93"/>
  <c r="I21" i="93"/>
  <c r="H21" i="93"/>
  <c r="G21" i="93"/>
  <c r="F21" i="93"/>
  <c r="E21" i="93"/>
  <c r="D21" i="93"/>
  <c r="C21" i="93"/>
  <c r="B21" i="93"/>
  <c r="A20" i="93"/>
  <c r="K20" i="93"/>
  <c r="J20" i="93"/>
  <c r="I20" i="93"/>
  <c r="H20" i="93"/>
  <c r="G20" i="93"/>
  <c r="F20" i="93"/>
  <c r="E20" i="93"/>
  <c r="D20" i="93"/>
  <c r="C20" i="93"/>
  <c r="B20" i="93"/>
  <c r="A19" i="93"/>
  <c r="K19" i="93"/>
  <c r="J19" i="93"/>
  <c r="I19" i="93"/>
  <c r="H19" i="93"/>
  <c r="G19" i="93"/>
  <c r="F19" i="93"/>
  <c r="E19" i="93"/>
  <c r="D19" i="93"/>
  <c r="C19" i="93"/>
  <c r="B19" i="93"/>
  <c r="A18" i="93"/>
  <c r="K18" i="93"/>
  <c r="J18" i="93"/>
  <c r="I18" i="93"/>
  <c r="H18" i="93"/>
  <c r="G18" i="93"/>
  <c r="F18" i="93"/>
  <c r="E18" i="93"/>
  <c r="D18" i="93"/>
  <c r="C18" i="93"/>
  <c r="B18" i="93"/>
  <c r="A17" i="93"/>
  <c r="K17" i="93"/>
  <c r="J17" i="93"/>
  <c r="I17" i="93"/>
  <c r="H17" i="93"/>
  <c r="G17" i="93"/>
  <c r="F17" i="93"/>
  <c r="E17" i="93"/>
  <c r="D17" i="93"/>
  <c r="C17" i="93"/>
  <c r="B17" i="93"/>
  <c r="A16" i="93"/>
  <c r="K16" i="93"/>
  <c r="J16" i="93"/>
  <c r="I16" i="93"/>
  <c r="H16" i="93"/>
  <c r="G16" i="93"/>
  <c r="F16" i="93"/>
  <c r="E16" i="93"/>
  <c r="D16" i="93"/>
  <c r="C16" i="93"/>
  <c r="B16" i="93"/>
  <c r="A15" i="93"/>
  <c r="K15" i="93"/>
  <c r="J15" i="93"/>
  <c r="I15" i="93"/>
  <c r="H15" i="93"/>
  <c r="G15" i="93"/>
  <c r="F15" i="93"/>
  <c r="E15" i="93"/>
  <c r="D15" i="93"/>
  <c r="C15" i="93"/>
  <c r="B15" i="93"/>
  <c r="A14" i="93"/>
  <c r="K14" i="93"/>
  <c r="J14" i="93"/>
  <c r="I14" i="93"/>
  <c r="H14" i="93"/>
  <c r="G14" i="93"/>
  <c r="F14" i="93"/>
  <c r="E14" i="93"/>
  <c r="D14" i="93"/>
  <c r="C14" i="93"/>
  <c r="B14" i="93"/>
  <c r="A13" i="93"/>
  <c r="K13" i="93"/>
  <c r="J13" i="93"/>
  <c r="I13" i="93"/>
  <c r="H13" i="93"/>
  <c r="G13" i="93"/>
  <c r="F13" i="93"/>
  <c r="E13" i="93"/>
  <c r="D13" i="93"/>
  <c r="C13" i="93"/>
  <c r="B13" i="93"/>
  <c r="A12" i="93"/>
  <c r="K12" i="93"/>
  <c r="J12" i="93"/>
  <c r="I12" i="93"/>
  <c r="H12" i="93"/>
  <c r="G12" i="93"/>
  <c r="F12" i="93"/>
  <c r="E12" i="93"/>
  <c r="D12" i="93"/>
  <c r="C12" i="93"/>
  <c r="B12" i="93"/>
  <c r="A11" i="93"/>
  <c r="K11" i="93"/>
  <c r="J11" i="93"/>
  <c r="I11" i="93"/>
  <c r="H11" i="93"/>
  <c r="G11" i="93"/>
  <c r="F11" i="93"/>
  <c r="E11" i="93"/>
  <c r="D11" i="93"/>
  <c r="C11" i="93"/>
  <c r="B11" i="93"/>
  <c r="A10" i="93"/>
  <c r="K10" i="93"/>
  <c r="J10" i="93"/>
  <c r="I10" i="93"/>
  <c r="H10" i="93"/>
  <c r="G10" i="93"/>
  <c r="F10" i="93"/>
  <c r="E10" i="93"/>
  <c r="D10" i="93"/>
  <c r="C10" i="93"/>
  <c r="B10" i="93"/>
  <c r="A9" i="93"/>
  <c r="K9" i="93"/>
  <c r="J9" i="93"/>
  <c r="I9" i="93"/>
  <c r="H9" i="93"/>
  <c r="G9" i="93"/>
  <c r="F9" i="93"/>
  <c r="E9" i="93"/>
  <c r="D9" i="93"/>
  <c r="C9" i="93"/>
  <c r="B9" i="93"/>
  <c r="A8" i="93"/>
  <c r="K8" i="93"/>
  <c r="J8" i="93"/>
  <c r="I8" i="93"/>
  <c r="H8" i="93"/>
  <c r="G8" i="93"/>
  <c r="F8" i="93"/>
  <c r="E8" i="93"/>
  <c r="D8" i="93"/>
  <c r="C8" i="93"/>
  <c r="B8" i="93"/>
  <c r="A7" i="93"/>
  <c r="K7" i="93"/>
  <c r="J7" i="93"/>
  <c r="I7" i="93"/>
  <c r="H7" i="93"/>
  <c r="G7" i="93"/>
  <c r="F7" i="93"/>
  <c r="E7" i="93"/>
  <c r="D7" i="93"/>
  <c r="C7" i="93"/>
  <c r="B7" i="93"/>
  <c r="A6" i="93"/>
  <c r="K6" i="93"/>
  <c r="J6" i="93"/>
  <c r="I6" i="93"/>
  <c r="H6" i="93"/>
  <c r="G6" i="93"/>
  <c r="F6" i="93"/>
  <c r="E6" i="93"/>
  <c r="D6" i="93"/>
  <c r="C6" i="93"/>
  <c r="B6" i="93"/>
  <c r="A5" i="93"/>
  <c r="K5" i="93"/>
  <c r="J5" i="93"/>
  <c r="I5" i="93"/>
  <c r="H5" i="93"/>
  <c r="G5" i="93"/>
  <c r="F5" i="93"/>
  <c r="E5" i="93"/>
  <c r="D5" i="93"/>
  <c r="C5" i="93"/>
  <c r="B5" i="93"/>
  <c r="A4" i="93"/>
  <c r="K4" i="93"/>
  <c r="J4" i="93"/>
  <c r="I4" i="93"/>
  <c r="H4" i="93"/>
  <c r="G4" i="93"/>
  <c r="F4" i="93"/>
  <c r="E4" i="93"/>
  <c r="D4" i="93"/>
  <c r="C4" i="93"/>
  <c r="B4" i="93"/>
  <c r="C1" i="89"/>
  <c r="A1" i="89"/>
  <c r="A272" i="89"/>
  <c r="B1" i="89"/>
  <c r="K272" i="89"/>
  <c r="J272" i="89"/>
  <c r="I272" i="89"/>
  <c r="H272" i="89"/>
  <c r="G272" i="89"/>
  <c r="F272" i="89"/>
  <c r="E272" i="89"/>
  <c r="D272" i="89"/>
  <c r="C272" i="89"/>
  <c r="B272" i="89"/>
  <c r="A271" i="89"/>
  <c r="K271" i="89"/>
  <c r="J271" i="89"/>
  <c r="I271" i="89"/>
  <c r="H271" i="89"/>
  <c r="G271" i="89"/>
  <c r="F271" i="89"/>
  <c r="E271" i="89"/>
  <c r="D271" i="89"/>
  <c r="C271" i="89"/>
  <c r="B271" i="89"/>
  <c r="A270" i="89"/>
  <c r="K270" i="89"/>
  <c r="J270" i="89"/>
  <c r="I270" i="89"/>
  <c r="H270" i="89"/>
  <c r="G270" i="89"/>
  <c r="F270" i="89"/>
  <c r="E270" i="89"/>
  <c r="D270" i="89"/>
  <c r="C270" i="89"/>
  <c r="B270" i="89"/>
  <c r="A269" i="89"/>
  <c r="K269" i="89"/>
  <c r="J269" i="89"/>
  <c r="I269" i="89"/>
  <c r="H269" i="89"/>
  <c r="G269" i="89"/>
  <c r="F269" i="89"/>
  <c r="E269" i="89"/>
  <c r="D269" i="89"/>
  <c r="C269" i="89"/>
  <c r="B269" i="89"/>
  <c r="A268" i="89"/>
  <c r="K268" i="89"/>
  <c r="J268" i="89"/>
  <c r="I268" i="89"/>
  <c r="H268" i="89"/>
  <c r="G268" i="89"/>
  <c r="F268" i="89"/>
  <c r="E268" i="89"/>
  <c r="D268" i="89"/>
  <c r="C268" i="89"/>
  <c r="B268" i="89"/>
  <c r="A267" i="89"/>
  <c r="K267" i="89"/>
  <c r="J267" i="89"/>
  <c r="I267" i="89"/>
  <c r="H267" i="89"/>
  <c r="G267" i="89"/>
  <c r="F267" i="89"/>
  <c r="E267" i="89"/>
  <c r="D267" i="89"/>
  <c r="C267" i="89"/>
  <c r="B267" i="89"/>
  <c r="A266" i="89"/>
  <c r="K266" i="89"/>
  <c r="J266" i="89"/>
  <c r="I266" i="89"/>
  <c r="H266" i="89"/>
  <c r="G266" i="89"/>
  <c r="F266" i="89"/>
  <c r="E266" i="89"/>
  <c r="D266" i="89"/>
  <c r="C266" i="89"/>
  <c r="B266" i="89"/>
  <c r="A265" i="89"/>
  <c r="K265" i="89"/>
  <c r="J265" i="89"/>
  <c r="I265" i="89"/>
  <c r="H265" i="89"/>
  <c r="G265" i="89"/>
  <c r="F265" i="89"/>
  <c r="E265" i="89"/>
  <c r="D265" i="89"/>
  <c r="C265" i="89"/>
  <c r="B265" i="89"/>
  <c r="A264" i="89"/>
  <c r="K264" i="89"/>
  <c r="J264" i="89"/>
  <c r="I264" i="89"/>
  <c r="H264" i="89"/>
  <c r="G264" i="89"/>
  <c r="F264" i="89"/>
  <c r="E264" i="89"/>
  <c r="D264" i="89"/>
  <c r="C264" i="89"/>
  <c r="B264" i="89"/>
  <c r="A263" i="89"/>
  <c r="K263" i="89"/>
  <c r="J263" i="89"/>
  <c r="I263" i="89"/>
  <c r="H263" i="89"/>
  <c r="G263" i="89"/>
  <c r="F263" i="89"/>
  <c r="E263" i="89"/>
  <c r="D263" i="89"/>
  <c r="C263" i="89"/>
  <c r="B263" i="89"/>
  <c r="A262" i="89"/>
  <c r="K262" i="89"/>
  <c r="J262" i="89"/>
  <c r="I262" i="89"/>
  <c r="H262" i="89"/>
  <c r="G262" i="89"/>
  <c r="F262" i="89"/>
  <c r="E262" i="89"/>
  <c r="D262" i="89"/>
  <c r="C262" i="89"/>
  <c r="B262" i="89"/>
  <c r="A261" i="89"/>
  <c r="K261" i="89"/>
  <c r="J261" i="89"/>
  <c r="I261" i="89"/>
  <c r="H261" i="89"/>
  <c r="G261" i="89"/>
  <c r="F261" i="89"/>
  <c r="E261" i="89"/>
  <c r="D261" i="89"/>
  <c r="C261" i="89"/>
  <c r="B261" i="89"/>
  <c r="A260" i="89"/>
  <c r="K260" i="89"/>
  <c r="J260" i="89"/>
  <c r="I260" i="89"/>
  <c r="H260" i="89"/>
  <c r="G260" i="89"/>
  <c r="F260" i="89"/>
  <c r="E260" i="89"/>
  <c r="D260" i="89"/>
  <c r="C260" i="89"/>
  <c r="B260" i="89"/>
  <c r="A259" i="89"/>
  <c r="K259" i="89"/>
  <c r="J259" i="89"/>
  <c r="I259" i="89"/>
  <c r="H259" i="89"/>
  <c r="G259" i="89"/>
  <c r="F259" i="89"/>
  <c r="E259" i="89"/>
  <c r="D259" i="89"/>
  <c r="C259" i="89"/>
  <c r="B259" i="89"/>
  <c r="A258" i="89"/>
  <c r="K258" i="89"/>
  <c r="J258" i="89"/>
  <c r="I258" i="89"/>
  <c r="H258" i="89"/>
  <c r="G258" i="89"/>
  <c r="F258" i="89"/>
  <c r="E258" i="89"/>
  <c r="D258" i="89"/>
  <c r="C258" i="89"/>
  <c r="B258" i="89"/>
  <c r="A257" i="89"/>
  <c r="K257" i="89"/>
  <c r="J257" i="89"/>
  <c r="I257" i="89"/>
  <c r="H257" i="89"/>
  <c r="G257" i="89"/>
  <c r="F257" i="89"/>
  <c r="E257" i="89"/>
  <c r="D257" i="89"/>
  <c r="C257" i="89"/>
  <c r="B257" i="89"/>
  <c r="A256" i="89"/>
  <c r="K256" i="89"/>
  <c r="J256" i="89"/>
  <c r="I256" i="89"/>
  <c r="H256" i="89"/>
  <c r="G256" i="89"/>
  <c r="F256" i="89"/>
  <c r="E256" i="89"/>
  <c r="D256" i="89"/>
  <c r="C256" i="89"/>
  <c r="B256" i="89"/>
  <c r="A255" i="89"/>
  <c r="K255" i="89"/>
  <c r="J255" i="89"/>
  <c r="I255" i="89"/>
  <c r="H255" i="89"/>
  <c r="G255" i="89"/>
  <c r="F255" i="89"/>
  <c r="E255" i="89"/>
  <c r="D255" i="89"/>
  <c r="C255" i="89"/>
  <c r="B255" i="89"/>
  <c r="A254" i="89"/>
  <c r="K254" i="89"/>
  <c r="J254" i="89"/>
  <c r="I254" i="89"/>
  <c r="H254" i="89"/>
  <c r="G254" i="89"/>
  <c r="F254" i="89"/>
  <c r="E254" i="89"/>
  <c r="D254" i="89"/>
  <c r="C254" i="89"/>
  <c r="B254" i="89"/>
  <c r="A253" i="89"/>
  <c r="K253" i="89"/>
  <c r="J253" i="89"/>
  <c r="I253" i="89"/>
  <c r="H253" i="89"/>
  <c r="G253" i="89"/>
  <c r="F253" i="89"/>
  <c r="E253" i="89"/>
  <c r="D253" i="89"/>
  <c r="C253" i="89"/>
  <c r="B253" i="89"/>
  <c r="A252" i="89"/>
  <c r="K252" i="89"/>
  <c r="J252" i="89"/>
  <c r="I252" i="89"/>
  <c r="H252" i="89"/>
  <c r="G252" i="89"/>
  <c r="F252" i="89"/>
  <c r="E252" i="89"/>
  <c r="D252" i="89"/>
  <c r="C252" i="89"/>
  <c r="B252" i="89"/>
  <c r="A251" i="89"/>
  <c r="K251" i="89"/>
  <c r="J251" i="89"/>
  <c r="I251" i="89"/>
  <c r="H251" i="89"/>
  <c r="G251" i="89"/>
  <c r="F251" i="89"/>
  <c r="E251" i="89"/>
  <c r="D251" i="89"/>
  <c r="C251" i="89"/>
  <c r="B251" i="89"/>
  <c r="A250" i="89"/>
  <c r="K250" i="89"/>
  <c r="J250" i="89"/>
  <c r="I250" i="89"/>
  <c r="H250" i="89"/>
  <c r="G250" i="89"/>
  <c r="F250" i="89"/>
  <c r="E250" i="89"/>
  <c r="D250" i="89"/>
  <c r="C250" i="89"/>
  <c r="B250" i="89"/>
  <c r="A249" i="89"/>
  <c r="K249" i="89"/>
  <c r="J249" i="89"/>
  <c r="I249" i="89"/>
  <c r="H249" i="89"/>
  <c r="G249" i="89"/>
  <c r="F249" i="89"/>
  <c r="E249" i="89"/>
  <c r="D249" i="89"/>
  <c r="C249" i="89"/>
  <c r="B249" i="89"/>
  <c r="A248" i="89"/>
  <c r="K248" i="89"/>
  <c r="J248" i="89"/>
  <c r="I248" i="89"/>
  <c r="H248" i="89"/>
  <c r="G248" i="89"/>
  <c r="F248" i="89"/>
  <c r="E248" i="89"/>
  <c r="D248" i="89"/>
  <c r="C248" i="89"/>
  <c r="B248" i="89"/>
  <c r="A247" i="89"/>
  <c r="K247" i="89"/>
  <c r="J247" i="89"/>
  <c r="I247" i="89"/>
  <c r="H247" i="89"/>
  <c r="G247" i="89"/>
  <c r="F247" i="89"/>
  <c r="E247" i="89"/>
  <c r="D247" i="89"/>
  <c r="C247" i="89"/>
  <c r="B247" i="89"/>
  <c r="A246" i="89"/>
  <c r="K246" i="89"/>
  <c r="J246" i="89"/>
  <c r="I246" i="89"/>
  <c r="H246" i="89"/>
  <c r="G246" i="89"/>
  <c r="F246" i="89"/>
  <c r="E246" i="89"/>
  <c r="D246" i="89"/>
  <c r="C246" i="89"/>
  <c r="B246" i="89"/>
  <c r="A245" i="89"/>
  <c r="K245" i="89"/>
  <c r="J245" i="89"/>
  <c r="I245" i="89"/>
  <c r="H245" i="89"/>
  <c r="G245" i="89"/>
  <c r="F245" i="89"/>
  <c r="E245" i="89"/>
  <c r="D245" i="89"/>
  <c r="C245" i="89"/>
  <c r="B245" i="89"/>
  <c r="A244" i="89"/>
  <c r="K244" i="89"/>
  <c r="J244" i="89"/>
  <c r="I244" i="89"/>
  <c r="H244" i="89"/>
  <c r="G244" i="89"/>
  <c r="F244" i="89"/>
  <c r="E244" i="89"/>
  <c r="D244" i="89"/>
  <c r="C244" i="89"/>
  <c r="B244" i="89"/>
  <c r="A243" i="89"/>
  <c r="K243" i="89"/>
  <c r="J243" i="89"/>
  <c r="I243" i="89"/>
  <c r="H243" i="89"/>
  <c r="G243" i="89"/>
  <c r="F243" i="89"/>
  <c r="E243" i="89"/>
  <c r="D243" i="89"/>
  <c r="C243" i="89"/>
  <c r="B243" i="89"/>
  <c r="A242" i="89"/>
  <c r="K242" i="89"/>
  <c r="J242" i="89"/>
  <c r="I242" i="89"/>
  <c r="H242" i="89"/>
  <c r="G242" i="89"/>
  <c r="F242" i="89"/>
  <c r="E242" i="89"/>
  <c r="D242" i="89"/>
  <c r="C242" i="89"/>
  <c r="B242" i="89"/>
  <c r="A241" i="89"/>
  <c r="K241" i="89"/>
  <c r="J241" i="89"/>
  <c r="I241" i="89"/>
  <c r="H241" i="89"/>
  <c r="G241" i="89"/>
  <c r="F241" i="89"/>
  <c r="E241" i="89"/>
  <c r="D241" i="89"/>
  <c r="C241" i="89"/>
  <c r="B241" i="89"/>
  <c r="A240" i="89"/>
  <c r="K240" i="89"/>
  <c r="J240" i="89"/>
  <c r="I240" i="89"/>
  <c r="H240" i="89"/>
  <c r="G240" i="89"/>
  <c r="F240" i="89"/>
  <c r="E240" i="89"/>
  <c r="D240" i="89"/>
  <c r="C240" i="89"/>
  <c r="B240" i="89"/>
  <c r="A239" i="89"/>
  <c r="K239" i="89"/>
  <c r="J239" i="89"/>
  <c r="I239" i="89"/>
  <c r="H239" i="89"/>
  <c r="G239" i="89"/>
  <c r="F239" i="89"/>
  <c r="E239" i="89"/>
  <c r="D239" i="89"/>
  <c r="C239" i="89"/>
  <c r="B239" i="89"/>
  <c r="A238" i="89"/>
  <c r="K238" i="89"/>
  <c r="J238" i="89"/>
  <c r="I238" i="89"/>
  <c r="H238" i="89"/>
  <c r="G238" i="89"/>
  <c r="F238" i="89"/>
  <c r="E238" i="89"/>
  <c r="D238" i="89"/>
  <c r="C238" i="89"/>
  <c r="B238" i="89"/>
  <c r="A237" i="89"/>
  <c r="K237" i="89"/>
  <c r="J237" i="89"/>
  <c r="I237" i="89"/>
  <c r="H237" i="89"/>
  <c r="G237" i="89"/>
  <c r="F237" i="89"/>
  <c r="E237" i="89"/>
  <c r="D237" i="89"/>
  <c r="C237" i="89"/>
  <c r="B237" i="89"/>
  <c r="A236" i="89"/>
  <c r="K236" i="89"/>
  <c r="J236" i="89"/>
  <c r="I236" i="89"/>
  <c r="H236" i="89"/>
  <c r="G236" i="89"/>
  <c r="F236" i="89"/>
  <c r="E236" i="89"/>
  <c r="D236" i="89"/>
  <c r="C236" i="89"/>
  <c r="B236" i="89"/>
  <c r="A235" i="89"/>
  <c r="K235" i="89"/>
  <c r="J235" i="89"/>
  <c r="I235" i="89"/>
  <c r="H235" i="89"/>
  <c r="G235" i="89"/>
  <c r="F235" i="89"/>
  <c r="E235" i="89"/>
  <c r="D235" i="89"/>
  <c r="C235" i="89"/>
  <c r="B235" i="89"/>
  <c r="A234" i="89"/>
  <c r="K234" i="89"/>
  <c r="J234" i="89"/>
  <c r="I234" i="89"/>
  <c r="H234" i="89"/>
  <c r="G234" i="89"/>
  <c r="F234" i="89"/>
  <c r="E234" i="89"/>
  <c r="D234" i="89"/>
  <c r="C234" i="89"/>
  <c r="B234" i="89"/>
  <c r="A233" i="89"/>
  <c r="K233" i="89"/>
  <c r="J233" i="89"/>
  <c r="I233" i="89"/>
  <c r="H233" i="89"/>
  <c r="G233" i="89"/>
  <c r="F233" i="89"/>
  <c r="E233" i="89"/>
  <c r="D233" i="89"/>
  <c r="C233" i="89"/>
  <c r="B233" i="89"/>
  <c r="A232" i="89"/>
  <c r="K232" i="89"/>
  <c r="J232" i="89"/>
  <c r="I232" i="89"/>
  <c r="H232" i="89"/>
  <c r="G232" i="89"/>
  <c r="F232" i="89"/>
  <c r="E232" i="89"/>
  <c r="D232" i="89"/>
  <c r="C232" i="89"/>
  <c r="B232" i="89"/>
  <c r="A231" i="89"/>
  <c r="K231" i="89"/>
  <c r="J231" i="89"/>
  <c r="I231" i="89"/>
  <c r="H231" i="89"/>
  <c r="G231" i="89"/>
  <c r="F231" i="89"/>
  <c r="E231" i="89"/>
  <c r="D231" i="89"/>
  <c r="C231" i="89"/>
  <c r="B231" i="89"/>
  <c r="A230" i="89"/>
  <c r="K230" i="89"/>
  <c r="J230" i="89"/>
  <c r="I230" i="89"/>
  <c r="H230" i="89"/>
  <c r="G230" i="89"/>
  <c r="F230" i="89"/>
  <c r="E230" i="89"/>
  <c r="D230" i="89"/>
  <c r="C230" i="89"/>
  <c r="B230" i="89"/>
  <c r="A229" i="89"/>
  <c r="K229" i="89"/>
  <c r="J229" i="89"/>
  <c r="I229" i="89"/>
  <c r="H229" i="89"/>
  <c r="G229" i="89"/>
  <c r="F229" i="89"/>
  <c r="E229" i="89"/>
  <c r="D229" i="89"/>
  <c r="C229" i="89"/>
  <c r="B229" i="89"/>
  <c r="A228" i="89"/>
  <c r="K228" i="89"/>
  <c r="J228" i="89"/>
  <c r="I228" i="89"/>
  <c r="H228" i="89"/>
  <c r="G228" i="89"/>
  <c r="F228" i="89"/>
  <c r="E228" i="89"/>
  <c r="D228" i="89"/>
  <c r="C228" i="89"/>
  <c r="B228" i="89"/>
  <c r="A227" i="89"/>
  <c r="K227" i="89"/>
  <c r="J227" i="89"/>
  <c r="I227" i="89"/>
  <c r="H227" i="89"/>
  <c r="G227" i="89"/>
  <c r="F227" i="89"/>
  <c r="E227" i="89"/>
  <c r="D227" i="89"/>
  <c r="C227" i="89"/>
  <c r="B227" i="89"/>
  <c r="A226" i="89"/>
  <c r="K226" i="89"/>
  <c r="J226" i="89"/>
  <c r="I226" i="89"/>
  <c r="H226" i="89"/>
  <c r="G226" i="89"/>
  <c r="F226" i="89"/>
  <c r="E226" i="89"/>
  <c r="D226" i="89"/>
  <c r="C226" i="89"/>
  <c r="B226" i="89"/>
  <c r="A225" i="89"/>
  <c r="K225" i="89"/>
  <c r="J225" i="89"/>
  <c r="I225" i="89"/>
  <c r="H225" i="89"/>
  <c r="G225" i="89"/>
  <c r="F225" i="89"/>
  <c r="E225" i="89"/>
  <c r="D225" i="89"/>
  <c r="C225" i="89"/>
  <c r="B225" i="89"/>
  <c r="A224" i="89"/>
  <c r="K224" i="89"/>
  <c r="J224" i="89"/>
  <c r="I224" i="89"/>
  <c r="H224" i="89"/>
  <c r="G224" i="89"/>
  <c r="F224" i="89"/>
  <c r="E224" i="89"/>
  <c r="D224" i="89"/>
  <c r="C224" i="89"/>
  <c r="B224" i="89"/>
  <c r="A223" i="89"/>
  <c r="K223" i="89"/>
  <c r="J223" i="89"/>
  <c r="I223" i="89"/>
  <c r="H223" i="89"/>
  <c r="G223" i="89"/>
  <c r="F223" i="89"/>
  <c r="E223" i="89"/>
  <c r="D223" i="89"/>
  <c r="C223" i="89"/>
  <c r="B223" i="89"/>
  <c r="A222" i="89"/>
  <c r="K222" i="89"/>
  <c r="J222" i="89"/>
  <c r="I222" i="89"/>
  <c r="H222" i="89"/>
  <c r="G222" i="89"/>
  <c r="F222" i="89"/>
  <c r="E222" i="89"/>
  <c r="D222" i="89"/>
  <c r="C222" i="89"/>
  <c r="B222" i="89"/>
  <c r="A221" i="89"/>
  <c r="K221" i="89"/>
  <c r="J221" i="89"/>
  <c r="I221" i="89"/>
  <c r="H221" i="89"/>
  <c r="G221" i="89"/>
  <c r="F221" i="89"/>
  <c r="E221" i="89"/>
  <c r="D221" i="89"/>
  <c r="C221" i="89"/>
  <c r="B221" i="89"/>
  <c r="A220" i="89"/>
  <c r="K220" i="89"/>
  <c r="J220" i="89"/>
  <c r="I220" i="89"/>
  <c r="H220" i="89"/>
  <c r="G220" i="89"/>
  <c r="F220" i="89"/>
  <c r="E220" i="89"/>
  <c r="D220" i="89"/>
  <c r="C220" i="89"/>
  <c r="B220" i="89"/>
  <c r="A219" i="89"/>
  <c r="K219" i="89"/>
  <c r="J219" i="89"/>
  <c r="I219" i="89"/>
  <c r="H219" i="89"/>
  <c r="G219" i="89"/>
  <c r="F219" i="89"/>
  <c r="E219" i="89"/>
  <c r="D219" i="89"/>
  <c r="C219" i="89"/>
  <c r="B219" i="89"/>
  <c r="A218" i="89"/>
  <c r="K218" i="89"/>
  <c r="J218" i="89"/>
  <c r="I218" i="89"/>
  <c r="H218" i="89"/>
  <c r="G218" i="89"/>
  <c r="F218" i="89"/>
  <c r="E218" i="89"/>
  <c r="D218" i="89"/>
  <c r="C218" i="89"/>
  <c r="B218" i="89"/>
  <c r="A217" i="89"/>
  <c r="K217" i="89"/>
  <c r="J217" i="89"/>
  <c r="I217" i="89"/>
  <c r="H217" i="89"/>
  <c r="G217" i="89"/>
  <c r="F217" i="89"/>
  <c r="E217" i="89"/>
  <c r="D217" i="89"/>
  <c r="C217" i="89"/>
  <c r="B217" i="89"/>
  <c r="A216" i="89"/>
  <c r="K216" i="89"/>
  <c r="J216" i="89"/>
  <c r="I216" i="89"/>
  <c r="H216" i="89"/>
  <c r="G216" i="89"/>
  <c r="F216" i="89"/>
  <c r="E216" i="89"/>
  <c r="D216" i="89"/>
  <c r="C216" i="89"/>
  <c r="B216" i="89"/>
  <c r="A215" i="89"/>
  <c r="K215" i="89"/>
  <c r="J215" i="89"/>
  <c r="I215" i="89"/>
  <c r="H215" i="89"/>
  <c r="G215" i="89"/>
  <c r="F215" i="89"/>
  <c r="E215" i="89"/>
  <c r="D215" i="89"/>
  <c r="C215" i="89"/>
  <c r="B215" i="89"/>
  <c r="A214" i="89"/>
  <c r="K214" i="89"/>
  <c r="J214" i="89"/>
  <c r="I214" i="89"/>
  <c r="H214" i="89"/>
  <c r="G214" i="89"/>
  <c r="F214" i="89"/>
  <c r="E214" i="89"/>
  <c r="D214" i="89"/>
  <c r="C214" i="89"/>
  <c r="B214" i="89"/>
  <c r="A213" i="89"/>
  <c r="K213" i="89"/>
  <c r="J213" i="89"/>
  <c r="I213" i="89"/>
  <c r="H213" i="89"/>
  <c r="G213" i="89"/>
  <c r="F213" i="89"/>
  <c r="E213" i="89"/>
  <c r="D213" i="89"/>
  <c r="C213" i="89"/>
  <c r="B213" i="89"/>
  <c r="A212" i="89"/>
  <c r="K212" i="89"/>
  <c r="J212" i="89"/>
  <c r="I212" i="89"/>
  <c r="H212" i="89"/>
  <c r="G212" i="89"/>
  <c r="F212" i="89"/>
  <c r="E212" i="89"/>
  <c r="D212" i="89"/>
  <c r="C212" i="89"/>
  <c r="B212" i="89"/>
  <c r="A211" i="89"/>
  <c r="K211" i="89"/>
  <c r="J211" i="89"/>
  <c r="I211" i="89"/>
  <c r="H211" i="89"/>
  <c r="G211" i="89"/>
  <c r="F211" i="89"/>
  <c r="E211" i="89"/>
  <c r="D211" i="89"/>
  <c r="C211" i="89"/>
  <c r="B211" i="89"/>
  <c r="A210" i="89"/>
  <c r="K210" i="89"/>
  <c r="J210" i="89"/>
  <c r="I210" i="89"/>
  <c r="H210" i="89"/>
  <c r="G210" i="89"/>
  <c r="F210" i="89"/>
  <c r="E210" i="89"/>
  <c r="D210" i="89"/>
  <c r="C210" i="89"/>
  <c r="B210" i="89"/>
  <c r="A209" i="89"/>
  <c r="K209" i="89"/>
  <c r="J209" i="89"/>
  <c r="I209" i="89"/>
  <c r="H209" i="89"/>
  <c r="G209" i="89"/>
  <c r="F209" i="89"/>
  <c r="E209" i="89"/>
  <c r="D209" i="89"/>
  <c r="C209" i="89"/>
  <c r="B209" i="89"/>
  <c r="A208" i="89"/>
  <c r="K208" i="89"/>
  <c r="J208" i="89"/>
  <c r="I208" i="89"/>
  <c r="H208" i="89"/>
  <c r="G208" i="89"/>
  <c r="F208" i="89"/>
  <c r="E208" i="89"/>
  <c r="D208" i="89"/>
  <c r="C208" i="89"/>
  <c r="B208" i="89"/>
  <c r="A207" i="89"/>
  <c r="K207" i="89"/>
  <c r="J207" i="89"/>
  <c r="I207" i="89"/>
  <c r="H207" i="89"/>
  <c r="G207" i="89"/>
  <c r="F207" i="89"/>
  <c r="E207" i="89"/>
  <c r="D207" i="89"/>
  <c r="C207" i="89"/>
  <c r="B207" i="89"/>
  <c r="A206" i="89"/>
  <c r="K206" i="89"/>
  <c r="J206" i="89"/>
  <c r="I206" i="89"/>
  <c r="H206" i="89"/>
  <c r="G206" i="89"/>
  <c r="F206" i="89"/>
  <c r="E206" i="89"/>
  <c r="D206" i="89"/>
  <c r="C206" i="89"/>
  <c r="B206" i="89"/>
  <c r="A205" i="89"/>
  <c r="K205" i="89"/>
  <c r="J205" i="89"/>
  <c r="I205" i="89"/>
  <c r="H205" i="89"/>
  <c r="G205" i="89"/>
  <c r="F205" i="89"/>
  <c r="E205" i="89"/>
  <c r="D205" i="89"/>
  <c r="C205" i="89"/>
  <c r="B205" i="89"/>
  <c r="A204" i="89"/>
  <c r="K204" i="89"/>
  <c r="J204" i="89"/>
  <c r="I204" i="89"/>
  <c r="H204" i="89"/>
  <c r="G204" i="89"/>
  <c r="F204" i="89"/>
  <c r="E204" i="89"/>
  <c r="D204" i="89"/>
  <c r="C204" i="89"/>
  <c r="B204" i="89"/>
  <c r="A203" i="89"/>
  <c r="K203" i="89"/>
  <c r="J203" i="89"/>
  <c r="I203" i="89"/>
  <c r="H203" i="89"/>
  <c r="G203" i="89"/>
  <c r="F203" i="89"/>
  <c r="E203" i="89"/>
  <c r="D203" i="89"/>
  <c r="C203" i="89"/>
  <c r="B203" i="89"/>
  <c r="A202" i="89"/>
  <c r="K202" i="89"/>
  <c r="J202" i="89"/>
  <c r="I202" i="89"/>
  <c r="H202" i="89"/>
  <c r="G202" i="89"/>
  <c r="F202" i="89"/>
  <c r="E202" i="89"/>
  <c r="D202" i="89"/>
  <c r="C202" i="89"/>
  <c r="B202" i="89"/>
  <c r="A201" i="89"/>
  <c r="K201" i="89"/>
  <c r="J201" i="89"/>
  <c r="I201" i="89"/>
  <c r="H201" i="89"/>
  <c r="G201" i="89"/>
  <c r="F201" i="89"/>
  <c r="E201" i="89"/>
  <c r="D201" i="89"/>
  <c r="C201" i="89"/>
  <c r="B201" i="89"/>
  <c r="A200" i="89"/>
  <c r="K200" i="89"/>
  <c r="J200" i="89"/>
  <c r="I200" i="89"/>
  <c r="H200" i="89"/>
  <c r="G200" i="89"/>
  <c r="F200" i="89"/>
  <c r="E200" i="89"/>
  <c r="D200" i="89"/>
  <c r="C200" i="89"/>
  <c r="B200" i="89"/>
  <c r="A199" i="89"/>
  <c r="K199" i="89"/>
  <c r="J199" i="89"/>
  <c r="I199" i="89"/>
  <c r="H199" i="89"/>
  <c r="G199" i="89"/>
  <c r="F199" i="89"/>
  <c r="E199" i="89"/>
  <c r="D199" i="89"/>
  <c r="C199" i="89"/>
  <c r="B199" i="89"/>
  <c r="A198" i="89"/>
  <c r="K198" i="89"/>
  <c r="J198" i="89"/>
  <c r="I198" i="89"/>
  <c r="H198" i="89"/>
  <c r="G198" i="89"/>
  <c r="F198" i="89"/>
  <c r="E198" i="89"/>
  <c r="D198" i="89"/>
  <c r="C198" i="89"/>
  <c r="B198" i="89"/>
  <c r="A197" i="89"/>
  <c r="K197" i="89"/>
  <c r="J197" i="89"/>
  <c r="I197" i="89"/>
  <c r="H197" i="89"/>
  <c r="G197" i="89"/>
  <c r="F197" i="89"/>
  <c r="E197" i="89"/>
  <c r="D197" i="89"/>
  <c r="C197" i="89"/>
  <c r="B197" i="89"/>
  <c r="A196" i="89"/>
  <c r="K196" i="89"/>
  <c r="J196" i="89"/>
  <c r="I196" i="89"/>
  <c r="H196" i="89"/>
  <c r="G196" i="89"/>
  <c r="F196" i="89"/>
  <c r="E196" i="89"/>
  <c r="D196" i="89"/>
  <c r="C196" i="89"/>
  <c r="B196" i="89"/>
  <c r="A195" i="89"/>
  <c r="K195" i="89"/>
  <c r="J195" i="89"/>
  <c r="I195" i="89"/>
  <c r="H195" i="89"/>
  <c r="G195" i="89"/>
  <c r="F195" i="89"/>
  <c r="E195" i="89"/>
  <c r="D195" i="89"/>
  <c r="C195" i="89"/>
  <c r="B195" i="89"/>
  <c r="A194" i="89"/>
  <c r="K194" i="89"/>
  <c r="J194" i="89"/>
  <c r="I194" i="89"/>
  <c r="H194" i="89"/>
  <c r="G194" i="89"/>
  <c r="F194" i="89"/>
  <c r="E194" i="89"/>
  <c r="D194" i="89"/>
  <c r="C194" i="89"/>
  <c r="B194" i="89"/>
  <c r="A193" i="89"/>
  <c r="K193" i="89"/>
  <c r="J193" i="89"/>
  <c r="I193" i="89"/>
  <c r="H193" i="89"/>
  <c r="G193" i="89"/>
  <c r="F193" i="89"/>
  <c r="E193" i="89"/>
  <c r="D193" i="89"/>
  <c r="C193" i="89"/>
  <c r="B193" i="89"/>
  <c r="A192" i="89"/>
  <c r="K192" i="89"/>
  <c r="J192" i="89"/>
  <c r="I192" i="89"/>
  <c r="H192" i="89"/>
  <c r="G192" i="89"/>
  <c r="F192" i="89"/>
  <c r="E192" i="89"/>
  <c r="D192" i="89"/>
  <c r="C192" i="89"/>
  <c r="B192" i="89"/>
  <c r="A191" i="89"/>
  <c r="K191" i="89"/>
  <c r="J191" i="89"/>
  <c r="I191" i="89"/>
  <c r="H191" i="89"/>
  <c r="G191" i="89"/>
  <c r="F191" i="89"/>
  <c r="E191" i="89"/>
  <c r="D191" i="89"/>
  <c r="C191" i="89"/>
  <c r="B191" i="89"/>
  <c r="A190" i="89"/>
  <c r="K190" i="89"/>
  <c r="J190" i="89"/>
  <c r="I190" i="89"/>
  <c r="H190" i="89"/>
  <c r="G190" i="89"/>
  <c r="F190" i="89"/>
  <c r="E190" i="89"/>
  <c r="D190" i="89"/>
  <c r="C190" i="89"/>
  <c r="B190" i="89"/>
  <c r="A189" i="89"/>
  <c r="K189" i="89"/>
  <c r="J189" i="89"/>
  <c r="I189" i="89"/>
  <c r="H189" i="89"/>
  <c r="G189" i="89"/>
  <c r="F189" i="89"/>
  <c r="E189" i="89"/>
  <c r="D189" i="89"/>
  <c r="C189" i="89"/>
  <c r="B189" i="89"/>
  <c r="A188" i="89"/>
  <c r="K188" i="89"/>
  <c r="J188" i="89"/>
  <c r="I188" i="89"/>
  <c r="H188" i="89"/>
  <c r="G188" i="89"/>
  <c r="F188" i="89"/>
  <c r="E188" i="89"/>
  <c r="D188" i="89"/>
  <c r="C188" i="89"/>
  <c r="B188" i="89"/>
  <c r="A187" i="89"/>
  <c r="K187" i="89"/>
  <c r="J187" i="89"/>
  <c r="I187" i="89"/>
  <c r="H187" i="89"/>
  <c r="G187" i="89"/>
  <c r="F187" i="89"/>
  <c r="E187" i="89"/>
  <c r="D187" i="89"/>
  <c r="C187" i="89"/>
  <c r="B187" i="89"/>
  <c r="A186" i="89"/>
  <c r="K186" i="89"/>
  <c r="J186" i="89"/>
  <c r="I186" i="89"/>
  <c r="H186" i="89"/>
  <c r="G186" i="89"/>
  <c r="F186" i="89"/>
  <c r="E186" i="89"/>
  <c r="D186" i="89"/>
  <c r="C186" i="89"/>
  <c r="B186" i="89"/>
  <c r="A185" i="89"/>
  <c r="K185" i="89"/>
  <c r="J185" i="89"/>
  <c r="I185" i="89"/>
  <c r="H185" i="89"/>
  <c r="G185" i="89"/>
  <c r="F185" i="89"/>
  <c r="E185" i="89"/>
  <c r="D185" i="89"/>
  <c r="C185" i="89"/>
  <c r="B185" i="89"/>
  <c r="A184" i="89"/>
  <c r="K184" i="89"/>
  <c r="J184" i="89"/>
  <c r="I184" i="89"/>
  <c r="H184" i="89"/>
  <c r="G184" i="89"/>
  <c r="F184" i="89"/>
  <c r="E184" i="89"/>
  <c r="D184" i="89"/>
  <c r="C184" i="89"/>
  <c r="B184" i="89"/>
  <c r="A183" i="89"/>
  <c r="K183" i="89"/>
  <c r="J183" i="89"/>
  <c r="I183" i="89"/>
  <c r="H183" i="89"/>
  <c r="G183" i="89"/>
  <c r="F183" i="89"/>
  <c r="E183" i="89"/>
  <c r="D183" i="89"/>
  <c r="C183" i="89"/>
  <c r="B183" i="89"/>
  <c r="A182" i="89"/>
  <c r="K182" i="89"/>
  <c r="J182" i="89"/>
  <c r="I182" i="89"/>
  <c r="H182" i="89"/>
  <c r="G182" i="89"/>
  <c r="F182" i="89"/>
  <c r="E182" i="89"/>
  <c r="D182" i="89"/>
  <c r="C182" i="89"/>
  <c r="B182" i="89"/>
  <c r="A181" i="89"/>
  <c r="K181" i="89"/>
  <c r="J181" i="89"/>
  <c r="I181" i="89"/>
  <c r="H181" i="89"/>
  <c r="G181" i="89"/>
  <c r="F181" i="89"/>
  <c r="E181" i="89"/>
  <c r="D181" i="89"/>
  <c r="C181" i="89"/>
  <c r="B181" i="89"/>
  <c r="A180" i="89"/>
  <c r="K180" i="89"/>
  <c r="J180" i="89"/>
  <c r="I180" i="89"/>
  <c r="H180" i="89"/>
  <c r="G180" i="89"/>
  <c r="F180" i="89"/>
  <c r="E180" i="89"/>
  <c r="D180" i="89"/>
  <c r="C180" i="89"/>
  <c r="B180" i="89"/>
  <c r="A179" i="89"/>
  <c r="K179" i="89"/>
  <c r="J179" i="89"/>
  <c r="I179" i="89"/>
  <c r="H179" i="89"/>
  <c r="G179" i="89"/>
  <c r="F179" i="89"/>
  <c r="E179" i="89"/>
  <c r="D179" i="89"/>
  <c r="C179" i="89"/>
  <c r="B179" i="89"/>
  <c r="A178" i="89"/>
  <c r="K178" i="89"/>
  <c r="J178" i="89"/>
  <c r="I178" i="89"/>
  <c r="H178" i="89"/>
  <c r="G178" i="89"/>
  <c r="F178" i="89"/>
  <c r="E178" i="89"/>
  <c r="D178" i="89"/>
  <c r="C178" i="89"/>
  <c r="B178" i="89"/>
  <c r="A177" i="89"/>
  <c r="K177" i="89"/>
  <c r="J177" i="89"/>
  <c r="I177" i="89"/>
  <c r="H177" i="89"/>
  <c r="G177" i="89"/>
  <c r="F177" i="89"/>
  <c r="E177" i="89"/>
  <c r="D177" i="89"/>
  <c r="C177" i="89"/>
  <c r="B177" i="89"/>
  <c r="A176" i="89"/>
  <c r="K176" i="89"/>
  <c r="J176" i="89"/>
  <c r="I176" i="89"/>
  <c r="H176" i="89"/>
  <c r="G176" i="89"/>
  <c r="F176" i="89"/>
  <c r="E176" i="89"/>
  <c r="D176" i="89"/>
  <c r="C176" i="89"/>
  <c r="B176" i="89"/>
  <c r="A175" i="89"/>
  <c r="K175" i="89"/>
  <c r="J175" i="89"/>
  <c r="I175" i="89"/>
  <c r="H175" i="89"/>
  <c r="G175" i="89"/>
  <c r="F175" i="89"/>
  <c r="E175" i="89"/>
  <c r="D175" i="89"/>
  <c r="C175" i="89"/>
  <c r="B175" i="89"/>
  <c r="A174" i="89"/>
  <c r="K174" i="89"/>
  <c r="J174" i="89"/>
  <c r="I174" i="89"/>
  <c r="H174" i="89"/>
  <c r="G174" i="89"/>
  <c r="F174" i="89"/>
  <c r="E174" i="89"/>
  <c r="D174" i="89"/>
  <c r="C174" i="89"/>
  <c r="B174" i="89"/>
  <c r="A173" i="89"/>
  <c r="K173" i="89"/>
  <c r="J173" i="89"/>
  <c r="I173" i="89"/>
  <c r="H173" i="89"/>
  <c r="G173" i="89"/>
  <c r="F173" i="89"/>
  <c r="E173" i="89"/>
  <c r="D173" i="89"/>
  <c r="C173" i="89"/>
  <c r="B173" i="89"/>
  <c r="A172" i="89"/>
  <c r="K172" i="89"/>
  <c r="J172" i="89"/>
  <c r="I172" i="89"/>
  <c r="H172" i="89"/>
  <c r="G172" i="89"/>
  <c r="F172" i="89"/>
  <c r="E172" i="89"/>
  <c r="D172" i="89"/>
  <c r="C172" i="89"/>
  <c r="B172" i="89"/>
  <c r="A171" i="89"/>
  <c r="K171" i="89"/>
  <c r="J171" i="89"/>
  <c r="I171" i="89"/>
  <c r="H171" i="89"/>
  <c r="G171" i="89"/>
  <c r="F171" i="89"/>
  <c r="E171" i="89"/>
  <c r="D171" i="89"/>
  <c r="C171" i="89"/>
  <c r="B171" i="89"/>
  <c r="A170" i="89"/>
  <c r="K170" i="89"/>
  <c r="J170" i="89"/>
  <c r="I170" i="89"/>
  <c r="H170" i="89"/>
  <c r="G170" i="89"/>
  <c r="F170" i="89"/>
  <c r="E170" i="89"/>
  <c r="D170" i="89"/>
  <c r="C170" i="89"/>
  <c r="B170" i="89"/>
  <c r="A169" i="89"/>
  <c r="K169" i="89"/>
  <c r="J169" i="89"/>
  <c r="I169" i="89"/>
  <c r="H169" i="89"/>
  <c r="G169" i="89"/>
  <c r="F169" i="89"/>
  <c r="E169" i="89"/>
  <c r="D169" i="89"/>
  <c r="C169" i="89"/>
  <c r="B169" i="89"/>
  <c r="A168" i="89"/>
  <c r="K168" i="89"/>
  <c r="J168" i="89"/>
  <c r="I168" i="89"/>
  <c r="H168" i="89"/>
  <c r="G168" i="89"/>
  <c r="F168" i="89"/>
  <c r="E168" i="89"/>
  <c r="D168" i="89"/>
  <c r="C168" i="89"/>
  <c r="B168" i="89"/>
  <c r="A167" i="89"/>
  <c r="K167" i="89"/>
  <c r="J167" i="89"/>
  <c r="I167" i="89"/>
  <c r="H167" i="89"/>
  <c r="G167" i="89"/>
  <c r="F167" i="89"/>
  <c r="E167" i="89"/>
  <c r="D167" i="89"/>
  <c r="C167" i="89"/>
  <c r="B167" i="89"/>
  <c r="A166" i="89"/>
  <c r="K166" i="89"/>
  <c r="J166" i="89"/>
  <c r="I166" i="89"/>
  <c r="H166" i="89"/>
  <c r="G166" i="89"/>
  <c r="F166" i="89"/>
  <c r="E166" i="89"/>
  <c r="D166" i="89"/>
  <c r="C166" i="89"/>
  <c r="B166" i="89"/>
  <c r="A165" i="89"/>
  <c r="K165" i="89"/>
  <c r="J165" i="89"/>
  <c r="I165" i="89"/>
  <c r="H165" i="89"/>
  <c r="G165" i="89"/>
  <c r="F165" i="89"/>
  <c r="E165" i="89"/>
  <c r="D165" i="89"/>
  <c r="C165" i="89"/>
  <c r="B165" i="89"/>
  <c r="A164" i="89"/>
  <c r="K164" i="89"/>
  <c r="J164" i="89"/>
  <c r="I164" i="89"/>
  <c r="H164" i="89"/>
  <c r="G164" i="89"/>
  <c r="F164" i="89"/>
  <c r="E164" i="89"/>
  <c r="D164" i="89"/>
  <c r="C164" i="89"/>
  <c r="B164" i="89"/>
  <c r="A163" i="89"/>
  <c r="K163" i="89"/>
  <c r="J163" i="89"/>
  <c r="I163" i="89"/>
  <c r="H163" i="89"/>
  <c r="G163" i="89"/>
  <c r="F163" i="89"/>
  <c r="E163" i="89"/>
  <c r="D163" i="89"/>
  <c r="C163" i="89"/>
  <c r="B163" i="89"/>
  <c r="A162" i="89"/>
  <c r="K162" i="89"/>
  <c r="J162" i="89"/>
  <c r="I162" i="89"/>
  <c r="H162" i="89"/>
  <c r="G162" i="89"/>
  <c r="F162" i="89"/>
  <c r="E162" i="89"/>
  <c r="D162" i="89"/>
  <c r="C162" i="89"/>
  <c r="B162" i="89"/>
  <c r="A161" i="89"/>
  <c r="K161" i="89"/>
  <c r="J161" i="89"/>
  <c r="I161" i="89"/>
  <c r="H161" i="89"/>
  <c r="G161" i="89"/>
  <c r="F161" i="89"/>
  <c r="E161" i="89"/>
  <c r="D161" i="89"/>
  <c r="C161" i="89"/>
  <c r="B161" i="89"/>
  <c r="A160" i="89"/>
  <c r="K160" i="89"/>
  <c r="J160" i="89"/>
  <c r="I160" i="89"/>
  <c r="H160" i="89"/>
  <c r="G160" i="89"/>
  <c r="F160" i="89"/>
  <c r="E160" i="89"/>
  <c r="D160" i="89"/>
  <c r="C160" i="89"/>
  <c r="B160" i="89"/>
  <c r="A159" i="89"/>
  <c r="K159" i="89"/>
  <c r="J159" i="89"/>
  <c r="I159" i="89"/>
  <c r="H159" i="89"/>
  <c r="G159" i="89"/>
  <c r="F159" i="89"/>
  <c r="E159" i="89"/>
  <c r="D159" i="89"/>
  <c r="C159" i="89"/>
  <c r="B159" i="89"/>
  <c r="A158" i="89"/>
  <c r="K158" i="89"/>
  <c r="J158" i="89"/>
  <c r="I158" i="89"/>
  <c r="H158" i="89"/>
  <c r="G158" i="89"/>
  <c r="F158" i="89"/>
  <c r="E158" i="89"/>
  <c r="D158" i="89"/>
  <c r="C158" i="89"/>
  <c r="B158" i="89"/>
  <c r="A157" i="89"/>
  <c r="K157" i="89"/>
  <c r="J157" i="89"/>
  <c r="I157" i="89"/>
  <c r="H157" i="89"/>
  <c r="G157" i="89"/>
  <c r="F157" i="89"/>
  <c r="E157" i="89"/>
  <c r="D157" i="89"/>
  <c r="C157" i="89"/>
  <c r="B157" i="89"/>
  <c r="A156" i="89"/>
  <c r="K156" i="89"/>
  <c r="J156" i="89"/>
  <c r="I156" i="89"/>
  <c r="H156" i="89"/>
  <c r="G156" i="89"/>
  <c r="F156" i="89"/>
  <c r="E156" i="89"/>
  <c r="D156" i="89"/>
  <c r="C156" i="89"/>
  <c r="B156" i="89"/>
  <c r="A155" i="89"/>
  <c r="K155" i="89"/>
  <c r="J155" i="89"/>
  <c r="I155" i="89"/>
  <c r="H155" i="89"/>
  <c r="G155" i="89"/>
  <c r="F155" i="89"/>
  <c r="E155" i="89"/>
  <c r="D155" i="89"/>
  <c r="C155" i="89"/>
  <c r="B155" i="89"/>
  <c r="A154" i="89"/>
  <c r="K154" i="89"/>
  <c r="J154" i="89"/>
  <c r="I154" i="89"/>
  <c r="H154" i="89"/>
  <c r="G154" i="89"/>
  <c r="F154" i="89"/>
  <c r="E154" i="89"/>
  <c r="D154" i="89"/>
  <c r="C154" i="89"/>
  <c r="B154" i="89"/>
  <c r="A153" i="89"/>
  <c r="K153" i="89"/>
  <c r="J153" i="89"/>
  <c r="I153" i="89"/>
  <c r="H153" i="89"/>
  <c r="G153" i="89"/>
  <c r="F153" i="89"/>
  <c r="E153" i="89"/>
  <c r="D153" i="89"/>
  <c r="C153" i="89"/>
  <c r="B153" i="89"/>
  <c r="A152" i="89"/>
  <c r="K152" i="89"/>
  <c r="J152" i="89"/>
  <c r="I152" i="89"/>
  <c r="H152" i="89"/>
  <c r="G152" i="89"/>
  <c r="F152" i="89"/>
  <c r="E152" i="89"/>
  <c r="D152" i="89"/>
  <c r="C152" i="89"/>
  <c r="B152" i="89"/>
  <c r="A151" i="89"/>
  <c r="K151" i="89"/>
  <c r="J151" i="89"/>
  <c r="I151" i="89"/>
  <c r="H151" i="89"/>
  <c r="G151" i="89"/>
  <c r="F151" i="89"/>
  <c r="E151" i="89"/>
  <c r="D151" i="89"/>
  <c r="C151" i="89"/>
  <c r="B151" i="89"/>
  <c r="A150" i="89"/>
  <c r="K150" i="89"/>
  <c r="J150" i="89"/>
  <c r="I150" i="89"/>
  <c r="H150" i="89"/>
  <c r="G150" i="89"/>
  <c r="F150" i="89"/>
  <c r="E150" i="89"/>
  <c r="D150" i="89"/>
  <c r="C150" i="89"/>
  <c r="B150" i="89"/>
  <c r="A149" i="89"/>
  <c r="K149" i="89"/>
  <c r="J149" i="89"/>
  <c r="I149" i="89"/>
  <c r="H149" i="89"/>
  <c r="G149" i="89"/>
  <c r="F149" i="89"/>
  <c r="E149" i="89"/>
  <c r="D149" i="89"/>
  <c r="C149" i="89"/>
  <c r="B149" i="89"/>
  <c r="A148" i="89"/>
  <c r="K148" i="89"/>
  <c r="J148" i="89"/>
  <c r="I148" i="89"/>
  <c r="H148" i="89"/>
  <c r="G148" i="89"/>
  <c r="F148" i="89"/>
  <c r="E148" i="89"/>
  <c r="D148" i="89"/>
  <c r="C148" i="89"/>
  <c r="B148" i="89"/>
  <c r="A147" i="89"/>
  <c r="K147" i="89"/>
  <c r="J147" i="89"/>
  <c r="I147" i="89"/>
  <c r="H147" i="89"/>
  <c r="G147" i="89"/>
  <c r="F147" i="89"/>
  <c r="E147" i="89"/>
  <c r="D147" i="89"/>
  <c r="C147" i="89"/>
  <c r="B147" i="89"/>
  <c r="A146" i="89"/>
  <c r="K146" i="89"/>
  <c r="J146" i="89"/>
  <c r="I146" i="89"/>
  <c r="H146" i="89"/>
  <c r="G146" i="89"/>
  <c r="F146" i="89"/>
  <c r="E146" i="89"/>
  <c r="D146" i="89"/>
  <c r="C146" i="89"/>
  <c r="B146" i="89"/>
  <c r="A145" i="89"/>
  <c r="K145" i="89"/>
  <c r="J145" i="89"/>
  <c r="I145" i="89"/>
  <c r="H145" i="89"/>
  <c r="G145" i="89"/>
  <c r="F145" i="89"/>
  <c r="E145" i="89"/>
  <c r="D145" i="89"/>
  <c r="C145" i="89"/>
  <c r="B145" i="89"/>
  <c r="A144" i="89"/>
  <c r="K144" i="89"/>
  <c r="J144" i="89"/>
  <c r="I144" i="89"/>
  <c r="H144" i="89"/>
  <c r="G144" i="89"/>
  <c r="F144" i="89"/>
  <c r="E144" i="89"/>
  <c r="D144" i="89"/>
  <c r="C144" i="89"/>
  <c r="B144" i="89"/>
  <c r="A143" i="89"/>
  <c r="K143" i="89"/>
  <c r="J143" i="89"/>
  <c r="I143" i="89"/>
  <c r="H143" i="89"/>
  <c r="G143" i="89"/>
  <c r="F143" i="89"/>
  <c r="E143" i="89"/>
  <c r="D143" i="89"/>
  <c r="C143" i="89"/>
  <c r="B143" i="89"/>
  <c r="A142" i="89"/>
  <c r="K142" i="89"/>
  <c r="J142" i="89"/>
  <c r="I142" i="89"/>
  <c r="H142" i="89"/>
  <c r="G142" i="89"/>
  <c r="F142" i="89"/>
  <c r="E142" i="89"/>
  <c r="D142" i="89"/>
  <c r="C142" i="89"/>
  <c r="B142" i="89"/>
  <c r="A141" i="89"/>
  <c r="K141" i="89"/>
  <c r="J141" i="89"/>
  <c r="I141" i="89"/>
  <c r="H141" i="89"/>
  <c r="G141" i="89"/>
  <c r="F141" i="89"/>
  <c r="E141" i="89"/>
  <c r="D141" i="89"/>
  <c r="C141" i="89"/>
  <c r="B141" i="89"/>
  <c r="A140" i="89"/>
  <c r="K140" i="89"/>
  <c r="J140" i="89"/>
  <c r="I140" i="89"/>
  <c r="H140" i="89"/>
  <c r="G140" i="89"/>
  <c r="F140" i="89"/>
  <c r="E140" i="89"/>
  <c r="D140" i="89"/>
  <c r="C140" i="89"/>
  <c r="B140" i="89"/>
  <c r="A139" i="89"/>
  <c r="K139" i="89"/>
  <c r="J139" i="89"/>
  <c r="I139" i="89"/>
  <c r="H139" i="89"/>
  <c r="G139" i="89"/>
  <c r="F139" i="89"/>
  <c r="E139" i="89"/>
  <c r="D139" i="89"/>
  <c r="C139" i="89"/>
  <c r="B139" i="89"/>
  <c r="A138" i="89"/>
  <c r="K138" i="89"/>
  <c r="J138" i="89"/>
  <c r="I138" i="89"/>
  <c r="H138" i="89"/>
  <c r="G138" i="89"/>
  <c r="F138" i="89"/>
  <c r="E138" i="89"/>
  <c r="D138" i="89"/>
  <c r="C138" i="89"/>
  <c r="B138" i="89"/>
  <c r="A137" i="89"/>
  <c r="K137" i="89"/>
  <c r="J137" i="89"/>
  <c r="I137" i="89"/>
  <c r="H137" i="89"/>
  <c r="G137" i="89"/>
  <c r="F137" i="89"/>
  <c r="E137" i="89"/>
  <c r="D137" i="89"/>
  <c r="C137" i="89"/>
  <c r="B137" i="89"/>
  <c r="A136" i="89"/>
  <c r="K136" i="89"/>
  <c r="J136" i="89"/>
  <c r="I136" i="89"/>
  <c r="H136" i="89"/>
  <c r="G136" i="89"/>
  <c r="F136" i="89"/>
  <c r="E136" i="89"/>
  <c r="D136" i="89"/>
  <c r="C136" i="89"/>
  <c r="B136" i="89"/>
  <c r="A135" i="89"/>
  <c r="K135" i="89"/>
  <c r="J135" i="89"/>
  <c r="I135" i="89"/>
  <c r="H135" i="89"/>
  <c r="G135" i="89"/>
  <c r="F135" i="89"/>
  <c r="E135" i="89"/>
  <c r="D135" i="89"/>
  <c r="C135" i="89"/>
  <c r="B135" i="89"/>
  <c r="A134" i="89"/>
  <c r="K134" i="89"/>
  <c r="J134" i="89"/>
  <c r="I134" i="89"/>
  <c r="H134" i="89"/>
  <c r="G134" i="89"/>
  <c r="F134" i="89"/>
  <c r="E134" i="89"/>
  <c r="D134" i="89"/>
  <c r="C134" i="89"/>
  <c r="B134" i="89"/>
  <c r="A133" i="89"/>
  <c r="K133" i="89"/>
  <c r="J133" i="89"/>
  <c r="I133" i="89"/>
  <c r="H133" i="89"/>
  <c r="G133" i="89"/>
  <c r="F133" i="89"/>
  <c r="E133" i="89"/>
  <c r="D133" i="89"/>
  <c r="C133" i="89"/>
  <c r="B133" i="89"/>
  <c r="A132" i="89"/>
  <c r="K132" i="89"/>
  <c r="J132" i="89"/>
  <c r="I132" i="89"/>
  <c r="H132" i="89"/>
  <c r="G132" i="89"/>
  <c r="F132" i="89"/>
  <c r="E132" i="89"/>
  <c r="D132" i="89"/>
  <c r="C132" i="89"/>
  <c r="B132" i="89"/>
  <c r="A131" i="89"/>
  <c r="K131" i="89"/>
  <c r="J131" i="89"/>
  <c r="I131" i="89"/>
  <c r="H131" i="89"/>
  <c r="G131" i="89"/>
  <c r="F131" i="89"/>
  <c r="E131" i="89"/>
  <c r="D131" i="89"/>
  <c r="C131" i="89"/>
  <c r="B131" i="89"/>
  <c r="A130" i="89"/>
  <c r="K130" i="89"/>
  <c r="J130" i="89"/>
  <c r="I130" i="89"/>
  <c r="H130" i="89"/>
  <c r="G130" i="89"/>
  <c r="F130" i="89"/>
  <c r="E130" i="89"/>
  <c r="D130" i="89"/>
  <c r="C130" i="89"/>
  <c r="B130" i="89"/>
  <c r="A129" i="89"/>
  <c r="K129" i="89"/>
  <c r="J129" i="89"/>
  <c r="I129" i="89"/>
  <c r="H129" i="89"/>
  <c r="G129" i="89"/>
  <c r="F129" i="89"/>
  <c r="E129" i="89"/>
  <c r="D129" i="89"/>
  <c r="C129" i="89"/>
  <c r="B129" i="89"/>
  <c r="A128" i="89"/>
  <c r="K128" i="89"/>
  <c r="J128" i="89"/>
  <c r="I128" i="89"/>
  <c r="H128" i="89"/>
  <c r="G128" i="89"/>
  <c r="F128" i="89"/>
  <c r="E128" i="89"/>
  <c r="D128" i="89"/>
  <c r="C128" i="89"/>
  <c r="B128" i="89"/>
  <c r="A127" i="89"/>
  <c r="K127" i="89"/>
  <c r="J127" i="89"/>
  <c r="I127" i="89"/>
  <c r="H127" i="89"/>
  <c r="G127" i="89"/>
  <c r="F127" i="89"/>
  <c r="E127" i="89"/>
  <c r="D127" i="89"/>
  <c r="C127" i="89"/>
  <c r="B127" i="89"/>
  <c r="A126" i="89"/>
  <c r="K126" i="89"/>
  <c r="J126" i="89"/>
  <c r="I126" i="89"/>
  <c r="H126" i="89"/>
  <c r="G126" i="89"/>
  <c r="F126" i="89"/>
  <c r="E126" i="89"/>
  <c r="D126" i="89"/>
  <c r="C126" i="89"/>
  <c r="B126" i="89"/>
  <c r="A125" i="89"/>
  <c r="K125" i="89"/>
  <c r="J125" i="89"/>
  <c r="I125" i="89"/>
  <c r="H125" i="89"/>
  <c r="G125" i="89"/>
  <c r="F125" i="89"/>
  <c r="E125" i="89"/>
  <c r="D125" i="89"/>
  <c r="C125" i="89"/>
  <c r="B125" i="89"/>
  <c r="A124" i="89"/>
  <c r="K124" i="89"/>
  <c r="J124" i="89"/>
  <c r="I124" i="89"/>
  <c r="H124" i="89"/>
  <c r="G124" i="89"/>
  <c r="F124" i="89"/>
  <c r="E124" i="89"/>
  <c r="D124" i="89"/>
  <c r="C124" i="89"/>
  <c r="B124" i="89"/>
  <c r="A123" i="89"/>
  <c r="K123" i="89"/>
  <c r="J123" i="89"/>
  <c r="I123" i="89"/>
  <c r="H123" i="89"/>
  <c r="G123" i="89"/>
  <c r="F123" i="89"/>
  <c r="E123" i="89"/>
  <c r="D123" i="89"/>
  <c r="C123" i="89"/>
  <c r="B123" i="89"/>
  <c r="A122" i="89"/>
  <c r="K122" i="89"/>
  <c r="J122" i="89"/>
  <c r="I122" i="89"/>
  <c r="H122" i="89"/>
  <c r="G122" i="89"/>
  <c r="F122" i="89"/>
  <c r="E122" i="89"/>
  <c r="D122" i="89"/>
  <c r="C122" i="89"/>
  <c r="B122" i="89"/>
  <c r="A121" i="89"/>
  <c r="K121" i="89"/>
  <c r="J121" i="89"/>
  <c r="I121" i="89"/>
  <c r="H121" i="89"/>
  <c r="G121" i="89"/>
  <c r="F121" i="89"/>
  <c r="E121" i="89"/>
  <c r="D121" i="89"/>
  <c r="C121" i="89"/>
  <c r="B121" i="89"/>
  <c r="A120" i="89"/>
  <c r="K120" i="89"/>
  <c r="J120" i="89"/>
  <c r="I120" i="89"/>
  <c r="H120" i="89"/>
  <c r="G120" i="89"/>
  <c r="F120" i="89"/>
  <c r="E120" i="89"/>
  <c r="D120" i="89"/>
  <c r="C120" i="89"/>
  <c r="B120" i="89"/>
  <c r="A119" i="89"/>
  <c r="K119" i="89"/>
  <c r="J119" i="89"/>
  <c r="I119" i="89"/>
  <c r="H119" i="89"/>
  <c r="G119" i="89"/>
  <c r="F119" i="89"/>
  <c r="E119" i="89"/>
  <c r="D119" i="89"/>
  <c r="C119" i="89"/>
  <c r="B119" i="89"/>
  <c r="A118" i="89"/>
  <c r="K118" i="89"/>
  <c r="J118" i="89"/>
  <c r="I118" i="89"/>
  <c r="H118" i="89"/>
  <c r="G118" i="89"/>
  <c r="F118" i="89"/>
  <c r="E118" i="89"/>
  <c r="D118" i="89"/>
  <c r="C118" i="89"/>
  <c r="B118" i="89"/>
  <c r="A117" i="89"/>
  <c r="K117" i="89"/>
  <c r="J117" i="89"/>
  <c r="I117" i="89"/>
  <c r="H117" i="89"/>
  <c r="G117" i="89"/>
  <c r="F117" i="89"/>
  <c r="E117" i="89"/>
  <c r="D117" i="89"/>
  <c r="C117" i="89"/>
  <c r="B117" i="89"/>
  <c r="A116" i="89"/>
  <c r="K116" i="89"/>
  <c r="J116" i="89"/>
  <c r="I116" i="89"/>
  <c r="H116" i="89"/>
  <c r="G116" i="89"/>
  <c r="F116" i="89"/>
  <c r="E116" i="89"/>
  <c r="D116" i="89"/>
  <c r="C116" i="89"/>
  <c r="B116" i="89"/>
  <c r="A115" i="89"/>
  <c r="K115" i="89"/>
  <c r="J115" i="89"/>
  <c r="I115" i="89"/>
  <c r="H115" i="89"/>
  <c r="G115" i="89"/>
  <c r="F115" i="89"/>
  <c r="E115" i="89"/>
  <c r="D115" i="89"/>
  <c r="C115" i="89"/>
  <c r="B115" i="89"/>
  <c r="A114" i="89"/>
  <c r="K114" i="89"/>
  <c r="J114" i="89"/>
  <c r="I114" i="89"/>
  <c r="H114" i="89"/>
  <c r="G114" i="89"/>
  <c r="F114" i="89"/>
  <c r="E114" i="89"/>
  <c r="D114" i="89"/>
  <c r="C114" i="89"/>
  <c r="B114" i="89"/>
  <c r="A113" i="89"/>
  <c r="K113" i="89"/>
  <c r="J113" i="89"/>
  <c r="I113" i="89"/>
  <c r="H113" i="89"/>
  <c r="G113" i="89"/>
  <c r="F113" i="89"/>
  <c r="E113" i="89"/>
  <c r="D113" i="89"/>
  <c r="C113" i="89"/>
  <c r="B113" i="89"/>
  <c r="A112" i="89"/>
  <c r="K112" i="89"/>
  <c r="J112" i="89"/>
  <c r="I112" i="89"/>
  <c r="H112" i="89"/>
  <c r="G112" i="89"/>
  <c r="F112" i="89"/>
  <c r="E112" i="89"/>
  <c r="D112" i="89"/>
  <c r="C112" i="89"/>
  <c r="B112" i="89"/>
  <c r="A111" i="89"/>
  <c r="K111" i="89"/>
  <c r="J111" i="89"/>
  <c r="I111" i="89"/>
  <c r="H111" i="89"/>
  <c r="G111" i="89"/>
  <c r="F111" i="89"/>
  <c r="E111" i="89"/>
  <c r="D111" i="89"/>
  <c r="C111" i="89"/>
  <c r="B111" i="89"/>
  <c r="A110" i="89"/>
  <c r="K110" i="89"/>
  <c r="J110" i="89"/>
  <c r="I110" i="89"/>
  <c r="H110" i="89"/>
  <c r="G110" i="89"/>
  <c r="F110" i="89"/>
  <c r="E110" i="89"/>
  <c r="D110" i="89"/>
  <c r="C110" i="89"/>
  <c r="B110" i="89"/>
  <c r="A109" i="89"/>
  <c r="K109" i="89"/>
  <c r="J109" i="89"/>
  <c r="I109" i="89"/>
  <c r="H109" i="89"/>
  <c r="G109" i="89"/>
  <c r="F109" i="89"/>
  <c r="E109" i="89"/>
  <c r="D109" i="89"/>
  <c r="C109" i="89"/>
  <c r="B109" i="89"/>
  <c r="A108" i="89"/>
  <c r="K108" i="89"/>
  <c r="J108" i="89"/>
  <c r="I108" i="89"/>
  <c r="H108" i="89"/>
  <c r="G108" i="89"/>
  <c r="F108" i="89"/>
  <c r="E108" i="89"/>
  <c r="D108" i="89"/>
  <c r="C108" i="89"/>
  <c r="B108" i="89"/>
  <c r="A107" i="89"/>
  <c r="K107" i="89"/>
  <c r="J107" i="89"/>
  <c r="I107" i="89"/>
  <c r="H107" i="89"/>
  <c r="G107" i="89"/>
  <c r="F107" i="89"/>
  <c r="E107" i="89"/>
  <c r="D107" i="89"/>
  <c r="C107" i="89"/>
  <c r="B107" i="89"/>
  <c r="A106" i="89"/>
  <c r="K106" i="89"/>
  <c r="J106" i="89"/>
  <c r="I106" i="89"/>
  <c r="H106" i="89"/>
  <c r="G106" i="89"/>
  <c r="F106" i="89"/>
  <c r="E106" i="89"/>
  <c r="D106" i="89"/>
  <c r="C106" i="89"/>
  <c r="B106" i="89"/>
  <c r="A105" i="89"/>
  <c r="K105" i="89"/>
  <c r="J105" i="89"/>
  <c r="I105" i="89"/>
  <c r="H105" i="89"/>
  <c r="G105" i="89"/>
  <c r="F105" i="89"/>
  <c r="E105" i="89"/>
  <c r="D105" i="89"/>
  <c r="C105" i="89"/>
  <c r="B105" i="89"/>
  <c r="A104" i="89"/>
  <c r="K104" i="89"/>
  <c r="J104" i="89"/>
  <c r="I104" i="89"/>
  <c r="H104" i="89"/>
  <c r="G104" i="89"/>
  <c r="F104" i="89"/>
  <c r="E104" i="89"/>
  <c r="D104" i="89"/>
  <c r="C104" i="89"/>
  <c r="B104" i="89"/>
  <c r="A103" i="89"/>
  <c r="K103" i="89"/>
  <c r="J103" i="89"/>
  <c r="I103" i="89"/>
  <c r="H103" i="89"/>
  <c r="G103" i="89"/>
  <c r="F103" i="89"/>
  <c r="E103" i="89"/>
  <c r="D103" i="89"/>
  <c r="C103" i="89"/>
  <c r="B103" i="89"/>
  <c r="A102" i="89"/>
  <c r="K102" i="89"/>
  <c r="J102" i="89"/>
  <c r="I102" i="89"/>
  <c r="H102" i="89"/>
  <c r="G102" i="89"/>
  <c r="F102" i="89"/>
  <c r="E102" i="89"/>
  <c r="D102" i="89"/>
  <c r="C102" i="89"/>
  <c r="B102" i="89"/>
  <c r="A101" i="89"/>
  <c r="K101" i="89"/>
  <c r="J101" i="89"/>
  <c r="I101" i="89"/>
  <c r="H101" i="89"/>
  <c r="G101" i="89"/>
  <c r="F101" i="89"/>
  <c r="E101" i="89"/>
  <c r="D101" i="89"/>
  <c r="C101" i="89"/>
  <c r="B101" i="89"/>
  <c r="A100" i="89"/>
  <c r="K100" i="89"/>
  <c r="J100" i="89"/>
  <c r="I100" i="89"/>
  <c r="H100" i="89"/>
  <c r="G100" i="89"/>
  <c r="F100" i="89"/>
  <c r="E100" i="89"/>
  <c r="D100" i="89"/>
  <c r="C100" i="89"/>
  <c r="B100" i="89"/>
  <c r="A99" i="89"/>
  <c r="K99" i="89"/>
  <c r="J99" i="89"/>
  <c r="I99" i="89"/>
  <c r="H99" i="89"/>
  <c r="G99" i="89"/>
  <c r="F99" i="89"/>
  <c r="E99" i="89"/>
  <c r="D99" i="89"/>
  <c r="C99" i="89"/>
  <c r="B99" i="89"/>
  <c r="A98" i="89"/>
  <c r="K98" i="89"/>
  <c r="J98" i="89"/>
  <c r="I98" i="89"/>
  <c r="H98" i="89"/>
  <c r="G98" i="89"/>
  <c r="F98" i="89"/>
  <c r="E98" i="89"/>
  <c r="D98" i="89"/>
  <c r="C98" i="89"/>
  <c r="B98" i="89"/>
  <c r="A97" i="89"/>
  <c r="K97" i="89"/>
  <c r="J97" i="89"/>
  <c r="I97" i="89"/>
  <c r="H97" i="89"/>
  <c r="G97" i="89"/>
  <c r="F97" i="89"/>
  <c r="E97" i="89"/>
  <c r="D97" i="89"/>
  <c r="C97" i="89"/>
  <c r="B97" i="89"/>
  <c r="A96" i="89"/>
  <c r="K96" i="89"/>
  <c r="J96" i="89"/>
  <c r="I96" i="89"/>
  <c r="H96" i="89"/>
  <c r="G96" i="89"/>
  <c r="F96" i="89"/>
  <c r="E96" i="89"/>
  <c r="D96" i="89"/>
  <c r="C96" i="89"/>
  <c r="B96" i="89"/>
  <c r="A95" i="89"/>
  <c r="K95" i="89"/>
  <c r="J95" i="89"/>
  <c r="I95" i="89"/>
  <c r="H95" i="89"/>
  <c r="G95" i="89"/>
  <c r="F95" i="89"/>
  <c r="E95" i="89"/>
  <c r="D95" i="89"/>
  <c r="C95" i="89"/>
  <c r="B95" i="89"/>
  <c r="A94" i="89"/>
  <c r="K94" i="89"/>
  <c r="J94" i="89"/>
  <c r="I94" i="89"/>
  <c r="H94" i="89"/>
  <c r="G94" i="89"/>
  <c r="F94" i="89"/>
  <c r="E94" i="89"/>
  <c r="D94" i="89"/>
  <c r="C94" i="89"/>
  <c r="B94" i="89"/>
  <c r="A93" i="89"/>
  <c r="K93" i="89"/>
  <c r="J93" i="89"/>
  <c r="I93" i="89"/>
  <c r="H93" i="89"/>
  <c r="G93" i="89"/>
  <c r="F93" i="89"/>
  <c r="E93" i="89"/>
  <c r="D93" i="89"/>
  <c r="C93" i="89"/>
  <c r="B93" i="89"/>
  <c r="A92" i="89"/>
  <c r="K92" i="89"/>
  <c r="J92" i="89"/>
  <c r="I92" i="89"/>
  <c r="H92" i="89"/>
  <c r="G92" i="89"/>
  <c r="F92" i="89"/>
  <c r="E92" i="89"/>
  <c r="D92" i="89"/>
  <c r="C92" i="89"/>
  <c r="B92" i="89"/>
  <c r="A91" i="89"/>
  <c r="K91" i="89"/>
  <c r="J91" i="89"/>
  <c r="I91" i="89"/>
  <c r="H91" i="89"/>
  <c r="G91" i="89"/>
  <c r="F91" i="89"/>
  <c r="E91" i="89"/>
  <c r="D91" i="89"/>
  <c r="C91" i="89"/>
  <c r="B91" i="89"/>
  <c r="A90" i="89"/>
  <c r="K90" i="89"/>
  <c r="J90" i="89"/>
  <c r="I90" i="89"/>
  <c r="H90" i="89"/>
  <c r="G90" i="89"/>
  <c r="F90" i="89"/>
  <c r="E90" i="89"/>
  <c r="D90" i="89"/>
  <c r="C90" i="89"/>
  <c r="B90" i="89"/>
  <c r="A89" i="89"/>
  <c r="K89" i="89"/>
  <c r="J89" i="89"/>
  <c r="I89" i="89"/>
  <c r="H89" i="89"/>
  <c r="G89" i="89"/>
  <c r="F89" i="89"/>
  <c r="E89" i="89"/>
  <c r="D89" i="89"/>
  <c r="C89" i="89"/>
  <c r="B89" i="89"/>
  <c r="A88" i="89"/>
  <c r="K88" i="89"/>
  <c r="J88" i="89"/>
  <c r="I88" i="89"/>
  <c r="H88" i="89"/>
  <c r="G88" i="89"/>
  <c r="F88" i="89"/>
  <c r="E88" i="89"/>
  <c r="D88" i="89"/>
  <c r="C88" i="89"/>
  <c r="B88" i="89"/>
  <c r="A87" i="89"/>
  <c r="K87" i="89"/>
  <c r="J87" i="89"/>
  <c r="I87" i="89"/>
  <c r="H87" i="89"/>
  <c r="G87" i="89"/>
  <c r="F87" i="89"/>
  <c r="E87" i="89"/>
  <c r="D87" i="89"/>
  <c r="C87" i="89"/>
  <c r="B87" i="89"/>
  <c r="A86" i="89"/>
  <c r="K86" i="89"/>
  <c r="J86" i="89"/>
  <c r="I86" i="89"/>
  <c r="H86" i="89"/>
  <c r="G86" i="89"/>
  <c r="F86" i="89"/>
  <c r="E86" i="89"/>
  <c r="D86" i="89"/>
  <c r="C86" i="89"/>
  <c r="B86" i="89"/>
  <c r="A85" i="89"/>
  <c r="K85" i="89"/>
  <c r="J85" i="89"/>
  <c r="I85" i="89"/>
  <c r="H85" i="89"/>
  <c r="G85" i="89"/>
  <c r="F85" i="89"/>
  <c r="E85" i="89"/>
  <c r="D85" i="89"/>
  <c r="C85" i="89"/>
  <c r="B85" i="89"/>
  <c r="A84" i="89"/>
  <c r="K84" i="89"/>
  <c r="J84" i="89"/>
  <c r="I84" i="89"/>
  <c r="H84" i="89"/>
  <c r="G84" i="89"/>
  <c r="F84" i="89"/>
  <c r="E84" i="89"/>
  <c r="D84" i="89"/>
  <c r="C84" i="89"/>
  <c r="B84" i="89"/>
  <c r="A83" i="89"/>
  <c r="K83" i="89"/>
  <c r="J83" i="89"/>
  <c r="I83" i="89"/>
  <c r="H83" i="89"/>
  <c r="G83" i="89"/>
  <c r="F83" i="89"/>
  <c r="E83" i="89"/>
  <c r="D83" i="89"/>
  <c r="C83" i="89"/>
  <c r="B83" i="89"/>
  <c r="A82" i="89"/>
  <c r="K82" i="89"/>
  <c r="J82" i="89"/>
  <c r="I82" i="89"/>
  <c r="H82" i="89"/>
  <c r="G82" i="89"/>
  <c r="F82" i="89"/>
  <c r="E82" i="89"/>
  <c r="D82" i="89"/>
  <c r="C82" i="89"/>
  <c r="B82" i="89"/>
  <c r="A81" i="89"/>
  <c r="K81" i="89"/>
  <c r="J81" i="89"/>
  <c r="I81" i="89"/>
  <c r="H81" i="89"/>
  <c r="G81" i="89"/>
  <c r="F81" i="89"/>
  <c r="E81" i="89"/>
  <c r="D81" i="89"/>
  <c r="C81" i="89"/>
  <c r="B81" i="89"/>
  <c r="A80" i="89"/>
  <c r="K80" i="89"/>
  <c r="J80" i="89"/>
  <c r="I80" i="89"/>
  <c r="H80" i="89"/>
  <c r="G80" i="89"/>
  <c r="F80" i="89"/>
  <c r="E80" i="89"/>
  <c r="D80" i="89"/>
  <c r="C80" i="89"/>
  <c r="B80" i="89"/>
  <c r="A79" i="89"/>
  <c r="K79" i="89"/>
  <c r="J79" i="89"/>
  <c r="I79" i="89"/>
  <c r="H79" i="89"/>
  <c r="G79" i="89"/>
  <c r="F79" i="89"/>
  <c r="E79" i="89"/>
  <c r="D79" i="89"/>
  <c r="C79" i="89"/>
  <c r="B79" i="89"/>
  <c r="A78" i="89"/>
  <c r="K78" i="89"/>
  <c r="J78" i="89"/>
  <c r="I78" i="89"/>
  <c r="H78" i="89"/>
  <c r="G78" i="89"/>
  <c r="F78" i="89"/>
  <c r="E78" i="89"/>
  <c r="D78" i="89"/>
  <c r="C78" i="89"/>
  <c r="B78" i="89"/>
  <c r="A77" i="89"/>
  <c r="K77" i="89"/>
  <c r="J77" i="89"/>
  <c r="I77" i="89"/>
  <c r="H77" i="89"/>
  <c r="G77" i="89"/>
  <c r="F77" i="89"/>
  <c r="E77" i="89"/>
  <c r="D77" i="89"/>
  <c r="C77" i="89"/>
  <c r="B77" i="89"/>
  <c r="A76" i="89"/>
  <c r="K76" i="89"/>
  <c r="J76" i="89"/>
  <c r="I76" i="89"/>
  <c r="H76" i="89"/>
  <c r="G76" i="89"/>
  <c r="F76" i="89"/>
  <c r="E76" i="89"/>
  <c r="D76" i="89"/>
  <c r="C76" i="89"/>
  <c r="B76" i="89"/>
  <c r="A75" i="89"/>
  <c r="K75" i="89"/>
  <c r="J75" i="89"/>
  <c r="I75" i="89"/>
  <c r="H75" i="89"/>
  <c r="G75" i="89"/>
  <c r="F75" i="89"/>
  <c r="E75" i="89"/>
  <c r="D75" i="89"/>
  <c r="C75" i="89"/>
  <c r="B75" i="89"/>
  <c r="A74" i="89"/>
  <c r="K74" i="89"/>
  <c r="J74" i="89"/>
  <c r="I74" i="89"/>
  <c r="H74" i="89"/>
  <c r="G74" i="89"/>
  <c r="F74" i="89"/>
  <c r="E74" i="89"/>
  <c r="D74" i="89"/>
  <c r="C74" i="89"/>
  <c r="B74" i="89"/>
  <c r="A73" i="89"/>
  <c r="K73" i="89"/>
  <c r="J73" i="89"/>
  <c r="I73" i="89"/>
  <c r="H73" i="89"/>
  <c r="G73" i="89"/>
  <c r="F73" i="89"/>
  <c r="E73" i="89"/>
  <c r="D73" i="89"/>
  <c r="C73" i="89"/>
  <c r="B73" i="89"/>
  <c r="A72" i="89"/>
  <c r="K72" i="89"/>
  <c r="J72" i="89"/>
  <c r="I72" i="89"/>
  <c r="H72" i="89"/>
  <c r="G72" i="89"/>
  <c r="F72" i="89"/>
  <c r="E72" i="89"/>
  <c r="D72" i="89"/>
  <c r="C72" i="89"/>
  <c r="B72" i="89"/>
  <c r="A71" i="89"/>
  <c r="K71" i="89"/>
  <c r="J71" i="89"/>
  <c r="I71" i="89"/>
  <c r="H71" i="89"/>
  <c r="G71" i="89"/>
  <c r="F71" i="89"/>
  <c r="E71" i="89"/>
  <c r="D71" i="89"/>
  <c r="C71" i="89"/>
  <c r="B71" i="89"/>
  <c r="A70" i="89"/>
  <c r="K70" i="89"/>
  <c r="J70" i="89"/>
  <c r="I70" i="89"/>
  <c r="H70" i="89"/>
  <c r="G70" i="89"/>
  <c r="F70" i="89"/>
  <c r="E70" i="89"/>
  <c r="D70" i="89"/>
  <c r="C70" i="89"/>
  <c r="B70" i="89"/>
  <c r="A69" i="89"/>
  <c r="K69" i="89"/>
  <c r="J69" i="89"/>
  <c r="I69" i="89"/>
  <c r="H69" i="89"/>
  <c r="G69" i="89"/>
  <c r="F69" i="89"/>
  <c r="E69" i="89"/>
  <c r="D69" i="89"/>
  <c r="C69" i="89"/>
  <c r="B69" i="89"/>
  <c r="A68" i="89"/>
  <c r="K68" i="89"/>
  <c r="J68" i="89"/>
  <c r="I68" i="89"/>
  <c r="H68" i="89"/>
  <c r="G68" i="89"/>
  <c r="F68" i="89"/>
  <c r="E68" i="89"/>
  <c r="D68" i="89"/>
  <c r="C68" i="89"/>
  <c r="B68" i="89"/>
  <c r="A67" i="89"/>
  <c r="K67" i="89"/>
  <c r="J67" i="89"/>
  <c r="I67" i="89"/>
  <c r="H67" i="89"/>
  <c r="G67" i="89"/>
  <c r="F67" i="89"/>
  <c r="E67" i="89"/>
  <c r="D67" i="89"/>
  <c r="C67" i="89"/>
  <c r="B67" i="89"/>
  <c r="A66" i="89"/>
  <c r="K66" i="89"/>
  <c r="J66" i="89"/>
  <c r="I66" i="89"/>
  <c r="H66" i="89"/>
  <c r="G66" i="89"/>
  <c r="F66" i="89"/>
  <c r="E66" i="89"/>
  <c r="D66" i="89"/>
  <c r="C66" i="89"/>
  <c r="B66" i="89"/>
  <c r="A65" i="89"/>
  <c r="K65" i="89"/>
  <c r="J65" i="89"/>
  <c r="I65" i="89"/>
  <c r="H65" i="89"/>
  <c r="G65" i="89"/>
  <c r="F65" i="89"/>
  <c r="E65" i="89"/>
  <c r="D65" i="89"/>
  <c r="C65" i="89"/>
  <c r="B65" i="89"/>
  <c r="A64" i="89"/>
  <c r="K64" i="89"/>
  <c r="J64" i="89"/>
  <c r="I64" i="89"/>
  <c r="H64" i="89"/>
  <c r="G64" i="89"/>
  <c r="F64" i="89"/>
  <c r="E64" i="89"/>
  <c r="D64" i="89"/>
  <c r="C64" i="89"/>
  <c r="B64" i="89"/>
  <c r="A63" i="89"/>
  <c r="K63" i="89"/>
  <c r="J63" i="89"/>
  <c r="I63" i="89"/>
  <c r="H63" i="89"/>
  <c r="G63" i="89"/>
  <c r="F63" i="89"/>
  <c r="E63" i="89"/>
  <c r="D63" i="89"/>
  <c r="C63" i="89"/>
  <c r="B63" i="89"/>
  <c r="A62" i="89"/>
  <c r="K62" i="89"/>
  <c r="J62" i="89"/>
  <c r="I62" i="89"/>
  <c r="H62" i="89"/>
  <c r="G62" i="89"/>
  <c r="F62" i="89"/>
  <c r="E62" i="89"/>
  <c r="D62" i="89"/>
  <c r="C62" i="89"/>
  <c r="B62" i="89"/>
  <c r="A61" i="89"/>
  <c r="K61" i="89"/>
  <c r="J61" i="89"/>
  <c r="I61" i="89"/>
  <c r="H61" i="89"/>
  <c r="G61" i="89"/>
  <c r="F61" i="89"/>
  <c r="E61" i="89"/>
  <c r="D61" i="89"/>
  <c r="C61" i="89"/>
  <c r="B61" i="89"/>
  <c r="A60" i="89"/>
  <c r="K60" i="89"/>
  <c r="J60" i="89"/>
  <c r="I60" i="89"/>
  <c r="H60" i="89"/>
  <c r="G60" i="89"/>
  <c r="F60" i="89"/>
  <c r="E60" i="89"/>
  <c r="D60" i="89"/>
  <c r="C60" i="89"/>
  <c r="B60" i="89"/>
  <c r="A59" i="89"/>
  <c r="K59" i="89"/>
  <c r="J59" i="89"/>
  <c r="I59" i="89"/>
  <c r="H59" i="89"/>
  <c r="G59" i="89"/>
  <c r="F59" i="89"/>
  <c r="E59" i="89"/>
  <c r="D59" i="89"/>
  <c r="C59" i="89"/>
  <c r="B59" i="89"/>
  <c r="A58" i="89"/>
  <c r="K58" i="89"/>
  <c r="J58" i="89"/>
  <c r="I58" i="89"/>
  <c r="H58" i="89"/>
  <c r="G58" i="89"/>
  <c r="F58" i="89"/>
  <c r="E58" i="89"/>
  <c r="D58" i="89"/>
  <c r="C58" i="89"/>
  <c r="B58" i="89"/>
  <c r="A57" i="89"/>
  <c r="K57" i="89"/>
  <c r="J57" i="89"/>
  <c r="I57" i="89"/>
  <c r="H57" i="89"/>
  <c r="G57" i="89"/>
  <c r="F57" i="89"/>
  <c r="E57" i="89"/>
  <c r="D57" i="89"/>
  <c r="C57" i="89"/>
  <c r="B57" i="89"/>
  <c r="A56" i="89"/>
  <c r="K56" i="89"/>
  <c r="J56" i="89"/>
  <c r="I56" i="89"/>
  <c r="H56" i="89"/>
  <c r="G56" i="89"/>
  <c r="F56" i="89"/>
  <c r="E56" i="89"/>
  <c r="D56" i="89"/>
  <c r="C56" i="89"/>
  <c r="B56" i="89"/>
  <c r="A55" i="89"/>
  <c r="K55" i="89"/>
  <c r="J55" i="89"/>
  <c r="I55" i="89"/>
  <c r="H55" i="89"/>
  <c r="G55" i="89"/>
  <c r="F55" i="89"/>
  <c r="E55" i="89"/>
  <c r="D55" i="89"/>
  <c r="C55" i="89"/>
  <c r="B55" i="89"/>
  <c r="A54" i="89"/>
  <c r="K54" i="89"/>
  <c r="J54" i="89"/>
  <c r="I54" i="89"/>
  <c r="H54" i="89"/>
  <c r="G54" i="89"/>
  <c r="F54" i="89"/>
  <c r="E54" i="89"/>
  <c r="D54" i="89"/>
  <c r="C54" i="89"/>
  <c r="B54" i="89"/>
  <c r="A53" i="89"/>
  <c r="K53" i="89"/>
  <c r="J53" i="89"/>
  <c r="I53" i="89"/>
  <c r="H53" i="89"/>
  <c r="G53" i="89"/>
  <c r="F53" i="89"/>
  <c r="E53" i="89"/>
  <c r="D53" i="89"/>
  <c r="C53" i="89"/>
  <c r="B53" i="89"/>
  <c r="A52" i="89"/>
  <c r="K52" i="89"/>
  <c r="J52" i="89"/>
  <c r="I52" i="89"/>
  <c r="H52" i="89"/>
  <c r="G52" i="89"/>
  <c r="F52" i="89"/>
  <c r="E52" i="89"/>
  <c r="D52" i="89"/>
  <c r="C52" i="89"/>
  <c r="B52" i="89"/>
  <c r="A51" i="89"/>
  <c r="K51" i="89"/>
  <c r="J51" i="89"/>
  <c r="I51" i="89"/>
  <c r="H51" i="89"/>
  <c r="G51" i="89"/>
  <c r="F51" i="89"/>
  <c r="E51" i="89"/>
  <c r="D51" i="89"/>
  <c r="C51" i="89"/>
  <c r="B51" i="89"/>
  <c r="A50" i="89"/>
  <c r="K50" i="89"/>
  <c r="J50" i="89"/>
  <c r="I50" i="89"/>
  <c r="H50" i="89"/>
  <c r="G50" i="89"/>
  <c r="F50" i="89"/>
  <c r="E50" i="89"/>
  <c r="D50" i="89"/>
  <c r="C50" i="89"/>
  <c r="B50" i="89"/>
  <c r="A49" i="89"/>
  <c r="K49" i="89"/>
  <c r="J49" i="89"/>
  <c r="I49" i="89"/>
  <c r="H49" i="89"/>
  <c r="G49" i="89"/>
  <c r="F49" i="89"/>
  <c r="E49" i="89"/>
  <c r="D49" i="89"/>
  <c r="C49" i="89"/>
  <c r="B49" i="89"/>
  <c r="A48" i="89"/>
  <c r="K48" i="89"/>
  <c r="J48" i="89"/>
  <c r="I48" i="89"/>
  <c r="H48" i="89"/>
  <c r="G48" i="89"/>
  <c r="F48" i="89"/>
  <c r="E48" i="89"/>
  <c r="D48" i="89"/>
  <c r="C48" i="89"/>
  <c r="B48" i="89"/>
  <c r="A47" i="89"/>
  <c r="K47" i="89"/>
  <c r="J47" i="89"/>
  <c r="I47" i="89"/>
  <c r="H47" i="89"/>
  <c r="G47" i="89"/>
  <c r="F47" i="89"/>
  <c r="E47" i="89"/>
  <c r="D47" i="89"/>
  <c r="C47" i="89"/>
  <c r="B47" i="89"/>
  <c r="A46" i="89"/>
  <c r="K46" i="89"/>
  <c r="J46" i="89"/>
  <c r="I46" i="89"/>
  <c r="H46" i="89"/>
  <c r="G46" i="89"/>
  <c r="F46" i="89"/>
  <c r="E46" i="89"/>
  <c r="D46" i="89"/>
  <c r="C46" i="89"/>
  <c r="B46" i="89"/>
  <c r="A45" i="89"/>
  <c r="K45" i="89"/>
  <c r="J45" i="89"/>
  <c r="I45" i="89"/>
  <c r="H45" i="89"/>
  <c r="G45" i="89"/>
  <c r="F45" i="89"/>
  <c r="E45" i="89"/>
  <c r="D45" i="89"/>
  <c r="C45" i="89"/>
  <c r="B45" i="89"/>
  <c r="A44" i="89"/>
  <c r="K44" i="89"/>
  <c r="J44" i="89"/>
  <c r="I44" i="89"/>
  <c r="H44" i="89"/>
  <c r="G44" i="89"/>
  <c r="F44" i="89"/>
  <c r="E44" i="89"/>
  <c r="D44" i="89"/>
  <c r="C44" i="89"/>
  <c r="B44" i="89"/>
  <c r="A43" i="89"/>
  <c r="K43" i="89"/>
  <c r="J43" i="89"/>
  <c r="I43" i="89"/>
  <c r="H43" i="89"/>
  <c r="G43" i="89"/>
  <c r="F43" i="89"/>
  <c r="E43" i="89"/>
  <c r="D43" i="89"/>
  <c r="C43" i="89"/>
  <c r="B43" i="89"/>
  <c r="A42" i="89"/>
  <c r="K42" i="89"/>
  <c r="J42" i="89"/>
  <c r="I42" i="89"/>
  <c r="H42" i="89"/>
  <c r="G42" i="89"/>
  <c r="F42" i="89"/>
  <c r="E42" i="89"/>
  <c r="D42" i="89"/>
  <c r="C42" i="89"/>
  <c r="B42" i="89"/>
  <c r="A41" i="89"/>
  <c r="K41" i="89"/>
  <c r="J41" i="89"/>
  <c r="I41" i="89"/>
  <c r="H41" i="89"/>
  <c r="G41" i="89"/>
  <c r="F41" i="89"/>
  <c r="E41" i="89"/>
  <c r="D41" i="89"/>
  <c r="C41" i="89"/>
  <c r="B41" i="89"/>
  <c r="A40" i="89"/>
  <c r="K40" i="89"/>
  <c r="J40" i="89"/>
  <c r="I40" i="89"/>
  <c r="H40" i="89"/>
  <c r="G40" i="89"/>
  <c r="F40" i="89"/>
  <c r="E40" i="89"/>
  <c r="D40" i="89"/>
  <c r="C40" i="89"/>
  <c r="B40" i="89"/>
  <c r="A39" i="89"/>
  <c r="K39" i="89"/>
  <c r="J39" i="89"/>
  <c r="I39" i="89"/>
  <c r="H39" i="89"/>
  <c r="G39" i="89"/>
  <c r="F39" i="89"/>
  <c r="E39" i="89"/>
  <c r="D39" i="89"/>
  <c r="C39" i="89"/>
  <c r="B39" i="89"/>
  <c r="A38" i="89"/>
  <c r="K38" i="89"/>
  <c r="J38" i="89"/>
  <c r="I38" i="89"/>
  <c r="H38" i="89"/>
  <c r="G38" i="89"/>
  <c r="F38" i="89"/>
  <c r="E38" i="89"/>
  <c r="D38" i="89"/>
  <c r="C38" i="89"/>
  <c r="B38" i="89"/>
  <c r="A37" i="89"/>
  <c r="K37" i="89"/>
  <c r="J37" i="89"/>
  <c r="I37" i="89"/>
  <c r="H37" i="89"/>
  <c r="G37" i="89"/>
  <c r="F37" i="89"/>
  <c r="E37" i="89"/>
  <c r="D37" i="89"/>
  <c r="C37" i="89"/>
  <c r="B37" i="89"/>
  <c r="A36" i="89"/>
  <c r="K36" i="89"/>
  <c r="J36" i="89"/>
  <c r="I36" i="89"/>
  <c r="H36" i="89"/>
  <c r="G36" i="89"/>
  <c r="F36" i="89"/>
  <c r="E36" i="89"/>
  <c r="D36" i="89"/>
  <c r="C36" i="89"/>
  <c r="B36" i="89"/>
  <c r="A35" i="89"/>
  <c r="K35" i="89"/>
  <c r="J35" i="89"/>
  <c r="I35" i="89"/>
  <c r="H35" i="89"/>
  <c r="G35" i="89"/>
  <c r="F35" i="89"/>
  <c r="E35" i="89"/>
  <c r="D35" i="89"/>
  <c r="C35" i="89"/>
  <c r="B35" i="89"/>
  <c r="A34" i="89"/>
  <c r="K34" i="89"/>
  <c r="J34" i="89"/>
  <c r="I34" i="89"/>
  <c r="H34" i="89"/>
  <c r="G34" i="89"/>
  <c r="F34" i="89"/>
  <c r="E34" i="89"/>
  <c r="D34" i="89"/>
  <c r="C34" i="89"/>
  <c r="B34" i="89"/>
  <c r="A33" i="89"/>
  <c r="K33" i="89"/>
  <c r="J33" i="89"/>
  <c r="I33" i="89"/>
  <c r="H33" i="89"/>
  <c r="G33" i="89"/>
  <c r="F33" i="89"/>
  <c r="E33" i="89"/>
  <c r="D33" i="89"/>
  <c r="C33" i="89"/>
  <c r="B33" i="89"/>
  <c r="A32" i="89"/>
  <c r="K32" i="89"/>
  <c r="J32" i="89"/>
  <c r="I32" i="89"/>
  <c r="H32" i="89"/>
  <c r="G32" i="89"/>
  <c r="F32" i="89"/>
  <c r="E32" i="89"/>
  <c r="D32" i="89"/>
  <c r="C32" i="89"/>
  <c r="B32" i="89"/>
  <c r="A31" i="89"/>
  <c r="K31" i="89"/>
  <c r="J31" i="89"/>
  <c r="I31" i="89"/>
  <c r="H31" i="89"/>
  <c r="G31" i="89"/>
  <c r="F31" i="89"/>
  <c r="E31" i="89"/>
  <c r="D31" i="89"/>
  <c r="C31" i="89"/>
  <c r="B31" i="89"/>
  <c r="A30" i="89"/>
  <c r="K30" i="89"/>
  <c r="J30" i="89"/>
  <c r="I30" i="89"/>
  <c r="H30" i="89"/>
  <c r="G30" i="89"/>
  <c r="F30" i="89"/>
  <c r="E30" i="89"/>
  <c r="D30" i="89"/>
  <c r="C30" i="89"/>
  <c r="B30" i="89"/>
  <c r="A29" i="89"/>
  <c r="K29" i="89"/>
  <c r="J29" i="89"/>
  <c r="I29" i="89"/>
  <c r="H29" i="89"/>
  <c r="G29" i="89"/>
  <c r="F29" i="89"/>
  <c r="E29" i="89"/>
  <c r="D29" i="89"/>
  <c r="C29" i="89"/>
  <c r="B29" i="89"/>
  <c r="A28" i="89"/>
  <c r="K28" i="89"/>
  <c r="J28" i="89"/>
  <c r="I28" i="89"/>
  <c r="H28" i="89"/>
  <c r="G28" i="89"/>
  <c r="F28" i="89"/>
  <c r="E28" i="89"/>
  <c r="D28" i="89"/>
  <c r="C28" i="89"/>
  <c r="B28" i="89"/>
  <c r="A27" i="89"/>
  <c r="K27" i="89"/>
  <c r="J27" i="89"/>
  <c r="I27" i="89"/>
  <c r="H27" i="89"/>
  <c r="G27" i="89"/>
  <c r="F27" i="89"/>
  <c r="E27" i="89"/>
  <c r="D27" i="89"/>
  <c r="C27" i="89"/>
  <c r="B27" i="89"/>
  <c r="A26" i="89"/>
  <c r="K26" i="89"/>
  <c r="J26" i="89"/>
  <c r="I26" i="89"/>
  <c r="H26" i="89"/>
  <c r="G26" i="89"/>
  <c r="F26" i="89"/>
  <c r="E26" i="89"/>
  <c r="D26" i="89"/>
  <c r="C26" i="89"/>
  <c r="B26" i="89"/>
  <c r="A25" i="89"/>
  <c r="K25" i="89"/>
  <c r="J25" i="89"/>
  <c r="I25" i="89"/>
  <c r="H25" i="89"/>
  <c r="G25" i="89"/>
  <c r="F25" i="89"/>
  <c r="E25" i="89"/>
  <c r="D25" i="89"/>
  <c r="C25" i="89"/>
  <c r="B25" i="89"/>
  <c r="A24" i="89"/>
  <c r="K24" i="89"/>
  <c r="J24" i="89"/>
  <c r="I24" i="89"/>
  <c r="H24" i="89"/>
  <c r="G24" i="89"/>
  <c r="F24" i="89"/>
  <c r="E24" i="89"/>
  <c r="D24" i="89"/>
  <c r="C24" i="89"/>
  <c r="B24" i="89"/>
  <c r="A23" i="89"/>
  <c r="K23" i="89"/>
  <c r="J23" i="89"/>
  <c r="I23" i="89"/>
  <c r="H23" i="89"/>
  <c r="G23" i="89"/>
  <c r="F23" i="89"/>
  <c r="E23" i="89"/>
  <c r="D23" i="89"/>
  <c r="C23" i="89"/>
  <c r="B23" i="89"/>
  <c r="A22" i="89"/>
  <c r="K22" i="89"/>
  <c r="J22" i="89"/>
  <c r="I22" i="89"/>
  <c r="H22" i="89"/>
  <c r="G22" i="89"/>
  <c r="F22" i="89"/>
  <c r="E22" i="89"/>
  <c r="D22" i="89"/>
  <c r="C22" i="89"/>
  <c r="B22" i="89"/>
  <c r="A21" i="89"/>
  <c r="K21" i="89"/>
  <c r="J21" i="89"/>
  <c r="I21" i="89"/>
  <c r="H21" i="89"/>
  <c r="G21" i="89"/>
  <c r="F21" i="89"/>
  <c r="E21" i="89"/>
  <c r="D21" i="89"/>
  <c r="C21" i="89"/>
  <c r="B21" i="89"/>
  <c r="A20" i="89"/>
  <c r="K20" i="89"/>
  <c r="J20" i="89"/>
  <c r="I20" i="89"/>
  <c r="H20" i="89"/>
  <c r="G20" i="89"/>
  <c r="F20" i="89"/>
  <c r="E20" i="89"/>
  <c r="D20" i="89"/>
  <c r="C20" i="89"/>
  <c r="B20" i="89"/>
  <c r="A19" i="89"/>
  <c r="K19" i="89"/>
  <c r="J19" i="89"/>
  <c r="I19" i="89"/>
  <c r="H19" i="89"/>
  <c r="G19" i="89"/>
  <c r="F19" i="89"/>
  <c r="E19" i="89"/>
  <c r="D19" i="89"/>
  <c r="C19" i="89"/>
  <c r="B19" i="89"/>
  <c r="A18" i="89"/>
  <c r="K18" i="89"/>
  <c r="J18" i="89"/>
  <c r="I18" i="89"/>
  <c r="H18" i="89"/>
  <c r="G18" i="89"/>
  <c r="F18" i="89"/>
  <c r="E18" i="89"/>
  <c r="D18" i="89"/>
  <c r="C18" i="89"/>
  <c r="B18" i="89"/>
  <c r="A17" i="89"/>
  <c r="K17" i="89"/>
  <c r="J17" i="89"/>
  <c r="I17" i="89"/>
  <c r="H17" i="89"/>
  <c r="G17" i="89"/>
  <c r="F17" i="89"/>
  <c r="E17" i="89"/>
  <c r="D17" i="89"/>
  <c r="C17" i="89"/>
  <c r="B17" i="89"/>
  <c r="A16" i="89"/>
  <c r="K16" i="89"/>
  <c r="J16" i="89"/>
  <c r="I16" i="89"/>
  <c r="H16" i="89"/>
  <c r="G16" i="89"/>
  <c r="F16" i="89"/>
  <c r="E16" i="89"/>
  <c r="D16" i="89"/>
  <c r="C16" i="89"/>
  <c r="B16" i="89"/>
  <c r="A15" i="89"/>
  <c r="K15" i="89"/>
  <c r="J15" i="89"/>
  <c r="I15" i="89"/>
  <c r="H15" i="89"/>
  <c r="G15" i="89"/>
  <c r="F15" i="89"/>
  <c r="E15" i="89"/>
  <c r="D15" i="89"/>
  <c r="C15" i="89"/>
  <c r="B15" i="89"/>
  <c r="A14" i="89"/>
  <c r="K14" i="89"/>
  <c r="J14" i="89"/>
  <c r="I14" i="89"/>
  <c r="H14" i="89"/>
  <c r="G14" i="89"/>
  <c r="F14" i="89"/>
  <c r="E14" i="89"/>
  <c r="D14" i="89"/>
  <c r="C14" i="89"/>
  <c r="B14" i="89"/>
  <c r="A13" i="89"/>
  <c r="K13" i="89"/>
  <c r="J13" i="89"/>
  <c r="I13" i="89"/>
  <c r="H13" i="89"/>
  <c r="G13" i="89"/>
  <c r="F13" i="89"/>
  <c r="E13" i="89"/>
  <c r="D13" i="89"/>
  <c r="C13" i="89"/>
  <c r="B13" i="89"/>
  <c r="A12" i="89"/>
  <c r="K12" i="89"/>
  <c r="J12" i="89"/>
  <c r="I12" i="89"/>
  <c r="H12" i="89"/>
  <c r="G12" i="89"/>
  <c r="F12" i="89"/>
  <c r="E12" i="89"/>
  <c r="D12" i="89"/>
  <c r="C12" i="89"/>
  <c r="B12" i="89"/>
  <c r="A11" i="89"/>
  <c r="K11" i="89"/>
  <c r="J11" i="89"/>
  <c r="I11" i="89"/>
  <c r="H11" i="89"/>
  <c r="G11" i="89"/>
  <c r="F11" i="89"/>
  <c r="E11" i="89"/>
  <c r="D11" i="89"/>
  <c r="C11" i="89"/>
  <c r="B11" i="89"/>
  <c r="A10" i="89"/>
  <c r="K10" i="89"/>
  <c r="J10" i="89"/>
  <c r="I10" i="89"/>
  <c r="H10" i="89"/>
  <c r="G10" i="89"/>
  <c r="F10" i="89"/>
  <c r="E10" i="89"/>
  <c r="D10" i="89"/>
  <c r="C10" i="89"/>
  <c r="B10" i="89"/>
  <c r="A9" i="89"/>
  <c r="K9" i="89"/>
  <c r="J9" i="89"/>
  <c r="I9" i="89"/>
  <c r="H9" i="89"/>
  <c r="G9" i="89"/>
  <c r="F9" i="89"/>
  <c r="E9" i="89"/>
  <c r="D9" i="89"/>
  <c r="C9" i="89"/>
  <c r="B9" i="89"/>
  <c r="A8" i="89"/>
  <c r="K8" i="89"/>
  <c r="J8" i="89"/>
  <c r="I8" i="89"/>
  <c r="H8" i="89"/>
  <c r="G8" i="89"/>
  <c r="F8" i="89"/>
  <c r="E8" i="89"/>
  <c r="D8" i="89"/>
  <c r="C8" i="89"/>
  <c r="B8" i="89"/>
  <c r="A7" i="89"/>
  <c r="K7" i="89"/>
  <c r="J7" i="89"/>
  <c r="I7" i="89"/>
  <c r="H7" i="89"/>
  <c r="G7" i="89"/>
  <c r="F7" i="89"/>
  <c r="E7" i="89"/>
  <c r="D7" i="89"/>
  <c r="C7" i="89"/>
  <c r="B7" i="89"/>
  <c r="A6" i="89"/>
  <c r="K6" i="89"/>
  <c r="J6" i="89"/>
  <c r="I6" i="89"/>
  <c r="H6" i="89"/>
  <c r="G6" i="89"/>
  <c r="F6" i="89"/>
  <c r="E6" i="89"/>
  <c r="D6" i="89"/>
  <c r="C6" i="89"/>
  <c r="B6" i="89"/>
  <c r="A5" i="89"/>
  <c r="K5" i="89"/>
  <c r="J5" i="89"/>
  <c r="I5" i="89"/>
  <c r="H5" i="89"/>
  <c r="G5" i="89"/>
  <c r="F5" i="89"/>
  <c r="E5" i="89"/>
  <c r="D5" i="89"/>
  <c r="C5" i="89"/>
  <c r="B5" i="89"/>
  <c r="A4" i="89"/>
  <c r="K4" i="89"/>
  <c r="J4" i="89"/>
  <c r="I4" i="89"/>
  <c r="H4" i="89"/>
  <c r="G4" i="89"/>
  <c r="F4" i="89"/>
  <c r="E4" i="89"/>
  <c r="D4" i="89"/>
  <c r="C4" i="89"/>
  <c r="B4" i="89"/>
  <c r="C1" i="87"/>
  <c r="A1" i="87"/>
  <c r="A272" i="87"/>
  <c r="B1" i="87"/>
  <c r="K272" i="87"/>
  <c r="J272" i="87"/>
  <c r="I272" i="87"/>
  <c r="H272" i="87"/>
  <c r="G272" i="87"/>
  <c r="H273" i="82"/>
  <c r="I273" i="82"/>
  <c r="D273" i="82"/>
  <c r="N273" i="82"/>
  <c r="F272" i="87"/>
  <c r="E272" i="87"/>
  <c r="D272" i="87"/>
  <c r="C272" i="87"/>
  <c r="B272" i="87"/>
  <c r="A271" i="87"/>
  <c r="K271" i="87"/>
  <c r="J271" i="87"/>
  <c r="I271" i="87"/>
  <c r="H271" i="87"/>
  <c r="G271" i="87"/>
  <c r="H272" i="82"/>
  <c r="I272" i="82"/>
  <c r="D272" i="82"/>
  <c r="N272" i="82"/>
  <c r="F271" i="87"/>
  <c r="E271" i="87"/>
  <c r="D271" i="87"/>
  <c r="C271" i="87"/>
  <c r="B271" i="87"/>
  <c r="A270" i="87"/>
  <c r="K270" i="87"/>
  <c r="J270" i="87"/>
  <c r="I270" i="87"/>
  <c r="H270" i="87"/>
  <c r="G270" i="87"/>
  <c r="H271" i="82"/>
  <c r="I271" i="82"/>
  <c r="D271" i="82"/>
  <c r="N271" i="82"/>
  <c r="F270" i="87"/>
  <c r="E270" i="87"/>
  <c r="D270" i="87"/>
  <c r="C270" i="87"/>
  <c r="B270" i="87"/>
  <c r="A269" i="87"/>
  <c r="K269" i="87"/>
  <c r="J269" i="87"/>
  <c r="I269" i="87"/>
  <c r="H269" i="87"/>
  <c r="G269" i="87"/>
  <c r="H270" i="82"/>
  <c r="I270" i="82"/>
  <c r="D270" i="82"/>
  <c r="N270" i="82"/>
  <c r="F269" i="87"/>
  <c r="E269" i="87"/>
  <c r="D269" i="87"/>
  <c r="C269" i="87"/>
  <c r="B269" i="87"/>
  <c r="A268" i="87"/>
  <c r="K268" i="87"/>
  <c r="J268" i="87"/>
  <c r="I268" i="87"/>
  <c r="H268" i="87"/>
  <c r="G268" i="87"/>
  <c r="H269" i="82"/>
  <c r="I269" i="82"/>
  <c r="D269" i="82"/>
  <c r="N269" i="82"/>
  <c r="F268" i="87"/>
  <c r="E268" i="87"/>
  <c r="D268" i="87"/>
  <c r="C268" i="87"/>
  <c r="B268" i="87"/>
  <c r="A267" i="87"/>
  <c r="K267" i="87"/>
  <c r="J267" i="87"/>
  <c r="I267" i="87"/>
  <c r="H267" i="87"/>
  <c r="G267" i="87"/>
  <c r="H268" i="82"/>
  <c r="I268" i="82"/>
  <c r="D268" i="82"/>
  <c r="N268" i="82"/>
  <c r="F267" i="87"/>
  <c r="E267" i="87"/>
  <c r="D267" i="87"/>
  <c r="C267" i="87"/>
  <c r="B267" i="87"/>
  <c r="A266" i="87"/>
  <c r="K266" i="87"/>
  <c r="J266" i="87"/>
  <c r="I266" i="87"/>
  <c r="H266" i="87"/>
  <c r="G266" i="87"/>
  <c r="H267" i="82"/>
  <c r="I267" i="82"/>
  <c r="D267" i="82"/>
  <c r="N267" i="82"/>
  <c r="F266" i="87"/>
  <c r="E266" i="87"/>
  <c r="D266" i="87"/>
  <c r="C266" i="87"/>
  <c r="B266" i="87"/>
  <c r="A265" i="87"/>
  <c r="K265" i="87"/>
  <c r="J265" i="87"/>
  <c r="I265" i="87"/>
  <c r="H265" i="87"/>
  <c r="G265" i="87"/>
  <c r="H266" i="82"/>
  <c r="I266" i="82"/>
  <c r="D266" i="82"/>
  <c r="N266" i="82"/>
  <c r="F265" i="87"/>
  <c r="E265" i="87"/>
  <c r="D265" i="87"/>
  <c r="C265" i="87"/>
  <c r="B265" i="87"/>
  <c r="A264" i="87"/>
  <c r="K264" i="87"/>
  <c r="J264" i="87"/>
  <c r="I264" i="87"/>
  <c r="H264" i="87"/>
  <c r="G264" i="87"/>
  <c r="H265" i="82"/>
  <c r="I265" i="82"/>
  <c r="D265" i="82"/>
  <c r="N265" i="82"/>
  <c r="F264" i="87"/>
  <c r="E264" i="87"/>
  <c r="D264" i="87"/>
  <c r="C264" i="87"/>
  <c r="B264" i="87"/>
  <c r="A263" i="87"/>
  <c r="K263" i="87"/>
  <c r="J263" i="87"/>
  <c r="I263" i="87"/>
  <c r="H263" i="87"/>
  <c r="G263" i="87"/>
  <c r="H264" i="82"/>
  <c r="I264" i="82"/>
  <c r="D264" i="82"/>
  <c r="N264" i="82"/>
  <c r="F263" i="87"/>
  <c r="E263" i="87"/>
  <c r="D263" i="87"/>
  <c r="C263" i="87"/>
  <c r="B263" i="87"/>
  <c r="A262" i="87"/>
  <c r="K262" i="87"/>
  <c r="J262" i="87"/>
  <c r="I262" i="87"/>
  <c r="H262" i="87"/>
  <c r="G262" i="87"/>
  <c r="H263" i="82"/>
  <c r="I263" i="82"/>
  <c r="D263" i="82"/>
  <c r="N263" i="82"/>
  <c r="F262" i="87"/>
  <c r="E262" i="87"/>
  <c r="D262" i="87"/>
  <c r="C262" i="87"/>
  <c r="B262" i="87"/>
  <c r="A261" i="87"/>
  <c r="K261" i="87"/>
  <c r="J261" i="87"/>
  <c r="I261" i="87"/>
  <c r="H261" i="87"/>
  <c r="G261" i="87"/>
  <c r="H262" i="82"/>
  <c r="I262" i="82"/>
  <c r="D262" i="82"/>
  <c r="N262" i="82"/>
  <c r="F261" i="87"/>
  <c r="E261" i="87"/>
  <c r="D261" i="87"/>
  <c r="C261" i="87"/>
  <c r="B261" i="87"/>
  <c r="A260" i="87"/>
  <c r="K260" i="87"/>
  <c r="J260" i="87"/>
  <c r="I260" i="87"/>
  <c r="H260" i="87"/>
  <c r="G260" i="87"/>
  <c r="H261" i="82"/>
  <c r="I261" i="82"/>
  <c r="D261" i="82"/>
  <c r="N261" i="82"/>
  <c r="F260" i="87"/>
  <c r="E260" i="87"/>
  <c r="D260" i="87"/>
  <c r="C260" i="87"/>
  <c r="B260" i="87"/>
  <c r="A259" i="87"/>
  <c r="K259" i="87"/>
  <c r="J259" i="87"/>
  <c r="I259" i="87"/>
  <c r="H259" i="87"/>
  <c r="G259" i="87"/>
  <c r="H260" i="82"/>
  <c r="I260" i="82"/>
  <c r="D260" i="82"/>
  <c r="N260" i="82"/>
  <c r="F259" i="87"/>
  <c r="E259" i="87"/>
  <c r="D259" i="87"/>
  <c r="C259" i="87"/>
  <c r="B259" i="87"/>
  <c r="A258" i="87"/>
  <c r="K258" i="87"/>
  <c r="J258" i="87"/>
  <c r="I258" i="87"/>
  <c r="H258" i="87"/>
  <c r="G258" i="87"/>
  <c r="H259" i="82"/>
  <c r="I259" i="82"/>
  <c r="D259" i="82"/>
  <c r="N259" i="82"/>
  <c r="F258" i="87"/>
  <c r="E258" i="87"/>
  <c r="D258" i="87"/>
  <c r="C258" i="87"/>
  <c r="B258" i="87"/>
  <c r="A257" i="87"/>
  <c r="K257" i="87"/>
  <c r="J257" i="87"/>
  <c r="I257" i="87"/>
  <c r="H257" i="87"/>
  <c r="G257" i="87"/>
  <c r="H258" i="82"/>
  <c r="I258" i="82"/>
  <c r="D258" i="82"/>
  <c r="N258" i="82"/>
  <c r="F257" i="87"/>
  <c r="E257" i="87"/>
  <c r="D257" i="87"/>
  <c r="C257" i="87"/>
  <c r="B257" i="87"/>
  <c r="A256" i="87"/>
  <c r="K256" i="87"/>
  <c r="J256" i="87"/>
  <c r="I256" i="87"/>
  <c r="H256" i="87"/>
  <c r="G256" i="87"/>
  <c r="H257" i="82"/>
  <c r="I257" i="82"/>
  <c r="D257" i="82"/>
  <c r="N257" i="82"/>
  <c r="F256" i="87"/>
  <c r="E256" i="87"/>
  <c r="D256" i="87"/>
  <c r="C256" i="87"/>
  <c r="B256" i="87"/>
  <c r="A255" i="87"/>
  <c r="K255" i="87"/>
  <c r="J255" i="87"/>
  <c r="I255" i="87"/>
  <c r="H255" i="87"/>
  <c r="G255" i="87"/>
  <c r="H256" i="82"/>
  <c r="I256" i="82"/>
  <c r="D256" i="82"/>
  <c r="N256" i="82"/>
  <c r="F255" i="87"/>
  <c r="E255" i="87"/>
  <c r="D255" i="87"/>
  <c r="C255" i="87"/>
  <c r="B255" i="87"/>
  <c r="A254" i="87"/>
  <c r="K254" i="87"/>
  <c r="J254" i="87"/>
  <c r="I254" i="87"/>
  <c r="H254" i="87"/>
  <c r="G254" i="87"/>
  <c r="H255" i="82"/>
  <c r="I255" i="82"/>
  <c r="D255" i="82"/>
  <c r="N255" i="82"/>
  <c r="F254" i="87"/>
  <c r="E254" i="87"/>
  <c r="D254" i="87"/>
  <c r="C254" i="87"/>
  <c r="B254" i="87"/>
  <c r="A253" i="87"/>
  <c r="K253" i="87"/>
  <c r="J253" i="87"/>
  <c r="I253" i="87"/>
  <c r="H253" i="87"/>
  <c r="G253" i="87"/>
  <c r="H254" i="82"/>
  <c r="I254" i="82"/>
  <c r="D254" i="82"/>
  <c r="N254" i="82"/>
  <c r="F253" i="87"/>
  <c r="E253" i="87"/>
  <c r="D253" i="87"/>
  <c r="C253" i="87"/>
  <c r="B253" i="87"/>
  <c r="A252" i="87"/>
  <c r="K252" i="87"/>
  <c r="J252" i="87"/>
  <c r="I252" i="87"/>
  <c r="H252" i="87"/>
  <c r="G252" i="87"/>
  <c r="H253" i="82"/>
  <c r="I253" i="82"/>
  <c r="D253" i="82"/>
  <c r="N253" i="82"/>
  <c r="F252" i="87"/>
  <c r="E252" i="87"/>
  <c r="D252" i="87"/>
  <c r="C252" i="87"/>
  <c r="B252" i="87"/>
  <c r="A251" i="87"/>
  <c r="K251" i="87"/>
  <c r="J251" i="87"/>
  <c r="I251" i="87"/>
  <c r="H251" i="87"/>
  <c r="G251" i="87"/>
  <c r="H252" i="82"/>
  <c r="I252" i="82"/>
  <c r="D252" i="82"/>
  <c r="N252" i="82"/>
  <c r="F251" i="87"/>
  <c r="E251" i="87"/>
  <c r="D251" i="87"/>
  <c r="C251" i="87"/>
  <c r="B251" i="87"/>
  <c r="A250" i="87"/>
  <c r="K250" i="87"/>
  <c r="J250" i="87"/>
  <c r="I250" i="87"/>
  <c r="H250" i="87"/>
  <c r="G250" i="87"/>
  <c r="H251" i="82"/>
  <c r="I251" i="82"/>
  <c r="D251" i="82"/>
  <c r="N251" i="82"/>
  <c r="F250" i="87"/>
  <c r="E250" i="87"/>
  <c r="D250" i="87"/>
  <c r="C250" i="87"/>
  <c r="B250" i="87"/>
  <c r="A249" i="87"/>
  <c r="K249" i="87"/>
  <c r="J249" i="87"/>
  <c r="I249" i="87"/>
  <c r="H249" i="87"/>
  <c r="G249" i="87"/>
  <c r="H250" i="82"/>
  <c r="I250" i="82"/>
  <c r="D250" i="82"/>
  <c r="N250" i="82"/>
  <c r="F249" i="87"/>
  <c r="E249" i="87"/>
  <c r="D249" i="87"/>
  <c r="C249" i="87"/>
  <c r="B249" i="87"/>
  <c r="A248" i="87"/>
  <c r="K248" i="87"/>
  <c r="J248" i="87"/>
  <c r="I248" i="87"/>
  <c r="H248" i="87"/>
  <c r="G248" i="87"/>
  <c r="H249" i="82"/>
  <c r="I249" i="82"/>
  <c r="D249" i="82"/>
  <c r="N249" i="82"/>
  <c r="F248" i="87"/>
  <c r="E248" i="87"/>
  <c r="D248" i="87"/>
  <c r="C248" i="87"/>
  <c r="B248" i="87"/>
  <c r="A247" i="87"/>
  <c r="K247" i="87"/>
  <c r="J247" i="87"/>
  <c r="I247" i="87"/>
  <c r="H247" i="87"/>
  <c r="G247" i="87"/>
  <c r="H248" i="82"/>
  <c r="I248" i="82"/>
  <c r="D248" i="82"/>
  <c r="N248" i="82"/>
  <c r="F247" i="87"/>
  <c r="E247" i="87"/>
  <c r="D247" i="87"/>
  <c r="C247" i="87"/>
  <c r="B247" i="87"/>
  <c r="A246" i="87"/>
  <c r="K246" i="87"/>
  <c r="J246" i="87"/>
  <c r="I246" i="87"/>
  <c r="H246" i="87"/>
  <c r="G246" i="87"/>
  <c r="H247" i="82"/>
  <c r="I247" i="82"/>
  <c r="D247" i="82"/>
  <c r="N247" i="82"/>
  <c r="F246" i="87"/>
  <c r="E246" i="87"/>
  <c r="D246" i="87"/>
  <c r="C246" i="87"/>
  <c r="B246" i="87"/>
  <c r="A245" i="87"/>
  <c r="K245" i="87"/>
  <c r="J245" i="87"/>
  <c r="I245" i="87"/>
  <c r="H245" i="87"/>
  <c r="G245" i="87"/>
  <c r="H246" i="82"/>
  <c r="I246" i="82"/>
  <c r="D246" i="82"/>
  <c r="N246" i="82"/>
  <c r="F245" i="87"/>
  <c r="E245" i="87"/>
  <c r="D245" i="87"/>
  <c r="C245" i="87"/>
  <c r="B245" i="87"/>
  <c r="A244" i="87"/>
  <c r="K244" i="87"/>
  <c r="J244" i="87"/>
  <c r="I244" i="87"/>
  <c r="H244" i="87"/>
  <c r="G244" i="87"/>
  <c r="H245" i="82"/>
  <c r="I245" i="82"/>
  <c r="D245" i="82"/>
  <c r="N245" i="82"/>
  <c r="F244" i="87"/>
  <c r="E244" i="87"/>
  <c r="D244" i="87"/>
  <c r="C244" i="87"/>
  <c r="B244" i="87"/>
  <c r="A243" i="87"/>
  <c r="K243" i="87"/>
  <c r="J243" i="87"/>
  <c r="I243" i="87"/>
  <c r="H243" i="87"/>
  <c r="G243" i="87"/>
  <c r="H244" i="82"/>
  <c r="I244" i="82"/>
  <c r="D244" i="82"/>
  <c r="N244" i="82"/>
  <c r="F243" i="87"/>
  <c r="E243" i="87"/>
  <c r="D243" i="87"/>
  <c r="C243" i="87"/>
  <c r="B243" i="87"/>
  <c r="A242" i="87"/>
  <c r="K242" i="87"/>
  <c r="J242" i="87"/>
  <c r="I242" i="87"/>
  <c r="H242" i="87"/>
  <c r="G242" i="87"/>
  <c r="H243" i="82"/>
  <c r="I243" i="82"/>
  <c r="D243" i="82"/>
  <c r="N243" i="82"/>
  <c r="F242" i="87"/>
  <c r="E242" i="87"/>
  <c r="D242" i="87"/>
  <c r="C242" i="87"/>
  <c r="B242" i="87"/>
  <c r="A241" i="87"/>
  <c r="K241" i="87"/>
  <c r="J241" i="87"/>
  <c r="I241" i="87"/>
  <c r="H241" i="87"/>
  <c r="G241" i="87"/>
  <c r="H242" i="82"/>
  <c r="I242" i="82"/>
  <c r="D242" i="82"/>
  <c r="N242" i="82"/>
  <c r="F241" i="87"/>
  <c r="E241" i="87"/>
  <c r="D241" i="87"/>
  <c r="C241" i="87"/>
  <c r="B241" i="87"/>
  <c r="A240" i="87"/>
  <c r="K240" i="87"/>
  <c r="J240" i="87"/>
  <c r="I240" i="87"/>
  <c r="H240" i="87"/>
  <c r="G240" i="87"/>
  <c r="H241" i="82"/>
  <c r="I241" i="82"/>
  <c r="D241" i="82"/>
  <c r="N241" i="82"/>
  <c r="F240" i="87"/>
  <c r="E240" i="87"/>
  <c r="D240" i="87"/>
  <c r="C240" i="87"/>
  <c r="B240" i="87"/>
  <c r="A239" i="87"/>
  <c r="K239" i="87"/>
  <c r="J239" i="87"/>
  <c r="I239" i="87"/>
  <c r="H239" i="87"/>
  <c r="G239" i="87"/>
  <c r="H240" i="82"/>
  <c r="I240" i="82"/>
  <c r="D240" i="82"/>
  <c r="N240" i="82"/>
  <c r="F239" i="87"/>
  <c r="E239" i="87"/>
  <c r="D239" i="87"/>
  <c r="C239" i="87"/>
  <c r="B239" i="87"/>
  <c r="A238" i="87"/>
  <c r="K238" i="87"/>
  <c r="J238" i="87"/>
  <c r="I238" i="87"/>
  <c r="H238" i="87"/>
  <c r="G238" i="87"/>
  <c r="H239" i="82"/>
  <c r="I239" i="82"/>
  <c r="D239" i="82"/>
  <c r="N239" i="82"/>
  <c r="F238" i="87"/>
  <c r="E238" i="87"/>
  <c r="D238" i="87"/>
  <c r="C238" i="87"/>
  <c r="B238" i="87"/>
  <c r="A237" i="87"/>
  <c r="K237" i="87"/>
  <c r="J237" i="87"/>
  <c r="I237" i="87"/>
  <c r="H237" i="87"/>
  <c r="G237" i="87"/>
  <c r="H238" i="82"/>
  <c r="I238" i="82"/>
  <c r="D238" i="82"/>
  <c r="N238" i="82"/>
  <c r="F237" i="87"/>
  <c r="E237" i="87"/>
  <c r="D237" i="87"/>
  <c r="C237" i="87"/>
  <c r="B237" i="87"/>
  <c r="A236" i="87"/>
  <c r="K236" i="87"/>
  <c r="J236" i="87"/>
  <c r="I236" i="87"/>
  <c r="H236" i="87"/>
  <c r="G236" i="87"/>
  <c r="H237" i="82"/>
  <c r="I237" i="82"/>
  <c r="D237" i="82"/>
  <c r="N237" i="82"/>
  <c r="F236" i="87"/>
  <c r="E236" i="87"/>
  <c r="D236" i="87"/>
  <c r="C236" i="87"/>
  <c r="B236" i="87"/>
  <c r="A235" i="87"/>
  <c r="K235" i="87"/>
  <c r="J235" i="87"/>
  <c r="I235" i="87"/>
  <c r="H235" i="87"/>
  <c r="G235" i="87"/>
  <c r="H236" i="82"/>
  <c r="I236" i="82"/>
  <c r="D236" i="82"/>
  <c r="N236" i="82"/>
  <c r="F235" i="87"/>
  <c r="E235" i="87"/>
  <c r="D235" i="87"/>
  <c r="C235" i="87"/>
  <c r="B235" i="87"/>
  <c r="A234" i="87"/>
  <c r="K234" i="87"/>
  <c r="J234" i="87"/>
  <c r="I234" i="87"/>
  <c r="H234" i="87"/>
  <c r="G234" i="87"/>
  <c r="H235" i="82"/>
  <c r="I235" i="82"/>
  <c r="D235" i="82"/>
  <c r="N235" i="82"/>
  <c r="F234" i="87"/>
  <c r="E234" i="87"/>
  <c r="D234" i="87"/>
  <c r="C234" i="87"/>
  <c r="B234" i="87"/>
  <c r="A233" i="87"/>
  <c r="K233" i="87"/>
  <c r="J233" i="87"/>
  <c r="I233" i="87"/>
  <c r="H233" i="87"/>
  <c r="G233" i="87"/>
  <c r="H234" i="82"/>
  <c r="I234" i="82"/>
  <c r="D234" i="82"/>
  <c r="N234" i="82"/>
  <c r="F233" i="87"/>
  <c r="E233" i="87"/>
  <c r="D233" i="87"/>
  <c r="C233" i="87"/>
  <c r="B233" i="87"/>
  <c r="A232" i="87"/>
  <c r="K232" i="87"/>
  <c r="J232" i="87"/>
  <c r="I232" i="87"/>
  <c r="H232" i="87"/>
  <c r="G232" i="87"/>
  <c r="H233" i="82"/>
  <c r="I233" i="82"/>
  <c r="D233" i="82"/>
  <c r="N233" i="82"/>
  <c r="F232" i="87"/>
  <c r="E232" i="87"/>
  <c r="D232" i="87"/>
  <c r="C232" i="87"/>
  <c r="B232" i="87"/>
  <c r="A231" i="87"/>
  <c r="K231" i="87"/>
  <c r="J231" i="87"/>
  <c r="I231" i="87"/>
  <c r="H231" i="87"/>
  <c r="G231" i="87"/>
  <c r="H232" i="82"/>
  <c r="I232" i="82"/>
  <c r="D232" i="82"/>
  <c r="N232" i="82"/>
  <c r="F231" i="87"/>
  <c r="E231" i="87"/>
  <c r="D231" i="87"/>
  <c r="C231" i="87"/>
  <c r="B231" i="87"/>
  <c r="A230" i="87"/>
  <c r="K230" i="87"/>
  <c r="J230" i="87"/>
  <c r="I230" i="87"/>
  <c r="H230" i="87"/>
  <c r="G230" i="87"/>
  <c r="H231" i="82"/>
  <c r="I231" i="82"/>
  <c r="D231" i="82"/>
  <c r="N231" i="82"/>
  <c r="F230" i="87"/>
  <c r="E230" i="87"/>
  <c r="D230" i="87"/>
  <c r="C230" i="87"/>
  <c r="B230" i="87"/>
  <c r="A229" i="87"/>
  <c r="K229" i="87"/>
  <c r="J229" i="87"/>
  <c r="I229" i="87"/>
  <c r="H229" i="87"/>
  <c r="G229" i="87"/>
  <c r="H230" i="82"/>
  <c r="I230" i="82"/>
  <c r="D230" i="82"/>
  <c r="N230" i="82"/>
  <c r="F229" i="87"/>
  <c r="E229" i="87"/>
  <c r="D229" i="87"/>
  <c r="C229" i="87"/>
  <c r="B229" i="87"/>
  <c r="A228" i="87"/>
  <c r="K228" i="87"/>
  <c r="J228" i="87"/>
  <c r="I228" i="87"/>
  <c r="H228" i="87"/>
  <c r="G228" i="87"/>
  <c r="H229" i="82"/>
  <c r="I229" i="82"/>
  <c r="D229" i="82"/>
  <c r="N229" i="82"/>
  <c r="F228" i="87"/>
  <c r="E228" i="87"/>
  <c r="D228" i="87"/>
  <c r="C228" i="87"/>
  <c r="B228" i="87"/>
  <c r="A227" i="87"/>
  <c r="K227" i="87"/>
  <c r="J227" i="87"/>
  <c r="I227" i="87"/>
  <c r="H227" i="87"/>
  <c r="G227" i="87"/>
  <c r="H228" i="82"/>
  <c r="I228" i="82"/>
  <c r="D228" i="82"/>
  <c r="N228" i="82"/>
  <c r="F227" i="87"/>
  <c r="E227" i="87"/>
  <c r="D227" i="87"/>
  <c r="C227" i="87"/>
  <c r="B227" i="87"/>
  <c r="A226" i="87"/>
  <c r="K226" i="87"/>
  <c r="J226" i="87"/>
  <c r="I226" i="87"/>
  <c r="H226" i="87"/>
  <c r="G226" i="87"/>
  <c r="H227" i="82"/>
  <c r="I227" i="82"/>
  <c r="D227" i="82"/>
  <c r="N227" i="82"/>
  <c r="F226" i="87"/>
  <c r="E226" i="87"/>
  <c r="D226" i="87"/>
  <c r="C226" i="87"/>
  <c r="B226" i="87"/>
  <c r="A225" i="87"/>
  <c r="K225" i="87"/>
  <c r="J225" i="87"/>
  <c r="I225" i="87"/>
  <c r="H225" i="87"/>
  <c r="G225" i="87"/>
  <c r="H226" i="82"/>
  <c r="I226" i="82"/>
  <c r="D226" i="82"/>
  <c r="N226" i="82"/>
  <c r="F225" i="87"/>
  <c r="E225" i="87"/>
  <c r="D225" i="87"/>
  <c r="C225" i="87"/>
  <c r="B225" i="87"/>
  <c r="A224" i="87"/>
  <c r="K224" i="87"/>
  <c r="J224" i="87"/>
  <c r="I224" i="87"/>
  <c r="H224" i="87"/>
  <c r="G224" i="87"/>
  <c r="H225" i="82"/>
  <c r="I225" i="82"/>
  <c r="D225" i="82"/>
  <c r="N225" i="82"/>
  <c r="F224" i="87"/>
  <c r="E224" i="87"/>
  <c r="D224" i="87"/>
  <c r="C224" i="87"/>
  <c r="B224" i="87"/>
  <c r="A223" i="87"/>
  <c r="K223" i="87"/>
  <c r="J223" i="87"/>
  <c r="I223" i="87"/>
  <c r="H223" i="87"/>
  <c r="G223" i="87"/>
  <c r="H224" i="82"/>
  <c r="I224" i="82"/>
  <c r="D224" i="82"/>
  <c r="N224" i="82"/>
  <c r="F223" i="87"/>
  <c r="E223" i="87"/>
  <c r="D223" i="87"/>
  <c r="C223" i="87"/>
  <c r="B223" i="87"/>
  <c r="A222" i="87"/>
  <c r="K222" i="87"/>
  <c r="J222" i="87"/>
  <c r="I222" i="87"/>
  <c r="H222" i="87"/>
  <c r="G222" i="87"/>
  <c r="H223" i="82"/>
  <c r="I223" i="82"/>
  <c r="D223" i="82"/>
  <c r="N223" i="82"/>
  <c r="F222" i="87"/>
  <c r="E222" i="87"/>
  <c r="D222" i="87"/>
  <c r="C222" i="87"/>
  <c r="B222" i="87"/>
  <c r="A221" i="87"/>
  <c r="K221" i="87"/>
  <c r="J221" i="87"/>
  <c r="I221" i="87"/>
  <c r="H221" i="87"/>
  <c r="G221" i="87"/>
  <c r="H222" i="82"/>
  <c r="I222" i="82"/>
  <c r="D222" i="82"/>
  <c r="N222" i="82"/>
  <c r="F221" i="87"/>
  <c r="E221" i="87"/>
  <c r="D221" i="87"/>
  <c r="C221" i="87"/>
  <c r="B221" i="87"/>
  <c r="A220" i="87"/>
  <c r="K220" i="87"/>
  <c r="J220" i="87"/>
  <c r="I220" i="87"/>
  <c r="H220" i="87"/>
  <c r="G220" i="87"/>
  <c r="H221" i="82"/>
  <c r="I221" i="82"/>
  <c r="D221" i="82"/>
  <c r="N221" i="82"/>
  <c r="F220" i="87"/>
  <c r="E220" i="87"/>
  <c r="D220" i="87"/>
  <c r="C220" i="87"/>
  <c r="B220" i="87"/>
  <c r="A219" i="87"/>
  <c r="K219" i="87"/>
  <c r="J219" i="87"/>
  <c r="I219" i="87"/>
  <c r="H219" i="87"/>
  <c r="G219" i="87"/>
  <c r="H220" i="82"/>
  <c r="I220" i="82"/>
  <c r="D220" i="82"/>
  <c r="N220" i="82"/>
  <c r="F219" i="87"/>
  <c r="E219" i="87"/>
  <c r="D219" i="87"/>
  <c r="C219" i="87"/>
  <c r="B219" i="87"/>
  <c r="A218" i="87"/>
  <c r="K218" i="87"/>
  <c r="J218" i="87"/>
  <c r="I218" i="87"/>
  <c r="H218" i="87"/>
  <c r="G218" i="87"/>
  <c r="H219" i="82"/>
  <c r="I219" i="82"/>
  <c r="D219" i="82"/>
  <c r="N219" i="82"/>
  <c r="F218" i="87"/>
  <c r="E218" i="87"/>
  <c r="D218" i="87"/>
  <c r="C218" i="87"/>
  <c r="B218" i="87"/>
  <c r="A217" i="87"/>
  <c r="K217" i="87"/>
  <c r="J217" i="87"/>
  <c r="I217" i="87"/>
  <c r="H217" i="87"/>
  <c r="G217" i="87"/>
  <c r="H218" i="82"/>
  <c r="I218" i="82"/>
  <c r="D218" i="82"/>
  <c r="N218" i="82"/>
  <c r="F217" i="87"/>
  <c r="E217" i="87"/>
  <c r="D217" i="87"/>
  <c r="C217" i="87"/>
  <c r="B217" i="87"/>
  <c r="A216" i="87"/>
  <c r="K216" i="87"/>
  <c r="J216" i="87"/>
  <c r="I216" i="87"/>
  <c r="H216" i="87"/>
  <c r="G216" i="87"/>
  <c r="H217" i="82"/>
  <c r="I217" i="82"/>
  <c r="D217" i="82"/>
  <c r="N217" i="82"/>
  <c r="F216" i="87"/>
  <c r="E216" i="87"/>
  <c r="D216" i="87"/>
  <c r="C216" i="87"/>
  <c r="B216" i="87"/>
  <c r="A215" i="87"/>
  <c r="K215" i="87"/>
  <c r="J215" i="87"/>
  <c r="I215" i="87"/>
  <c r="H215" i="87"/>
  <c r="G215" i="87"/>
  <c r="H216" i="82"/>
  <c r="I216" i="82"/>
  <c r="D216" i="82"/>
  <c r="N216" i="82"/>
  <c r="F215" i="87"/>
  <c r="E215" i="87"/>
  <c r="D215" i="87"/>
  <c r="C215" i="87"/>
  <c r="B215" i="87"/>
  <c r="A214" i="87"/>
  <c r="K214" i="87"/>
  <c r="J214" i="87"/>
  <c r="I214" i="87"/>
  <c r="H214" i="87"/>
  <c r="G214" i="87"/>
  <c r="H215" i="82"/>
  <c r="I215" i="82"/>
  <c r="D215" i="82"/>
  <c r="N215" i="82"/>
  <c r="F214" i="87"/>
  <c r="E214" i="87"/>
  <c r="D214" i="87"/>
  <c r="C214" i="87"/>
  <c r="B214" i="87"/>
  <c r="A213" i="87"/>
  <c r="K213" i="87"/>
  <c r="J213" i="87"/>
  <c r="I213" i="87"/>
  <c r="H213" i="87"/>
  <c r="G213" i="87"/>
  <c r="H214" i="82"/>
  <c r="I214" i="82"/>
  <c r="D214" i="82"/>
  <c r="N214" i="82"/>
  <c r="F213" i="87"/>
  <c r="E213" i="87"/>
  <c r="D213" i="87"/>
  <c r="C213" i="87"/>
  <c r="B213" i="87"/>
  <c r="A212" i="87"/>
  <c r="K212" i="87"/>
  <c r="J212" i="87"/>
  <c r="I212" i="87"/>
  <c r="H212" i="87"/>
  <c r="G212" i="87"/>
  <c r="H213" i="82"/>
  <c r="I213" i="82"/>
  <c r="D213" i="82"/>
  <c r="N213" i="82"/>
  <c r="F212" i="87"/>
  <c r="E212" i="87"/>
  <c r="D212" i="87"/>
  <c r="C212" i="87"/>
  <c r="B212" i="87"/>
  <c r="A211" i="87"/>
  <c r="K211" i="87"/>
  <c r="J211" i="87"/>
  <c r="I211" i="87"/>
  <c r="H211" i="87"/>
  <c r="G211" i="87"/>
  <c r="H212" i="82"/>
  <c r="I212" i="82"/>
  <c r="D212" i="82"/>
  <c r="N212" i="82"/>
  <c r="F211" i="87"/>
  <c r="E211" i="87"/>
  <c r="D211" i="87"/>
  <c r="C211" i="87"/>
  <c r="B211" i="87"/>
  <c r="A210" i="87"/>
  <c r="K210" i="87"/>
  <c r="J210" i="87"/>
  <c r="I210" i="87"/>
  <c r="H210" i="87"/>
  <c r="G210" i="87"/>
  <c r="H211" i="82"/>
  <c r="I211" i="82"/>
  <c r="D211" i="82"/>
  <c r="N211" i="82"/>
  <c r="F210" i="87"/>
  <c r="E210" i="87"/>
  <c r="D210" i="87"/>
  <c r="C210" i="87"/>
  <c r="B210" i="87"/>
  <c r="A209" i="87"/>
  <c r="K209" i="87"/>
  <c r="J209" i="87"/>
  <c r="I209" i="87"/>
  <c r="H209" i="87"/>
  <c r="G209" i="87"/>
  <c r="H210" i="82"/>
  <c r="I210" i="82"/>
  <c r="D210" i="82"/>
  <c r="N210" i="82"/>
  <c r="F209" i="87"/>
  <c r="E209" i="87"/>
  <c r="D209" i="87"/>
  <c r="C209" i="87"/>
  <c r="B209" i="87"/>
  <c r="A208" i="87"/>
  <c r="K208" i="87"/>
  <c r="J208" i="87"/>
  <c r="I208" i="87"/>
  <c r="H208" i="87"/>
  <c r="G208" i="87"/>
  <c r="H209" i="82"/>
  <c r="I209" i="82"/>
  <c r="D209" i="82"/>
  <c r="N209" i="82"/>
  <c r="F208" i="87"/>
  <c r="E208" i="87"/>
  <c r="D208" i="87"/>
  <c r="C208" i="87"/>
  <c r="B208" i="87"/>
  <c r="A207" i="87"/>
  <c r="K207" i="87"/>
  <c r="J207" i="87"/>
  <c r="I207" i="87"/>
  <c r="H207" i="87"/>
  <c r="G207" i="87"/>
  <c r="H208" i="82"/>
  <c r="I208" i="82"/>
  <c r="D208" i="82"/>
  <c r="N208" i="82"/>
  <c r="F207" i="87"/>
  <c r="E207" i="87"/>
  <c r="D207" i="87"/>
  <c r="C207" i="87"/>
  <c r="B207" i="87"/>
  <c r="A206" i="87"/>
  <c r="K206" i="87"/>
  <c r="J206" i="87"/>
  <c r="I206" i="87"/>
  <c r="H206" i="87"/>
  <c r="G206" i="87"/>
  <c r="H207" i="82"/>
  <c r="I207" i="82"/>
  <c r="D207" i="82"/>
  <c r="N207" i="82"/>
  <c r="F206" i="87"/>
  <c r="E206" i="87"/>
  <c r="D206" i="87"/>
  <c r="C206" i="87"/>
  <c r="B206" i="87"/>
  <c r="A205" i="87"/>
  <c r="K205" i="87"/>
  <c r="J205" i="87"/>
  <c r="I205" i="87"/>
  <c r="H205" i="87"/>
  <c r="G205" i="87"/>
  <c r="H206" i="82"/>
  <c r="I206" i="82"/>
  <c r="D206" i="82"/>
  <c r="N206" i="82"/>
  <c r="F205" i="87"/>
  <c r="E205" i="87"/>
  <c r="D205" i="87"/>
  <c r="C205" i="87"/>
  <c r="B205" i="87"/>
  <c r="A204" i="87"/>
  <c r="K204" i="87"/>
  <c r="J204" i="87"/>
  <c r="I204" i="87"/>
  <c r="H204" i="87"/>
  <c r="G204" i="87"/>
  <c r="H205" i="82"/>
  <c r="I205" i="82"/>
  <c r="D205" i="82"/>
  <c r="N205" i="82"/>
  <c r="F204" i="87"/>
  <c r="E204" i="87"/>
  <c r="D204" i="87"/>
  <c r="C204" i="87"/>
  <c r="B204" i="87"/>
  <c r="A203" i="87"/>
  <c r="K203" i="87"/>
  <c r="J203" i="87"/>
  <c r="I203" i="87"/>
  <c r="H203" i="87"/>
  <c r="G203" i="87"/>
  <c r="H204" i="82"/>
  <c r="I204" i="82"/>
  <c r="D204" i="82"/>
  <c r="N204" i="82"/>
  <c r="F203" i="87"/>
  <c r="E203" i="87"/>
  <c r="D203" i="87"/>
  <c r="C203" i="87"/>
  <c r="B203" i="87"/>
  <c r="A202" i="87"/>
  <c r="K202" i="87"/>
  <c r="J202" i="87"/>
  <c r="I202" i="87"/>
  <c r="H202" i="87"/>
  <c r="G202" i="87"/>
  <c r="H203" i="82"/>
  <c r="I203" i="82"/>
  <c r="D203" i="82"/>
  <c r="N203" i="82"/>
  <c r="F202" i="87"/>
  <c r="E202" i="87"/>
  <c r="D202" i="87"/>
  <c r="C202" i="87"/>
  <c r="B202" i="87"/>
  <c r="A201" i="87"/>
  <c r="K201" i="87"/>
  <c r="J201" i="87"/>
  <c r="I201" i="87"/>
  <c r="H201" i="87"/>
  <c r="G201" i="87"/>
  <c r="H202" i="82"/>
  <c r="I202" i="82"/>
  <c r="D202" i="82"/>
  <c r="N202" i="82"/>
  <c r="F201" i="87"/>
  <c r="E201" i="87"/>
  <c r="D201" i="87"/>
  <c r="C201" i="87"/>
  <c r="B201" i="87"/>
  <c r="A200" i="87"/>
  <c r="K200" i="87"/>
  <c r="J200" i="87"/>
  <c r="I200" i="87"/>
  <c r="H200" i="87"/>
  <c r="G200" i="87"/>
  <c r="H201" i="82"/>
  <c r="I201" i="82"/>
  <c r="D201" i="82"/>
  <c r="N201" i="82"/>
  <c r="F200" i="87"/>
  <c r="E200" i="87"/>
  <c r="D200" i="87"/>
  <c r="C200" i="87"/>
  <c r="B200" i="87"/>
  <c r="A199" i="87"/>
  <c r="K199" i="87"/>
  <c r="J199" i="87"/>
  <c r="I199" i="87"/>
  <c r="H199" i="87"/>
  <c r="G199" i="87"/>
  <c r="H200" i="82"/>
  <c r="I200" i="82"/>
  <c r="D200" i="82"/>
  <c r="N200" i="82"/>
  <c r="F199" i="87"/>
  <c r="E199" i="87"/>
  <c r="D199" i="87"/>
  <c r="C199" i="87"/>
  <c r="B199" i="87"/>
  <c r="A198" i="87"/>
  <c r="K198" i="87"/>
  <c r="J198" i="87"/>
  <c r="I198" i="87"/>
  <c r="H198" i="87"/>
  <c r="G198" i="87"/>
  <c r="H199" i="82"/>
  <c r="I199" i="82"/>
  <c r="D199" i="82"/>
  <c r="N199" i="82"/>
  <c r="F198" i="87"/>
  <c r="E198" i="87"/>
  <c r="D198" i="87"/>
  <c r="C198" i="87"/>
  <c r="B198" i="87"/>
  <c r="A197" i="87"/>
  <c r="K197" i="87"/>
  <c r="J197" i="87"/>
  <c r="I197" i="87"/>
  <c r="H197" i="87"/>
  <c r="G197" i="87"/>
  <c r="H198" i="82"/>
  <c r="I198" i="82"/>
  <c r="D198" i="82"/>
  <c r="N198" i="82"/>
  <c r="F197" i="87"/>
  <c r="E197" i="87"/>
  <c r="D197" i="87"/>
  <c r="C197" i="87"/>
  <c r="B197" i="87"/>
  <c r="A196" i="87"/>
  <c r="K196" i="87"/>
  <c r="J196" i="87"/>
  <c r="I196" i="87"/>
  <c r="H196" i="87"/>
  <c r="G196" i="87"/>
  <c r="H197" i="82"/>
  <c r="I197" i="82"/>
  <c r="D197" i="82"/>
  <c r="N197" i="82"/>
  <c r="F196" i="87"/>
  <c r="E196" i="87"/>
  <c r="D196" i="87"/>
  <c r="C196" i="87"/>
  <c r="B196" i="87"/>
  <c r="A195" i="87"/>
  <c r="K195" i="87"/>
  <c r="J195" i="87"/>
  <c r="I195" i="87"/>
  <c r="H195" i="87"/>
  <c r="G195" i="87"/>
  <c r="H196" i="82"/>
  <c r="I196" i="82"/>
  <c r="D196" i="82"/>
  <c r="N196" i="82"/>
  <c r="F195" i="87"/>
  <c r="E195" i="87"/>
  <c r="D195" i="87"/>
  <c r="C195" i="87"/>
  <c r="B195" i="87"/>
  <c r="A194" i="87"/>
  <c r="K194" i="87"/>
  <c r="J194" i="87"/>
  <c r="I194" i="87"/>
  <c r="H194" i="87"/>
  <c r="G194" i="87"/>
  <c r="H195" i="82"/>
  <c r="I195" i="82"/>
  <c r="D195" i="82"/>
  <c r="N195" i="82"/>
  <c r="F194" i="87"/>
  <c r="E194" i="87"/>
  <c r="D194" i="87"/>
  <c r="C194" i="87"/>
  <c r="B194" i="87"/>
  <c r="A193" i="87"/>
  <c r="K193" i="87"/>
  <c r="J193" i="87"/>
  <c r="I193" i="87"/>
  <c r="H193" i="87"/>
  <c r="G193" i="87"/>
  <c r="H194" i="82"/>
  <c r="I194" i="82"/>
  <c r="D194" i="82"/>
  <c r="N194" i="82"/>
  <c r="F193" i="87"/>
  <c r="E193" i="87"/>
  <c r="D193" i="87"/>
  <c r="C193" i="87"/>
  <c r="B193" i="87"/>
  <c r="A192" i="87"/>
  <c r="K192" i="87"/>
  <c r="J192" i="87"/>
  <c r="I192" i="87"/>
  <c r="H192" i="87"/>
  <c r="G192" i="87"/>
  <c r="H193" i="82"/>
  <c r="I193" i="82"/>
  <c r="D193" i="82"/>
  <c r="N193" i="82"/>
  <c r="F192" i="87"/>
  <c r="E192" i="87"/>
  <c r="D192" i="87"/>
  <c r="C192" i="87"/>
  <c r="B192" i="87"/>
  <c r="A191" i="87"/>
  <c r="K191" i="87"/>
  <c r="J191" i="87"/>
  <c r="I191" i="87"/>
  <c r="H191" i="87"/>
  <c r="G191" i="87"/>
  <c r="H192" i="82"/>
  <c r="I192" i="82"/>
  <c r="D192" i="82"/>
  <c r="N192" i="82"/>
  <c r="F191" i="87"/>
  <c r="E191" i="87"/>
  <c r="D191" i="87"/>
  <c r="C191" i="87"/>
  <c r="B191" i="87"/>
  <c r="A190" i="87"/>
  <c r="K190" i="87"/>
  <c r="J190" i="87"/>
  <c r="I190" i="87"/>
  <c r="H190" i="87"/>
  <c r="G190" i="87"/>
  <c r="H191" i="82"/>
  <c r="I191" i="82"/>
  <c r="D191" i="82"/>
  <c r="N191" i="82"/>
  <c r="F190" i="87"/>
  <c r="E190" i="87"/>
  <c r="D190" i="87"/>
  <c r="C190" i="87"/>
  <c r="B190" i="87"/>
  <c r="A189" i="87"/>
  <c r="K189" i="87"/>
  <c r="J189" i="87"/>
  <c r="I189" i="87"/>
  <c r="H189" i="87"/>
  <c r="G189" i="87"/>
  <c r="H190" i="82"/>
  <c r="I190" i="82"/>
  <c r="D190" i="82"/>
  <c r="N190" i="82"/>
  <c r="F189" i="87"/>
  <c r="E189" i="87"/>
  <c r="D189" i="87"/>
  <c r="C189" i="87"/>
  <c r="B189" i="87"/>
  <c r="A188" i="87"/>
  <c r="K188" i="87"/>
  <c r="J188" i="87"/>
  <c r="I188" i="87"/>
  <c r="H188" i="87"/>
  <c r="G188" i="87"/>
  <c r="H189" i="82"/>
  <c r="I189" i="82"/>
  <c r="D189" i="82"/>
  <c r="N189" i="82"/>
  <c r="F188" i="87"/>
  <c r="E188" i="87"/>
  <c r="D188" i="87"/>
  <c r="C188" i="87"/>
  <c r="B188" i="87"/>
  <c r="A187" i="87"/>
  <c r="K187" i="87"/>
  <c r="J187" i="87"/>
  <c r="I187" i="87"/>
  <c r="H187" i="87"/>
  <c r="G187" i="87"/>
  <c r="H188" i="82"/>
  <c r="I188" i="82"/>
  <c r="D188" i="82"/>
  <c r="N188" i="82"/>
  <c r="F187" i="87"/>
  <c r="E187" i="87"/>
  <c r="D187" i="87"/>
  <c r="C187" i="87"/>
  <c r="B187" i="87"/>
  <c r="A186" i="87"/>
  <c r="K186" i="87"/>
  <c r="J186" i="87"/>
  <c r="I186" i="87"/>
  <c r="H186" i="87"/>
  <c r="G186" i="87"/>
  <c r="H187" i="82"/>
  <c r="I187" i="82"/>
  <c r="D187" i="82"/>
  <c r="N187" i="82"/>
  <c r="F186" i="87"/>
  <c r="E186" i="87"/>
  <c r="D186" i="87"/>
  <c r="C186" i="87"/>
  <c r="B186" i="87"/>
  <c r="A185" i="87"/>
  <c r="K185" i="87"/>
  <c r="J185" i="87"/>
  <c r="I185" i="87"/>
  <c r="H185" i="87"/>
  <c r="G185" i="87"/>
  <c r="H186" i="82"/>
  <c r="I186" i="82"/>
  <c r="D186" i="82"/>
  <c r="N186" i="82"/>
  <c r="F185" i="87"/>
  <c r="E185" i="87"/>
  <c r="D185" i="87"/>
  <c r="C185" i="87"/>
  <c r="B185" i="87"/>
  <c r="A184" i="87"/>
  <c r="K184" i="87"/>
  <c r="J184" i="87"/>
  <c r="I184" i="87"/>
  <c r="H184" i="87"/>
  <c r="G184" i="87"/>
  <c r="H185" i="82"/>
  <c r="I185" i="82"/>
  <c r="D185" i="82"/>
  <c r="N185" i="82"/>
  <c r="F184" i="87"/>
  <c r="E184" i="87"/>
  <c r="D184" i="87"/>
  <c r="C184" i="87"/>
  <c r="B184" i="87"/>
  <c r="A183" i="87"/>
  <c r="K183" i="87"/>
  <c r="J183" i="87"/>
  <c r="I183" i="87"/>
  <c r="H183" i="87"/>
  <c r="G183" i="87"/>
  <c r="H184" i="82"/>
  <c r="I184" i="82"/>
  <c r="D184" i="82"/>
  <c r="N184" i="82"/>
  <c r="F183" i="87"/>
  <c r="E183" i="87"/>
  <c r="D183" i="87"/>
  <c r="C183" i="87"/>
  <c r="B183" i="87"/>
  <c r="A182" i="87"/>
  <c r="K182" i="87"/>
  <c r="J182" i="87"/>
  <c r="I182" i="87"/>
  <c r="H182" i="87"/>
  <c r="G182" i="87"/>
  <c r="H183" i="82"/>
  <c r="I183" i="82"/>
  <c r="D183" i="82"/>
  <c r="N183" i="82"/>
  <c r="F182" i="87"/>
  <c r="E182" i="87"/>
  <c r="D182" i="87"/>
  <c r="C182" i="87"/>
  <c r="B182" i="87"/>
  <c r="A181" i="87"/>
  <c r="K181" i="87"/>
  <c r="J181" i="87"/>
  <c r="I181" i="87"/>
  <c r="H181" i="87"/>
  <c r="G181" i="87"/>
  <c r="H182" i="82"/>
  <c r="I182" i="82"/>
  <c r="D182" i="82"/>
  <c r="N182" i="82"/>
  <c r="F181" i="87"/>
  <c r="E181" i="87"/>
  <c r="D181" i="87"/>
  <c r="C181" i="87"/>
  <c r="B181" i="87"/>
  <c r="A180" i="87"/>
  <c r="K180" i="87"/>
  <c r="J180" i="87"/>
  <c r="I180" i="87"/>
  <c r="H180" i="87"/>
  <c r="G180" i="87"/>
  <c r="H181" i="82"/>
  <c r="I181" i="82"/>
  <c r="D181" i="82"/>
  <c r="N181" i="82"/>
  <c r="F180" i="87"/>
  <c r="E180" i="87"/>
  <c r="D180" i="87"/>
  <c r="C180" i="87"/>
  <c r="B180" i="87"/>
  <c r="A179" i="87"/>
  <c r="K179" i="87"/>
  <c r="J179" i="87"/>
  <c r="I179" i="87"/>
  <c r="H179" i="87"/>
  <c r="G179" i="87"/>
  <c r="H180" i="82"/>
  <c r="I180" i="82"/>
  <c r="D180" i="82"/>
  <c r="N180" i="82"/>
  <c r="F179" i="87"/>
  <c r="E179" i="87"/>
  <c r="D179" i="87"/>
  <c r="C179" i="87"/>
  <c r="B179" i="87"/>
  <c r="A178" i="87"/>
  <c r="K178" i="87"/>
  <c r="J178" i="87"/>
  <c r="I178" i="87"/>
  <c r="H178" i="87"/>
  <c r="G178" i="87"/>
  <c r="H179" i="82"/>
  <c r="I179" i="82"/>
  <c r="D179" i="82"/>
  <c r="N179" i="82"/>
  <c r="F178" i="87"/>
  <c r="E178" i="87"/>
  <c r="D178" i="87"/>
  <c r="C178" i="87"/>
  <c r="B178" i="87"/>
  <c r="A177" i="87"/>
  <c r="K177" i="87"/>
  <c r="J177" i="87"/>
  <c r="I177" i="87"/>
  <c r="H177" i="87"/>
  <c r="G177" i="87"/>
  <c r="H178" i="82"/>
  <c r="I178" i="82"/>
  <c r="D178" i="82"/>
  <c r="N178" i="82"/>
  <c r="F177" i="87"/>
  <c r="E177" i="87"/>
  <c r="D177" i="87"/>
  <c r="C177" i="87"/>
  <c r="B177" i="87"/>
  <c r="A176" i="87"/>
  <c r="K176" i="87"/>
  <c r="J176" i="87"/>
  <c r="I176" i="87"/>
  <c r="H176" i="87"/>
  <c r="G176" i="87"/>
  <c r="H177" i="82"/>
  <c r="I177" i="82"/>
  <c r="D177" i="82"/>
  <c r="N177" i="82"/>
  <c r="F176" i="87"/>
  <c r="E176" i="87"/>
  <c r="D176" i="87"/>
  <c r="C176" i="87"/>
  <c r="B176" i="87"/>
  <c r="A175" i="87"/>
  <c r="K175" i="87"/>
  <c r="J175" i="87"/>
  <c r="I175" i="87"/>
  <c r="H175" i="87"/>
  <c r="G175" i="87"/>
  <c r="H176" i="82"/>
  <c r="I176" i="82"/>
  <c r="D176" i="82"/>
  <c r="N176" i="82"/>
  <c r="F175" i="87"/>
  <c r="E175" i="87"/>
  <c r="D175" i="87"/>
  <c r="C175" i="87"/>
  <c r="B175" i="87"/>
  <c r="A174" i="87"/>
  <c r="K174" i="87"/>
  <c r="J174" i="87"/>
  <c r="I174" i="87"/>
  <c r="H174" i="87"/>
  <c r="G174" i="87"/>
  <c r="H175" i="82"/>
  <c r="I175" i="82"/>
  <c r="D175" i="82"/>
  <c r="N175" i="82"/>
  <c r="F174" i="87"/>
  <c r="E174" i="87"/>
  <c r="D174" i="87"/>
  <c r="C174" i="87"/>
  <c r="B174" i="87"/>
  <c r="A173" i="87"/>
  <c r="K173" i="87"/>
  <c r="J173" i="87"/>
  <c r="I173" i="87"/>
  <c r="H173" i="87"/>
  <c r="G173" i="87"/>
  <c r="H174" i="82"/>
  <c r="I174" i="82"/>
  <c r="D174" i="82"/>
  <c r="N174" i="82"/>
  <c r="F173" i="87"/>
  <c r="E173" i="87"/>
  <c r="D173" i="87"/>
  <c r="C173" i="87"/>
  <c r="B173" i="87"/>
  <c r="A172" i="87"/>
  <c r="K172" i="87"/>
  <c r="J172" i="87"/>
  <c r="I172" i="87"/>
  <c r="H172" i="87"/>
  <c r="G172" i="87"/>
  <c r="H173" i="82"/>
  <c r="I173" i="82"/>
  <c r="D173" i="82"/>
  <c r="N173" i="82"/>
  <c r="F172" i="87"/>
  <c r="E172" i="87"/>
  <c r="D172" i="87"/>
  <c r="C172" i="87"/>
  <c r="B172" i="87"/>
  <c r="A171" i="87"/>
  <c r="K171" i="87"/>
  <c r="J171" i="87"/>
  <c r="I171" i="87"/>
  <c r="H171" i="87"/>
  <c r="G171" i="87"/>
  <c r="H172" i="82"/>
  <c r="I172" i="82"/>
  <c r="D172" i="82"/>
  <c r="N172" i="82"/>
  <c r="F171" i="87"/>
  <c r="E171" i="87"/>
  <c r="D171" i="87"/>
  <c r="C171" i="87"/>
  <c r="B171" i="87"/>
  <c r="A170" i="87"/>
  <c r="K170" i="87"/>
  <c r="J170" i="87"/>
  <c r="I170" i="87"/>
  <c r="H170" i="87"/>
  <c r="G170" i="87"/>
  <c r="H171" i="82"/>
  <c r="I171" i="82"/>
  <c r="D171" i="82"/>
  <c r="N171" i="82"/>
  <c r="F170" i="87"/>
  <c r="E170" i="87"/>
  <c r="D170" i="87"/>
  <c r="C170" i="87"/>
  <c r="B170" i="87"/>
  <c r="A169" i="87"/>
  <c r="K169" i="87"/>
  <c r="J169" i="87"/>
  <c r="I169" i="87"/>
  <c r="H169" i="87"/>
  <c r="G169" i="87"/>
  <c r="H170" i="82"/>
  <c r="I170" i="82"/>
  <c r="D170" i="82"/>
  <c r="N170" i="82"/>
  <c r="F169" i="87"/>
  <c r="E169" i="87"/>
  <c r="D169" i="87"/>
  <c r="C169" i="87"/>
  <c r="B169" i="87"/>
  <c r="A168" i="87"/>
  <c r="K168" i="87"/>
  <c r="J168" i="87"/>
  <c r="I168" i="87"/>
  <c r="H168" i="87"/>
  <c r="G168" i="87"/>
  <c r="H169" i="82"/>
  <c r="I169" i="82"/>
  <c r="D169" i="82"/>
  <c r="N169" i="82"/>
  <c r="F168" i="87"/>
  <c r="E168" i="87"/>
  <c r="D168" i="87"/>
  <c r="C168" i="87"/>
  <c r="B168" i="87"/>
  <c r="A167" i="87"/>
  <c r="K167" i="87"/>
  <c r="J167" i="87"/>
  <c r="I167" i="87"/>
  <c r="H167" i="87"/>
  <c r="G167" i="87"/>
  <c r="H168" i="82"/>
  <c r="I168" i="82"/>
  <c r="D168" i="82"/>
  <c r="N168" i="82"/>
  <c r="F167" i="87"/>
  <c r="E167" i="87"/>
  <c r="D167" i="87"/>
  <c r="C167" i="87"/>
  <c r="B167" i="87"/>
  <c r="A166" i="87"/>
  <c r="K166" i="87"/>
  <c r="J166" i="87"/>
  <c r="I166" i="87"/>
  <c r="H166" i="87"/>
  <c r="G166" i="87"/>
  <c r="H167" i="82"/>
  <c r="I167" i="82"/>
  <c r="D167" i="82"/>
  <c r="N167" i="82"/>
  <c r="F166" i="87"/>
  <c r="E166" i="87"/>
  <c r="D166" i="87"/>
  <c r="C166" i="87"/>
  <c r="B166" i="87"/>
  <c r="A165" i="87"/>
  <c r="K165" i="87"/>
  <c r="J165" i="87"/>
  <c r="I165" i="87"/>
  <c r="H165" i="87"/>
  <c r="G165" i="87"/>
  <c r="H166" i="82"/>
  <c r="I166" i="82"/>
  <c r="D166" i="82"/>
  <c r="N166" i="82"/>
  <c r="F165" i="87"/>
  <c r="E165" i="87"/>
  <c r="D165" i="87"/>
  <c r="C165" i="87"/>
  <c r="B165" i="87"/>
  <c r="A164" i="87"/>
  <c r="K164" i="87"/>
  <c r="J164" i="87"/>
  <c r="I164" i="87"/>
  <c r="H164" i="87"/>
  <c r="G164" i="87"/>
  <c r="H165" i="82"/>
  <c r="I165" i="82"/>
  <c r="D165" i="82"/>
  <c r="N165" i="82"/>
  <c r="F164" i="87"/>
  <c r="E164" i="87"/>
  <c r="D164" i="87"/>
  <c r="C164" i="87"/>
  <c r="B164" i="87"/>
  <c r="A163" i="87"/>
  <c r="K163" i="87"/>
  <c r="J163" i="87"/>
  <c r="I163" i="87"/>
  <c r="H163" i="87"/>
  <c r="G163" i="87"/>
  <c r="H164" i="82"/>
  <c r="I164" i="82"/>
  <c r="D164" i="82"/>
  <c r="N164" i="82"/>
  <c r="F163" i="87"/>
  <c r="E163" i="87"/>
  <c r="D163" i="87"/>
  <c r="C163" i="87"/>
  <c r="B163" i="87"/>
  <c r="A162" i="87"/>
  <c r="K162" i="87"/>
  <c r="J162" i="87"/>
  <c r="I162" i="87"/>
  <c r="H162" i="87"/>
  <c r="G162" i="87"/>
  <c r="H163" i="82"/>
  <c r="I163" i="82"/>
  <c r="D163" i="82"/>
  <c r="N163" i="82"/>
  <c r="F162" i="87"/>
  <c r="E162" i="87"/>
  <c r="D162" i="87"/>
  <c r="C162" i="87"/>
  <c r="B162" i="87"/>
  <c r="A161" i="87"/>
  <c r="K161" i="87"/>
  <c r="J161" i="87"/>
  <c r="I161" i="87"/>
  <c r="H161" i="87"/>
  <c r="G161" i="87"/>
  <c r="H162" i="82"/>
  <c r="I162" i="82"/>
  <c r="D162" i="82"/>
  <c r="N162" i="82"/>
  <c r="F161" i="87"/>
  <c r="E161" i="87"/>
  <c r="D161" i="87"/>
  <c r="C161" i="87"/>
  <c r="B161" i="87"/>
  <c r="A160" i="87"/>
  <c r="K160" i="87"/>
  <c r="J160" i="87"/>
  <c r="I160" i="87"/>
  <c r="H160" i="87"/>
  <c r="G160" i="87"/>
  <c r="H161" i="82"/>
  <c r="I161" i="82"/>
  <c r="D161" i="82"/>
  <c r="N161" i="82"/>
  <c r="F160" i="87"/>
  <c r="E160" i="87"/>
  <c r="D160" i="87"/>
  <c r="C160" i="87"/>
  <c r="B160" i="87"/>
  <c r="A159" i="87"/>
  <c r="K159" i="87"/>
  <c r="J159" i="87"/>
  <c r="I159" i="87"/>
  <c r="H159" i="87"/>
  <c r="G159" i="87"/>
  <c r="H160" i="82"/>
  <c r="I160" i="82"/>
  <c r="D160" i="82"/>
  <c r="N160" i="82"/>
  <c r="F159" i="87"/>
  <c r="E159" i="87"/>
  <c r="D159" i="87"/>
  <c r="C159" i="87"/>
  <c r="B159" i="87"/>
  <c r="A158" i="87"/>
  <c r="K158" i="87"/>
  <c r="J158" i="87"/>
  <c r="I158" i="87"/>
  <c r="H158" i="87"/>
  <c r="G158" i="87"/>
  <c r="H159" i="82"/>
  <c r="I159" i="82"/>
  <c r="D159" i="82"/>
  <c r="N159" i="82"/>
  <c r="F158" i="87"/>
  <c r="E158" i="87"/>
  <c r="D158" i="87"/>
  <c r="C158" i="87"/>
  <c r="B158" i="87"/>
  <c r="A157" i="87"/>
  <c r="K157" i="87"/>
  <c r="J157" i="87"/>
  <c r="I157" i="87"/>
  <c r="H157" i="87"/>
  <c r="G157" i="87"/>
  <c r="H158" i="82"/>
  <c r="I158" i="82"/>
  <c r="D158" i="82"/>
  <c r="N158" i="82"/>
  <c r="F157" i="87"/>
  <c r="E157" i="87"/>
  <c r="D157" i="87"/>
  <c r="C157" i="87"/>
  <c r="B157" i="87"/>
  <c r="A156" i="87"/>
  <c r="K156" i="87"/>
  <c r="J156" i="87"/>
  <c r="I156" i="87"/>
  <c r="H156" i="87"/>
  <c r="G156" i="87"/>
  <c r="H157" i="82"/>
  <c r="I157" i="82"/>
  <c r="D157" i="82"/>
  <c r="N157" i="82"/>
  <c r="F156" i="87"/>
  <c r="E156" i="87"/>
  <c r="D156" i="87"/>
  <c r="C156" i="87"/>
  <c r="B156" i="87"/>
  <c r="A155" i="87"/>
  <c r="K155" i="87"/>
  <c r="J155" i="87"/>
  <c r="I155" i="87"/>
  <c r="H155" i="87"/>
  <c r="G155" i="87"/>
  <c r="H156" i="82"/>
  <c r="I156" i="82"/>
  <c r="D156" i="82"/>
  <c r="N156" i="82"/>
  <c r="F155" i="87"/>
  <c r="E155" i="87"/>
  <c r="D155" i="87"/>
  <c r="C155" i="87"/>
  <c r="B155" i="87"/>
  <c r="A154" i="87"/>
  <c r="K154" i="87"/>
  <c r="J154" i="87"/>
  <c r="I154" i="87"/>
  <c r="H154" i="87"/>
  <c r="G154" i="87"/>
  <c r="H155" i="82"/>
  <c r="I155" i="82"/>
  <c r="D155" i="82"/>
  <c r="N155" i="82"/>
  <c r="F154" i="87"/>
  <c r="E154" i="87"/>
  <c r="D154" i="87"/>
  <c r="C154" i="87"/>
  <c r="B154" i="87"/>
  <c r="A153" i="87"/>
  <c r="K153" i="87"/>
  <c r="J153" i="87"/>
  <c r="I153" i="87"/>
  <c r="H153" i="87"/>
  <c r="G153" i="87"/>
  <c r="H154" i="82"/>
  <c r="I154" i="82"/>
  <c r="D154" i="82"/>
  <c r="N154" i="82"/>
  <c r="F153" i="87"/>
  <c r="E153" i="87"/>
  <c r="D153" i="87"/>
  <c r="C153" i="87"/>
  <c r="B153" i="87"/>
  <c r="A152" i="87"/>
  <c r="K152" i="87"/>
  <c r="J152" i="87"/>
  <c r="I152" i="87"/>
  <c r="H152" i="87"/>
  <c r="G152" i="87"/>
  <c r="H153" i="82"/>
  <c r="I153" i="82"/>
  <c r="D153" i="82"/>
  <c r="N153" i="82"/>
  <c r="F152" i="87"/>
  <c r="E152" i="87"/>
  <c r="D152" i="87"/>
  <c r="C152" i="87"/>
  <c r="B152" i="87"/>
  <c r="A151" i="87"/>
  <c r="K151" i="87"/>
  <c r="J151" i="87"/>
  <c r="I151" i="87"/>
  <c r="H151" i="87"/>
  <c r="G151" i="87"/>
  <c r="H152" i="82"/>
  <c r="I152" i="82"/>
  <c r="D152" i="82"/>
  <c r="N152" i="82"/>
  <c r="F151" i="87"/>
  <c r="E151" i="87"/>
  <c r="D151" i="87"/>
  <c r="C151" i="87"/>
  <c r="B151" i="87"/>
  <c r="A150" i="87"/>
  <c r="K150" i="87"/>
  <c r="J150" i="87"/>
  <c r="I150" i="87"/>
  <c r="H150" i="87"/>
  <c r="G150" i="87"/>
  <c r="H151" i="82"/>
  <c r="I151" i="82"/>
  <c r="D151" i="82"/>
  <c r="N151" i="82"/>
  <c r="F150" i="87"/>
  <c r="E150" i="87"/>
  <c r="D150" i="87"/>
  <c r="C150" i="87"/>
  <c r="B150" i="87"/>
  <c r="A149" i="87"/>
  <c r="K149" i="87"/>
  <c r="J149" i="87"/>
  <c r="I149" i="87"/>
  <c r="H149" i="87"/>
  <c r="G149" i="87"/>
  <c r="H150" i="82"/>
  <c r="I150" i="82"/>
  <c r="D150" i="82"/>
  <c r="N150" i="82"/>
  <c r="F149" i="87"/>
  <c r="E149" i="87"/>
  <c r="D149" i="87"/>
  <c r="C149" i="87"/>
  <c r="B149" i="87"/>
  <c r="A148" i="87"/>
  <c r="K148" i="87"/>
  <c r="J148" i="87"/>
  <c r="I148" i="87"/>
  <c r="H148" i="87"/>
  <c r="G148" i="87"/>
  <c r="H149" i="82"/>
  <c r="I149" i="82"/>
  <c r="D149" i="82"/>
  <c r="N149" i="82"/>
  <c r="F148" i="87"/>
  <c r="E148" i="87"/>
  <c r="D148" i="87"/>
  <c r="C148" i="87"/>
  <c r="B148" i="87"/>
  <c r="A147" i="87"/>
  <c r="K147" i="87"/>
  <c r="J147" i="87"/>
  <c r="I147" i="87"/>
  <c r="H147" i="87"/>
  <c r="G147" i="87"/>
  <c r="H148" i="82"/>
  <c r="I148" i="82"/>
  <c r="D148" i="82"/>
  <c r="N148" i="82"/>
  <c r="F147" i="87"/>
  <c r="E147" i="87"/>
  <c r="D147" i="87"/>
  <c r="C147" i="87"/>
  <c r="B147" i="87"/>
  <c r="A146" i="87"/>
  <c r="K146" i="87"/>
  <c r="J146" i="87"/>
  <c r="I146" i="87"/>
  <c r="H146" i="87"/>
  <c r="G146" i="87"/>
  <c r="H147" i="82"/>
  <c r="I147" i="82"/>
  <c r="D147" i="82"/>
  <c r="N147" i="82"/>
  <c r="F146" i="87"/>
  <c r="E146" i="87"/>
  <c r="D146" i="87"/>
  <c r="C146" i="87"/>
  <c r="B146" i="87"/>
  <c r="A145" i="87"/>
  <c r="K145" i="87"/>
  <c r="J145" i="87"/>
  <c r="I145" i="87"/>
  <c r="H145" i="87"/>
  <c r="G145" i="87"/>
  <c r="H146" i="82"/>
  <c r="I146" i="82"/>
  <c r="D146" i="82"/>
  <c r="N146" i="82"/>
  <c r="F145" i="87"/>
  <c r="E145" i="87"/>
  <c r="D145" i="87"/>
  <c r="C145" i="87"/>
  <c r="B145" i="87"/>
  <c r="A144" i="87"/>
  <c r="K144" i="87"/>
  <c r="J144" i="87"/>
  <c r="I144" i="87"/>
  <c r="H144" i="87"/>
  <c r="G144" i="87"/>
  <c r="H145" i="82"/>
  <c r="I145" i="82"/>
  <c r="D145" i="82"/>
  <c r="N145" i="82"/>
  <c r="F144" i="87"/>
  <c r="E144" i="87"/>
  <c r="D144" i="87"/>
  <c r="C144" i="87"/>
  <c r="B144" i="87"/>
  <c r="A143" i="87"/>
  <c r="K143" i="87"/>
  <c r="J143" i="87"/>
  <c r="I143" i="87"/>
  <c r="H143" i="87"/>
  <c r="G143" i="87"/>
  <c r="H144" i="82"/>
  <c r="I144" i="82"/>
  <c r="D144" i="82"/>
  <c r="N144" i="82"/>
  <c r="F143" i="87"/>
  <c r="E143" i="87"/>
  <c r="D143" i="87"/>
  <c r="C143" i="87"/>
  <c r="B143" i="87"/>
  <c r="A142" i="87"/>
  <c r="K142" i="87"/>
  <c r="J142" i="87"/>
  <c r="I142" i="87"/>
  <c r="H142" i="87"/>
  <c r="G142" i="87"/>
  <c r="H143" i="82"/>
  <c r="I143" i="82"/>
  <c r="D143" i="82"/>
  <c r="N143" i="82"/>
  <c r="F142" i="87"/>
  <c r="E142" i="87"/>
  <c r="D142" i="87"/>
  <c r="C142" i="87"/>
  <c r="B142" i="87"/>
  <c r="A141" i="87"/>
  <c r="K141" i="87"/>
  <c r="J141" i="87"/>
  <c r="I141" i="87"/>
  <c r="H141" i="87"/>
  <c r="G141" i="87"/>
  <c r="H142" i="82"/>
  <c r="I142" i="82"/>
  <c r="D142" i="82"/>
  <c r="N142" i="82"/>
  <c r="F141" i="87"/>
  <c r="E141" i="87"/>
  <c r="D141" i="87"/>
  <c r="C141" i="87"/>
  <c r="B141" i="87"/>
  <c r="A140" i="87"/>
  <c r="K140" i="87"/>
  <c r="J140" i="87"/>
  <c r="I140" i="87"/>
  <c r="H140" i="87"/>
  <c r="G140" i="87"/>
  <c r="H141" i="82"/>
  <c r="I141" i="82"/>
  <c r="D141" i="82"/>
  <c r="N141" i="82"/>
  <c r="F140" i="87"/>
  <c r="E140" i="87"/>
  <c r="D140" i="87"/>
  <c r="C140" i="87"/>
  <c r="B140" i="87"/>
  <c r="A139" i="87"/>
  <c r="K139" i="87"/>
  <c r="J139" i="87"/>
  <c r="I139" i="87"/>
  <c r="H139" i="87"/>
  <c r="G139" i="87"/>
  <c r="H140" i="82"/>
  <c r="I140" i="82"/>
  <c r="D140" i="82"/>
  <c r="N140" i="82"/>
  <c r="F139" i="87"/>
  <c r="E139" i="87"/>
  <c r="D139" i="87"/>
  <c r="C139" i="87"/>
  <c r="B139" i="87"/>
  <c r="A138" i="87"/>
  <c r="K138" i="87"/>
  <c r="J138" i="87"/>
  <c r="I138" i="87"/>
  <c r="H138" i="87"/>
  <c r="G138" i="87"/>
  <c r="H139" i="82"/>
  <c r="I139" i="82"/>
  <c r="D139" i="82"/>
  <c r="N139" i="82"/>
  <c r="F138" i="87"/>
  <c r="E138" i="87"/>
  <c r="D138" i="87"/>
  <c r="C138" i="87"/>
  <c r="B138" i="87"/>
  <c r="A137" i="87"/>
  <c r="K137" i="87"/>
  <c r="J137" i="87"/>
  <c r="I137" i="87"/>
  <c r="H137" i="87"/>
  <c r="G137" i="87"/>
  <c r="H138" i="82"/>
  <c r="I138" i="82"/>
  <c r="D138" i="82"/>
  <c r="N138" i="82"/>
  <c r="F137" i="87"/>
  <c r="E137" i="87"/>
  <c r="D137" i="87"/>
  <c r="C137" i="87"/>
  <c r="B137" i="87"/>
  <c r="A136" i="87"/>
  <c r="K136" i="87"/>
  <c r="J136" i="87"/>
  <c r="I136" i="87"/>
  <c r="H136" i="87"/>
  <c r="G136" i="87"/>
  <c r="H137" i="82"/>
  <c r="I137" i="82"/>
  <c r="D137" i="82"/>
  <c r="N137" i="82"/>
  <c r="F136" i="87"/>
  <c r="E136" i="87"/>
  <c r="D136" i="87"/>
  <c r="C136" i="87"/>
  <c r="B136" i="87"/>
  <c r="A135" i="87"/>
  <c r="K135" i="87"/>
  <c r="J135" i="87"/>
  <c r="I135" i="87"/>
  <c r="H135" i="87"/>
  <c r="G135" i="87"/>
  <c r="H136" i="82"/>
  <c r="I136" i="82"/>
  <c r="D136" i="82"/>
  <c r="N136" i="82"/>
  <c r="F135" i="87"/>
  <c r="E135" i="87"/>
  <c r="D135" i="87"/>
  <c r="C135" i="87"/>
  <c r="B135" i="87"/>
  <c r="A134" i="87"/>
  <c r="K134" i="87"/>
  <c r="J134" i="87"/>
  <c r="I134" i="87"/>
  <c r="H134" i="87"/>
  <c r="G134" i="87"/>
  <c r="H135" i="82"/>
  <c r="I135" i="82"/>
  <c r="D135" i="82"/>
  <c r="N135" i="82"/>
  <c r="F134" i="87"/>
  <c r="E134" i="87"/>
  <c r="D134" i="87"/>
  <c r="C134" i="87"/>
  <c r="B134" i="87"/>
  <c r="A133" i="87"/>
  <c r="K133" i="87"/>
  <c r="J133" i="87"/>
  <c r="I133" i="87"/>
  <c r="H133" i="87"/>
  <c r="G133" i="87"/>
  <c r="H134" i="82"/>
  <c r="I134" i="82"/>
  <c r="D134" i="82"/>
  <c r="N134" i="82"/>
  <c r="F133" i="87"/>
  <c r="E133" i="87"/>
  <c r="D133" i="87"/>
  <c r="C133" i="87"/>
  <c r="B133" i="87"/>
  <c r="A132" i="87"/>
  <c r="K132" i="87"/>
  <c r="J132" i="87"/>
  <c r="I132" i="87"/>
  <c r="H132" i="87"/>
  <c r="G132" i="87"/>
  <c r="H133" i="82"/>
  <c r="I133" i="82"/>
  <c r="D133" i="82"/>
  <c r="N133" i="82"/>
  <c r="F132" i="87"/>
  <c r="E132" i="87"/>
  <c r="D132" i="87"/>
  <c r="C132" i="87"/>
  <c r="B132" i="87"/>
  <c r="A131" i="87"/>
  <c r="K131" i="87"/>
  <c r="J131" i="87"/>
  <c r="I131" i="87"/>
  <c r="H131" i="87"/>
  <c r="G131" i="87"/>
  <c r="H132" i="82"/>
  <c r="I132" i="82"/>
  <c r="D132" i="82"/>
  <c r="N132" i="82"/>
  <c r="F131" i="87"/>
  <c r="E131" i="87"/>
  <c r="D131" i="87"/>
  <c r="C131" i="87"/>
  <c r="B131" i="87"/>
  <c r="A130" i="87"/>
  <c r="K130" i="87"/>
  <c r="J130" i="87"/>
  <c r="I130" i="87"/>
  <c r="H130" i="87"/>
  <c r="G130" i="87"/>
  <c r="H131" i="82"/>
  <c r="I131" i="82"/>
  <c r="D131" i="82"/>
  <c r="N131" i="82"/>
  <c r="F130" i="87"/>
  <c r="E130" i="87"/>
  <c r="D130" i="87"/>
  <c r="C130" i="87"/>
  <c r="B130" i="87"/>
  <c r="A129" i="87"/>
  <c r="K129" i="87"/>
  <c r="J129" i="87"/>
  <c r="I129" i="87"/>
  <c r="H129" i="87"/>
  <c r="G129" i="87"/>
  <c r="H130" i="82"/>
  <c r="I130" i="82"/>
  <c r="D130" i="82"/>
  <c r="N130" i="82"/>
  <c r="F129" i="87"/>
  <c r="E129" i="87"/>
  <c r="D129" i="87"/>
  <c r="C129" i="87"/>
  <c r="B129" i="87"/>
  <c r="A128" i="87"/>
  <c r="K128" i="87"/>
  <c r="J128" i="87"/>
  <c r="I128" i="87"/>
  <c r="H128" i="87"/>
  <c r="G128" i="87"/>
  <c r="H129" i="82"/>
  <c r="I129" i="82"/>
  <c r="D129" i="82"/>
  <c r="N129" i="82"/>
  <c r="F128" i="87"/>
  <c r="E128" i="87"/>
  <c r="D128" i="87"/>
  <c r="C128" i="87"/>
  <c r="B128" i="87"/>
  <c r="A127" i="87"/>
  <c r="K127" i="87"/>
  <c r="J127" i="87"/>
  <c r="I127" i="87"/>
  <c r="H127" i="87"/>
  <c r="G127" i="87"/>
  <c r="H128" i="82"/>
  <c r="I128" i="82"/>
  <c r="D128" i="82"/>
  <c r="N128" i="82"/>
  <c r="F127" i="87"/>
  <c r="E127" i="87"/>
  <c r="D127" i="87"/>
  <c r="C127" i="87"/>
  <c r="B127" i="87"/>
  <c r="A126" i="87"/>
  <c r="K126" i="87"/>
  <c r="J126" i="87"/>
  <c r="I126" i="87"/>
  <c r="H126" i="87"/>
  <c r="G126" i="87"/>
  <c r="H127" i="82"/>
  <c r="I127" i="82"/>
  <c r="D127" i="82"/>
  <c r="N127" i="82"/>
  <c r="F126" i="87"/>
  <c r="E126" i="87"/>
  <c r="D126" i="87"/>
  <c r="C126" i="87"/>
  <c r="B126" i="87"/>
  <c r="A125" i="87"/>
  <c r="K125" i="87"/>
  <c r="J125" i="87"/>
  <c r="I125" i="87"/>
  <c r="H125" i="87"/>
  <c r="G125" i="87"/>
  <c r="H126" i="82"/>
  <c r="I126" i="82"/>
  <c r="D126" i="82"/>
  <c r="N126" i="82"/>
  <c r="F125" i="87"/>
  <c r="E125" i="87"/>
  <c r="D125" i="87"/>
  <c r="C125" i="87"/>
  <c r="B125" i="87"/>
  <c r="A124" i="87"/>
  <c r="K124" i="87"/>
  <c r="J124" i="87"/>
  <c r="I124" i="87"/>
  <c r="H124" i="87"/>
  <c r="G124" i="87"/>
  <c r="H125" i="82"/>
  <c r="I125" i="82"/>
  <c r="D125" i="82"/>
  <c r="N125" i="82"/>
  <c r="F124" i="87"/>
  <c r="E124" i="87"/>
  <c r="D124" i="87"/>
  <c r="C124" i="87"/>
  <c r="B124" i="87"/>
  <c r="A123" i="87"/>
  <c r="K123" i="87"/>
  <c r="J123" i="87"/>
  <c r="I123" i="87"/>
  <c r="H123" i="87"/>
  <c r="G123" i="87"/>
  <c r="H124" i="82"/>
  <c r="I124" i="82"/>
  <c r="D124" i="82"/>
  <c r="N124" i="82"/>
  <c r="F123" i="87"/>
  <c r="E123" i="87"/>
  <c r="D123" i="87"/>
  <c r="C123" i="87"/>
  <c r="B123" i="87"/>
  <c r="A122" i="87"/>
  <c r="K122" i="87"/>
  <c r="J122" i="87"/>
  <c r="I122" i="87"/>
  <c r="H122" i="87"/>
  <c r="G122" i="87"/>
  <c r="H123" i="82"/>
  <c r="I123" i="82"/>
  <c r="D123" i="82"/>
  <c r="N123" i="82"/>
  <c r="F122" i="87"/>
  <c r="E122" i="87"/>
  <c r="D122" i="87"/>
  <c r="C122" i="87"/>
  <c r="B122" i="87"/>
  <c r="A121" i="87"/>
  <c r="K121" i="87"/>
  <c r="J121" i="87"/>
  <c r="I121" i="87"/>
  <c r="H121" i="87"/>
  <c r="G121" i="87"/>
  <c r="H122" i="82"/>
  <c r="I122" i="82"/>
  <c r="D122" i="82"/>
  <c r="N122" i="82"/>
  <c r="F121" i="87"/>
  <c r="E121" i="87"/>
  <c r="D121" i="87"/>
  <c r="C121" i="87"/>
  <c r="B121" i="87"/>
  <c r="A120" i="87"/>
  <c r="K120" i="87"/>
  <c r="J120" i="87"/>
  <c r="I120" i="87"/>
  <c r="H120" i="87"/>
  <c r="G120" i="87"/>
  <c r="H121" i="82"/>
  <c r="I121" i="82"/>
  <c r="D121" i="82"/>
  <c r="N121" i="82"/>
  <c r="F120" i="87"/>
  <c r="E120" i="87"/>
  <c r="D120" i="87"/>
  <c r="C120" i="87"/>
  <c r="B120" i="87"/>
  <c r="A119" i="87"/>
  <c r="K119" i="87"/>
  <c r="J119" i="87"/>
  <c r="I119" i="87"/>
  <c r="H119" i="87"/>
  <c r="G119" i="87"/>
  <c r="H120" i="82"/>
  <c r="I120" i="82"/>
  <c r="D120" i="82"/>
  <c r="N120" i="82"/>
  <c r="F119" i="87"/>
  <c r="E119" i="87"/>
  <c r="D119" i="87"/>
  <c r="C119" i="87"/>
  <c r="B119" i="87"/>
  <c r="A118" i="87"/>
  <c r="K118" i="87"/>
  <c r="J118" i="87"/>
  <c r="I118" i="87"/>
  <c r="H118" i="87"/>
  <c r="G118" i="87"/>
  <c r="H119" i="82"/>
  <c r="I119" i="82"/>
  <c r="D119" i="82"/>
  <c r="N119" i="82"/>
  <c r="F118" i="87"/>
  <c r="E118" i="87"/>
  <c r="D118" i="87"/>
  <c r="C118" i="87"/>
  <c r="B118" i="87"/>
  <c r="A117" i="87"/>
  <c r="K117" i="87"/>
  <c r="J117" i="87"/>
  <c r="I117" i="87"/>
  <c r="H117" i="87"/>
  <c r="G117" i="87"/>
  <c r="H118" i="82"/>
  <c r="I118" i="82"/>
  <c r="D118" i="82"/>
  <c r="N118" i="82"/>
  <c r="F117" i="87"/>
  <c r="E117" i="87"/>
  <c r="D117" i="87"/>
  <c r="C117" i="87"/>
  <c r="B117" i="87"/>
  <c r="A116" i="87"/>
  <c r="K116" i="87"/>
  <c r="J116" i="87"/>
  <c r="I116" i="87"/>
  <c r="H116" i="87"/>
  <c r="G116" i="87"/>
  <c r="H117" i="82"/>
  <c r="I117" i="82"/>
  <c r="D117" i="82"/>
  <c r="N117" i="82"/>
  <c r="F116" i="87"/>
  <c r="E116" i="87"/>
  <c r="D116" i="87"/>
  <c r="C116" i="87"/>
  <c r="B116" i="87"/>
  <c r="A115" i="87"/>
  <c r="K115" i="87"/>
  <c r="J115" i="87"/>
  <c r="I115" i="87"/>
  <c r="H115" i="87"/>
  <c r="G115" i="87"/>
  <c r="H116" i="82"/>
  <c r="I116" i="82"/>
  <c r="D116" i="82"/>
  <c r="N116" i="82"/>
  <c r="F115" i="87"/>
  <c r="E115" i="87"/>
  <c r="D115" i="87"/>
  <c r="C115" i="87"/>
  <c r="B115" i="87"/>
  <c r="A114" i="87"/>
  <c r="K114" i="87"/>
  <c r="J114" i="87"/>
  <c r="I114" i="87"/>
  <c r="H114" i="87"/>
  <c r="G114" i="87"/>
  <c r="H115" i="82"/>
  <c r="I115" i="82"/>
  <c r="D115" i="82"/>
  <c r="N115" i="82"/>
  <c r="F114" i="87"/>
  <c r="E114" i="87"/>
  <c r="D114" i="87"/>
  <c r="C114" i="87"/>
  <c r="B114" i="87"/>
  <c r="A113" i="87"/>
  <c r="K113" i="87"/>
  <c r="J113" i="87"/>
  <c r="I113" i="87"/>
  <c r="H113" i="87"/>
  <c r="G113" i="87"/>
  <c r="H114" i="82"/>
  <c r="I114" i="82"/>
  <c r="D114" i="82"/>
  <c r="N114" i="82"/>
  <c r="F113" i="87"/>
  <c r="E113" i="87"/>
  <c r="D113" i="87"/>
  <c r="C113" i="87"/>
  <c r="B113" i="87"/>
  <c r="A112" i="87"/>
  <c r="K112" i="87"/>
  <c r="J112" i="87"/>
  <c r="I112" i="87"/>
  <c r="H112" i="87"/>
  <c r="G112" i="87"/>
  <c r="H113" i="82"/>
  <c r="I113" i="82"/>
  <c r="D113" i="82"/>
  <c r="N113" i="82"/>
  <c r="F112" i="87"/>
  <c r="E112" i="87"/>
  <c r="D112" i="87"/>
  <c r="C112" i="87"/>
  <c r="B112" i="87"/>
  <c r="A111" i="87"/>
  <c r="K111" i="87"/>
  <c r="J111" i="87"/>
  <c r="I111" i="87"/>
  <c r="H111" i="87"/>
  <c r="G111" i="87"/>
  <c r="H112" i="82"/>
  <c r="I112" i="82"/>
  <c r="D112" i="82"/>
  <c r="N112" i="82"/>
  <c r="F111" i="87"/>
  <c r="E111" i="87"/>
  <c r="D111" i="87"/>
  <c r="C111" i="87"/>
  <c r="B111" i="87"/>
  <c r="A110" i="87"/>
  <c r="K110" i="87"/>
  <c r="J110" i="87"/>
  <c r="I110" i="87"/>
  <c r="H110" i="87"/>
  <c r="G110" i="87"/>
  <c r="H111" i="82"/>
  <c r="I111" i="82"/>
  <c r="D111" i="82"/>
  <c r="N111" i="82"/>
  <c r="F110" i="87"/>
  <c r="E110" i="87"/>
  <c r="D110" i="87"/>
  <c r="C110" i="87"/>
  <c r="B110" i="87"/>
  <c r="A109" i="87"/>
  <c r="K109" i="87"/>
  <c r="J109" i="87"/>
  <c r="I109" i="87"/>
  <c r="H109" i="87"/>
  <c r="G109" i="87"/>
  <c r="H110" i="82"/>
  <c r="I110" i="82"/>
  <c r="D110" i="82"/>
  <c r="N110" i="82"/>
  <c r="F109" i="87"/>
  <c r="E109" i="87"/>
  <c r="D109" i="87"/>
  <c r="C109" i="87"/>
  <c r="B109" i="87"/>
  <c r="A108" i="87"/>
  <c r="K108" i="87"/>
  <c r="J108" i="87"/>
  <c r="I108" i="87"/>
  <c r="H108" i="87"/>
  <c r="G108" i="87"/>
  <c r="H107" i="82"/>
  <c r="I107" i="82"/>
  <c r="D107" i="82"/>
  <c r="N107" i="82"/>
  <c r="F108" i="87"/>
  <c r="E108" i="87"/>
  <c r="D108" i="87"/>
  <c r="C108" i="87"/>
  <c r="B108" i="87"/>
  <c r="A107" i="87"/>
  <c r="K107" i="87"/>
  <c r="J107" i="87"/>
  <c r="I107" i="87"/>
  <c r="H107" i="87"/>
  <c r="G107" i="87"/>
  <c r="H106" i="82"/>
  <c r="I106" i="82"/>
  <c r="D106" i="82"/>
  <c r="N106" i="82"/>
  <c r="F107" i="87"/>
  <c r="E107" i="87"/>
  <c r="D107" i="87"/>
  <c r="C107" i="87"/>
  <c r="B107" i="87"/>
  <c r="A106" i="87"/>
  <c r="K106" i="87"/>
  <c r="J106" i="87"/>
  <c r="I106" i="87"/>
  <c r="H106" i="87"/>
  <c r="G106" i="87"/>
  <c r="H105" i="82"/>
  <c r="I105" i="82"/>
  <c r="D105" i="82"/>
  <c r="N105" i="82"/>
  <c r="F106" i="87"/>
  <c r="E106" i="87"/>
  <c r="D106" i="87"/>
  <c r="C106" i="87"/>
  <c r="B106" i="87"/>
  <c r="A105" i="87"/>
  <c r="K105" i="87"/>
  <c r="J105" i="87"/>
  <c r="I105" i="87"/>
  <c r="H105" i="87"/>
  <c r="G105" i="87"/>
  <c r="H104" i="82"/>
  <c r="I104" i="82"/>
  <c r="D104" i="82"/>
  <c r="N104" i="82"/>
  <c r="F105" i="87"/>
  <c r="E105" i="87"/>
  <c r="D105" i="87"/>
  <c r="C105" i="87"/>
  <c r="B105" i="87"/>
  <c r="A104" i="87"/>
  <c r="K104" i="87"/>
  <c r="J104" i="87"/>
  <c r="I104" i="87"/>
  <c r="H104" i="87"/>
  <c r="G104" i="87"/>
  <c r="H103" i="82"/>
  <c r="I103" i="82"/>
  <c r="D103" i="82"/>
  <c r="N103" i="82"/>
  <c r="F104" i="87"/>
  <c r="E104" i="87"/>
  <c r="D104" i="87"/>
  <c r="C104" i="87"/>
  <c r="B104" i="87"/>
  <c r="A103" i="87"/>
  <c r="K103" i="87"/>
  <c r="J103" i="87"/>
  <c r="I103" i="87"/>
  <c r="H103" i="87"/>
  <c r="G103" i="87"/>
  <c r="H102" i="82"/>
  <c r="I102" i="82"/>
  <c r="D102" i="82"/>
  <c r="N102" i="82"/>
  <c r="F103" i="87"/>
  <c r="E103" i="87"/>
  <c r="D103" i="87"/>
  <c r="C103" i="87"/>
  <c r="B103" i="87"/>
  <c r="A102" i="87"/>
  <c r="K102" i="87"/>
  <c r="J102" i="87"/>
  <c r="I102" i="87"/>
  <c r="H102" i="87"/>
  <c r="G102" i="87"/>
  <c r="H101" i="82"/>
  <c r="I101" i="82"/>
  <c r="D101" i="82"/>
  <c r="N101" i="82"/>
  <c r="F102" i="87"/>
  <c r="E102" i="87"/>
  <c r="D102" i="87"/>
  <c r="C102" i="87"/>
  <c r="B102" i="87"/>
  <c r="A101" i="87"/>
  <c r="K101" i="87"/>
  <c r="J101" i="87"/>
  <c r="I101" i="87"/>
  <c r="H101" i="87"/>
  <c r="G101" i="87"/>
  <c r="H100" i="82"/>
  <c r="I100" i="82"/>
  <c r="D100" i="82"/>
  <c r="N100" i="82"/>
  <c r="F101" i="87"/>
  <c r="E101" i="87"/>
  <c r="D101" i="87"/>
  <c r="C101" i="87"/>
  <c r="B101" i="87"/>
  <c r="A100" i="87"/>
  <c r="K100" i="87"/>
  <c r="J100" i="87"/>
  <c r="I100" i="87"/>
  <c r="H100" i="87"/>
  <c r="G100" i="87"/>
  <c r="H99" i="82"/>
  <c r="I99" i="82"/>
  <c r="D99" i="82"/>
  <c r="N99" i="82"/>
  <c r="F100" i="87"/>
  <c r="E100" i="87"/>
  <c r="D100" i="87"/>
  <c r="C100" i="87"/>
  <c r="B100" i="87"/>
  <c r="A99" i="87"/>
  <c r="K99" i="87"/>
  <c r="J99" i="87"/>
  <c r="I99" i="87"/>
  <c r="H99" i="87"/>
  <c r="G99" i="87"/>
  <c r="H98" i="82"/>
  <c r="I98" i="82"/>
  <c r="D98" i="82"/>
  <c r="N98" i="82"/>
  <c r="F99" i="87"/>
  <c r="E99" i="87"/>
  <c r="D99" i="87"/>
  <c r="C99" i="87"/>
  <c r="B99" i="87"/>
  <c r="A98" i="87"/>
  <c r="K98" i="87"/>
  <c r="J98" i="87"/>
  <c r="I98" i="87"/>
  <c r="H98" i="87"/>
  <c r="G98" i="87"/>
  <c r="H97" i="82"/>
  <c r="I97" i="82"/>
  <c r="D97" i="82"/>
  <c r="N97" i="82"/>
  <c r="F98" i="87"/>
  <c r="E98" i="87"/>
  <c r="D98" i="87"/>
  <c r="C98" i="87"/>
  <c r="B98" i="87"/>
  <c r="A97" i="87"/>
  <c r="K97" i="87"/>
  <c r="J97" i="87"/>
  <c r="I97" i="87"/>
  <c r="H97" i="87"/>
  <c r="G97" i="87"/>
  <c r="H96" i="82"/>
  <c r="I96" i="82"/>
  <c r="D96" i="82"/>
  <c r="N96" i="82"/>
  <c r="F97" i="87"/>
  <c r="E97" i="87"/>
  <c r="D97" i="87"/>
  <c r="C97" i="87"/>
  <c r="B97" i="87"/>
  <c r="A96" i="87"/>
  <c r="K96" i="87"/>
  <c r="J96" i="87"/>
  <c r="I96" i="87"/>
  <c r="H96" i="87"/>
  <c r="G96" i="87"/>
  <c r="H95" i="82"/>
  <c r="I95" i="82"/>
  <c r="D95" i="82"/>
  <c r="N95" i="82"/>
  <c r="F96" i="87"/>
  <c r="E96" i="87"/>
  <c r="D96" i="87"/>
  <c r="C96" i="87"/>
  <c r="B96" i="87"/>
  <c r="A95" i="87"/>
  <c r="K95" i="87"/>
  <c r="J95" i="87"/>
  <c r="I95" i="87"/>
  <c r="H95" i="87"/>
  <c r="G95" i="87"/>
  <c r="H94" i="82"/>
  <c r="I94" i="82"/>
  <c r="D94" i="82"/>
  <c r="N94" i="82"/>
  <c r="F95" i="87"/>
  <c r="E95" i="87"/>
  <c r="D95" i="87"/>
  <c r="C95" i="87"/>
  <c r="B95" i="87"/>
  <c r="A94" i="87"/>
  <c r="K94" i="87"/>
  <c r="J94" i="87"/>
  <c r="I94" i="87"/>
  <c r="H94" i="87"/>
  <c r="G94" i="87"/>
  <c r="H93" i="82"/>
  <c r="I93" i="82"/>
  <c r="D93" i="82"/>
  <c r="N93" i="82"/>
  <c r="F94" i="87"/>
  <c r="E94" i="87"/>
  <c r="D94" i="87"/>
  <c r="C94" i="87"/>
  <c r="B94" i="87"/>
  <c r="A93" i="87"/>
  <c r="K93" i="87"/>
  <c r="J93" i="87"/>
  <c r="I93" i="87"/>
  <c r="H93" i="87"/>
  <c r="G93" i="87"/>
  <c r="H92" i="82"/>
  <c r="I92" i="82"/>
  <c r="D92" i="82"/>
  <c r="N92" i="82"/>
  <c r="F93" i="87"/>
  <c r="E93" i="87"/>
  <c r="D93" i="87"/>
  <c r="C93" i="87"/>
  <c r="B93" i="87"/>
  <c r="A92" i="87"/>
  <c r="K92" i="87"/>
  <c r="J92" i="87"/>
  <c r="I92" i="87"/>
  <c r="H92" i="87"/>
  <c r="G92" i="87"/>
  <c r="H91" i="82"/>
  <c r="I91" i="82"/>
  <c r="D91" i="82"/>
  <c r="N91" i="82"/>
  <c r="F92" i="87"/>
  <c r="E92" i="87"/>
  <c r="D92" i="87"/>
  <c r="C92" i="87"/>
  <c r="B92" i="87"/>
  <c r="A91" i="87"/>
  <c r="K91" i="87"/>
  <c r="J91" i="87"/>
  <c r="I91" i="87"/>
  <c r="H91" i="87"/>
  <c r="G91" i="87"/>
  <c r="H90" i="82"/>
  <c r="I90" i="82"/>
  <c r="D90" i="82"/>
  <c r="N90" i="82"/>
  <c r="F91" i="87"/>
  <c r="E91" i="87"/>
  <c r="D91" i="87"/>
  <c r="C91" i="87"/>
  <c r="B91" i="87"/>
  <c r="A90" i="87"/>
  <c r="K90" i="87"/>
  <c r="J90" i="87"/>
  <c r="I90" i="87"/>
  <c r="H90" i="87"/>
  <c r="G90" i="87"/>
  <c r="H89" i="82"/>
  <c r="I89" i="82"/>
  <c r="D89" i="82"/>
  <c r="N89" i="82"/>
  <c r="F90" i="87"/>
  <c r="E90" i="87"/>
  <c r="D90" i="87"/>
  <c r="C90" i="87"/>
  <c r="B90" i="87"/>
  <c r="A89" i="87"/>
  <c r="K89" i="87"/>
  <c r="J89" i="87"/>
  <c r="I89" i="87"/>
  <c r="H89" i="87"/>
  <c r="G89" i="87"/>
  <c r="H88" i="82"/>
  <c r="I88" i="82"/>
  <c r="D88" i="82"/>
  <c r="N88" i="82"/>
  <c r="F89" i="87"/>
  <c r="E89" i="87"/>
  <c r="D89" i="87"/>
  <c r="C89" i="87"/>
  <c r="B89" i="87"/>
  <c r="A88" i="87"/>
  <c r="K88" i="87"/>
  <c r="J88" i="87"/>
  <c r="I88" i="87"/>
  <c r="H88" i="87"/>
  <c r="G88" i="87"/>
  <c r="H87" i="82"/>
  <c r="I87" i="82"/>
  <c r="D87" i="82"/>
  <c r="N87" i="82"/>
  <c r="F88" i="87"/>
  <c r="E88" i="87"/>
  <c r="D88" i="87"/>
  <c r="C88" i="87"/>
  <c r="B88" i="87"/>
  <c r="A87" i="87"/>
  <c r="K87" i="87"/>
  <c r="J87" i="87"/>
  <c r="I87" i="87"/>
  <c r="H87" i="87"/>
  <c r="G87" i="87"/>
  <c r="H86" i="82"/>
  <c r="I86" i="82"/>
  <c r="D86" i="82"/>
  <c r="N86" i="82"/>
  <c r="F87" i="87"/>
  <c r="E87" i="87"/>
  <c r="D87" i="87"/>
  <c r="C87" i="87"/>
  <c r="B87" i="87"/>
  <c r="A86" i="87"/>
  <c r="K86" i="87"/>
  <c r="J86" i="87"/>
  <c r="I86" i="87"/>
  <c r="H86" i="87"/>
  <c r="G86" i="87"/>
  <c r="H85" i="82"/>
  <c r="I85" i="82"/>
  <c r="D85" i="82"/>
  <c r="N85" i="82"/>
  <c r="F86" i="87"/>
  <c r="E86" i="87"/>
  <c r="D86" i="87"/>
  <c r="C86" i="87"/>
  <c r="B86" i="87"/>
  <c r="A85" i="87"/>
  <c r="K85" i="87"/>
  <c r="J85" i="87"/>
  <c r="I85" i="87"/>
  <c r="H85" i="87"/>
  <c r="G85" i="87"/>
  <c r="H84" i="82"/>
  <c r="I84" i="82"/>
  <c r="D84" i="82"/>
  <c r="N84" i="82"/>
  <c r="F85" i="87"/>
  <c r="E85" i="87"/>
  <c r="D85" i="87"/>
  <c r="C85" i="87"/>
  <c r="B85" i="87"/>
  <c r="A84" i="87"/>
  <c r="K84" i="87"/>
  <c r="J84" i="87"/>
  <c r="I84" i="87"/>
  <c r="H84" i="87"/>
  <c r="G84" i="87"/>
  <c r="H83" i="82"/>
  <c r="I83" i="82"/>
  <c r="D83" i="82"/>
  <c r="N83" i="82"/>
  <c r="F84" i="87"/>
  <c r="E84" i="87"/>
  <c r="D84" i="87"/>
  <c r="C84" i="87"/>
  <c r="B84" i="87"/>
  <c r="A83" i="87"/>
  <c r="K83" i="87"/>
  <c r="J83" i="87"/>
  <c r="I83" i="87"/>
  <c r="H83" i="87"/>
  <c r="G83" i="87"/>
  <c r="H82" i="82"/>
  <c r="I82" i="82"/>
  <c r="D82" i="82"/>
  <c r="N82" i="82"/>
  <c r="F83" i="87"/>
  <c r="E83" i="87"/>
  <c r="D83" i="87"/>
  <c r="C83" i="87"/>
  <c r="B83" i="87"/>
  <c r="A82" i="87"/>
  <c r="K82" i="87"/>
  <c r="J82" i="87"/>
  <c r="I82" i="87"/>
  <c r="H82" i="87"/>
  <c r="G82" i="87"/>
  <c r="H81" i="82"/>
  <c r="I81" i="82"/>
  <c r="D81" i="82"/>
  <c r="N81" i="82"/>
  <c r="F82" i="87"/>
  <c r="E82" i="87"/>
  <c r="D82" i="87"/>
  <c r="C82" i="87"/>
  <c r="B82" i="87"/>
  <c r="A81" i="87"/>
  <c r="K81" i="87"/>
  <c r="J81" i="87"/>
  <c r="I81" i="87"/>
  <c r="H81" i="87"/>
  <c r="G81" i="87"/>
  <c r="H80" i="82"/>
  <c r="I80" i="82"/>
  <c r="D80" i="82"/>
  <c r="N80" i="82"/>
  <c r="F81" i="87"/>
  <c r="E81" i="87"/>
  <c r="D81" i="87"/>
  <c r="C81" i="87"/>
  <c r="B81" i="87"/>
  <c r="A80" i="87"/>
  <c r="K80" i="87"/>
  <c r="J80" i="87"/>
  <c r="I80" i="87"/>
  <c r="H80" i="87"/>
  <c r="G80" i="87"/>
  <c r="H79" i="82"/>
  <c r="I79" i="82"/>
  <c r="D79" i="82"/>
  <c r="N79" i="82"/>
  <c r="F80" i="87"/>
  <c r="E80" i="87"/>
  <c r="D80" i="87"/>
  <c r="C80" i="87"/>
  <c r="B80" i="87"/>
  <c r="A79" i="87"/>
  <c r="K79" i="87"/>
  <c r="J79" i="87"/>
  <c r="I79" i="87"/>
  <c r="H79" i="87"/>
  <c r="G79" i="87"/>
  <c r="H78" i="82"/>
  <c r="I78" i="82"/>
  <c r="D78" i="82"/>
  <c r="N78" i="82"/>
  <c r="F79" i="87"/>
  <c r="E79" i="87"/>
  <c r="D79" i="87"/>
  <c r="C79" i="87"/>
  <c r="B79" i="87"/>
  <c r="A78" i="87"/>
  <c r="K78" i="87"/>
  <c r="J78" i="87"/>
  <c r="I78" i="87"/>
  <c r="H78" i="87"/>
  <c r="G78" i="87"/>
  <c r="H77" i="82"/>
  <c r="I77" i="82"/>
  <c r="D77" i="82"/>
  <c r="N77" i="82"/>
  <c r="F78" i="87"/>
  <c r="E78" i="87"/>
  <c r="D78" i="87"/>
  <c r="C78" i="87"/>
  <c r="B78" i="87"/>
  <c r="A77" i="87"/>
  <c r="K77" i="87"/>
  <c r="J77" i="87"/>
  <c r="I77" i="87"/>
  <c r="H77" i="87"/>
  <c r="G77" i="87"/>
  <c r="H76" i="82"/>
  <c r="I76" i="82"/>
  <c r="D76" i="82"/>
  <c r="N76" i="82"/>
  <c r="F77" i="87"/>
  <c r="E77" i="87"/>
  <c r="D77" i="87"/>
  <c r="C77" i="87"/>
  <c r="B77" i="87"/>
  <c r="A76" i="87"/>
  <c r="K76" i="87"/>
  <c r="J76" i="87"/>
  <c r="I76" i="87"/>
  <c r="H76" i="87"/>
  <c r="G76" i="87"/>
  <c r="H75" i="82"/>
  <c r="I75" i="82"/>
  <c r="D75" i="82"/>
  <c r="N75" i="82"/>
  <c r="F76" i="87"/>
  <c r="E76" i="87"/>
  <c r="D76" i="87"/>
  <c r="C76" i="87"/>
  <c r="B76" i="87"/>
  <c r="A75" i="87"/>
  <c r="K75" i="87"/>
  <c r="J75" i="87"/>
  <c r="I75" i="87"/>
  <c r="H75" i="87"/>
  <c r="G75" i="87"/>
  <c r="H74" i="82"/>
  <c r="I74" i="82"/>
  <c r="D74" i="82"/>
  <c r="N74" i="82"/>
  <c r="F75" i="87"/>
  <c r="E75" i="87"/>
  <c r="D75" i="87"/>
  <c r="C75" i="87"/>
  <c r="B75" i="87"/>
  <c r="A74" i="87"/>
  <c r="K74" i="87"/>
  <c r="J74" i="87"/>
  <c r="I74" i="87"/>
  <c r="H74" i="87"/>
  <c r="G74" i="87"/>
  <c r="H73" i="82"/>
  <c r="I73" i="82"/>
  <c r="D73" i="82"/>
  <c r="N73" i="82"/>
  <c r="F74" i="87"/>
  <c r="E74" i="87"/>
  <c r="D74" i="87"/>
  <c r="C74" i="87"/>
  <c r="B74" i="87"/>
  <c r="A73" i="87"/>
  <c r="K73" i="87"/>
  <c r="J73" i="87"/>
  <c r="I73" i="87"/>
  <c r="H73" i="87"/>
  <c r="G73" i="87"/>
  <c r="H72" i="82"/>
  <c r="I72" i="82"/>
  <c r="D72" i="82"/>
  <c r="N72" i="82"/>
  <c r="F73" i="87"/>
  <c r="E73" i="87"/>
  <c r="D73" i="87"/>
  <c r="C73" i="87"/>
  <c r="B73" i="87"/>
  <c r="A72" i="87"/>
  <c r="K72" i="87"/>
  <c r="J72" i="87"/>
  <c r="I72" i="87"/>
  <c r="H72" i="87"/>
  <c r="G72" i="87"/>
  <c r="H71" i="82"/>
  <c r="I71" i="82"/>
  <c r="D71" i="82"/>
  <c r="N71" i="82"/>
  <c r="F72" i="87"/>
  <c r="E72" i="87"/>
  <c r="D72" i="87"/>
  <c r="C72" i="87"/>
  <c r="B72" i="87"/>
  <c r="A71" i="87"/>
  <c r="K71" i="87"/>
  <c r="J71" i="87"/>
  <c r="I71" i="87"/>
  <c r="H71" i="87"/>
  <c r="G71" i="87"/>
  <c r="H70" i="82"/>
  <c r="I70" i="82"/>
  <c r="D70" i="82"/>
  <c r="N70" i="82"/>
  <c r="F71" i="87"/>
  <c r="E71" i="87"/>
  <c r="D71" i="87"/>
  <c r="C71" i="87"/>
  <c r="B71" i="87"/>
  <c r="A70" i="87"/>
  <c r="K70" i="87"/>
  <c r="J70" i="87"/>
  <c r="I70" i="87"/>
  <c r="H70" i="87"/>
  <c r="G70" i="87"/>
  <c r="H69" i="82"/>
  <c r="I69" i="82"/>
  <c r="D69" i="82"/>
  <c r="N69" i="82"/>
  <c r="F70" i="87"/>
  <c r="E70" i="87"/>
  <c r="D70" i="87"/>
  <c r="C70" i="87"/>
  <c r="B70" i="87"/>
  <c r="A69" i="87"/>
  <c r="K69" i="87"/>
  <c r="J69" i="87"/>
  <c r="I69" i="87"/>
  <c r="H69" i="87"/>
  <c r="G69" i="87"/>
  <c r="H68" i="82"/>
  <c r="I68" i="82"/>
  <c r="D68" i="82"/>
  <c r="N68" i="82"/>
  <c r="F69" i="87"/>
  <c r="E69" i="87"/>
  <c r="D69" i="87"/>
  <c r="C69" i="87"/>
  <c r="B69" i="87"/>
  <c r="A68" i="87"/>
  <c r="K68" i="87"/>
  <c r="J68" i="87"/>
  <c r="I68" i="87"/>
  <c r="H68" i="87"/>
  <c r="G68" i="87"/>
  <c r="H67" i="82"/>
  <c r="I67" i="82"/>
  <c r="D67" i="82"/>
  <c r="N67" i="82"/>
  <c r="F68" i="87"/>
  <c r="E68" i="87"/>
  <c r="D68" i="87"/>
  <c r="C68" i="87"/>
  <c r="B68" i="87"/>
  <c r="A67" i="87"/>
  <c r="K67" i="87"/>
  <c r="J67" i="87"/>
  <c r="I67" i="87"/>
  <c r="H67" i="87"/>
  <c r="G67" i="87"/>
  <c r="H66" i="82"/>
  <c r="I66" i="82"/>
  <c r="D66" i="82"/>
  <c r="N66" i="82"/>
  <c r="F67" i="87"/>
  <c r="E67" i="87"/>
  <c r="D67" i="87"/>
  <c r="C67" i="87"/>
  <c r="B67" i="87"/>
  <c r="A66" i="87"/>
  <c r="K66" i="87"/>
  <c r="J66" i="87"/>
  <c r="I66" i="87"/>
  <c r="H66" i="87"/>
  <c r="G66" i="87"/>
  <c r="H65" i="82"/>
  <c r="I65" i="82"/>
  <c r="D65" i="82"/>
  <c r="N65" i="82"/>
  <c r="F66" i="87"/>
  <c r="E66" i="87"/>
  <c r="D66" i="87"/>
  <c r="C66" i="87"/>
  <c r="B66" i="87"/>
  <c r="A65" i="87"/>
  <c r="K65" i="87"/>
  <c r="J65" i="87"/>
  <c r="I65" i="87"/>
  <c r="H65" i="87"/>
  <c r="G65" i="87"/>
  <c r="H64" i="82"/>
  <c r="I64" i="82"/>
  <c r="D64" i="82"/>
  <c r="N64" i="82"/>
  <c r="F65" i="87"/>
  <c r="E65" i="87"/>
  <c r="D65" i="87"/>
  <c r="C65" i="87"/>
  <c r="B65" i="87"/>
  <c r="A64" i="87"/>
  <c r="K64" i="87"/>
  <c r="J64" i="87"/>
  <c r="I64" i="87"/>
  <c r="H64" i="87"/>
  <c r="G64" i="87"/>
  <c r="H63" i="82"/>
  <c r="I63" i="82"/>
  <c r="D63" i="82"/>
  <c r="N63" i="82"/>
  <c r="F64" i="87"/>
  <c r="E64" i="87"/>
  <c r="D64" i="87"/>
  <c r="C64" i="87"/>
  <c r="B64" i="87"/>
  <c r="A63" i="87"/>
  <c r="K63" i="87"/>
  <c r="J63" i="87"/>
  <c r="I63" i="87"/>
  <c r="H63" i="87"/>
  <c r="G63" i="87"/>
  <c r="H62" i="82"/>
  <c r="I62" i="82"/>
  <c r="D62" i="82"/>
  <c r="N62" i="82"/>
  <c r="F63" i="87"/>
  <c r="E63" i="87"/>
  <c r="D63" i="87"/>
  <c r="C63" i="87"/>
  <c r="B63" i="87"/>
  <c r="A62" i="87"/>
  <c r="K62" i="87"/>
  <c r="J62" i="87"/>
  <c r="I62" i="87"/>
  <c r="H62" i="87"/>
  <c r="G62" i="87"/>
  <c r="H61" i="82"/>
  <c r="I61" i="82"/>
  <c r="D61" i="82"/>
  <c r="N61" i="82"/>
  <c r="F62" i="87"/>
  <c r="E62" i="87"/>
  <c r="D62" i="87"/>
  <c r="C62" i="87"/>
  <c r="B62" i="87"/>
  <c r="A61" i="87"/>
  <c r="K61" i="87"/>
  <c r="J61" i="87"/>
  <c r="I61" i="87"/>
  <c r="H61" i="87"/>
  <c r="G61" i="87"/>
  <c r="H60" i="82"/>
  <c r="I60" i="82"/>
  <c r="D60" i="82"/>
  <c r="N60" i="82"/>
  <c r="F61" i="87"/>
  <c r="E61" i="87"/>
  <c r="D61" i="87"/>
  <c r="C61" i="87"/>
  <c r="B61" i="87"/>
  <c r="A60" i="87"/>
  <c r="K60" i="87"/>
  <c r="J60" i="87"/>
  <c r="I60" i="87"/>
  <c r="H60" i="87"/>
  <c r="G60" i="87"/>
  <c r="H59" i="82"/>
  <c r="I59" i="82"/>
  <c r="D59" i="82"/>
  <c r="N59" i="82"/>
  <c r="F60" i="87"/>
  <c r="E60" i="87"/>
  <c r="D60" i="87"/>
  <c r="C60" i="87"/>
  <c r="B60" i="87"/>
  <c r="A59" i="87"/>
  <c r="K59" i="87"/>
  <c r="J59" i="87"/>
  <c r="I59" i="87"/>
  <c r="H59" i="87"/>
  <c r="G59" i="87"/>
  <c r="H58" i="82"/>
  <c r="I58" i="82"/>
  <c r="D58" i="82"/>
  <c r="N58" i="82"/>
  <c r="F59" i="87"/>
  <c r="E59" i="87"/>
  <c r="D59" i="87"/>
  <c r="C59" i="87"/>
  <c r="B59" i="87"/>
  <c r="A58" i="87"/>
  <c r="K58" i="87"/>
  <c r="J58" i="87"/>
  <c r="I58" i="87"/>
  <c r="H58" i="87"/>
  <c r="G58" i="87"/>
  <c r="H57" i="82"/>
  <c r="I57" i="82"/>
  <c r="D57" i="82"/>
  <c r="N57" i="82"/>
  <c r="F58" i="87"/>
  <c r="E58" i="87"/>
  <c r="D58" i="87"/>
  <c r="C58" i="87"/>
  <c r="B58" i="87"/>
  <c r="A57" i="87"/>
  <c r="K57" i="87"/>
  <c r="J57" i="87"/>
  <c r="I57" i="87"/>
  <c r="H57" i="87"/>
  <c r="G57" i="87"/>
  <c r="H56" i="82"/>
  <c r="I56" i="82"/>
  <c r="D56" i="82"/>
  <c r="N56" i="82"/>
  <c r="F57" i="87"/>
  <c r="E57" i="87"/>
  <c r="D57" i="87"/>
  <c r="C57" i="87"/>
  <c r="B57" i="87"/>
  <c r="A56" i="87"/>
  <c r="K56" i="87"/>
  <c r="J56" i="87"/>
  <c r="I56" i="87"/>
  <c r="H56" i="87"/>
  <c r="G56" i="87"/>
  <c r="H55" i="82"/>
  <c r="I55" i="82"/>
  <c r="D55" i="82"/>
  <c r="N55" i="82"/>
  <c r="F56" i="87"/>
  <c r="E56" i="87"/>
  <c r="D56" i="87"/>
  <c r="C56" i="87"/>
  <c r="B56" i="87"/>
  <c r="A55" i="87"/>
  <c r="K55" i="87"/>
  <c r="J55" i="87"/>
  <c r="I55" i="87"/>
  <c r="H55" i="87"/>
  <c r="G55" i="87"/>
  <c r="H54" i="82"/>
  <c r="I54" i="82"/>
  <c r="D54" i="82"/>
  <c r="N54" i="82"/>
  <c r="F55" i="87"/>
  <c r="E55" i="87"/>
  <c r="D55" i="87"/>
  <c r="C55" i="87"/>
  <c r="B55" i="87"/>
  <c r="A54" i="87"/>
  <c r="K54" i="87"/>
  <c r="J54" i="87"/>
  <c r="I54" i="87"/>
  <c r="H54" i="87"/>
  <c r="G54" i="87"/>
  <c r="H53" i="82"/>
  <c r="I53" i="82"/>
  <c r="D53" i="82"/>
  <c r="N53" i="82"/>
  <c r="F54" i="87"/>
  <c r="E54" i="87"/>
  <c r="D54" i="87"/>
  <c r="C54" i="87"/>
  <c r="B54" i="87"/>
  <c r="A53" i="87"/>
  <c r="K53" i="87"/>
  <c r="J53" i="87"/>
  <c r="I53" i="87"/>
  <c r="H53" i="87"/>
  <c r="G53" i="87"/>
  <c r="H52" i="82"/>
  <c r="I52" i="82"/>
  <c r="D52" i="82"/>
  <c r="N52" i="82"/>
  <c r="F53" i="87"/>
  <c r="E53" i="87"/>
  <c r="D53" i="87"/>
  <c r="C53" i="87"/>
  <c r="B53" i="87"/>
  <c r="A52" i="87"/>
  <c r="K52" i="87"/>
  <c r="J52" i="87"/>
  <c r="I52" i="87"/>
  <c r="H52" i="87"/>
  <c r="G52" i="87"/>
  <c r="H51" i="82"/>
  <c r="I51" i="82"/>
  <c r="D51" i="82"/>
  <c r="N51" i="82"/>
  <c r="F52" i="87"/>
  <c r="E52" i="87"/>
  <c r="D52" i="87"/>
  <c r="C52" i="87"/>
  <c r="B52" i="87"/>
  <c r="A51" i="87"/>
  <c r="K51" i="87"/>
  <c r="J51" i="87"/>
  <c r="I51" i="87"/>
  <c r="H51" i="87"/>
  <c r="G51" i="87"/>
  <c r="H50" i="82"/>
  <c r="I50" i="82"/>
  <c r="D50" i="82"/>
  <c r="N50" i="82"/>
  <c r="F51" i="87"/>
  <c r="E51" i="87"/>
  <c r="D51" i="87"/>
  <c r="C51" i="87"/>
  <c r="B51" i="87"/>
  <c r="A50" i="87"/>
  <c r="K50" i="87"/>
  <c r="J50" i="87"/>
  <c r="I50" i="87"/>
  <c r="H50" i="87"/>
  <c r="G50" i="87"/>
  <c r="H49" i="82"/>
  <c r="I49" i="82"/>
  <c r="D49" i="82"/>
  <c r="N49" i="82"/>
  <c r="F50" i="87"/>
  <c r="E50" i="87"/>
  <c r="D50" i="87"/>
  <c r="C50" i="87"/>
  <c r="B50" i="87"/>
  <c r="A49" i="87"/>
  <c r="K49" i="87"/>
  <c r="J49" i="87"/>
  <c r="I49" i="87"/>
  <c r="H49" i="87"/>
  <c r="G49" i="87"/>
  <c r="H48" i="82"/>
  <c r="I48" i="82"/>
  <c r="D48" i="82"/>
  <c r="N48" i="82"/>
  <c r="F49" i="87"/>
  <c r="E49" i="87"/>
  <c r="D49" i="87"/>
  <c r="C49" i="87"/>
  <c r="B49" i="87"/>
  <c r="A48" i="87"/>
  <c r="K48" i="87"/>
  <c r="J48" i="87"/>
  <c r="I48" i="87"/>
  <c r="H48" i="87"/>
  <c r="G48" i="87"/>
  <c r="H47" i="82"/>
  <c r="I47" i="82"/>
  <c r="D47" i="82"/>
  <c r="N47" i="82"/>
  <c r="F48" i="87"/>
  <c r="E48" i="87"/>
  <c r="D48" i="87"/>
  <c r="C48" i="87"/>
  <c r="B48" i="87"/>
  <c r="A47" i="87"/>
  <c r="K47" i="87"/>
  <c r="J47" i="87"/>
  <c r="I47" i="87"/>
  <c r="H47" i="87"/>
  <c r="G47" i="87"/>
  <c r="H46" i="82"/>
  <c r="I46" i="82"/>
  <c r="D46" i="82"/>
  <c r="N46" i="82"/>
  <c r="F47" i="87"/>
  <c r="E47" i="87"/>
  <c r="D47" i="87"/>
  <c r="C47" i="87"/>
  <c r="B47" i="87"/>
  <c r="A46" i="87"/>
  <c r="K46" i="87"/>
  <c r="J46" i="87"/>
  <c r="I46" i="87"/>
  <c r="H46" i="87"/>
  <c r="G46" i="87"/>
  <c r="H45" i="82"/>
  <c r="I45" i="82"/>
  <c r="D45" i="82"/>
  <c r="N45" i="82"/>
  <c r="F46" i="87"/>
  <c r="E46" i="87"/>
  <c r="D46" i="87"/>
  <c r="C46" i="87"/>
  <c r="B46" i="87"/>
  <c r="A45" i="87"/>
  <c r="K45" i="87"/>
  <c r="J45" i="87"/>
  <c r="I45" i="87"/>
  <c r="H45" i="87"/>
  <c r="G45" i="87"/>
  <c r="H44" i="82"/>
  <c r="I44" i="82"/>
  <c r="D44" i="82"/>
  <c r="N44" i="82"/>
  <c r="F45" i="87"/>
  <c r="E45" i="87"/>
  <c r="D45" i="87"/>
  <c r="C45" i="87"/>
  <c r="B45" i="87"/>
  <c r="A44" i="87"/>
  <c r="K44" i="87"/>
  <c r="J44" i="87"/>
  <c r="I44" i="87"/>
  <c r="H44" i="87"/>
  <c r="G44" i="87"/>
  <c r="H43" i="82"/>
  <c r="I43" i="82"/>
  <c r="D43" i="82"/>
  <c r="N43" i="82"/>
  <c r="F44" i="87"/>
  <c r="E44" i="87"/>
  <c r="D44" i="87"/>
  <c r="C44" i="87"/>
  <c r="B44" i="87"/>
  <c r="A43" i="87"/>
  <c r="K43" i="87"/>
  <c r="J43" i="87"/>
  <c r="I43" i="87"/>
  <c r="H43" i="87"/>
  <c r="G43" i="87"/>
  <c r="H42" i="82"/>
  <c r="I42" i="82"/>
  <c r="D42" i="82"/>
  <c r="N42" i="82"/>
  <c r="F43" i="87"/>
  <c r="E43" i="87"/>
  <c r="D43" i="87"/>
  <c r="C43" i="87"/>
  <c r="B43" i="87"/>
  <c r="A42" i="87"/>
  <c r="K42" i="87"/>
  <c r="J42" i="87"/>
  <c r="I42" i="87"/>
  <c r="H42" i="87"/>
  <c r="G42" i="87"/>
  <c r="H41" i="82"/>
  <c r="I41" i="82"/>
  <c r="D41" i="82"/>
  <c r="N41" i="82"/>
  <c r="F42" i="87"/>
  <c r="E42" i="87"/>
  <c r="D42" i="87"/>
  <c r="C42" i="87"/>
  <c r="B42" i="87"/>
  <c r="A41" i="87"/>
  <c r="K41" i="87"/>
  <c r="J41" i="87"/>
  <c r="I41" i="87"/>
  <c r="H41" i="87"/>
  <c r="G41" i="87"/>
  <c r="H40" i="82"/>
  <c r="I40" i="82"/>
  <c r="D40" i="82"/>
  <c r="N40" i="82"/>
  <c r="F41" i="87"/>
  <c r="E41" i="87"/>
  <c r="D41" i="87"/>
  <c r="C41" i="87"/>
  <c r="B41" i="87"/>
  <c r="A40" i="87"/>
  <c r="K40" i="87"/>
  <c r="J40" i="87"/>
  <c r="I40" i="87"/>
  <c r="H40" i="87"/>
  <c r="G40" i="87"/>
  <c r="H39" i="82"/>
  <c r="I39" i="82"/>
  <c r="D39" i="82"/>
  <c r="N39" i="82"/>
  <c r="F40" i="87"/>
  <c r="E40" i="87"/>
  <c r="D40" i="87"/>
  <c r="C40" i="87"/>
  <c r="B40" i="87"/>
  <c r="A39" i="87"/>
  <c r="K39" i="87"/>
  <c r="J39" i="87"/>
  <c r="I39" i="87"/>
  <c r="H39" i="87"/>
  <c r="G39" i="87"/>
  <c r="H38" i="82"/>
  <c r="I38" i="82"/>
  <c r="D38" i="82"/>
  <c r="N38" i="82"/>
  <c r="F39" i="87"/>
  <c r="E39" i="87"/>
  <c r="D39" i="87"/>
  <c r="C39" i="87"/>
  <c r="B39" i="87"/>
  <c r="A38" i="87"/>
  <c r="K38" i="87"/>
  <c r="J38" i="87"/>
  <c r="I38" i="87"/>
  <c r="H38" i="87"/>
  <c r="G38" i="87"/>
  <c r="H37" i="82"/>
  <c r="I37" i="82"/>
  <c r="D37" i="82"/>
  <c r="N37" i="82"/>
  <c r="F38" i="87"/>
  <c r="E38" i="87"/>
  <c r="D38" i="87"/>
  <c r="C38" i="87"/>
  <c r="B38" i="87"/>
  <c r="A37" i="87"/>
  <c r="K37" i="87"/>
  <c r="J37" i="87"/>
  <c r="I37" i="87"/>
  <c r="H37" i="87"/>
  <c r="G37" i="87"/>
  <c r="H36" i="82"/>
  <c r="I36" i="82"/>
  <c r="D36" i="82"/>
  <c r="N36" i="82"/>
  <c r="F37" i="87"/>
  <c r="E37" i="87"/>
  <c r="D37" i="87"/>
  <c r="C37" i="87"/>
  <c r="B37" i="87"/>
  <c r="A36" i="87"/>
  <c r="K36" i="87"/>
  <c r="J36" i="87"/>
  <c r="I36" i="87"/>
  <c r="H36" i="87"/>
  <c r="G36" i="87"/>
  <c r="H35" i="82"/>
  <c r="I35" i="82"/>
  <c r="D35" i="82"/>
  <c r="N35" i="82"/>
  <c r="F36" i="87"/>
  <c r="E36" i="87"/>
  <c r="D36" i="87"/>
  <c r="C36" i="87"/>
  <c r="B36" i="87"/>
  <c r="A35" i="87"/>
  <c r="K35" i="87"/>
  <c r="J35" i="87"/>
  <c r="I35" i="87"/>
  <c r="H35" i="87"/>
  <c r="G35" i="87"/>
  <c r="H34" i="82"/>
  <c r="I34" i="82"/>
  <c r="D34" i="82"/>
  <c r="N34" i="82"/>
  <c r="F35" i="87"/>
  <c r="E35" i="87"/>
  <c r="D35" i="87"/>
  <c r="C35" i="87"/>
  <c r="B35" i="87"/>
  <c r="A34" i="87"/>
  <c r="K34" i="87"/>
  <c r="J34" i="87"/>
  <c r="I34" i="87"/>
  <c r="H34" i="87"/>
  <c r="G34" i="87"/>
  <c r="H33" i="82"/>
  <c r="I33" i="82"/>
  <c r="D33" i="82"/>
  <c r="N33" i="82"/>
  <c r="F34" i="87"/>
  <c r="E34" i="87"/>
  <c r="D34" i="87"/>
  <c r="C34" i="87"/>
  <c r="B34" i="87"/>
  <c r="A33" i="87"/>
  <c r="K33" i="87"/>
  <c r="J33" i="87"/>
  <c r="I33" i="87"/>
  <c r="H33" i="87"/>
  <c r="G33" i="87"/>
  <c r="H32" i="82"/>
  <c r="I32" i="82"/>
  <c r="D32" i="82"/>
  <c r="N32" i="82"/>
  <c r="F33" i="87"/>
  <c r="E33" i="87"/>
  <c r="D33" i="87"/>
  <c r="C33" i="87"/>
  <c r="B33" i="87"/>
  <c r="A32" i="87"/>
  <c r="K32" i="87"/>
  <c r="J32" i="87"/>
  <c r="I32" i="87"/>
  <c r="H32" i="87"/>
  <c r="G32" i="87"/>
  <c r="H31" i="82"/>
  <c r="I31" i="82"/>
  <c r="D31" i="82"/>
  <c r="N31" i="82"/>
  <c r="F32" i="87"/>
  <c r="E32" i="87"/>
  <c r="D32" i="87"/>
  <c r="C32" i="87"/>
  <c r="B32" i="87"/>
  <c r="A31" i="87"/>
  <c r="K31" i="87"/>
  <c r="J31" i="87"/>
  <c r="I31" i="87"/>
  <c r="H31" i="87"/>
  <c r="G31" i="87"/>
  <c r="H30" i="82"/>
  <c r="I30" i="82"/>
  <c r="D30" i="82"/>
  <c r="N30" i="82"/>
  <c r="F31" i="87"/>
  <c r="E31" i="87"/>
  <c r="D31" i="87"/>
  <c r="C31" i="87"/>
  <c r="B31" i="87"/>
  <c r="A30" i="87"/>
  <c r="K30" i="87"/>
  <c r="J30" i="87"/>
  <c r="I30" i="87"/>
  <c r="H30" i="87"/>
  <c r="G30" i="87"/>
  <c r="H29" i="82"/>
  <c r="I29" i="82"/>
  <c r="D29" i="82"/>
  <c r="N29" i="82"/>
  <c r="F30" i="87"/>
  <c r="E30" i="87"/>
  <c r="D30" i="87"/>
  <c r="C30" i="87"/>
  <c r="B30" i="87"/>
  <c r="A29" i="87"/>
  <c r="K29" i="87"/>
  <c r="J29" i="87"/>
  <c r="I29" i="87"/>
  <c r="H29" i="87"/>
  <c r="G29" i="87"/>
  <c r="H28" i="82"/>
  <c r="I28" i="82"/>
  <c r="D28" i="82"/>
  <c r="N28" i="82"/>
  <c r="F29" i="87"/>
  <c r="E29" i="87"/>
  <c r="D29" i="87"/>
  <c r="C29" i="87"/>
  <c r="B29" i="87"/>
  <c r="A28" i="87"/>
  <c r="K28" i="87"/>
  <c r="J28" i="87"/>
  <c r="I28" i="87"/>
  <c r="H28" i="87"/>
  <c r="G28" i="87"/>
  <c r="H27" i="82"/>
  <c r="I27" i="82"/>
  <c r="D27" i="82"/>
  <c r="N27" i="82"/>
  <c r="F28" i="87"/>
  <c r="E28" i="87"/>
  <c r="D28" i="87"/>
  <c r="C28" i="87"/>
  <c r="B28" i="87"/>
  <c r="A27" i="87"/>
  <c r="K27" i="87"/>
  <c r="J27" i="87"/>
  <c r="I27" i="87"/>
  <c r="H27" i="87"/>
  <c r="G27" i="87"/>
  <c r="H26" i="82"/>
  <c r="I26" i="82"/>
  <c r="D26" i="82"/>
  <c r="N26" i="82"/>
  <c r="F27" i="87"/>
  <c r="E27" i="87"/>
  <c r="D27" i="87"/>
  <c r="C27" i="87"/>
  <c r="B27" i="87"/>
  <c r="A26" i="87"/>
  <c r="K26" i="87"/>
  <c r="J26" i="87"/>
  <c r="I26" i="87"/>
  <c r="H26" i="87"/>
  <c r="G26" i="87"/>
  <c r="H25" i="82"/>
  <c r="I25" i="82"/>
  <c r="D25" i="82"/>
  <c r="N25" i="82"/>
  <c r="F26" i="87"/>
  <c r="E26" i="87"/>
  <c r="D26" i="87"/>
  <c r="C26" i="87"/>
  <c r="B26" i="87"/>
  <c r="A25" i="87"/>
  <c r="K25" i="87"/>
  <c r="J25" i="87"/>
  <c r="I25" i="87"/>
  <c r="H25" i="87"/>
  <c r="G25" i="87"/>
  <c r="H24" i="82"/>
  <c r="I24" i="82"/>
  <c r="D24" i="82"/>
  <c r="N24" i="82"/>
  <c r="F25" i="87"/>
  <c r="E25" i="87"/>
  <c r="D25" i="87"/>
  <c r="C25" i="87"/>
  <c r="B25" i="87"/>
  <c r="A24" i="87"/>
  <c r="K24" i="87"/>
  <c r="J24" i="87"/>
  <c r="I24" i="87"/>
  <c r="H24" i="87"/>
  <c r="G24" i="87"/>
  <c r="H23" i="82"/>
  <c r="I23" i="82"/>
  <c r="D23" i="82"/>
  <c r="N23" i="82"/>
  <c r="F24" i="87"/>
  <c r="E24" i="87"/>
  <c r="D24" i="87"/>
  <c r="C24" i="87"/>
  <c r="B24" i="87"/>
  <c r="A23" i="87"/>
  <c r="K23" i="87"/>
  <c r="J23" i="87"/>
  <c r="I23" i="87"/>
  <c r="H23" i="87"/>
  <c r="G23" i="87"/>
  <c r="H22" i="82"/>
  <c r="I22" i="82"/>
  <c r="D22" i="82"/>
  <c r="N22" i="82"/>
  <c r="F23" i="87"/>
  <c r="E23" i="87"/>
  <c r="D23" i="87"/>
  <c r="C23" i="87"/>
  <c r="B23" i="87"/>
  <c r="A22" i="87"/>
  <c r="K22" i="87"/>
  <c r="J22" i="87"/>
  <c r="I22" i="87"/>
  <c r="H22" i="87"/>
  <c r="G22" i="87"/>
  <c r="H21" i="82"/>
  <c r="I21" i="82"/>
  <c r="D21" i="82"/>
  <c r="N21" i="82"/>
  <c r="F22" i="87"/>
  <c r="E22" i="87"/>
  <c r="D22" i="87"/>
  <c r="C22" i="87"/>
  <c r="B22" i="87"/>
  <c r="A21" i="87"/>
  <c r="K21" i="87"/>
  <c r="J21" i="87"/>
  <c r="I21" i="87"/>
  <c r="H21" i="87"/>
  <c r="G21" i="87"/>
  <c r="H20" i="82"/>
  <c r="I20" i="82"/>
  <c r="D20" i="82"/>
  <c r="N20" i="82"/>
  <c r="F21" i="87"/>
  <c r="E21" i="87"/>
  <c r="D21" i="87"/>
  <c r="C21" i="87"/>
  <c r="B21" i="87"/>
  <c r="A20" i="87"/>
  <c r="K20" i="87"/>
  <c r="J20" i="87"/>
  <c r="I20" i="87"/>
  <c r="H20" i="87"/>
  <c r="G20" i="87"/>
  <c r="H19" i="82"/>
  <c r="I19" i="82"/>
  <c r="D19" i="82"/>
  <c r="N19" i="82"/>
  <c r="F20" i="87"/>
  <c r="E20" i="87"/>
  <c r="D20" i="87"/>
  <c r="C20" i="87"/>
  <c r="B20" i="87"/>
  <c r="A19" i="87"/>
  <c r="K19" i="87"/>
  <c r="J19" i="87"/>
  <c r="I19" i="87"/>
  <c r="H19" i="87"/>
  <c r="G19" i="87"/>
  <c r="H18" i="82"/>
  <c r="I18" i="82"/>
  <c r="D18" i="82"/>
  <c r="N18" i="82"/>
  <c r="F19" i="87"/>
  <c r="E19" i="87"/>
  <c r="D19" i="87"/>
  <c r="C19" i="87"/>
  <c r="B19" i="87"/>
  <c r="A18" i="87"/>
  <c r="K18" i="87"/>
  <c r="J18" i="87"/>
  <c r="I18" i="87"/>
  <c r="H18" i="87"/>
  <c r="G18" i="87"/>
  <c r="H17" i="82"/>
  <c r="I17" i="82"/>
  <c r="D17" i="82"/>
  <c r="N17" i="82"/>
  <c r="F18" i="87"/>
  <c r="E18" i="87"/>
  <c r="D18" i="87"/>
  <c r="C18" i="87"/>
  <c r="B18" i="87"/>
  <c r="A17" i="87"/>
  <c r="K17" i="87"/>
  <c r="J17" i="87"/>
  <c r="I17" i="87"/>
  <c r="H17" i="87"/>
  <c r="G17" i="87"/>
  <c r="H16" i="82"/>
  <c r="I16" i="82"/>
  <c r="D16" i="82"/>
  <c r="N16" i="82"/>
  <c r="F17" i="87"/>
  <c r="E17" i="87"/>
  <c r="D17" i="87"/>
  <c r="C17" i="87"/>
  <c r="B17" i="87"/>
  <c r="A16" i="87"/>
  <c r="K16" i="87"/>
  <c r="J16" i="87"/>
  <c r="I16" i="87"/>
  <c r="H16" i="87"/>
  <c r="G16" i="87"/>
  <c r="H15" i="82"/>
  <c r="I15" i="82"/>
  <c r="D15" i="82"/>
  <c r="N15" i="82"/>
  <c r="F16" i="87"/>
  <c r="E16" i="87"/>
  <c r="D16" i="87"/>
  <c r="C16" i="87"/>
  <c r="B16" i="87"/>
  <c r="A15" i="87"/>
  <c r="K15" i="87"/>
  <c r="J15" i="87"/>
  <c r="I15" i="87"/>
  <c r="H15" i="87"/>
  <c r="G15" i="87"/>
  <c r="H14" i="82"/>
  <c r="I14" i="82"/>
  <c r="D14" i="82"/>
  <c r="N14" i="82"/>
  <c r="F15" i="87"/>
  <c r="E15" i="87"/>
  <c r="D15" i="87"/>
  <c r="C15" i="87"/>
  <c r="B15" i="87"/>
  <c r="A14" i="87"/>
  <c r="K14" i="87"/>
  <c r="J14" i="87"/>
  <c r="I14" i="87"/>
  <c r="H14" i="87"/>
  <c r="G14" i="87"/>
  <c r="H13" i="82"/>
  <c r="I13" i="82"/>
  <c r="D13" i="82"/>
  <c r="N13" i="82"/>
  <c r="F14" i="87"/>
  <c r="E14" i="87"/>
  <c r="D14" i="87"/>
  <c r="C14" i="87"/>
  <c r="B14" i="87"/>
  <c r="A13" i="87"/>
  <c r="K13" i="87"/>
  <c r="J13" i="87"/>
  <c r="I13" i="87"/>
  <c r="H13" i="87"/>
  <c r="G13" i="87"/>
  <c r="H12" i="82"/>
  <c r="I12" i="82"/>
  <c r="D12" i="82"/>
  <c r="N12" i="82"/>
  <c r="F13" i="87"/>
  <c r="E13" i="87"/>
  <c r="D13" i="87"/>
  <c r="C13" i="87"/>
  <c r="B13" i="87"/>
  <c r="A12" i="87"/>
  <c r="K12" i="87"/>
  <c r="J12" i="87"/>
  <c r="I12" i="87"/>
  <c r="H12" i="87"/>
  <c r="G12" i="87"/>
  <c r="H11" i="82"/>
  <c r="I11" i="82"/>
  <c r="D11" i="82"/>
  <c r="N11" i="82"/>
  <c r="F12" i="87"/>
  <c r="E12" i="87"/>
  <c r="D12" i="87"/>
  <c r="C12" i="87"/>
  <c r="B12" i="87"/>
  <c r="A11" i="87"/>
  <c r="K11" i="87"/>
  <c r="J11" i="87"/>
  <c r="I11" i="87"/>
  <c r="H11" i="87"/>
  <c r="G11" i="87"/>
  <c r="H10" i="82"/>
  <c r="I10" i="82"/>
  <c r="D10" i="82"/>
  <c r="N10" i="82"/>
  <c r="F11" i="87"/>
  <c r="E11" i="87"/>
  <c r="D11" i="87"/>
  <c r="C11" i="87"/>
  <c r="B11" i="87"/>
  <c r="A10" i="87"/>
  <c r="K10" i="87"/>
  <c r="J10" i="87"/>
  <c r="I10" i="87"/>
  <c r="H10" i="87"/>
  <c r="G10" i="87"/>
  <c r="H9" i="82"/>
  <c r="I9" i="82"/>
  <c r="D9" i="82"/>
  <c r="N9" i="82"/>
  <c r="F10" i="87"/>
  <c r="E10" i="87"/>
  <c r="D10" i="87"/>
  <c r="C10" i="87"/>
  <c r="B10" i="87"/>
  <c r="A9" i="87"/>
  <c r="K9" i="87"/>
  <c r="J9" i="87"/>
  <c r="I9" i="87"/>
  <c r="H9" i="87"/>
  <c r="G9" i="87"/>
  <c r="H8" i="82"/>
  <c r="I8" i="82"/>
  <c r="D8" i="82"/>
  <c r="N8" i="82"/>
  <c r="F9" i="87"/>
  <c r="E9" i="87"/>
  <c r="D9" i="87"/>
  <c r="C9" i="87"/>
  <c r="B9" i="87"/>
  <c r="A8" i="87"/>
  <c r="K8" i="87"/>
  <c r="J8" i="87"/>
  <c r="I8" i="87"/>
  <c r="H8" i="87"/>
  <c r="G8" i="87"/>
  <c r="H7" i="82"/>
  <c r="I7" i="82"/>
  <c r="D7" i="82"/>
  <c r="N7" i="82"/>
  <c r="F8" i="87"/>
  <c r="E8" i="87"/>
  <c r="D8" i="87"/>
  <c r="C8" i="87"/>
  <c r="B8" i="87"/>
  <c r="A7" i="87"/>
  <c r="K7" i="87"/>
  <c r="J7" i="87"/>
  <c r="I7" i="87"/>
  <c r="H7" i="87"/>
  <c r="G7" i="87"/>
  <c r="H6" i="82"/>
  <c r="I6" i="82"/>
  <c r="D6" i="82"/>
  <c r="N6" i="82"/>
  <c r="F7" i="87"/>
  <c r="E7" i="87"/>
  <c r="D7" i="87"/>
  <c r="C7" i="87"/>
  <c r="B7" i="87"/>
  <c r="A6" i="87"/>
  <c r="K6" i="87"/>
  <c r="J6" i="87"/>
  <c r="I6" i="87"/>
  <c r="H6" i="87"/>
  <c r="G6" i="87"/>
  <c r="H5" i="82"/>
  <c r="I5" i="82"/>
  <c r="D5" i="82"/>
  <c r="N5" i="82"/>
  <c r="F6" i="87"/>
  <c r="E6" i="87"/>
  <c r="D6" i="87"/>
  <c r="C6" i="87"/>
  <c r="B6" i="87"/>
  <c r="A5" i="87"/>
  <c r="K5" i="87"/>
  <c r="J5" i="87"/>
  <c r="I5" i="87"/>
  <c r="H5" i="87"/>
  <c r="G5" i="87"/>
  <c r="H4" i="82"/>
  <c r="I4" i="82"/>
  <c r="D4" i="82"/>
  <c r="N4" i="82"/>
  <c r="F5" i="87"/>
  <c r="E5" i="87"/>
  <c r="D5" i="87"/>
  <c r="C5" i="87"/>
  <c r="B5" i="87"/>
  <c r="A4" i="87"/>
  <c r="K4" i="87"/>
  <c r="J4" i="87"/>
  <c r="I4" i="87"/>
  <c r="H4" i="87"/>
  <c r="G4" i="87"/>
  <c r="H3" i="82"/>
  <c r="I3" i="82"/>
  <c r="D3" i="82"/>
  <c r="N3" i="82"/>
  <c r="F4" i="87"/>
  <c r="E4" i="87"/>
  <c r="D4" i="87"/>
  <c r="C4" i="87"/>
  <c r="B4" i="87"/>
  <c r="C254" i="82"/>
  <c r="C255" i="82"/>
  <c r="C256" i="82"/>
  <c r="C257" i="82"/>
  <c r="C258" i="82"/>
  <c r="C259" i="82"/>
  <c r="C260" i="82"/>
  <c r="C261" i="82"/>
  <c r="C262" i="82"/>
  <c r="C263" i="82"/>
  <c r="C264" i="82"/>
  <c r="C265" i="82"/>
  <c r="C266" i="82"/>
  <c r="C267" i="82"/>
  <c r="C268" i="82"/>
  <c r="C269" i="82"/>
  <c r="C270" i="82"/>
  <c r="C271" i="82"/>
  <c r="C272" i="82"/>
  <c r="C273" i="82"/>
  <c r="A273" i="82"/>
  <c r="B273" i="82"/>
  <c r="G273" i="82"/>
  <c r="J273" i="82"/>
  <c r="K273" i="82"/>
  <c r="L273" i="82"/>
  <c r="A264" i="82"/>
  <c r="B264" i="82"/>
  <c r="G264" i="82"/>
  <c r="J264" i="82"/>
  <c r="K264" i="82"/>
  <c r="L264" i="82"/>
  <c r="A265" i="82"/>
  <c r="B265" i="82"/>
  <c r="G265" i="82"/>
  <c r="J265" i="82"/>
  <c r="K265" i="82"/>
  <c r="L265" i="82"/>
  <c r="A266" i="82"/>
  <c r="B266" i="82"/>
  <c r="G266" i="82"/>
  <c r="J266" i="82"/>
  <c r="K266" i="82"/>
  <c r="L266" i="82"/>
  <c r="A267" i="82"/>
  <c r="B267" i="82"/>
  <c r="G267" i="82"/>
  <c r="J267" i="82"/>
  <c r="K267" i="82"/>
  <c r="L267" i="82"/>
  <c r="A268" i="82"/>
  <c r="B268" i="82"/>
  <c r="G268" i="82"/>
  <c r="J268" i="82"/>
  <c r="K268" i="82"/>
  <c r="L268" i="82"/>
  <c r="A269" i="82"/>
  <c r="B269" i="82"/>
  <c r="G269" i="82"/>
  <c r="J269" i="82"/>
  <c r="K269" i="82"/>
  <c r="L269" i="82"/>
  <c r="A270" i="82"/>
  <c r="B270" i="82"/>
  <c r="G270" i="82"/>
  <c r="J270" i="82"/>
  <c r="K270" i="82"/>
  <c r="L270" i="82"/>
  <c r="A271" i="82"/>
  <c r="B271" i="82"/>
  <c r="G271" i="82"/>
  <c r="J271" i="82"/>
  <c r="K271" i="82"/>
  <c r="L271" i="82"/>
  <c r="A272" i="82"/>
  <c r="B272" i="82"/>
  <c r="G272" i="82"/>
  <c r="J272" i="82"/>
  <c r="K272" i="82"/>
  <c r="L272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L107" i="82"/>
  <c r="K107" i="82"/>
  <c r="J107" i="82"/>
  <c r="G107" i="82"/>
  <c r="B107" i="82"/>
  <c r="A107" i="82"/>
  <c r="L106" i="82"/>
  <c r="K106" i="82"/>
  <c r="J106" i="82"/>
  <c r="G106" i="82"/>
  <c r="B106" i="82"/>
  <c r="A106" i="82"/>
  <c r="L105" i="82"/>
  <c r="K105" i="82"/>
  <c r="J105" i="82"/>
  <c r="G105" i="82"/>
  <c r="B105" i="82"/>
  <c r="A105" i="82"/>
  <c r="L104" i="82"/>
  <c r="K104" i="82"/>
  <c r="J104" i="82"/>
  <c r="G104" i="82"/>
  <c r="B104" i="82"/>
  <c r="A104" i="82"/>
  <c r="L103" i="82"/>
  <c r="K103" i="82"/>
  <c r="J103" i="82"/>
  <c r="G103" i="82"/>
  <c r="B103" i="82"/>
  <c r="A103" i="82"/>
  <c r="L102" i="82"/>
  <c r="K102" i="82"/>
  <c r="J102" i="82"/>
  <c r="G102" i="82"/>
  <c r="B102" i="82"/>
  <c r="A102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3" i="82"/>
  <c r="H2" i="82"/>
  <c r="I2" i="82"/>
  <c r="D2" i="82"/>
  <c r="N2" i="82"/>
  <c r="C2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3" i="82"/>
  <c r="C4" i="82"/>
  <c r="C5" i="82"/>
  <c r="C6" i="82"/>
  <c r="C7" i="82"/>
  <c r="C8" i="82"/>
  <c r="C9" i="82"/>
  <c r="C10" i="82"/>
  <c r="C11" i="82"/>
  <c r="C12" i="82"/>
  <c r="C13" i="82"/>
  <c r="A3" i="93"/>
  <c r="K3" i="93"/>
  <c r="J3" i="93"/>
  <c r="I3" i="93"/>
  <c r="H3" i="93"/>
  <c r="G3" i="93"/>
  <c r="F3" i="93"/>
  <c r="E3" i="93"/>
  <c r="D3" i="93"/>
  <c r="C3" i="93"/>
  <c r="B3" i="93"/>
  <c r="A3" i="89"/>
  <c r="K3" i="89"/>
  <c r="J3" i="89"/>
  <c r="I3" i="89"/>
  <c r="H3" i="89"/>
  <c r="G3" i="89"/>
  <c r="F3" i="89"/>
  <c r="E3" i="89"/>
  <c r="D3" i="89"/>
  <c r="C3" i="89"/>
  <c r="B3" i="89"/>
  <c r="A3" i="87"/>
  <c r="K3" i="87"/>
  <c r="J3" i="87"/>
  <c r="I3" i="87"/>
  <c r="H3" i="87"/>
  <c r="G3" i="87"/>
  <c r="F3" i="87"/>
  <c r="E3" i="87"/>
  <c r="D3" i="87"/>
  <c r="C3" i="87"/>
  <c r="B3" i="87"/>
  <c r="L263" i="82"/>
  <c r="K263" i="82"/>
  <c r="J263" i="82"/>
  <c r="G263" i="82"/>
  <c r="A263" i="82"/>
  <c r="L262" i="82"/>
  <c r="K262" i="82"/>
  <c r="J262" i="82"/>
  <c r="G262" i="82"/>
  <c r="A262" i="82"/>
  <c r="L261" i="82"/>
  <c r="K261" i="82"/>
  <c r="J261" i="82"/>
  <c r="G261" i="82"/>
  <c r="A261" i="82"/>
  <c r="L260" i="82"/>
  <c r="K260" i="82"/>
  <c r="J260" i="82"/>
  <c r="G260" i="82"/>
  <c r="A260" i="82"/>
  <c r="L259" i="82"/>
  <c r="K259" i="82"/>
  <c r="J259" i="82"/>
  <c r="G259" i="82"/>
  <c r="A259" i="82"/>
  <c r="L258" i="82"/>
  <c r="K258" i="82"/>
  <c r="J258" i="82"/>
  <c r="G258" i="82"/>
  <c r="A258" i="82"/>
  <c r="L257" i="82"/>
  <c r="K257" i="82"/>
  <c r="J257" i="82"/>
  <c r="G257" i="82"/>
  <c r="A257" i="82"/>
  <c r="L256" i="82"/>
  <c r="K256" i="82"/>
  <c r="J256" i="82"/>
  <c r="G256" i="82"/>
  <c r="A256" i="82"/>
  <c r="L255" i="82"/>
  <c r="K255" i="82"/>
  <c r="J255" i="82"/>
  <c r="G255" i="82"/>
  <c r="A255" i="82"/>
  <c r="L254" i="82"/>
  <c r="K254" i="82"/>
  <c r="J254" i="82"/>
  <c r="G254" i="82"/>
  <c r="A254" i="82"/>
  <c r="L100" i="82"/>
  <c r="K100" i="82"/>
  <c r="J100" i="82"/>
  <c r="G100" i="82"/>
  <c r="A100" i="82"/>
  <c r="L101" i="82"/>
  <c r="K101" i="82"/>
  <c r="J101" i="82"/>
  <c r="G101" i="82"/>
  <c r="A101" i="82"/>
  <c r="L99" i="82"/>
  <c r="K99" i="82"/>
  <c r="J99" i="82"/>
  <c r="G99" i="82"/>
  <c r="A99" i="82"/>
  <c r="L98" i="82"/>
  <c r="K98" i="82"/>
  <c r="J98" i="82"/>
  <c r="G98" i="82"/>
  <c r="A98" i="82"/>
  <c r="L97" i="82"/>
  <c r="K97" i="82"/>
  <c r="J97" i="82"/>
  <c r="G97" i="82"/>
  <c r="A97" i="82"/>
  <c r="L96" i="82"/>
  <c r="K96" i="82"/>
  <c r="J96" i="82"/>
  <c r="G96" i="82"/>
  <c r="A96" i="82"/>
  <c r="L95" i="82"/>
  <c r="K95" i="82"/>
  <c r="J95" i="82"/>
  <c r="G95" i="82"/>
  <c r="A95" i="82"/>
  <c r="L94" i="82"/>
  <c r="K94" i="82"/>
  <c r="J94" i="82"/>
  <c r="G94" i="82"/>
  <c r="A94" i="82"/>
  <c r="L253" i="82"/>
  <c r="K253" i="82"/>
  <c r="J253" i="82"/>
  <c r="G253" i="82"/>
  <c r="A253" i="82"/>
  <c r="L252" i="82"/>
  <c r="K252" i="82"/>
  <c r="J252" i="82"/>
  <c r="G252" i="82"/>
  <c r="A252" i="82"/>
  <c r="L251" i="82"/>
  <c r="K251" i="82"/>
  <c r="J251" i="82"/>
  <c r="G251" i="82"/>
  <c r="A251" i="82"/>
  <c r="L250" i="82"/>
  <c r="K250" i="82"/>
  <c r="J250" i="82"/>
  <c r="G250" i="82"/>
  <c r="A250" i="82"/>
  <c r="L249" i="82"/>
  <c r="K249" i="82"/>
  <c r="J249" i="82"/>
  <c r="G249" i="82"/>
  <c r="A249" i="82"/>
  <c r="L248" i="82"/>
  <c r="K248" i="82"/>
  <c r="J248" i="82"/>
  <c r="G248" i="82"/>
  <c r="A248" i="82"/>
  <c r="L247" i="82"/>
  <c r="K247" i="82"/>
  <c r="J247" i="82"/>
  <c r="G247" i="82"/>
  <c r="A247" i="82"/>
  <c r="L246" i="82"/>
  <c r="K246" i="82"/>
  <c r="J246" i="82"/>
  <c r="G246" i="82"/>
  <c r="A246" i="82"/>
  <c r="L245" i="82"/>
  <c r="K245" i="82"/>
  <c r="J245" i="82"/>
  <c r="G245" i="82"/>
  <c r="A245" i="82"/>
  <c r="L244" i="82"/>
  <c r="K244" i="82"/>
  <c r="J244" i="82"/>
  <c r="G244" i="82"/>
  <c r="A244" i="82"/>
  <c r="L243" i="82"/>
  <c r="K243" i="82"/>
  <c r="J243" i="82"/>
  <c r="G243" i="82"/>
  <c r="A243" i="82"/>
  <c r="L242" i="82"/>
  <c r="K242" i="82"/>
  <c r="J242" i="82"/>
  <c r="G242" i="82"/>
  <c r="A242" i="82"/>
  <c r="L241" i="82"/>
  <c r="K241" i="82"/>
  <c r="J241" i="82"/>
  <c r="G241" i="82"/>
  <c r="A241" i="82"/>
  <c r="L240" i="82"/>
  <c r="K240" i="82"/>
  <c r="J240" i="82"/>
  <c r="G240" i="82"/>
  <c r="A240" i="82"/>
  <c r="L239" i="82"/>
  <c r="K239" i="82"/>
  <c r="J239" i="82"/>
  <c r="G239" i="82"/>
  <c r="A239" i="82"/>
  <c r="L238" i="82"/>
  <c r="K238" i="82"/>
  <c r="J238" i="82"/>
  <c r="G238" i="82"/>
  <c r="A238" i="82"/>
  <c r="L237" i="82"/>
  <c r="K237" i="82"/>
  <c r="J237" i="82"/>
  <c r="G237" i="82"/>
  <c r="A237" i="82"/>
  <c r="L236" i="82"/>
  <c r="K236" i="82"/>
  <c r="J236" i="82"/>
  <c r="G236" i="82"/>
  <c r="A236" i="82"/>
  <c r="L235" i="82"/>
  <c r="K235" i="82"/>
  <c r="J235" i="82"/>
  <c r="G235" i="82"/>
  <c r="A235" i="82"/>
  <c r="L234" i="82"/>
  <c r="K234" i="82"/>
  <c r="J234" i="82"/>
  <c r="G234" i="82"/>
  <c r="A234" i="82"/>
  <c r="L233" i="82"/>
  <c r="K233" i="82"/>
  <c r="J233" i="82"/>
  <c r="G233" i="82"/>
  <c r="A233" i="82"/>
  <c r="L232" i="82"/>
  <c r="K232" i="82"/>
  <c r="J232" i="82"/>
  <c r="G232" i="82"/>
  <c r="A232" i="82"/>
  <c r="L231" i="82"/>
  <c r="K231" i="82"/>
  <c r="J231" i="82"/>
  <c r="G231" i="82"/>
  <c r="A231" i="82"/>
  <c r="L230" i="82"/>
  <c r="K230" i="82"/>
  <c r="J230" i="82"/>
  <c r="G230" i="82"/>
  <c r="A230" i="82"/>
  <c r="L229" i="82"/>
  <c r="K229" i="82"/>
  <c r="J229" i="82"/>
  <c r="G229" i="82"/>
  <c r="A229" i="82"/>
  <c r="L228" i="82"/>
  <c r="K228" i="82"/>
  <c r="J228" i="82"/>
  <c r="G228" i="82"/>
  <c r="A228" i="82"/>
  <c r="L227" i="82"/>
  <c r="K227" i="82"/>
  <c r="J227" i="82"/>
  <c r="G227" i="82"/>
  <c r="A227" i="82"/>
  <c r="L226" i="82"/>
  <c r="K226" i="82"/>
  <c r="J226" i="82"/>
  <c r="G226" i="82"/>
  <c r="A226" i="82"/>
  <c r="L225" i="82"/>
  <c r="K225" i="82"/>
  <c r="J225" i="82"/>
  <c r="G225" i="82"/>
  <c r="A225" i="82"/>
  <c r="L224" i="82"/>
  <c r="K224" i="82"/>
  <c r="J224" i="82"/>
  <c r="G224" i="82"/>
  <c r="A224" i="82"/>
  <c r="L223" i="82"/>
  <c r="K223" i="82"/>
  <c r="J223" i="82"/>
  <c r="G223" i="82"/>
  <c r="A223" i="82"/>
  <c r="L222" i="82"/>
  <c r="K222" i="82"/>
  <c r="J222" i="82"/>
  <c r="G222" i="82"/>
  <c r="A222" i="82"/>
  <c r="L221" i="82"/>
  <c r="K221" i="82"/>
  <c r="J221" i="82"/>
  <c r="G221" i="82"/>
  <c r="A221" i="82"/>
  <c r="L220" i="82"/>
  <c r="K220" i="82"/>
  <c r="J220" i="82"/>
  <c r="G220" i="82"/>
  <c r="A220" i="82"/>
  <c r="L219" i="82"/>
  <c r="K219" i="82"/>
  <c r="J219" i="82"/>
  <c r="G219" i="82"/>
  <c r="A219" i="82"/>
  <c r="L218" i="82"/>
  <c r="K218" i="82"/>
  <c r="J218" i="82"/>
  <c r="G218" i="82"/>
  <c r="A218" i="82"/>
  <c r="L217" i="82"/>
  <c r="K217" i="82"/>
  <c r="J217" i="82"/>
  <c r="G217" i="82"/>
  <c r="A217" i="82"/>
  <c r="L216" i="82"/>
  <c r="K216" i="82"/>
  <c r="J216" i="82"/>
  <c r="G216" i="82"/>
  <c r="A216" i="82"/>
  <c r="L215" i="82"/>
  <c r="K215" i="82"/>
  <c r="J215" i="82"/>
  <c r="G215" i="82"/>
  <c r="A215" i="82"/>
  <c r="L214" i="82"/>
  <c r="K214" i="82"/>
  <c r="J214" i="82"/>
  <c r="G214" i="82"/>
  <c r="A214" i="82"/>
  <c r="L213" i="82"/>
  <c r="K213" i="82"/>
  <c r="J213" i="82"/>
  <c r="G213" i="82"/>
  <c r="A213" i="82"/>
  <c r="L212" i="82"/>
  <c r="K212" i="82"/>
  <c r="J212" i="82"/>
  <c r="G212" i="82"/>
  <c r="A212" i="82"/>
  <c r="L211" i="82"/>
  <c r="K211" i="82"/>
  <c r="J211" i="82"/>
  <c r="G211" i="82"/>
  <c r="A211" i="82"/>
  <c r="L210" i="82"/>
  <c r="K210" i="82"/>
  <c r="J210" i="82"/>
  <c r="G210" i="82"/>
  <c r="A210" i="82"/>
  <c r="L209" i="82"/>
  <c r="K209" i="82"/>
  <c r="J209" i="82"/>
  <c r="G209" i="82"/>
  <c r="A209" i="82"/>
  <c r="L208" i="82"/>
  <c r="K208" i="82"/>
  <c r="J208" i="82"/>
  <c r="G208" i="82"/>
  <c r="A208" i="82"/>
  <c r="L207" i="82"/>
  <c r="K207" i="82"/>
  <c r="J207" i="82"/>
  <c r="G207" i="82"/>
  <c r="A207" i="82"/>
  <c r="L206" i="82"/>
  <c r="K206" i="82"/>
  <c r="J206" i="82"/>
  <c r="G206" i="82"/>
  <c r="A206" i="82"/>
  <c r="L205" i="82"/>
  <c r="K205" i="82"/>
  <c r="J205" i="82"/>
  <c r="G205" i="82"/>
  <c r="A205" i="82"/>
  <c r="L204" i="82"/>
  <c r="K204" i="82"/>
  <c r="J204" i="82"/>
  <c r="G204" i="82"/>
  <c r="A204" i="82"/>
  <c r="L203" i="82"/>
  <c r="K203" i="82"/>
  <c r="J203" i="82"/>
  <c r="G203" i="82"/>
  <c r="A203" i="82"/>
  <c r="L202" i="82"/>
  <c r="K202" i="82"/>
  <c r="J202" i="82"/>
  <c r="G202" i="82"/>
  <c r="A202" i="82"/>
  <c r="L201" i="82"/>
  <c r="K201" i="82"/>
  <c r="J201" i="82"/>
  <c r="G201" i="82"/>
  <c r="A201" i="82"/>
  <c r="L200" i="82"/>
  <c r="K200" i="82"/>
  <c r="J200" i="82"/>
  <c r="G200" i="82"/>
  <c r="A200" i="82"/>
  <c r="L199" i="82"/>
  <c r="K199" i="82"/>
  <c r="J199" i="82"/>
  <c r="G199" i="82"/>
  <c r="A199" i="82"/>
  <c r="L198" i="82"/>
  <c r="K198" i="82"/>
  <c r="J198" i="82"/>
  <c r="G198" i="82"/>
  <c r="A198" i="82"/>
  <c r="L197" i="82"/>
  <c r="K197" i="82"/>
  <c r="J197" i="82"/>
  <c r="G197" i="82"/>
  <c r="A197" i="82"/>
  <c r="L196" i="82"/>
  <c r="K196" i="82"/>
  <c r="J196" i="82"/>
  <c r="G196" i="82"/>
  <c r="A196" i="82"/>
  <c r="L195" i="82"/>
  <c r="K195" i="82"/>
  <c r="J195" i="82"/>
  <c r="G195" i="82"/>
  <c r="A195" i="82"/>
  <c r="L194" i="82"/>
  <c r="K194" i="82"/>
  <c r="J194" i="82"/>
  <c r="G194" i="82"/>
  <c r="A194" i="82"/>
  <c r="L193" i="82"/>
  <c r="K193" i="82"/>
  <c r="J193" i="82"/>
  <c r="G193" i="82"/>
  <c r="A193" i="82"/>
  <c r="L192" i="82"/>
  <c r="K192" i="82"/>
  <c r="J192" i="82"/>
  <c r="G192" i="82"/>
  <c r="A192" i="82"/>
  <c r="L191" i="82"/>
  <c r="K191" i="82"/>
  <c r="J191" i="82"/>
  <c r="G191" i="82"/>
  <c r="A191" i="82"/>
  <c r="L190" i="82"/>
  <c r="K190" i="82"/>
  <c r="J190" i="82"/>
  <c r="G190" i="82"/>
  <c r="A190" i="82"/>
  <c r="L189" i="82"/>
  <c r="K189" i="82"/>
  <c r="J189" i="82"/>
  <c r="G189" i="82"/>
  <c r="A189" i="82"/>
  <c r="L188" i="82"/>
  <c r="K188" i="82"/>
  <c r="J188" i="82"/>
  <c r="G188" i="82"/>
  <c r="A188" i="82"/>
  <c r="L187" i="82"/>
  <c r="K187" i="82"/>
  <c r="J187" i="82"/>
  <c r="G187" i="82"/>
  <c r="A187" i="82"/>
  <c r="L186" i="82"/>
  <c r="K186" i="82"/>
  <c r="J186" i="82"/>
  <c r="G186" i="82"/>
  <c r="A186" i="82"/>
  <c r="L185" i="82"/>
  <c r="K185" i="82"/>
  <c r="J185" i="82"/>
  <c r="G185" i="82"/>
  <c r="A185" i="82"/>
  <c r="L184" i="82"/>
  <c r="K184" i="82"/>
  <c r="J184" i="82"/>
  <c r="G184" i="82"/>
  <c r="A184" i="82"/>
  <c r="L183" i="82"/>
  <c r="K183" i="82"/>
  <c r="J183" i="82"/>
  <c r="G183" i="82"/>
  <c r="A183" i="82"/>
  <c r="L182" i="82"/>
  <c r="K182" i="82"/>
  <c r="J182" i="82"/>
  <c r="G182" i="82"/>
  <c r="A182" i="82"/>
  <c r="L181" i="82"/>
  <c r="K181" i="82"/>
  <c r="J181" i="82"/>
  <c r="G181" i="82"/>
  <c r="A181" i="82"/>
  <c r="L180" i="82"/>
  <c r="K180" i="82"/>
  <c r="J180" i="82"/>
  <c r="G180" i="82"/>
  <c r="A180" i="82"/>
  <c r="L179" i="82"/>
  <c r="K179" i="82"/>
  <c r="J179" i="82"/>
  <c r="G179" i="82"/>
  <c r="A179" i="82"/>
  <c r="L178" i="82"/>
  <c r="K178" i="82"/>
  <c r="J178" i="82"/>
  <c r="G178" i="82"/>
  <c r="A178" i="82"/>
  <c r="L177" i="82"/>
  <c r="K177" i="82"/>
  <c r="J177" i="82"/>
  <c r="G177" i="82"/>
  <c r="A177" i="82"/>
  <c r="L176" i="82"/>
  <c r="K176" i="82"/>
  <c r="J176" i="82"/>
  <c r="G176" i="82"/>
  <c r="A176" i="82"/>
  <c r="L175" i="82"/>
  <c r="K175" i="82"/>
  <c r="J175" i="82"/>
  <c r="G175" i="82"/>
  <c r="A175" i="82"/>
  <c r="L174" i="82"/>
  <c r="K174" i="82"/>
  <c r="J174" i="82"/>
  <c r="G174" i="82"/>
  <c r="A174" i="82"/>
  <c r="L173" i="82"/>
  <c r="K173" i="82"/>
  <c r="J173" i="82"/>
  <c r="G173" i="82"/>
  <c r="A173" i="82"/>
  <c r="L172" i="82"/>
  <c r="K172" i="82"/>
  <c r="J172" i="82"/>
  <c r="G172" i="82"/>
  <c r="A172" i="82"/>
  <c r="L171" i="82"/>
  <c r="K171" i="82"/>
  <c r="J171" i="82"/>
  <c r="G171" i="82"/>
  <c r="A171" i="82"/>
  <c r="L170" i="82"/>
  <c r="K170" i="82"/>
  <c r="J170" i="82"/>
  <c r="G170" i="82"/>
  <c r="A170" i="82"/>
  <c r="L169" i="82"/>
  <c r="K169" i="82"/>
  <c r="J169" i="82"/>
  <c r="G169" i="82"/>
  <c r="A169" i="82"/>
  <c r="L168" i="82"/>
  <c r="K168" i="82"/>
  <c r="J168" i="82"/>
  <c r="G168" i="82"/>
  <c r="A168" i="82"/>
  <c r="L167" i="82"/>
  <c r="K167" i="82"/>
  <c r="J167" i="82"/>
  <c r="G167" i="82"/>
  <c r="A167" i="82"/>
  <c r="L166" i="82"/>
  <c r="K166" i="82"/>
  <c r="J166" i="82"/>
  <c r="G166" i="82"/>
  <c r="A166" i="82"/>
  <c r="L165" i="82"/>
  <c r="K165" i="82"/>
  <c r="J165" i="82"/>
  <c r="G165" i="82"/>
  <c r="A165" i="82"/>
  <c r="L164" i="82"/>
  <c r="K164" i="82"/>
  <c r="J164" i="82"/>
  <c r="G164" i="82"/>
  <c r="A164" i="82"/>
  <c r="L163" i="82"/>
  <c r="K163" i="82"/>
  <c r="J163" i="82"/>
  <c r="G163" i="82"/>
  <c r="A163" i="82"/>
  <c r="L162" i="82"/>
  <c r="K162" i="82"/>
  <c r="J162" i="82"/>
  <c r="G162" i="82"/>
  <c r="A162" i="82"/>
  <c r="L161" i="82"/>
  <c r="K161" i="82"/>
  <c r="J161" i="82"/>
  <c r="G161" i="82"/>
  <c r="A161" i="82"/>
  <c r="L160" i="82"/>
  <c r="K160" i="82"/>
  <c r="J160" i="82"/>
  <c r="G160" i="82"/>
  <c r="A160" i="82"/>
  <c r="L159" i="82"/>
  <c r="K159" i="82"/>
  <c r="J159" i="82"/>
  <c r="G159" i="82"/>
  <c r="A159" i="82"/>
  <c r="L158" i="82"/>
  <c r="K158" i="82"/>
  <c r="J158" i="82"/>
  <c r="G158" i="82"/>
  <c r="A158" i="82"/>
  <c r="L157" i="82"/>
  <c r="K157" i="82"/>
  <c r="J157" i="82"/>
  <c r="G157" i="82"/>
  <c r="A157" i="82"/>
  <c r="L156" i="82"/>
  <c r="K156" i="82"/>
  <c r="J156" i="82"/>
  <c r="G156" i="82"/>
  <c r="A156" i="82"/>
  <c r="L155" i="82"/>
  <c r="K155" i="82"/>
  <c r="J155" i="82"/>
  <c r="G155" i="82"/>
  <c r="A155" i="82"/>
  <c r="L154" i="82"/>
  <c r="K154" i="82"/>
  <c r="J154" i="82"/>
  <c r="G154" i="82"/>
  <c r="A154" i="82"/>
  <c r="L153" i="82"/>
  <c r="K153" i="82"/>
  <c r="J153" i="82"/>
  <c r="G153" i="82"/>
  <c r="A153" i="82"/>
  <c r="L152" i="82"/>
  <c r="K152" i="82"/>
  <c r="J152" i="82"/>
  <c r="G152" i="82"/>
  <c r="A152" i="82"/>
  <c r="L151" i="82"/>
  <c r="K151" i="82"/>
  <c r="J151" i="82"/>
  <c r="G151" i="82"/>
  <c r="A151" i="82"/>
  <c r="L150" i="82"/>
  <c r="K150" i="82"/>
  <c r="J150" i="82"/>
  <c r="G150" i="82"/>
  <c r="A150" i="82"/>
  <c r="L149" i="82"/>
  <c r="K149" i="82"/>
  <c r="J149" i="82"/>
  <c r="G149" i="82"/>
  <c r="A149" i="82"/>
  <c r="L148" i="82"/>
  <c r="K148" i="82"/>
  <c r="J148" i="82"/>
  <c r="G148" i="82"/>
  <c r="A148" i="82"/>
  <c r="L147" i="82"/>
  <c r="K147" i="82"/>
  <c r="J147" i="82"/>
  <c r="G147" i="82"/>
  <c r="A147" i="82"/>
  <c r="L146" i="82"/>
  <c r="K146" i="82"/>
  <c r="J146" i="82"/>
  <c r="G146" i="82"/>
  <c r="A146" i="82"/>
  <c r="L145" i="82"/>
  <c r="K145" i="82"/>
  <c r="J145" i="82"/>
  <c r="G145" i="82"/>
  <c r="A145" i="82"/>
  <c r="L144" i="82"/>
  <c r="K144" i="82"/>
  <c r="J144" i="82"/>
  <c r="G144" i="82"/>
  <c r="A144" i="82"/>
  <c r="L143" i="82"/>
  <c r="K143" i="82"/>
  <c r="J143" i="82"/>
  <c r="G143" i="82"/>
  <c r="A143" i="82"/>
  <c r="L142" i="82"/>
  <c r="K142" i="82"/>
  <c r="J142" i="82"/>
  <c r="G142" i="82"/>
  <c r="A142" i="82"/>
  <c r="L141" i="82"/>
  <c r="K141" i="82"/>
  <c r="J141" i="82"/>
  <c r="G141" i="82"/>
  <c r="A141" i="82"/>
  <c r="L140" i="82"/>
  <c r="K140" i="82"/>
  <c r="J140" i="82"/>
  <c r="G140" i="82"/>
  <c r="A140" i="82"/>
  <c r="L139" i="82"/>
  <c r="K139" i="82"/>
  <c r="J139" i="82"/>
  <c r="G139" i="82"/>
  <c r="A139" i="82"/>
  <c r="L138" i="82"/>
  <c r="K138" i="82"/>
  <c r="J138" i="82"/>
  <c r="G138" i="82"/>
  <c r="A138" i="82"/>
  <c r="L137" i="82"/>
  <c r="K137" i="82"/>
  <c r="J137" i="82"/>
  <c r="G137" i="82"/>
  <c r="A137" i="82"/>
  <c r="L136" i="82"/>
  <c r="K136" i="82"/>
  <c r="J136" i="82"/>
  <c r="G136" i="82"/>
  <c r="A136" i="82"/>
  <c r="L135" i="82"/>
  <c r="K135" i="82"/>
  <c r="J135" i="82"/>
  <c r="G135" i="82"/>
  <c r="A135" i="82"/>
  <c r="L134" i="82"/>
  <c r="K134" i="82"/>
  <c r="J134" i="82"/>
  <c r="G134" i="82"/>
  <c r="A134" i="82"/>
  <c r="L133" i="82"/>
  <c r="K133" i="82"/>
  <c r="J133" i="82"/>
  <c r="G133" i="82"/>
  <c r="A133" i="82"/>
  <c r="L132" i="82"/>
  <c r="K132" i="82"/>
  <c r="J132" i="82"/>
  <c r="G132" i="82"/>
  <c r="A132" i="82"/>
  <c r="L131" i="82"/>
  <c r="K131" i="82"/>
  <c r="J131" i="82"/>
  <c r="G131" i="82"/>
  <c r="A131" i="82"/>
  <c r="L130" i="82"/>
  <c r="K130" i="82"/>
  <c r="J130" i="82"/>
  <c r="G130" i="82"/>
  <c r="A130" i="82"/>
  <c r="L129" i="82"/>
  <c r="K129" i="82"/>
  <c r="J129" i="82"/>
  <c r="G129" i="82"/>
  <c r="A129" i="82"/>
  <c r="L128" i="82"/>
  <c r="K128" i="82"/>
  <c r="J128" i="82"/>
  <c r="G128" i="82"/>
  <c r="A128" i="82"/>
  <c r="L127" i="82"/>
  <c r="K127" i="82"/>
  <c r="J127" i="82"/>
  <c r="G127" i="82"/>
  <c r="A127" i="82"/>
  <c r="L126" i="82"/>
  <c r="K126" i="82"/>
  <c r="J126" i="82"/>
  <c r="G126" i="82"/>
  <c r="A126" i="82"/>
  <c r="L125" i="82"/>
  <c r="K125" i="82"/>
  <c r="J125" i="82"/>
  <c r="G125" i="82"/>
  <c r="A125" i="82"/>
  <c r="L124" i="82"/>
  <c r="K124" i="82"/>
  <c r="J124" i="82"/>
  <c r="G124" i="82"/>
  <c r="A124" i="82"/>
  <c r="L123" i="82"/>
  <c r="K123" i="82"/>
  <c r="J123" i="82"/>
  <c r="G123" i="82"/>
  <c r="A123" i="82"/>
  <c r="L122" i="82"/>
  <c r="K122" i="82"/>
  <c r="J122" i="82"/>
  <c r="G122" i="82"/>
  <c r="A122" i="82"/>
  <c r="L121" i="82"/>
  <c r="K121" i="82"/>
  <c r="J121" i="82"/>
  <c r="G121" i="82"/>
  <c r="A121" i="82"/>
  <c r="L120" i="82"/>
  <c r="K120" i="82"/>
  <c r="J120" i="82"/>
  <c r="G120" i="82"/>
  <c r="A120" i="82"/>
  <c r="L119" i="82"/>
  <c r="K119" i="82"/>
  <c r="J119" i="82"/>
  <c r="G119" i="82"/>
  <c r="A119" i="82"/>
  <c r="L118" i="82"/>
  <c r="K118" i="82"/>
  <c r="J118" i="82"/>
  <c r="G118" i="82"/>
  <c r="A118" i="82"/>
  <c r="L117" i="82"/>
  <c r="K117" i="82"/>
  <c r="J117" i="82"/>
  <c r="G117" i="82"/>
  <c r="A117" i="82"/>
  <c r="L116" i="82"/>
  <c r="K116" i="82"/>
  <c r="J116" i="82"/>
  <c r="G116" i="82"/>
  <c r="A116" i="82"/>
  <c r="L115" i="82"/>
  <c r="K115" i="82"/>
  <c r="J115" i="82"/>
  <c r="G115" i="82"/>
  <c r="A115" i="82"/>
  <c r="L114" i="82"/>
  <c r="K114" i="82"/>
  <c r="J114" i="82"/>
  <c r="G114" i="82"/>
  <c r="A114" i="82"/>
  <c r="L113" i="82"/>
  <c r="K113" i="82"/>
  <c r="J113" i="82"/>
  <c r="G113" i="82"/>
  <c r="A113" i="82"/>
  <c r="L112" i="82"/>
  <c r="K112" i="82"/>
  <c r="J112" i="82"/>
  <c r="G112" i="82"/>
  <c r="A112" i="82"/>
  <c r="L111" i="82"/>
  <c r="K111" i="82"/>
  <c r="J111" i="82"/>
  <c r="G111" i="82"/>
  <c r="A111" i="82"/>
  <c r="L110" i="82"/>
  <c r="K110" i="82"/>
  <c r="J110" i="82"/>
  <c r="G110" i="82"/>
  <c r="A110" i="82"/>
  <c r="L93" i="82"/>
  <c r="K93" i="82"/>
  <c r="J93" i="82"/>
  <c r="G93" i="82"/>
  <c r="A93" i="82"/>
  <c r="L92" i="82"/>
  <c r="K92" i="82"/>
  <c r="J92" i="82"/>
  <c r="G92" i="82"/>
  <c r="A92" i="82"/>
  <c r="L91" i="82"/>
  <c r="K91" i="82"/>
  <c r="J91" i="82"/>
  <c r="G91" i="82"/>
  <c r="A91" i="82"/>
  <c r="L90" i="82"/>
  <c r="K90" i="82"/>
  <c r="J90" i="82"/>
  <c r="G90" i="82"/>
  <c r="A90" i="82"/>
  <c r="L89" i="82"/>
  <c r="K89" i="82"/>
  <c r="J89" i="82"/>
  <c r="G89" i="82"/>
  <c r="A89" i="82"/>
  <c r="L88" i="82"/>
  <c r="K88" i="82"/>
  <c r="J88" i="82"/>
  <c r="G88" i="82"/>
  <c r="A88" i="82"/>
  <c r="L87" i="82"/>
  <c r="K87" i="82"/>
  <c r="J87" i="82"/>
  <c r="G87" i="82"/>
  <c r="A87" i="82"/>
  <c r="L86" i="82"/>
  <c r="K86" i="82"/>
  <c r="J86" i="82"/>
  <c r="G86" i="82"/>
  <c r="A86" i="82"/>
  <c r="L85" i="82"/>
  <c r="K85" i="82"/>
  <c r="J85" i="82"/>
  <c r="G85" i="82"/>
  <c r="A85" i="82"/>
  <c r="L84" i="82"/>
  <c r="K84" i="82"/>
  <c r="J84" i="82"/>
  <c r="G84" i="82"/>
  <c r="A84" i="82"/>
  <c r="L83" i="82"/>
  <c r="K83" i="82"/>
  <c r="J83" i="82"/>
  <c r="G83" i="82"/>
  <c r="A83" i="82"/>
  <c r="L82" i="82"/>
  <c r="K82" i="82"/>
  <c r="J82" i="82"/>
  <c r="G82" i="82"/>
  <c r="A82" i="82"/>
  <c r="L81" i="82"/>
  <c r="K81" i="82"/>
  <c r="J81" i="82"/>
  <c r="G81" i="82"/>
  <c r="A81" i="82"/>
  <c r="L80" i="82"/>
  <c r="K80" i="82"/>
  <c r="J80" i="82"/>
  <c r="G80" i="82"/>
  <c r="A80" i="82"/>
  <c r="L79" i="82"/>
  <c r="K79" i="82"/>
  <c r="J79" i="82"/>
  <c r="G79" i="82"/>
  <c r="A79" i="82"/>
  <c r="L78" i="82"/>
  <c r="K78" i="82"/>
  <c r="J78" i="82"/>
  <c r="G78" i="82"/>
  <c r="A78" i="82"/>
  <c r="L77" i="82"/>
  <c r="K77" i="82"/>
  <c r="J77" i="82"/>
  <c r="G77" i="82"/>
  <c r="A77" i="82"/>
  <c r="L76" i="82"/>
  <c r="K76" i="82"/>
  <c r="J76" i="82"/>
  <c r="G76" i="82"/>
  <c r="A76" i="82"/>
  <c r="L75" i="82"/>
  <c r="K75" i="82"/>
  <c r="J75" i="82"/>
  <c r="G75" i="82"/>
  <c r="A75" i="82"/>
  <c r="L74" i="82"/>
  <c r="K74" i="82"/>
  <c r="J74" i="82"/>
  <c r="G74" i="82"/>
  <c r="A74" i="82"/>
  <c r="L73" i="82"/>
  <c r="K73" i="82"/>
  <c r="J73" i="82"/>
  <c r="G73" i="82"/>
  <c r="A73" i="82"/>
  <c r="L72" i="82"/>
  <c r="K72" i="82"/>
  <c r="J72" i="82"/>
  <c r="G72" i="82"/>
  <c r="A72" i="82"/>
  <c r="L71" i="82"/>
  <c r="K71" i="82"/>
  <c r="J71" i="82"/>
  <c r="G71" i="82"/>
  <c r="A71" i="82"/>
  <c r="L70" i="82"/>
  <c r="K70" i="82"/>
  <c r="J70" i="82"/>
  <c r="G70" i="82"/>
  <c r="A70" i="82"/>
  <c r="L69" i="82"/>
  <c r="K69" i="82"/>
  <c r="J69" i="82"/>
  <c r="G69" i="82"/>
  <c r="A69" i="82"/>
  <c r="L68" i="82"/>
  <c r="K68" i="82"/>
  <c r="J68" i="82"/>
  <c r="G68" i="82"/>
  <c r="A68" i="82"/>
  <c r="L67" i="82"/>
  <c r="K67" i="82"/>
  <c r="J67" i="82"/>
  <c r="G67" i="82"/>
  <c r="A67" i="82"/>
  <c r="L66" i="82"/>
  <c r="K66" i="82"/>
  <c r="J66" i="82"/>
  <c r="G66" i="82"/>
  <c r="A66" i="82"/>
  <c r="L65" i="82"/>
  <c r="K65" i="82"/>
  <c r="J65" i="82"/>
  <c r="G65" i="82"/>
  <c r="A65" i="82"/>
  <c r="L64" i="82"/>
  <c r="K64" i="82"/>
  <c r="J64" i="82"/>
  <c r="G64" i="82"/>
  <c r="A64" i="82"/>
  <c r="L63" i="82"/>
  <c r="K63" i="82"/>
  <c r="J63" i="82"/>
  <c r="G63" i="82"/>
  <c r="A63" i="82"/>
  <c r="L62" i="82"/>
  <c r="K62" i="82"/>
  <c r="J62" i="82"/>
  <c r="G62" i="82"/>
  <c r="A62" i="82"/>
  <c r="L61" i="82"/>
  <c r="K61" i="82"/>
  <c r="J61" i="82"/>
  <c r="G61" i="82"/>
  <c r="A61" i="82"/>
  <c r="L60" i="82"/>
  <c r="K60" i="82"/>
  <c r="J60" i="82"/>
  <c r="G60" i="82"/>
  <c r="A60" i="82"/>
  <c r="L59" i="82"/>
  <c r="K59" i="82"/>
  <c r="J59" i="82"/>
  <c r="G59" i="82"/>
  <c r="A59" i="82"/>
  <c r="L58" i="82"/>
  <c r="K58" i="82"/>
  <c r="J58" i="82"/>
  <c r="G58" i="82"/>
  <c r="A58" i="82"/>
  <c r="L57" i="82"/>
  <c r="K57" i="82"/>
  <c r="J57" i="82"/>
  <c r="G57" i="82"/>
  <c r="A57" i="82"/>
  <c r="L56" i="82"/>
  <c r="K56" i="82"/>
  <c r="J56" i="82"/>
  <c r="G56" i="82"/>
  <c r="A56" i="82"/>
  <c r="L55" i="82"/>
  <c r="K55" i="82"/>
  <c r="J55" i="82"/>
  <c r="G55" i="82"/>
  <c r="A55" i="82"/>
  <c r="L54" i="82"/>
  <c r="K54" i="82"/>
  <c r="J54" i="82"/>
  <c r="G54" i="82"/>
  <c r="A54" i="82"/>
  <c r="L53" i="82"/>
  <c r="K53" i="82"/>
  <c r="J53" i="82"/>
  <c r="G53" i="82"/>
  <c r="A53" i="82"/>
  <c r="L52" i="82"/>
  <c r="K52" i="82"/>
  <c r="J52" i="82"/>
  <c r="G52" i="82"/>
  <c r="A52" i="82"/>
  <c r="L51" i="82"/>
  <c r="K51" i="82"/>
  <c r="J51" i="82"/>
  <c r="G51" i="82"/>
  <c r="A51" i="82"/>
  <c r="L50" i="82"/>
  <c r="K50" i="82"/>
  <c r="J50" i="82"/>
  <c r="G50" i="82"/>
  <c r="A50" i="82"/>
  <c r="L49" i="82"/>
  <c r="K49" i="82"/>
  <c r="J49" i="82"/>
  <c r="G49" i="82"/>
  <c r="A49" i="82"/>
  <c r="L48" i="82"/>
  <c r="K48" i="82"/>
  <c r="J48" i="82"/>
  <c r="G48" i="82"/>
  <c r="A48" i="82"/>
  <c r="L47" i="82"/>
  <c r="K47" i="82"/>
  <c r="J47" i="82"/>
  <c r="G47" i="82"/>
  <c r="A47" i="82"/>
  <c r="L46" i="82"/>
  <c r="K46" i="82"/>
  <c r="J46" i="82"/>
  <c r="G46" i="82"/>
  <c r="A46" i="82"/>
  <c r="L45" i="82"/>
  <c r="K45" i="82"/>
  <c r="J45" i="82"/>
  <c r="G45" i="82"/>
  <c r="A45" i="82"/>
  <c r="L44" i="82"/>
  <c r="K44" i="82"/>
  <c r="J44" i="82"/>
  <c r="G44" i="82"/>
  <c r="A44" i="82"/>
  <c r="L43" i="82"/>
  <c r="K43" i="82"/>
  <c r="J43" i="82"/>
  <c r="G43" i="82"/>
  <c r="A43" i="82"/>
  <c r="L42" i="82"/>
  <c r="K42" i="82"/>
  <c r="J42" i="82"/>
  <c r="G42" i="82"/>
  <c r="A42" i="82"/>
  <c r="L41" i="82"/>
  <c r="K41" i="82"/>
  <c r="J41" i="82"/>
  <c r="G41" i="82"/>
  <c r="A41" i="82"/>
  <c r="L40" i="82"/>
  <c r="K40" i="82"/>
  <c r="J40" i="82"/>
  <c r="G40" i="82"/>
  <c r="A40" i="82"/>
  <c r="L39" i="82"/>
  <c r="K39" i="82"/>
  <c r="J39" i="82"/>
  <c r="G39" i="82"/>
  <c r="A39" i="82"/>
  <c r="L38" i="82"/>
  <c r="K38" i="82"/>
  <c r="J38" i="82"/>
  <c r="G38" i="82"/>
  <c r="A38" i="82"/>
  <c r="L37" i="82"/>
  <c r="K37" i="82"/>
  <c r="J37" i="82"/>
  <c r="G37" i="82"/>
  <c r="A37" i="82"/>
  <c r="L36" i="82"/>
  <c r="K36" i="82"/>
  <c r="J36" i="82"/>
  <c r="G36" i="82"/>
  <c r="A36" i="82"/>
  <c r="L35" i="82"/>
  <c r="K35" i="82"/>
  <c r="J35" i="82"/>
  <c r="G35" i="82"/>
  <c r="A35" i="82"/>
  <c r="L34" i="82"/>
  <c r="K34" i="82"/>
  <c r="J34" i="82"/>
  <c r="G34" i="82"/>
  <c r="A34" i="82"/>
  <c r="L33" i="82"/>
  <c r="K33" i="82"/>
  <c r="J33" i="82"/>
  <c r="G33" i="82"/>
  <c r="A33" i="82"/>
  <c r="L32" i="82"/>
  <c r="K32" i="82"/>
  <c r="J32" i="82"/>
  <c r="G32" i="82"/>
  <c r="A32" i="82"/>
  <c r="L31" i="82"/>
  <c r="K31" i="82"/>
  <c r="J31" i="82"/>
  <c r="G31" i="82"/>
  <c r="A31" i="82"/>
  <c r="L30" i="82"/>
  <c r="K30" i="82"/>
  <c r="J30" i="82"/>
  <c r="G30" i="82"/>
  <c r="A30" i="82"/>
  <c r="L29" i="82"/>
  <c r="K29" i="82"/>
  <c r="J29" i="82"/>
  <c r="G29" i="82"/>
  <c r="A29" i="82"/>
  <c r="L28" i="82"/>
  <c r="K28" i="82"/>
  <c r="J28" i="82"/>
  <c r="G28" i="82"/>
  <c r="A28" i="82"/>
  <c r="L27" i="82"/>
  <c r="K27" i="82"/>
  <c r="J27" i="82"/>
  <c r="G27" i="82"/>
  <c r="A27" i="82"/>
  <c r="L26" i="82"/>
  <c r="K26" i="82"/>
  <c r="J26" i="82"/>
  <c r="G26" i="82"/>
  <c r="A26" i="82"/>
  <c r="L25" i="82"/>
  <c r="K25" i="82"/>
  <c r="J25" i="82"/>
  <c r="G25" i="82"/>
  <c r="A25" i="82"/>
  <c r="L24" i="82"/>
  <c r="K24" i="82"/>
  <c r="J24" i="82"/>
  <c r="G24" i="82"/>
  <c r="A24" i="82"/>
  <c r="L23" i="82"/>
  <c r="K23" i="82"/>
  <c r="J23" i="82"/>
  <c r="G23" i="82"/>
  <c r="A23" i="82"/>
  <c r="L22" i="82"/>
  <c r="K22" i="82"/>
  <c r="J22" i="82"/>
  <c r="G22" i="82"/>
  <c r="A22" i="82"/>
  <c r="L21" i="82"/>
  <c r="K21" i="82"/>
  <c r="J21" i="82"/>
  <c r="G21" i="82"/>
  <c r="A21" i="82"/>
  <c r="L20" i="82"/>
  <c r="K20" i="82"/>
  <c r="J20" i="82"/>
  <c r="G20" i="82"/>
  <c r="A20" i="82"/>
  <c r="L19" i="82"/>
  <c r="K19" i="82"/>
  <c r="J19" i="82"/>
  <c r="G19" i="82"/>
  <c r="A19" i="82"/>
  <c r="L18" i="82"/>
  <c r="K18" i="82"/>
  <c r="J18" i="82"/>
  <c r="G18" i="82"/>
  <c r="A18" i="82"/>
  <c r="L17" i="82"/>
  <c r="K17" i="82"/>
  <c r="J17" i="82"/>
  <c r="G17" i="82"/>
  <c r="A17" i="82"/>
  <c r="L16" i="82"/>
  <c r="K16" i="82"/>
  <c r="J16" i="82"/>
  <c r="G16" i="82"/>
  <c r="A16" i="82"/>
  <c r="L15" i="82"/>
  <c r="K15" i="82"/>
  <c r="J15" i="82"/>
  <c r="G15" i="82"/>
  <c r="A15" i="82"/>
  <c r="L14" i="82"/>
  <c r="K14" i="82"/>
  <c r="J14" i="82"/>
  <c r="G14" i="82"/>
  <c r="A14" i="82"/>
  <c r="L13" i="82"/>
  <c r="K13" i="82"/>
  <c r="J13" i="82"/>
  <c r="G13" i="82"/>
  <c r="A13" i="82"/>
  <c r="L12" i="82"/>
  <c r="K12" i="82"/>
  <c r="J12" i="82"/>
  <c r="G12" i="82"/>
  <c r="A12" i="82"/>
  <c r="L11" i="82"/>
  <c r="K11" i="82"/>
  <c r="J11" i="82"/>
  <c r="G11" i="82"/>
  <c r="A11" i="82"/>
  <c r="L10" i="82"/>
  <c r="K10" i="82"/>
  <c r="J10" i="82"/>
  <c r="G10" i="82"/>
  <c r="A10" i="82"/>
  <c r="L9" i="82"/>
  <c r="K9" i="82"/>
  <c r="J9" i="82"/>
  <c r="G9" i="82"/>
  <c r="A9" i="82"/>
  <c r="L8" i="82"/>
  <c r="K8" i="82"/>
  <c r="J8" i="82"/>
  <c r="G8" i="82"/>
  <c r="A8" i="82"/>
  <c r="L7" i="82"/>
  <c r="K7" i="82"/>
  <c r="J7" i="82"/>
  <c r="G7" i="82"/>
  <c r="A7" i="82"/>
  <c r="L6" i="82"/>
  <c r="K6" i="82"/>
  <c r="J6" i="82"/>
  <c r="G6" i="82"/>
  <c r="A6" i="82"/>
  <c r="L5" i="82"/>
  <c r="K5" i="82"/>
  <c r="J5" i="82"/>
  <c r="G5" i="82"/>
  <c r="A5" i="82"/>
  <c r="L4" i="82"/>
  <c r="K4" i="82"/>
  <c r="J4" i="82"/>
  <c r="G4" i="82"/>
  <c r="A4" i="82"/>
  <c r="L3" i="82"/>
  <c r="K3" i="82"/>
  <c r="J3" i="82"/>
  <c r="G3" i="82"/>
  <c r="A3" i="82"/>
  <c r="L2" i="82"/>
  <c r="K2" i="82"/>
  <c r="J2" i="82"/>
  <c r="G2" i="82"/>
  <c r="A2" i="82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<sst xmlns="http://schemas.openxmlformats.org/spreadsheetml/2006/main" count="118" uniqueCount="52">
  <si>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</si>
  <si>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</si>
  <si>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</si>
  <si>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</si>
  <si>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</si>
  <si>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</si>
  <si>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</si>
  <si>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</si>
  <si>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</si>
  <si>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</si>
  <si>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</si>
  <si>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</si>
  <si>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</si>
  <si>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</si>
  <si>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</si>
  <si>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</si>
  <si>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</si>
  <si>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</si>
  <si>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</si>
  <si>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</si>
  <si>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</si>
  <si>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</si>
  <si>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</si>
  <si>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</si>
  <si>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0PremiumW3</t>
    <phoneticPr fontId="3"/>
  </si>
  <si>
    <t>0PremiumW4</t>
    <phoneticPr fontId="3"/>
  </si>
  <si>
    <t>0PremiumN4</t>
    <phoneticPr fontId="3"/>
  </si>
  <si>
    <t>0PremiumS4</t>
    <phoneticPr fontId="3"/>
  </si>
  <si>
    <t>0PremiumSS4</t>
    <phoneticPr fontId="3"/>
  </si>
  <si>
    <t>0PremiumN5</t>
    <phoneticPr fontId="3"/>
  </si>
  <si>
    <t>0PremiumS5</t>
    <phoneticPr fontId="3"/>
  </si>
  <si>
    <t>0PremiumSS5</t>
    <phoneticPr fontId="3"/>
  </si>
  <si>
    <t>label</t>
    <phoneticPr fontId="3"/>
  </si>
  <si>
    <t>1PremiumW4</t>
  </si>
  <si>
    <t>1PremiumN4</t>
    <phoneticPr fontId="3"/>
  </si>
  <si>
    <t>1PremiumS4</t>
    <phoneticPr fontId="3"/>
  </si>
  <si>
    <t>1PremiumSS4</t>
    <phoneticPr fontId="3"/>
  </si>
  <si>
    <t>1PremiumN5</t>
    <phoneticPr fontId="3"/>
  </si>
  <si>
    <t>1PremiumSS5</t>
    <phoneticPr fontId="3"/>
  </si>
  <si>
    <t>0PremiumN3</t>
    <phoneticPr fontId="3"/>
  </si>
  <si>
    <t>label</t>
    <phoneticPr fontId="3"/>
  </si>
  <si>
    <t>0PremiumSS4pick</t>
    <phoneticPr fontId="3"/>
  </si>
  <si>
    <t>0PremiumSS5pick</t>
    <phoneticPr fontId="3"/>
  </si>
  <si>
    <t>1PremiumSS4pick</t>
    <phoneticPr fontId="3"/>
  </si>
  <si>
    <t>1PremiumSS5pick</t>
    <phoneticPr fontId="3"/>
  </si>
  <si>
    <t>0PremiumS4pick</t>
    <phoneticPr fontId="3"/>
  </si>
  <si>
    <t>0PremiumS5pick</t>
    <phoneticPr fontId="3"/>
  </si>
  <si>
    <t>1PremiumS4pick</t>
    <phoneticPr fontId="3"/>
  </si>
  <si>
    <t>1PremiumS5</t>
    <phoneticPr fontId="3"/>
  </si>
  <si>
    <t>1PremiumS5pick</t>
    <phoneticPr fontId="3"/>
  </si>
  <si>
    <t>0PremiumS3</t>
    <phoneticPr fontId="3"/>
  </si>
  <si>
    <t>0PremiumS3pick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</si>
</sst>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838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6">
    <xf numFmtId="0" fontId="0" fillId="0" borderId="0" xfId="0"/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7" fillId="4" borderId="15" xfId="0" applyFont="1" applyFill="1" applyBorder="1" applyAlignment="1">
      <alignment horizontal="right"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0" borderId="17" xfId="2" applyFont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0" fillId="4" borderId="1" xfId="0" applyFill="1" applyBorder="1"/>
    <xf numFmtId="0" fontId="8" fillId="0" borderId="16" xfId="2" applyFont="1" applyBorder="1" applyAlignment="1">
      <alignment vertical="center"/>
    </xf>
    <xf numFmtId="0" fontId="0" fillId="4" borderId="16" xfId="0" applyFill="1" applyBorder="1"/>
    <xf numFmtId="0" fontId="8" fillId="0" borderId="12" xfId="2" applyFont="1" applyBorder="1" applyAlignment="1">
      <alignment vertical="center"/>
    </xf>
    <xf numFmtId="0" fontId="0" fillId="4" borderId="12" xfId="0" applyFill="1" applyBorder="1"/>
    <xf numFmtId="0" fontId="13" fillId="5" borderId="1" xfId="2" applyFont="1" applyFill="1" applyBorder="1" applyAlignment="1">
      <alignment vertical="center"/>
    </xf>
  </cellXfs>
  <cellStyles count="283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7"/>
  <sheetViews>
    <sheetView tabSelected="1" workbookViewId="0">
      <selection activeCell="A27" sqref="A27:XFD27"/>
    </sheetView>
  </sheetViews>
  <sheetFormatPr baseColWidth="12" defaultRowHeight="14" x14ac:dyDescent="0"/>
  <cols>
    <col min="1" max="1" width="15.140625" customWidth="1"/>
  </cols>
  <sheetData>
    <row r="1" spans="1:2">
      <c r="A1" t="s">
        <v>32</v>
      </c>
      <c r="B1" t="s">
        <v>18</v>
      </c>
    </row>
    <row r="2" spans="1:2">
      <c r="A2" s="39" t="s">
        <v>24</v>
      </c>
      <c r="B2">
        <v>2433</v>
      </c>
    </row>
    <row r="3" spans="1:2">
      <c r="A3" s="39" t="s">
        <v>39</v>
      </c>
      <c r="B3">
        <v>2460</v>
      </c>
    </row>
    <row r="4" spans="1:2">
      <c r="A4" s="39" t="s">
        <v>50</v>
      </c>
      <c r="B4">
        <v>228</v>
      </c>
    </row>
    <row r="5" spans="1:2">
      <c r="A5" s="39" t="s">
        <v>51</v>
      </c>
      <c r="B5">
        <v>4374</v>
      </c>
    </row>
    <row r="6" spans="1:2">
      <c r="A6" s="39" t="s">
        <v>25</v>
      </c>
      <c r="B6">
        <v>801</v>
      </c>
    </row>
    <row r="7" spans="1:2">
      <c r="A7" s="39" t="s">
        <v>26</v>
      </c>
      <c r="B7">
        <v>758</v>
      </c>
    </row>
    <row r="8" spans="1:2">
      <c r="A8" s="39" t="s">
        <v>27</v>
      </c>
      <c r="B8">
        <v>80</v>
      </c>
    </row>
    <row r="9" spans="1:2">
      <c r="A9" s="39" t="s">
        <v>45</v>
      </c>
      <c r="B9">
        <v>1540</v>
      </c>
    </row>
    <row r="10" spans="1:2">
      <c r="A10" s="39" t="s">
        <v>28</v>
      </c>
      <c r="B10">
        <v>144</v>
      </c>
    </row>
    <row r="11" spans="1:2">
      <c r="A11" s="39" t="s">
        <v>41</v>
      </c>
      <c r="B11">
        <v>1348</v>
      </c>
    </row>
    <row r="12" spans="1:2">
      <c r="A12" s="39" t="s">
        <v>29</v>
      </c>
      <c r="B12">
        <v>247</v>
      </c>
    </row>
    <row r="13" spans="1:2">
      <c r="A13" s="39" t="s">
        <v>30</v>
      </c>
      <c r="B13">
        <v>13</v>
      </c>
    </row>
    <row r="14" spans="1:2">
      <c r="A14" s="39" t="s">
        <v>46</v>
      </c>
      <c r="B14">
        <v>246</v>
      </c>
    </row>
    <row r="15" spans="1:2">
      <c r="A15" s="39" t="s">
        <v>31</v>
      </c>
      <c r="B15">
        <v>48</v>
      </c>
    </row>
    <row r="16" spans="1:2">
      <c r="A16" s="39" t="s">
        <v>42</v>
      </c>
      <c r="B16">
        <v>193</v>
      </c>
    </row>
    <row r="17" spans="1:2">
      <c r="A17" s="19" t="s">
        <v>33</v>
      </c>
      <c r="B17">
        <v>2100</v>
      </c>
    </row>
    <row r="18" spans="1:2">
      <c r="A18" s="19" t="s">
        <v>34</v>
      </c>
      <c r="B18">
        <v>2076</v>
      </c>
    </row>
    <row r="19" spans="1:2">
      <c r="A19" s="19" t="s">
        <v>35</v>
      </c>
      <c r="B19">
        <v>200</v>
      </c>
    </row>
    <row r="20" spans="1:2">
      <c r="A20" s="19" t="s">
        <v>47</v>
      </c>
      <c r="B20">
        <v>3840</v>
      </c>
    </row>
    <row r="21" spans="1:2">
      <c r="A21" s="19" t="s">
        <v>36</v>
      </c>
      <c r="B21">
        <v>120</v>
      </c>
    </row>
    <row r="22" spans="1:2">
      <c r="A22" s="19" t="s">
        <v>43</v>
      </c>
      <c r="B22">
        <v>960</v>
      </c>
    </row>
    <row r="23" spans="1:2">
      <c r="A23" s="19" t="s">
        <v>37</v>
      </c>
      <c r="B23">
        <v>174</v>
      </c>
    </row>
    <row r="24" spans="1:2">
      <c r="A24" s="19" t="s">
        <v>48</v>
      </c>
      <c r="B24">
        <v>8</v>
      </c>
    </row>
    <row r="25" spans="1:2">
      <c r="A25" s="19" t="s">
        <v>49</v>
      </c>
      <c r="B25">
        <v>160</v>
      </c>
    </row>
    <row r="26" spans="1:2">
      <c r="A26" s="19" t="s">
        <v>38</v>
      </c>
      <c r="B26">
        <v>5</v>
      </c>
    </row>
    <row r="27" spans="1:2">
      <c r="A27" s="19" t="s">
        <v>44</v>
      </c>
      <c r="B27">
        <v>40</v>
      </c>
    </row>
  </sheetData>
  <autoFilter ref="A1:B26"/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73"/>
  <sheetViews>
    <sheetView showGridLines="0" topLeftCell="E1" workbookViewId="0">
      <pane ySplit="1" topLeftCell="A89" activePane="bottomLeft" state="frozen"/>
      <selection activeCell="M24" sqref="M24"/>
      <selection pane="bottomLeft" activeCell="N107" sqref="N107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5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8" t="s">
        <v>15</v>
      </c>
      <c r="B1" s="4" t="s">
        <v>2</v>
      </c>
      <c r="C1" s="3" t="s">
        <v>1</v>
      </c>
      <c r="D1" s="3" t="s">
        <v>40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7" t="s">
        <v>19</v>
      </c>
      <c r="P1" s="17" t="s">
        <v>20</v>
      </c>
      <c r="Q1" s="17" t="s">
        <v>21</v>
      </c>
      <c r="R1" s="17" t="s">
        <v>22</v>
      </c>
      <c r="S1" s="17" t="s">
        <v>23</v>
      </c>
    </row>
    <row r="2" spans="1:19" ht="21" customHeight="1">
      <c r="A2" s="8" t="str">
        <f t="shared" ref="A2:A65" si="0">E2&amp;F2&amp;M2</f>
        <v>11271</v>
      </c>
      <c r="B2" s="2">
        <v>133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VLOOKUP($F2,OFFSET([1]characters!$A$2,0,0,COUNTA([1]characters!$A:$A),MATCH(G$1,[1]characters!$2:$2,0)-MATCH($F$1,[1]characters!$2:$2,0)+1),MATCH(G$1,[1]characters!$2:$2,0)-MATCH($F$1,[1]characters!$2:$2,0)+1,FALSE)</f>
        <v>狂喜の賢者 ユノ</v>
      </c>
      <c r="H2" s="10" t="str">
        <f ca="1">VLOOKUP($F2,OFFSET([1]characters!$A$2,0,0,COUNTA([1]characters!$A:$A),MATCH(H$1,[1]characters!$2:$2,0)-MATCH($F$1,[1]characters!$2:$2,0)+1),MATCH(H$1,[1]characters!$2:$2,0)-MATCH($F$1,[1]characters!$2:$2,0)+1,FALSE)</f>
        <v>PremiumW</v>
      </c>
      <c r="I2" s="10">
        <f ca="1">VLOOKUP($F2,OFFSET([1]characters!$A$2,0,0,COUNTA([1]characters!$A:$A),MATCH(I$1,[1]characters!$2:$2,0)-MATCH($F$1,[1]characters!$2:$2,0)+1),MATCH(I$1,[1]characters!$2:$2,0)-MATCH($F$1,[1]characters!$2:$2,0)+1,FALSE)</f>
        <v>4</v>
      </c>
      <c r="J2" s="10" t="str">
        <f ca="1">VLOOKUP($F2,OFFSET([1]characters!$A$2,0,0,COUNTA([1]characters!$A:$A),MATCH(J$1,[1]characters!$2:$2,0)-MATCH($F$1,[1]characters!$2:$2,0)+1),MATCH(J$1,[1]characters!$2:$2,0)-MATCH($F$1,[1]characters!$2:$2,0)+1,FALSE)</f>
        <v>red</v>
      </c>
      <c r="K2" s="10" t="str">
        <f ca="1">VLOOKUP($F2,OFFSET([1]characters!$A$2,0,0,COUNTA([1]characters!$A:$A),MATCH("タイプ",[1]characters!$1:$1,0)-MATCH($F$1,[1]characters!$2:$2,0)+2),MATCH("タイプ",[1]characters!$1:$1,0)-MATCH($F$1,[1]characters!$2:$2,0)+2,FALSE)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" s="10" t="str">
        <f ca="1">VLOOKUP($F2,OFFSET([1]characters!$A$2,0,0,COUNTA([1]characters!$A:$A),MATCH($L$1,[1]characters!$1:$1,0)-MATCH($F$1,[1]characters!$2:$2,0)+2),MATCH($L$1,[1]characters!$1:$1,0)-MATCH($F$1,[1]characters!$2:$2,0)+2,FALSE)</f>
        <v>ヒューマン</v>
      </c>
      <c r="M2" s="6">
        <v>1</v>
      </c>
      <c r="N2" s="40">
        <f ca="1">VLOOKUP(D2,gacha_133_base!A:B,2,FALSE)</f>
        <v>2100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133</v>
      </c>
      <c r="C3" s="10" t="str">
        <f t="shared" ref="C3:C65" ca="1" si="1">E3&amp;H3&amp;I3</f>
        <v>1PremiumW4</v>
      </c>
      <c r="D3" s="10" t="str">
        <f t="shared" ref="D3:D66" ca="1" si="2">E3&amp;H3&amp;I3</f>
        <v>1PremiumW4</v>
      </c>
      <c r="E3" s="6">
        <v>1</v>
      </c>
      <c r="F3" s="7">
        <v>129</v>
      </c>
      <c r="G3" s="10" t="str">
        <f ca="1">VLOOKUP($F3,OFFSET([1]characters!$A$2,0,0,COUNTA([1]characters!$A:$A),MATCH(G$1,[1]characters!$2:$2,0)-MATCH($F$1,[1]characters!$2:$2,0)+1),MATCH(G$1,[1]characters!$2:$2,0)-MATCH($F$1,[1]characters!$2:$2,0)+1,FALSE)</f>
        <v>孤高の狼憑き アマラ</v>
      </c>
      <c r="H3" s="10" t="str">
        <f ca="1">VLOOKUP($F3,OFFSET([1]characters!$A$2,0,0,COUNTA([1]characters!$A:$A),MATCH(H$1,[1]characters!$2:$2,0)-MATCH($F$1,[1]characters!$2:$2,0)+1),MATCH(H$1,[1]characters!$2:$2,0)-MATCH($F$1,[1]characters!$2:$2,0)+1,FALSE)</f>
        <v>PremiumW</v>
      </c>
      <c r="I3" s="10">
        <f ca="1">VLOOKUP($F3,OFFSET([1]characters!$A$2,0,0,COUNTA([1]characters!$A:$A),MATCH(I$1,[1]characters!$2:$2,0)-MATCH($F$1,[1]characters!$2:$2,0)+1),MATCH(I$1,[1]characters!$2:$2,0)-MATCH($F$1,[1]characters!$2:$2,0)+1,FALSE)</f>
        <v>4</v>
      </c>
      <c r="J3" s="10" t="str">
        <f ca="1">VLOOKUP($F3,OFFSET([1]characters!$A$2,0,0,COUNTA([1]characters!$A:$A),MATCH(J$1,[1]characters!$2:$2,0)-MATCH($F$1,[1]characters!$2:$2,0)+1),MATCH(J$1,[1]characters!$2:$2,0)-MATCH($F$1,[1]characters!$2:$2,0)+1,FALSE)</f>
        <v>green</v>
      </c>
      <c r="K3" s="10" t="str">
        <f ca="1">VLOOKUP($F3,OFFSET([1]characters!$A$2,0,0,COUNTA([1]characters!$A:$A),MATCH("タイプ",[1]characters!$1:$1,0)-MATCH($F$1,[1]characters!$2:$2,0)+2),MATCH("タイプ",[1]characters!$1:$1,0)-MATCH($F$1,[1]characters!$2:$2,0)+2,FALSE)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3" s="10" t="str">
        <f ca="1">VLOOKUP($F3,OFFSET([1]characters!$A$2,0,0,COUNTA([1]characters!$A:$A),MATCH($L$1,[1]characters!$1:$1,0)-MATCH($F$1,[1]characters!$2:$2,0)+2),MATCH($L$1,[1]characters!$1:$1,0)-MATCH($F$1,[1]characters!$2:$2,0)+2,FALSE)</f>
        <v>ヒューマン</v>
      </c>
      <c r="M3" s="6">
        <v>1</v>
      </c>
      <c r="N3" s="40">
        <f ca="1">VLOOKUP(D3,gacha_133_base!A:B,2,FALSE)</f>
        <v>2100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67" si="3">$B$2</f>
        <v>133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4" s="10" t="str">
        <f ca="1">VLOOKUP($F4,OFFSET([1]characters!$A$2,0,0,COUNTA([1]characters!$A:$A),MATCH(H$1,[1]characters!$2:$2,0)-MATCH($F$1,[1]characters!$2:$2,0)+1),MATCH(H$1,[1]characters!$2:$2,0)-MATCH($F$1,[1]characters!$2:$2,0)+1,FALSE)</f>
        <v>PremiumW</v>
      </c>
      <c r="I4" s="10">
        <f ca="1">VLOOKUP($F4,OFFSET([1]characters!$A$2,0,0,COUNTA([1]characters!$A:$A),MATCH(I$1,[1]characters!$2:$2,0)-MATCH($F$1,[1]characters!$2:$2,0)+1),MATCH(I$1,[1]characters!$2:$2,0)-MATCH($F$1,[1]characters!$2:$2,0)+1,FALSE)</f>
        <v>4</v>
      </c>
      <c r="J4" s="10" t="str">
        <f ca="1">VLOOKUP($F4,OFFSET([1]characters!$A$2,0,0,COUNTA([1]characters!$A:$A),MATCH(J$1,[1]characters!$2:$2,0)-MATCH($F$1,[1]characters!$2:$2,0)+1),MATCH(J$1,[1]characters!$2:$2,0)-MATCH($F$1,[1]characters!$2:$2,0)+1,FALSE)</f>
        <v>blue</v>
      </c>
      <c r="K4" s="10" t="str">
        <f ca="1">VLOOKUP($F4,OFFSET([1]characters!$A$2,0,0,COUNTA([1]characters!$A:$A),MATCH("タイプ",[1]characters!$1:$1,0)-MATCH($F$1,[1]characters!$2:$2,0)+2),MATCH("タイプ",[1]characters!$1:$1,0)-MATCH($F$1,[1]characters!$2:$2,0)+2,FALSE)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" s="10" t="str">
        <f ca="1">VLOOKUP($F4,OFFSET([1]characters!$A$2,0,0,COUNTA([1]characters!$A:$A),MATCH($L$1,[1]characters!$1:$1,0)-MATCH($F$1,[1]characters!$2:$2,0)+2),MATCH($L$1,[1]characters!$1:$1,0)-MATCH($F$1,[1]characters!$2:$2,0)+2,FALSE)</f>
        <v>アニマル</v>
      </c>
      <c r="M4" s="6">
        <v>1</v>
      </c>
      <c r="N4" s="40">
        <f ca="1">VLOOKUP(D4,gacha_133_base!A:B,2,FALSE)</f>
        <v>2100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133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VLOOKUP($F5,OFFSET([1]characters!$A$2,0,0,COUNTA([1]characters!$A:$A),MATCH(G$1,[1]characters!$2:$2,0)-MATCH($F$1,[1]characters!$2:$2,0)+1),MATCH(G$1,[1]characters!$2:$2,0)-MATCH($F$1,[1]characters!$2:$2,0)+1,FALSE)</f>
        <v>迅雷の刀剣 ハヤト</v>
      </c>
      <c r="H5" s="10" t="str">
        <f ca="1">VLOOKUP($F5,OFFSET([1]characters!$A$2,0,0,COUNTA([1]characters!$A:$A),MATCH(H$1,[1]characters!$2:$2,0)-MATCH($F$1,[1]characters!$2:$2,0)+1),MATCH(H$1,[1]characters!$2:$2,0)-MATCH($F$1,[1]characters!$2:$2,0)+1,FALSE)</f>
        <v>PremiumW</v>
      </c>
      <c r="I5" s="10">
        <f ca="1">VLOOKUP($F5,OFFSET([1]characters!$A$2,0,0,COUNTA([1]characters!$A:$A),MATCH(I$1,[1]characters!$2:$2,0)-MATCH($F$1,[1]characters!$2:$2,0)+1),MATCH(I$1,[1]characters!$2:$2,0)-MATCH($F$1,[1]characters!$2:$2,0)+1,FALSE)</f>
        <v>4</v>
      </c>
      <c r="J5" s="10" t="str">
        <f ca="1">VLOOKUP($F5,OFFSET([1]characters!$A$2,0,0,COUNTA([1]characters!$A:$A),MATCH(J$1,[1]characters!$2:$2,0)-MATCH($F$1,[1]characters!$2:$2,0)+1),MATCH(J$1,[1]characters!$2:$2,0)-MATCH($F$1,[1]characters!$2:$2,0)+1,FALSE)</f>
        <v>yellow</v>
      </c>
      <c r="K5" s="10" t="str">
        <f ca="1">VLOOKUP($F5,OFFSET([1]characters!$A$2,0,0,COUNTA([1]characters!$A:$A),MATCH("タイプ",[1]characters!$1:$1,0)-MATCH($F$1,[1]characters!$2:$2,0)+2),MATCH("タイプ",[1]characters!$1:$1,0)-MATCH($F$1,[1]characters!$2:$2,0)+2,FALSE)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" s="10" t="str">
        <f ca="1">VLOOKUP($F5,OFFSET([1]characters!$A$2,0,0,COUNTA([1]characters!$A:$A),MATCH($L$1,[1]characters!$1:$1,0)-MATCH($F$1,[1]characters!$2:$2,0)+2),MATCH($L$1,[1]characters!$1:$1,0)-MATCH($F$1,[1]characters!$2:$2,0)+2,FALSE)</f>
        <v>ヒューマン</v>
      </c>
      <c r="M5" s="6">
        <v>1</v>
      </c>
      <c r="N5" s="40">
        <f ca="1">VLOOKUP(D5,gacha_133_base!A:B,2,FALSE)</f>
        <v>2100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133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VLOOKUP($F6,OFFSET([1]characters!$A$2,0,0,COUNTA([1]characters!$A:$A),MATCH(G$1,[1]characters!$2:$2,0)-MATCH($F$1,[1]characters!$2:$2,0)+1),MATCH(G$1,[1]characters!$2:$2,0)-MATCH($F$1,[1]characters!$2:$2,0)+1,FALSE)</f>
        <v>京の炎華夕霧</v>
      </c>
      <c r="H6" s="10" t="str">
        <f ca="1">VLOOKUP($F6,OFFSET([1]characters!$A$2,0,0,COUNTA([1]characters!$A:$A),MATCH(H$1,[1]characters!$2:$2,0)-MATCH($F$1,[1]characters!$2:$2,0)+1),MATCH(H$1,[1]characters!$2:$2,0)-MATCH($F$1,[1]characters!$2:$2,0)+1,FALSE)</f>
        <v>PremiumW</v>
      </c>
      <c r="I6" s="10">
        <f ca="1">VLOOKUP($F6,OFFSET([1]characters!$A$2,0,0,COUNTA([1]characters!$A:$A),MATCH(I$1,[1]characters!$2:$2,0)-MATCH($F$1,[1]characters!$2:$2,0)+1),MATCH(I$1,[1]characters!$2:$2,0)-MATCH($F$1,[1]characters!$2:$2,0)+1,FALSE)</f>
        <v>4</v>
      </c>
      <c r="J6" s="10" t="str">
        <f ca="1">VLOOKUP($F6,OFFSET([1]characters!$A$2,0,0,COUNTA([1]characters!$A:$A),MATCH(J$1,[1]characters!$2:$2,0)-MATCH($F$1,[1]characters!$2:$2,0)+1),MATCH(J$1,[1]characters!$2:$2,0)-MATCH($F$1,[1]characters!$2:$2,0)+1,FALSE)</f>
        <v>red</v>
      </c>
      <c r="K6" s="10" t="str">
        <f ca="1">VLOOKUP($F6,OFFSET([1]characters!$A$2,0,0,COUNTA([1]characters!$A:$A),MATCH("タイプ",[1]characters!$1:$1,0)-MATCH($F$1,[1]characters!$2:$2,0)+2),MATCH("タイプ",[1]characters!$1:$1,0)-MATCH($F$1,[1]characters!$2:$2,0)+2,FALSE)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" s="10" t="str">
        <f ca="1">VLOOKUP($F6,OFFSET([1]characters!$A$2,0,0,COUNTA([1]characters!$A:$A),MATCH($L$1,[1]characters!$1:$1,0)-MATCH($F$1,[1]characters!$2:$2,0)+2),MATCH($L$1,[1]characters!$1:$1,0)-MATCH($F$1,[1]characters!$2:$2,0)+2,FALSE)</f>
        <v>ヒューマン</v>
      </c>
      <c r="M6" s="6">
        <v>1</v>
      </c>
      <c r="N6" s="40">
        <f ca="1">VLOOKUP(D6,gacha_133_base!A:B,2,FALSE)</f>
        <v>2100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133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VLOOKUP($F7,OFFSET([1]characters!$A$2,0,0,COUNTA([1]characters!$A:$A),MATCH(G$1,[1]characters!$2:$2,0)-MATCH($F$1,[1]characters!$2:$2,0)+1),MATCH(G$1,[1]characters!$2:$2,0)-MATCH($F$1,[1]characters!$2:$2,0)+1,FALSE)</f>
        <v>清福の仕立屋 チハヤ</v>
      </c>
      <c r="H7" s="10" t="str">
        <f ca="1">VLOOKUP($F7,OFFSET([1]characters!$A$2,0,0,COUNTA([1]characters!$A:$A),MATCH(H$1,[1]characters!$2:$2,0)-MATCH($F$1,[1]characters!$2:$2,0)+1),MATCH(H$1,[1]characters!$2:$2,0)-MATCH($F$1,[1]characters!$2:$2,0)+1,FALSE)</f>
        <v>PremiumW</v>
      </c>
      <c r="I7" s="10">
        <f ca="1">VLOOKUP($F7,OFFSET([1]characters!$A$2,0,0,COUNTA([1]characters!$A:$A),MATCH(I$1,[1]characters!$2:$2,0)-MATCH($F$1,[1]characters!$2:$2,0)+1),MATCH(I$1,[1]characters!$2:$2,0)-MATCH($F$1,[1]characters!$2:$2,0)+1,FALSE)</f>
        <v>4</v>
      </c>
      <c r="J7" s="10" t="str">
        <f ca="1">VLOOKUP($F7,OFFSET([1]characters!$A$2,0,0,COUNTA([1]characters!$A:$A),MATCH(J$1,[1]characters!$2:$2,0)-MATCH($F$1,[1]characters!$2:$2,0)+1),MATCH(J$1,[1]characters!$2:$2,0)-MATCH($F$1,[1]characters!$2:$2,0)+1,FALSE)</f>
        <v>green</v>
      </c>
      <c r="K7" s="10" t="str">
        <f ca="1">VLOOKUP($F7,OFFSET([1]characters!$A$2,0,0,COUNTA([1]characters!$A:$A),MATCH("タイプ",[1]characters!$1:$1,0)-MATCH($F$1,[1]characters!$2:$2,0)+2),MATCH("タイプ",[1]characters!$1:$1,0)-MATCH($F$1,[1]characters!$2:$2,0)+2,FALSE)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" s="10" t="str">
        <f ca="1">VLOOKUP($F7,OFFSET([1]characters!$A$2,0,0,COUNTA([1]characters!$A:$A),MATCH($L$1,[1]characters!$1:$1,0)-MATCH($F$1,[1]characters!$2:$2,0)+2),MATCH($L$1,[1]characters!$1:$1,0)-MATCH($F$1,[1]characters!$2:$2,0)+2,FALSE)</f>
        <v>ヒューマン</v>
      </c>
      <c r="M7" s="6">
        <v>1</v>
      </c>
      <c r="N7" s="40">
        <f ca="1">VLOOKUP(D7,gacha_133_base!A:B,2,FALSE)</f>
        <v>2100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133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VLOOKUP($F8,OFFSET([1]characters!$A$2,0,0,COUNTA([1]characters!$A:$A),MATCH(G$1,[1]characters!$2:$2,0)-MATCH($F$1,[1]characters!$2:$2,0)+1),MATCH(G$1,[1]characters!$2:$2,0)-MATCH($F$1,[1]characters!$2:$2,0)+1,FALSE)</f>
        <v>蒼昇刃姫 トモエ</v>
      </c>
      <c r="H8" s="10" t="str">
        <f ca="1">VLOOKUP($F8,OFFSET([1]characters!$A$2,0,0,COUNTA([1]characters!$A:$A),MATCH(H$1,[1]characters!$2:$2,0)-MATCH($F$1,[1]characters!$2:$2,0)+1),MATCH(H$1,[1]characters!$2:$2,0)-MATCH($F$1,[1]characters!$2:$2,0)+1,FALSE)</f>
        <v>PremiumW</v>
      </c>
      <c r="I8" s="10">
        <f ca="1">VLOOKUP($F8,OFFSET([1]characters!$A$2,0,0,COUNTA([1]characters!$A:$A),MATCH(I$1,[1]characters!$2:$2,0)-MATCH($F$1,[1]characters!$2:$2,0)+1),MATCH(I$1,[1]characters!$2:$2,0)-MATCH($F$1,[1]characters!$2:$2,0)+1,FALSE)</f>
        <v>4</v>
      </c>
      <c r="J8" s="10" t="str">
        <f ca="1">VLOOKUP($F8,OFFSET([1]characters!$A$2,0,0,COUNTA([1]characters!$A:$A),MATCH(J$1,[1]characters!$2:$2,0)-MATCH($F$1,[1]characters!$2:$2,0)+1),MATCH(J$1,[1]characters!$2:$2,0)-MATCH($F$1,[1]characters!$2:$2,0)+1,FALSE)</f>
        <v>blue</v>
      </c>
      <c r="K8" s="10" t="str">
        <f ca="1">VLOOKUP($F8,OFFSET([1]characters!$A$2,0,0,COUNTA([1]characters!$A:$A),MATCH("タイプ",[1]characters!$1:$1,0)-MATCH($F$1,[1]characters!$2:$2,0)+2),MATCH("タイプ",[1]characters!$1:$1,0)-MATCH($F$1,[1]characters!$2:$2,0)+2,FALSE)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" s="10" t="str">
        <f ca="1">VLOOKUP($F8,OFFSET([1]characters!$A$2,0,0,COUNTA([1]characters!$A:$A),MATCH($L$1,[1]characters!$1:$1,0)-MATCH($F$1,[1]characters!$2:$2,0)+2),MATCH($L$1,[1]characters!$1:$1,0)-MATCH($F$1,[1]characters!$2:$2,0)+2,FALSE)</f>
        <v>ヒューマン</v>
      </c>
      <c r="M8" s="6">
        <v>1</v>
      </c>
      <c r="N8" s="40">
        <f ca="1">VLOOKUP(D8,gacha_133_base!A:B,2,FALSE)</f>
        <v>2100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133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VLOOKUP($F9,OFFSET([1]characters!$A$2,0,0,COUNTA([1]characters!$A:$A),MATCH(G$1,[1]characters!$2:$2,0)-MATCH($F$1,[1]characters!$2:$2,0)+1),MATCH(G$1,[1]characters!$2:$2,0)-MATCH($F$1,[1]characters!$2:$2,0)+1,FALSE)</f>
        <v>妖狐演舞 タマモ</v>
      </c>
      <c r="H9" s="10" t="str">
        <f ca="1">VLOOKUP($F9,OFFSET([1]characters!$A$2,0,0,COUNTA([1]characters!$A:$A),MATCH(H$1,[1]characters!$2:$2,0)-MATCH($F$1,[1]characters!$2:$2,0)+1),MATCH(H$1,[1]characters!$2:$2,0)-MATCH($F$1,[1]characters!$2:$2,0)+1,FALSE)</f>
        <v>PremiumW</v>
      </c>
      <c r="I9" s="10">
        <f ca="1">VLOOKUP($F9,OFFSET([1]characters!$A$2,0,0,COUNTA([1]characters!$A:$A),MATCH(I$1,[1]characters!$2:$2,0)-MATCH($F$1,[1]characters!$2:$2,0)+1),MATCH(I$1,[1]characters!$2:$2,0)-MATCH($F$1,[1]characters!$2:$2,0)+1,FALSE)</f>
        <v>4</v>
      </c>
      <c r="J9" s="10" t="str">
        <f ca="1">VLOOKUP($F9,OFFSET([1]characters!$A$2,0,0,COUNTA([1]characters!$A:$A),MATCH(J$1,[1]characters!$2:$2,0)-MATCH($F$1,[1]characters!$2:$2,0)+1),MATCH(J$1,[1]characters!$2:$2,0)-MATCH($F$1,[1]characters!$2:$2,0)+1,FALSE)</f>
        <v>yellow</v>
      </c>
      <c r="K9" s="10" t="str">
        <f ca="1">VLOOKUP($F9,OFFSET([1]characters!$A$2,0,0,COUNTA([1]characters!$A:$A),MATCH("タイプ",[1]characters!$1:$1,0)-MATCH($F$1,[1]characters!$2:$2,0)+2),MATCH("タイプ",[1]characters!$1:$1,0)-MATCH($F$1,[1]characters!$2:$2,0)+2,FALSE)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" s="10" t="str">
        <f ca="1">VLOOKUP($F9,OFFSET([1]characters!$A$2,0,0,COUNTA([1]characters!$A:$A),MATCH($L$1,[1]characters!$1:$1,0)-MATCH($F$1,[1]characters!$2:$2,0)+2),MATCH($L$1,[1]characters!$1:$1,0)-MATCH($F$1,[1]characters!$2:$2,0)+2,FALSE)</f>
        <v>アニマル</v>
      </c>
      <c r="M9" s="6">
        <v>1</v>
      </c>
      <c r="N9" s="40">
        <f ca="1">VLOOKUP(D9,gacha_133_base!A:B,2,FALSE)</f>
        <v>2100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133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VLOOKUP($F10,OFFSET([1]characters!$A$2,0,0,COUNTA([1]characters!$A:$A),MATCH(G$1,[1]characters!$2:$2,0)-MATCH($F$1,[1]characters!$2:$2,0)+1),MATCH(G$1,[1]characters!$2:$2,0)-MATCH($F$1,[1]characters!$2:$2,0)+1,FALSE)</f>
        <v>深紅の死神 赤ずきん</v>
      </c>
      <c r="H10" s="10" t="str">
        <f ca="1">VLOOKUP($F10,OFFSET([1]characters!$A$2,0,0,COUNTA([1]characters!$A:$A),MATCH(H$1,[1]characters!$2:$2,0)-MATCH($F$1,[1]characters!$2:$2,0)+1),MATCH(H$1,[1]characters!$2:$2,0)-MATCH($F$1,[1]characters!$2:$2,0)+1,FALSE)</f>
        <v>PremiumW</v>
      </c>
      <c r="I10" s="10">
        <f ca="1">VLOOKUP($F10,OFFSET([1]characters!$A$2,0,0,COUNTA([1]characters!$A:$A),MATCH(I$1,[1]characters!$2:$2,0)-MATCH($F$1,[1]characters!$2:$2,0)+1),MATCH(I$1,[1]characters!$2:$2,0)-MATCH($F$1,[1]characters!$2:$2,0)+1,FALSE)</f>
        <v>4</v>
      </c>
      <c r="J10" s="10" t="str">
        <f ca="1">VLOOKUP($F10,OFFSET([1]characters!$A$2,0,0,COUNTA([1]characters!$A:$A),MATCH(J$1,[1]characters!$2:$2,0)-MATCH($F$1,[1]characters!$2:$2,0)+1),MATCH(J$1,[1]characters!$2:$2,0)-MATCH($F$1,[1]characters!$2:$2,0)+1,FALSE)</f>
        <v>red</v>
      </c>
      <c r="K10" s="10" t="str">
        <f ca="1">VLOOKUP($F10,OFFSET([1]characters!$A$2,0,0,COUNTA([1]characters!$A:$A),MATCH("タイプ",[1]characters!$1:$1,0)-MATCH($F$1,[1]characters!$2:$2,0)+2),MATCH("タイプ",[1]characters!$1:$1,0)-MATCH($F$1,[1]characters!$2:$2,0)+2,FALSE)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" s="10" t="str">
        <f ca="1">VLOOKUP($F10,OFFSET([1]characters!$A$2,0,0,COUNTA([1]characters!$A:$A),MATCH($L$1,[1]characters!$1:$1,0)-MATCH($F$1,[1]characters!$2:$2,0)+2),MATCH($L$1,[1]characters!$1:$1,0)-MATCH($F$1,[1]characters!$2:$2,0)+2,FALSE)</f>
        <v>ヒューマン</v>
      </c>
      <c r="M10" s="6">
        <v>1</v>
      </c>
      <c r="N10" s="40">
        <f ca="1">VLOOKUP(D10,gacha_133_base!A:B,2,FALSE)</f>
        <v>2100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133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VLOOKUP($F11,OFFSET([1]characters!$A$2,0,0,COUNTA([1]characters!$A:$A),MATCH(G$1,[1]characters!$2:$2,0)-MATCH($F$1,[1]characters!$2:$2,0)+1),MATCH(G$1,[1]characters!$2:$2,0)-MATCH($F$1,[1]characters!$2:$2,0)+1,FALSE)</f>
        <v>魔性妖艶 かぐや</v>
      </c>
      <c r="H11" s="10" t="str">
        <f ca="1">VLOOKUP($F11,OFFSET([1]characters!$A$2,0,0,COUNTA([1]characters!$A:$A),MATCH(H$1,[1]characters!$2:$2,0)-MATCH($F$1,[1]characters!$2:$2,0)+1),MATCH(H$1,[1]characters!$2:$2,0)-MATCH($F$1,[1]characters!$2:$2,0)+1,FALSE)</f>
        <v>PremiumW</v>
      </c>
      <c r="I11" s="10">
        <f ca="1">VLOOKUP($F11,OFFSET([1]characters!$A$2,0,0,COUNTA([1]characters!$A:$A),MATCH(I$1,[1]characters!$2:$2,0)-MATCH($F$1,[1]characters!$2:$2,0)+1),MATCH(I$1,[1]characters!$2:$2,0)-MATCH($F$1,[1]characters!$2:$2,0)+1,FALSE)</f>
        <v>4</v>
      </c>
      <c r="J11" s="10" t="str">
        <f ca="1">VLOOKUP($F11,OFFSET([1]characters!$A$2,0,0,COUNTA([1]characters!$A:$A),MATCH(J$1,[1]characters!$2:$2,0)-MATCH($F$1,[1]characters!$2:$2,0)+1),MATCH(J$1,[1]characters!$2:$2,0)-MATCH($F$1,[1]characters!$2:$2,0)+1,FALSE)</f>
        <v>green</v>
      </c>
      <c r="K11" s="10" t="str">
        <f ca="1">VLOOKUP($F11,OFFSET([1]characters!$A$2,0,0,COUNTA([1]characters!$A:$A),MATCH("タイプ",[1]characters!$1:$1,0)-MATCH($F$1,[1]characters!$2:$2,0)+2),MATCH("タイプ",[1]characters!$1:$1,0)-MATCH($F$1,[1]characters!$2:$2,0)+2,FALSE)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" s="10" t="str">
        <f ca="1">VLOOKUP($F11,OFFSET([1]characters!$A$2,0,0,COUNTA([1]characters!$A:$A),MATCH($L$1,[1]characters!$1:$1,0)-MATCH($F$1,[1]characters!$2:$2,0)+2),MATCH($L$1,[1]characters!$1:$1,0)-MATCH($F$1,[1]characters!$2:$2,0)+2,FALSE)</f>
        <v>ヒューマン</v>
      </c>
      <c r="M11" s="6">
        <v>1</v>
      </c>
      <c r="N11" s="40">
        <f ca="1">VLOOKUP(D11,gacha_133_base!A:B,2,FALSE)</f>
        <v>2100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133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2" s="10" t="str">
        <f ca="1">VLOOKUP($F12,OFFSET([1]characters!$A$2,0,0,COUNTA([1]characters!$A:$A),MATCH(H$1,[1]characters!$2:$2,0)-MATCH($F$1,[1]characters!$2:$2,0)+1),MATCH(H$1,[1]characters!$2:$2,0)-MATCH($F$1,[1]characters!$2:$2,0)+1,FALSE)</f>
        <v>PremiumW</v>
      </c>
      <c r="I12" s="10">
        <f ca="1">VLOOKUP($F12,OFFSET([1]characters!$A$2,0,0,COUNTA([1]characters!$A:$A),MATCH(I$1,[1]characters!$2:$2,0)-MATCH($F$1,[1]characters!$2:$2,0)+1),MATCH(I$1,[1]characters!$2:$2,0)-MATCH($F$1,[1]characters!$2:$2,0)+1,FALSE)</f>
        <v>4</v>
      </c>
      <c r="J12" s="10" t="str">
        <f ca="1">VLOOKUP($F12,OFFSET([1]characters!$A$2,0,0,COUNTA([1]characters!$A:$A),MATCH(J$1,[1]characters!$2:$2,0)-MATCH($F$1,[1]characters!$2:$2,0)+1),MATCH(J$1,[1]characters!$2:$2,0)-MATCH($F$1,[1]characters!$2:$2,0)+1,FALSE)</f>
        <v>blue</v>
      </c>
      <c r="K12" s="10" t="str">
        <f ca="1">VLOOKUP($F12,OFFSET([1]characters!$A$2,0,0,COUNTA([1]characters!$A:$A),MATCH("タイプ",[1]characters!$1:$1,0)-MATCH($F$1,[1]characters!$2:$2,0)+2),MATCH("タイプ",[1]characters!$1:$1,0)-MATCH($F$1,[1]characters!$2:$2,0)+2,FALSE)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" s="10" t="str">
        <f ca="1">VLOOKUP($F12,OFFSET([1]characters!$A$2,0,0,COUNTA([1]characters!$A:$A),MATCH($L$1,[1]characters!$1:$1,0)-MATCH($F$1,[1]characters!$2:$2,0)+2),MATCH($L$1,[1]characters!$1:$1,0)-MATCH($F$1,[1]characters!$2:$2,0)+2,FALSE)</f>
        <v>ヒューマン</v>
      </c>
      <c r="M12" s="6">
        <v>1</v>
      </c>
      <c r="N12" s="40">
        <f ca="1">VLOOKUP(D12,gacha_133_base!A:B,2,FALSE)</f>
        <v>2100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133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3" s="10" t="str">
        <f ca="1">VLOOKUP($F13,OFFSET([1]characters!$A$2,0,0,COUNTA([1]characters!$A:$A),MATCH(H$1,[1]characters!$2:$2,0)-MATCH($F$1,[1]characters!$2:$2,0)+1),MATCH(H$1,[1]characters!$2:$2,0)-MATCH($F$1,[1]characters!$2:$2,0)+1,FALSE)</f>
        <v>PremiumW</v>
      </c>
      <c r="I13" s="10">
        <f ca="1">VLOOKUP($F13,OFFSET([1]characters!$A$2,0,0,COUNTA([1]characters!$A:$A),MATCH(I$1,[1]characters!$2:$2,0)-MATCH($F$1,[1]characters!$2:$2,0)+1),MATCH(I$1,[1]characters!$2:$2,0)-MATCH($F$1,[1]characters!$2:$2,0)+1,FALSE)</f>
        <v>4</v>
      </c>
      <c r="J13" s="10" t="str">
        <f ca="1">VLOOKUP($F13,OFFSET([1]characters!$A$2,0,0,COUNTA([1]characters!$A:$A),MATCH(J$1,[1]characters!$2:$2,0)-MATCH($F$1,[1]characters!$2:$2,0)+1),MATCH(J$1,[1]characters!$2:$2,0)-MATCH($F$1,[1]characters!$2:$2,0)+1,FALSE)</f>
        <v>yellow</v>
      </c>
      <c r="K13" s="10" t="str">
        <f ca="1">VLOOKUP($F13,OFFSET([1]characters!$A$2,0,0,COUNTA([1]characters!$A:$A),MATCH("タイプ",[1]characters!$1:$1,0)-MATCH($F$1,[1]characters!$2:$2,0)+2),MATCH("タイプ",[1]characters!$1:$1,0)-MATCH($F$1,[1]characters!$2:$2,0)+2,FALSE)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" s="10" t="str">
        <f ca="1">VLOOKUP($F13,OFFSET([1]characters!$A$2,0,0,COUNTA([1]characters!$A:$A),MATCH($L$1,[1]characters!$1:$1,0)-MATCH($F$1,[1]characters!$2:$2,0)+2),MATCH($L$1,[1]characters!$1:$1,0)-MATCH($F$1,[1]characters!$2:$2,0)+2,FALSE)</f>
        <v>ヒューマン</v>
      </c>
      <c r="M13" s="6">
        <v>1</v>
      </c>
      <c r="N13" s="40">
        <f ca="1">VLOOKUP(D13,gacha_133_base!A:B,2,FALSE)</f>
        <v>2100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133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VLOOKUP($F14,OFFSET([1]characters!$A$2,0,0,COUNTA([1]characters!$A:$A),MATCH(G$1,[1]characters!$2:$2,0)-MATCH($F$1,[1]characters!$2:$2,0)+1),MATCH(G$1,[1]characters!$2:$2,0)-MATCH($F$1,[1]characters!$2:$2,0)+1,FALSE)</f>
        <v>毒煙の処刑人サキ</v>
      </c>
      <c r="H14" s="10" t="str">
        <f ca="1">VLOOKUP($F14,OFFSET([1]characters!$A$2,0,0,COUNTA([1]characters!$A:$A),MATCH(H$1,[1]characters!$2:$2,0)-MATCH($F$1,[1]characters!$2:$2,0)+1),MATCH(H$1,[1]characters!$2:$2,0)-MATCH($F$1,[1]characters!$2:$2,0)+1,FALSE)</f>
        <v>PremiumW</v>
      </c>
      <c r="I14" s="10">
        <f ca="1">VLOOKUP($F14,OFFSET([1]characters!$A$2,0,0,COUNTA([1]characters!$A:$A),MATCH(I$1,[1]characters!$2:$2,0)-MATCH($F$1,[1]characters!$2:$2,0)+1),MATCH(I$1,[1]characters!$2:$2,0)-MATCH($F$1,[1]characters!$2:$2,0)+1,FALSE)</f>
        <v>4</v>
      </c>
      <c r="J14" s="10" t="str">
        <f ca="1">VLOOKUP($F14,OFFSET([1]characters!$A$2,0,0,COUNTA([1]characters!$A:$A),MATCH(J$1,[1]characters!$2:$2,0)-MATCH($F$1,[1]characters!$2:$2,0)+1),MATCH(J$1,[1]characters!$2:$2,0)-MATCH($F$1,[1]characters!$2:$2,0)+1,FALSE)</f>
        <v>red</v>
      </c>
      <c r="K14" s="10" t="str">
        <f ca="1">VLOOKUP($F14,OFFSET([1]characters!$A$2,0,0,COUNTA([1]characters!$A:$A),MATCH("タイプ",[1]characters!$1:$1,0)-MATCH($F$1,[1]characters!$2:$2,0)+2),MATCH("タイプ",[1]characters!$1:$1,0)-MATCH($F$1,[1]characters!$2:$2,0)+2,FALSE)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" s="10" t="str">
        <f ca="1">VLOOKUP($F14,OFFSET([1]characters!$A$2,0,0,COUNTA([1]characters!$A:$A),MATCH($L$1,[1]characters!$1:$1,0)-MATCH($F$1,[1]characters!$2:$2,0)+2),MATCH($L$1,[1]characters!$1:$1,0)-MATCH($F$1,[1]characters!$2:$2,0)+2,FALSE)</f>
        <v>ヒューマン</v>
      </c>
      <c r="M14" s="6">
        <v>1</v>
      </c>
      <c r="N14" s="40">
        <f ca="1">VLOOKUP(D14,gacha_133_base!A:B,2,FALSE)</f>
        <v>2100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133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VLOOKUP($F15,OFFSET([1]characters!$A$2,0,0,COUNTA([1]characters!$A:$A),MATCH(G$1,[1]characters!$2:$2,0)-MATCH($F$1,[1]characters!$2:$2,0)+1),MATCH(G$1,[1]characters!$2:$2,0)-MATCH($F$1,[1]characters!$2:$2,0)+1,FALSE)</f>
        <v>拳聖ランラン</v>
      </c>
      <c r="H15" s="10" t="str">
        <f ca="1">VLOOKUP($F15,OFFSET([1]characters!$A$2,0,0,COUNTA([1]characters!$A:$A),MATCH(H$1,[1]characters!$2:$2,0)-MATCH($F$1,[1]characters!$2:$2,0)+1),MATCH(H$1,[1]characters!$2:$2,0)-MATCH($F$1,[1]characters!$2:$2,0)+1,FALSE)</f>
        <v>PremiumW</v>
      </c>
      <c r="I15" s="10">
        <f ca="1">VLOOKUP($F15,OFFSET([1]characters!$A$2,0,0,COUNTA([1]characters!$A:$A),MATCH(I$1,[1]characters!$2:$2,0)-MATCH($F$1,[1]characters!$2:$2,0)+1),MATCH(I$1,[1]characters!$2:$2,0)-MATCH($F$1,[1]characters!$2:$2,0)+1,FALSE)</f>
        <v>4</v>
      </c>
      <c r="J15" s="10" t="str">
        <f ca="1">VLOOKUP($F15,OFFSET([1]characters!$A$2,0,0,COUNTA([1]characters!$A:$A),MATCH(J$1,[1]characters!$2:$2,0)-MATCH($F$1,[1]characters!$2:$2,0)+1),MATCH(J$1,[1]characters!$2:$2,0)-MATCH($F$1,[1]characters!$2:$2,0)+1,FALSE)</f>
        <v>green</v>
      </c>
      <c r="K15" s="10" t="str">
        <f ca="1">VLOOKUP($F15,OFFSET([1]characters!$A$2,0,0,COUNTA([1]characters!$A:$A),MATCH("タイプ",[1]characters!$1:$1,0)-MATCH($F$1,[1]characters!$2:$2,0)+2),MATCH("タイプ",[1]characters!$1:$1,0)-MATCH($F$1,[1]characters!$2:$2,0)+2,FALSE)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" s="10" t="str">
        <f ca="1">VLOOKUP($F15,OFFSET([1]characters!$A$2,0,0,COUNTA([1]characters!$A:$A),MATCH($L$1,[1]characters!$1:$1,0)-MATCH($F$1,[1]characters!$2:$2,0)+2),MATCH($L$1,[1]characters!$1:$1,0)-MATCH($F$1,[1]characters!$2:$2,0)+2,FALSE)</f>
        <v>ヒューマン</v>
      </c>
      <c r="M15" s="6">
        <v>1</v>
      </c>
      <c r="N15" s="40">
        <f ca="1">VLOOKUP(D15,gacha_133_base!A:B,2,FALSE)</f>
        <v>2100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133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VLOOKUP($F16,OFFSET([1]characters!$A$2,0,0,COUNTA([1]characters!$A:$A),MATCH(G$1,[1]characters!$2:$2,0)-MATCH($F$1,[1]characters!$2:$2,0)+1),MATCH(G$1,[1]characters!$2:$2,0)-MATCH($F$1,[1]characters!$2:$2,0)+1,FALSE)</f>
        <v>隻眼の掃除屋 ハンナ</v>
      </c>
      <c r="H16" s="10" t="str">
        <f ca="1">VLOOKUP($F16,OFFSET([1]characters!$A$2,0,0,COUNTA([1]characters!$A:$A),MATCH(H$1,[1]characters!$2:$2,0)-MATCH($F$1,[1]characters!$2:$2,0)+1),MATCH(H$1,[1]characters!$2:$2,0)-MATCH($F$1,[1]characters!$2:$2,0)+1,FALSE)</f>
        <v>PremiumW</v>
      </c>
      <c r="I16" s="10">
        <f ca="1">VLOOKUP($F16,OFFSET([1]characters!$A$2,0,0,COUNTA([1]characters!$A:$A),MATCH(I$1,[1]characters!$2:$2,0)-MATCH($F$1,[1]characters!$2:$2,0)+1),MATCH(I$1,[1]characters!$2:$2,0)-MATCH($F$1,[1]characters!$2:$2,0)+1,FALSE)</f>
        <v>4</v>
      </c>
      <c r="J16" s="10" t="str">
        <f ca="1">VLOOKUP($F16,OFFSET([1]characters!$A$2,0,0,COUNTA([1]characters!$A:$A),MATCH(J$1,[1]characters!$2:$2,0)-MATCH($F$1,[1]characters!$2:$2,0)+1),MATCH(J$1,[1]characters!$2:$2,0)-MATCH($F$1,[1]characters!$2:$2,0)+1,FALSE)</f>
        <v>blue</v>
      </c>
      <c r="K16" s="10" t="str">
        <f ca="1">VLOOKUP($F16,OFFSET([1]characters!$A$2,0,0,COUNTA([1]characters!$A:$A),MATCH("タイプ",[1]characters!$1:$1,0)-MATCH($F$1,[1]characters!$2:$2,0)+2),MATCH("タイプ",[1]characters!$1:$1,0)-MATCH($F$1,[1]characters!$2:$2,0)+2,FALSE)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" s="10" t="str">
        <f ca="1">VLOOKUP($F16,OFFSET([1]characters!$A$2,0,0,COUNTA([1]characters!$A:$A),MATCH($L$1,[1]characters!$1:$1,0)-MATCH($F$1,[1]characters!$2:$2,0)+2),MATCH($L$1,[1]characters!$1:$1,0)-MATCH($F$1,[1]characters!$2:$2,0)+2,FALSE)</f>
        <v>ヒューマン</v>
      </c>
      <c r="M16" s="6">
        <v>1</v>
      </c>
      <c r="N16" s="40">
        <f ca="1">VLOOKUP(D16,gacha_133_base!A:B,2,FALSE)</f>
        <v>2100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133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VLOOKUP($F17,OFFSET([1]characters!$A$2,0,0,COUNTA([1]characters!$A:$A),MATCH(G$1,[1]characters!$2:$2,0)-MATCH($F$1,[1]characters!$2:$2,0)+1),MATCH(G$1,[1]characters!$2:$2,0)-MATCH($F$1,[1]characters!$2:$2,0)+1,FALSE)</f>
        <v>雷光舞姫 エレナ</v>
      </c>
      <c r="H17" s="10" t="str">
        <f ca="1">VLOOKUP($F17,OFFSET([1]characters!$A$2,0,0,COUNTA([1]characters!$A:$A),MATCH(H$1,[1]characters!$2:$2,0)-MATCH($F$1,[1]characters!$2:$2,0)+1),MATCH(H$1,[1]characters!$2:$2,0)-MATCH($F$1,[1]characters!$2:$2,0)+1,FALSE)</f>
        <v>PremiumW</v>
      </c>
      <c r="I17" s="10">
        <f ca="1">VLOOKUP($F17,OFFSET([1]characters!$A$2,0,0,COUNTA([1]characters!$A:$A),MATCH(I$1,[1]characters!$2:$2,0)-MATCH($F$1,[1]characters!$2:$2,0)+1),MATCH(I$1,[1]characters!$2:$2,0)-MATCH($F$1,[1]characters!$2:$2,0)+1,FALSE)</f>
        <v>4</v>
      </c>
      <c r="J17" s="10" t="str">
        <f ca="1">VLOOKUP($F17,OFFSET([1]characters!$A$2,0,0,COUNTA([1]characters!$A:$A),MATCH(J$1,[1]characters!$2:$2,0)-MATCH($F$1,[1]characters!$2:$2,0)+1),MATCH(J$1,[1]characters!$2:$2,0)-MATCH($F$1,[1]characters!$2:$2,0)+1,FALSE)</f>
        <v>yellow</v>
      </c>
      <c r="K17" s="10" t="str">
        <f ca="1">VLOOKUP($F17,OFFSET([1]characters!$A$2,0,0,COUNTA([1]characters!$A:$A),MATCH("タイプ",[1]characters!$1:$1,0)-MATCH($F$1,[1]characters!$2:$2,0)+2),MATCH("タイプ",[1]characters!$1:$1,0)-MATCH($F$1,[1]characters!$2:$2,0)+2,FALSE)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" s="10" t="str">
        <f ca="1">VLOOKUP($F17,OFFSET([1]characters!$A$2,0,0,COUNTA([1]characters!$A:$A),MATCH($L$1,[1]characters!$1:$1,0)-MATCH($F$1,[1]characters!$2:$2,0)+2),MATCH($L$1,[1]characters!$1:$1,0)-MATCH($F$1,[1]characters!$2:$2,0)+2,FALSE)</f>
        <v>ヒューマン</v>
      </c>
      <c r="M17" s="6">
        <v>1</v>
      </c>
      <c r="N17" s="40">
        <f ca="1">VLOOKUP(D17,gacha_133_base!A:B,2,FALSE)</f>
        <v>2100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133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8" s="10" t="str">
        <f ca="1">VLOOKUP($F18,OFFSET([1]characters!$A$2,0,0,COUNTA([1]characters!$A:$A),MATCH(H$1,[1]characters!$2:$2,0)-MATCH($F$1,[1]characters!$2:$2,0)+1),MATCH(H$1,[1]characters!$2:$2,0)-MATCH($F$1,[1]characters!$2:$2,0)+1,FALSE)</f>
        <v>PremiumW</v>
      </c>
      <c r="I18" s="10">
        <f ca="1">VLOOKUP($F18,OFFSET([1]characters!$A$2,0,0,COUNTA([1]characters!$A:$A),MATCH(I$1,[1]characters!$2:$2,0)-MATCH($F$1,[1]characters!$2:$2,0)+1),MATCH(I$1,[1]characters!$2:$2,0)-MATCH($F$1,[1]characters!$2:$2,0)+1,FALSE)</f>
        <v>4</v>
      </c>
      <c r="J18" s="10" t="str">
        <f ca="1">VLOOKUP($F18,OFFSET([1]characters!$A$2,0,0,COUNTA([1]characters!$A:$A),MATCH(J$1,[1]characters!$2:$2,0)-MATCH($F$1,[1]characters!$2:$2,0)+1),MATCH(J$1,[1]characters!$2:$2,0)-MATCH($F$1,[1]characters!$2:$2,0)+1,FALSE)</f>
        <v>red</v>
      </c>
      <c r="K18" s="10" t="str">
        <f ca="1">VLOOKUP($F18,OFFSET([1]characters!$A$2,0,0,COUNTA([1]characters!$A:$A),MATCH("タイプ",[1]characters!$1:$1,0)-MATCH($F$1,[1]characters!$2:$2,0)+2),MATCH("タイプ",[1]characters!$1:$1,0)-MATCH($F$1,[1]characters!$2:$2,0)+2,FALSE)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" s="10" t="str">
        <f ca="1">VLOOKUP($F18,OFFSET([1]characters!$A$2,0,0,COUNTA([1]characters!$A:$A),MATCH($L$1,[1]characters!$1:$1,0)-MATCH($F$1,[1]characters!$2:$2,0)+2),MATCH($L$1,[1]characters!$1:$1,0)-MATCH($F$1,[1]characters!$2:$2,0)+2,FALSE)</f>
        <v>ヒューマン</v>
      </c>
      <c r="M18" s="6">
        <v>1</v>
      </c>
      <c r="N18" s="40">
        <f ca="1">VLOOKUP(D18,gacha_133_base!A:B,2,FALSE)</f>
        <v>2100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133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VLOOKUP($F19,OFFSET([1]characters!$A$2,0,0,COUNTA([1]characters!$A:$A),MATCH(G$1,[1]characters!$2:$2,0)-MATCH($F$1,[1]characters!$2:$2,0)+1),MATCH(G$1,[1]characters!$2:$2,0)-MATCH($F$1,[1]characters!$2:$2,0)+1,FALSE)</f>
        <v>咆哮の先導者 クリエ</v>
      </c>
      <c r="H19" s="10" t="str">
        <f ca="1">VLOOKUP($F19,OFFSET([1]characters!$A$2,0,0,COUNTA([1]characters!$A:$A),MATCH(H$1,[1]characters!$2:$2,0)-MATCH($F$1,[1]characters!$2:$2,0)+1),MATCH(H$1,[1]characters!$2:$2,0)-MATCH($F$1,[1]characters!$2:$2,0)+1,FALSE)</f>
        <v>PremiumW</v>
      </c>
      <c r="I19" s="10">
        <f ca="1">VLOOKUP($F19,OFFSET([1]characters!$A$2,0,0,COUNTA([1]characters!$A:$A),MATCH(I$1,[1]characters!$2:$2,0)-MATCH($F$1,[1]characters!$2:$2,0)+1),MATCH(I$1,[1]characters!$2:$2,0)-MATCH($F$1,[1]characters!$2:$2,0)+1,FALSE)</f>
        <v>4</v>
      </c>
      <c r="J19" s="10" t="str">
        <f ca="1">VLOOKUP($F19,OFFSET([1]characters!$A$2,0,0,COUNTA([1]characters!$A:$A),MATCH(J$1,[1]characters!$2:$2,0)-MATCH($F$1,[1]characters!$2:$2,0)+1),MATCH(J$1,[1]characters!$2:$2,0)-MATCH($F$1,[1]characters!$2:$2,0)+1,FALSE)</f>
        <v>green</v>
      </c>
      <c r="K19" s="10" t="str">
        <f ca="1">VLOOKUP($F19,OFFSET([1]characters!$A$2,0,0,COUNTA([1]characters!$A:$A),MATCH("タイプ",[1]characters!$1:$1,0)-MATCH($F$1,[1]characters!$2:$2,0)+2),MATCH("タイプ",[1]characters!$1:$1,0)-MATCH($F$1,[1]characters!$2:$2,0)+2,FALSE)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" s="10" t="str">
        <f ca="1">VLOOKUP($F19,OFFSET([1]characters!$A$2,0,0,COUNTA([1]characters!$A:$A),MATCH($L$1,[1]characters!$1:$1,0)-MATCH($F$1,[1]characters!$2:$2,0)+2),MATCH($L$1,[1]characters!$1:$1,0)-MATCH($F$1,[1]characters!$2:$2,0)+2,FALSE)</f>
        <v>ヒューマン</v>
      </c>
      <c r="M19" s="6">
        <v>1</v>
      </c>
      <c r="N19" s="40">
        <f ca="1">VLOOKUP(D19,gacha_133_base!A:B,2,FALSE)</f>
        <v>2100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133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VLOOKUP($F20,OFFSET([1]characters!$A$2,0,0,COUNTA([1]characters!$A:$A),MATCH(G$1,[1]characters!$2:$2,0)-MATCH($F$1,[1]characters!$2:$2,0)+1),MATCH(G$1,[1]characters!$2:$2,0)-MATCH($F$1,[1]characters!$2:$2,0)+1,FALSE)</f>
        <v>冷酷な狂嬢 クララ</v>
      </c>
      <c r="H20" s="10" t="str">
        <f ca="1">VLOOKUP($F20,OFFSET([1]characters!$A$2,0,0,COUNTA([1]characters!$A:$A),MATCH(H$1,[1]characters!$2:$2,0)-MATCH($F$1,[1]characters!$2:$2,0)+1),MATCH(H$1,[1]characters!$2:$2,0)-MATCH($F$1,[1]characters!$2:$2,0)+1,FALSE)</f>
        <v>PremiumW</v>
      </c>
      <c r="I20" s="10">
        <f ca="1">VLOOKUP($F20,OFFSET([1]characters!$A$2,0,0,COUNTA([1]characters!$A:$A),MATCH(I$1,[1]characters!$2:$2,0)-MATCH($F$1,[1]characters!$2:$2,0)+1),MATCH(I$1,[1]characters!$2:$2,0)-MATCH($F$1,[1]characters!$2:$2,0)+1,FALSE)</f>
        <v>4</v>
      </c>
      <c r="J20" s="10" t="str">
        <f ca="1">VLOOKUP($F20,OFFSET([1]characters!$A$2,0,0,COUNTA([1]characters!$A:$A),MATCH(J$1,[1]characters!$2:$2,0)-MATCH($F$1,[1]characters!$2:$2,0)+1),MATCH(J$1,[1]characters!$2:$2,0)-MATCH($F$1,[1]characters!$2:$2,0)+1,FALSE)</f>
        <v>blue</v>
      </c>
      <c r="K20" s="10" t="str">
        <f ca="1">VLOOKUP($F20,OFFSET([1]characters!$A$2,0,0,COUNTA([1]characters!$A:$A),MATCH("タイプ",[1]characters!$1:$1,0)-MATCH($F$1,[1]characters!$2:$2,0)+2),MATCH("タイプ",[1]characters!$1:$1,0)-MATCH($F$1,[1]characters!$2:$2,0)+2,FALSE)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" s="10" t="str">
        <f ca="1">VLOOKUP($F20,OFFSET([1]characters!$A$2,0,0,COUNTA([1]characters!$A:$A),MATCH($L$1,[1]characters!$1:$1,0)-MATCH($F$1,[1]characters!$2:$2,0)+2),MATCH($L$1,[1]characters!$1:$1,0)-MATCH($F$1,[1]characters!$2:$2,0)+2,FALSE)</f>
        <v>ヒューマン</v>
      </c>
      <c r="M20" s="6">
        <v>1</v>
      </c>
      <c r="N20" s="40">
        <f ca="1">VLOOKUP(D20,gacha_133_base!A:B,2,FALSE)</f>
        <v>2100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133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21" s="10" t="str">
        <f ca="1">VLOOKUP($F21,OFFSET([1]characters!$A$2,0,0,COUNTA([1]characters!$A:$A),MATCH(H$1,[1]characters!$2:$2,0)-MATCH($F$1,[1]characters!$2:$2,0)+1),MATCH(H$1,[1]characters!$2:$2,0)-MATCH($F$1,[1]characters!$2:$2,0)+1,FALSE)</f>
        <v>PremiumW</v>
      </c>
      <c r="I21" s="10">
        <f ca="1">VLOOKUP($F21,OFFSET([1]characters!$A$2,0,0,COUNTA([1]characters!$A:$A),MATCH(I$1,[1]characters!$2:$2,0)-MATCH($F$1,[1]characters!$2:$2,0)+1),MATCH(I$1,[1]characters!$2:$2,0)-MATCH($F$1,[1]characters!$2:$2,0)+1,FALSE)</f>
        <v>4</v>
      </c>
      <c r="J21" s="10" t="str">
        <f ca="1">VLOOKUP($F21,OFFSET([1]characters!$A$2,0,0,COUNTA([1]characters!$A:$A),MATCH(J$1,[1]characters!$2:$2,0)-MATCH($F$1,[1]characters!$2:$2,0)+1),MATCH(J$1,[1]characters!$2:$2,0)-MATCH($F$1,[1]characters!$2:$2,0)+1,FALSE)</f>
        <v>yellow</v>
      </c>
      <c r="K21" s="10" t="str">
        <f ca="1">VLOOKUP($F21,OFFSET([1]characters!$A$2,0,0,COUNTA([1]characters!$A:$A),MATCH("タイプ",[1]characters!$1:$1,0)-MATCH($F$1,[1]characters!$2:$2,0)+2),MATCH("タイプ",[1]characters!$1:$1,0)-MATCH($F$1,[1]characters!$2:$2,0)+2,FALSE)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" s="10" t="str">
        <f ca="1">VLOOKUP($F21,OFFSET([1]characters!$A$2,0,0,COUNTA([1]characters!$A:$A),MATCH($L$1,[1]characters!$1:$1,0)-MATCH($F$1,[1]characters!$2:$2,0)+2),MATCH($L$1,[1]characters!$1:$1,0)-MATCH($F$1,[1]characters!$2:$2,0)+2,FALSE)</f>
        <v>ヒューマン</v>
      </c>
      <c r="M21" s="6">
        <v>1</v>
      </c>
      <c r="N21" s="40">
        <f ca="1">VLOOKUP(D21,gacha_133_base!A:B,2,FALSE)</f>
        <v>2100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133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VLOOKUP($F22,OFFSET([1]characters!$A$2,0,0,COUNTA([1]characters!$A:$A),MATCH(G$1,[1]characters!$2:$2,0)-MATCH($F$1,[1]characters!$2:$2,0)+1),MATCH(G$1,[1]characters!$2:$2,0)-MATCH($F$1,[1]characters!$2:$2,0)+1,FALSE)</f>
        <v>逆徒 ベリアル</v>
      </c>
      <c r="H22" s="10" t="str">
        <f ca="1">VLOOKUP($F22,OFFSET([1]characters!$A$2,0,0,COUNTA([1]characters!$A:$A),MATCH(H$1,[1]characters!$2:$2,0)-MATCH($F$1,[1]characters!$2:$2,0)+1),MATCH(H$1,[1]characters!$2:$2,0)-MATCH($F$1,[1]characters!$2:$2,0)+1,FALSE)</f>
        <v>PremiumN</v>
      </c>
      <c r="I22" s="10">
        <f ca="1">VLOOKUP($F22,OFFSET([1]characters!$A$2,0,0,COUNTA([1]characters!$A:$A),MATCH(I$1,[1]characters!$2:$2,0)-MATCH($F$1,[1]characters!$2:$2,0)+1),MATCH(I$1,[1]characters!$2:$2,0)-MATCH($F$1,[1]characters!$2:$2,0)+1,FALSE)</f>
        <v>4</v>
      </c>
      <c r="J22" s="10" t="str">
        <f ca="1">VLOOKUP($F22,OFFSET([1]characters!$A$2,0,0,COUNTA([1]characters!$A:$A),MATCH(J$1,[1]characters!$2:$2,0)-MATCH($F$1,[1]characters!$2:$2,0)+1),MATCH(J$1,[1]characters!$2:$2,0)-MATCH($F$1,[1]characters!$2:$2,0)+1,FALSE)</f>
        <v>red</v>
      </c>
      <c r="K22" s="10" t="str">
        <f ca="1">VLOOKUP($F22,OFFSET([1]characters!$A$2,0,0,COUNTA([1]characters!$A:$A),MATCH("タイプ",[1]characters!$1:$1,0)-MATCH($F$1,[1]characters!$2:$2,0)+2),MATCH("タイプ",[1]characters!$1:$1,0)-MATCH($F$1,[1]characters!$2:$2,0)+2,FALSE)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" s="10" t="str">
        <f ca="1">VLOOKUP($F22,OFFSET([1]characters!$A$2,0,0,COUNTA([1]characters!$A:$A),MATCH($L$1,[1]characters!$1:$1,0)-MATCH($F$1,[1]characters!$2:$2,0)+2),MATCH($L$1,[1]characters!$1:$1,0)-MATCH($F$1,[1]characters!$2:$2,0)+2,FALSE)</f>
        <v>ゴッド</v>
      </c>
      <c r="M22" s="6">
        <v>1</v>
      </c>
      <c r="N22" s="40">
        <f ca="1">VLOOKUP(D22,gacha_133_base!A:B,2,FALSE)</f>
        <v>2076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133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VLOOKUP($F23,OFFSET([1]characters!$A$2,0,0,COUNTA([1]characters!$A:$A),MATCH(G$1,[1]characters!$2:$2,0)-MATCH($F$1,[1]characters!$2:$2,0)+1),MATCH(G$1,[1]characters!$2:$2,0)-MATCH($F$1,[1]characters!$2:$2,0)+1,FALSE)</f>
        <v>識徒 オセ</v>
      </c>
      <c r="H23" s="10" t="str">
        <f ca="1">VLOOKUP($F23,OFFSET([1]characters!$A$2,0,0,COUNTA([1]characters!$A:$A),MATCH(H$1,[1]characters!$2:$2,0)-MATCH($F$1,[1]characters!$2:$2,0)+1),MATCH(H$1,[1]characters!$2:$2,0)-MATCH($F$1,[1]characters!$2:$2,0)+1,FALSE)</f>
        <v>PremiumN</v>
      </c>
      <c r="I23" s="10">
        <f ca="1">VLOOKUP($F23,OFFSET([1]characters!$A$2,0,0,COUNTA([1]characters!$A:$A),MATCH(I$1,[1]characters!$2:$2,0)-MATCH($F$1,[1]characters!$2:$2,0)+1),MATCH(I$1,[1]characters!$2:$2,0)-MATCH($F$1,[1]characters!$2:$2,0)+1,FALSE)</f>
        <v>4</v>
      </c>
      <c r="J23" s="10" t="str">
        <f ca="1">VLOOKUP($F23,OFFSET([1]characters!$A$2,0,0,COUNTA([1]characters!$A:$A),MATCH(J$1,[1]characters!$2:$2,0)-MATCH($F$1,[1]characters!$2:$2,0)+1),MATCH(J$1,[1]characters!$2:$2,0)-MATCH($F$1,[1]characters!$2:$2,0)+1,FALSE)</f>
        <v>green</v>
      </c>
      <c r="K23" s="10" t="str">
        <f ca="1">VLOOKUP($F23,OFFSET([1]characters!$A$2,0,0,COUNTA([1]characters!$A:$A),MATCH("タイプ",[1]characters!$1:$1,0)-MATCH($F$1,[1]characters!$2:$2,0)+2),MATCH("タイプ",[1]characters!$1:$1,0)-MATCH($F$1,[1]characters!$2:$2,0)+2,FALSE)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" s="10" t="str">
        <f ca="1">VLOOKUP($F23,OFFSET([1]characters!$A$2,0,0,COUNTA([1]characters!$A:$A),MATCH($L$1,[1]characters!$1:$1,0)-MATCH($F$1,[1]characters!$2:$2,0)+2),MATCH($L$1,[1]characters!$1:$1,0)-MATCH($F$1,[1]characters!$2:$2,0)+2,FALSE)</f>
        <v>ゴッド</v>
      </c>
      <c r="M23" s="6">
        <v>1</v>
      </c>
      <c r="N23" s="40">
        <f ca="1">VLOOKUP(D23,gacha_133_base!A:B,2,FALSE)</f>
        <v>2076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133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VLOOKUP($F24,OFFSET([1]characters!$A$2,0,0,COUNTA([1]characters!$A:$A),MATCH(G$1,[1]characters!$2:$2,0)-MATCH($F$1,[1]characters!$2:$2,0)+1),MATCH(G$1,[1]characters!$2:$2,0)-MATCH($F$1,[1]characters!$2:$2,0)+1,FALSE)</f>
        <v>公爵 フォルネウス</v>
      </c>
      <c r="H24" s="10" t="str">
        <f ca="1">VLOOKUP($F24,OFFSET([1]characters!$A$2,0,0,COUNTA([1]characters!$A:$A),MATCH(H$1,[1]characters!$2:$2,0)-MATCH($F$1,[1]characters!$2:$2,0)+1),MATCH(H$1,[1]characters!$2:$2,0)-MATCH($F$1,[1]characters!$2:$2,0)+1,FALSE)</f>
        <v>PremiumN</v>
      </c>
      <c r="I24" s="10">
        <f ca="1">VLOOKUP($F24,OFFSET([1]characters!$A$2,0,0,COUNTA([1]characters!$A:$A),MATCH(I$1,[1]characters!$2:$2,0)-MATCH($F$1,[1]characters!$2:$2,0)+1),MATCH(I$1,[1]characters!$2:$2,0)-MATCH($F$1,[1]characters!$2:$2,0)+1,FALSE)</f>
        <v>4</v>
      </c>
      <c r="J24" s="10" t="str">
        <f ca="1">VLOOKUP($F24,OFFSET([1]characters!$A$2,0,0,COUNTA([1]characters!$A:$A),MATCH(J$1,[1]characters!$2:$2,0)-MATCH($F$1,[1]characters!$2:$2,0)+1),MATCH(J$1,[1]characters!$2:$2,0)-MATCH($F$1,[1]characters!$2:$2,0)+1,FALSE)</f>
        <v>blue</v>
      </c>
      <c r="K24" s="10" t="str">
        <f ca="1">VLOOKUP($F24,OFFSET([1]characters!$A$2,0,0,COUNTA([1]characters!$A:$A),MATCH("タイプ",[1]characters!$1:$1,0)-MATCH($F$1,[1]characters!$2:$2,0)+2),MATCH("タイプ",[1]characters!$1:$1,0)-MATCH($F$1,[1]characters!$2:$2,0)+2,FALSE)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" s="10" t="str">
        <f ca="1">VLOOKUP($F24,OFFSET([1]characters!$A$2,0,0,COUNTA([1]characters!$A:$A),MATCH($L$1,[1]characters!$1:$1,0)-MATCH($F$1,[1]characters!$2:$2,0)+2),MATCH($L$1,[1]characters!$1:$1,0)-MATCH($F$1,[1]characters!$2:$2,0)+2,FALSE)</f>
        <v>ゴッド</v>
      </c>
      <c r="M24" s="6">
        <v>1</v>
      </c>
      <c r="N24" s="40">
        <f ca="1">VLOOKUP(D24,gacha_133_base!A:B,2,FALSE)</f>
        <v>2076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133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VLOOKUP($F25,OFFSET([1]characters!$A$2,0,0,COUNTA([1]characters!$A:$A),MATCH(G$1,[1]characters!$2:$2,0)-MATCH($F$1,[1]characters!$2:$2,0)+1),MATCH(G$1,[1]characters!$2:$2,0)-MATCH($F$1,[1]characters!$2:$2,0)+1,FALSE)</f>
        <v>異教徒 バフォメット</v>
      </c>
      <c r="H25" s="10" t="str">
        <f ca="1">VLOOKUP($F25,OFFSET([1]characters!$A$2,0,0,COUNTA([1]characters!$A:$A),MATCH(H$1,[1]characters!$2:$2,0)-MATCH($F$1,[1]characters!$2:$2,0)+1),MATCH(H$1,[1]characters!$2:$2,0)-MATCH($F$1,[1]characters!$2:$2,0)+1,FALSE)</f>
        <v>PremiumN</v>
      </c>
      <c r="I25" s="10">
        <f ca="1">VLOOKUP($F25,OFFSET([1]characters!$A$2,0,0,COUNTA([1]characters!$A:$A),MATCH(I$1,[1]characters!$2:$2,0)-MATCH($F$1,[1]characters!$2:$2,0)+1),MATCH(I$1,[1]characters!$2:$2,0)-MATCH($F$1,[1]characters!$2:$2,0)+1,FALSE)</f>
        <v>4</v>
      </c>
      <c r="J25" s="10" t="str">
        <f ca="1">VLOOKUP($F25,OFFSET([1]characters!$A$2,0,0,COUNTA([1]characters!$A:$A),MATCH(J$1,[1]characters!$2:$2,0)-MATCH($F$1,[1]characters!$2:$2,0)+1),MATCH(J$1,[1]characters!$2:$2,0)-MATCH($F$1,[1]characters!$2:$2,0)+1,FALSE)</f>
        <v>yellow</v>
      </c>
      <c r="K25" s="10" t="str">
        <f ca="1">VLOOKUP($F25,OFFSET([1]characters!$A$2,0,0,COUNTA([1]characters!$A:$A),MATCH("タイプ",[1]characters!$1:$1,0)-MATCH($F$1,[1]characters!$2:$2,0)+2),MATCH("タイプ",[1]characters!$1:$1,0)-MATCH($F$1,[1]characters!$2:$2,0)+2,FALSE)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5" s="10" t="str">
        <f ca="1">VLOOKUP($F25,OFFSET([1]characters!$A$2,0,0,COUNTA([1]characters!$A:$A),MATCH($L$1,[1]characters!$1:$1,0)-MATCH($F$1,[1]characters!$2:$2,0)+2),MATCH($L$1,[1]characters!$1:$1,0)-MATCH($F$1,[1]characters!$2:$2,0)+2,FALSE)</f>
        <v>ゴッド</v>
      </c>
      <c r="M25" s="6">
        <v>1</v>
      </c>
      <c r="N25" s="40">
        <f ca="1">VLOOKUP(D25,gacha_133_base!A:B,2,FALSE)</f>
        <v>2076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133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VLOOKUP($F26,OFFSET([1]characters!$A$2,0,0,COUNTA([1]characters!$A:$A),MATCH(G$1,[1]characters!$2:$2,0)-MATCH($F$1,[1]characters!$2:$2,0)+1),MATCH(G$1,[1]characters!$2:$2,0)-MATCH($F$1,[1]characters!$2:$2,0)+1,FALSE)</f>
        <v>番犬 ケルベロス</v>
      </c>
      <c r="H26" s="10" t="str">
        <f ca="1">VLOOKUP($F26,OFFSET([1]characters!$A$2,0,0,COUNTA([1]characters!$A:$A),MATCH(H$1,[1]characters!$2:$2,0)-MATCH($F$1,[1]characters!$2:$2,0)+1),MATCH(H$1,[1]characters!$2:$2,0)-MATCH($F$1,[1]characters!$2:$2,0)+1,FALSE)</f>
        <v>PremiumN</v>
      </c>
      <c r="I26" s="10">
        <f ca="1">VLOOKUP($F26,OFFSET([1]characters!$A$2,0,0,COUNTA([1]characters!$A:$A),MATCH(I$1,[1]characters!$2:$2,0)-MATCH($F$1,[1]characters!$2:$2,0)+1),MATCH(I$1,[1]characters!$2:$2,0)-MATCH($F$1,[1]characters!$2:$2,0)+1,FALSE)</f>
        <v>4</v>
      </c>
      <c r="J26" s="10" t="str">
        <f ca="1">VLOOKUP($F26,OFFSET([1]characters!$A$2,0,0,COUNTA([1]characters!$A:$A),MATCH(J$1,[1]characters!$2:$2,0)-MATCH($F$1,[1]characters!$2:$2,0)+1),MATCH(J$1,[1]characters!$2:$2,0)-MATCH($F$1,[1]characters!$2:$2,0)+1,FALSE)</f>
        <v>red</v>
      </c>
      <c r="K26" s="10" t="str">
        <f ca="1">VLOOKUP($F26,OFFSET([1]characters!$A$2,0,0,COUNTA([1]characters!$A:$A),MATCH("タイプ",[1]characters!$1:$1,0)-MATCH($F$1,[1]characters!$2:$2,0)+2),MATCH("タイプ",[1]characters!$1:$1,0)-MATCH($F$1,[1]characters!$2:$2,0)+2,FALSE)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" s="10" t="str">
        <f ca="1">VLOOKUP($F26,OFFSET([1]characters!$A$2,0,0,COUNTA([1]characters!$A:$A),MATCH($L$1,[1]characters!$1:$1,0)-MATCH($F$1,[1]characters!$2:$2,0)+2),MATCH($L$1,[1]characters!$1:$1,0)-MATCH($F$1,[1]characters!$2:$2,0)+2,FALSE)</f>
        <v>アニマル</v>
      </c>
      <c r="M26" s="6">
        <v>1</v>
      </c>
      <c r="N26" s="40">
        <f ca="1">VLOOKUP(D26,gacha_133_base!A:B,2,FALSE)</f>
        <v>2076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133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VLOOKUP($F27,OFFSET([1]characters!$A$2,0,0,COUNTA([1]characters!$A:$A),MATCH(G$1,[1]characters!$2:$2,0)-MATCH($F$1,[1]characters!$2:$2,0)+1),MATCH(G$1,[1]characters!$2:$2,0)-MATCH($F$1,[1]characters!$2:$2,0)+1,FALSE)</f>
        <v>放蕩者 ベヒモス</v>
      </c>
      <c r="H27" s="10" t="str">
        <f ca="1">VLOOKUP($F27,OFFSET([1]characters!$A$2,0,0,COUNTA([1]characters!$A:$A),MATCH(H$1,[1]characters!$2:$2,0)-MATCH($F$1,[1]characters!$2:$2,0)+1),MATCH(H$1,[1]characters!$2:$2,0)-MATCH($F$1,[1]characters!$2:$2,0)+1,FALSE)</f>
        <v>PremiumN</v>
      </c>
      <c r="I27" s="10">
        <f ca="1">VLOOKUP($F27,OFFSET([1]characters!$A$2,0,0,COUNTA([1]characters!$A:$A),MATCH(I$1,[1]characters!$2:$2,0)-MATCH($F$1,[1]characters!$2:$2,0)+1),MATCH(I$1,[1]characters!$2:$2,0)-MATCH($F$1,[1]characters!$2:$2,0)+1,FALSE)</f>
        <v>4</v>
      </c>
      <c r="J27" s="10" t="str">
        <f ca="1">VLOOKUP($F27,OFFSET([1]characters!$A$2,0,0,COUNTA([1]characters!$A:$A),MATCH(J$1,[1]characters!$2:$2,0)-MATCH($F$1,[1]characters!$2:$2,0)+1),MATCH(J$1,[1]characters!$2:$2,0)-MATCH($F$1,[1]characters!$2:$2,0)+1,FALSE)</f>
        <v>green</v>
      </c>
      <c r="K27" s="10" t="str">
        <f ca="1">VLOOKUP($F27,OFFSET([1]characters!$A$2,0,0,COUNTA([1]characters!$A:$A),MATCH("タイプ",[1]characters!$1:$1,0)-MATCH($F$1,[1]characters!$2:$2,0)+2),MATCH("タイプ",[1]characters!$1:$1,0)-MATCH($F$1,[1]characters!$2:$2,0)+2,FALSE)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" s="10" t="str">
        <f ca="1">VLOOKUP($F27,OFFSET([1]characters!$A$2,0,0,COUNTA([1]characters!$A:$A),MATCH($L$1,[1]characters!$1:$1,0)-MATCH($F$1,[1]characters!$2:$2,0)+2),MATCH($L$1,[1]characters!$1:$1,0)-MATCH($F$1,[1]characters!$2:$2,0)+2,FALSE)</f>
        <v>アニマル</v>
      </c>
      <c r="M27" s="6">
        <v>1</v>
      </c>
      <c r="N27" s="40">
        <f ca="1">VLOOKUP(D27,gacha_133_base!A:B,2,FALSE)</f>
        <v>2076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133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VLOOKUP($F28,OFFSET([1]characters!$A$2,0,0,COUNTA([1]characters!$A:$A),MATCH(G$1,[1]characters!$2:$2,0)-MATCH($F$1,[1]characters!$2:$2,0)+1),MATCH(G$1,[1]characters!$2:$2,0)-MATCH($F$1,[1]characters!$2:$2,0)+1,FALSE)</f>
        <v>海姫 クラーケン</v>
      </c>
      <c r="H28" s="10" t="str">
        <f ca="1">VLOOKUP($F28,OFFSET([1]characters!$A$2,0,0,COUNTA([1]characters!$A:$A),MATCH(H$1,[1]characters!$2:$2,0)-MATCH($F$1,[1]characters!$2:$2,0)+1),MATCH(H$1,[1]characters!$2:$2,0)-MATCH($F$1,[1]characters!$2:$2,0)+1,FALSE)</f>
        <v>PremiumN</v>
      </c>
      <c r="I28" s="10">
        <f ca="1">VLOOKUP($F28,OFFSET([1]characters!$A$2,0,0,COUNTA([1]characters!$A:$A),MATCH(I$1,[1]characters!$2:$2,0)-MATCH($F$1,[1]characters!$2:$2,0)+1),MATCH(I$1,[1]characters!$2:$2,0)-MATCH($F$1,[1]characters!$2:$2,0)+1,FALSE)</f>
        <v>4</v>
      </c>
      <c r="J28" s="10" t="str">
        <f ca="1">VLOOKUP($F28,OFFSET([1]characters!$A$2,0,0,COUNTA([1]characters!$A:$A),MATCH(J$1,[1]characters!$2:$2,0)-MATCH($F$1,[1]characters!$2:$2,0)+1),MATCH(J$1,[1]characters!$2:$2,0)-MATCH($F$1,[1]characters!$2:$2,0)+1,FALSE)</f>
        <v>blue</v>
      </c>
      <c r="K28" s="10" t="str">
        <f ca="1">VLOOKUP($F28,OFFSET([1]characters!$A$2,0,0,COUNTA([1]characters!$A:$A),MATCH("タイプ",[1]characters!$1:$1,0)-MATCH($F$1,[1]characters!$2:$2,0)+2),MATCH("タイプ",[1]characters!$1:$1,0)-MATCH($F$1,[1]characters!$2:$2,0)+2,FALSE)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8" s="10" t="str">
        <f ca="1">VLOOKUP($F28,OFFSET([1]characters!$A$2,0,0,COUNTA([1]characters!$A:$A),MATCH($L$1,[1]characters!$1:$1,0)-MATCH($F$1,[1]characters!$2:$2,0)+2),MATCH($L$1,[1]characters!$1:$1,0)-MATCH($F$1,[1]characters!$2:$2,0)+2,FALSE)</f>
        <v>アニマル</v>
      </c>
      <c r="M28" s="6">
        <v>1</v>
      </c>
      <c r="N28" s="40">
        <f ca="1">VLOOKUP(D28,gacha_133_base!A:B,2,FALSE)</f>
        <v>2076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133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VLOOKUP($F29,OFFSET([1]characters!$A$2,0,0,COUNTA([1]characters!$A:$A),MATCH(G$1,[1]characters!$2:$2,0)-MATCH($F$1,[1]characters!$2:$2,0)+1),MATCH(G$1,[1]characters!$2:$2,0)-MATCH($F$1,[1]characters!$2:$2,0)+1,FALSE)</f>
        <v>猛禽 ホルス</v>
      </c>
      <c r="H29" s="10" t="str">
        <f ca="1">VLOOKUP($F29,OFFSET([1]characters!$A$2,0,0,COUNTA([1]characters!$A:$A),MATCH(H$1,[1]characters!$2:$2,0)-MATCH($F$1,[1]characters!$2:$2,0)+1),MATCH(H$1,[1]characters!$2:$2,0)-MATCH($F$1,[1]characters!$2:$2,0)+1,FALSE)</f>
        <v>PremiumN</v>
      </c>
      <c r="I29" s="10">
        <f ca="1">VLOOKUP($F29,OFFSET([1]characters!$A$2,0,0,COUNTA([1]characters!$A:$A),MATCH(I$1,[1]characters!$2:$2,0)-MATCH($F$1,[1]characters!$2:$2,0)+1),MATCH(I$1,[1]characters!$2:$2,0)-MATCH($F$1,[1]characters!$2:$2,0)+1,FALSE)</f>
        <v>4</v>
      </c>
      <c r="J29" s="10" t="str">
        <f ca="1">VLOOKUP($F29,OFFSET([1]characters!$A$2,0,0,COUNTA([1]characters!$A:$A),MATCH(J$1,[1]characters!$2:$2,0)-MATCH($F$1,[1]characters!$2:$2,0)+1),MATCH(J$1,[1]characters!$2:$2,0)-MATCH($F$1,[1]characters!$2:$2,0)+1,FALSE)</f>
        <v>yellow</v>
      </c>
      <c r="K29" s="10" t="str">
        <f ca="1">VLOOKUP($F29,OFFSET([1]characters!$A$2,0,0,COUNTA([1]characters!$A:$A),MATCH("タイプ",[1]characters!$1:$1,0)-MATCH($F$1,[1]characters!$2:$2,0)+2),MATCH("タイプ",[1]characters!$1:$1,0)-MATCH($F$1,[1]characters!$2:$2,0)+2,FALSE)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9" s="10" t="str">
        <f ca="1">VLOOKUP($F29,OFFSET([1]characters!$A$2,0,0,COUNTA([1]characters!$A:$A),MATCH($L$1,[1]characters!$1:$1,0)-MATCH($F$1,[1]characters!$2:$2,0)+2),MATCH($L$1,[1]characters!$1:$1,0)-MATCH($F$1,[1]characters!$2:$2,0)+2,FALSE)</f>
        <v>アニマル</v>
      </c>
      <c r="M29" s="6">
        <v>1</v>
      </c>
      <c r="N29" s="40">
        <f ca="1">VLOOKUP(D29,gacha_133_base!A:B,2,FALSE)</f>
        <v>2076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133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VLOOKUP($F30,OFFSET([1]characters!$A$2,0,0,COUNTA([1]characters!$A:$A),MATCH(G$1,[1]characters!$2:$2,0)-MATCH($F$1,[1]characters!$2:$2,0)+1),MATCH(G$1,[1]characters!$2:$2,0)-MATCH($F$1,[1]characters!$2:$2,0)+1,FALSE)</f>
        <v>始祖 卑弥呼</v>
      </c>
      <c r="H30" s="10" t="str">
        <f ca="1">VLOOKUP($F30,OFFSET([1]characters!$A$2,0,0,COUNTA([1]characters!$A:$A),MATCH(H$1,[1]characters!$2:$2,0)-MATCH($F$1,[1]characters!$2:$2,0)+1),MATCH(H$1,[1]characters!$2:$2,0)-MATCH($F$1,[1]characters!$2:$2,0)+1,FALSE)</f>
        <v>PremiumN</v>
      </c>
      <c r="I30" s="10">
        <f ca="1">VLOOKUP($F30,OFFSET([1]characters!$A$2,0,0,COUNTA([1]characters!$A:$A),MATCH(I$1,[1]characters!$2:$2,0)-MATCH($F$1,[1]characters!$2:$2,0)+1),MATCH(I$1,[1]characters!$2:$2,0)-MATCH($F$1,[1]characters!$2:$2,0)+1,FALSE)</f>
        <v>4</v>
      </c>
      <c r="J30" s="10" t="str">
        <f ca="1">VLOOKUP($F30,OFFSET([1]characters!$A$2,0,0,COUNTA([1]characters!$A:$A),MATCH(J$1,[1]characters!$2:$2,0)-MATCH($F$1,[1]characters!$2:$2,0)+1),MATCH(J$1,[1]characters!$2:$2,0)-MATCH($F$1,[1]characters!$2:$2,0)+1,FALSE)</f>
        <v>red</v>
      </c>
      <c r="K30" s="10" t="str">
        <f ca="1">VLOOKUP($F30,OFFSET([1]characters!$A$2,0,0,COUNTA([1]characters!$A:$A),MATCH("タイプ",[1]characters!$1:$1,0)-MATCH($F$1,[1]characters!$2:$2,0)+2),MATCH("タイプ",[1]characters!$1:$1,0)-MATCH($F$1,[1]characters!$2:$2,0)+2,FALSE)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0" s="10" t="str">
        <f ca="1">VLOOKUP($F30,OFFSET([1]characters!$A$2,0,0,COUNTA([1]characters!$A:$A),MATCH($L$1,[1]characters!$1:$1,0)-MATCH($F$1,[1]characters!$2:$2,0)+2),MATCH($L$1,[1]characters!$1:$1,0)-MATCH($F$1,[1]characters!$2:$2,0)+2,FALSE)</f>
        <v>ヒューマン</v>
      </c>
      <c r="M30" s="6">
        <v>1</v>
      </c>
      <c r="N30" s="40">
        <f ca="1">VLOOKUP(D30,gacha_133_base!A:B,2,FALSE)</f>
        <v>2076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133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31" s="10" t="str">
        <f ca="1">VLOOKUP($F31,OFFSET([1]characters!$A$2,0,0,COUNTA([1]characters!$A:$A),MATCH(H$1,[1]characters!$2:$2,0)-MATCH($F$1,[1]characters!$2:$2,0)+1),MATCH(H$1,[1]characters!$2:$2,0)-MATCH($F$1,[1]characters!$2:$2,0)+1,FALSE)</f>
        <v>PremiumN</v>
      </c>
      <c r="I31" s="10">
        <f ca="1">VLOOKUP($F31,OFFSET([1]characters!$A$2,0,0,COUNTA([1]characters!$A:$A),MATCH(I$1,[1]characters!$2:$2,0)-MATCH($F$1,[1]characters!$2:$2,0)+1),MATCH(I$1,[1]characters!$2:$2,0)-MATCH($F$1,[1]characters!$2:$2,0)+1,FALSE)</f>
        <v>4</v>
      </c>
      <c r="J31" s="10" t="str">
        <f ca="1">VLOOKUP($F31,OFFSET([1]characters!$A$2,0,0,COUNTA([1]characters!$A:$A),MATCH(J$1,[1]characters!$2:$2,0)-MATCH($F$1,[1]characters!$2:$2,0)+1),MATCH(J$1,[1]characters!$2:$2,0)-MATCH($F$1,[1]characters!$2:$2,0)+1,FALSE)</f>
        <v>green</v>
      </c>
      <c r="K31" s="10" t="str">
        <f ca="1">VLOOKUP($F31,OFFSET([1]characters!$A$2,0,0,COUNTA([1]characters!$A:$A),MATCH("タイプ",[1]characters!$1:$1,0)-MATCH($F$1,[1]characters!$2:$2,0)+2),MATCH("タイプ",[1]characters!$1:$1,0)-MATCH($F$1,[1]characters!$2:$2,0)+2,FALSE)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1" s="10" t="str">
        <f ca="1">VLOOKUP($F31,OFFSET([1]characters!$A$2,0,0,COUNTA([1]characters!$A:$A),MATCH($L$1,[1]characters!$1:$1,0)-MATCH($F$1,[1]characters!$2:$2,0)+2),MATCH($L$1,[1]characters!$1:$1,0)-MATCH($F$1,[1]characters!$2:$2,0)+2,FALSE)</f>
        <v>ヒューマン</v>
      </c>
      <c r="M31" s="6">
        <v>1</v>
      </c>
      <c r="N31" s="40">
        <f ca="1">VLOOKUP(D31,gacha_133_base!A:B,2,FALSE)</f>
        <v>2076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133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VLOOKUP($F32,OFFSET([1]characters!$A$2,0,0,COUNTA([1]characters!$A:$A),MATCH(G$1,[1]characters!$2:$2,0)-MATCH($F$1,[1]characters!$2:$2,0)+1),MATCH(G$1,[1]characters!$2:$2,0)-MATCH($F$1,[1]characters!$2:$2,0)+1,FALSE)</f>
        <v>鉄腕 アキレス</v>
      </c>
      <c r="H32" s="10" t="str">
        <f ca="1">VLOOKUP($F32,OFFSET([1]characters!$A$2,0,0,COUNTA([1]characters!$A:$A),MATCH(H$1,[1]characters!$2:$2,0)-MATCH($F$1,[1]characters!$2:$2,0)+1),MATCH(H$1,[1]characters!$2:$2,0)-MATCH($F$1,[1]characters!$2:$2,0)+1,FALSE)</f>
        <v>PremiumN</v>
      </c>
      <c r="I32" s="10">
        <f ca="1">VLOOKUP($F32,OFFSET([1]characters!$A$2,0,0,COUNTA([1]characters!$A:$A),MATCH(I$1,[1]characters!$2:$2,0)-MATCH($F$1,[1]characters!$2:$2,0)+1),MATCH(I$1,[1]characters!$2:$2,0)-MATCH($F$1,[1]characters!$2:$2,0)+1,FALSE)</f>
        <v>4</v>
      </c>
      <c r="J32" s="10" t="str">
        <f ca="1">VLOOKUP($F32,OFFSET([1]characters!$A$2,0,0,COUNTA([1]characters!$A:$A),MATCH(J$1,[1]characters!$2:$2,0)-MATCH($F$1,[1]characters!$2:$2,0)+1),MATCH(J$1,[1]characters!$2:$2,0)-MATCH($F$1,[1]characters!$2:$2,0)+1,FALSE)</f>
        <v>yellow</v>
      </c>
      <c r="K32" s="10" t="str">
        <f ca="1">VLOOKUP($F32,OFFSET([1]characters!$A$2,0,0,COUNTA([1]characters!$A:$A),MATCH("タイプ",[1]characters!$1:$1,0)-MATCH($F$1,[1]characters!$2:$2,0)+2),MATCH("タイプ",[1]characters!$1:$1,0)-MATCH($F$1,[1]characters!$2:$2,0)+2,FALSE)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2" s="10" t="str">
        <f ca="1">VLOOKUP($F32,OFFSET([1]characters!$A$2,0,0,COUNTA([1]characters!$A:$A),MATCH($L$1,[1]characters!$1:$1,0)-MATCH($F$1,[1]characters!$2:$2,0)+2),MATCH($L$1,[1]characters!$1:$1,0)-MATCH($F$1,[1]characters!$2:$2,0)+2,FALSE)</f>
        <v>ヒューマン</v>
      </c>
      <c r="M32" s="6">
        <v>1</v>
      </c>
      <c r="N32" s="40">
        <f ca="1">VLOOKUP(D32,gacha_133_base!A:B,2,FALSE)</f>
        <v>2076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133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33" s="10" t="str">
        <f ca="1">VLOOKUP($F33,OFFSET([1]characters!$A$2,0,0,COUNTA([1]characters!$A:$A),MATCH(H$1,[1]characters!$2:$2,0)-MATCH($F$1,[1]characters!$2:$2,0)+1),MATCH(H$1,[1]characters!$2:$2,0)-MATCH($F$1,[1]characters!$2:$2,0)+1,FALSE)</f>
        <v>PremiumN</v>
      </c>
      <c r="I33" s="10">
        <f ca="1">VLOOKUP($F33,OFFSET([1]characters!$A$2,0,0,COUNTA([1]characters!$A:$A),MATCH(I$1,[1]characters!$2:$2,0)-MATCH($F$1,[1]characters!$2:$2,0)+1),MATCH(I$1,[1]characters!$2:$2,0)-MATCH($F$1,[1]characters!$2:$2,0)+1,FALSE)</f>
        <v>4</v>
      </c>
      <c r="J33" s="10" t="str">
        <f ca="1">VLOOKUP($F33,OFFSET([1]characters!$A$2,0,0,COUNTA([1]characters!$A:$A),MATCH(J$1,[1]characters!$2:$2,0)-MATCH($F$1,[1]characters!$2:$2,0)+1),MATCH(J$1,[1]characters!$2:$2,0)-MATCH($F$1,[1]characters!$2:$2,0)+1,FALSE)</f>
        <v>blue</v>
      </c>
      <c r="K33" s="10" t="str">
        <f ca="1">VLOOKUP($F33,OFFSET([1]characters!$A$2,0,0,COUNTA([1]characters!$A:$A),MATCH("タイプ",[1]characters!$1:$1,0)-MATCH($F$1,[1]characters!$2:$2,0)+2),MATCH("タイプ",[1]characters!$1:$1,0)-MATCH($F$1,[1]characters!$2:$2,0)+2,FALSE)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3" s="10" t="str">
        <f ca="1">VLOOKUP($F33,OFFSET([1]characters!$A$2,0,0,COUNTA([1]characters!$A:$A),MATCH($L$1,[1]characters!$1:$1,0)-MATCH($F$1,[1]characters!$2:$2,0)+2),MATCH($L$1,[1]characters!$1:$1,0)-MATCH($F$1,[1]characters!$2:$2,0)+2,FALSE)</f>
        <v>ヒューマン</v>
      </c>
      <c r="M33" s="6">
        <v>1</v>
      </c>
      <c r="N33" s="40">
        <f ca="1">VLOOKUP(D33,gacha_133_base!A:B,2,FALSE)</f>
        <v>2076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133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VLOOKUP($F34,OFFSET([1]characters!$A$2,0,0,COUNTA([1]characters!$A:$A),MATCH(G$1,[1]characters!$2:$2,0)-MATCH($F$1,[1]characters!$2:$2,0)+1),MATCH(G$1,[1]characters!$2:$2,0)-MATCH($F$1,[1]characters!$2:$2,0)+1,FALSE)</f>
        <v>焔神 プロメテウス</v>
      </c>
      <c r="H34" s="10" t="str">
        <f ca="1">VLOOKUP($F34,OFFSET([1]characters!$A$2,0,0,COUNTA([1]characters!$A:$A),MATCH(H$1,[1]characters!$2:$2,0)-MATCH($F$1,[1]characters!$2:$2,0)+1),MATCH(H$1,[1]characters!$2:$2,0)-MATCH($F$1,[1]characters!$2:$2,0)+1,FALSE)</f>
        <v>PremiumN</v>
      </c>
      <c r="I34" s="10">
        <f ca="1">VLOOKUP($F34,OFFSET([1]characters!$A$2,0,0,COUNTA([1]characters!$A:$A),MATCH(I$1,[1]characters!$2:$2,0)-MATCH($F$1,[1]characters!$2:$2,0)+1),MATCH(I$1,[1]characters!$2:$2,0)-MATCH($F$1,[1]characters!$2:$2,0)+1,FALSE)</f>
        <v>4</v>
      </c>
      <c r="J34" s="10" t="str">
        <f ca="1">VLOOKUP($F34,OFFSET([1]characters!$A$2,0,0,COUNTA([1]characters!$A:$A),MATCH(J$1,[1]characters!$2:$2,0)-MATCH($F$1,[1]characters!$2:$2,0)+1),MATCH(J$1,[1]characters!$2:$2,0)-MATCH($F$1,[1]characters!$2:$2,0)+1,FALSE)</f>
        <v>red</v>
      </c>
      <c r="K34" s="10" t="str">
        <f ca="1">VLOOKUP($F34,OFFSET([1]characters!$A$2,0,0,COUNTA([1]characters!$A:$A),MATCH("タイプ",[1]characters!$1:$1,0)-MATCH($F$1,[1]characters!$2:$2,0)+2),MATCH("タイプ",[1]characters!$1:$1,0)-MATCH($F$1,[1]characters!$2:$2,0)+2,FALSE)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4" s="10" t="str">
        <f ca="1">VLOOKUP($F34,OFFSET([1]characters!$A$2,0,0,COUNTA([1]characters!$A:$A),MATCH($L$1,[1]characters!$1:$1,0)-MATCH($F$1,[1]characters!$2:$2,0)+2),MATCH($L$1,[1]characters!$1:$1,0)-MATCH($F$1,[1]characters!$2:$2,0)+2,FALSE)</f>
        <v>ゴッド</v>
      </c>
      <c r="M34" s="6">
        <v>1</v>
      </c>
      <c r="N34" s="40">
        <f ca="1">VLOOKUP(D34,gacha_133_base!A:B,2,FALSE)</f>
        <v>2076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133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VLOOKUP($F35,OFFSET([1]characters!$A$2,0,0,COUNTA([1]characters!$A:$A),MATCH(G$1,[1]characters!$2:$2,0)-MATCH($F$1,[1]characters!$2:$2,0)+1),MATCH(G$1,[1]characters!$2:$2,0)-MATCH($F$1,[1]characters!$2:$2,0)+1,FALSE)</f>
        <v>美神 アフロディーテ</v>
      </c>
      <c r="H35" s="10" t="str">
        <f ca="1">VLOOKUP($F35,OFFSET([1]characters!$A$2,0,0,COUNTA([1]characters!$A:$A),MATCH(H$1,[1]characters!$2:$2,0)-MATCH($F$1,[1]characters!$2:$2,0)+1),MATCH(H$1,[1]characters!$2:$2,0)-MATCH($F$1,[1]characters!$2:$2,0)+1,FALSE)</f>
        <v>PremiumN</v>
      </c>
      <c r="I35" s="10">
        <f ca="1">VLOOKUP($F35,OFFSET([1]characters!$A$2,0,0,COUNTA([1]characters!$A:$A),MATCH(I$1,[1]characters!$2:$2,0)-MATCH($F$1,[1]characters!$2:$2,0)+1),MATCH(I$1,[1]characters!$2:$2,0)-MATCH($F$1,[1]characters!$2:$2,0)+1,FALSE)</f>
        <v>4</v>
      </c>
      <c r="J35" s="10" t="str">
        <f ca="1">VLOOKUP($F35,OFFSET([1]characters!$A$2,0,0,COUNTA([1]characters!$A:$A),MATCH(J$1,[1]characters!$2:$2,0)-MATCH($F$1,[1]characters!$2:$2,0)+1),MATCH(J$1,[1]characters!$2:$2,0)-MATCH($F$1,[1]characters!$2:$2,0)+1,FALSE)</f>
        <v>green</v>
      </c>
      <c r="K35" s="10" t="str">
        <f ca="1">VLOOKUP($F35,OFFSET([1]characters!$A$2,0,0,COUNTA([1]characters!$A:$A),MATCH("タイプ",[1]characters!$1:$1,0)-MATCH($F$1,[1]characters!$2:$2,0)+2),MATCH("タイプ",[1]characters!$1:$1,0)-MATCH($F$1,[1]characters!$2:$2,0)+2,FALSE)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5" s="10" t="str">
        <f ca="1">VLOOKUP($F35,OFFSET([1]characters!$A$2,0,0,COUNTA([1]characters!$A:$A),MATCH($L$1,[1]characters!$1:$1,0)-MATCH($F$1,[1]characters!$2:$2,0)+2),MATCH($L$1,[1]characters!$1:$1,0)-MATCH($F$1,[1]characters!$2:$2,0)+2,FALSE)</f>
        <v>ゴッド</v>
      </c>
      <c r="M35" s="6">
        <v>1</v>
      </c>
      <c r="N35" s="40">
        <f ca="1">VLOOKUP(D35,gacha_133_base!A:B,2,FALSE)</f>
        <v>2076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133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VLOOKUP($F36,OFFSET([1]characters!$A$2,0,0,COUNTA([1]characters!$A:$A),MATCH(G$1,[1]characters!$2:$2,0)-MATCH($F$1,[1]characters!$2:$2,0)+1),MATCH(G$1,[1]characters!$2:$2,0)-MATCH($F$1,[1]characters!$2:$2,0)+1,FALSE)</f>
        <v>孤神 テティス</v>
      </c>
      <c r="H36" s="10" t="str">
        <f ca="1">VLOOKUP($F36,OFFSET([1]characters!$A$2,0,0,COUNTA([1]characters!$A:$A),MATCH(H$1,[1]characters!$2:$2,0)-MATCH($F$1,[1]characters!$2:$2,0)+1),MATCH(H$1,[1]characters!$2:$2,0)-MATCH($F$1,[1]characters!$2:$2,0)+1,FALSE)</f>
        <v>PremiumN</v>
      </c>
      <c r="I36" s="10">
        <f ca="1">VLOOKUP($F36,OFFSET([1]characters!$A$2,0,0,COUNTA([1]characters!$A:$A),MATCH(I$1,[1]characters!$2:$2,0)-MATCH($F$1,[1]characters!$2:$2,0)+1),MATCH(I$1,[1]characters!$2:$2,0)-MATCH($F$1,[1]characters!$2:$2,0)+1,FALSE)</f>
        <v>4</v>
      </c>
      <c r="J36" s="10" t="str">
        <f ca="1">VLOOKUP($F36,OFFSET([1]characters!$A$2,0,0,COUNTA([1]characters!$A:$A),MATCH(J$1,[1]characters!$2:$2,0)-MATCH($F$1,[1]characters!$2:$2,0)+1),MATCH(J$1,[1]characters!$2:$2,0)-MATCH($F$1,[1]characters!$2:$2,0)+1,FALSE)</f>
        <v>blue</v>
      </c>
      <c r="K36" s="10" t="str">
        <f ca="1">VLOOKUP($F36,OFFSET([1]characters!$A$2,0,0,COUNTA([1]characters!$A:$A),MATCH("タイプ",[1]characters!$1:$1,0)-MATCH($F$1,[1]characters!$2:$2,0)+2),MATCH("タイプ",[1]characters!$1:$1,0)-MATCH($F$1,[1]characters!$2:$2,0)+2,FALSE)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6" s="10" t="str">
        <f ca="1">VLOOKUP($F36,OFFSET([1]characters!$A$2,0,0,COUNTA([1]characters!$A:$A),MATCH($L$1,[1]characters!$1:$1,0)-MATCH($F$1,[1]characters!$2:$2,0)+2),MATCH($L$1,[1]characters!$1:$1,0)-MATCH($F$1,[1]characters!$2:$2,0)+2,FALSE)</f>
        <v>ゴッド</v>
      </c>
      <c r="M36" s="6">
        <v>1</v>
      </c>
      <c r="N36" s="40">
        <f ca="1">VLOOKUP(D36,gacha_133_base!A:B,2,FALSE)</f>
        <v>2076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133</v>
      </c>
      <c r="C37" s="10" t="str">
        <f t="shared" ca="1" si="1"/>
        <v>1PremiumN4</v>
      </c>
      <c r="D37" s="10" t="str">
        <f t="shared" ca="1" si="2"/>
        <v>1PremiumN4</v>
      </c>
      <c r="E37" s="6">
        <v>1</v>
      </c>
      <c r="F37" s="7">
        <v>212</v>
      </c>
      <c r="G37" s="10" t="str">
        <f ca="1">VLOOKUP($F37,OFFSET([1]characters!$A$2,0,0,COUNTA([1]characters!$A:$A),MATCH(G$1,[1]characters!$2:$2,0)-MATCH($F$1,[1]characters!$2:$2,0)+1),MATCH(G$1,[1]characters!$2:$2,0)-MATCH($F$1,[1]characters!$2:$2,0)+1,FALSE)</f>
        <v>星神 アストライアー</v>
      </c>
      <c r="H37" s="10" t="str">
        <f ca="1">VLOOKUP($F37,OFFSET([1]characters!$A$2,0,0,COUNTA([1]characters!$A:$A),MATCH(H$1,[1]characters!$2:$2,0)-MATCH($F$1,[1]characters!$2:$2,0)+1),MATCH(H$1,[1]characters!$2:$2,0)-MATCH($F$1,[1]characters!$2:$2,0)+1,FALSE)</f>
        <v>PremiumN</v>
      </c>
      <c r="I37" s="10">
        <f ca="1">VLOOKUP($F37,OFFSET([1]characters!$A$2,0,0,COUNTA([1]characters!$A:$A),MATCH(I$1,[1]characters!$2:$2,0)-MATCH($F$1,[1]characters!$2:$2,0)+1),MATCH(I$1,[1]characters!$2:$2,0)-MATCH($F$1,[1]characters!$2:$2,0)+1,FALSE)</f>
        <v>4</v>
      </c>
      <c r="J37" s="10" t="str">
        <f ca="1">VLOOKUP($F37,OFFSET([1]characters!$A$2,0,0,COUNTA([1]characters!$A:$A),MATCH(J$1,[1]characters!$2:$2,0)-MATCH($F$1,[1]characters!$2:$2,0)+1),MATCH(J$1,[1]characters!$2:$2,0)-MATCH($F$1,[1]characters!$2:$2,0)+1,FALSE)</f>
        <v>yellow</v>
      </c>
      <c r="K37" s="10" t="str">
        <f ca="1">VLOOKUP($F37,OFFSET([1]characters!$A$2,0,0,COUNTA([1]characters!$A:$A),MATCH("タイプ",[1]characters!$1:$1,0)-MATCH($F$1,[1]characters!$2:$2,0)+2),MATCH("タイプ",[1]characters!$1:$1,0)-MATCH($F$1,[1]characters!$2:$2,0)+2,FALSE)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7" s="10" t="str">
        <f ca="1">VLOOKUP($F37,OFFSET([1]characters!$A$2,0,0,COUNTA([1]characters!$A:$A),MATCH($L$1,[1]characters!$1:$1,0)-MATCH($F$1,[1]characters!$2:$2,0)+2),MATCH($L$1,[1]characters!$1:$1,0)-MATCH($F$1,[1]characters!$2:$2,0)+2,FALSE)</f>
        <v>ゴッド</v>
      </c>
      <c r="M37" s="6">
        <v>1</v>
      </c>
      <c r="N37" s="40">
        <f ca="1">VLOOKUP(D37,gacha_133_base!A:B,2,FALSE)</f>
        <v>2076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133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VLOOKUP($F38,OFFSET([1]characters!$A$2,0,0,COUNTA([1]characters!$A:$A),MATCH(G$1,[1]characters!$2:$2,0)-MATCH($F$1,[1]characters!$2:$2,0)+1),MATCH(G$1,[1]characters!$2:$2,0)-MATCH($F$1,[1]characters!$2:$2,0)+1,FALSE)</f>
        <v>死導者 アズラエル</v>
      </c>
      <c r="H38" s="10" t="str">
        <f ca="1">VLOOKUP($F38,OFFSET([1]characters!$A$2,0,0,COUNTA([1]characters!$A:$A),MATCH(H$1,[1]characters!$2:$2,0)-MATCH($F$1,[1]characters!$2:$2,0)+1),MATCH(H$1,[1]characters!$2:$2,0)-MATCH($F$1,[1]characters!$2:$2,0)+1,FALSE)</f>
        <v>PremiumN</v>
      </c>
      <c r="I38" s="10">
        <f ca="1">VLOOKUP($F38,OFFSET([1]characters!$A$2,0,0,COUNTA([1]characters!$A:$A),MATCH(I$1,[1]characters!$2:$2,0)-MATCH($F$1,[1]characters!$2:$2,0)+1),MATCH(I$1,[1]characters!$2:$2,0)-MATCH($F$1,[1]characters!$2:$2,0)+1,FALSE)</f>
        <v>4</v>
      </c>
      <c r="J38" s="10" t="str">
        <f ca="1">VLOOKUP($F38,OFFSET([1]characters!$A$2,0,0,COUNTA([1]characters!$A:$A),MATCH(J$1,[1]characters!$2:$2,0)-MATCH($F$1,[1]characters!$2:$2,0)+1),MATCH(J$1,[1]characters!$2:$2,0)-MATCH($F$1,[1]characters!$2:$2,0)+1,FALSE)</f>
        <v>red</v>
      </c>
      <c r="K38" s="10" t="str">
        <f ca="1">VLOOKUP($F38,OFFSET([1]characters!$A$2,0,0,COUNTA([1]characters!$A:$A),MATCH("タイプ",[1]characters!$1:$1,0)-MATCH($F$1,[1]characters!$2:$2,0)+2),MATCH("タイプ",[1]characters!$1:$1,0)-MATCH($F$1,[1]characters!$2:$2,0)+2,FALSE)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8" s="10" t="str">
        <f ca="1">VLOOKUP($F38,OFFSET([1]characters!$A$2,0,0,COUNTA([1]characters!$A:$A),MATCH($L$1,[1]characters!$1:$1,0)-MATCH($F$1,[1]characters!$2:$2,0)+2),MATCH($L$1,[1]characters!$1:$1,0)-MATCH($F$1,[1]characters!$2:$2,0)+2,FALSE)</f>
        <v>ゴッド</v>
      </c>
      <c r="M38" s="6">
        <v>1</v>
      </c>
      <c r="N38" s="40">
        <f ca="1">VLOOKUP(D38,gacha_133_base!A:B,2,FALSE)</f>
        <v>2076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133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VLOOKUP($F39,OFFSET([1]characters!$A$2,0,0,COUNTA([1]characters!$A:$A),MATCH(G$1,[1]characters!$2:$2,0)-MATCH($F$1,[1]characters!$2:$2,0)+1),MATCH(G$1,[1]characters!$2:$2,0)-MATCH($F$1,[1]characters!$2:$2,0)+1,FALSE)</f>
        <v>聖蛇 ケツァクアトル</v>
      </c>
      <c r="H39" s="10" t="str">
        <f ca="1">VLOOKUP($F39,OFFSET([1]characters!$A$2,0,0,COUNTA([1]characters!$A:$A),MATCH(H$1,[1]characters!$2:$2,0)-MATCH($F$1,[1]characters!$2:$2,0)+1),MATCH(H$1,[1]characters!$2:$2,0)-MATCH($F$1,[1]characters!$2:$2,0)+1,FALSE)</f>
        <v>PremiumN</v>
      </c>
      <c r="I39" s="10">
        <f ca="1">VLOOKUP($F39,OFFSET([1]characters!$A$2,0,0,COUNTA([1]characters!$A:$A),MATCH(I$1,[1]characters!$2:$2,0)-MATCH($F$1,[1]characters!$2:$2,0)+1),MATCH(I$1,[1]characters!$2:$2,0)-MATCH($F$1,[1]characters!$2:$2,0)+1,FALSE)</f>
        <v>4</v>
      </c>
      <c r="J39" s="10" t="str">
        <f ca="1">VLOOKUP($F39,OFFSET([1]characters!$A$2,0,0,COUNTA([1]characters!$A:$A),MATCH(J$1,[1]characters!$2:$2,0)-MATCH($F$1,[1]characters!$2:$2,0)+1),MATCH(J$1,[1]characters!$2:$2,0)-MATCH($F$1,[1]characters!$2:$2,0)+1,FALSE)</f>
        <v>green</v>
      </c>
      <c r="K39" s="10" t="str">
        <f ca="1">VLOOKUP($F39,OFFSET([1]characters!$A$2,0,0,COUNTA([1]characters!$A:$A),MATCH("タイプ",[1]characters!$1:$1,0)-MATCH($F$1,[1]characters!$2:$2,0)+2),MATCH("タイプ",[1]characters!$1:$1,0)-MATCH($F$1,[1]characters!$2:$2,0)+2,FALSE)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9" s="10" t="str">
        <f ca="1">VLOOKUP($F39,OFFSET([1]characters!$A$2,0,0,COUNTA([1]characters!$A:$A),MATCH($L$1,[1]characters!$1:$1,0)-MATCH($F$1,[1]characters!$2:$2,0)+2),MATCH($L$1,[1]characters!$1:$1,0)-MATCH($F$1,[1]characters!$2:$2,0)+2,FALSE)</f>
        <v>ドラゴン</v>
      </c>
      <c r="M39" s="6">
        <v>1</v>
      </c>
      <c r="N39" s="40">
        <f ca="1">VLOOKUP(D39,gacha_133_base!A:B,2,FALSE)</f>
        <v>2076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133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VLOOKUP($F40,OFFSET([1]characters!$A$2,0,0,COUNTA([1]characters!$A:$A),MATCH(G$1,[1]characters!$2:$2,0)-MATCH($F$1,[1]characters!$2:$2,0)+1),MATCH(G$1,[1]characters!$2:$2,0)-MATCH($F$1,[1]characters!$2:$2,0)+1,FALSE)</f>
        <v>宰相 ルキフグス</v>
      </c>
      <c r="H40" s="10" t="str">
        <f ca="1">VLOOKUP($F40,OFFSET([1]characters!$A$2,0,0,COUNTA([1]characters!$A:$A),MATCH(H$1,[1]characters!$2:$2,0)-MATCH($F$1,[1]characters!$2:$2,0)+1),MATCH(H$1,[1]characters!$2:$2,0)-MATCH($F$1,[1]characters!$2:$2,0)+1,FALSE)</f>
        <v>PremiumN</v>
      </c>
      <c r="I40" s="10">
        <f ca="1">VLOOKUP($F40,OFFSET([1]characters!$A$2,0,0,COUNTA([1]characters!$A:$A),MATCH(I$1,[1]characters!$2:$2,0)-MATCH($F$1,[1]characters!$2:$2,0)+1),MATCH(I$1,[1]characters!$2:$2,0)-MATCH($F$1,[1]characters!$2:$2,0)+1,FALSE)</f>
        <v>4</v>
      </c>
      <c r="J40" s="10" t="str">
        <f ca="1">VLOOKUP($F40,OFFSET([1]characters!$A$2,0,0,COUNTA([1]characters!$A:$A),MATCH(J$1,[1]characters!$2:$2,0)-MATCH($F$1,[1]characters!$2:$2,0)+1),MATCH(J$1,[1]characters!$2:$2,0)-MATCH($F$1,[1]characters!$2:$2,0)+1,FALSE)</f>
        <v>blue</v>
      </c>
      <c r="K40" s="10" t="str">
        <f ca="1">VLOOKUP($F40,OFFSET([1]characters!$A$2,0,0,COUNTA([1]characters!$A:$A),MATCH("タイプ",[1]characters!$1:$1,0)-MATCH($F$1,[1]characters!$2:$2,0)+2),MATCH("タイプ",[1]characters!$1:$1,0)-MATCH($F$1,[1]characters!$2:$2,0)+2,FALSE)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0" s="10" t="str">
        <f ca="1">VLOOKUP($F40,OFFSET([1]characters!$A$2,0,0,COUNTA([1]characters!$A:$A),MATCH($L$1,[1]characters!$1:$1,0)-MATCH($F$1,[1]characters!$2:$2,0)+2),MATCH($L$1,[1]characters!$1:$1,0)-MATCH($F$1,[1]characters!$2:$2,0)+2,FALSE)</f>
        <v>ゴッド</v>
      </c>
      <c r="M40" s="6">
        <v>1</v>
      </c>
      <c r="N40" s="40">
        <f ca="1">VLOOKUP(D40,gacha_133_base!A:B,2,FALSE)</f>
        <v>2076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133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VLOOKUP($F41,OFFSET([1]characters!$A$2,0,0,COUNTA([1]characters!$A:$A),MATCH(G$1,[1]characters!$2:$2,0)-MATCH($F$1,[1]characters!$2:$2,0)+1),MATCH(G$1,[1]characters!$2:$2,0)-MATCH($F$1,[1]characters!$2:$2,0)+1,FALSE)</f>
        <v>巨腕 ヘラクレス</v>
      </c>
      <c r="H41" s="10" t="str">
        <f ca="1">VLOOKUP($F41,OFFSET([1]characters!$A$2,0,0,COUNTA([1]characters!$A:$A),MATCH(H$1,[1]characters!$2:$2,0)-MATCH($F$1,[1]characters!$2:$2,0)+1),MATCH(H$1,[1]characters!$2:$2,0)-MATCH($F$1,[1]characters!$2:$2,0)+1,FALSE)</f>
        <v>PremiumN</v>
      </c>
      <c r="I41" s="10">
        <f ca="1">VLOOKUP($F41,OFFSET([1]characters!$A$2,0,0,COUNTA([1]characters!$A:$A),MATCH(I$1,[1]characters!$2:$2,0)-MATCH($F$1,[1]characters!$2:$2,0)+1),MATCH(I$1,[1]characters!$2:$2,0)-MATCH($F$1,[1]characters!$2:$2,0)+1,FALSE)</f>
        <v>4</v>
      </c>
      <c r="J41" s="10" t="str">
        <f ca="1">VLOOKUP($F41,OFFSET([1]characters!$A$2,0,0,COUNTA([1]characters!$A:$A),MATCH(J$1,[1]characters!$2:$2,0)-MATCH($F$1,[1]characters!$2:$2,0)+1),MATCH(J$1,[1]characters!$2:$2,0)-MATCH($F$1,[1]characters!$2:$2,0)+1,FALSE)</f>
        <v>yellow</v>
      </c>
      <c r="K41" s="10" t="str">
        <f ca="1">VLOOKUP($F41,OFFSET([1]characters!$A$2,0,0,COUNTA([1]characters!$A:$A),MATCH("タイプ",[1]characters!$1:$1,0)-MATCH($F$1,[1]characters!$2:$2,0)+2),MATCH("タイプ",[1]characters!$1:$1,0)-MATCH($F$1,[1]characters!$2:$2,0)+2,FALSE)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1" s="10" t="str">
        <f ca="1">VLOOKUP($F41,OFFSET([1]characters!$A$2,0,0,COUNTA([1]characters!$A:$A),MATCH($L$1,[1]characters!$1:$1,0)-MATCH($F$1,[1]characters!$2:$2,0)+2),MATCH($L$1,[1]characters!$1:$1,0)-MATCH($F$1,[1]characters!$2:$2,0)+2,FALSE)</f>
        <v>ヒューマン</v>
      </c>
      <c r="M41" s="6">
        <v>1</v>
      </c>
      <c r="N41" s="40">
        <f ca="1">VLOOKUP(D41,gacha_133_base!A:B,2,FALSE)</f>
        <v>2076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133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VLOOKUP($F42,OFFSET([1]characters!$A$2,0,0,COUNTA([1]characters!$A:$A),MATCH(G$1,[1]characters!$2:$2,0)-MATCH($F$1,[1]characters!$2:$2,0)+1),MATCH(G$1,[1]characters!$2:$2,0)-MATCH($F$1,[1]characters!$2:$2,0)+1,FALSE)</f>
        <v>滅弾 アレス</v>
      </c>
      <c r="H42" s="10" t="str">
        <f ca="1">VLOOKUP($F42,OFFSET([1]characters!$A$2,0,0,COUNTA([1]characters!$A:$A),MATCH(H$1,[1]characters!$2:$2,0)-MATCH($F$1,[1]characters!$2:$2,0)+1),MATCH(H$1,[1]characters!$2:$2,0)-MATCH($F$1,[1]characters!$2:$2,0)+1,FALSE)</f>
        <v>PremiumS</v>
      </c>
      <c r="I42" s="10">
        <f ca="1">VLOOKUP($F42,OFFSET([1]characters!$A$2,0,0,COUNTA([1]characters!$A:$A),MATCH(I$1,[1]characters!$2:$2,0)-MATCH($F$1,[1]characters!$2:$2,0)+1),MATCH(I$1,[1]characters!$2:$2,0)-MATCH($F$1,[1]characters!$2:$2,0)+1,FALSE)</f>
        <v>4</v>
      </c>
      <c r="J42" s="10" t="str">
        <f ca="1">VLOOKUP($F42,OFFSET([1]characters!$A$2,0,0,COUNTA([1]characters!$A:$A),MATCH(J$1,[1]characters!$2:$2,0)-MATCH($F$1,[1]characters!$2:$2,0)+1),MATCH(J$1,[1]characters!$2:$2,0)-MATCH($F$1,[1]characters!$2:$2,0)+1,FALSE)</f>
        <v>red</v>
      </c>
      <c r="K42" s="10" t="str">
        <f ca="1">VLOOKUP($F42,OFFSET([1]characters!$A$2,0,0,COUNTA([1]characters!$A:$A),MATCH("タイプ",[1]characters!$1:$1,0)-MATCH($F$1,[1]characters!$2:$2,0)+2),MATCH("タイプ",[1]characters!$1:$1,0)-MATCH($F$1,[1]characters!$2:$2,0)+2,FALSE)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2" s="10" t="str">
        <f ca="1">VLOOKUP($F42,OFFSET([1]characters!$A$2,0,0,COUNTA([1]characters!$A:$A),MATCH($L$1,[1]characters!$1:$1,0)-MATCH($F$1,[1]characters!$2:$2,0)+2),MATCH($L$1,[1]characters!$1:$1,0)-MATCH($F$1,[1]characters!$2:$2,0)+2,FALSE)</f>
        <v>ゴッド</v>
      </c>
      <c r="M42" s="6">
        <v>1</v>
      </c>
      <c r="N42" s="40">
        <f ca="1">VLOOKUP(D42,gacha_133_base!A:B,2,FALSE)</f>
        <v>200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133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VLOOKUP($F43,OFFSET([1]characters!$A$2,0,0,COUNTA([1]characters!$A:$A),MATCH(G$1,[1]characters!$2:$2,0)-MATCH($F$1,[1]characters!$2:$2,0)+1),MATCH(G$1,[1]characters!$2:$2,0)-MATCH($F$1,[1]characters!$2:$2,0)+1,FALSE)</f>
        <v>毒銃 ヨルムンガンド</v>
      </c>
      <c r="H43" s="10" t="str">
        <f ca="1">VLOOKUP($F43,OFFSET([1]characters!$A$2,0,0,COUNTA([1]characters!$A:$A),MATCH(H$1,[1]characters!$2:$2,0)-MATCH($F$1,[1]characters!$2:$2,0)+1),MATCH(H$1,[1]characters!$2:$2,0)-MATCH($F$1,[1]characters!$2:$2,0)+1,FALSE)</f>
        <v>PremiumS</v>
      </c>
      <c r="I43" s="10">
        <f ca="1">VLOOKUP($F43,OFFSET([1]characters!$A$2,0,0,COUNTA([1]characters!$A:$A),MATCH(I$1,[1]characters!$2:$2,0)-MATCH($F$1,[1]characters!$2:$2,0)+1),MATCH(I$1,[1]characters!$2:$2,0)-MATCH($F$1,[1]characters!$2:$2,0)+1,FALSE)</f>
        <v>4</v>
      </c>
      <c r="J43" s="10" t="str">
        <f ca="1">VLOOKUP($F43,OFFSET([1]characters!$A$2,0,0,COUNTA([1]characters!$A:$A),MATCH(J$1,[1]characters!$2:$2,0)-MATCH($F$1,[1]characters!$2:$2,0)+1),MATCH(J$1,[1]characters!$2:$2,0)-MATCH($F$1,[1]characters!$2:$2,0)+1,FALSE)</f>
        <v>green</v>
      </c>
      <c r="K43" s="10" t="str">
        <f ca="1">VLOOKUP($F43,OFFSET([1]characters!$A$2,0,0,COUNTA([1]characters!$A:$A),MATCH("タイプ",[1]characters!$1:$1,0)-MATCH($F$1,[1]characters!$2:$2,0)+2),MATCH("タイプ",[1]characters!$1:$1,0)-MATCH($F$1,[1]characters!$2:$2,0)+2,FALSE)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3" s="10" t="str">
        <f ca="1">VLOOKUP($F43,OFFSET([1]characters!$A$2,0,0,COUNTA([1]characters!$A:$A),MATCH($L$1,[1]characters!$1:$1,0)-MATCH($F$1,[1]characters!$2:$2,0)+2),MATCH($L$1,[1]characters!$1:$1,0)-MATCH($F$1,[1]characters!$2:$2,0)+2,FALSE)</f>
        <v>ドラゴン</v>
      </c>
      <c r="M43" s="6">
        <v>1</v>
      </c>
      <c r="N43" s="40">
        <f ca="1">VLOOKUP(D43,gacha_133_base!A:B,2,FALSE)</f>
        <v>200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133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VLOOKUP($F44,OFFSET([1]characters!$A$2,0,0,COUNTA([1]characters!$A:$A),MATCH(G$1,[1]characters!$2:$2,0)-MATCH($F$1,[1]characters!$2:$2,0)+1),MATCH(G$1,[1]characters!$2:$2,0)-MATCH($F$1,[1]characters!$2:$2,0)+1,FALSE)</f>
        <v>遂行 パーシヴァル</v>
      </c>
      <c r="H44" s="10" t="str">
        <f ca="1">VLOOKUP($F44,OFFSET([1]characters!$A$2,0,0,COUNTA([1]characters!$A:$A),MATCH(H$1,[1]characters!$2:$2,0)-MATCH($F$1,[1]characters!$2:$2,0)+1),MATCH(H$1,[1]characters!$2:$2,0)-MATCH($F$1,[1]characters!$2:$2,0)+1,FALSE)</f>
        <v>PremiumS</v>
      </c>
      <c r="I44" s="10">
        <f ca="1">VLOOKUP($F44,OFFSET([1]characters!$A$2,0,0,COUNTA([1]characters!$A:$A),MATCH(I$1,[1]characters!$2:$2,0)-MATCH($F$1,[1]characters!$2:$2,0)+1),MATCH(I$1,[1]characters!$2:$2,0)-MATCH($F$1,[1]characters!$2:$2,0)+1,FALSE)</f>
        <v>4</v>
      </c>
      <c r="J44" s="10" t="str">
        <f ca="1">VLOOKUP($F44,OFFSET([1]characters!$A$2,0,0,COUNTA([1]characters!$A:$A),MATCH(J$1,[1]characters!$2:$2,0)-MATCH($F$1,[1]characters!$2:$2,0)+1),MATCH(J$1,[1]characters!$2:$2,0)-MATCH($F$1,[1]characters!$2:$2,0)+1,FALSE)</f>
        <v>blue</v>
      </c>
      <c r="K44" s="10" t="str">
        <f ca="1">VLOOKUP($F44,OFFSET([1]characters!$A$2,0,0,COUNTA([1]characters!$A:$A),MATCH("タイプ",[1]characters!$1:$1,0)-MATCH($F$1,[1]characters!$2:$2,0)+2),MATCH("タイプ",[1]characters!$1:$1,0)-MATCH($F$1,[1]characters!$2:$2,0)+2,FALSE)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4" s="10" t="str">
        <f ca="1">VLOOKUP($F44,OFFSET([1]characters!$A$2,0,0,COUNTA([1]characters!$A:$A),MATCH($L$1,[1]characters!$1:$1,0)-MATCH($F$1,[1]characters!$2:$2,0)+2),MATCH($L$1,[1]characters!$1:$1,0)-MATCH($F$1,[1]characters!$2:$2,0)+2,FALSE)</f>
        <v>ヒューマン</v>
      </c>
      <c r="M44" s="6">
        <v>1</v>
      </c>
      <c r="N44" s="40">
        <f ca="1">VLOOKUP(D44,gacha_133_base!A:B,2,FALSE)</f>
        <v>200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133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VLOOKUP($F45,OFFSET([1]characters!$A$2,0,0,COUNTA([1]characters!$A:$A),MATCH(G$1,[1]characters!$2:$2,0)-MATCH($F$1,[1]characters!$2:$2,0)+1),MATCH(G$1,[1]characters!$2:$2,0)-MATCH($F$1,[1]characters!$2:$2,0)+1,FALSE)</f>
        <v>神産 イザナミ</v>
      </c>
      <c r="H45" s="10" t="str">
        <f ca="1">VLOOKUP($F45,OFFSET([1]characters!$A$2,0,0,COUNTA([1]characters!$A:$A),MATCH(H$1,[1]characters!$2:$2,0)-MATCH($F$1,[1]characters!$2:$2,0)+1),MATCH(H$1,[1]characters!$2:$2,0)-MATCH($F$1,[1]characters!$2:$2,0)+1,FALSE)</f>
        <v>PremiumS</v>
      </c>
      <c r="I45" s="10">
        <f ca="1">VLOOKUP($F45,OFFSET([1]characters!$A$2,0,0,COUNTA([1]characters!$A:$A),MATCH(I$1,[1]characters!$2:$2,0)-MATCH($F$1,[1]characters!$2:$2,0)+1),MATCH(I$1,[1]characters!$2:$2,0)-MATCH($F$1,[1]characters!$2:$2,0)+1,FALSE)</f>
        <v>4</v>
      </c>
      <c r="J45" s="10" t="str">
        <f ca="1">VLOOKUP($F45,OFFSET([1]characters!$A$2,0,0,COUNTA([1]characters!$A:$A),MATCH(J$1,[1]characters!$2:$2,0)-MATCH($F$1,[1]characters!$2:$2,0)+1),MATCH(J$1,[1]characters!$2:$2,0)-MATCH($F$1,[1]characters!$2:$2,0)+1,FALSE)</f>
        <v>yellow</v>
      </c>
      <c r="K45" s="10" t="str">
        <f ca="1">VLOOKUP($F45,OFFSET([1]characters!$A$2,0,0,COUNTA([1]characters!$A:$A),MATCH("タイプ",[1]characters!$1:$1,0)-MATCH($F$1,[1]characters!$2:$2,0)+2),MATCH("タイプ",[1]characters!$1:$1,0)-MATCH($F$1,[1]characters!$2:$2,0)+2,FALSE)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5" s="10" t="str">
        <f ca="1">VLOOKUP($F45,OFFSET([1]characters!$A$2,0,0,COUNTA([1]characters!$A:$A),MATCH($L$1,[1]characters!$1:$1,0)-MATCH($F$1,[1]characters!$2:$2,0)+2),MATCH($L$1,[1]characters!$1:$1,0)-MATCH($F$1,[1]characters!$2:$2,0)+2,FALSE)</f>
        <v>ゴッド</v>
      </c>
      <c r="M45" s="6">
        <v>1</v>
      </c>
      <c r="N45" s="40">
        <f ca="1">VLOOKUP(D45,gacha_133_base!A:B,2,FALSE)</f>
        <v>200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11681</v>
      </c>
      <c r="B46" s="2">
        <f t="shared" si="3"/>
        <v>133</v>
      </c>
      <c r="C46" s="10" t="str">
        <f t="shared" ca="1" si="1"/>
        <v>1PremiumN5</v>
      </c>
      <c r="D46" s="10" t="str">
        <f t="shared" ca="1" si="2"/>
        <v>1PremiumN5</v>
      </c>
      <c r="E46" s="6">
        <v>1</v>
      </c>
      <c r="F46" s="7">
        <v>168</v>
      </c>
      <c r="G46" s="10" t="str">
        <f ca="1">VLOOKUP($F46,OFFSET([1]characters!$A$2,0,0,COUNTA([1]characters!$A:$A),MATCH(G$1,[1]characters!$2:$2,0)-MATCH($F$1,[1]characters!$2:$2,0)+1),MATCH(G$1,[1]characters!$2:$2,0)-MATCH($F$1,[1]characters!$2:$2,0)+1,FALSE)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46" s="10" t="str">
        <f ca="1">VLOOKUP($F46,OFFSET([1]characters!$A$2,0,0,COUNTA([1]characters!$A:$A),MATCH(H$1,[1]characters!$2:$2,0)-MATCH($F$1,[1]characters!$2:$2,0)+1),MATCH(H$1,[1]characters!$2:$2,0)-MATCH($F$1,[1]characters!$2:$2,0)+1,FALSE)</f>
        <v>PremiumN</v>
      </c>
      <c r="I46" s="10">
        <f ca="1">VLOOKUP($F46,OFFSET([1]characters!$A$2,0,0,COUNTA([1]characters!$A:$A),MATCH(I$1,[1]characters!$2:$2,0)-MATCH($F$1,[1]characters!$2:$2,0)+1),MATCH(I$1,[1]characters!$2:$2,0)-MATCH($F$1,[1]characters!$2:$2,0)+1,FALSE)</f>
        <v>5</v>
      </c>
      <c r="J46" s="10" t="str">
        <f ca="1">VLOOKUP($F46,OFFSET([1]characters!$A$2,0,0,COUNTA([1]characters!$A:$A),MATCH(J$1,[1]characters!$2:$2,0)-MATCH($F$1,[1]characters!$2:$2,0)+1),MATCH(J$1,[1]characters!$2:$2,0)-MATCH($F$1,[1]characters!$2:$2,0)+1,FALSE)</f>
        <v>red</v>
      </c>
      <c r="K46" s="10" t="str">
        <f ca="1">VLOOKUP($F46,OFFSET([1]characters!$A$2,0,0,COUNTA([1]characters!$A:$A),MATCH("タイプ",[1]characters!$1:$1,0)-MATCH($F$1,[1]characters!$2:$2,0)+2),MATCH("タイプ",[1]characters!$1:$1,0)-MATCH($F$1,[1]characters!$2:$2,0)+2,FALSE)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6" s="10" t="str">
        <f ca="1">VLOOKUP($F46,OFFSET([1]characters!$A$2,0,0,COUNTA([1]characters!$A:$A),MATCH($L$1,[1]characters!$1:$1,0)-MATCH($F$1,[1]characters!$2:$2,0)+2),MATCH($L$1,[1]characters!$1:$1,0)-MATCH($F$1,[1]characters!$2:$2,0)+2,FALSE)</f>
        <v>ゴッド</v>
      </c>
      <c r="M46" s="6">
        <v>1</v>
      </c>
      <c r="N46" s="40">
        <f ca="1">VLOOKUP(D46,gacha_133_base!A:B,2,FALSE)</f>
        <v>174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si="0"/>
        <v>11711</v>
      </c>
      <c r="B47" s="2">
        <f t="shared" si="3"/>
        <v>133</v>
      </c>
      <c r="C47" s="10" t="str">
        <f t="shared" ca="1" si="1"/>
        <v>1PremiumN5</v>
      </c>
      <c r="D47" s="10" t="str">
        <f t="shared" ca="1" si="2"/>
        <v>1PremiumN5</v>
      </c>
      <c r="E47" s="6">
        <v>1</v>
      </c>
      <c r="F47" s="7">
        <v>171</v>
      </c>
      <c r="G47" s="10" t="str">
        <f ca="1">VLOOKUP($F47,OFFSET([1]characters!$A$2,0,0,COUNTA([1]characters!$A:$A),MATCH(G$1,[1]characters!$2:$2,0)-MATCH($F$1,[1]characters!$2:$2,0)+1),MATCH(G$1,[1]characters!$2:$2,0)-MATCH($F$1,[1]characters!$2:$2,0)+1,FALSE)</f>
        <v>精解の預知者 オセ</v>
      </c>
      <c r="H47" s="10" t="str">
        <f ca="1">VLOOKUP($F47,OFFSET([1]characters!$A$2,0,0,COUNTA([1]characters!$A:$A),MATCH(H$1,[1]characters!$2:$2,0)-MATCH($F$1,[1]characters!$2:$2,0)+1),MATCH(H$1,[1]characters!$2:$2,0)-MATCH($F$1,[1]characters!$2:$2,0)+1,FALSE)</f>
        <v>PremiumN</v>
      </c>
      <c r="I47" s="10">
        <f ca="1">VLOOKUP($F47,OFFSET([1]characters!$A$2,0,0,COUNTA([1]characters!$A:$A),MATCH(I$1,[1]characters!$2:$2,0)-MATCH($F$1,[1]characters!$2:$2,0)+1),MATCH(I$1,[1]characters!$2:$2,0)-MATCH($F$1,[1]characters!$2:$2,0)+1,FALSE)</f>
        <v>5</v>
      </c>
      <c r="J47" s="10" t="str">
        <f ca="1">VLOOKUP($F47,OFFSET([1]characters!$A$2,0,0,COUNTA([1]characters!$A:$A),MATCH(J$1,[1]characters!$2:$2,0)-MATCH($F$1,[1]characters!$2:$2,0)+1),MATCH(J$1,[1]characters!$2:$2,0)-MATCH($F$1,[1]characters!$2:$2,0)+1,FALSE)</f>
        <v>green</v>
      </c>
      <c r="K47" s="10" t="str">
        <f ca="1">VLOOKUP($F47,OFFSET([1]characters!$A$2,0,0,COUNTA([1]characters!$A:$A),MATCH("タイプ",[1]characters!$1:$1,0)-MATCH($F$1,[1]characters!$2:$2,0)+2),MATCH("タイプ",[1]characters!$1:$1,0)-MATCH($F$1,[1]characters!$2:$2,0)+2,FALSE)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7" s="10" t="str">
        <f ca="1">VLOOKUP($F47,OFFSET([1]characters!$A$2,0,0,COUNTA([1]characters!$A:$A),MATCH($L$1,[1]characters!$1:$1,0)-MATCH($F$1,[1]characters!$2:$2,0)+2),MATCH($L$1,[1]characters!$1:$1,0)-MATCH($F$1,[1]characters!$2:$2,0)+2,FALSE)</f>
        <v>ゴッド</v>
      </c>
      <c r="M47" s="6">
        <v>1</v>
      </c>
      <c r="N47" s="40">
        <f ca="1">VLOOKUP(D47,gacha_133_base!A:B,2,FALSE)</f>
        <v>174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0"/>
        <v>11741</v>
      </c>
      <c r="B48" s="2">
        <f t="shared" si="3"/>
        <v>133</v>
      </c>
      <c r="C48" s="10" t="str">
        <f t="shared" ca="1" si="1"/>
        <v>1PremiumN5</v>
      </c>
      <c r="D48" s="10" t="str">
        <f t="shared" ca="1" si="2"/>
        <v>1PremiumN5</v>
      </c>
      <c r="E48" s="6">
        <v>1</v>
      </c>
      <c r="F48" s="7">
        <v>174</v>
      </c>
      <c r="G48" s="10" t="str">
        <f ca="1">VLOOKUP($F48,OFFSET([1]characters!$A$2,0,0,COUNTA([1]characters!$A:$A),MATCH(G$1,[1]characters!$2:$2,0)-MATCH($F$1,[1]characters!$2:$2,0)+1),MATCH(G$1,[1]characters!$2:$2,0)-MATCH($F$1,[1]characters!$2:$2,0)+1,FALSE)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48" s="10" t="str">
        <f ca="1">VLOOKUP($F48,OFFSET([1]characters!$A$2,0,0,COUNTA([1]characters!$A:$A),MATCH(H$1,[1]characters!$2:$2,0)-MATCH($F$1,[1]characters!$2:$2,0)+1),MATCH(H$1,[1]characters!$2:$2,0)-MATCH($F$1,[1]characters!$2:$2,0)+1,FALSE)</f>
        <v>PremiumN</v>
      </c>
      <c r="I48" s="10">
        <f ca="1">VLOOKUP($F48,OFFSET([1]characters!$A$2,0,0,COUNTA([1]characters!$A:$A),MATCH(I$1,[1]characters!$2:$2,0)-MATCH($F$1,[1]characters!$2:$2,0)+1),MATCH(I$1,[1]characters!$2:$2,0)-MATCH($F$1,[1]characters!$2:$2,0)+1,FALSE)</f>
        <v>5</v>
      </c>
      <c r="J48" s="10" t="str">
        <f ca="1">VLOOKUP($F48,OFFSET([1]characters!$A$2,0,0,COUNTA([1]characters!$A:$A),MATCH(J$1,[1]characters!$2:$2,0)-MATCH($F$1,[1]characters!$2:$2,0)+1),MATCH(J$1,[1]characters!$2:$2,0)-MATCH($F$1,[1]characters!$2:$2,0)+1,FALSE)</f>
        <v>blue</v>
      </c>
      <c r="K48" s="10" t="str">
        <f ca="1">VLOOKUP($F48,OFFSET([1]characters!$A$2,0,0,COUNTA([1]characters!$A:$A),MATCH("タイプ",[1]characters!$1:$1,0)-MATCH($F$1,[1]characters!$2:$2,0)+2),MATCH("タイプ",[1]characters!$1:$1,0)-MATCH($F$1,[1]characters!$2:$2,0)+2,FALSE)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8" s="10" t="str">
        <f ca="1">VLOOKUP($F48,OFFSET([1]characters!$A$2,0,0,COUNTA([1]characters!$A:$A),MATCH($L$1,[1]characters!$1:$1,0)-MATCH($F$1,[1]characters!$2:$2,0)+2),MATCH($L$1,[1]characters!$1:$1,0)-MATCH($F$1,[1]characters!$2:$2,0)+2,FALSE)</f>
        <v>ゴッド</v>
      </c>
      <c r="M48" s="6">
        <v>1</v>
      </c>
      <c r="N48" s="40">
        <f ca="1">VLOOKUP(D48,gacha_133_base!A:B,2,FALSE)</f>
        <v>174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0"/>
        <v>11771</v>
      </c>
      <c r="B49" s="2">
        <f t="shared" si="3"/>
        <v>133</v>
      </c>
      <c r="C49" s="10" t="str">
        <f t="shared" ca="1" si="1"/>
        <v>1PremiumN5</v>
      </c>
      <c r="D49" s="10" t="str">
        <f t="shared" ca="1" si="2"/>
        <v>1PremiumN5</v>
      </c>
      <c r="E49" s="6">
        <v>1</v>
      </c>
      <c r="F49" s="7">
        <v>177</v>
      </c>
      <c r="G49" s="10" t="str">
        <f ca="1">VLOOKUP($F49,OFFSET([1]characters!$A$2,0,0,COUNTA([1]characters!$A:$A),MATCH(G$1,[1]characters!$2:$2,0)-MATCH($F$1,[1]characters!$2:$2,0)+1),MATCH(G$1,[1]characters!$2:$2,0)-MATCH($F$1,[1]characters!$2:$2,0)+1,FALSE)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49" s="10" t="str">
        <f ca="1">VLOOKUP($F49,OFFSET([1]characters!$A$2,0,0,COUNTA([1]characters!$A:$A),MATCH(H$1,[1]characters!$2:$2,0)-MATCH($F$1,[1]characters!$2:$2,0)+1),MATCH(H$1,[1]characters!$2:$2,0)-MATCH($F$1,[1]characters!$2:$2,0)+1,FALSE)</f>
        <v>PremiumN</v>
      </c>
      <c r="I49" s="10">
        <f ca="1">VLOOKUP($F49,OFFSET([1]characters!$A$2,0,0,COUNTA([1]characters!$A:$A),MATCH(I$1,[1]characters!$2:$2,0)-MATCH($F$1,[1]characters!$2:$2,0)+1),MATCH(I$1,[1]characters!$2:$2,0)-MATCH($F$1,[1]characters!$2:$2,0)+1,FALSE)</f>
        <v>5</v>
      </c>
      <c r="J49" s="10" t="str">
        <f ca="1">VLOOKUP($F49,OFFSET([1]characters!$A$2,0,0,COUNTA([1]characters!$A:$A),MATCH(J$1,[1]characters!$2:$2,0)-MATCH($F$1,[1]characters!$2:$2,0)+1),MATCH(J$1,[1]characters!$2:$2,0)-MATCH($F$1,[1]characters!$2:$2,0)+1,FALSE)</f>
        <v>yellow</v>
      </c>
      <c r="K49" s="10" t="str">
        <f ca="1">VLOOKUP($F49,OFFSET([1]characters!$A$2,0,0,COUNTA([1]characters!$A:$A),MATCH("タイプ",[1]characters!$1:$1,0)-MATCH($F$1,[1]characters!$2:$2,0)+2),MATCH("タイプ",[1]characters!$1:$1,0)-MATCH($F$1,[1]characters!$2:$2,0)+2,FALSE)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9" s="10" t="str">
        <f ca="1">VLOOKUP($F49,OFFSET([1]characters!$A$2,0,0,COUNTA([1]characters!$A:$A),MATCH($L$1,[1]characters!$1:$1,0)-MATCH($F$1,[1]characters!$2:$2,0)+2),MATCH($L$1,[1]characters!$1:$1,0)-MATCH($F$1,[1]characters!$2:$2,0)+2,FALSE)</f>
        <v>ゴッド</v>
      </c>
      <c r="M49" s="6">
        <v>1</v>
      </c>
      <c r="N49" s="40">
        <f ca="1">VLOOKUP(D49,gacha_133_base!A:B,2,FALSE)</f>
        <v>174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0"/>
        <v>11801</v>
      </c>
      <c r="B50" s="2">
        <f t="shared" si="3"/>
        <v>133</v>
      </c>
      <c r="C50" s="10" t="str">
        <f t="shared" ca="1" si="1"/>
        <v>1PremiumN5</v>
      </c>
      <c r="D50" s="10" t="str">
        <f t="shared" ca="1" si="2"/>
        <v>1PremiumN5</v>
      </c>
      <c r="E50" s="6">
        <v>1</v>
      </c>
      <c r="F50" s="7">
        <v>180</v>
      </c>
      <c r="G50" s="10" t="str">
        <f ca="1">VLOOKUP($F50,OFFSET([1]characters!$A$2,0,0,COUNTA([1]characters!$A:$A),MATCH(G$1,[1]characters!$2:$2,0)-MATCH($F$1,[1]characters!$2:$2,0)+1),MATCH(G$1,[1]characters!$2:$2,0)-MATCH($F$1,[1]characters!$2:$2,0)+1,FALSE)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50" s="10" t="str">
        <f ca="1">VLOOKUP($F50,OFFSET([1]characters!$A$2,0,0,COUNTA([1]characters!$A:$A),MATCH(H$1,[1]characters!$2:$2,0)-MATCH($F$1,[1]characters!$2:$2,0)+1),MATCH(H$1,[1]characters!$2:$2,0)-MATCH($F$1,[1]characters!$2:$2,0)+1,FALSE)</f>
        <v>PremiumN</v>
      </c>
      <c r="I50" s="10">
        <f ca="1">VLOOKUP($F50,OFFSET([1]characters!$A$2,0,0,COUNTA([1]characters!$A:$A),MATCH(I$1,[1]characters!$2:$2,0)-MATCH($F$1,[1]characters!$2:$2,0)+1),MATCH(I$1,[1]characters!$2:$2,0)-MATCH($F$1,[1]characters!$2:$2,0)+1,FALSE)</f>
        <v>5</v>
      </c>
      <c r="J50" s="10" t="str">
        <f ca="1">VLOOKUP($F50,OFFSET([1]characters!$A$2,0,0,COUNTA([1]characters!$A:$A),MATCH(J$1,[1]characters!$2:$2,0)-MATCH($F$1,[1]characters!$2:$2,0)+1),MATCH(J$1,[1]characters!$2:$2,0)-MATCH($F$1,[1]characters!$2:$2,0)+1,FALSE)</f>
        <v>red</v>
      </c>
      <c r="K50" s="10" t="str">
        <f ca="1">VLOOKUP($F50,OFFSET([1]characters!$A$2,0,0,COUNTA([1]characters!$A:$A),MATCH("タイプ",[1]characters!$1:$1,0)-MATCH($F$1,[1]characters!$2:$2,0)+2),MATCH("タイプ",[1]characters!$1:$1,0)-MATCH($F$1,[1]characters!$2:$2,0)+2,FALSE)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0" s="10" t="str">
        <f ca="1">VLOOKUP($F50,OFFSET([1]characters!$A$2,0,0,COUNTA([1]characters!$A:$A),MATCH($L$1,[1]characters!$1:$1,0)-MATCH($F$1,[1]characters!$2:$2,0)+2),MATCH($L$1,[1]characters!$1:$1,0)-MATCH($F$1,[1]characters!$2:$2,0)+2,FALSE)</f>
        <v>アニマル</v>
      </c>
      <c r="M50" s="6">
        <v>1</v>
      </c>
      <c r="N50" s="40">
        <f ca="1">VLOOKUP(D50,gacha_133_base!A:B,2,FALSE)</f>
        <v>174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ht="21" customHeight="1">
      <c r="A51" s="8" t="str">
        <f t="shared" si="0"/>
        <v>11831</v>
      </c>
      <c r="B51" s="2">
        <f t="shared" si="3"/>
        <v>133</v>
      </c>
      <c r="C51" s="10" t="str">
        <f t="shared" ca="1" si="1"/>
        <v>1PremiumN5</v>
      </c>
      <c r="D51" s="10" t="str">
        <f t="shared" ca="1" si="2"/>
        <v>1PremiumN5</v>
      </c>
      <c r="E51" s="6">
        <v>1</v>
      </c>
      <c r="F51" s="7">
        <v>183</v>
      </c>
      <c r="G51" s="10" t="str">
        <f ca="1">VLOOKUP($F51,OFFSET([1]characters!$A$2,0,0,COUNTA([1]characters!$A:$A),MATCH(G$1,[1]characters!$2:$2,0)-MATCH($F$1,[1]characters!$2:$2,0)+1),MATCH(G$1,[1]characters!$2:$2,0)-MATCH($F$1,[1]characters!$2:$2,0)+1,FALSE)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51" s="10" t="str">
        <f ca="1">VLOOKUP($F51,OFFSET([1]characters!$A$2,0,0,COUNTA([1]characters!$A:$A),MATCH(H$1,[1]characters!$2:$2,0)-MATCH($F$1,[1]characters!$2:$2,0)+1),MATCH(H$1,[1]characters!$2:$2,0)-MATCH($F$1,[1]characters!$2:$2,0)+1,FALSE)</f>
        <v>PremiumN</v>
      </c>
      <c r="I51" s="10">
        <f ca="1">VLOOKUP($F51,OFFSET([1]characters!$A$2,0,0,COUNTA([1]characters!$A:$A),MATCH(I$1,[1]characters!$2:$2,0)-MATCH($F$1,[1]characters!$2:$2,0)+1),MATCH(I$1,[1]characters!$2:$2,0)-MATCH($F$1,[1]characters!$2:$2,0)+1,FALSE)</f>
        <v>5</v>
      </c>
      <c r="J51" s="10" t="str">
        <f ca="1">VLOOKUP($F51,OFFSET([1]characters!$A$2,0,0,COUNTA([1]characters!$A:$A),MATCH(J$1,[1]characters!$2:$2,0)-MATCH($F$1,[1]characters!$2:$2,0)+1),MATCH(J$1,[1]characters!$2:$2,0)-MATCH($F$1,[1]characters!$2:$2,0)+1,FALSE)</f>
        <v>green</v>
      </c>
      <c r="K51" s="10" t="str">
        <f ca="1">VLOOKUP($F51,OFFSET([1]characters!$A$2,0,0,COUNTA([1]characters!$A:$A),MATCH("タイプ",[1]characters!$1:$1,0)-MATCH($F$1,[1]characters!$2:$2,0)+2),MATCH("タイプ",[1]characters!$1:$1,0)-MATCH($F$1,[1]characters!$2:$2,0)+2,FALSE)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1" s="10" t="str">
        <f ca="1">VLOOKUP($F51,OFFSET([1]characters!$A$2,0,0,COUNTA([1]characters!$A:$A),MATCH($L$1,[1]characters!$1:$1,0)-MATCH($F$1,[1]characters!$2:$2,0)+2),MATCH($L$1,[1]characters!$1:$1,0)-MATCH($F$1,[1]characters!$2:$2,0)+2,FALSE)</f>
        <v>アニマル</v>
      </c>
      <c r="M51" s="6">
        <v>1</v>
      </c>
      <c r="N51" s="40">
        <f ca="1">VLOOKUP(D51,gacha_133_base!A:B,2,FALSE)</f>
        <v>174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>
      <c r="A52" s="8" t="str">
        <f t="shared" si="0"/>
        <v>11861</v>
      </c>
      <c r="B52" s="2">
        <f t="shared" si="3"/>
        <v>133</v>
      </c>
      <c r="C52" s="10" t="str">
        <f t="shared" ca="1" si="1"/>
        <v>1PremiumN5</v>
      </c>
      <c r="D52" s="10" t="str">
        <f t="shared" ca="1" si="2"/>
        <v>1PremiumN5</v>
      </c>
      <c r="E52" s="6">
        <v>1</v>
      </c>
      <c r="F52" s="7">
        <v>186</v>
      </c>
      <c r="G52" s="10" t="str">
        <f ca="1">VLOOKUP($F52,OFFSET([1]characters!$A$2,0,0,COUNTA([1]characters!$A:$A),MATCH(G$1,[1]characters!$2:$2,0)-MATCH($F$1,[1]characters!$2:$2,0)+1),MATCH(G$1,[1]characters!$2:$2,0)-MATCH($F$1,[1]characters!$2:$2,0)+1,FALSE)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52" s="10" t="str">
        <f ca="1">VLOOKUP($F52,OFFSET([1]characters!$A$2,0,0,COUNTA([1]characters!$A:$A),MATCH(H$1,[1]characters!$2:$2,0)-MATCH($F$1,[1]characters!$2:$2,0)+1),MATCH(H$1,[1]characters!$2:$2,0)-MATCH($F$1,[1]characters!$2:$2,0)+1,FALSE)</f>
        <v>PremiumN</v>
      </c>
      <c r="I52" s="10">
        <f ca="1">VLOOKUP($F52,OFFSET([1]characters!$A$2,0,0,COUNTA([1]characters!$A:$A),MATCH(I$1,[1]characters!$2:$2,0)-MATCH($F$1,[1]characters!$2:$2,0)+1),MATCH(I$1,[1]characters!$2:$2,0)-MATCH($F$1,[1]characters!$2:$2,0)+1,FALSE)</f>
        <v>5</v>
      </c>
      <c r="J52" s="10" t="str">
        <f ca="1">VLOOKUP($F52,OFFSET([1]characters!$A$2,0,0,COUNTA([1]characters!$A:$A),MATCH(J$1,[1]characters!$2:$2,0)-MATCH($F$1,[1]characters!$2:$2,0)+1),MATCH(J$1,[1]characters!$2:$2,0)-MATCH($F$1,[1]characters!$2:$2,0)+1,FALSE)</f>
        <v>blue</v>
      </c>
      <c r="K52" s="10" t="str">
        <f ca="1">VLOOKUP($F52,OFFSET([1]characters!$A$2,0,0,COUNTA([1]characters!$A:$A),MATCH("タイプ",[1]characters!$1:$1,0)-MATCH($F$1,[1]characters!$2:$2,0)+2),MATCH("タイプ",[1]characters!$1:$1,0)-MATCH($F$1,[1]characters!$2:$2,0)+2,FALSE)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52" s="10" t="str">
        <f ca="1">VLOOKUP($F52,OFFSET([1]characters!$A$2,0,0,COUNTA([1]characters!$A:$A),MATCH($L$1,[1]characters!$1:$1,0)-MATCH($F$1,[1]characters!$2:$2,0)+2),MATCH($L$1,[1]characters!$1:$1,0)-MATCH($F$1,[1]characters!$2:$2,0)+2,FALSE)</f>
        <v>アニマル</v>
      </c>
      <c r="M52" s="6">
        <v>1</v>
      </c>
      <c r="N52" s="40">
        <f ca="1">VLOOKUP(D52,gacha_133_base!A:B,2,FALSE)</f>
        <v>174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>
      <c r="A53" s="8" t="str">
        <f t="shared" si="0"/>
        <v>11891</v>
      </c>
      <c r="B53" s="2">
        <f t="shared" si="3"/>
        <v>133</v>
      </c>
      <c r="C53" s="10" t="str">
        <f t="shared" ca="1" si="1"/>
        <v>1PremiumN5</v>
      </c>
      <c r="D53" s="10" t="str">
        <f t="shared" ca="1" si="2"/>
        <v>1PremiumN5</v>
      </c>
      <c r="E53" s="6">
        <v>1</v>
      </c>
      <c r="F53" s="7">
        <v>189</v>
      </c>
      <c r="G53" s="10" t="str">
        <f ca="1">VLOOKUP($F53,OFFSET([1]characters!$A$2,0,0,COUNTA([1]characters!$A:$A),MATCH(G$1,[1]characters!$2:$2,0)-MATCH($F$1,[1]characters!$2:$2,0)+1),MATCH(G$1,[1]characters!$2:$2,0)-MATCH($F$1,[1]characters!$2:$2,0)+1,FALSE)</f>
        <v>迅雷の王禽 ホルス</v>
      </c>
      <c r="H53" s="10" t="str">
        <f ca="1">VLOOKUP($F53,OFFSET([1]characters!$A$2,0,0,COUNTA([1]characters!$A:$A),MATCH(H$1,[1]characters!$2:$2,0)-MATCH($F$1,[1]characters!$2:$2,0)+1),MATCH(H$1,[1]characters!$2:$2,0)-MATCH($F$1,[1]characters!$2:$2,0)+1,FALSE)</f>
        <v>PremiumN</v>
      </c>
      <c r="I53" s="10">
        <f ca="1">VLOOKUP($F53,OFFSET([1]characters!$A$2,0,0,COUNTA([1]characters!$A:$A),MATCH(I$1,[1]characters!$2:$2,0)-MATCH($F$1,[1]characters!$2:$2,0)+1),MATCH(I$1,[1]characters!$2:$2,0)-MATCH($F$1,[1]characters!$2:$2,0)+1,FALSE)</f>
        <v>5</v>
      </c>
      <c r="J53" s="10" t="str">
        <f ca="1">VLOOKUP($F53,OFFSET([1]characters!$A$2,0,0,COUNTA([1]characters!$A:$A),MATCH(J$1,[1]characters!$2:$2,0)-MATCH($F$1,[1]characters!$2:$2,0)+1),MATCH(J$1,[1]characters!$2:$2,0)-MATCH($F$1,[1]characters!$2:$2,0)+1,FALSE)</f>
        <v>yellow</v>
      </c>
      <c r="K53" s="10" t="str">
        <f ca="1">VLOOKUP($F53,OFFSET([1]characters!$A$2,0,0,COUNTA([1]characters!$A:$A),MATCH("タイプ",[1]characters!$1:$1,0)-MATCH($F$1,[1]characters!$2:$2,0)+2),MATCH("タイプ",[1]characters!$1:$1,0)-MATCH($F$1,[1]characters!$2:$2,0)+2,FALSE)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3" s="10" t="str">
        <f ca="1">VLOOKUP($F53,OFFSET([1]characters!$A$2,0,0,COUNTA([1]characters!$A:$A),MATCH($L$1,[1]characters!$1:$1,0)-MATCH($F$1,[1]characters!$2:$2,0)+2),MATCH($L$1,[1]characters!$1:$1,0)-MATCH($F$1,[1]characters!$2:$2,0)+2,FALSE)</f>
        <v>アニマル</v>
      </c>
      <c r="M53" s="6">
        <v>1</v>
      </c>
      <c r="N53" s="40">
        <f ca="1">VLOOKUP(D53,gacha_133_base!A:B,2,FALSE)</f>
        <v>174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>
      <c r="A54" s="8" t="str">
        <f t="shared" si="0"/>
        <v>11921</v>
      </c>
      <c r="B54" s="2">
        <f t="shared" si="3"/>
        <v>133</v>
      </c>
      <c r="C54" s="10" t="str">
        <f t="shared" ca="1" si="1"/>
        <v>1PremiumN5</v>
      </c>
      <c r="D54" s="10" t="str">
        <f t="shared" ca="1" si="2"/>
        <v>1PremiumN5</v>
      </c>
      <c r="E54" s="6">
        <v>1</v>
      </c>
      <c r="F54" s="7">
        <v>192</v>
      </c>
      <c r="G54" s="10" t="str">
        <f ca="1">VLOOKUP($F54,OFFSET([1]characters!$A$2,0,0,COUNTA([1]characters!$A:$A),MATCH(G$1,[1]characters!$2:$2,0)-MATCH($F$1,[1]characters!$2:$2,0)+1),MATCH(G$1,[1]characters!$2:$2,0)-MATCH($F$1,[1]characters!$2:$2,0)+1,FALSE)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54" s="10" t="str">
        <f ca="1">VLOOKUP($F54,OFFSET([1]characters!$A$2,0,0,COUNTA([1]characters!$A:$A),MATCH(H$1,[1]characters!$2:$2,0)-MATCH($F$1,[1]characters!$2:$2,0)+1),MATCH(H$1,[1]characters!$2:$2,0)-MATCH($F$1,[1]characters!$2:$2,0)+1,FALSE)</f>
        <v>PremiumN</v>
      </c>
      <c r="I54" s="10">
        <f ca="1">VLOOKUP($F54,OFFSET([1]characters!$A$2,0,0,COUNTA([1]characters!$A:$A),MATCH(I$1,[1]characters!$2:$2,0)-MATCH($F$1,[1]characters!$2:$2,0)+1),MATCH(I$1,[1]characters!$2:$2,0)-MATCH($F$1,[1]characters!$2:$2,0)+1,FALSE)</f>
        <v>5</v>
      </c>
      <c r="J54" s="10" t="str">
        <f ca="1">VLOOKUP($F54,OFFSET([1]characters!$A$2,0,0,COUNTA([1]characters!$A:$A),MATCH(J$1,[1]characters!$2:$2,0)-MATCH($F$1,[1]characters!$2:$2,0)+1),MATCH(J$1,[1]characters!$2:$2,0)-MATCH($F$1,[1]characters!$2:$2,0)+1,FALSE)</f>
        <v>red</v>
      </c>
      <c r="K54" s="10" t="str">
        <f ca="1">VLOOKUP($F54,OFFSET([1]characters!$A$2,0,0,COUNTA([1]characters!$A:$A),MATCH("タイプ",[1]characters!$1:$1,0)-MATCH($F$1,[1]characters!$2:$2,0)+2),MATCH("タイプ",[1]characters!$1:$1,0)-MATCH($F$1,[1]characters!$2:$2,0)+2,FALSE)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4" s="10" t="str">
        <f ca="1">VLOOKUP($F54,OFFSET([1]characters!$A$2,0,0,COUNTA([1]characters!$A:$A),MATCH($L$1,[1]characters!$1:$1,0)-MATCH($F$1,[1]characters!$2:$2,0)+2),MATCH($L$1,[1]characters!$1:$1,0)-MATCH($F$1,[1]characters!$2:$2,0)+2,FALSE)</f>
        <v>ヒューマン</v>
      </c>
      <c r="M54" s="6">
        <v>1</v>
      </c>
      <c r="N54" s="40">
        <f ca="1">VLOOKUP(D54,gacha_133_base!A:B,2,FALSE)</f>
        <v>174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>
      <c r="A55" s="8" t="str">
        <f t="shared" si="0"/>
        <v>11951</v>
      </c>
      <c r="B55" s="2">
        <f t="shared" si="3"/>
        <v>133</v>
      </c>
      <c r="C55" s="10" t="str">
        <f t="shared" ca="1" si="1"/>
        <v>1PremiumN5</v>
      </c>
      <c r="D55" s="10" t="str">
        <f t="shared" ca="1" si="2"/>
        <v>1PremiumN5</v>
      </c>
      <c r="E55" s="6">
        <v>1</v>
      </c>
      <c r="F55" s="7">
        <v>195</v>
      </c>
      <c r="G55" s="10" t="str">
        <f ca="1">VLOOKUP($F55,OFFSET([1]characters!$A$2,0,0,COUNTA([1]characters!$A:$A),MATCH(G$1,[1]characters!$2:$2,0)-MATCH($F$1,[1]characters!$2:$2,0)+1),MATCH(G$1,[1]characters!$2:$2,0)-MATCH($F$1,[1]characters!$2:$2,0)+1,FALSE)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55" s="10" t="str">
        <f ca="1">VLOOKUP($F55,OFFSET([1]characters!$A$2,0,0,COUNTA([1]characters!$A:$A),MATCH(H$1,[1]characters!$2:$2,0)-MATCH($F$1,[1]characters!$2:$2,0)+1),MATCH(H$1,[1]characters!$2:$2,0)-MATCH($F$1,[1]characters!$2:$2,0)+1,FALSE)</f>
        <v>PremiumN</v>
      </c>
      <c r="I55" s="10">
        <f ca="1">VLOOKUP($F55,OFFSET([1]characters!$A$2,0,0,COUNTA([1]characters!$A:$A),MATCH(I$1,[1]characters!$2:$2,0)-MATCH($F$1,[1]characters!$2:$2,0)+1),MATCH(I$1,[1]characters!$2:$2,0)-MATCH($F$1,[1]characters!$2:$2,0)+1,FALSE)</f>
        <v>5</v>
      </c>
      <c r="J55" s="10" t="str">
        <f ca="1">VLOOKUP($F55,OFFSET([1]characters!$A$2,0,0,COUNTA([1]characters!$A:$A),MATCH(J$1,[1]characters!$2:$2,0)-MATCH($F$1,[1]characters!$2:$2,0)+1),MATCH(J$1,[1]characters!$2:$2,0)-MATCH($F$1,[1]characters!$2:$2,0)+1,FALSE)</f>
        <v>green</v>
      </c>
      <c r="K55" s="10" t="str">
        <f ca="1">VLOOKUP($F55,OFFSET([1]characters!$A$2,0,0,COUNTA([1]characters!$A:$A),MATCH("タイプ",[1]characters!$1:$1,0)-MATCH($F$1,[1]characters!$2:$2,0)+2),MATCH("タイプ",[1]characters!$1:$1,0)-MATCH($F$1,[1]characters!$2:$2,0)+2,FALSE)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5" s="10" t="str">
        <f ca="1">VLOOKUP($F55,OFFSET([1]characters!$A$2,0,0,COUNTA([1]characters!$A:$A),MATCH($L$1,[1]characters!$1:$1,0)-MATCH($F$1,[1]characters!$2:$2,0)+2),MATCH($L$1,[1]characters!$1:$1,0)-MATCH($F$1,[1]characters!$2:$2,0)+2,FALSE)</f>
        <v>ヒューマン</v>
      </c>
      <c r="M55" s="6">
        <v>1</v>
      </c>
      <c r="N55" s="40">
        <f ca="1">VLOOKUP(D55,gacha_133_base!A:B,2,FALSE)</f>
        <v>174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>
      <c r="A56" s="8" t="str">
        <f t="shared" si="0"/>
        <v>11981</v>
      </c>
      <c r="B56" s="2">
        <f t="shared" si="3"/>
        <v>133</v>
      </c>
      <c r="C56" s="10" t="str">
        <f t="shared" ca="1" si="1"/>
        <v>1PremiumN5</v>
      </c>
      <c r="D56" s="10" t="str">
        <f t="shared" ca="1" si="2"/>
        <v>1PremiumN5</v>
      </c>
      <c r="E56" s="6">
        <v>1</v>
      </c>
      <c r="F56" s="7">
        <v>198</v>
      </c>
      <c r="G56" s="10" t="str">
        <f ca="1">VLOOKUP($F56,OFFSET([1]characters!$A$2,0,0,COUNTA([1]characters!$A:$A),MATCH(G$1,[1]characters!$2:$2,0)-MATCH($F$1,[1]characters!$2:$2,0)+1),MATCH(G$1,[1]characters!$2:$2,0)-MATCH($F$1,[1]characters!$2:$2,0)+1,FALSE)</f>
        <v>砕骨の剛腕 アキレス</v>
      </c>
      <c r="H56" s="10" t="str">
        <f ca="1">VLOOKUP($F56,OFFSET([1]characters!$A$2,0,0,COUNTA([1]characters!$A:$A),MATCH(H$1,[1]characters!$2:$2,0)-MATCH($F$1,[1]characters!$2:$2,0)+1),MATCH(H$1,[1]characters!$2:$2,0)-MATCH($F$1,[1]characters!$2:$2,0)+1,FALSE)</f>
        <v>PremiumN</v>
      </c>
      <c r="I56" s="10">
        <f ca="1">VLOOKUP($F56,OFFSET([1]characters!$A$2,0,0,COUNTA([1]characters!$A:$A),MATCH(I$1,[1]characters!$2:$2,0)-MATCH($F$1,[1]characters!$2:$2,0)+1),MATCH(I$1,[1]characters!$2:$2,0)-MATCH($F$1,[1]characters!$2:$2,0)+1,FALSE)</f>
        <v>5</v>
      </c>
      <c r="J56" s="10" t="str">
        <f ca="1">VLOOKUP($F56,OFFSET([1]characters!$A$2,0,0,COUNTA([1]characters!$A:$A),MATCH(J$1,[1]characters!$2:$2,0)-MATCH($F$1,[1]characters!$2:$2,0)+1),MATCH(J$1,[1]characters!$2:$2,0)-MATCH($F$1,[1]characters!$2:$2,0)+1,FALSE)</f>
        <v>yellow</v>
      </c>
      <c r="K56" s="10" t="str">
        <f ca="1">VLOOKUP($F56,OFFSET([1]characters!$A$2,0,0,COUNTA([1]characters!$A:$A),MATCH("タイプ",[1]characters!$1:$1,0)-MATCH($F$1,[1]characters!$2:$2,0)+2),MATCH("タイプ",[1]characters!$1:$1,0)-MATCH($F$1,[1]characters!$2:$2,0)+2,FALSE)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6" s="10" t="str">
        <f ca="1">VLOOKUP($F56,OFFSET([1]characters!$A$2,0,0,COUNTA([1]characters!$A:$A),MATCH($L$1,[1]characters!$1:$1,0)-MATCH($F$1,[1]characters!$2:$2,0)+2),MATCH($L$1,[1]characters!$1:$1,0)-MATCH($F$1,[1]characters!$2:$2,0)+2,FALSE)</f>
        <v>ヒューマン</v>
      </c>
      <c r="M56" s="6">
        <v>1</v>
      </c>
      <c r="N56" s="40">
        <f ca="1">VLOOKUP(D56,gacha_133_base!A:B,2,FALSE)</f>
        <v>174</v>
      </c>
      <c r="O56" s="28">
        <v>0</v>
      </c>
      <c r="P56" s="28">
        <v>0</v>
      </c>
      <c r="Q56" s="28">
        <v>0</v>
      </c>
      <c r="R56" s="28">
        <v>0</v>
      </c>
      <c r="S56" s="28">
        <v>1</v>
      </c>
    </row>
    <row r="57" spans="1:19" ht="21" customHeight="1">
      <c r="A57" s="8" t="str">
        <f t="shared" si="0"/>
        <v>12011</v>
      </c>
      <c r="B57" s="2">
        <f t="shared" si="3"/>
        <v>133</v>
      </c>
      <c r="C57" s="10" t="str">
        <f t="shared" ca="1" si="1"/>
        <v>1PremiumN5</v>
      </c>
      <c r="D57" s="10" t="str">
        <f t="shared" ca="1" si="2"/>
        <v>1PremiumN5</v>
      </c>
      <c r="E57" s="6">
        <v>1</v>
      </c>
      <c r="F57" s="7">
        <v>201</v>
      </c>
      <c r="G57" s="10" t="str">
        <f ca="1">VLOOKUP($F57,OFFSET([1]characters!$A$2,0,0,COUNTA([1]characters!$A:$A),MATCH(G$1,[1]characters!$2:$2,0)-MATCH($F$1,[1]characters!$2:$2,0)+1),MATCH(G$1,[1]characters!$2:$2,0)-MATCH($F$1,[1]characters!$2:$2,0)+1,FALSE)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57" s="10" t="str">
        <f ca="1">VLOOKUP($F57,OFFSET([1]characters!$A$2,0,0,COUNTA([1]characters!$A:$A),MATCH(H$1,[1]characters!$2:$2,0)-MATCH($F$1,[1]characters!$2:$2,0)+1),MATCH(H$1,[1]characters!$2:$2,0)-MATCH($F$1,[1]characters!$2:$2,0)+1,FALSE)</f>
        <v>PremiumN</v>
      </c>
      <c r="I57" s="10">
        <f ca="1">VLOOKUP($F57,OFFSET([1]characters!$A$2,0,0,COUNTA([1]characters!$A:$A),MATCH(I$1,[1]characters!$2:$2,0)-MATCH($F$1,[1]characters!$2:$2,0)+1),MATCH(I$1,[1]characters!$2:$2,0)-MATCH($F$1,[1]characters!$2:$2,0)+1,FALSE)</f>
        <v>5</v>
      </c>
      <c r="J57" s="10" t="str">
        <f ca="1">VLOOKUP($F57,OFFSET([1]characters!$A$2,0,0,COUNTA([1]characters!$A:$A),MATCH(J$1,[1]characters!$2:$2,0)-MATCH($F$1,[1]characters!$2:$2,0)+1),MATCH(J$1,[1]characters!$2:$2,0)-MATCH($F$1,[1]characters!$2:$2,0)+1,FALSE)</f>
        <v>blue</v>
      </c>
      <c r="K57" s="10" t="str">
        <f ca="1">VLOOKUP($F57,OFFSET([1]characters!$A$2,0,0,COUNTA([1]characters!$A:$A),MATCH("タイプ",[1]characters!$1:$1,0)-MATCH($F$1,[1]characters!$2:$2,0)+2),MATCH("タイプ",[1]characters!$1:$1,0)-MATCH($F$1,[1]characters!$2:$2,0)+2,FALSE)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7" s="10" t="str">
        <f ca="1">VLOOKUP($F57,OFFSET([1]characters!$A$2,0,0,COUNTA([1]characters!$A:$A),MATCH($L$1,[1]characters!$1:$1,0)-MATCH($F$1,[1]characters!$2:$2,0)+2),MATCH($L$1,[1]characters!$1:$1,0)-MATCH($F$1,[1]characters!$2:$2,0)+2,FALSE)</f>
        <v>ヒューマン</v>
      </c>
      <c r="M57" s="6">
        <v>1</v>
      </c>
      <c r="N57" s="40">
        <f ca="1">VLOOKUP(D57,gacha_133_base!A:B,2,FALSE)</f>
        <v>174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>
      <c r="A58" s="8" t="str">
        <f t="shared" si="0"/>
        <v>12041</v>
      </c>
      <c r="B58" s="2">
        <f t="shared" si="3"/>
        <v>133</v>
      </c>
      <c r="C58" s="10" t="str">
        <f t="shared" ca="1" si="1"/>
        <v>1PremiumN5</v>
      </c>
      <c r="D58" s="10" t="str">
        <f t="shared" ca="1" si="2"/>
        <v>1PremiumN5</v>
      </c>
      <c r="E58" s="6">
        <v>1</v>
      </c>
      <c r="F58" s="7">
        <v>204</v>
      </c>
      <c r="G58" s="10" t="str">
        <f ca="1">VLOOKUP($F58,OFFSET([1]characters!$A$2,0,0,COUNTA([1]characters!$A:$A),MATCH(G$1,[1]characters!$2:$2,0)-MATCH($F$1,[1]characters!$2:$2,0)+1),MATCH(G$1,[1]characters!$2:$2,0)-MATCH($F$1,[1]characters!$2:$2,0)+1,FALSE)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58" s="10" t="str">
        <f ca="1">VLOOKUP($F58,OFFSET([1]characters!$A$2,0,0,COUNTA([1]characters!$A:$A),MATCH(H$1,[1]characters!$2:$2,0)-MATCH($F$1,[1]characters!$2:$2,0)+1),MATCH(H$1,[1]characters!$2:$2,0)-MATCH($F$1,[1]characters!$2:$2,0)+1,FALSE)</f>
        <v>PremiumN</v>
      </c>
      <c r="I58" s="10">
        <f ca="1">VLOOKUP($F58,OFFSET([1]characters!$A$2,0,0,COUNTA([1]characters!$A:$A),MATCH(I$1,[1]characters!$2:$2,0)-MATCH($F$1,[1]characters!$2:$2,0)+1),MATCH(I$1,[1]characters!$2:$2,0)-MATCH($F$1,[1]characters!$2:$2,0)+1,FALSE)</f>
        <v>5</v>
      </c>
      <c r="J58" s="10" t="str">
        <f ca="1">VLOOKUP($F58,OFFSET([1]characters!$A$2,0,0,COUNTA([1]characters!$A:$A),MATCH(J$1,[1]characters!$2:$2,0)-MATCH($F$1,[1]characters!$2:$2,0)+1),MATCH(J$1,[1]characters!$2:$2,0)-MATCH($F$1,[1]characters!$2:$2,0)+1,FALSE)</f>
        <v>red</v>
      </c>
      <c r="K58" s="10" t="str">
        <f ca="1">VLOOKUP($F58,OFFSET([1]characters!$A$2,0,0,COUNTA([1]characters!$A:$A),MATCH("タイプ",[1]characters!$1:$1,0)-MATCH($F$1,[1]characters!$2:$2,0)+2),MATCH("タイプ",[1]characters!$1:$1,0)-MATCH($F$1,[1]characters!$2:$2,0)+2,FALSE)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8" s="10" t="str">
        <f ca="1">VLOOKUP($F58,OFFSET([1]characters!$A$2,0,0,COUNTA([1]characters!$A:$A),MATCH($L$1,[1]characters!$1:$1,0)-MATCH($F$1,[1]characters!$2:$2,0)+2),MATCH($L$1,[1]characters!$1:$1,0)-MATCH($F$1,[1]characters!$2:$2,0)+2,FALSE)</f>
        <v>ゴッド</v>
      </c>
      <c r="M58" s="6">
        <v>1</v>
      </c>
      <c r="N58" s="40">
        <f ca="1">VLOOKUP(D58,gacha_133_base!A:B,2,FALSE)</f>
        <v>174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>
      <c r="A59" s="8" t="str">
        <f t="shared" si="0"/>
        <v>12071</v>
      </c>
      <c r="B59" s="2">
        <f t="shared" si="3"/>
        <v>133</v>
      </c>
      <c r="C59" s="10" t="str">
        <f t="shared" ca="1" si="1"/>
        <v>1PremiumN5</v>
      </c>
      <c r="D59" s="10" t="str">
        <f t="shared" ca="1" si="2"/>
        <v>1PremiumN5</v>
      </c>
      <c r="E59" s="6">
        <v>1</v>
      </c>
      <c r="F59" s="7">
        <v>207</v>
      </c>
      <c r="G59" s="10" t="str">
        <f ca="1">VLOOKUP($F59,OFFSET([1]characters!$A$2,0,0,COUNTA([1]characters!$A:$A),MATCH(G$1,[1]characters!$2:$2,0)-MATCH($F$1,[1]characters!$2:$2,0)+1),MATCH(G$1,[1]characters!$2:$2,0)-MATCH($F$1,[1]characters!$2:$2,0)+1,FALSE)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59" s="10" t="str">
        <f ca="1">VLOOKUP($F59,OFFSET([1]characters!$A$2,0,0,COUNTA([1]characters!$A:$A),MATCH(H$1,[1]characters!$2:$2,0)-MATCH($F$1,[1]characters!$2:$2,0)+1),MATCH(H$1,[1]characters!$2:$2,0)-MATCH($F$1,[1]characters!$2:$2,0)+1,FALSE)</f>
        <v>PremiumN</v>
      </c>
      <c r="I59" s="10">
        <f ca="1">VLOOKUP($F59,OFFSET([1]characters!$A$2,0,0,COUNTA([1]characters!$A:$A),MATCH(I$1,[1]characters!$2:$2,0)-MATCH($F$1,[1]characters!$2:$2,0)+1),MATCH(I$1,[1]characters!$2:$2,0)-MATCH($F$1,[1]characters!$2:$2,0)+1,FALSE)</f>
        <v>5</v>
      </c>
      <c r="J59" s="10" t="str">
        <f ca="1">VLOOKUP($F59,OFFSET([1]characters!$A$2,0,0,COUNTA([1]characters!$A:$A),MATCH(J$1,[1]characters!$2:$2,0)-MATCH($F$1,[1]characters!$2:$2,0)+1),MATCH(J$1,[1]characters!$2:$2,0)-MATCH($F$1,[1]characters!$2:$2,0)+1,FALSE)</f>
        <v>green</v>
      </c>
      <c r="K59" s="10" t="str">
        <f ca="1">VLOOKUP($F59,OFFSET([1]characters!$A$2,0,0,COUNTA([1]characters!$A:$A),MATCH("タイプ",[1]characters!$1:$1,0)-MATCH($F$1,[1]characters!$2:$2,0)+2),MATCH("タイプ",[1]characters!$1:$1,0)-MATCH($F$1,[1]characters!$2:$2,0)+2,FALSE)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9" s="10" t="str">
        <f ca="1">VLOOKUP($F59,OFFSET([1]characters!$A$2,0,0,COUNTA([1]characters!$A:$A),MATCH($L$1,[1]characters!$1:$1,0)-MATCH($F$1,[1]characters!$2:$2,0)+2),MATCH($L$1,[1]characters!$1:$1,0)-MATCH($F$1,[1]characters!$2:$2,0)+2,FALSE)</f>
        <v>ゴッド</v>
      </c>
      <c r="M59" s="6">
        <v>1</v>
      </c>
      <c r="N59" s="40">
        <f ca="1">VLOOKUP(D59,gacha_133_base!A:B,2,FALSE)</f>
        <v>174</v>
      </c>
      <c r="O59" s="28">
        <v>0</v>
      </c>
      <c r="P59" s="28">
        <v>0</v>
      </c>
      <c r="Q59" s="28">
        <v>0</v>
      </c>
      <c r="R59" s="28">
        <v>0</v>
      </c>
      <c r="S59" s="28">
        <v>1</v>
      </c>
    </row>
    <row r="60" spans="1:19" ht="21" customHeight="1">
      <c r="A60" s="8" t="str">
        <f t="shared" si="0"/>
        <v>12101</v>
      </c>
      <c r="B60" s="2">
        <f t="shared" si="3"/>
        <v>133</v>
      </c>
      <c r="C60" s="10" t="str">
        <f t="shared" ca="1" si="1"/>
        <v>1PremiumN5</v>
      </c>
      <c r="D60" s="10" t="str">
        <f t="shared" ca="1" si="2"/>
        <v>1PremiumN5</v>
      </c>
      <c r="E60" s="6">
        <v>1</v>
      </c>
      <c r="F60" s="7">
        <v>210</v>
      </c>
      <c r="G60" s="10" t="str">
        <f ca="1">VLOOKUP($F60,OFFSET([1]characters!$A$2,0,0,COUNTA([1]characters!$A:$A),MATCH(G$1,[1]characters!$2:$2,0)-MATCH($F$1,[1]characters!$2:$2,0)+1),MATCH(G$1,[1]characters!$2:$2,0)-MATCH($F$1,[1]characters!$2:$2,0)+1,FALSE)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60" s="10" t="str">
        <f ca="1">VLOOKUP($F60,OFFSET([1]characters!$A$2,0,0,COUNTA([1]characters!$A:$A),MATCH(H$1,[1]characters!$2:$2,0)-MATCH($F$1,[1]characters!$2:$2,0)+1),MATCH(H$1,[1]characters!$2:$2,0)-MATCH($F$1,[1]characters!$2:$2,0)+1,FALSE)</f>
        <v>PremiumN</v>
      </c>
      <c r="I60" s="10">
        <f ca="1">VLOOKUP($F60,OFFSET([1]characters!$A$2,0,0,COUNTA([1]characters!$A:$A),MATCH(I$1,[1]characters!$2:$2,0)-MATCH($F$1,[1]characters!$2:$2,0)+1),MATCH(I$1,[1]characters!$2:$2,0)-MATCH($F$1,[1]characters!$2:$2,0)+1,FALSE)</f>
        <v>5</v>
      </c>
      <c r="J60" s="10" t="str">
        <f ca="1">VLOOKUP($F60,OFFSET([1]characters!$A$2,0,0,COUNTA([1]characters!$A:$A),MATCH(J$1,[1]characters!$2:$2,0)-MATCH($F$1,[1]characters!$2:$2,0)+1),MATCH(J$1,[1]characters!$2:$2,0)-MATCH($F$1,[1]characters!$2:$2,0)+1,FALSE)</f>
        <v>blue</v>
      </c>
      <c r="K60" s="10" t="str">
        <f ca="1">VLOOKUP($F60,OFFSET([1]characters!$A$2,0,0,COUNTA([1]characters!$A:$A),MATCH("タイプ",[1]characters!$1:$1,0)-MATCH($F$1,[1]characters!$2:$2,0)+2),MATCH("タイプ",[1]characters!$1:$1,0)-MATCH($F$1,[1]characters!$2:$2,0)+2,FALSE)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0" s="10" t="str">
        <f ca="1">VLOOKUP($F60,OFFSET([1]characters!$A$2,0,0,COUNTA([1]characters!$A:$A),MATCH($L$1,[1]characters!$1:$1,0)-MATCH($F$1,[1]characters!$2:$2,0)+2),MATCH($L$1,[1]characters!$1:$1,0)-MATCH($F$1,[1]characters!$2:$2,0)+2,FALSE)</f>
        <v>ゴッド</v>
      </c>
      <c r="M60" s="6">
        <v>1</v>
      </c>
      <c r="N60" s="40">
        <f ca="1">VLOOKUP(D60,gacha_133_base!A:B,2,FALSE)</f>
        <v>174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>
      <c r="A61" s="8" t="str">
        <f t="shared" si="0"/>
        <v>12131</v>
      </c>
      <c r="B61" s="2">
        <f t="shared" si="3"/>
        <v>133</v>
      </c>
      <c r="C61" s="10" t="str">
        <f t="shared" ca="1" si="1"/>
        <v>1PremiumN5</v>
      </c>
      <c r="D61" s="10" t="str">
        <f t="shared" ca="1" si="2"/>
        <v>1PremiumN5</v>
      </c>
      <c r="E61" s="6">
        <v>1</v>
      </c>
      <c r="F61" s="7">
        <v>213</v>
      </c>
      <c r="G61" s="10" t="str">
        <f ca="1">VLOOKUP($F61,OFFSET([1]characters!$A$2,0,0,COUNTA([1]characters!$A:$A),MATCH(G$1,[1]characters!$2:$2,0)-MATCH($F$1,[1]characters!$2:$2,0)+1),MATCH(G$1,[1]characters!$2:$2,0)-MATCH($F$1,[1]characters!$2:$2,0)+1,FALSE)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61" s="10" t="str">
        <f ca="1">VLOOKUP($F61,OFFSET([1]characters!$A$2,0,0,COUNTA([1]characters!$A:$A),MATCH(H$1,[1]characters!$2:$2,0)-MATCH($F$1,[1]characters!$2:$2,0)+1),MATCH(H$1,[1]characters!$2:$2,0)-MATCH($F$1,[1]characters!$2:$2,0)+1,FALSE)</f>
        <v>PremiumN</v>
      </c>
      <c r="I61" s="10">
        <f ca="1">VLOOKUP($F61,OFFSET([1]characters!$A$2,0,0,COUNTA([1]characters!$A:$A),MATCH(I$1,[1]characters!$2:$2,0)-MATCH($F$1,[1]characters!$2:$2,0)+1),MATCH(I$1,[1]characters!$2:$2,0)-MATCH($F$1,[1]characters!$2:$2,0)+1,FALSE)</f>
        <v>5</v>
      </c>
      <c r="J61" s="10" t="str">
        <f ca="1">VLOOKUP($F61,OFFSET([1]characters!$A$2,0,0,COUNTA([1]characters!$A:$A),MATCH(J$1,[1]characters!$2:$2,0)-MATCH($F$1,[1]characters!$2:$2,0)+1),MATCH(J$1,[1]characters!$2:$2,0)-MATCH($F$1,[1]characters!$2:$2,0)+1,FALSE)</f>
        <v>yellow</v>
      </c>
      <c r="K61" s="10" t="str">
        <f ca="1">VLOOKUP($F61,OFFSET([1]characters!$A$2,0,0,COUNTA([1]characters!$A:$A),MATCH("タイプ",[1]characters!$1:$1,0)-MATCH($F$1,[1]characters!$2:$2,0)+2),MATCH("タイプ",[1]characters!$1:$1,0)-MATCH($F$1,[1]characters!$2:$2,0)+2,FALSE)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1" s="10" t="str">
        <f ca="1">VLOOKUP($F61,OFFSET([1]characters!$A$2,0,0,COUNTA([1]characters!$A:$A),MATCH($L$1,[1]characters!$1:$1,0)-MATCH($F$1,[1]characters!$2:$2,0)+2),MATCH($L$1,[1]characters!$1:$1,0)-MATCH($F$1,[1]characters!$2:$2,0)+2,FALSE)</f>
        <v>ゴッド</v>
      </c>
      <c r="M61" s="6">
        <v>1</v>
      </c>
      <c r="N61" s="40">
        <f ca="1">VLOOKUP(D61,gacha_133_base!A:B,2,FALSE)</f>
        <v>174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>
      <c r="A62" s="8" t="str">
        <f t="shared" si="0"/>
        <v>12161</v>
      </c>
      <c r="B62" s="2">
        <f t="shared" si="3"/>
        <v>133</v>
      </c>
      <c r="C62" s="10" t="str">
        <f t="shared" ca="1" si="1"/>
        <v>1PremiumN5</v>
      </c>
      <c r="D62" s="10" t="str">
        <f t="shared" ca="1" si="2"/>
        <v>1PremiumN5</v>
      </c>
      <c r="E62" s="6">
        <v>1</v>
      </c>
      <c r="F62" s="7">
        <v>216</v>
      </c>
      <c r="G62" s="10" t="str">
        <f ca="1">VLOOKUP($F62,OFFSET([1]characters!$A$2,0,0,COUNTA([1]characters!$A:$A),MATCH(G$1,[1]characters!$2:$2,0)-MATCH($F$1,[1]characters!$2:$2,0)+1),MATCH(G$1,[1]characters!$2:$2,0)-MATCH($F$1,[1]characters!$2:$2,0)+1,FALSE)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62" s="10" t="str">
        <f ca="1">VLOOKUP($F62,OFFSET([1]characters!$A$2,0,0,COUNTA([1]characters!$A:$A),MATCH(H$1,[1]characters!$2:$2,0)-MATCH($F$1,[1]characters!$2:$2,0)+1),MATCH(H$1,[1]characters!$2:$2,0)-MATCH($F$1,[1]characters!$2:$2,0)+1,FALSE)</f>
        <v>PremiumN</v>
      </c>
      <c r="I62" s="10">
        <f ca="1">VLOOKUP($F62,OFFSET([1]characters!$A$2,0,0,COUNTA([1]characters!$A:$A),MATCH(I$1,[1]characters!$2:$2,0)-MATCH($F$1,[1]characters!$2:$2,0)+1),MATCH(I$1,[1]characters!$2:$2,0)-MATCH($F$1,[1]characters!$2:$2,0)+1,FALSE)</f>
        <v>5</v>
      </c>
      <c r="J62" s="10" t="str">
        <f ca="1">VLOOKUP($F62,OFFSET([1]characters!$A$2,0,0,COUNTA([1]characters!$A:$A),MATCH(J$1,[1]characters!$2:$2,0)-MATCH($F$1,[1]characters!$2:$2,0)+1),MATCH(J$1,[1]characters!$2:$2,0)-MATCH($F$1,[1]characters!$2:$2,0)+1,FALSE)</f>
        <v>red</v>
      </c>
      <c r="K62" s="10" t="str">
        <f ca="1">VLOOKUP($F62,OFFSET([1]characters!$A$2,0,0,COUNTA([1]characters!$A:$A),MATCH("タイプ",[1]characters!$1:$1,0)-MATCH($F$1,[1]characters!$2:$2,0)+2),MATCH("タイプ",[1]characters!$1:$1,0)-MATCH($F$1,[1]characters!$2:$2,0)+2,FALSE)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2" s="10" t="str">
        <f ca="1">VLOOKUP($F62,OFFSET([1]characters!$A$2,0,0,COUNTA([1]characters!$A:$A),MATCH($L$1,[1]characters!$1:$1,0)-MATCH($F$1,[1]characters!$2:$2,0)+2),MATCH($L$1,[1]characters!$1:$1,0)-MATCH($F$1,[1]characters!$2:$2,0)+2,FALSE)</f>
        <v>ゴッド</v>
      </c>
      <c r="M62" s="6">
        <v>1</v>
      </c>
      <c r="N62" s="40">
        <f ca="1">VLOOKUP(D62,gacha_133_base!A:B,2,FALSE)</f>
        <v>174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>
      <c r="A63" s="8" t="str">
        <f t="shared" si="0"/>
        <v>12191</v>
      </c>
      <c r="B63" s="2">
        <f t="shared" si="3"/>
        <v>133</v>
      </c>
      <c r="C63" s="10" t="str">
        <f t="shared" ca="1" si="1"/>
        <v>1PremiumN5</v>
      </c>
      <c r="D63" s="10" t="str">
        <f t="shared" ca="1" si="2"/>
        <v>1PremiumN5</v>
      </c>
      <c r="E63" s="6">
        <v>1</v>
      </c>
      <c r="F63" s="7">
        <v>219</v>
      </c>
      <c r="G63" s="10" t="str">
        <f ca="1">VLOOKUP($F63,OFFSET([1]characters!$A$2,0,0,COUNTA([1]characters!$A:$A),MATCH(G$1,[1]characters!$2:$2,0)-MATCH($F$1,[1]characters!$2:$2,0)+1),MATCH(G$1,[1]characters!$2:$2,0)-MATCH($F$1,[1]characters!$2:$2,0)+1,FALSE)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63" s="10" t="str">
        <f ca="1">VLOOKUP($F63,OFFSET([1]characters!$A$2,0,0,COUNTA([1]characters!$A:$A),MATCH(H$1,[1]characters!$2:$2,0)-MATCH($F$1,[1]characters!$2:$2,0)+1),MATCH(H$1,[1]characters!$2:$2,0)-MATCH($F$1,[1]characters!$2:$2,0)+1,FALSE)</f>
        <v>PremiumN</v>
      </c>
      <c r="I63" s="10">
        <f ca="1">VLOOKUP($F63,OFFSET([1]characters!$A$2,0,0,COUNTA([1]characters!$A:$A),MATCH(I$1,[1]characters!$2:$2,0)-MATCH($F$1,[1]characters!$2:$2,0)+1),MATCH(I$1,[1]characters!$2:$2,0)-MATCH($F$1,[1]characters!$2:$2,0)+1,FALSE)</f>
        <v>5</v>
      </c>
      <c r="J63" s="10" t="str">
        <f ca="1">VLOOKUP($F63,OFFSET([1]characters!$A$2,0,0,COUNTA([1]characters!$A:$A),MATCH(J$1,[1]characters!$2:$2,0)-MATCH($F$1,[1]characters!$2:$2,0)+1),MATCH(J$1,[1]characters!$2:$2,0)-MATCH($F$1,[1]characters!$2:$2,0)+1,FALSE)</f>
        <v>green</v>
      </c>
      <c r="K63" s="10" t="str">
        <f ca="1">VLOOKUP($F63,OFFSET([1]characters!$A$2,0,0,COUNTA([1]characters!$A:$A),MATCH("タイプ",[1]characters!$1:$1,0)-MATCH($F$1,[1]characters!$2:$2,0)+2),MATCH("タイプ",[1]characters!$1:$1,0)-MATCH($F$1,[1]characters!$2:$2,0)+2,FALSE)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3" s="10" t="str">
        <f ca="1">VLOOKUP($F63,OFFSET([1]characters!$A$2,0,0,COUNTA([1]characters!$A:$A),MATCH($L$1,[1]characters!$1:$1,0)-MATCH($F$1,[1]characters!$2:$2,0)+2),MATCH($L$1,[1]characters!$1:$1,0)-MATCH($F$1,[1]characters!$2:$2,0)+2,FALSE)</f>
        <v>ドラゴン</v>
      </c>
      <c r="M63" s="6">
        <v>1</v>
      </c>
      <c r="N63" s="40">
        <f ca="1">VLOOKUP(D63,gacha_133_base!A:B,2,FALSE)</f>
        <v>174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8" t="str">
        <f t="shared" si="0"/>
        <v>12221</v>
      </c>
      <c r="B64" s="2">
        <f t="shared" si="3"/>
        <v>133</v>
      </c>
      <c r="C64" s="10" t="str">
        <f t="shared" ca="1" si="1"/>
        <v>1PremiumN5</v>
      </c>
      <c r="D64" s="10" t="str">
        <f t="shared" ca="1" si="2"/>
        <v>1PremiumN5</v>
      </c>
      <c r="E64" s="6">
        <v>1</v>
      </c>
      <c r="F64" s="7">
        <v>222</v>
      </c>
      <c r="G64" s="10" t="str">
        <f ca="1">VLOOKUP($F64,OFFSET([1]characters!$A$2,0,0,COUNTA([1]characters!$A:$A),MATCH(G$1,[1]characters!$2:$2,0)-MATCH($F$1,[1]characters!$2:$2,0)+1),MATCH(G$1,[1]characters!$2:$2,0)-MATCH($F$1,[1]characters!$2:$2,0)+1,FALSE)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64" s="10" t="str">
        <f ca="1">VLOOKUP($F64,OFFSET([1]characters!$A$2,0,0,COUNTA([1]characters!$A:$A),MATCH(H$1,[1]characters!$2:$2,0)-MATCH($F$1,[1]characters!$2:$2,0)+1),MATCH(H$1,[1]characters!$2:$2,0)-MATCH($F$1,[1]characters!$2:$2,0)+1,FALSE)</f>
        <v>PremiumN</v>
      </c>
      <c r="I64" s="10">
        <f ca="1">VLOOKUP($F64,OFFSET([1]characters!$A$2,0,0,COUNTA([1]characters!$A:$A),MATCH(I$1,[1]characters!$2:$2,0)-MATCH($F$1,[1]characters!$2:$2,0)+1),MATCH(I$1,[1]characters!$2:$2,0)-MATCH($F$1,[1]characters!$2:$2,0)+1,FALSE)</f>
        <v>5</v>
      </c>
      <c r="J64" s="10" t="str">
        <f ca="1">VLOOKUP($F64,OFFSET([1]characters!$A$2,0,0,COUNTA([1]characters!$A:$A),MATCH(J$1,[1]characters!$2:$2,0)-MATCH($F$1,[1]characters!$2:$2,0)+1),MATCH(J$1,[1]characters!$2:$2,0)-MATCH($F$1,[1]characters!$2:$2,0)+1,FALSE)</f>
        <v>blue</v>
      </c>
      <c r="K64" s="10" t="str">
        <f ca="1">VLOOKUP($F64,OFFSET([1]characters!$A$2,0,0,COUNTA([1]characters!$A:$A),MATCH("タイプ",[1]characters!$1:$1,0)-MATCH($F$1,[1]characters!$2:$2,0)+2),MATCH("タイプ",[1]characters!$1:$1,0)-MATCH($F$1,[1]characters!$2:$2,0)+2,FALSE)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4" s="10" t="str">
        <f ca="1">VLOOKUP($F64,OFFSET([1]characters!$A$2,0,0,COUNTA([1]characters!$A:$A),MATCH($L$1,[1]characters!$1:$1,0)-MATCH($F$1,[1]characters!$2:$2,0)+2),MATCH($L$1,[1]characters!$1:$1,0)-MATCH($F$1,[1]characters!$2:$2,0)+2,FALSE)</f>
        <v>ゴッド</v>
      </c>
      <c r="M64" s="6">
        <v>1</v>
      </c>
      <c r="N64" s="40">
        <f ca="1">VLOOKUP(D64,gacha_133_base!A:B,2,FALSE)</f>
        <v>174</v>
      </c>
      <c r="O64" s="28">
        <v>0</v>
      </c>
      <c r="P64" s="28">
        <v>0</v>
      </c>
      <c r="Q64" s="28">
        <v>0</v>
      </c>
      <c r="R64" s="28">
        <v>0</v>
      </c>
      <c r="S64" s="28">
        <v>1</v>
      </c>
    </row>
    <row r="65" spans="1:19" ht="21" customHeight="1">
      <c r="A65" s="8" t="str">
        <f t="shared" si="0"/>
        <v>12251</v>
      </c>
      <c r="B65" s="2">
        <f t="shared" si="3"/>
        <v>133</v>
      </c>
      <c r="C65" s="10" t="str">
        <f t="shared" ca="1" si="1"/>
        <v>1PremiumN5</v>
      </c>
      <c r="D65" s="10" t="str">
        <f t="shared" ca="1" si="2"/>
        <v>1PremiumN5</v>
      </c>
      <c r="E65" s="6">
        <v>1</v>
      </c>
      <c r="F65" s="7">
        <v>225</v>
      </c>
      <c r="G65" s="10" t="str">
        <f ca="1">VLOOKUP($F65,OFFSET([1]characters!$A$2,0,0,COUNTA([1]characters!$A:$A),MATCH(G$1,[1]characters!$2:$2,0)-MATCH($F$1,[1]characters!$2:$2,0)+1),MATCH(G$1,[1]characters!$2:$2,0)-MATCH($F$1,[1]characters!$2:$2,0)+1,FALSE)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65" s="10" t="str">
        <f ca="1">VLOOKUP($F65,OFFSET([1]characters!$A$2,0,0,COUNTA([1]characters!$A:$A),MATCH(H$1,[1]characters!$2:$2,0)-MATCH($F$1,[1]characters!$2:$2,0)+1),MATCH(H$1,[1]characters!$2:$2,0)-MATCH($F$1,[1]characters!$2:$2,0)+1,FALSE)</f>
        <v>PremiumN</v>
      </c>
      <c r="I65" s="10">
        <f ca="1">VLOOKUP($F65,OFFSET([1]characters!$A$2,0,0,COUNTA([1]characters!$A:$A),MATCH(I$1,[1]characters!$2:$2,0)-MATCH($F$1,[1]characters!$2:$2,0)+1),MATCH(I$1,[1]characters!$2:$2,0)-MATCH($F$1,[1]characters!$2:$2,0)+1,FALSE)</f>
        <v>5</v>
      </c>
      <c r="J65" s="10" t="str">
        <f ca="1">VLOOKUP($F65,OFFSET([1]characters!$A$2,0,0,COUNTA([1]characters!$A:$A),MATCH(J$1,[1]characters!$2:$2,0)-MATCH($F$1,[1]characters!$2:$2,0)+1),MATCH(J$1,[1]characters!$2:$2,0)-MATCH($F$1,[1]characters!$2:$2,0)+1,FALSE)</f>
        <v>yellow</v>
      </c>
      <c r="K65" s="10" t="str">
        <f ca="1">VLOOKUP($F65,OFFSET([1]characters!$A$2,0,0,COUNTA([1]characters!$A:$A),MATCH("タイプ",[1]characters!$1:$1,0)-MATCH($F$1,[1]characters!$2:$2,0)+2),MATCH("タイプ",[1]characters!$1:$1,0)-MATCH($F$1,[1]characters!$2:$2,0)+2,FALSE)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5" s="10" t="str">
        <f ca="1">VLOOKUP($F65,OFFSET([1]characters!$A$2,0,0,COUNTA([1]characters!$A:$A),MATCH($L$1,[1]characters!$1:$1,0)-MATCH($F$1,[1]characters!$2:$2,0)+2),MATCH($L$1,[1]characters!$1:$1,0)-MATCH($F$1,[1]characters!$2:$2,0)+2,FALSE)</f>
        <v>ヒューマン</v>
      </c>
      <c r="M65" s="6">
        <v>1</v>
      </c>
      <c r="N65" s="40">
        <f ca="1">VLOOKUP(D65,gacha_133_base!A:B,2,FALSE)</f>
        <v>174</v>
      </c>
      <c r="O65" s="28">
        <v>0</v>
      </c>
      <c r="P65" s="28">
        <v>0</v>
      </c>
      <c r="Q65" s="28">
        <v>0</v>
      </c>
      <c r="R65" s="28">
        <v>0</v>
      </c>
      <c r="S65" s="28">
        <v>1</v>
      </c>
    </row>
    <row r="66" spans="1:19" ht="21" customHeight="1">
      <c r="A66" s="8" t="str">
        <f t="shared" ref="A66:A162" si="4">E66&amp;F66&amp;M66</f>
        <v>12281</v>
      </c>
      <c r="B66" s="2">
        <f t="shared" si="3"/>
        <v>133</v>
      </c>
      <c r="C66" s="10" t="str">
        <f ca="1">E66&amp;H66&amp;I66</f>
        <v>1PremiumS5</v>
      </c>
      <c r="D66" s="10" t="str">
        <f t="shared" ca="1" si="2"/>
        <v>1PremiumS5</v>
      </c>
      <c r="E66" s="6">
        <v>1</v>
      </c>
      <c r="F66" s="7">
        <v>228</v>
      </c>
      <c r="G66" s="10" t="str">
        <f ca="1">VLOOKUP($F66,OFFSET([1]characters!$A$2,0,0,COUNTA([1]characters!$A:$A),MATCH(G$1,[1]characters!$2:$2,0)-MATCH($F$1,[1]characters!$2:$2,0)+1),MATCH(G$1,[1]characters!$2:$2,0)-MATCH($F$1,[1]characters!$2:$2,0)+1,FALSE)</f>
        <v>殲滅の掃射砲 アレス</v>
      </c>
      <c r="H66" s="10" t="str">
        <f ca="1">VLOOKUP($F66,OFFSET([1]characters!$A$2,0,0,COUNTA([1]characters!$A:$A),MATCH(H$1,[1]characters!$2:$2,0)-MATCH($F$1,[1]characters!$2:$2,0)+1),MATCH(H$1,[1]characters!$2:$2,0)-MATCH($F$1,[1]characters!$2:$2,0)+1,FALSE)</f>
        <v>PremiumS</v>
      </c>
      <c r="I66" s="10">
        <f ca="1">VLOOKUP($F66,OFFSET([1]characters!$A$2,0,0,COUNTA([1]characters!$A:$A),MATCH(I$1,[1]characters!$2:$2,0)-MATCH($F$1,[1]characters!$2:$2,0)+1),MATCH(I$1,[1]characters!$2:$2,0)-MATCH($F$1,[1]characters!$2:$2,0)+1,FALSE)</f>
        <v>5</v>
      </c>
      <c r="J66" s="10" t="str">
        <f ca="1">VLOOKUP($F66,OFFSET([1]characters!$A$2,0,0,COUNTA([1]characters!$A:$A),MATCH(J$1,[1]characters!$2:$2,0)-MATCH($F$1,[1]characters!$2:$2,0)+1),MATCH(J$1,[1]characters!$2:$2,0)-MATCH($F$1,[1]characters!$2:$2,0)+1,FALSE)</f>
        <v>red</v>
      </c>
      <c r="K66" s="10" t="str">
        <f ca="1">VLOOKUP($F66,OFFSET([1]characters!$A$2,0,0,COUNTA([1]characters!$A:$A),MATCH("タイプ",[1]characters!$1:$1,0)-MATCH($F$1,[1]characters!$2:$2,0)+2),MATCH("タイプ",[1]characters!$1:$1,0)-MATCH($F$1,[1]characters!$2:$2,0)+2,FALSE)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6" s="10" t="str">
        <f ca="1">VLOOKUP($F66,OFFSET([1]characters!$A$2,0,0,COUNTA([1]characters!$A:$A),MATCH($L$1,[1]characters!$1:$1,0)-MATCH($F$1,[1]characters!$2:$2,0)+2),MATCH($L$1,[1]characters!$1:$1,0)-MATCH($F$1,[1]characters!$2:$2,0)+2,FALSE)</f>
        <v>ゴッド</v>
      </c>
      <c r="M66" s="6">
        <v>1</v>
      </c>
      <c r="N66" s="40">
        <f ca="1">VLOOKUP(D66,gacha_133_base!A:B,2,FALSE)</f>
        <v>8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8" t="str">
        <f t="shared" si="4"/>
        <v>12311</v>
      </c>
      <c r="B67" s="2">
        <f t="shared" si="3"/>
        <v>133</v>
      </c>
      <c r="C67" s="10" t="str">
        <f t="shared" ref="C67:C138" ca="1" si="5">E67&amp;H67&amp;I67</f>
        <v>1PremiumS5</v>
      </c>
      <c r="D67" s="10" t="str">
        <f t="shared" ref="D67:D138" ca="1" si="6">E67&amp;H67&amp;I67</f>
        <v>1PremiumS5</v>
      </c>
      <c r="E67" s="6">
        <v>1</v>
      </c>
      <c r="F67" s="7">
        <v>231</v>
      </c>
      <c r="G67" s="10" t="str">
        <f ca="1">VLOOKUP($F67,OFFSET([1]characters!$A$2,0,0,COUNTA([1]characters!$A:$A),MATCH(G$1,[1]characters!$2:$2,0)-MATCH($F$1,[1]characters!$2:$2,0)+1),MATCH(G$1,[1]characters!$2:$2,0)-MATCH($F$1,[1]characters!$2:$2,0)+1,FALSE)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67" s="10" t="str">
        <f ca="1">VLOOKUP($F67,OFFSET([1]characters!$A$2,0,0,COUNTA([1]characters!$A:$A),MATCH(H$1,[1]characters!$2:$2,0)-MATCH($F$1,[1]characters!$2:$2,0)+1),MATCH(H$1,[1]characters!$2:$2,0)-MATCH($F$1,[1]characters!$2:$2,0)+1,FALSE)</f>
        <v>PremiumS</v>
      </c>
      <c r="I67" s="10">
        <f ca="1">VLOOKUP($F67,OFFSET([1]characters!$A$2,0,0,COUNTA([1]characters!$A:$A),MATCH(I$1,[1]characters!$2:$2,0)-MATCH($F$1,[1]characters!$2:$2,0)+1),MATCH(I$1,[1]characters!$2:$2,0)-MATCH($F$1,[1]characters!$2:$2,0)+1,FALSE)</f>
        <v>5</v>
      </c>
      <c r="J67" s="10" t="str">
        <f ca="1">VLOOKUP($F67,OFFSET([1]characters!$A$2,0,0,COUNTA([1]characters!$A:$A),MATCH(J$1,[1]characters!$2:$2,0)-MATCH($F$1,[1]characters!$2:$2,0)+1),MATCH(J$1,[1]characters!$2:$2,0)-MATCH($F$1,[1]characters!$2:$2,0)+1,FALSE)</f>
        <v>green</v>
      </c>
      <c r="K67" s="10" t="str">
        <f ca="1">VLOOKUP($F67,OFFSET([1]characters!$A$2,0,0,COUNTA([1]characters!$A:$A),MATCH("タイプ",[1]characters!$1:$1,0)-MATCH($F$1,[1]characters!$2:$2,0)+2),MATCH("タイプ",[1]characters!$1:$1,0)-MATCH($F$1,[1]characters!$2:$2,0)+2,FALSE)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7" s="10" t="str">
        <f ca="1">VLOOKUP($F67,OFFSET([1]characters!$A$2,0,0,COUNTA([1]characters!$A:$A),MATCH($L$1,[1]characters!$1:$1,0)-MATCH($F$1,[1]characters!$2:$2,0)+2),MATCH($L$1,[1]characters!$1:$1,0)-MATCH($F$1,[1]characters!$2:$2,0)+2,FALSE)</f>
        <v>ドラゴン</v>
      </c>
      <c r="M67" s="6">
        <v>1</v>
      </c>
      <c r="N67" s="40">
        <f ca="1">VLOOKUP(D67,gacha_133_base!A:B,2,FALSE)</f>
        <v>8</v>
      </c>
      <c r="O67" s="28">
        <v>0</v>
      </c>
      <c r="P67" s="28">
        <v>0</v>
      </c>
      <c r="Q67" s="28">
        <v>0</v>
      </c>
      <c r="R67" s="28">
        <v>0</v>
      </c>
      <c r="S67" s="28">
        <v>1</v>
      </c>
    </row>
    <row r="68" spans="1:19" ht="21" customHeight="1">
      <c r="A68" s="8" t="str">
        <f t="shared" si="4"/>
        <v>12341</v>
      </c>
      <c r="B68" s="2">
        <f t="shared" ref="B68:B139" si="7">$B$2</f>
        <v>133</v>
      </c>
      <c r="C68" s="10" t="str">
        <f t="shared" ca="1" si="5"/>
        <v>1PremiumS5</v>
      </c>
      <c r="D68" s="10" t="str">
        <f t="shared" ca="1" si="6"/>
        <v>1PremiumS5</v>
      </c>
      <c r="E68" s="6">
        <v>1</v>
      </c>
      <c r="F68" s="7">
        <v>234</v>
      </c>
      <c r="G68" s="10" t="str">
        <f ca="1">VLOOKUP($F68,OFFSET([1]characters!$A$2,0,0,COUNTA([1]characters!$A:$A),MATCH(G$1,[1]characters!$2:$2,0)-MATCH($F$1,[1]characters!$2:$2,0)+1),MATCH(G$1,[1]characters!$2:$2,0)-MATCH($F$1,[1]characters!$2:$2,0)+1,FALSE)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68" s="10" t="str">
        <f ca="1">VLOOKUP($F68,OFFSET([1]characters!$A$2,0,0,COUNTA([1]characters!$A:$A),MATCH(H$1,[1]characters!$2:$2,0)-MATCH($F$1,[1]characters!$2:$2,0)+1),MATCH(H$1,[1]characters!$2:$2,0)-MATCH($F$1,[1]characters!$2:$2,0)+1,FALSE)</f>
        <v>PremiumS</v>
      </c>
      <c r="I68" s="10">
        <f ca="1">VLOOKUP($F68,OFFSET([1]characters!$A$2,0,0,COUNTA([1]characters!$A:$A),MATCH(I$1,[1]characters!$2:$2,0)-MATCH($F$1,[1]characters!$2:$2,0)+1),MATCH(I$1,[1]characters!$2:$2,0)-MATCH($F$1,[1]characters!$2:$2,0)+1,FALSE)</f>
        <v>5</v>
      </c>
      <c r="J68" s="10" t="str">
        <f ca="1">VLOOKUP($F68,OFFSET([1]characters!$A$2,0,0,COUNTA([1]characters!$A:$A),MATCH(J$1,[1]characters!$2:$2,0)-MATCH($F$1,[1]characters!$2:$2,0)+1),MATCH(J$1,[1]characters!$2:$2,0)-MATCH($F$1,[1]characters!$2:$2,0)+1,FALSE)</f>
        <v>blue</v>
      </c>
      <c r="K68" s="10" t="str">
        <f ca="1">VLOOKUP($F68,OFFSET([1]characters!$A$2,0,0,COUNTA([1]characters!$A:$A),MATCH("タイプ",[1]characters!$1:$1,0)-MATCH($F$1,[1]characters!$2:$2,0)+2),MATCH("タイプ",[1]characters!$1:$1,0)-MATCH($F$1,[1]characters!$2:$2,0)+2,FALSE)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8" s="10" t="str">
        <f ca="1">VLOOKUP($F68,OFFSET([1]characters!$A$2,0,0,COUNTA([1]characters!$A:$A),MATCH($L$1,[1]characters!$1:$1,0)-MATCH($F$1,[1]characters!$2:$2,0)+2),MATCH($L$1,[1]characters!$1:$1,0)-MATCH($F$1,[1]characters!$2:$2,0)+2,FALSE)</f>
        <v>ヒューマン</v>
      </c>
      <c r="M68" s="6">
        <v>1</v>
      </c>
      <c r="N68" s="40">
        <f ca="1">VLOOKUP(D68,gacha_133_base!A:B,2,FALSE)</f>
        <v>8</v>
      </c>
      <c r="O68" s="28">
        <v>0</v>
      </c>
      <c r="P68" s="28">
        <v>0</v>
      </c>
      <c r="Q68" s="28">
        <v>0</v>
      </c>
      <c r="R68" s="28">
        <v>0</v>
      </c>
      <c r="S68" s="28">
        <v>1</v>
      </c>
    </row>
    <row r="69" spans="1:19" s="26" customFormat="1" ht="21" customHeight="1" thickBot="1">
      <c r="A69" s="22" t="str">
        <f t="shared" si="4"/>
        <v>12371</v>
      </c>
      <c r="B69" s="2">
        <f t="shared" si="7"/>
        <v>133</v>
      </c>
      <c r="C69" s="10" t="str">
        <f t="shared" ca="1" si="5"/>
        <v>1PremiumS5</v>
      </c>
      <c r="D69" s="10" t="str">
        <f t="shared" ca="1" si="6"/>
        <v>1PremiumS5</v>
      </c>
      <c r="E69" s="6">
        <v>1</v>
      </c>
      <c r="F69" s="7">
        <v>237</v>
      </c>
      <c r="G69" s="10" t="str">
        <f ca="1">VLOOKUP($F69,OFFSET([1]characters!$A$2,0,0,COUNTA([1]characters!$A:$A),MATCH(G$1,[1]characters!$2:$2,0)-MATCH($F$1,[1]characters!$2:$2,0)+1),MATCH(G$1,[1]characters!$2:$2,0)-MATCH($F$1,[1]characters!$2:$2,0)+1,FALSE)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69" s="10" t="str">
        <f ca="1">VLOOKUP($F69,OFFSET([1]characters!$A$2,0,0,COUNTA([1]characters!$A:$A),MATCH(H$1,[1]characters!$2:$2,0)-MATCH($F$1,[1]characters!$2:$2,0)+1),MATCH(H$1,[1]characters!$2:$2,0)-MATCH($F$1,[1]characters!$2:$2,0)+1,FALSE)</f>
        <v>PremiumS</v>
      </c>
      <c r="I69" s="10">
        <f ca="1">VLOOKUP($F69,OFFSET([1]characters!$A$2,0,0,COUNTA([1]characters!$A:$A),MATCH(I$1,[1]characters!$2:$2,0)-MATCH($F$1,[1]characters!$2:$2,0)+1),MATCH(I$1,[1]characters!$2:$2,0)-MATCH($F$1,[1]characters!$2:$2,0)+1,FALSE)</f>
        <v>5</v>
      </c>
      <c r="J69" s="10" t="str">
        <f ca="1">VLOOKUP($F69,OFFSET([1]characters!$A$2,0,0,COUNTA([1]characters!$A:$A),MATCH(J$1,[1]characters!$2:$2,0)-MATCH($F$1,[1]characters!$2:$2,0)+1),MATCH(J$1,[1]characters!$2:$2,0)-MATCH($F$1,[1]characters!$2:$2,0)+1,FALSE)</f>
        <v>yellow</v>
      </c>
      <c r="K69" s="10" t="str">
        <f ca="1">VLOOKUP($F69,OFFSET([1]characters!$A$2,0,0,COUNTA([1]characters!$A:$A),MATCH("タイプ",[1]characters!$1:$1,0)-MATCH($F$1,[1]characters!$2:$2,0)+2),MATCH("タイプ",[1]characters!$1:$1,0)-MATCH($F$1,[1]characters!$2:$2,0)+2,FALSE)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9" s="10" t="str">
        <f ca="1">VLOOKUP($F69,OFFSET([1]characters!$A$2,0,0,COUNTA([1]characters!$A:$A),MATCH($L$1,[1]characters!$1:$1,0)-MATCH($F$1,[1]characters!$2:$2,0)+2),MATCH($L$1,[1]characters!$1:$1,0)-MATCH($F$1,[1]characters!$2:$2,0)+2,FALSE)</f>
        <v>ゴッド</v>
      </c>
      <c r="M69" s="6">
        <v>1</v>
      </c>
      <c r="N69" s="40">
        <f ca="1">VLOOKUP(D69,gacha_133_base!A:B,2,FALSE)</f>
        <v>8</v>
      </c>
      <c r="O69" s="28">
        <v>0</v>
      </c>
      <c r="P69" s="28">
        <v>0</v>
      </c>
      <c r="Q69" s="28">
        <v>0</v>
      </c>
      <c r="R69" s="28">
        <v>0</v>
      </c>
      <c r="S69" s="28">
        <v>1</v>
      </c>
    </row>
    <row r="70" spans="1:19" ht="21" customHeight="1">
      <c r="A70" s="8" t="str">
        <f t="shared" si="4"/>
        <v>12391</v>
      </c>
      <c r="B70" s="2">
        <f t="shared" si="7"/>
        <v>133</v>
      </c>
      <c r="C70" s="10" t="str">
        <f t="shared" ca="1" si="5"/>
        <v>1PremiumS4</v>
      </c>
      <c r="D70" s="10" t="str">
        <f t="shared" ca="1" si="6"/>
        <v>1PremiumS4</v>
      </c>
      <c r="E70" s="6">
        <v>1</v>
      </c>
      <c r="F70" s="19">
        <v>239</v>
      </c>
      <c r="G70" s="10" t="str">
        <f ca="1">VLOOKUP($F70,OFFSET([1]characters!$A$2,0,0,COUNTA([1]characters!$A:$A),MATCH(G$1,[1]characters!$2:$2,0)-MATCH($F$1,[1]characters!$2:$2,0)+1),MATCH(G$1,[1]characters!$2:$2,0)-MATCH($F$1,[1]characters!$2:$2,0)+1,FALSE)</f>
        <v>豪炎の天使 ウリエル</v>
      </c>
      <c r="H70" s="10" t="str">
        <f ca="1">VLOOKUP($F70,OFFSET([1]characters!$A$2,0,0,COUNTA([1]characters!$A:$A),MATCH(H$1,[1]characters!$2:$2,0)-MATCH($F$1,[1]characters!$2:$2,0)+1),MATCH(H$1,[1]characters!$2:$2,0)-MATCH($F$1,[1]characters!$2:$2,0)+1,FALSE)</f>
        <v>PremiumS</v>
      </c>
      <c r="I70" s="10">
        <f ca="1">VLOOKUP($F70,OFFSET([1]characters!$A$2,0,0,COUNTA([1]characters!$A:$A),MATCH(I$1,[1]characters!$2:$2,0)-MATCH($F$1,[1]characters!$2:$2,0)+1),MATCH(I$1,[1]characters!$2:$2,0)-MATCH($F$1,[1]characters!$2:$2,0)+1,FALSE)</f>
        <v>4</v>
      </c>
      <c r="J70" s="10" t="str">
        <f ca="1">VLOOKUP($F70,OFFSET([1]characters!$A$2,0,0,COUNTA([1]characters!$A:$A),MATCH(J$1,[1]characters!$2:$2,0)-MATCH($F$1,[1]characters!$2:$2,0)+1),MATCH(J$1,[1]characters!$2:$2,0)-MATCH($F$1,[1]characters!$2:$2,0)+1,FALSE)</f>
        <v>red</v>
      </c>
      <c r="K70" s="10" t="str">
        <f ca="1">VLOOKUP($F70,OFFSET([1]characters!$A$2,0,0,COUNTA([1]characters!$A:$A),MATCH("タイプ",[1]characters!$1:$1,0)-MATCH($F$1,[1]characters!$2:$2,0)+2),MATCH("タイプ",[1]characters!$1:$1,0)-MATCH($F$1,[1]characters!$2:$2,0)+2,FALSE)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0" s="10" t="str">
        <f ca="1">VLOOKUP($F70,OFFSET([1]characters!$A$2,0,0,COUNTA([1]characters!$A:$A),MATCH($L$1,[1]characters!$1:$1,0)-MATCH($F$1,[1]characters!$2:$2,0)+2),MATCH($L$1,[1]characters!$1:$1,0)-MATCH($F$1,[1]characters!$2:$2,0)+2,FALSE)</f>
        <v>マシン</v>
      </c>
      <c r="M70" s="6">
        <v>1</v>
      </c>
      <c r="N70" s="40">
        <f ca="1">VLOOKUP(D70,gacha_133_base!A:B,2,FALSE)</f>
        <v>200</v>
      </c>
      <c r="O70" s="28">
        <v>0</v>
      </c>
      <c r="P70" s="28">
        <v>0</v>
      </c>
      <c r="Q70" s="28">
        <v>0</v>
      </c>
      <c r="R70" s="28">
        <v>0</v>
      </c>
      <c r="S70" s="28">
        <v>1</v>
      </c>
    </row>
    <row r="71" spans="1:19" ht="21" customHeight="1">
      <c r="A71" s="8" t="str">
        <f t="shared" si="4"/>
        <v>12401</v>
      </c>
      <c r="B71" s="2">
        <f t="shared" si="7"/>
        <v>133</v>
      </c>
      <c r="C71" s="10" t="str">
        <f t="shared" ca="1" si="5"/>
        <v>1PremiumS5</v>
      </c>
      <c r="D71" s="10" t="str">
        <f t="shared" ca="1" si="6"/>
        <v>1PremiumS5</v>
      </c>
      <c r="E71" s="6">
        <v>1</v>
      </c>
      <c r="F71" s="19">
        <v>240</v>
      </c>
      <c r="G71" s="10" t="str">
        <f ca="1">VLOOKUP($F71,OFFSET([1]characters!$A$2,0,0,COUNTA([1]characters!$A:$A),MATCH(G$1,[1]characters!$2:$2,0)-MATCH($F$1,[1]characters!$2:$2,0)+1),MATCH(G$1,[1]characters!$2:$2,0)-MATCH($F$1,[1]characters!$2:$2,0)+1,FALSE)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71" s="10" t="str">
        <f ca="1">VLOOKUP($F71,OFFSET([1]characters!$A$2,0,0,COUNTA([1]characters!$A:$A),MATCH(H$1,[1]characters!$2:$2,0)-MATCH($F$1,[1]characters!$2:$2,0)+1),MATCH(H$1,[1]characters!$2:$2,0)-MATCH($F$1,[1]characters!$2:$2,0)+1,FALSE)</f>
        <v>PremiumS</v>
      </c>
      <c r="I71" s="10">
        <f ca="1">VLOOKUP($F71,OFFSET([1]characters!$A$2,0,0,COUNTA([1]characters!$A:$A),MATCH(I$1,[1]characters!$2:$2,0)-MATCH($F$1,[1]characters!$2:$2,0)+1),MATCH(I$1,[1]characters!$2:$2,0)-MATCH($F$1,[1]characters!$2:$2,0)+1,FALSE)</f>
        <v>5</v>
      </c>
      <c r="J71" s="10" t="str">
        <f ca="1">VLOOKUP($F71,OFFSET([1]characters!$A$2,0,0,COUNTA([1]characters!$A:$A),MATCH(J$1,[1]characters!$2:$2,0)-MATCH($F$1,[1]characters!$2:$2,0)+1),MATCH(J$1,[1]characters!$2:$2,0)-MATCH($F$1,[1]characters!$2:$2,0)+1,FALSE)</f>
        <v>red</v>
      </c>
      <c r="K71" s="10" t="str">
        <f ca="1">VLOOKUP($F71,OFFSET([1]characters!$A$2,0,0,COUNTA([1]characters!$A:$A),MATCH("タイプ",[1]characters!$1:$1,0)-MATCH($F$1,[1]characters!$2:$2,0)+2),MATCH("タイプ",[1]characters!$1:$1,0)-MATCH($F$1,[1]characters!$2:$2,0)+2,FALSE)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1" s="10" t="str">
        <f ca="1">VLOOKUP($F71,OFFSET([1]characters!$A$2,0,0,COUNTA([1]characters!$A:$A),MATCH($L$1,[1]characters!$1:$1,0)-MATCH($F$1,[1]characters!$2:$2,0)+2),MATCH($L$1,[1]characters!$1:$1,0)-MATCH($F$1,[1]characters!$2:$2,0)+2,FALSE)</f>
        <v>マシン</v>
      </c>
      <c r="M71" s="6">
        <v>1</v>
      </c>
      <c r="N71" s="40">
        <f ca="1">VLOOKUP(D71,gacha_133_base!A:B,2,FALSE)</f>
        <v>8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4"/>
        <v>12421</v>
      </c>
      <c r="B72" s="2">
        <f t="shared" si="7"/>
        <v>133</v>
      </c>
      <c r="C72" s="10" t="str">
        <f t="shared" ca="1" si="5"/>
        <v>1PremiumS4</v>
      </c>
      <c r="D72" s="10" t="str">
        <f t="shared" ca="1" si="6"/>
        <v>1PremiumS4</v>
      </c>
      <c r="E72" s="6">
        <v>1</v>
      </c>
      <c r="F72" s="19">
        <v>242</v>
      </c>
      <c r="G72" s="10" t="str">
        <f ca="1">VLOOKUP($F72,OFFSET([1]characters!$A$2,0,0,COUNTA([1]characters!$A:$A),MATCH(G$1,[1]characters!$2:$2,0)-MATCH($F$1,[1]characters!$2:$2,0)+1),MATCH(G$1,[1]characters!$2:$2,0)-MATCH($F$1,[1]characters!$2:$2,0)+1,FALSE)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72" s="10" t="str">
        <f ca="1">VLOOKUP($F72,OFFSET([1]characters!$A$2,0,0,COUNTA([1]characters!$A:$A),MATCH(H$1,[1]characters!$2:$2,0)-MATCH($F$1,[1]characters!$2:$2,0)+1),MATCH(H$1,[1]characters!$2:$2,0)-MATCH($F$1,[1]characters!$2:$2,0)+1,FALSE)</f>
        <v>PremiumS</v>
      </c>
      <c r="I72" s="10">
        <f ca="1">VLOOKUP($F72,OFFSET([1]characters!$A$2,0,0,COUNTA([1]characters!$A:$A),MATCH(I$1,[1]characters!$2:$2,0)-MATCH($F$1,[1]characters!$2:$2,0)+1),MATCH(I$1,[1]characters!$2:$2,0)-MATCH($F$1,[1]characters!$2:$2,0)+1,FALSE)</f>
        <v>4</v>
      </c>
      <c r="J72" s="10" t="str">
        <f ca="1">VLOOKUP($F72,OFFSET([1]characters!$A$2,0,0,COUNTA([1]characters!$A:$A),MATCH(J$1,[1]characters!$2:$2,0)-MATCH($F$1,[1]characters!$2:$2,0)+1),MATCH(J$1,[1]characters!$2:$2,0)-MATCH($F$1,[1]characters!$2:$2,0)+1,FALSE)</f>
        <v>green</v>
      </c>
      <c r="K72" s="10" t="str">
        <f ca="1">VLOOKUP($F72,OFFSET([1]characters!$A$2,0,0,COUNTA([1]characters!$A:$A),MATCH("タイプ",[1]characters!$1:$1,0)-MATCH($F$1,[1]characters!$2:$2,0)+2),MATCH("タイプ",[1]characters!$1:$1,0)-MATCH($F$1,[1]characters!$2:$2,0)+2,FALSE)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2" s="10" t="str">
        <f ca="1">VLOOKUP($F72,OFFSET([1]characters!$A$2,0,0,COUNTA([1]characters!$A:$A),MATCH($L$1,[1]characters!$1:$1,0)-MATCH($F$1,[1]characters!$2:$2,0)+2),MATCH($L$1,[1]characters!$1:$1,0)-MATCH($F$1,[1]characters!$2:$2,0)+2,FALSE)</f>
        <v>マシン</v>
      </c>
      <c r="M72" s="6">
        <v>1</v>
      </c>
      <c r="N72" s="40">
        <f ca="1">VLOOKUP(D72,gacha_133_base!A:B,2,FALSE)</f>
        <v>200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4"/>
        <v>12431</v>
      </c>
      <c r="B73" s="2">
        <f t="shared" si="7"/>
        <v>133</v>
      </c>
      <c r="C73" s="10" t="str">
        <f t="shared" ca="1" si="5"/>
        <v>1PremiumS5</v>
      </c>
      <c r="D73" s="10" t="str">
        <f t="shared" ca="1" si="6"/>
        <v>1PremiumS5</v>
      </c>
      <c r="E73" s="6">
        <v>1</v>
      </c>
      <c r="F73" s="19">
        <v>243</v>
      </c>
      <c r="G73" s="10" t="str">
        <f ca="1">VLOOKUP($F73,OFFSET([1]characters!$A$2,0,0,COUNTA([1]characters!$A:$A),MATCH(G$1,[1]characters!$2:$2,0)-MATCH($F$1,[1]characters!$2:$2,0)+1),MATCH(G$1,[1]characters!$2:$2,0)-MATCH($F$1,[1]characters!$2:$2,0)+1,FALSE)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73" s="10" t="str">
        <f ca="1">VLOOKUP($F73,OFFSET([1]characters!$A$2,0,0,COUNTA([1]characters!$A:$A),MATCH(H$1,[1]characters!$2:$2,0)-MATCH($F$1,[1]characters!$2:$2,0)+1),MATCH(H$1,[1]characters!$2:$2,0)-MATCH($F$1,[1]characters!$2:$2,0)+1,FALSE)</f>
        <v>PremiumS</v>
      </c>
      <c r="I73" s="10">
        <f ca="1">VLOOKUP($F73,OFFSET([1]characters!$A$2,0,0,COUNTA([1]characters!$A:$A),MATCH(I$1,[1]characters!$2:$2,0)-MATCH($F$1,[1]characters!$2:$2,0)+1),MATCH(I$1,[1]characters!$2:$2,0)-MATCH($F$1,[1]characters!$2:$2,0)+1,FALSE)</f>
        <v>5</v>
      </c>
      <c r="J73" s="10" t="str">
        <f ca="1">VLOOKUP($F73,OFFSET([1]characters!$A$2,0,0,COUNTA([1]characters!$A:$A),MATCH(J$1,[1]characters!$2:$2,0)-MATCH($F$1,[1]characters!$2:$2,0)+1),MATCH(J$1,[1]characters!$2:$2,0)-MATCH($F$1,[1]characters!$2:$2,0)+1,FALSE)</f>
        <v>green</v>
      </c>
      <c r="K73" s="10" t="str">
        <f ca="1">VLOOKUP($F73,OFFSET([1]characters!$A$2,0,0,COUNTA([1]characters!$A:$A),MATCH("タイプ",[1]characters!$1:$1,0)-MATCH($F$1,[1]characters!$2:$2,0)+2),MATCH("タイプ",[1]characters!$1:$1,0)-MATCH($F$1,[1]characters!$2:$2,0)+2,FALSE)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3" s="10" t="str">
        <f ca="1">VLOOKUP($F73,OFFSET([1]characters!$A$2,0,0,COUNTA([1]characters!$A:$A),MATCH($L$1,[1]characters!$1:$1,0)-MATCH($F$1,[1]characters!$2:$2,0)+2),MATCH($L$1,[1]characters!$1:$1,0)-MATCH($F$1,[1]characters!$2:$2,0)+2,FALSE)</f>
        <v>マシン</v>
      </c>
      <c r="M73" s="6">
        <v>1</v>
      </c>
      <c r="N73" s="40">
        <f ca="1">VLOOKUP(D73,gacha_133_base!A:B,2,FALSE)</f>
        <v>8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4"/>
        <v>12451</v>
      </c>
      <c r="B74" s="2">
        <f t="shared" si="7"/>
        <v>133</v>
      </c>
      <c r="C74" s="10" t="str">
        <f t="shared" ca="1" si="5"/>
        <v>1PremiumS4</v>
      </c>
      <c r="D74" s="10" t="str">
        <f t="shared" ca="1" si="6"/>
        <v>1PremiumS4</v>
      </c>
      <c r="E74" s="6">
        <v>1</v>
      </c>
      <c r="F74" s="19">
        <v>245</v>
      </c>
      <c r="G74" s="10" t="str">
        <f ca="1">VLOOKUP($F74,OFFSET([1]characters!$A$2,0,0,COUNTA([1]characters!$A:$A),MATCH(G$1,[1]characters!$2:$2,0)-MATCH($F$1,[1]characters!$2:$2,0)+1),MATCH(G$1,[1]characters!$2:$2,0)-MATCH($F$1,[1]characters!$2:$2,0)+1,FALSE)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74" s="10" t="str">
        <f ca="1">VLOOKUP($F74,OFFSET([1]characters!$A$2,0,0,COUNTA([1]characters!$A:$A),MATCH(H$1,[1]characters!$2:$2,0)-MATCH($F$1,[1]characters!$2:$2,0)+1),MATCH(H$1,[1]characters!$2:$2,0)-MATCH($F$1,[1]characters!$2:$2,0)+1,FALSE)</f>
        <v>PremiumS</v>
      </c>
      <c r="I74" s="10">
        <f ca="1">VLOOKUP($F74,OFFSET([1]characters!$A$2,0,0,COUNTA([1]characters!$A:$A),MATCH(I$1,[1]characters!$2:$2,0)-MATCH($F$1,[1]characters!$2:$2,0)+1),MATCH(I$1,[1]characters!$2:$2,0)-MATCH($F$1,[1]characters!$2:$2,0)+1,FALSE)</f>
        <v>4</v>
      </c>
      <c r="J74" s="10" t="str">
        <f ca="1">VLOOKUP($F74,OFFSET([1]characters!$A$2,0,0,COUNTA([1]characters!$A:$A),MATCH(J$1,[1]characters!$2:$2,0)-MATCH($F$1,[1]characters!$2:$2,0)+1),MATCH(J$1,[1]characters!$2:$2,0)-MATCH($F$1,[1]characters!$2:$2,0)+1,FALSE)</f>
        <v>blue</v>
      </c>
      <c r="K74" s="10" t="str">
        <f ca="1">VLOOKUP($F74,OFFSET([1]characters!$A$2,0,0,COUNTA([1]characters!$A:$A),MATCH("タイプ",[1]characters!$1:$1,0)-MATCH($F$1,[1]characters!$2:$2,0)+2),MATCH("タイプ",[1]characters!$1:$1,0)-MATCH($F$1,[1]characters!$2:$2,0)+2,FALSE)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4" s="10" t="str">
        <f ca="1">VLOOKUP($F74,OFFSET([1]characters!$A$2,0,0,COUNTA([1]characters!$A:$A),MATCH($L$1,[1]characters!$1:$1,0)-MATCH($F$1,[1]characters!$2:$2,0)+2),MATCH($L$1,[1]characters!$1:$1,0)-MATCH($F$1,[1]characters!$2:$2,0)+2,FALSE)</f>
        <v>マシン</v>
      </c>
      <c r="M74" s="6">
        <v>1</v>
      </c>
      <c r="N74" s="40">
        <f ca="1">VLOOKUP(D74,gacha_133_base!A:B,2,FALSE)</f>
        <v>200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4"/>
        <v>12461</v>
      </c>
      <c r="B75" s="2">
        <f t="shared" si="7"/>
        <v>133</v>
      </c>
      <c r="C75" s="10" t="str">
        <f t="shared" ca="1" si="5"/>
        <v>1PremiumS5</v>
      </c>
      <c r="D75" s="10" t="str">
        <f t="shared" ca="1" si="6"/>
        <v>1PremiumS5</v>
      </c>
      <c r="E75" s="6">
        <v>1</v>
      </c>
      <c r="F75" s="19">
        <v>246</v>
      </c>
      <c r="G75" s="10" t="str">
        <f ca="1">VLOOKUP($F75,OFFSET([1]characters!$A$2,0,0,COUNTA([1]characters!$A:$A),MATCH(G$1,[1]characters!$2:$2,0)-MATCH($F$1,[1]characters!$2:$2,0)+1),MATCH(G$1,[1]characters!$2:$2,0)-MATCH($F$1,[1]characters!$2:$2,0)+1,FALSE)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75" s="10" t="str">
        <f ca="1">VLOOKUP($F75,OFFSET([1]characters!$A$2,0,0,COUNTA([1]characters!$A:$A),MATCH(H$1,[1]characters!$2:$2,0)-MATCH($F$1,[1]characters!$2:$2,0)+1),MATCH(H$1,[1]characters!$2:$2,0)-MATCH($F$1,[1]characters!$2:$2,0)+1,FALSE)</f>
        <v>PremiumS</v>
      </c>
      <c r="I75" s="10">
        <f ca="1">VLOOKUP($F75,OFFSET([1]characters!$A$2,0,0,COUNTA([1]characters!$A:$A),MATCH(I$1,[1]characters!$2:$2,0)-MATCH($F$1,[1]characters!$2:$2,0)+1),MATCH(I$1,[1]characters!$2:$2,0)-MATCH($F$1,[1]characters!$2:$2,0)+1,FALSE)</f>
        <v>5</v>
      </c>
      <c r="J75" s="10" t="str">
        <f ca="1">VLOOKUP($F75,OFFSET([1]characters!$A$2,0,0,COUNTA([1]characters!$A:$A),MATCH(J$1,[1]characters!$2:$2,0)-MATCH($F$1,[1]characters!$2:$2,0)+1),MATCH(J$1,[1]characters!$2:$2,0)-MATCH($F$1,[1]characters!$2:$2,0)+1,FALSE)</f>
        <v>blue</v>
      </c>
      <c r="K75" s="10" t="str">
        <f ca="1">VLOOKUP($F75,OFFSET([1]characters!$A$2,0,0,COUNTA([1]characters!$A:$A),MATCH("タイプ",[1]characters!$1:$1,0)-MATCH($F$1,[1]characters!$2:$2,0)+2),MATCH("タイプ",[1]characters!$1:$1,0)-MATCH($F$1,[1]characters!$2:$2,0)+2,FALSE)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5" s="10" t="str">
        <f ca="1">VLOOKUP($F75,OFFSET([1]characters!$A$2,0,0,COUNTA([1]characters!$A:$A),MATCH($L$1,[1]characters!$1:$1,0)-MATCH($F$1,[1]characters!$2:$2,0)+2),MATCH($L$1,[1]characters!$1:$1,0)-MATCH($F$1,[1]characters!$2:$2,0)+2,FALSE)</f>
        <v>マシン</v>
      </c>
      <c r="M75" s="6">
        <v>1</v>
      </c>
      <c r="N75" s="40">
        <f ca="1">VLOOKUP(D75,gacha_133_base!A:B,2,FALSE)</f>
        <v>8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4"/>
        <v>12481</v>
      </c>
      <c r="B76" s="2">
        <f t="shared" si="7"/>
        <v>133</v>
      </c>
      <c r="C76" s="10" t="str">
        <f t="shared" ca="1" si="5"/>
        <v>1PremiumS4</v>
      </c>
      <c r="D76" s="10" t="str">
        <f t="shared" ca="1" si="6"/>
        <v>1PremiumS4</v>
      </c>
      <c r="E76" s="6">
        <v>1</v>
      </c>
      <c r="F76" s="19">
        <v>248</v>
      </c>
      <c r="G76" s="10" t="str">
        <f ca="1">VLOOKUP($F76,OFFSET([1]characters!$A$2,0,0,COUNTA([1]characters!$A:$A),MATCH(G$1,[1]characters!$2:$2,0)-MATCH($F$1,[1]characters!$2:$2,0)+1),MATCH(G$1,[1]characters!$2:$2,0)-MATCH($F$1,[1]characters!$2:$2,0)+1,FALSE)</f>
        <v>彩電の天使 ミカエル</v>
      </c>
      <c r="H76" s="10" t="str">
        <f ca="1">VLOOKUP($F76,OFFSET([1]characters!$A$2,0,0,COUNTA([1]characters!$A:$A),MATCH(H$1,[1]characters!$2:$2,0)-MATCH($F$1,[1]characters!$2:$2,0)+1),MATCH(H$1,[1]characters!$2:$2,0)-MATCH($F$1,[1]characters!$2:$2,0)+1,FALSE)</f>
        <v>PremiumS</v>
      </c>
      <c r="I76" s="10">
        <f ca="1">VLOOKUP($F76,OFFSET([1]characters!$A$2,0,0,COUNTA([1]characters!$A:$A),MATCH(I$1,[1]characters!$2:$2,0)-MATCH($F$1,[1]characters!$2:$2,0)+1),MATCH(I$1,[1]characters!$2:$2,0)-MATCH($F$1,[1]characters!$2:$2,0)+1,FALSE)</f>
        <v>4</v>
      </c>
      <c r="J76" s="10" t="str">
        <f ca="1">VLOOKUP($F76,OFFSET([1]characters!$A$2,0,0,COUNTA([1]characters!$A:$A),MATCH(J$1,[1]characters!$2:$2,0)-MATCH($F$1,[1]characters!$2:$2,0)+1),MATCH(J$1,[1]characters!$2:$2,0)-MATCH($F$1,[1]characters!$2:$2,0)+1,FALSE)</f>
        <v>yellow</v>
      </c>
      <c r="K76" s="10" t="str">
        <f ca="1">VLOOKUP($F76,OFFSET([1]characters!$A$2,0,0,COUNTA([1]characters!$A:$A),MATCH("タイプ",[1]characters!$1:$1,0)-MATCH($F$1,[1]characters!$2:$2,0)+2),MATCH("タイプ",[1]characters!$1:$1,0)-MATCH($F$1,[1]characters!$2:$2,0)+2,FALSE)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6" s="10" t="str">
        <f ca="1">VLOOKUP($F76,OFFSET([1]characters!$A$2,0,0,COUNTA([1]characters!$A:$A),MATCH($L$1,[1]characters!$1:$1,0)-MATCH($F$1,[1]characters!$2:$2,0)+2),MATCH($L$1,[1]characters!$1:$1,0)-MATCH($F$1,[1]characters!$2:$2,0)+2,FALSE)</f>
        <v>マシン</v>
      </c>
      <c r="M76" s="6">
        <v>1</v>
      </c>
      <c r="N76" s="40">
        <f ca="1">VLOOKUP(D76,gacha_133_base!A:B,2,FALSE)</f>
        <v>200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s="26" customFormat="1" ht="21" customHeight="1" thickBot="1">
      <c r="A77" s="22" t="str">
        <f t="shared" si="4"/>
        <v>12491</v>
      </c>
      <c r="B77" s="2">
        <f t="shared" si="7"/>
        <v>133</v>
      </c>
      <c r="C77" s="10" t="str">
        <f t="shared" ca="1" si="5"/>
        <v>1PremiumS5</v>
      </c>
      <c r="D77" s="10" t="str">
        <f t="shared" ca="1" si="6"/>
        <v>1PremiumS5</v>
      </c>
      <c r="E77" s="6">
        <v>1</v>
      </c>
      <c r="F77" s="19">
        <v>249</v>
      </c>
      <c r="G77" s="10" t="str">
        <f ca="1">VLOOKUP($F77,OFFSET([1]characters!$A$2,0,0,COUNTA([1]characters!$A:$A),MATCH(G$1,[1]characters!$2:$2,0)-MATCH($F$1,[1]characters!$2:$2,0)+1),MATCH(G$1,[1]characters!$2:$2,0)-MATCH($F$1,[1]characters!$2:$2,0)+1,FALSE)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77" s="10" t="str">
        <f ca="1">VLOOKUP($F77,OFFSET([1]characters!$A$2,0,0,COUNTA([1]characters!$A:$A),MATCH(H$1,[1]characters!$2:$2,0)-MATCH($F$1,[1]characters!$2:$2,0)+1),MATCH(H$1,[1]characters!$2:$2,0)-MATCH($F$1,[1]characters!$2:$2,0)+1,FALSE)</f>
        <v>PremiumS</v>
      </c>
      <c r="I77" s="10">
        <f ca="1">VLOOKUP($F77,OFFSET([1]characters!$A$2,0,0,COUNTA([1]characters!$A:$A),MATCH(I$1,[1]characters!$2:$2,0)-MATCH($F$1,[1]characters!$2:$2,0)+1),MATCH(I$1,[1]characters!$2:$2,0)-MATCH($F$1,[1]characters!$2:$2,0)+1,FALSE)</f>
        <v>5</v>
      </c>
      <c r="J77" s="10" t="str">
        <f ca="1">VLOOKUP($F77,OFFSET([1]characters!$A$2,0,0,COUNTA([1]characters!$A:$A),MATCH(J$1,[1]characters!$2:$2,0)-MATCH($F$1,[1]characters!$2:$2,0)+1),MATCH(J$1,[1]characters!$2:$2,0)-MATCH($F$1,[1]characters!$2:$2,0)+1,FALSE)</f>
        <v>yellow</v>
      </c>
      <c r="K77" s="10" t="str">
        <f ca="1">VLOOKUP($F77,OFFSET([1]characters!$A$2,0,0,COUNTA([1]characters!$A:$A),MATCH("タイプ",[1]characters!$1:$1,0)-MATCH($F$1,[1]characters!$2:$2,0)+2),MATCH("タイプ",[1]characters!$1:$1,0)-MATCH($F$1,[1]characters!$2:$2,0)+2,FALSE)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7" s="10" t="str">
        <f ca="1">VLOOKUP($F77,OFFSET([1]characters!$A$2,0,0,COUNTA([1]characters!$A:$A),MATCH($L$1,[1]characters!$1:$1,0)-MATCH($F$1,[1]characters!$2:$2,0)+2),MATCH($L$1,[1]characters!$1:$1,0)-MATCH($F$1,[1]characters!$2:$2,0)+2,FALSE)</f>
        <v>マシン</v>
      </c>
      <c r="M77" s="6">
        <v>1</v>
      </c>
      <c r="N77" s="40">
        <f ca="1">VLOOKUP(D77,gacha_133_base!A:B,2,FALSE)</f>
        <v>8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 thickBot="1">
      <c r="A78" s="22" t="str">
        <f t="shared" si="4"/>
        <v>12511</v>
      </c>
      <c r="B78" s="2">
        <f t="shared" si="7"/>
        <v>133</v>
      </c>
      <c r="C78" s="10" t="str">
        <f t="shared" ca="1" si="5"/>
        <v>1PremiumS4</v>
      </c>
      <c r="D78" s="10" t="str">
        <f t="shared" ca="1" si="6"/>
        <v>1PremiumS4</v>
      </c>
      <c r="E78" s="6">
        <v>1</v>
      </c>
      <c r="F78" s="7">
        <v>251</v>
      </c>
      <c r="G78" s="10" t="str">
        <f ca="1">VLOOKUP($F78,OFFSET([1]characters!$A$2,0,0,COUNTA([1]characters!$A:$A),MATCH(G$1,[1]characters!$2:$2,0)-MATCH($F$1,[1]characters!$2:$2,0)+1),MATCH(G$1,[1]characters!$2:$2,0)-MATCH($F$1,[1]characters!$2:$2,0)+1,FALSE)</f>
        <v>強欲 マンモン</v>
      </c>
      <c r="H78" s="10" t="str">
        <f ca="1">VLOOKUP($F78,OFFSET([1]characters!$A$2,0,0,COUNTA([1]characters!$A:$A),MATCH(H$1,[1]characters!$2:$2,0)-MATCH($F$1,[1]characters!$2:$2,0)+1),MATCH(H$1,[1]characters!$2:$2,0)-MATCH($F$1,[1]characters!$2:$2,0)+1,FALSE)</f>
        <v>PremiumS</v>
      </c>
      <c r="I78" s="10">
        <f ca="1">VLOOKUP($F78,OFFSET([1]characters!$A$2,0,0,COUNTA([1]characters!$A:$A),MATCH(I$1,[1]characters!$2:$2,0)-MATCH($F$1,[1]characters!$2:$2,0)+1),MATCH(I$1,[1]characters!$2:$2,0)-MATCH($F$1,[1]characters!$2:$2,0)+1,FALSE)</f>
        <v>4</v>
      </c>
      <c r="J78" s="10" t="str">
        <f ca="1">VLOOKUP($F78,OFFSET([1]characters!$A$2,0,0,COUNTA([1]characters!$A:$A),MATCH(J$1,[1]characters!$2:$2,0)-MATCH($F$1,[1]characters!$2:$2,0)+1),MATCH(J$1,[1]characters!$2:$2,0)-MATCH($F$1,[1]characters!$2:$2,0)+1,FALSE)</f>
        <v>red</v>
      </c>
      <c r="K78" s="10" t="str">
        <f ca="1">VLOOKUP($F78,OFFSET([1]characters!$A$2,0,0,COUNTA([1]characters!$A:$A),MATCH("タイプ",[1]characters!$1:$1,0)-MATCH($F$1,[1]characters!$2:$2,0)+2),MATCH("タイプ",[1]characters!$1:$1,0)-MATCH($F$1,[1]characters!$2:$2,0)+2,FALSE)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8" s="10" t="str">
        <f ca="1">VLOOKUP($F78,OFFSET([1]characters!$A$2,0,0,COUNTA([1]characters!$A:$A),MATCH($L$1,[1]characters!$1:$1,0)-MATCH($F$1,[1]characters!$2:$2,0)+2),MATCH($L$1,[1]characters!$1:$1,0)-MATCH($F$1,[1]characters!$2:$2,0)+2,FALSE)</f>
        <v>ゴッド</v>
      </c>
      <c r="M78" s="6">
        <v>1</v>
      </c>
      <c r="N78" s="40">
        <f ca="1">VLOOKUP(D78,gacha_133_base!A:B,2,FALSE)</f>
        <v>200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 thickBot="1">
      <c r="A79" s="22" t="str">
        <f t="shared" si="4"/>
        <v>12521</v>
      </c>
      <c r="B79" s="2">
        <f t="shared" si="7"/>
        <v>133</v>
      </c>
      <c r="C79" s="10" t="str">
        <f t="shared" ca="1" si="5"/>
        <v>1PremiumS5</v>
      </c>
      <c r="D79" s="10" t="str">
        <f t="shared" ca="1" si="6"/>
        <v>1PremiumS5</v>
      </c>
      <c r="E79" s="6">
        <v>1</v>
      </c>
      <c r="F79" s="7">
        <v>252</v>
      </c>
      <c r="G79" s="10" t="str">
        <f ca="1">VLOOKUP($F79,OFFSET([1]characters!$A$2,0,0,COUNTA([1]characters!$A:$A),MATCH(G$1,[1]characters!$2:$2,0)-MATCH($F$1,[1]characters!$2:$2,0)+1),MATCH(G$1,[1]characters!$2:$2,0)-MATCH($F$1,[1]characters!$2:$2,0)+1,FALSE)</f>
        <v>強欲の沸騰 マンモン</v>
      </c>
      <c r="H79" s="10" t="str">
        <f ca="1">VLOOKUP($F79,OFFSET([1]characters!$A$2,0,0,COUNTA([1]characters!$A:$A),MATCH(H$1,[1]characters!$2:$2,0)-MATCH($F$1,[1]characters!$2:$2,0)+1),MATCH(H$1,[1]characters!$2:$2,0)-MATCH($F$1,[1]characters!$2:$2,0)+1,FALSE)</f>
        <v>PremiumS</v>
      </c>
      <c r="I79" s="10">
        <f ca="1">VLOOKUP($F79,OFFSET([1]characters!$A$2,0,0,COUNTA([1]characters!$A:$A),MATCH(I$1,[1]characters!$2:$2,0)-MATCH($F$1,[1]characters!$2:$2,0)+1),MATCH(I$1,[1]characters!$2:$2,0)-MATCH($F$1,[1]characters!$2:$2,0)+1,FALSE)</f>
        <v>5</v>
      </c>
      <c r="J79" s="10" t="str">
        <f ca="1">VLOOKUP($F79,OFFSET([1]characters!$A$2,0,0,COUNTA([1]characters!$A:$A),MATCH(J$1,[1]characters!$2:$2,0)-MATCH($F$1,[1]characters!$2:$2,0)+1),MATCH(J$1,[1]characters!$2:$2,0)-MATCH($F$1,[1]characters!$2:$2,0)+1,FALSE)</f>
        <v>red</v>
      </c>
      <c r="K79" s="10" t="str">
        <f ca="1">VLOOKUP($F79,OFFSET([1]characters!$A$2,0,0,COUNTA([1]characters!$A:$A),MATCH("タイプ",[1]characters!$1:$1,0)-MATCH($F$1,[1]characters!$2:$2,0)+2),MATCH("タイプ",[1]characters!$1:$1,0)-MATCH($F$1,[1]characters!$2:$2,0)+2,FALSE)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9" s="10" t="str">
        <f ca="1">VLOOKUP($F79,OFFSET([1]characters!$A$2,0,0,COUNTA([1]characters!$A:$A),MATCH($L$1,[1]characters!$1:$1,0)-MATCH($F$1,[1]characters!$2:$2,0)+2),MATCH($L$1,[1]characters!$1:$1,0)-MATCH($F$1,[1]characters!$2:$2,0)+2,FALSE)</f>
        <v>ゴッド</v>
      </c>
      <c r="M79" s="6">
        <v>1</v>
      </c>
      <c r="N79" s="40">
        <f ca="1">VLOOKUP(D79,gacha_133_base!A:B,2,FALSE)</f>
        <v>8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 thickBot="1">
      <c r="A80" s="22" t="str">
        <f t="shared" si="4"/>
        <v>12541</v>
      </c>
      <c r="B80" s="2">
        <f t="shared" si="7"/>
        <v>133</v>
      </c>
      <c r="C80" s="10" t="str">
        <f t="shared" ca="1" si="5"/>
        <v>1PremiumS4</v>
      </c>
      <c r="D80" s="10" t="str">
        <f t="shared" ca="1" si="6"/>
        <v>1PremiumS4</v>
      </c>
      <c r="E80" s="6">
        <v>1</v>
      </c>
      <c r="F80" s="7">
        <v>254</v>
      </c>
      <c r="G80" s="10" t="str">
        <f ca="1">VLOOKUP($F80,OFFSET([1]characters!$A$2,0,0,COUNTA([1]characters!$A:$A),MATCH(G$1,[1]characters!$2:$2,0)-MATCH($F$1,[1]characters!$2:$2,0)+1),MATCH(G$1,[1]characters!$2:$2,0)-MATCH($F$1,[1]characters!$2:$2,0)+1,FALSE)</f>
        <v>怠惰 ベルフェゴール</v>
      </c>
      <c r="H80" s="10" t="str">
        <f ca="1">VLOOKUP($F80,OFFSET([1]characters!$A$2,0,0,COUNTA([1]characters!$A:$A),MATCH(H$1,[1]characters!$2:$2,0)-MATCH($F$1,[1]characters!$2:$2,0)+1),MATCH(H$1,[1]characters!$2:$2,0)-MATCH($F$1,[1]characters!$2:$2,0)+1,FALSE)</f>
        <v>PremiumS</v>
      </c>
      <c r="I80" s="10">
        <f ca="1">VLOOKUP($F80,OFFSET([1]characters!$A$2,0,0,COUNTA([1]characters!$A:$A),MATCH(I$1,[1]characters!$2:$2,0)-MATCH($F$1,[1]characters!$2:$2,0)+1),MATCH(I$1,[1]characters!$2:$2,0)-MATCH($F$1,[1]characters!$2:$2,0)+1,FALSE)</f>
        <v>4</v>
      </c>
      <c r="J80" s="10" t="str">
        <f ca="1">VLOOKUP($F80,OFFSET([1]characters!$A$2,0,0,COUNTA([1]characters!$A:$A),MATCH(J$1,[1]characters!$2:$2,0)-MATCH($F$1,[1]characters!$2:$2,0)+1),MATCH(J$1,[1]characters!$2:$2,0)-MATCH($F$1,[1]characters!$2:$2,0)+1,FALSE)</f>
        <v>green</v>
      </c>
      <c r="K80" s="10" t="str">
        <f ca="1">VLOOKUP($F80,OFFSET([1]characters!$A$2,0,0,COUNTA([1]characters!$A:$A),MATCH("タイプ",[1]characters!$1:$1,0)-MATCH($F$1,[1]characters!$2:$2,0)+2),MATCH("タイプ",[1]characters!$1:$1,0)-MATCH($F$1,[1]characters!$2:$2,0)+2,FALSE)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0" s="10" t="str">
        <f ca="1">VLOOKUP($F80,OFFSET([1]characters!$A$2,0,0,COUNTA([1]characters!$A:$A),MATCH($L$1,[1]characters!$1:$1,0)-MATCH($F$1,[1]characters!$2:$2,0)+2),MATCH($L$1,[1]characters!$1:$1,0)-MATCH($F$1,[1]characters!$2:$2,0)+2,FALSE)</f>
        <v>ゴッド</v>
      </c>
      <c r="M80" s="6">
        <v>1</v>
      </c>
      <c r="N80" s="40">
        <f ca="1">VLOOKUP(D80,gacha_133_base!A:B,2,FALSE)</f>
        <v>200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 thickBot="1">
      <c r="A81" s="22" t="str">
        <f t="shared" si="4"/>
        <v>12551</v>
      </c>
      <c r="B81" s="2">
        <f t="shared" si="7"/>
        <v>133</v>
      </c>
      <c r="C81" s="10" t="str">
        <f t="shared" ca="1" si="5"/>
        <v>1PremiumS5</v>
      </c>
      <c r="D81" s="10" t="str">
        <f t="shared" ca="1" si="6"/>
        <v>1PremiumS5</v>
      </c>
      <c r="E81" s="6">
        <v>1</v>
      </c>
      <c r="F81" s="7">
        <v>255</v>
      </c>
      <c r="G81" s="10" t="str">
        <f ca="1">VLOOKUP($F81,OFFSET([1]characters!$A$2,0,0,COUNTA([1]characters!$A:$A),MATCH(G$1,[1]characters!$2:$2,0)-MATCH($F$1,[1]characters!$2:$2,0)+1),MATCH(G$1,[1]characters!$2:$2,0)-MATCH($F$1,[1]characters!$2:$2,0)+1,FALSE)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81" s="10" t="str">
        <f ca="1">VLOOKUP($F81,OFFSET([1]characters!$A$2,0,0,COUNTA([1]characters!$A:$A),MATCH(H$1,[1]characters!$2:$2,0)-MATCH($F$1,[1]characters!$2:$2,0)+1),MATCH(H$1,[1]characters!$2:$2,0)-MATCH($F$1,[1]characters!$2:$2,0)+1,FALSE)</f>
        <v>PremiumS</v>
      </c>
      <c r="I81" s="10">
        <f ca="1">VLOOKUP($F81,OFFSET([1]characters!$A$2,0,0,COUNTA([1]characters!$A:$A),MATCH(I$1,[1]characters!$2:$2,0)-MATCH($F$1,[1]characters!$2:$2,0)+1),MATCH(I$1,[1]characters!$2:$2,0)-MATCH($F$1,[1]characters!$2:$2,0)+1,FALSE)</f>
        <v>5</v>
      </c>
      <c r="J81" s="10" t="str">
        <f ca="1">VLOOKUP($F81,OFFSET([1]characters!$A$2,0,0,COUNTA([1]characters!$A:$A),MATCH(J$1,[1]characters!$2:$2,0)-MATCH($F$1,[1]characters!$2:$2,0)+1),MATCH(J$1,[1]characters!$2:$2,0)-MATCH($F$1,[1]characters!$2:$2,0)+1,FALSE)</f>
        <v>green</v>
      </c>
      <c r="K81" s="10" t="str">
        <f ca="1">VLOOKUP($F81,OFFSET([1]characters!$A$2,0,0,COUNTA([1]characters!$A:$A),MATCH("タイプ",[1]characters!$1:$1,0)-MATCH($F$1,[1]characters!$2:$2,0)+2),MATCH("タイプ",[1]characters!$1:$1,0)-MATCH($F$1,[1]characters!$2:$2,0)+2,FALSE)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1" s="10" t="str">
        <f ca="1">VLOOKUP($F81,OFFSET([1]characters!$A$2,0,0,COUNTA([1]characters!$A:$A),MATCH($L$1,[1]characters!$1:$1,0)-MATCH($F$1,[1]characters!$2:$2,0)+2),MATCH($L$1,[1]characters!$1:$1,0)-MATCH($F$1,[1]characters!$2:$2,0)+2,FALSE)</f>
        <v>ゴッド</v>
      </c>
      <c r="M81" s="6">
        <v>1</v>
      </c>
      <c r="N81" s="40">
        <f ca="1">VLOOKUP(D81,gacha_133_base!A:B,2,FALSE)</f>
        <v>8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 thickBot="1">
      <c r="A82" s="22" t="str">
        <f t="shared" si="4"/>
        <v>12571</v>
      </c>
      <c r="B82" s="2">
        <f t="shared" si="7"/>
        <v>133</v>
      </c>
      <c r="C82" s="10" t="str">
        <f t="shared" ca="1" si="5"/>
        <v>1PremiumS4</v>
      </c>
      <c r="D82" s="10" t="str">
        <f t="shared" ca="1" si="6"/>
        <v>1PremiumS4</v>
      </c>
      <c r="E82" s="6">
        <v>1</v>
      </c>
      <c r="F82" s="7">
        <v>257</v>
      </c>
      <c r="G82" s="10" t="str">
        <f ca="1">VLOOKUP($F82,OFFSET([1]characters!$A$2,0,0,COUNTA([1]characters!$A:$A),MATCH(G$1,[1]characters!$2:$2,0)-MATCH($F$1,[1]characters!$2:$2,0)+1),MATCH(G$1,[1]characters!$2:$2,0)-MATCH($F$1,[1]characters!$2:$2,0)+1,FALSE)</f>
        <v>色欲 アスモデウス</v>
      </c>
      <c r="H82" s="10" t="str">
        <f ca="1">VLOOKUP($F82,OFFSET([1]characters!$A$2,0,0,COUNTA([1]characters!$A:$A),MATCH(H$1,[1]characters!$2:$2,0)-MATCH($F$1,[1]characters!$2:$2,0)+1),MATCH(H$1,[1]characters!$2:$2,0)-MATCH($F$1,[1]characters!$2:$2,0)+1,FALSE)</f>
        <v>PremiumS</v>
      </c>
      <c r="I82" s="10">
        <f ca="1">VLOOKUP($F82,OFFSET([1]characters!$A$2,0,0,COUNTA([1]characters!$A:$A),MATCH(I$1,[1]characters!$2:$2,0)-MATCH($F$1,[1]characters!$2:$2,0)+1),MATCH(I$1,[1]characters!$2:$2,0)-MATCH($F$1,[1]characters!$2:$2,0)+1,FALSE)</f>
        <v>4</v>
      </c>
      <c r="J82" s="10" t="str">
        <f ca="1">VLOOKUP($F82,OFFSET([1]characters!$A$2,0,0,COUNTA([1]characters!$A:$A),MATCH(J$1,[1]characters!$2:$2,0)-MATCH($F$1,[1]characters!$2:$2,0)+1),MATCH(J$1,[1]characters!$2:$2,0)-MATCH($F$1,[1]characters!$2:$2,0)+1,FALSE)</f>
        <v>blue</v>
      </c>
      <c r="K82" s="10" t="str">
        <f ca="1">VLOOKUP($F82,OFFSET([1]characters!$A$2,0,0,COUNTA([1]characters!$A:$A),MATCH("タイプ",[1]characters!$1:$1,0)-MATCH($F$1,[1]characters!$2:$2,0)+2),MATCH("タイプ",[1]characters!$1:$1,0)-MATCH($F$1,[1]characters!$2:$2,0)+2,FALSE)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2" s="10" t="str">
        <f ca="1">VLOOKUP($F82,OFFSET([1]characters!$A$2,0,0,COUNTA([1]characters!$A:$A),MATCH($L$1,[1]characters!$1:$1,0)-MATCH($F$1,[1]characters!$2:$2,0)+2),MATCH($L$1,[1]characters!$1:$1,0)-MATCH($F$1,[1]characters!$2:$2,0)+2,FALSE)</f>
        <v>ゴッド</v>
      </c>
      <c r="M82" s="6">
        <v>1</v>
      </c>
      <c r="N82" s="40">
        <f ca="1">VLOOKUP(D82,gacha_133_base!A:B,2,FALSE)</f>
        <v>200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 thickBot="1">
      <c r="A83" s="22" t="str">
        <f t="shared" si="4"/>
        <v>12581</v>
      </c>
      <c r="B83" s="2">
        <f t="shared" si="7"/>
        <v>133</v>
      </c>
      <c r="C83" s="10" t="str">
        <f t="shared" ca="1" si="5"/>
        <v>1PremiumS5</v>
      </c>
      <c r="D83" s="10" t="str">
        <f t="shared" ca="1" si="6"/>
        <v>1PremiumS5</v>
      </c>
      <c r="E83" s="6">
        <v>1</v>
      </c>
      <c r="F83" s="7">
        <v>258</v>
      </c>
      <c r="G83" s="10" t="str">
        <f ca="1">VLOOKUP($F83,OFFSET([1]characters!$A$2,0,0,COUNTA([1]characters!$A:$A),MATCH(G$1,[1]characters!$2:$2,0)-MATCH($F$1,[1]characters!$2:$2,0)+1),MATCH(G$1,[1]characters!$2:$2,0)-MATCH($F$1,[1]characters!$2:$2,0)+1,FALSE)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83" s="10" t="str">
        <f ca="1">VLOOKUP($F83,OFFSET([1]characters!$A$2,0,0,COUNTA([1]characters!$A:$A),MATCH(H$1,[1]characters!$2:$2,0)-MATCH($F$1,[1]characters!$2:$2,0)+1),MATCH(H$1,[1]characters!$2:$2,0)-MATCH($F$1,[1]characters!$2:$2,0)+1,FALSE)</f>
        <v>PremiumS</v>
      </c>
      <c r="I83" s="10">
        <f ca="1">VLOOKUP($F83,OFFSET([1]characters!$A$2,0,0,COUNTA([1]characters!$A:$A),MATCH(I$1,[1]characters!$2:$2,0)-MATCH($F$1,[1]characters!$2:$2,0)+1),MATCH(I$1,[1]characters!$2:$2,0)-MATCH($F$1,[1]characters!$2:$2,0)+1,FALSE)</f>
        <v>5</v>
      </c>
      <c r="J83" s="10" t="str">
        <f ca="1">VLOOKUP($F83,OFFSET([1]characters!$A$2,0,0,COUNTA([1]characters!$A:$A),MATCH(J$1,[1]characters!$2:$2,0)-MATCH($F$1,[1]characters!$2:$2,0)+1),MATCH(J$1,[1]characters!$2:$2,0)-MATCH($F$1,[1]characters!$2:$2,0)+1,FALSE)</f>
        <v>blue</v>
      </c>
      <c r="K83" s="10" t="str">
        <f ca="1">VLOOKUP($F83,OFFSET([1]characters!$A$2,0,0,COUNTA([1]characters!$A:$A),MATCH("タイプ",[1]characters!$1:$1,0)-MATCH($F$1,[1]characters!$2:$2,0)+2),MATCH("タイプ",[1]characters!$1:$1,0)-MATCH($F$1,[1]characters!$2:$2,0)+2,FALSE)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3" s="10" t="str">
        <f ca="1">VLOOKUP($F83,OFFSET([1]characters!$A$2,0,0,COUNTA([1]characters!$A:$A),MATCH($L$1,[1]characters!$1:$1,0)-MATCH($F$1,[1]characters!$2:$2,0)+2),MATCH($L$1,[1]characters!$1:$1,0)-MATCH($F$1,[1]characters!$2:$2,0)+2,FALSE)</f>
        <v>ゴッド</v>
      </c>
      <c r="M83" s="6">
        <v>1</v>
      </c>
      <c r="N83" s="40">
        <f ca="1">VLOOKUP(D83,gacha_133_base!A:B,2,FALSE)</f>
        <v>8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 thickBot="1">
      <c r="A84" s="22" t="str">
        <f t="shared" si="4"/>
        <v>12601</v>
      </c>
      <c r="B84" s="2">
        <f t="shared" si="7"/>
        <v>133</v>
      </c>
      <c r="C84" s="10" t="str">
        <f t="shared" ca="1" si="5"/>
        <v>1PremiumS4</v>
      </c>
      <c r="D84" s="10" t="str">
        <f t="shared" ca="1" si="6"/>
        <v>1PremiumS4</v>
      </c>
      <c r="E84" s="6">
        <v>1</v>
      </c>
      <c r="F84" s="7">
        <v>260</v>
      </c>
      <c r="G84" s="10" t="str">
        <f ca="1">VLOOKUP($F84,OFFSET([1]characters!$A$2,0,0,COUNTA([1]characters!$A:$A),MATCH(G$1,[1]characters!$2:$2,0)-MATCH($F$1,[1]characters!$2:$2,0)+1),MATCH(G$1,[1]characters!$2:$2,0)-MATCH($F$1,[1]characters!$2:$2,0)+1,FALSE)</f>
        <v>輪廻 ウロボロス</v>
      </c>
      <c r="H84" s="10" t="str">
        <f ca="1">VLOOKUP($F84,OFFSET([1]characters!$A$2,0,0,COUNTA([1]characters!$A:$A),MATCH(H$1,[1]characters!$2:$2,0)-MATCH($F$1,[1]characters!$2:$2,0)+1),MATCH(H$1,[1]characters!$2:$2,0)-MATCH($F$1,[1]characters!$2:$2,0)+1,FALSE)</f>
        <v>PremiumS</v>
      </c>
      <c r="I84" s="10">
        <f ca="1">VLOOKUP($F84,OFFSET([1]characters!$A$2,0,0,COUNTA([1]characters!$A:$A),MATCH(I$1,[1]characters!$2:$2,0)-MATCH($F$1,[1]characters!$2:$2,0)+1),MATCH(I$1,[1]characters!$2:$2,0)-MATCH($F$1,[1]characters!$2:$2,0)+1,FALSE)</f>
        <v>4</v>
      </c>
      <c r="J84" s="10" t="str">
        <f ca="1">VLOOKUP($F84,OFFSET([1]characters!$A$2,0,0,COUNTA([1]characters!$A:$A),MATCH(J$1,[1]characters!$2:$2,0)-MATCH($F$1,[1]characters!$2:$2,0)+1),MATCH(J$1,[1]characters!$2:$2,0)-MATCH($F$1,[1]characters!$2:$2,0)+1,FALSE)</f>
        <v>yellow</v>
      </c>
      <c r="K84" s="10" t="str">
        <f ca="1">VLOOKUP($F84,OFFSET([1]characters!$A$2,0,0,COUNTA([1]characters!$A:$A),MATCH("タイプ",[1]characters!$1:$1,0)-MATCH($F$1,[1]characters!$2:$2,0)+2),MATCH("タイプ",[1]characters!$1:$1,0)-MATCH($F$1,[1]characters!$2:$2,0)+2,FALSE)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4" s="10" t="str">
        <f ca="1">VLOOKUP($F84,OFFSET([1]characters!$A$2,0,0,COUNTA([1]characters!$A:$A),MATCH($L$1,[1]characters!$1:$1,0)-MATCH($F$1,[1]characters!$2:$2,0)+2),MATCH($L$1,[1]characters!$1:$1,0)-MATCH($F$1,[1]characters!$2:$2,0)+2,FALSE)</f>
        <v>ドラゴン</v>
      </c>
      <c r="M84" s="6">
        <v>1</v>
      </c>
      <c r="N84" s="40">
        <f ca="1">VLOOKUP(D84,gacha_133_base!A:B,2,FALSE)</f>
        <v>200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 thickBot="1">
      <c r="A85" s="22" t="str">
        <f t="shared" si="4"/>
        <v>12611</v>
      </c>
      <c r="B85" s="2">
        <f t="shared" si="7"/>
        <v>133</v>
      </c>
      <c r="C85" s="10" t="str">
        <f t="shared" ca="1" si="5"/>
        <v>1PremiumS5</v>
      </c>
      <c r="D85" s="10" t="str">
        <f t="shared" ca="1" si="6"/>
        <v>1PremiumS5</v>
      </c>
      <c r="E85" s="6">
        <v>1</v>
      </c>
      <c r="F85" s="7">
        <v>261</v>
      </c>
      <c r="G85" s="10" t="str">
        <f ca="1">VLOOKUP($F85,OFFSET([1]characters!$A$2,0,0,COUNTA([1]characters!$A:$A),MATCH(G$1,[1]characters!$2:$2,0)-MATCH($F$1,[1]characters!$2:$2,0)+1),MATCH(G$1,[1]characters!$2:$2,0)-MATCH($F$1,[1]characters!$2:$2,0)+1,FALSE)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85" s="10" t="str">
        <f ca="1">VLOOKUP($F85,OFFSET([1]characters!$A$2,0,0,COUNTA([1]characters!$A:$A),MATCH(H$1,[1]characters!$2:$2,0)-MATCH($F$1,[1]characters!$2:$2,0)+1),MATCH(H$1,[1]characters!$2:$2,0)-MATCH($F$1,[1]characters!$2:$2,0)+1,FALSE)</f>
        <v>PremiumS</v>
      </c>
      <c r="I85" s="10">
        <f ca="1">VLOOKUP($F85,OFFSET([1]characters!$A$2,0,0,COUNTA([1]characters!$A:$A),MATCH(I$1,[1]characters!$2:$2,0)-MATCH($F$1,[1]characters!$2:$2,0)+1),MATCH(I$1,[1]characters!$2:$2,0)-MATCH($F$1,[1]characters!$2:$2,0)+1,FALSE)</f>
        <v>5</v>
      </c>
      <c r="J85" s="10" t="str">
        <f ca="1">VLOOKUP($F85,OFFSET([1]characters!$A$2,0,0,COUNTA([1]characters!$A:$A),MATCH(J$1,[1]characters!$2:$2,0)-MATCH($F$1,[1]characters!$2:$2,0)+1),MATCH(J$1,[1]characters!$2:$2,0)-MATCH($F$1,[1]characters!$2:$2,0)+1,FALSE)</f>
        <v>yellow</v>
      </c>
      <c r="K85" s="10" t="str">
        <f ca="1">VLOOKUP($F85,OFFSET([1]characters!$A$2,0,0,COUNTA([1]characters!$A:$A),MATCH("タイプ",[1]characters!$1:$1,0)-MATCH($F$1,[1]characters!$2:$2,0)+2),MATCH("タイプ",[1]characters!$1:$1,0)-MATCH($F$1,[1]characters!$2:$2,0)+2,FALSE)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5" s="10" t="str">
        <f ca="1">VLOOKUP($F85,OFFSET([1]characters!$A$2,0,0,COUNTA([1]characters!$A:$A),MATCH($L$1,[1]characters!$1:$1,0)-MATCH($F$1,[1]characters!$2:$2,0)+2),MATCH($L$1,[1]characters!$1:$1,0)-MATCH($F$1,[1]characters!$2:$2,0)+2,FALSE)</f>
        <v>ドラゴン</v>
      </c>
      <c r="M85" s="6">
        <v>1</v>
      </c>
      <c r="N85" s="40">
        <f ca="1">VLOOKUP(D85,gacha_133_base!A:B,2,FALSE)</f>
        <v>8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 thickBot="1">
      <c r="A86" s="22" t="str">
        <f t="shared" si="4"/>
        <v>13201</v>
      </c>
      <c r="B86" s="2">
        <f t="shared" si="7"/>
        <v>133</v>
      </c>
      <c r="C86" s="10" t="str">
        <f t="shared" ca="1" si="5"/>
        <v>1PremiumSS4</v>
      </c>
      <c r="D86" s="10" t="str">
        <f t="shared" ca="1" si="6"/>
        <v>1PremiumSS4</v>
      </c>
      <c r="E86" s="21">
        <v>1</v>
      </c>
      <c r="F86" s="27">
        <v>320</v>
      </c>
      <c r="G86" s="20" t="str">
        <f ca="1">VLOOKUP($F86,OFFSET([1]characters!$A$2,0,0,COUNTA([1]characters!$A:$A),MATCH(G$1,[1]characters!$2:$2,0)-MATCH($F$1,[1]characters!$2:$2,0)+1),MATCH(G$1,[1]characters!$2:$2,0)-MATCH($F$1,[1]characters!$2:$2,0)+1,FALSE)</f>
        <v>烈志士 近藤勇</v>
      </c>
      <c r="H86" s="20" t="str">
        <f ca="1">VLOOKUP($F86,OFFSET([1]characters!$A$2,0,0,COUNTA([1]characters!$A:$A),MATCH(H$1,[1]characters!$2:$2,0)-MATCH($F$1,[1]characters!$2:$2,0)+1),MATCH(H$1,[1]characters!$2:$2,0)-MATCH($F$1,[1]characters!$2:$2,0)+1,FALSE)</f>
        <v>PremiumSS</v>
      </c>
      <c r="I86" s="20">
        <f ca="1">VLOOKUP($F86,OFFSET([1]characters!$A$2,0,0,COUNTA([1]characters!$A:$A),MATCH(I$1,[1]characters!$2:$2,0)-MATCH($F$1,[1]characters!$2:$2,0)+1),MATCH(I$1,[1]characters!$2:$2,0)-MATCH($F$1,[1]characters!$2:$2,0)+1,FALSE)</f>
        <v>4</v>
      </c>
      <c r="J86" s="20" t="str">
        <f ca="1">VLOOKUP($F86,OFFSET([1]characters!$A$2,0,0,COUNTA([1]characters!$A:$A),MATCH(J$1,[1]characters!$2:$2,0)-MATCH($F$1,[1]characters!$2:$2,0)+1),MATCH(J$1,[1]characters!$2:$2,0)-MATCH($F$1,[1]characters!$2:$2,0)+1,FALSE)</f>
        <v>red</v>
      </c>
      <c r="K86" s="20" t="str">
        <f ca="1">VLOOKUP($F86,OFFSET([1]characters!$A$2,0,0,COUNTA([1]characters!$A:$A),MATCH("タイプ",[1]characters!$1:$1,0)-MATCH($F$1,[1]characters!$2:$2,0)+2),MATCH("タイプ",[1]characters!$1:$1,0)-MATCH($F$1,[1]characters!$2:$2,0)+2,FALSE)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6" s="20" t="str">
        <f ca="1">VLOOKUP($F86,OFFSET([1]characters!$A$2,0,0,COUNTA([1]characters!$A:$A),MATCH($L$1,[1]characters!$1:$1,0)-MATCH($F$1,[1]characters!$2:$2,0)+2),MATCH($L$1,[1]characters!$1:$1,0)-MATCH($F$1,[1]characters!$2:$2,0)+2,FALSE)</f>
        <v>ヒューマン</v>
      </c>
      <c r="M86" s="21">
        <v>1</v>
      </c>
      <c r="N86" s="40">
        <f ca="1">VLOOKUP(D86,gacha_133_base!A:B,2,FALSE)</f>
        <v>120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2" t="str">
        <f t="shared" si="4"/>
        <v>13211</v>
      </c>
      <c r="B87" s="2">
        <f t="shared" si="7"/>
        <v>133</v>
      </c>
      <c r="C87" s="10" t="str">
        <f t="shared" ca="1" si="5"/>
        <v>1PremiumSS5</v>
      </c>
      <c r="D87" s="10" t="str">
        <f t="shared" ca="1" si="6"/>
        <v>1PremiumSS5</v>
      </c>
      <c r="E87" s="6">
        <v>1</v>
      </c>
      <c r="F87" s="7">
        <v>321</v>
      </c>
      <c r="G87" s="10" t="str">
        <f ca="1">VLOOKUP($F87,OFFSET([1]characters!$A$2,0,0,COUNTA([1]characters!$A:$A),MATCH(G$1,[1]characters!$2:$2,0)-MATCH($F$1,[1]characters!$2:$2,0)+1),MATCH(G$1,[1]characters!$2:$2,0)-MATCH($F$1,[1]characters!$2:$2,0)+1,FALSE)</f>
        <v>巌鉄の烈志士 近藤勇</v>
      </c>
      <c r="H87" s="10" t="str">
        <f ca="1">VLOOKUP($F87,OFFSET([1]characters!$A$2,0,0,COUNTA([1]characters!$A:$A),MATCH(H$1,[1]characters!$2:$2,0)-MATCH($F$1,[1]characters!$2:$2,0)+1),MATCH(H$1,[1]characters!$2:$2,0)-MATCH($F$1,[1]characters!$2:$2,0)+1,FALSE)</f>
        <v>PremiumSS</v>
      </c>
      <c r="I87" s="10">
        <f ca="1">VLOOKUP($F87,OFFSET([1]characters!$A$2,0,0,COUNTA([1]characters!$A:$A),MATCH(I$1,[1]characters!$2:$2,0)-MATCH($F$1,[1]characters!$2:$2,0)+1),MATCH(I$1,[1]characters!$2:$2,0)-MATCH($F$1,[1]characters!$2:$2,0)+1,FALSE)</f>
        <v>5</v>
      </c>
      <c r="J87" s="10" t="str">
        <f ca="1">VLOOKUP($F87,OFFSET([1]characters!$A$2,0,0,COUNTA([1]characters!$A:$A),MATCH(J$1,[1]characters!$2:$2,0)-MATCH($F$1,[1]characters!$2:$2,0)+1),MATCH(J$1,[1]characters!$2:$2,0)-MATCH($F$1,[1]characters!$2:$2,0)+1,FALSE)</f>
        <v>red</v>
      </c>
      <c r="K87" s="10" t="str">
        <f ca="1">VLOOKUP($F87,OFFSET([1]characters!$A$2,0,0,COUNTA([1]characters!$A:$A),MATCH("タイプ",[1]characters!$1:$1,0)-MATCH($F$1,[1]characters!$2:$2,0)+2),MATCH("タイプ",[1]characters!$1:$1,0)-MATCH($F$1,[1]characters!$2:$2,0)+2,FALSE)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7" s="10" t="str">
        <f ca="1">VLOOKUP($F87,OFFSET([1]characters!$A$2,0,0,COUNTA([1]characters!$A:$A),MATCH($L$1,[1]characters!$1:$1,0)-MATCH($F$1,[1]characters!$2:$2,0)+2),MATCH($L$1,[1]characters!$1:$1,0)-MATCH($F$1,[1]characters!$2:$2,0)+2,FALSE)</f>
        <v>ヒューマン</v>
      </c>
      <c r="M87" s="6">
        <v>1</v>
      </c>
      <c r="N87" s="40">
        <f ca="1">VLOOKUP(D87,gacha_133_base!A:B,2,FALSE)</f>
        <v>5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 thickBot="1">
      <c r="A88" s="22" t="str">
        <f t="shared" si="4"/>
        <v>13221</v>
      </c>
      <c r="B88" s="2">
        <f t="shared" si="7"/>
        <v>133</v>
      </c>
      <c r="C88" s="10" t="str">
        <f t="shared" ca="1" si="5"/>
        <v>1PremiumSS4</v>
      </c>
      <c r="D88" s="10" t="str">
        <f t="shared" ca="1" si="6"/>
        <v>1PremiumSS4</v>
      </c>
      <c r="E88" s="6">
        <v>1</v>
      </c>
      <c r="F88" s="7">
        <v>322</v>
      </c>
      <c r="G88" s="10" t="str">
        <f ca="1">VLOOKUP($F88,OFFSET([1]characters!$A$2,0,0,COUNTA([1]characters!$A:$A),MATCH(G$1,[1]characters!$2:$2,0)-MATCH($F$1,[1]characters!$2:$2,0)+1),MATCH(G$1,[1]characters!$2:$2,0)-MATCH($F$1,[1]characters!$2:$2,0)+1,FALSE)</f>
        <v>愛志士 土方歳三</v>
      </c>
      <c r="H88" s="10" t="str">
        <f ca="1">VLOOKUP($F88,OFFSET([1]characters!$A$2,0,0,COUNTA([1]characters!$A:$A),MATCH(H$1,[1]characters!$2:$2,0)-MATCH($F$1,[1]characters!$2:$2,0)+1),MATCH(H$1,[1]characters!$2:$2,0)-MATCH($F$1,[1]characters!$2:$2,0)+1,FALSE)</f>
        <v>PremiumSS</v>
      </c>
      <c r="I88" s="10">
        <f ca="1">VLOOKUP($F88,OFFSET([1]characters!$A$2,0,0,COUNTA([1]characters!$A:$A),MATCH(I$1,[1]characters!$2:$2,0)-MATCH($F$1,[1]characters!$2:$2,0)+1),MATCH(I$1,[1]characters!$2:$2,0)-MATCH($F$1,[1]characters!$2:$2,0)+1,FALSE)</f>
        <v>4</v>
      </c>
      <c r="J88" s="10" t="str">
        <f ca="1">VLOOKUP($F88,OFFSET([1]characters!$A$2,0,0,COUNTA([1]characters!$A:$A),MATCH(J$1,[1]characters!$2:$2,0)-MATCH($F$1,[1]characters!$2:$2,0)+1),MATCH(J$1,[1]characters!$2:$2,0)-MATCH($F$1,[1]characters!$2:$2,0)+1,FALSE)</f>
        <v>green</v>
      </c>
      <c r="K88" s="10" t="str">
        <f ca="1">VLOOKUP($F88,OFFSET([1]characters!$A$2,0,0,COUNTA([1]characters!$A:$A),MATCH("タイプ",[1]characters!$1:$1,0)-MATCH($F$1,[1]characters!$2:$2,0)+2),MATCH("タイプ",[1]characters!$1:$1,0)-MATCH($F$1,[1]characters!$2:$2,0)+2,FALSE)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8" s="10" t="str">
        <f ca="1">VLOOKUP($F88,OFFSET([1]characters!$A$2,0,0,COUNTA([1]characters!$A:$A),MATCH($L$1,[1]characters!$1:$1,0)-MATCH($F$1,[1]characters!$2:$2,0)+2),MATCH($L$1,[1]characters!$1:$1,0)-MATCH($F$1,[1]characters!$2:$2,0)+2,FALSE)</f>
        <v>ヒューマン</v>
      </c>
      <c r="M88" s="6">
        <v>1</v>
      </c>
      <c r="N88" s="40">
        <f ca="1">VLOOKUP(D88,gacha_133_base!A:B,2,FALSE)</f>
        <v>120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 thickBot="1">
      <c r="A89" s="22" t="str">
        <f t="shared" si="4"/>
        <v>13231</v>
      </c>
      <c r="B89" s="2">
        <f t="shared" si="7"/>
        <v>133</v>
      </c>
      <c r="C89" s="10" t="str">
        <f t="shared" ca="1" si="5"/>
        <v>1PremiumSS5</v>
      </c>
      <c r="D89" s="10" t="str">
        <f t="shared" ca="1" si="6"/>
        <v>1PremiumSS5</v>
      </c>
      <c r="E89" s="6">
        <v>1</v>
      </c>
      <c r="F89" s="7">
        <v>323</v>
      </c>
      <c r="G89" s="10" t="str">
        <f ca="1">VLOOKUP($F89,OFFSET([1]characters!$A$2,0,0,COUNTA([1]characters!$A:$A),MATCH(G$1,[1]characters!$2:$2,0)-MATCH($F$1,[1]characters!$2:$2,0)+1),MATCH(G$1,[1]characters!$2:$2,0)-MATCH($F$1,[1]characters!$2:$2,0)+1,FALSE)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89" s="10" t="str">
        <f ca="1">VLOOKUP($F89,OFFSET([1]characters!$A$2,0,0,COUNTA([1]characters!$A:$A),MATCH(H$1,[1]characters!$2:$2,0)-MATCH($F$1,[1]characters!$2:$2,0)+1),MATCH(H$1,[1]characters!$2:$2,0)-MATCH($F$1,[1]characters!$2:$2,0)+1,FALSE)</f>
        <v>PremiumSS</v>
      </c>
      <c r="I89" s="10">
        <f ca="1">VLOOKUP($F89,OFFSET([1]characters!$A$2,0,0,COUNTA([1]characters!$A:$A),MATCH(I$1,[1]characters!$2:$2,0)-MATCH($F$1,[1]characters!$2:$2,0)+1),MATCH(I$1,[1]characters!$2:$2,0)-MATCH($F$1,[1]characters!$2:$2,0)+1,FALSE)</f>
        <v>5</v>
      </c>
      <c r="J89" s="10" t="str">
        <f ca="1">VLOOKUP($F89,OFFSET([1]characters!$A$2,0,0,COUNTA([1]characters!$A:$A),MATCH(J$1,[1]characters!$2:$2,0)-MATCH($F$1,[1]characters!$2:$2,0)+1),MATCH(J$1,[1]characters!$2:$2,0)-MATCH($F$1,[1]characters!$2:$2,0)+1,FALSE)</f>
        <v>green</v>
      </c>
      <c r="K89" s="10" t="str">
        <f ca="1">VLOOKUP($F89,OFFSET([1]characters!$A$2,0,0,COUNTA([1]characters!$A:$A),MATCH("タイプ",[1]characters!$1:$1,0)-MATCH($F$1,[1]characters!$2:$2,0)+2),MATCH("タイプ",[1]characters!$1:$1,0)-MATCH($F$1,[1]characters!$2:$2,0)+2,FALSE)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9" s="10" t="str">
        <f ca="1">VLOOKUP($F89,OFFSET([1]characters!$A$2,0,0,COUNTA([1]characters!$A:$A),MATCH($L$1,[1]characters!$1:$1,0)-MATCH($F$1,[1]characters!$2:$2,0)+2),MATCH($L$1,[1]characters!$1:$1,0)-MATCH($F$1,[1]characters!$2:$2,0)+2,FALSE)</f>
        <v>ヒューマン</v>
      </c>
      <c r="M89" s="6">
        <v>1</v>
      </c>
      <c r="N89" s="40">
        <f ca="1">VLOOKUP(D89,gacha_133_base!A:B,2,FALSE)</f>
        <v>5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 thickBot="1">
      <c r="A90" s="22" t="str">
        <f t="shared" si="4"/>
        <v>13241</v>
      </c>
      <c r="B90" s="2">
        <f t="shared" si="7"/>
        <v>133</v>
      </c>
      <c r="C90" s="10" t="str">
        <f t="shared" ca="1" si="5"/>
        <v>1PremiumSS4</v>
      </c>
      <c r="D90" s="10" t="str">
        <f t="shared" ca="1" si="6"/>
        <v>1PremiumSS4</v>
      </c>
      <c r="E90" s="6">
        <v>1</v>
      </c>
      <c r="F90" s="7">
        <v>324</v>
      </c>
      <c r="G90" s="10" t="str">
        <f ca="1">VLOOKUP($F90,OFFSET([1]characters!$A$2,0,0,COUNTA([1]characters!$A:$A),MATCH(G$1,[1]characters!$2:$2,0)-MATCH($F$1,[1]characters!$2:$2,0)+1),MATCH(G$1,[1]characters!$2:$2,0)-MATCH($F$1,[1]characters!$2:$2,0)+1,FALSE)</f>
        <v>凛志士 沖田総司</v>
      </c>
      <c r="H90" s="10" t="str">
        <f ca="1">VLOOKUP($F90,OFFSET([1]characters!$A$2,0,0,COUNTA([1]characters!$A:$A),MATCH(H$1,[1]characters!$2:$2,0)-MATCH($F$1,[1]characters!$2:$2,0)+1),MATCH(H$1,[1]characters!$2:$2,0)-MATCH($F$1,[1]characters!$2:$2,0)+1,FALSE)</f>
        <v>PremiumSS</v>
      </c>
      <c r="I90" s="10">
        <f ca="1">VLOOKUP($F90,OFFSET([1]characters!$A$2,0,0,COUNTA([1]characters!$A:$A),MATCH(I$1,[1]characters!$2:$2,0)-MATCH($F$1,[1]characters!$2:$2,0)+1),MATCH(I$1,[1]characters!$2:$2,0)-MATCH($F$1,[1]characters!$2:$2,0)+1,FALSE)</f>
        <v>4</v>
      </c>
      <c r="J90" s="10" t="str">
        <f ca="1">VLOOKUP($F90,OFFSET([1]characters!$A$2,0,0,COUNTA([1]characters!$A:$A),MATCH(J$1,[1]characters!$2:$2,0)-MATCH($F$1,[1]characters!$2:$2,0)+1),MATCH(J$1,[1]characters!$2:$2,0)-MATCH($F$1,[1]characters!$2:$2,0)+1,FALSE)</f>
        <v>blue</v>
      </c>
      <c r="K90" s="10" t="str">
        <f ca="1">VLOOKUP($F90,OFFSET([1]characters!$A$2,0,0,COUNTA([1]characters!$A:$A),MATCH("タイプ",[1]characters!$1:$1,0)-MATCH($F$1,[1]characters!$2:$2,0)+2),MATCH("タイプ",[1]characters!$1:$1,0)-MATCH($F$1,[1]characters!$2:$2,0)+2,FALSE)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0" s="10" t="str">
        <f ca="1">VLOOKUP($F90,OFFSET([1]characters!$A$2,0,0,COUNTA([1]characters!$A:$A),MATCH($L$1,[1]characters!$1:$1,0)-MATCH($F$1,[1]characters!$2:$2,0)+2),MATCH($L$1,[1]characters!$1:$1,0)-MATCH($F$1,[1]characters!$2:$2,0)+2,FALSE)</f>
        <v>ヒューマン</v>
      </c>
      <c r="M90" s="6">
        <v>1</v>
      </c>
      <c r="N90" s="40">
        <f ca="1">VLOOKUP(D90,gacha_133_base!A:B,2,FALSE)</f>
        <v>120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 thickBot="1">
      <c r="A91" s="22" t="str">
        <f t="shared" si="4"/>
        <v>13251</v>
      </c>
      <c r="B91" s="2">
        <f t="shared" si="7"/>
        <v>133</v>
      </c>
      <c r="C91" s="10" t="str">
        <f t="shared" ca="1" si="5"/>
        <v>1PremiumSS5</v>
      </c>
      <c r="D91" s="10" t="str">
        <f t="shared" ca="1" si="6"/>
        <v>1PremiumSS5</v>
      </c>
      <c r="E91" s="6">
        <v>1</v>
      </c>
      <c r="F91" s="7">
        <v>325</v>
      </c>
      <c r="G91" s="10" t="str">
        <f ca="1">VLOOKUP($F91,OFFSET([1]characters!$A$2,0,0,COUNTA([1]characters!$A:$A),MATCH(G$1,[1]characters!$2:$2,0)-MATCH($F$1,[1]characters!$2:$2,0)+1),MATCH(G$1,[1]characters!$2:$2,0)-MATCH($F$1,[1]characters!$2:$2,0)+1,FALSE)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91" s="10" t="str">
        <f ca="1">VLOOKUP($F91,OFFSET([1]characters!$A$2,0,0,COUNTA([1]characters!$A:$A),MATCH(H$1,[1]characters!$2:$2,0)-MATCH($F$1,[1]characters!$2:$2,0)+1),MATCH(H$1,[1]characters!$2:$2,0)-MATCH($F$1,[1]characters!$2:$2,0)+1,FALSE)</f>
        <v>PremiumSS</v>
      </c>
      <c r="I91" s="10">
        <f ca="1">VLOOKUP($F91,OFFSET([1]characters!$A$2,0,0,COUNTA([1]characters!$A:$A),MATCH(I$1,[1]characters!$2:$2,0)-MATCH($F$1,[1]characters!$2:$2,0)+1),MATCH(I$1,[1]characters!$2:$2,0)-MATCH($F$1,[1]characters!$2:$2,0)+1,FALSE)</f>
        <v>5</v>
      </c>
      <c r="J91" s="10" t="str">
        <f ca="1">VLOOKUP($F91,OFFSET([1]characters!$A$2,0,0,COUNTA([1]characters!$A:$A),MATCH(J$1,[1]characters!$2:$2,0)-MATCH($F$1,[1]characters!$2:$2,0)+1),MATCH(J$1,[1]characters!$2:$2,0)-MATCH($F$1,[1]characters!$2:$2,0)+1,FALSE)</f>
        <v>blue</v>
      </c>
      <c r="K91" s="10" t="str">
        <f ca="1">VLOOKUP($F91,OFFSET([1]characters!$A$2,0,0,COUNTA([1]characters!$A:$A),MATCH("タイプ",[1]characters!$1:$1,0)-MATCH($F$1,[1]characters!$2:$2,0)+2),MATCH("タイプ",[1]characters!$1:$1,0)-MATCH($F$1,[1]characters!$2:$2,0)+2,FALSE)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1" s="10" t="str">
        <f ca="1">VLOOKUP($F91,OFFSET([1]characters!$A$2,0,0,COUNTA([1]characters!$A:$A),MATCH($L$1,[1]characters!$1:$1,0)-MATCH($F$1,[1]characters!$2:$2,0)+2),MATCH($L$1,[1]characters!$1:$1,0)-MATCH($F$1,[1]characters!$2:$2,0)+2,FALSE)</f>
        <v>ヒューマン</v>
      </c>
      <c r="M91" s="6">
        <v>1</v>
      </c>
      <c r="N91" s="40">
        <f ca="1">VLOOKUP(D91,gacha_133_base!A:B,2,FALSE)</f>
        <v>5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 thickBot="1">
      <c r="A92" s="22" t="str">
        <f t="shared" si="4"/>
        <v>13261</v>
      </c>
      <c r="B92" s="2">
        <f t="shared" si="7"/>
        <v>133</v>
      </c>
      <c r="C92" s="10" t="str">
        <f t="shared" ca="1" si="5"/>
        <v>1PremiumSS4</v>
      </c>
      <c r="D92" s="10" t="str">
        <f t="shared" ca="1" si="6"/>
        <v>1PremiumSS4</v>
      </c>
      <c r="E92" s="32">
        <v>1</v>
      </c>
      <c r="F92" s="33">
        <v>326</v>
      </c>
      <c r="G92" s="34" t="str">
        <f ca="1">VLOOKUP($F92,OFFSET([1]characters!$A$2,0,0,COUNTA([1]characters!$A:$A),MATCH(G$1,[1]characters!$2:$2,0)-MATCH($F$1,[1]characters!$2:$2,0)+1),MATCH(G$1,[1]characters!$2:$2,0)-MATCH($F$1,[1]characters!$2:$2,0)+1,FALSE)</f>
        <v>妖志士 斎藤一</v>
      </c>
      <c r="H92" s="34" t="str">
        <f ca="1">VLOOKUP($F92,OFFSET([1]characters!$A$2,0,0,COUNTA([1]characters!$A:$A),MATCH(H$1,[1]characters!$2:$2,0)-MATCH($F$1,[1]characters!$2:$2,0)+1),MATCH(H$1,[1]characters!$2:$2,0)-MATCH($F$1,[1]characters!$2:$2,0)+1,FALSE)</f>
        <v>PremiumSS</v>
      </c>
      <c r="I92" s="34">
        <f ca="1">VLOOKUP($F92,OFFSET([1]characters!$A$2,0,0,COUNTA([1]characters!$A:$A),MATCH(I$1,[1]characters!$2:$2,0)-MATCH($F$1,[1]characters!$2:$2,0)+1),MATCH(I$1,[1]characters!$2:$2,0)-MATCH($F$1,[1]characters!$2:$2,0)+1,FALSE)</f>
        <v>4</v>
      </c>
      <c r="J92" s="34" t="str">
        <f ca="1">VLOOKUP($F92,OFFSET([1]characters!$A$2,0,0,COUNTA([1]characters!$A:$A),MATCH(J$1,[1]characters!$2:$2,0)-MATCH($F$1,[1]characters!$2:$2,0)+1),MATCH(J$1,[1]characters!$2:$2,0)-MATCH($F$1,[1]characters!$2:$2,0)+1,FALSE)</f>
        <v>yellow</v>
      </c>
      <c r="K92" s="34" t="str">
        <f ca="1">VLOOKUP($F92,OFFSET([1]characters!$A$2,0,0,COUNTA([1]characters!$A:$A),MATCH("タイプ",[1]characters!$1:$1,0)-MATCH($F$1,[1]characters!$2:$2,0)+2),MATCH("タイプ",[1]characters!$1:$1,0)-MATCH($F$1,[1]characters!$2:$2,0)+2,FALSE)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2" s="34" t="str">
        <f ca="1">VLOOKUP($F92,OFFSET([1]characters!$A$2,0,0,COUNTA([1]characters!$A:$A),MATCH($L$1,[1]characters!$1:$1,0)-MATCH($F$1,[1]characters!$2:$2,0)+2),MATCH($L$1,[1]characters!$1:$1,0)-MATCH($F$1,[1]characters!$2:$2,0)+2,FALSE)</f>
        <v>ヒューマン</v>
      </c>
      <c r="M92" s="32">
        <v>1</v>
      </c>
      <c r="N92" s="40">
        <f ca="1">VLOOKUP(D92,gacha_133_base!A:B,2,FALSE)</f>
        <v>120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2" t="str">
        <f t="shared" si="4"/>
        <v>13271</v>
      </c>
      <c r="B93" s="2">
        <f t="shared" si="7"/>
        <v>133</v>
      </c>
      <c r="C93" s="10" t="str">
        <f t="shared" ca="1" si="5"/>
        <v>1PremiumSS5</v>
      </c>
      <c r="D93" s="10" t="str">
        <f t="shared" ca="1" si="6"/>
        <v>1PremiumSS5</v>
      </c>
      <c r="E93" s="6">
        <v>1</v>
      </c>
      <c r="F93" s="7">
        <v>327</v>
      </c>
      <c r="G93" s="10" t="str">
        <f ca="1">VLOOKUP($F93,OFFSET([1]characters!$A$2,0,0,COUNTA([1]characters!$A:$A),MATCH(G$1,[1]characters!$2:$2,0)-MATCH($F$1,[1]characters!$2:$2,0)+1),MATCH(G$1,[1]characters!$2:$2,0)-MATCH($F$1,[1]characters!$2:$2,0)+1,FALSE)</f>
        <v>千殺の妖志士 斎藤一</v>
      </c>
      <c r="H93" s="10" t="str">
        <f ca="1">VLOOKUP($F93,OFFSET([1]characters!$A$2,0,0,COUNTA([1]characters!$A:$A),MATCH(H$1,[1]characters!$2:$2,0)-MATCH($F$1,[1]characters!$2:$2,0)+1),MATCH(H$1,[1]characters!$2:$2,0)-MATCH($F$1,[1]characters!$2:$2,0)+1,FALSE)</f>
        <v>PremiumSS</v>
      </c>
      <c r="I93" s="10">
        <f ca="1">VLOOKUP($F93,OFFSET([1]characters!$A$2,0,0,COUNTA([1]characters!$A:$A),MATCH(I$1,[1]characters!$2:$2,0)-MATCH($F$1,[1]characters!$2:$2,0)+1),MATCH(I$1,[1]characters!$2:$2,0)-MATCH($F$1,[1]characters!$2:$2,0)+1,FALSE)</f>
        <v>5</v>
      </c>
      <c r="J93" s="10" t="str">
        <f ca="1">VLOOKUP($F93,OFFSET([1]characters!$A$2,0,0,COUNTA([1]characters!$A:$A),MATCH(J$1,[1]characters!$2:$2,0)-MATCH($F$1,[1]characters!$2:$2,0)+1),MATCH(J$1,[1]characters!$2:$2,0)-MATCH($F$1,[1]characters!$2:$2,0)+1,FALSE)</f>
        <v>yellow</v>
      </c>
      <c r="K93" s="10" t="str">
        <f ca="1">VLOOKUP($F93,OFFSET([1]characters!$A$2,0,0,COUNTA([1]characters!$A:$A),MATCH("タイプ",[1]characters!$1:$1,0)-MATCH($F$1,[1]characters!$2:$2,0)+2),MATCH("タイプ",[1]characters!$1:$1,0)-MATCH($F$1,[1]characters!$2:$2,0)+2,FALSE)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3" s="10" t="str">
        <f ca="1">VLOOKUP($F93,OFFSET([1]characters!$A$2,0,0,COUNTA([1]characters!$A:$A),MATCH($L$1,[1]characters!$1:$1,0)-MATCH($F$1,[1]characters!$2:$2,0)+2),MATCH($L$1,[1]characters!$1:$1,0)-MATCH($F$1,[1]characters!$2:$2,0)+2,FALSE)</f>
        <v>ヒューマン</v>
      </c>
      <c r="M93" s="6">
        <v>1</v>
      </c>
      <c r="N93" s="40">
        <f ca="1">VLOOKUP(D93,gacha_133_base!A:B,2,FALSE)</f>
        <v>5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 thickBot="1">
      <c r="A94" s="22" t="str">
        <f t="shared" ref="A94:A101" si="8">E94&amp;F94&amp;M94</f>
        <v>13811</v>
      </c>
      <c r="B94" s="2">
        <f t="shared" si="7"/>
        <v>133</v>
      </c>
      <c r="C94" s="10" t="str">
        <f t="shared" ca="1" si="5"/>
        <v>1PremiumS4</v>
      </c>
      <c r="D94" s="10" t="str">
        <f t="shared" ca="1" si="6"/>
        <v>1PremiumS4</v>
      </c>
      <c r="E94" s="6">
        <v>1</v>
      </c>
      <c r="F94" s="27">
        <v>381</v>
      </c>
      <c r="G94" s="10" t="str">
        <f ca="1">VLOOKUP($F94,OFFSET([1]characters!$A$2,0,0,COUNTA([1]characters!$A:$A),MATCH(G$1,[1]characters!$2:$2,0)-MATCH($F$1,[1]characters!$2:$2,0)+1),MATCH(G$1,[1]characters!$2:$2,0)-MATCH($F$1,[1]characters!$2:$2,0)+1,FALSE)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94" s="10" t="str">
        <f ca="1">VLOOKUP($F94,OFFSET([1]characters!$A$2,0,0,COUNTA([1]characters!$A:$A),MATCH(H$1,[1]characters!$2:$2,0)-MATCH($F$1,[1]characters!$2:$2,0)+1),MATCH(H$1,[1]characters!$2:$2,0)-MATCH($F$1,[1]characters!$2:$2,0)+1,FALSE)</f>
        <v>PremiumS</v>
      </c>
      <c r="I94" s="10">
        <f ca="1">VLOOKUP($F94,OFFSET([1]characters!$A$2,0,0,COUNTA([1]characters!$A:$A),MATCH(I$1,[1]characters!$2:$2,0)-MATCH($F$1,[1]characters!$2:$2,0)+1),MATCH(I$1,[1]characters!$2:$2,0)-MATCH($F$1,[1]characters!$2:$2,0)+1,FALSE)</f>
        <v>4</v>
      </c>
      <c r="J94" s="10" t="str">
        <f ca="1">VLOOKUP($F94,OFFSET([1]characters!$A$2,0,0,COUNTA([1]characters!$A:$A),MATCH(J$1,[1]characters!$2:$2,0)-MATCH($F$1,[1]characters!$2:$2,0)+1),MATCH(J$1,[1]characters!$2:$2,0)-MATCH($F$1,[1]characters!$2:$2,0)+1,FALSE)</f>
        <v>red</v>
      </c>
      <c r="K94" s="10" t="str">
        <f ca="1">VLOOKUP($F94,OFFSET([1]characters!$A$2,0,0,COUNTA([1]characters!$A:$A),MATCH("タイプ",[1]characters!$1:$1,0)-MATCH($F$1,[1]characters!$2:$2,0)+2),MATCH("タイプ",[1]characters!$1:$1,0)-MATCH($F$1,[1]characters!$2:$2,0)+2,FALSE)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4" s="10" t="str">
        <f ca="1">VLOOKUP($F94,OFFSET([1]characters!$A$2,0,0,COUNTA([1]characters!$A:$A),MATCH($L$1,[1]characters!$1:$1,0)-MATCH($F$1,[1]characters!$2:$2,0)+2),MATCH($L$1,[1]characters!$1:$1,0)-MATCH($F$1,[1]characters!$2:$2,0)+2,FALSE)</f>
        <v>ドラゴン</v>
      </c>
      <c r="M94" s="6">
        <v>1</v>
      </c>
      <c r="N94" s="40">
        <f ca="1">VLOOKUP(D94,gacha_133_base!A:B,2,FALSE)</f>
        <v>200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 thickBot="1">
      <c r="A95" s="22" t="str">
        <f t="shared" si="8"/>
        <v>13821</v>
      </c>
      <c r="B95" s="2">
        <f t="shared" si="7"/>
        <v>133</v>
      </c>
      <c r="C95" s="10" t="str">
        <f t="shared" ca="1" si="5"/>
        <v>1PremiumS5</v>
      </c>
      <c r="D95" s="10" t="str">
        <f t="shared" ca="1" si="6"/>
        <v>1PremiumS5</v>
      </c>
      <c r="E95" s="6">
        <v>1</v>
      </c>
      <c r="F95" s="27">
        <v>382</v>
      </c>
      <c r="G95" s="10" t="str">
        <f ca="1">VLOOKUP($F95,OFFSET([1]characters!$A$2,0,0,COUNTA([1]characters!$A:$A),MATCH(G$1,[1]characters!$2:$2,0)-MATCH($F$1,[1]characters!$2:$2,0)+1),MATCH(G$1,[1]characters!$2:$2,0)-MATCH($F$1,[1]characters!$2:$2,0)+1,FALSE)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95" s="10" t="str">
        <f ca="1">VLOOKUP($F95,OFFSET([1]characters!$A$2,0,0,COUNTA([1]characters!$A:$A),MATCH(H$1,[1]characters!$2:$2,0)-MATCH($F$1,[1]characters!$2:$2,0)+1),MATCH(H$1,[1]characters!$2:$2,0)-MATCH($F$1,[1]characters!$2:$2,0)+1,FALSE)</f>
        <v>PremiumS</v>
      </c>
      <c r="I95" s="10">
        <f ca="1">VLOOKUP($F95,OFFSET([1]characters!$A$2,0,0,COUNTA([1]characters!$A:$A),MATCH(I$1,[1]characters!$2:$2,0)-MATCH($F$1,[1]characters!$2:$2,0)+1),MATCH(I$1,[1]characters!$2:$2,0)-MATCH($F$1,[1]characters!$2:$2,0)+1,FALSE)</f>
        <v>5</v>
      </c>
      <c r="J95" s="10" t="str">
        <f ca="1">VLOOKUP($F95,OFFSET([1]characters!$A$2,0,0,COUNTA([1]characters!$A:$A),MATCH(J$1,[1]characters!$2:$2,0)-MATCH($F$1,[1]characters!$2:$2,0)+1),MATCH(J$1,[1]characters!$2:$2,0)-MATCH($F$1,[1]characters!$2:$2,0)+1,FALSE)</f>
        <v>red</v>
      </c>
      <c r="K95" s="10" t="str">
        <f ca="1">VLOOKUP($F95,OFFSET([1]characters!$A$2,0,0,COUNTA([1]characters!$A:$A),MATCH("タイプ",[1]characters!$1:$1,0)-MATCH($F$1,[1]characters!$2:$2,0)+2),MATCH("タイプ",[1]characters!$1:$1,0)-MATCH($F$1,[1]characters!$2:$2,0)+2,FALSE)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5" s="10" t="str">
        <f ca="1">VLOOKUP($F95,OFFSET([1]characters!$A$2,0,0,COUNTA([1]characters!$A:$A),MATCH($L$1,[1]characters!$1:$1,0)-MATCH($F$1,[1]characters!$2:$2,0)+2),MATCH($L$1,[1]characters!$1:$1,0)-MATCH($F$1,[1]characters!$2:$2,0)+2,FALSE)</f>
        <v>ドラゴン</v>
      </c>
      <c r="M95" s="6">
        <v>1</v>
      </c>
      <c r="N95" s="40">
        <f ca="1">VLOOKUP(D95,gacha_133_base!A:B,2,FALSE)</f>
        <v>8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 thickBot="1">
      <c r="A96" s="22" t="str">
        <f t="shared" si="8"/>
        <v>13831</v>
      </c>
      <c r="B96" s="2">
        <f t="shared" si="7"/>
        <v>133</v>
      </c>
      <c r="C96" s="10" t="str">
        <f t="shared" ca="1" si="5"/>
        <v>1PremiumSS4</v>
      </c>
      <c r="D96" s="10" t="str">
        <f t="shared" ca="1" si="6"/>
        <v>1PremiumSS4</v>
      </c>
      <c r="E96" s="6">
        <v>1</v>
      </c>
      <c r="F96" s="27">
        <v>383</v>
      </c>
      <c r="G96" s="10" t="str">
        <f ca="1">VLOOKUP($F96,OFFSET([1]characters!$A$2,0,0,COUNTA([1]characters!$A:$A),MATCH(G$1,[1]characters!$2:$2,0)-MATCH($F$1,[1]characters!$2:$2,0)+1),MATCH(G$1,[1]characters!$2:$2,0)-MATCH($F$1,[1]characters!$2:$2,0)+1,FALSE)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96" s="10" t="str">
        <f ca="1">VLOOKUP($F96,OFFSET([1]characters!$A$2,0,0,COUNTA([1]characters!$A:$A),MATCH(H$1,[1]characters!$2:$2,0)-MATCH($F$1,[1]characters!$2:$2,0)+1),MATCH(H$1,[1]characters!$2:$2,0)-MATCH($F$1,[1]characters!$2:$2,0)+1,FALSE)</f>
        <v>PremiumSS</v>
      </c>
      <c r="I96" s="10">
        <f ca="1">VLOOKUP($F96,OFFSET([1]characters!$A$2,0,0,COUNTA([1]characters!$A:$A),MATCH(I$1,[1]characters!$2:$2,0)-MATCH($F$1,[1]characters!$2:$2,0)+1),MATCH(I$1,[1]characters!$2:$2,0)-MATCH($F$1,[1]characters!$2:$2,0)+1,FALSE)</f>
        <v>4</v>
      </c>
      <c r="J96" s="10" t="str">
        <f ca="1">VLOOKUP($F96,OFFSET([1]characters!$A$2,0,0,COUNTA([1]characters!$A:$A),MATCH(J$1,[1]characters!$2:$2,0)-MATCH($F$1,[1]characters!$2:$2,0)+1),MATCH(J$1,[1]characters!$2:$2,0)-MATCH($F$1,[1]characters!$2:$2,0)+1,FALSE)</f>
        <v>green</v>
      </c>
      <c r="K96" s="10" t="str">
        <f ca="1">VLOOKUP($F96,OFFSET([1]characters!$A$2,0,0,COUNTA([1]characters!$A:$A),MATCH("タイプ",[1]characters!$1:$1,0)-MATCH($F$1,[1]characters!$2:$2,0)+2),MATCH("タイプ",[1]characters!$1:$1,0)-MATCH($F$1,[1]characters!$2:$2,0)+2,FALSE)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6" s="10" t="str">
        <f ca="1">VLOOKUP($F96,OFFSET([1]characters!$A$2,0,0,COUNTA([1]characters!$A:$A),MATCH($L$1,[1]characters!$1:$1,0)-MATCH($F$1,[1]characters!$2:$2,0)+2),MATCH($L$1,[1]characters!$1:$1,0)-MATCH($F$1,[1]characters!$2:$2,0)+2,FALSE)</f>
        <v>ドラゴン</v>
      </c>
      <c r="M96" s="6">
        <v>1</v>
      </c>
      <c r="N96" s="40">
        <f ca="1">VLOOKUP(D96,gacha_133_base!A:B,2,FALSE)</f>
        <v>120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 thickBot="1">
      <c r="A97" s="22" t="str">
        <f t="shared" si="8"/>
        <v>13841</v>
      </c>
      <c r="B97" s="2">
        <f t="shared" si="7"/>
        <v>133</v>
      </c>
      <c r="C97" s="10" t="str">
        <f t="shared" ca="1" si="5"/>
        <v>1PremiumSS5</v>
      </c>
      <c r="D97" s="10" t="str">
        <f t="shared" ca="1" si="6"/>
        <v>1PremiumSS5</v>
      </c>
      <c r="E97" s="6">
        <v>1</v>
      </c>
      <c r="F97" s="27">
        <v>384</v>
      </c>
      <c r="G97" s="10" t="str">
        <f ca="1">VLOOKUP($F97,OFFSET([1]characters!$A$2,0,0,COUNTA([1]characters!$A:$A),MATCH(G$1,[1]characters!$2:$2,0)-MATCH($F$1,[1]characters!$2:$2,0)+1),MATCH(G$1,[1]characters!$2:$2,0)-MATCH($F$1,[1]characters!$2:$2,0)+1,FALSE)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97" s="10" t="str">
        <f ca="1">VLOOKUP($F97,OFFSET([1]characters!$A$2,0,0,COUNTA([1]characters!$A:$A),MATCH(H$1,[1]characters!$2:$2,0)-MATCH($F$1,[1]characters!$2:$2,0)+1),MATCH(H$1,[1]characters!$2:$2,0)-MATCH($F$1,[1]characters!$2:$2,0)+1,FALSE)</f>
        <v>PremiumSS</v>
      </c>
      <c r="I97" s="10">
        <f ca="1">VLOOKUP($F97,OFFSET([1]characters!$A$2,0,0,COUNTA([1]characters!$A:$A),MATCH(I$1,[1]characters!$2:$2,0)-MATCH($F$1,[1]characters!$2:$2,0)+1),MATCH(I$1,[1]characters!$2:$2,0)-MATCH($F$1,[1]characters!$2:$2,0)+1,FALSE)</f>
        <v>5</v>
      </c>
      <c r="J97" s="10" t="str">
        <f ca="1">VLOOKUP($F97,OFFSET([1]characters!$A$2,0,0,COUNTA([1]characters!$A:$A),MATCH(J$1,[1]characters!$2:$2,0)-MATCH($F$1,[1]characters!$2:$2,0)+1),MATCH(J$1,[1]characters!$2:$2,0)-MATCH($F$1,[1]characters!$2:$2,0)+1,FALSE)</f>
        <v>green</v>
      </c>
      <c r="K97" s="10" t="str">
        <f ca="1">VLOOKUP($F97,OFFSET([1]characters!$A$2,0,0,COUNTA([1]characters!$A:$A),MATCH("タイプ",[1]characters!$1:$1,0)-MATCH($F$1,[1]characters!$2:$2,0)+2),MATCH("タイプ",[1]characters!$1:$1,0)-MATCH($F$1,[1]characters!$2:$2,0)+2,FALSE)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7" s="10" t="str">
        <f ca="1">VLOOKUP($F97,OFFSET([1]characters!$A$2,0,0,COUNTA([1]characters!$A:$A),MATCH($L$1,[1]characters!$1:$1,0)-MATCH($F$1,[1]characters!$2:$2,0)+2),MATCH($L$1,[1]characters!$1:$1,0)-MATCH($F$1,[1]characters!$2:$2,0)+2,FALSE)</f>
        <v>ドラゴン</v>
      </c>
      <c r="M97" s="6">
        <v>1</v>
      </c>
      <c r="N97" s="40">
        <f ca="1">VLOOKUP(D97,gacha_133_base!A:B,2,FALSE)</f>
        <v>5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 thickBot="1">
      <c r="A98" s="22" t="str">
        <f t="shared" si="8"/>
        <v>13851</v>
      </c>
      <c r="B98" s="2">
        <f t="shared" si="7"/>
        <v>133</v>
      </c>
      <c r="C98" s="10" t="str">
        <f t="shared" ca="1" si="5"/>
        <v>1PremiumSS4</v>
      </c>
      <c r="D98" s="10" t="str">
        <f t="shared" ca="1" si="6"/>
        <v>1PremiumSS4</v>
      </c>
      <c r="E98" s="6">
        <v>1</v>
      </c>
      <c r="F98" s="27">
        <v>385</v>
      </c>
      <c r="G98" s="10" t="str">
        <f ca="1">VLOOKUP($F98,OFFSET([1]characters!$A$2,0,0,COUNTA([1]characters!$A:$A),MATCH(G$1,[1]characters!$2:$2,0)-MATCH($F$1,[1]characters!$2:$2,0)+1),MATCH(G$1,[1]characters!$2:$2,0)-MATCH($F$1,[1]characters!$2:$2,0)+1,FALSE)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98" s="10" t="str">
        <f ca="1">VLOOKUP($F98,OFFSET([1]characters!$A$2,0,0,COUNTA([1]characters!$A:$A),MATCH(H$1,[1]characters!$2:$2,0)-MATCH($F$1,[1]characters!$2:$2,0)+1),MATCH(H$1,[1]characters!$2:$2,0)-MATCH($F$1,[1]characters!$2:$2,0)+1,FALSE)</f>
        <v>PremiumSS</v>
      </c>
      <c r="I98" s="10">
        <f ca="1">VLOOKUP($F98,OFFSET([1]characters!$A$2,0,0,COUNTA([1]characters!$A:$A),MATCH(I$1,[1]characters!$2:$2,0)-MATCH($F$1,[1]characters!$2:$2,0)+1),MATCH(I$1,[1]characters!$2:$2,0)-MATCH($F$1,[1]characters!$2:$2,0)+1,FALSE)</f>
        <v>4</v>
      </c>
      <c r="J98" s="10" t="str">
        <f ca="1">VLOOKUP($F98,OFFSET([1]characters!$A$2,0,0,COUNTA([1]characters!$A:$A),MATCH(J$1,[1]characters!$2:$2,0)-MATCH($F$1,[1]characters!$2:$2,0)+1),MATCH(J$1,[1]characters!$2:$2,0)-MATCH($F$1,[1]characters!$2:$2,0)+1,FALSE)</f>
        <v>blue</v>
      </c>
      <c r="K98" s="10" t="str">
        <f ca="1">VLOOKUP($F98,OFFSET([1]characters!$A$2,0,0,COUNTA([1]characters!$A:$A),MATCH("タイプ",[1]characters!$1:$1,0)-MATCH($F$1,[1]characters!$2:$2,0)+2),MATCH("タイプ",[1]characters!$1:$1,0)-MATCH($F$1,[1]characters!$2:$2,0)+2,FALSE)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8" s="10" t="str">
        <f ca="1">VLOOKUP($F98,OFFSET([1]characters!$A$2,0,0,COUNTA([1]characters!$A:$A),MATCH($L$1,[1]characters!$1:$1,0)-MATCH($F$1,[1]characters!$2:$2,0)+2),MATCH($L$1,[1]characters!$1:$1,0)-MATCH($F$1,[1]characters!$2:$2,0)+2,FALSE)</f>
        <v>ドラゴン</v>
      </c>
      <c r="M98" s="6">
        <v>1</v>
      </c>
      <c r="N98" s="40">
        <f ca="1">VLOOKUP(D98,gacha_133_base!A:B,2,FALSE)</f>
        <v>120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 thickBot="1">
      <c r="A99" s="22" t="str">
        <f t="shared" si="8"/>
        <v>13861</v>
      </c>
      <c r="B99" s="2">
        <f t="shared" si="7"/>
        <v>133</v>
      </c>
      <c r="C99" s="10" t="str">
        <f t="shared" ca="1" si="5"/>
        <v>1PremiumSS5</v>
      </c>
      <c r="D99" s="10" t="str">
        <f t="shared" ca="1" si="6"/>
        <v>1PremiumSS5</v>
      </c>
      <c r="E99" s="32">
        <v>1</v>
      </c>
      <c r="F99" s="31">
        <v>386</v>
      </c>
      <c r="G99" s="34" t="str">
        <f ca="1">VLOOKUP($F99,OFFSET([1]characters!$A$2,0,0,COUNTA([1]characters!$A:$A),MATCH(G$1,[1]characters!$2:$2,0)-MATCH($F$1,[1]characters!$2:$2,0)+1),MATCH(G$1,[1]characters!$2:$2,0)-MATCH($F$1,[1]characters!$2:$2,0)+1,FALSE)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99" s="34" t="str">
        <f ca="1">VLOOKUP($F99,OFFSET([1]characters!$A$2,0,0,COUNTA([1]characters!$A:$A),MATCH(H$1,[1]characters!$2:$2,0)-MATCH($F$1,[1]characters!$2:$2,0)+1),MATCH(H$1,[1]characters!$2:$2,0)-MATCH($F$1,[1]characters!$2:$2,0)+1,FALSE)</f>
        <v>PremiumSS</v>
      </c>
      <c r="I99" s="34">
        <f ca="1">VLOOKUP($F99,OFFSET([1]characters!$A$2,0,0,COUNTA([1]characters!$A:$A),MATCH(I$1,[1]characters!$2:$2,0)-MATCH($F$1,[1]characters!$2:$2,0)+1),MATCH(I$1,[1]characters!$2:$2,0)-MATCH($F$1,[1]characters!$2:$2,0)+1,FALSE)</f>
        <v>5</v>
      </c>
      <c r="J99" s="34" t="str">
        <f ca="1">VLOOKUP($F99,OFFSET([1]characters!$A$2,0,0,COUNTA([1]characters!$A:$A),MATCH(J$1,[1]characters!$2:$2,0)-MATCH($F$1,[1]characters!$2:$2,0)+1),MATCH(J$1,[1]characters!$2:$2,0)-MATCH($F$1,[1]characters!$2:$2,0)+1,FALSE)</f>
        <v>blue</v>
      </c>
      <c r="K99" s="34" t="str">
        <f ca="1">VLOOKUP($F99,OFFSET([1]characters!$A$2,0,0,COUNTA([1]characters!$A:$A),MATCH("タイプ",[1]characters!$1:$1,0)-MATCH($F$1,[1]characters!$2:$2,0)+2),MATCH("タイプ",[1]characters!$1:$1,0)-MATCH($F$1,[1]characters!$2:$2,0)+2,FALSE)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9" s="34" t="str">
        <f ca="1">VLOOKUP($F99,OFFSET([1]characters!$A$2,0,0,COUNTA([1]characters!$A:$A),MATCH($L$1,[1]characters!$1:$1,0)-MATCH($F$1,[1]characters!$2:$2,0)+2),MATCH($L$1,[1]characters!$1:$1,0)-MATCH($F$1,[1]characters!$2:$2,0)+2,FALSE)</f>
        <v>ドラゴン</v>
      </c>
      <c r="M99" s="32">
        <v>1</v>
      </c>
      <c r="N99" s="40">
        <f ca="1">VLOOKUP(D99,gacha_133_base!A:B,2,FALSE)</f>
        <v>5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0" t="str">
        <f t="shared" ref="A100" si="9">E100&amp;F100&amp;M100</f>
        <v>13881</v>
      </c>
      <c r="B100" s="41">
        <f t="shared" si="7"/>
        <v>133</v>
      </c>
      <c r="C100" s="10" t="str">
        <f t="shared" ca="1" si="5"/>
        <v>1PremiumS4</v>
      </c>
      <c r="D100" s="34" t="str">
        <f t="shared" ca="1" si="6"/>
        <v>1PremiumS4</v>
      </c>
      <c r="E100" s="32">
        <v>1</v>
      </c>
      <c r="F100" s="33">
        <v>388</v>
      </c>
      <c r="G100" s="34" t="str">
        <f ca="1">VLOOKUP($F100,OFFSET([1]characters!$A$2,0,0,COUNTA([1]characters!$A:$A),MATCH(G$1,[1]characters!$2:$2,0)-MATCH($F$1,[1]characters!$2:$2,0)+1),MATCH(G$1,[1]characters!$2:$2,0)-MATCH($F$1,[1]characters!$2:$2,0)+1,FALSE)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100" s="34" t="str">
        <f ca="1">VLOOKUP($F100,OFFSET([1]characters!$A$2,0,0,COUNTA([1]characters!$A:$A),MATCH(H$1,[1]characters!$2:$2,0)-MATCH($F$1,[1]characters!$2:$2,0)+1),MATCH(H$1,[1]characters!$2:$2,0)-MATCH($F$1,[1]characters!$2:$2,0)+1,FALSE)</f>
        <v>PremiumS</v>
      </c>
      <c r="I100" s="34">
        <f ca="1">VLOOKUP($F100,OFFSET([1]characters!$A$2,0,0,COUNTA([1]characters!$A:$A),MATCH(I$1,[1]characters!$2:$2,0)-MATCH($F$1,[1]characters!$2:$2,0)+1),MATCH(I$1,[1]characters!$2:$2,0)-MATCH($F$1,[1]characters!$2:$2,0)+1,FALSE)</f>
        <v>4</v>
      </c>
      <c r="J100" s="34" t="str">
        <f ca="1">VLOOKUP($F100,OFFSET([1]characters!$A$2,0,0,COUNTA([1]characters!$A:$A),MATCH(J$1,[1]characters!$2:$2,0)-MATCH($F$1,[1]characters!$2:$2,0)+1),MATCH(J$1,[1]characters!$2:$2,0)-MATCH($F$1,[1]characters!$2:$2,0)+1,FALSE)</f>
        <v>yellow</v>
      </c>
      <c r="K100" s="34" t="str">
        <f ca="1">VLOOKUP($F100,OFFSET([1]characters!$A$2,0,0,COUNTA([1]characters!$A:$A),MATCH("タイプ",[1]characters!$1:$1,0)-MATCH($F$1,[1]characters!$2:$2,0)+2),MATCH("タイプ",[1]characters!$1:$1,0)-MATCH($F$1,[1]characters!$2:$2,0)+2,FALSE)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0" s="34" t="str">
        <f ca="1">VLOOKUP($F100,OFFSET([1]characters!$A$2,0,0,COUNTA([1]characters!$A:$A),MATCH($L$1,[1]characters!$1:$1,0)-MATCH($F$1,[1]characters!$2:$2,0)+2),MATCH($L$1,[1]characters!$1:$1,0)-MATCH($F$1,[1]characters!$2:$2,0)+2,FALSE)</f>
        <v>アニマル</v>
      </c>
      <c r="M100" s="32">
        <v>1</v>
      </c>
      <c r="N100" s="42">
        <f ca="1">VLOOKUP(D100,gacha_133_base!A:B,2,FALSE)</f>
        <v>200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45" t="str">
        <f t="shared" si="8"/>
        <v>13891</v>
      </c>
      <c r="B101" s="2">
        <f t="shared" si="7"/>
        <v>133</v>
      </c>
      <c r="C101" s="10" t="str">
        <f t="shared" ca="1" si="5"/>
        <v>1PremiumS5</v>
      </c>
      <c r="D101" s="10" t="str">
        <f t="shared" ca="1" si="6"/>
        <v>1PremiumS5</v>
      </c>
      <c r="E101" s="6">
        <v>1</v>
      </c>
      <c r="F101" s="7">
        <v>389</v>
      </c>
      <c r="G101" s="10" t="str">
        <f ca="1">VLOOKUP($F101,OFFSET([1]characters!$A$2,0,0,COUNTA([1]characters!$A:$A),MATCH(G$1,[1]characters!$2:$2,0)-MATCH($F$1,[1]characters!$2:$2,0)+1),MATCH(G$1,[1]characters!$2:$2,0)-MATCH($F$1,[1]characters!$2:$2,0)+1,FALSE)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101" s="10" t="str">
        <f ca="1">VLOOKUP($F101,OFFSET([1]characters!$A$2,0,0,COUNTA([1]characters!$A:$A),MATCH(H$1,[1]characters!$2:$2,0)-MATCH($F$1,[1]characters!$2:$2,0)+1),MATCH(H$1,[1]characters!$2:$2,0)-MATCH($F$1,[1]characters!$2:$2,0)+1,FALSE)</f>
        <v>PremiumS</v>
      </c>
      <c r="I101" s="10">
        <f ca="1">VLOOKUP($F101,OFFSET([1]characters!$A$2,0,0,COUNTA([1]characters!$A:$A),MATCH(I$1,[1]characters!$2:$2,0)-MATCH($F$1,[1]characters!$2:$2,0)+1),MATCH(I$1,[1]characters!$2:$2,0)-MATCH($F$1,[1]characters!$2:$2,0)+1,FALSE)</f>
        <v>5</v>
      </c>
      <c r="J101" s="10" t="str">
        <f ca="1">VLOOKUP($F101,OFFSET([1]characters!$A$2,0,0,COUNTA([1]characters!$A:$A),MATCH(J$1,[1]characters!$2:$2,0)-MATCH($F$1,[1]characters!$2:$2,0)+1),MATCH(J$1,[1]characters!$2:$2,0)-MATCH($F$1,[1]characters!$2:$2,0)+1,FALSE)</f>
        <v>yellow</v>
      </c>
      <c r="K101" s="10" t="str">
        <f ca="1">VLOOKUP($F101,OFFSET([1]characters!$A$2,0,0,COUNTA([1]characters!$A:$A),MATCH("タイプ",[1]characters!$1:$1,0)-MATCH($F$1,[1]characters!$2:$2,0)+2),MATCH("タイプ",[1]characters!$1:$1,0)-MATCH($F$1,[1]characters!$2:$2,0)+2,FALSE)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1" s="10" t="str">
        <f ca="1">VLOOKUP($F101,OFFSET([1]characters!$A$2,0,0,COUNTA([1]characters!$A:$A),MATCH($L$1,[1]characters!$1:$1,0)-MATCH($F$1,[1]characters!$2:$2,0)+2),MATCH($L$1,[1]characters!$1:$1,0)-MATCH($F$1,[1]characters!$2:$2,0)+2,FALSE)</f>
        <v>アニマル</v>
      </c>
      <c r="M101" s="6">
        <v>1</v>
      </c>
      <c r="N101" s="40">
        <f ca="1">VLOOKUP(D101,gacha_133_base!A:B,2,FALSE)</f>
        <v>8</v>
      </c>
      <c r="O101" s="28">
        <v>0</v>
      </c>
      <c r="P101" s="28">
        <v>0</v>
      </c>
      <c r="Q101" s="28">
        <v>0</v>
      </c>
      <c r="R101" s="28">
        <v>0</v>
      </c>
      <c r="S101" s="28">
        <v>1</v>
      </c>
    </row>
    <row r="102" spans="1:19" ht="21" customHeight="1" thickBot="1">
      <c r="A102" s="22" t="str">
        <f t="shared" ref="A102:A107" si="10">E102&amp;F102&amp;M102</f>
        <v>13901</v>
      </c>
      <c r="B102" s="43">
        <f t="shared" si="7"/>
        <v>133</v>
      </c>
      <c r="C102" s="10" t="str">
        <f t="shared" ca="1" si="5"/>
        <v>1PremiumSS4</v>
      </c>
      <c r="D102" s="20" t="str">
        <f ca="1">E102&amp;H102&amp;I102&amp;"pick"</f>
        <v>1PremiumSS4pick</v>
      </c>
      <c r="E102" s="21">
        <v>1</v>
      </c>
      <c r="F102" s="31">
        <v>390</v>
      </c>
      <c r="G102" s="20" t="str">
        <f ca="1">VLOOKUP($F102,OFFSET([1]characters!$A$2,0,0,COUNTA([1]characters!$A:$A),MATCH(G$1,[1]characters!$2:$2,0)-MATCH($F$1,[1]characters!$2:$2,0)+1),MATCH(G$1,[1]characters!$2:$2,0)-MATCH($F$1,[1]characters!$2:$2,0)+1,FALSE)</f>
        <v>華環の旅客 親指姫</v>
      </c>
      <c r="H102" s="20" t="str">
        <f ca="1">VLOOKUP($F102,OFFSET([1]characters!$A$2,0,0,COUNTA([1]characters!$A:$A),MATCH(H$1,[1]characters!$2:$2,0)-MATCH($F$1,[1]characters!$2:$2,0)+1),MATCH(H$1,[1]characters!$2:$2,0)-MATCH($F$1,[1]characters!$2:$2,0)+1,FALSE)</f>
        <v>PremiumSS</v>
      </c>
      <c r="I102" s="20">
        <f ca="1">VLOOKUP($F102,OFFSET([1]characters!$A$2,0,0,COUNTA([1]characters!$A:$A),MATCH(I$1,[1]characters!$2:$2,0)-MATCH($F$1,[1]characters!$2:$2,0)+1),MATCH(I$1,[1]characters!$2:$2,0)-MATCH($F$1,[1]characters!$2:$2,0)+1,FALSE)</f>
        <v>4</v>
      </c>
      <c r="J102" s="20" t="str">
        <f ca="1">VLOOKUP($F102,OFFSET([1]characters!$A$2,0,0,COUNTA([1]characters!$A:$A),MATCH(J$1,[1]characters!$2:$2,0)-MATCH($F$1,[1]characters!$2:$2,0)+1),MATCH(J$1,[1]characters!$2:$2,0)-MATCH($F$1,[1]characters!$2:$2,0)+1,FALSE)</f>
        <v>red</v>
      </c>
      <c r="K102" s="20" t="str">
        <f ca="1">VLOOKUP($F102,OFFSET([1]characters!$A$2,0,0,COUNTA([1]characters!$A:$A),MATCH("タイプ",[1]characters!$1:$1,0)-MATCH($F$1,[1]characters!$2:$2,0)+2),MATCH("タイプ",[1]characters!$1:$1,0)-MATCH($F$1,[1]characters!$2:$2,0)+2,FALSE)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2" s="20" t="str">
        <f ca="1">VLOOKUP($F102,OFFSET([1]characters!$A$2,0,0,COUNTA([1]characters!$A:$A),MATCH($L$1,[1]characters!$1:$1,0)-MATCH($F$1,[1]characters!$2:$2,0)+2),MATCH($L$1,[1]characters!$1:$1,0)-MATCH($F$1,[1]characters!$2:$2,0)+2,FALSE)</f>
        <v>ヒューマン</v>
      </c>
      <c r="M102" s="21">
        <v>1</v>
      </c>
      <c r="N102" s="44">
        <f ca="1">VLOOKUP(D102,gacha_133_base!A:B,2,FALSE)</f>
        <v>960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 thickBot="1">
      <c r="A103" s="22" t="str">
        <f t="shared" si="10"/>
        <v>13911</v>
      </c>
      <c r="B103" s="2">
        <f t="shared" si="7"/>
        <v>133</v>
      </c>
      <c r="C103" s="10" t="str">
        <f t="shared" ca="1" si="5"/>
        <v>1PremiumSS5</v>
      </c>
      <c r="D103" s="20" t="str">
        <f t="shared" ref="D103:D107" ca="1" si="11">E103&amp;H103&amp;I103&amp;"pick"</f>
        <v>1PremiumSS5pick</v>
      </c>
      <c r="E103" s="6">
        <v>1</v>
      </c>
      <c r="F103" s="7">
        <v>391</v>
      </c>
      <c r="G103" s="10" t="str">
        <f ca="1">VLOOKUP($F103,OFFSET([1]characters!$A$2,0,0,COUNTA([1]characters!$A:$A),MATCH(G$1,[1]characters!$2:$2,0)-MATCH($F$1,[1]characters!$2:$2,0)+1),MATCH(G$1,[1]characters!$2:$2,0)-MATCH($F$1,[1]characters!$2:$2,0)+1,FALSE)</f>
        <v>燕翼の旅人 親指姫</v>
      </c>
      <c r="H103" s="10" t="str">
        <f ca="1">VLOOKUP($F103,OFFSET([1]characters!$A$2,0,0,COUNTA([1]characters!$A:$A),MATCH(H$1,[1]characters!$2:$2,0)-MATCH($F$1,[1]characters!$2:$2,0)+1),MATCH(H$1,[1]characters!$2:$2,0)-MATCH($F$1,[1]characters!$2:$2,0)+1,FALSE)</f>
        <v>PremiumSS</v>
      </c>
      <c r="I103" s="10">
        <f ca="1">VLOOKUP($F103,OFFSET([1]characters!$A$2,0,0,COUNTA([1]characters!$A:$A),MATCH(I$1,[1]characters!$2:$2,0)-MATCH($F$1,[1]characters!$2:$2,0)+1),MATCH(I$1,[1]characters!$2:$2,0)-MATCH($F$1,[1]characters!$2:$2,0)+1,FALSE)</f>
        <v>5</v>
      </c>
      <c r="J103" s="10" t="str">
        <f ca="1">VLOOKUP($F103,OFFSET([1]characters!$A$2,0,0,COUNTA([1]characters!$A:$A),MATCH(J$1,[1]characters!$2:$2,0)-MATCH($F$1,[1]characters!$2:$2,0)+1),MATCH(J$1,[1]characters!$2:$2,0)-MATCH($F$1,[1]characters!$2:$2,0)+1,FALSE)</f>
        <v>red</v>
      </c>
      <c r="K103" s="10" t="str">
        <f ca="1">VLOOKUP($F103,OFFSET([1]characters!$A$2,0,0,COUNTA([1]characters!$A:$A),MATCH("タイプ",[1]characters!$1:$1,0)-MATCH($F$1,[1]characters!$2:$2,0)+2),MATCH("タイプ",[1]characters!$1:$1,0)-MATCH($F$1,[1]characters!$2:$2,0)+2,FALSE)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3" s="10" t="str">
        <f ca="1">VLOOKUP($F103,OFFSET([1]characters!$A$2,0,0,COUNTA([1]characters!$A:$A),MATCH($L$1,[1]characters!$1:$1,0)-MATCH($F$1,[1]characters!$2:$2,0)+2),MATCH($L$1,[1]characters!$1:$1,0)-MATCH($F$1,[1]characters!$2:$2,0)+2,FALSE)</f>
        <v>ヒューマン</v>
      </c>
      <c r="M103" s="6">
        <v>1</v>
      </c>
      <c r="N103" s="40">
        <f ca="1">VLOOKUP(D103,gacha_133_base!A:B,2,FALSE)</f>
        <v>40</v>
      </c>
      <c r="O103" s="28">
        <v>0</v>
      </c>
      <c r="P103" s="28">
        <v>0</v>
      </c>
      <c r="Q103" s="28">
        <v>0</v>
      </c>
      <c r="R103" s="28">
        <v>0</v>
      </c>
      <c r="S103" s="28">
        <v>1</v>
      </c>
    </row>
    <row r="104" spans="1:19" ht="21" customHeight="1" thickBot="1">
      <c r="A104" s="22" t="str">
        <f t="shared" si="10"/>
        <v>13931</v>
      </c>
      <c r="B104" s="2">
        <f t="shared" si="7"/>
        <v>133</v>
      </c>
      <c r="C104" s="10" t="str">
        <f t="shared" ca="1" si="5"/>
        <v>1PremiumS4</v>
      </c>
      <c r="D104" s="20" t="str">
        <f t="shared" ca="1" si="11"/>
        <v>1PremiumS4pick</v>
      </c>
      <c r="E104" s="6">
        <v>1</v>
      </c>
      <c r="F104" s="7">
        <v>393</v>
      </c>
      <c r="G104" s="10" t="str">
        <f ca="1">VLOOKUP($F104,OFFSET([1]characters!$A$2,0,0,COUNTA([1]characters!$A:$A),MATCH(G$1,[1]characters!$2:$2,0)-MATCH($F$1,[1]characters!$2:$2,0)+1),MATCH(G$1,[1]characters!$2:$2,0)-MATCH($F$1,[1]characters!$2:$2,0)+1,FALSE)</f>
        <v>影縫い ピーターパン</v>
      </c>
      <c r="H104" s="10" t="str">
        <f ca="1">VLOOKUP($F104,OFFSET([1]characters!$A$2,0,0,COUNTA([1]characters!$A:$A),MATCH(H$1,[1]characters!$2:$2,0)-MATCH($F$1,[1]characters!$2:$2,0)+1),MATCH(H$1,[1]characters!$2:$2,0)-MATCH($F$1,[1]characters!$2:$2,0)+1,FALSE)</f>
        <v>PremiumS</v>
      </c>
      <c r="I104" s="10">
        <f ca="1">VLOOKUP($F104,OFFSET([1]characters!$A$2,0,0,COUNTA([1]characters!$A:$A),MATCH(I$1,[1]characters!$2:$2,0)-MATCH($F$1,[1]characters!$2:$2,0)+1),MATCH(I$1,[1]characters!$2:$2,0)-MATCH($F$1,[1]characters!$2:$2,0)+1,FALSE)</f>
        <v>4</v>
      </c>
      <c r="J104" s="10" t="str">
        <f ca="1">VLOOKUP($F104,OFFSET([1]characters!$A$2,0,0,COUNTA([1]characters!$A:$A),MATCH(J$1,[1]characters!$2:$2,0)-MATCH($F$1,[1]characters!$2:$2,0)+1),MATCH(J$1,[1]characters!$2:$2,0)-MATCH($F$1,[1]characters!$2:$2,0)+1,FALSE)</f>
        <v>green</v>
      </c>
      <c r="K104" s="10" t="str">
        <f ca="1">VLOOKUP($F104,OFFSET([1]characters!$A$2,0,0,COUNTA([1]characters!$A:$A),MATCH("タイプ",[1]characters!$1:$1,0)-MATCH($F$1,[1]characters!$2:$2,0)+2),MATCH("タイプ",[1]characters!$1:$1,0)-MATCH($F$1,[1]characters!$2:$2,0)+2,FALSE)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4" s="10" t="str">
        <f ca="1">VLOOKUP($F104,OFFSET([1]characters!$A$2,0,0,COUNTA([1]characters!$A:$A),MATCH($L$1,[1]characters!$1:$1,0)-MATCH($F$1,[1]characters!$2:$2,0)+2),MATCH($L$1,[1]characters!$1:$1,0)-MATCH($F$1,[1]characters!$2:$2,0)+2,FALSE)</f>
        <v>ヒューマン</v>
      </c>
      <c r="M104" s="6">
        <v>1</v>
      </c>
      <c r="N104" s="40">
        <f ca="1">VLOOKUP(D104,gacha_133_base!A:B,2,FALSE)</f>
        <v>3840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 thickBot="1">
      <c r="A105" s="22" t="str">
        <f t="shared" si="10"/>
        <v>13941</v>
      </c>
      <c r="B105" s="2">
        <f t="shared" si="7"/>
        <v>133</v>
      </c>
      <c r="C105" s="10" t="str">
        <f t="shared" ca="1" si="5"/>
        <v>1PremiumS5</v>
      </c>
      <c r="D105" s="20" t="str">
        <f t="shared" ca="1" si="11"/>
        <v>1PremiumS5pick</v>
      </c>
      <c r="E105" s="6">
        <v>1</v>
      </c>
      <c r="F105" s="7">
        <v>394</v>
      </c>
      <c r="G105" s="10" t="str">
        <f ca="1">VLOOKUP($F105,OFFSET([1]characters!$A$2,0,0,COUNTA([1]characters!$A:$A),MATCH(G$1,[1]characters!$2:$2,0)-MATCH($F$1,[1]characters!$2:$2,0)+1),MATCH(G$1,[1]characters!$2:$2,0)-MATCH($F$1,[1]characters!$2:$2,0)+1,FALSE)</f>
        <v>影求の悪童 ピーターパン</v>
      </c>
      <c r="H105" s="10" t="str">
        <f ca="1">VLOOKUP($F105,OFFSET([1]characters!$A$2,0,0,COUNTA([1]characters!$A:$A),MATCH(H$1,[1]characters!$2:$2,0)-MATCH($F$1,[1]characters!$2:$2,0)+1),MATCH(H$1,[1]characters!$2:$2,0)-MATCH($F$1,[1]characters!$2:$2,0)+1,FALSE)</f>
        <v>PremiumS</v>
      </c>
      <c r="I105" s="10">
        <f ca="1">VLOOKUP($F105,OFFSET([1]characters!$A$2,0,0,COUNTA([1]characters!$A:$A),MATCH(I$1,[1]characters!$2:$2,0)-MATCH($F$1,[1]characters!$2:$2,0)+1),MATCH(I$1,[1]characters!$2:$2,0)-MATCH($F$1,[1]characters!$2:$2,0)+1,FALSE)</f>
        <v>5</v>
      </c>
      <c r="J105" s="10" t="str">
        <f ca="1">VLOOKUP($F105,OFFSET([1]characters!$A$2,0,0,COUNTA([1]characters!$A:$A),MATCH(J$1,[1]characters!$2:$2,0)-MATCH($F$1,[1]characters!$2:$2,0)+1),MATCH(J$1,[1]characters!$2:$2,0)-MATCH($F$1,[1]characters!$2:$2,0)+1,FALSE)</f>
        <v>green</v>
      </c>
      <c r="K105" s="10" t="str">
        <f ca="1">VLOOKUP($F105,OFFSET([1]characters!$A$2,0,0,COUNTA([1]characters!$A:$A),MATCH("タイプ",[1]characters!$1:$1,0)-MATCH($F$1,[1]characters!$2:$2,0)+2),MATCH("タイプ",[1]characters!$1:$1,0)-MATCH($F$1,[1]characters!$2:$2,0)+2,FALSE)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5" s="10" t="str">
        <f ca="1">VLOOKUP($F105,OFFSET([1]characters!$A$2,0,0,COUNTA([1]characters!$A:$A),MATCH($L$1,[1]characters!$1:$1,0)-MATCH($F$1,[1]characters!$2:$2,0)+2),MATCH($L$1,[1]characters!$1:$1,0)-MATCH($F$1,[1]characters!$2:$2,0)+2,FALSE)</f>
        <v>ヒューマン</v>
      </c>
      <c r="M105" s="6">
        <v>1</v>
      </c>
      <c r="N105" s="40">
        <f ca="1">VLOOKUP(D105,gacha_133_base!A:B,2,FALSE)</f>
        <v>160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30" t="str">
        <f t="shared" si="10"/>
        <v>13961</v>
      </c>
      <c r="B106" s="2">
        <f t="shared" si="7"/>
        <v>133</v>
      </c>
      <c r="C106" s="10" t="str">
        <f t="shared" ca="1" si="5"/>
        <v>1PremiumS4</v>
      </c>
      <c r="D106" s="20" t="str">
        <f t="shared" ca="1" si="11"/>
        <v>1PremiumS4pick</v>
      </c>
      <c r="E106" s="32">
        <v>1</v>
      </c>
      <c r="F106" s="7">
        <v>396</v>
      </c>
      <c r="G106" s="34" t="str">
        <f ca="1">VLOOKUP($F106,OFFSET([1]characters!$A$2,0,0,COUNTA([1]characters!$A:$A),MATCH(G$1,[1]characters!$2:$2,0)-MATCH($F$1,[1]characters!$2:$2,0)+1),MATCH(G$1,[1]characters!$2:$2,0)-MATCH($F$1,[1]characters!$2:$2,0)+1,FALSE)</f>
        <v>竜宮の水雷 乙姫</v>
      </c>
      <c r="H106" s="34" t="str">
        <f ca="1">VLOOKUP($F106,OFFSET([1]characters!$A$2,0,0,COUNTA([1]characters!$A:$A),MATCH(H$1,[1]characters!$2:$2,0)-MATCH($F$1,[1]characters!$2:$2,0)+1),MATCH(H$1,[1]characters!$2:$2,0)-MATCH($F$1,[1]characters!$2:$2,0)+1,FALSE)</f>
        <v>PremiumS</v>
      </c>
      <c r="I106" s="34">
        <f ca="1">VLOOKUP($F106,OFFSET([1]characters!$A$2,0,0,COUNTA([1]characters!$A:$A),MATCH(I$1,[1]characters!$2:$2,0)-MATCH($F$1,[1]characters!$2:$2,0)+1),MATCH(I$1,[1]characters!$2:$2,0)-MATCH($F$1,[1]characters!$2:$2,0)+1,FALSE)</f>
        <v>4</v>
      </c>
      <c r="J106" s="34" t="str">
        <f ca="1">VLOOKUP($F106,OFFSET([1]characters!$A$2,0,0,COUNTA([1]characters!$A:$A),MATCH(J$1,[1]characters!$2:$2,0)-MATCH($F$1,[1]characters!$2:$2,0)+1),MATCH(J$1,[1]characters!$2:$2,0)-MATCH($F$1,[1]characters!$2:$2,0)+1,FALSE)</f>
        <v>blue</v>
      </c>
      <c r="K106" s="34" t="str">
        <f ca="1">VLOOKUP($F106,OFFSET([1]characters!$A$2,0,0,COUNTA([1]characters!$A:$A),MATCH("タイプ",[1]characters!$1:$1,0)-MATCH($F$1,[1]characters!$2:$2,0)+2),MATCH("タイプ",[1]characters!$1:$1,0)-MATCH($F$1,[1]characters!$2:$2,0)+2,FALSE)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06" s="34" t="str">
        <f ca="1">VLOOKUP($F106,OFFSET([1]characters!$A$2,0,0,COUNTA([1]characters!$A:$A),MATCH($L$1,[1]characters!$1:$1,0)-MATCH($F$1,[1]characters!$2:$2,0)+2),MATCH($L$1,[1]characters!$1:$1,0)-MATCH($F$1,[1]characters!$2:$2,0)+2,FALSE)</f>
        <v>ヒューマン</v>
      </c>
      <c r="M106" s="32">
        <v>1</v>
      </c>
      <c r="N106" s="40">
        <f ca="1">VLOOKUP(D106,gacha_133_base!A:B,2,FALSE)</f>
        <v>3840</v>
      </c>
      <c r="O106" s="35">
        <v>0</v>
      </c>
      <c r="P106" s="35">
        <v>0</v>
      </c>
      <c r="Q106" s="35">
        <v>0</v>
      </c>
      <c r="R106" s="35">
        <v>0</v>
      </c>
      <c r="S106" s="35">
        <v>1</v>
      </c>
    </row>
    <row r="107" spans="1:19" s="37" customFormat="1" ht="21" customHeight="1" thickBot="1">
      <c r="A107" s="36" t="str">
        <f t="shared" si="10"/>
        <v>13971</v>
      </c>
      <c r="B107" s="2">
        <f t="shared" si="7"/>
        <v>133</v>
      </c>
      <c r="C107" s="10" t="str">
        <f t="shared" ca="1" si="5"/>
        <v>1PremiumS5</v>
      </c>
      <c r="D107" s="20" t="str">
        <f t="shared" ca="1" si="11"/>
        <v>1PremiumS5pick</v>
      </c>
      <c r="E107" s="24">
        <v>1</v>
      </c>
      <c r="F107" s="7">
        <v>397</v>
      </c>
      <c r="G107" s="23" t="str">
        <f ca="1">VLOOKUP($F107,OFFSET([1]characters!$A$2,0,0,COUNTA([1]characters!$A:$A),MATCH(G$1,[1]characters!$2:$2,0)-MATCH($F$1,[1]characters!$2:$2,0)+1),MATCH(G$1,[1]characters!$2:$2,0)-MATCH($F$1,[1]characters!$2:$2,0)+1,FALSE)</f>
        <v>禁断の追箱 乙姫</v>
      </c>
      <c r="H107" s="23" t="str">
        <f ca="1">VLOOKUP($F107,OFFSET([1]characters!$A$2,0,0,COUNTA([1]characters!$A:$A),MATCH(H$1,[1]characters!$2:$2,0)-MATCH($F$1,[1]characters!$2:$2,0)+1),MATCH(H$1,[1]characters!$2:$2,0)-MATCH($F$1,[1]characters!$2:$2,0)+1,FALSE)</f>
        <v>PremiumS</v>
      </c>
      <c r="I107" s="23">
        <f ca="1">VLOOKUP($F107,OFFSET([1]characters!$A$2,0,0,COUNTA([1]characters!$A:$A),MATCH(I$1,[1]characters!$2:$2,0)-MATCH($F$1,[1]characters!$2:$2,0)+1),MATCH(I$1,[1]characters!$2:$2,0)-MATCH($F$1,[1]characters!$2:$2,0)+1,FALSE)</f>
        <v>5</v>
      </c>
      <c r="J107" s="23" t="str">
        <f ca="1">VLOOKUP($F107,OFFSET([1]characters!$A$2,0,0,COUNTA([1]characters!$A:$A),MATCH(J$1,[1]characters!$2:$2,0)-MATCH($F$1,[1]characters!$2:$2,0)+1),MATCH(J$1,[1]characters!$2:$2,0)-MATCH($F$1,[1]characters!$2:$2,0)+1,FALSE)</f>
        <v>blue</v>
      </c>
      <c r="K107" s="23" t="str">
        <f ca="1">VLOOKUP($F107,OFFSET([1]characters!$A$2,0,0,COUNTA([1]characters!$A:$A),MATCH("タイプ",[1]characters!$1:$1,0)-MATCH($F$1,[1]characters!$2:$2,0)+2),MATCH("タイプ",[1]characters!$1:$1,0)-MATCH($F$1,[1]characters!$2:$2,0)+2,FALSE)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07" s="23" t="str">
        <f ca="1">VLOOKUP($F107,OFFSET([1]characters!$A$2,0,0,COUNTA([1]characters!$A:$A),MATCH($L$1,[1]characters!$1:$1,0)-MATCH($F$1,[1]characters!$2:$2,0)+2),MATCH($L$1,[1]characters!$1:$1,0)-MATCH($F$1,[1]characters!$2:$2,0)+2,FALSE)</f>
        <v>ヒューマン</v>
      </c>
      <c r="M107" s="24">
        <v>1</v>
      </c>
      <c r="N107" s="40">
        <f ca="1">VLOOKUP(D107,gacha_133_base!A:B,2,FALSE)</f>
        <v>160</v>
      </c>
      <c r="O107" s="29">
        <v>0</v>
      </c>
      <c r="P107" s="29">
        <v>0</v>
      </c>
      <c r="Q107" s="29">
        <v>0</v>
      </c>
      <c r="R107" s="29">
        <v>0</v>
      </c>
      <c r="S107" s="29">
        <v>1</v>
      </c>
    </row>
    <row r="108" spans="1:19" ht="21" customHeight="1">
      <c r="A108" s="30" t="str">
        <f t="shared" ref="A108:A109" si="12">E108&amp;F108&amp;M108</f>
        <v>13981</v>
      </c>
      <c r="B108" s="2">
        <f t="shared" si="7"/>
        <v>133</v>
      </c>
      <c r="C108" s="10" t="str">
        <f t="shared" ref="C108:C109" ca="1" si="13">E108&amp;H108&amp;I108</f>
        <v>1PremiumSS4</v>
      </c>
      <c r="D108" s="20" t="str">
        <f t="shared" ref="D108:D109" ca="1" si="14">E108&amp;H108&amp;I108&amp;"pick"</f>
        <v>1PremiumSS4pick</v>
      </c>
      <c r="E108" s="32">
        <v>1</v>
      </c>
      <c r="F108" s="7">
        <v>398</v>
      </c>
      <c r="G108" s="34" t="str">
        <f ca="1">VLOOKUP($F108,OFFSET([1]characters!$A$2,0,0,COUNTA([1]characters!$A:$A),MATCH(G$1,[1]characters!$2:$2,0)-MATCH($F$1,[1]characters!$2:$2,0)+1),MATCH(G$1,[1]characters!$2:$2,0)-MATCH($F$1,[1]characters!$2:$2,0)+1,FALSE)</f>
        <v>ヘンゼル＆グレーテル</v>
      </c>
      <c r="H108" s="34" t="str">
        <f ca="1">VLOOKUP($F108,OFFSET([1]characters!$A$2,0,0,COUNTA([1]characters!$A:$A),MATCH(H$1,[1]characters!$2:$2,0)-MATCH($F$1,[1]characters!$2:$2,0)+1),MATCH(H$1,[1]characters!$2:$2,0)-MATCH($F$1,[1]characters!$2:$2,0)+1,FALSE)</f>
        <v>PremiumSS</v>
      </c>
      <c r="I108" s="34">
        <f ca="1">VLOOKUP($F108,OFFSET([1]characters!$A$2,0,0,COUNTA([1]characters!$A:$A),MATCH(I$1,[1]characters!$2:$2,0)-MATCH($F$1,[1]characters!$2:$2,0)+1),MATCH(I$1,[1]characters!$2:$2,0)-MATCH($F$1,[1]characters!$2:$2,0)+1,FALSE)</f>
        <v>4</v>
      </c>
      <c r="J108" s="34" t="str">
        <f ca="1">VLOOKUP($F108,OFFSET([1]characters!$A$2,0,0,COUNTA([1]characters!$A:$A),MATCH(J$1,[1]characters!$2:$2,0)-MATCH($F$1,[1]characters!$2:$2,0)+1),MATCH(J$1,[1]characters!$2:$2,0)-MATCH($F$1,[1]characters!$2:$2,0)+1,FALSE)</f>
        <v>yellow</v>
      </c>
      <c r="K108" s="34" t="str">
        <f ca="1">VLOOKUP($F108,OFFSET([1]characters!$A$2,0,0,COUNTA([1]characters!$A:$A),MATCH("タイプ",[1]characters!$1:$1,0)-MATCH($F$1,[1]characters!$2:$2,0)+2),MATCH("タイプ",[1]characters!$1:$1,0)-MATCH($F$1,[1]characters!$2:$2,0)+2,FALSE)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8" s="34" t="str">
        <f ca="1">VLOOKUP($F108,OFFSET([1]characters!$A$2,0,0,COUNTA([1]characters!$A:$A),MATCH($L$1,[1]characters!$1:$1,0)-MATCH($F$1,[1]characters!$2:$2,0)+2),MATCH($L$1,[1]characters!$1:$1,0)-MATCH($F$1,[1]characters!$2:$2,0)+2,FALSE)</f>
        <v>ヒューマン</v>
      </c>
      <c r="M108" s="32">
        <v>1</v>
      </c>
      <c r="N108" s="40">
        <f ca="1">VLOOKUP(D108,gacha_133_base!A:B,2,FALSE)</f>
        <v>960</v>
      </c>
      <c r="O108" s="35">
        <v>0</v>
      </c>
      <c r="P108" s="35">
        <v>0</v>
      </c>
      <c r="Q108" s="35">
        <v>0</v>
      </c>
      <c r="R108" s="35">
        <v>0</v>
      </c>
      <c r="S108" s="35">
        <v>1</v>
      </c>
    </row>
    <row r="109" spans="1:19" s="37" customFormat="1" ht="21" customHeight="1" thickBot="1">
      <c r="A109" s="36" t="str">
        <f t="shared" si="12"/>
        <v>13991</v>
      </c>
      <c r="B109" s="2">
        <f t="shared" si="7"/>
        <v>133</v>
      </c>
      <c r="C109" s="10" t="str">
        <f t="shared" ca="1" si="13"/>
        <v>1PremiumSS5</v>
      </c>
      <c r="D109" s="20" t="str">
        <f t="shared" ca="1" si="14"/>
        <v>1PremiumSS5pick</v>
      </c>
      <c r="E109" s="24">
        <v>1</v>
      </c>
      <c r="F109" s="7">
        <v>399</v>
      </c>
      <c r="G109" s="23" t="str">
        <f ca="1">VLOOKUP($F109,OFFSET([1]characters!$A$2,0,0,COUNTA([1]characters!$A:$A),MATCH(G$1,[1]characters!$2:$2,0)-MATCH($F$1,[1]characters!$2:$2,0)+1),MATCH(G$1,[1]characters!$2:$2,0)-MATCH($F$1,[1]characters!$2:$2,0)+1,FALSE)</f>
        <v>信愛の兄妹 ヘンゼル＆グレーテル</v>
      </c>
      <c r="H109" s="23" t="str">
        <f ca="1">VLOOKUP($F109,OFFSET([1]characters!$A$2,0,0,COUNTA([1]characters!$A:$A),MATCH(H$1,[1]characters!$2:$2,0)-MATCH($F$1,[1]characters!$2:$2,0)+1),MATCH(H$1,[1]characters!$2:$2,0)-MATCH($F$1,[1]characters!$2:$2,0)+1,FALSE)</f>
        <v>PremiumSS</v>
      </c>
      <c r="I109" s="23">
        <f ca="1">VLOOKUP($F109,OFFSET([1]characters!$A$2,0,0,COUNTA([1]characters!$A:$A),MATCH(I$1,[1]characters!$2:$2,0)-MATCH($F$1,[1]characters!$2:$2,0)+1),MATCH(I$1,[1]characters!$2:$2,0)-MATCH($F$1,[1]characters!$2:$2,0)+1,FALSE)</f>
        <v>5</v>
      </c>
      <c r="J109" s="23" t="str">
        <f ca="1">VLOOKUP($F109,OFFSET([1]characters!$A$2,0,0,COUNTA([1]characters!$A:$A),MATCH(J$1,[1]characters!$2:$2,0)-MATCH($F$1,[1]characters!$2:$2,0)+1),MATCH(J$1,[1]characters!$2:$2,0)-MATCH($F$1,[1]characters!$2:$2,0)+1,FALSE)</f>
        <v>yellow</v>
      </c>
      <c r="K109" s="23" t="str">
        <f ca="1">VLOOKUP($F109,OFFSET([1]characters!$A$2,0,0,COUNTA([1]characters!$A:$A),MATCH("タイプ",[1]characters!$1:$1,0)-MATCH($F$1,[1]characters!$2:$2,0)+2),MATCH("タイプ",[1]characters!$1:$1,0)-MATCH($F$1,[1]characters!$2:$2,0)+2,FALSE)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9" s="23" t="str">
        <f ca="1">VLOOKUP($F109,OFFSET([1]characters!$A$2,0,0,COUNTA([1]characters!$A:$A),MATCH($L$1,[1]characters!$1:$1,0)-MATCH($F$1,[1]characters!$2:$2,0)+2),MATCH($L$1,[1]characters!$1:$1,0)-MATCH($F$1,[1]characters!$2:$2,0)+2,FALSE)</f>
        <v>ヒューマン</v>
      </c>
      <c r="M109" s="24">
        <v>1</v>
      </c>
      <c r="N109" s="40">
        <f ca="1">VLOOKUP(D109,gacha_133_base!A:B,2,FALSE)</f>
        <v>40</v>
      </c>
      <c r="O109" s="29">
        <v>0</v>
      </c>
      <c r="P109" s="29">
        <v>0</v>
      </c>
      <c r="Q109" s="29">
        <v>0</v>
      </c>
      <c r="R109" s="29">
        <v>0</v>
      </c>
      <c r="S109" s="29">
        <v>1</v>
      </c>
    </row>
    <row r="110" spans="1:19" ht="21" customHeight="1">
      <c r="A110" s="8" t="str">
        <f t="shared" si="4"/>
        <v>01261</v>
      </c>
      <c r="B110" s="2">
        <f t="shared" si="7"/>
        <v>133</v>
      </c>
      <c r="C110" s="10" t="str">
        <f t="shared" ca="1" si="5"/>
        <v>0PremiumW3</v>
      </c>
      <c r="D110" s="10" t="str">
        <f t="shared" ca="1" si="6"/>
        <v>0PremiumW3</v>
      </c>
      <c r="E110" s="21">
        <v>0</v>
      </c>
      <c r="F110" s="27">
        <v>126</v>
      </c>
      <c r="G110" s="20" t="str">
        <f ca="1">VLOOKUP($F110,OFFSET([1]characters!$A$2,0,0,COUNTA([1]characters!$A:$A),MATCH(G$1,[1]characters!$2:$2,0)-MATCH($F$1,[1]characters!$2:$2,0)+1),MATCH(G$1,[1]characters!$2:$2,0)-MATCH($F$1,[1]characters!$2:$2,0)+1,FALSE)</f>
        <v>骨器使い ユノ</v>
      </c>
      <c r="H110" s="20" t="str">
        <f ca="1">VLOOKUP($F110,OFFSET([1]characters!$A$2,0,0,COUNTA([1]characters!$A:$A),MATCH(H$1,[1]characters!$2:$2,0)-MATCH($F$1,[1]characters!$2:$2,0)+1),MATCH(H$1,[1]characters!$2:$2,0)-MATCH($F$1,[1]characters!$2:$2,0)+1,FALSE)</f>
        <v>PremiumW</v>
      </c>
      <c r="I110" s="20">
        <f ca="1">VLOOKUP($F110,OFFSET([1]characters!$A$2,0,0,COUNTA([1]characters!$A:$A),MATCH(I$1,[1]characters!$2:$2,0)-MATCH($F$1,[1]characters!$2:$2,0)+1),MATCH(I$1,[1]characters!$2:$2,0)-MATCH($F$1,[1]characters!$2:$2,0)+1,FALSE)</f>
        <v>3</v>
      </c>
      <c r="J110" s="20" t="str">
        <f ca="1">VLOOKUP($F110,OFFSET([1]characters!$A$2,0,0,COUNTA([1]characters!$A:$A),MATCH(J$1,[1]characters!$2:$2,0)-MATCH($F$1,[1]characters!$2:$2,0)+1),MATCH(J$1,[1]characters!$2:$2,0)-MATCH($F$1,[1]characters!$2:$2,0)+1,FALSE)</f>
        <v>red</v>
      </c>
      <c r="K110" s="20" t="str">
        <f ca="1">VLOOKUP($F110,OFFSET([1]characters!$A$2,0,0,COUNTA([1]characters!$A:$A),MATCH("タイプ",[1]characters!$1:$1,0)-MATCH($F$1,[1]characters!$2:$2,0)+2),MATCH("タイプ",[1]characters!$1:$1,0)-MATCH($F$1,[1]characters!$2:$2,0)+2,FALSE)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0" s="20" t="str">
        <f ca="1">VLOOKUP($F110,OFFSET([1]characters!$A$2,0,0,COUNTA([1]characters!$A:$A),MATCH($L$1,[1]characters!$1:$1,0)-MATCH($F$1,[1]characters!$2:$2,0)+2),MATCH($L$1,[1]characters!$1:$1,0)-MATCH($F$1,[1]characters!$2:$2,0)+2,FALSE)</f>
        <v>ヒューマン</v>
      </c>
      <c r="M110" s="21">
        <v>1</v>
      </c>
      <c r="N110" s="40">
        <f ca="1">VLOOKUP(D110,gacha_133_base!A:B,2,FALSE)</f>
        <v>2433</v>
      </c>
      <c r="O110" s="18">
        <v>0</v>
      </c>
      <c r="P110" s="18">
        <v>0</v>
      </c>
      <c r="Q110" s="18">
        <v>0</v>
      </c>
      <c r="R110" s="18">
        <v>0</v>
      </c>
      <c r="S110" s="18">
        <v>1</v>
      </c>
    </row>
    <row r="111" spans="1:19" ht="21" customHeight="1">
      <c r="A111" s="8" t="str">
        <f t="shared" si="4"/>
        <v>01281</v>
      </c>
      <c r="B111" s="2">
        <f t="shared" si="7"/>
        <v>133</v>
      </c>
      <c r="C111" s="10" t="str">
        <f t="shared" ca="1" si="5"/>
        <v>0PremiumW3</v>
      </c>
      <c r="D111" s="10" t="str">
        <f t="shared" ca="1" si="6"/>
        <v>0PremiumW3</v>
      </c>
      <c r="E111" s="21">
        <v>0</v>
      </c>
      <c r="F111" s="27">
        <v>128</v>
      </c>
      <c r="G111" s="20" t="str">
        <f ca="1">VLOOKUP($F111,OFFSET([1]characters!$A$2,0,0,COUNTA([1]characters!$A:$A),MATCH(G$1,[1]characters!$2:$2,0)-MATCH($F$1,[1]characters!$2:$2,0)+1),MATCH(G$1,[1]characters!$2:$2,0)-MATCH($F$1,[1]characters!$2:$2,0)+1,FALSE)</f>
        <v>野生児 アマラ</v>
      </c>
      <c r="H111" s="20" t="str">
        <f ca="1">VLOOKUP($F111,OFFSET([1]characters!$A$2,0,0,COUNTA([1]characters!$A:$A),MATCH(H$1,[1]characters!$2:$2,0)-MATCH($F$1,[1]characters!$2:$2,0)+1),MATCH(H$1,[1]characters!$2:$2,0)-MATCH($F$1,[1]characters!$2:$2,0)+1,FALSE)</f>
        <v>PremiumW</v>
      </c>
      <c r="I111" s="20">
        <f ca="1">VLOOKUP($F111,OFFSET([1]characters!$A$2,0,0,COUNTA([1]characters!$A:$A),MATCH(I$1,[1]characters!$2:$2,0)-MATCH($F$1,[1]characters!$2:$2,0)+1),MATCH(I$1,[1]characters!$2:$2,0)-MATCH($F$1,[1]characters!$2:$2,0)+1,FALSE)</f>
        <v>3</v>
      </c>
      <c r="J111" s="20" t="str">
        <f ca="1">VLOOKUP($F111,OFFSET([1]characters!$A$2,0,0,COUNTA([1]characters!$A:$A),MATCH(J$1,[1]characters!$2:$2,0)-MATCH($F$1,[1]characters!$2:$2,0)+1),MATCH(J$1,[1]characters!$2:$2,0)-MATCH($F$1,[1]characters!$2:$2,0)+1,FALSE)</f>
        <v>green</v>
      </c>
      <c r="K111" s="20" t="str">
        <f ca="1">VLOOKUP($F111,OFFSET([1]characters!$A$2,0,0,COUNTA([1]characters!$A:$A),MATCH("タイプ",[1]characters!$1:$1,0)-MATCH($F$1,[1]characters!$2:$2,0)+2),MATCH("タイプ",[1]characters!$1:$1,0)-MATCH($F$1,[1]characters!$2:$2,0)+2,FALSE)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1" s="20" t="str">
        <f ca="1">VLOOKUP($F111,OFFSET([1]characters!$A$2,0,0,COUNTA([1]characters!$A:$A),MATCH($L$1,[1]characters!$1:$1,0)-MATCH($F$1,[1]characters!$2:$2,0)+2),MATCH($L$1,[1]characters!$1:$1,0)-MATCH($F$1,[1]characters!$2:$2,0)+2,FALSE)</f>
        <v>ヒューマン</v>
      </c>
      <c r="M111" s="21">
        <v>1</v>
      </c>
      <c r="N111" s="40">
        <f ca="1">VLOOKUP(D111,gacha_133_base!A:B,2,FALSE)</f>
        <v>2433</v>
      </c>
      <c r="O111" s="18">
        <v>0</v>
      </c>
      <c r="P111" s="18">
        <v>0</v>
      </c>
      <c r="Q111" s="18">
        <v>0</v>
      </c>
      <c r="R111" s="18">
        <v>0</v>
      </c>
      <c r="S111" s="18">
        <v>1</v>
      </c>
    </row>
    <row r="112" spans="1:19" ht="21" customHeight="1">
      <c r="A112" s="8" t="str">
        <f t="shared" si="4"/>
        <v>01301</v>
      </c>
      <c r="B112" s="2">
        <f t="shared" si="7"/>
        <v>133</v>
      </c>
      <c r="C112" s="10" t="str">
        <f t="shared" ca="1" si="5"/>
        <v>0PremiumW3</v>
      </c>
      <c r="D112" s="10" t="str">
        <f t="shared" ca="1" si="6"/>
        <v>0PremiumW3</v>
      </c>
      <c r="E112" s="6">
        <v>0</v>
      </c>
      <c r="F112" s="7">
        <v>130</v>
      </c>
      <c r="G112" s="10" t="str">
        <f ca="1">VLOOKUP($F112,OFFSET([1]characters!$A$2,0,0,COUNTA([1]characters!$A:$A),MATCH(G$1,[1]characters!$2:$2,0)-MATCH($F$1,[1]characters!$2:$2,0)+1),MATCH(G$1,[1]characters!$2:$2,0)-MATCH($F$1,[1]characters!$2:$2,0)+1,FALSE)</f>
        <v>狼男 ローレンス</v>
      </c>
      <c r="H112" s="10" t="str">
        <f ca="1">VLOOKUP($F112,OFFSET([1]characters!$A$2,0,0,COUNTA([1]characters!$A:$A),MATCH(H$1,[1]characters!$2:$2,0)-MATCH($F$1,[1]characters!$2:$2,0)+1),MATCH(H$1,[1]characters!$2:$2,0)-MATCH($F$1,[1]characters!$2:$2,0)+1,FALSE)</f>
        <v>PremiumW</v>
      </c>
      <c r="I112" s="10">
        <f ca="1">VLOOKUP($F112,OFFSET([1]characters!$A$2,0,0,COUNTA([1]characters!$A:$A),MATCH(I$1,[1]characters!$2:$2,0)-MATCH($F$1,[1]characters!$2:$2,0)+1),MATCH(I$1,[1]characters!$2:$2,0)-MATCH($F$1,[1]characters!$2:$2,0)+1,FALSE)</f>
        <v>3</v>
      </c>
      <c r="J112" s="10" t="str">
        <f ca="1">VLOOKUP($F112,OFFSET([1]characters!$A$2,0,0,COUNTA([1]characters!$A:$A),MATCH(J$1,[1]characters!$2:$2,0)-MATCH($F$1,[1]characters!$2:$2,0)+1),MATCH(J$1,[1]characters!$2:$2,0)-MATCH($F$1,[1]characters!$2:$2,0)+1,FALSE)</f>
        <v>blue</v>
      </c>
      <c r="K112" s="10" t="str">
        <f ca="1">VLOOKUP($F112,OFFSET([1]characters!$A$2,0,0,COUNTA([1]characters!$A:$A),MATCH("タイプ",[1]characters!$1:$1,0)-MATCH($F$1,[1]characters!$2:$2,0)+2),MATCH("タイプ",[1]characters!$1:$1,0)-MATCH($F$1,[1]characters!$2:$2,0)+2,FALSE)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2" s="10" t="str">
        <f ca="1">VLOOKUP($F112,OFFSET([1]characters!$A$2,0,0,COUNTA([1]characters!$A:$A),MATCH($L$1,[1]characters!$1:$1,0)-MATCH($F$1,[1]characters!$2:$2,0)+2),MATCH($L$1,[1]characters!$1:$1,0)-MATCH($F$1,[1]characters!$2:$2,0)+2,FALSE)</f>
        <v>アニマル</v>
      </c>
      <c r="M112" s="6">
        <v>1</v>
      </c>
      <c r="N112" s="40">
        <f ca="1">VLOOKUP(D112,gacha_133_base!A:B,2,FALSE)</f>
        <v>2433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4"/>
        <v>01321</v>
      </c>
      <c r="B113" s="2">
        <f t="shared" si="7"/>
        <v>133</v>
      </c>
      <c r="C113" s="10" t="str">
        <f t="shared" ca="1" si="5"/>
        <v>0PremiumW3</v>
      </c>
      <c r="D113" s="10" t="str">
        <f t="shared" ca="1" si="6"/>
        <v>0PremiumW3</v>
      </c>
      <c r="E113" s="6">
        <v>0</v>
      </c>
      <c r="F113" s="7">
        <v>132</v>
      </c>
      <c r="G113" s="10" t="str">
        <f ca="1">VLOOKUP($F113,OFFSET([1]characters!$A$2,0,0,COUNTA([1]characters!$A:$A),MATCH(G$1,[1]characters!$2:$2,0)-MATCH($F$1,[1]characters!$2:$2,0)+1),MATCH(G$1,[1]characters!$2:$2,0)-MATCH($F$1,[1]characters!$2:$2,0)+1,FALSE)</f>
        <v>鳥人ハヤト</v>
      </c>
      <c r="H113" s="10" t="str">
        <f ca="1">VLOOKUP($F113,OFFSET([1]characters!$A$2,0,0,COUNTA([1]characters!$A:$A),MATCH(H$1,[1]characters!$2:$2,0)-MATCH($F$1,[1]characters!$2:$2,0)+1),MATCH(H$1,[1]characters!$2:$2,0)-MATCH($F$1,[1]characters!$2:$2,0)+1,FALSE)</f>
        <v>PremiumW</v>
      </c>
      <c r="I113" s="10">
        <f ca="1">VLOOKUP($F113,OFFSET([1]characters!$A$2,0,0,COUNTA([1]characters!$A:$A),MATCH(I$1,[1]characters!$2:$2,0)-MATCH($F$1,[1]characters!$2:$2,0)+1),MATCH(I$1,[1]characters!$2:$2,0)-MATCH($F$1,[1]characters!$2:$2,0)+1,FALSE)</f>
        <v>3</v>
      </c>
      <c r="J113" s="10" t="str">
        <f ca="1">VLOOKUP($F113,OFFSET([1]characters!$A$2,0,0,COUNTA([1]characters!$A:$A),MATCH(J$1,[1]characters!$2:$2,0)-MATCH($F$1,[1]characters!$2:$2,0)+1),MATCH(J$1,[1]characters!$2:$2,0)-MATCH($F$1,[1]characters!$2:$2,0)+1,FALSE)</f>
        <v>yellow</v>
      </c>
      <c r="K113" s="10" t="str">
        <f ca="1">VLOOKUP($F113,OFFSET([1]characters!$A$2,0,0,COUNTA([1]characters!$A:$A),MATCH("タイプ",[1]characters!$1:$1,0)-MATCH($F$1,[1]characters!$2:$2,0)+2),MATCH("タイプ",[1]characters!$1:$1,0)-MATCH($F$1,[1]characters!$2:$2,0)+2,FALSE)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3" s="10" t="str">
        <f ca="1">VLOOKUP($F113,OFFSET([1]characters!$A$2,0,0,COUNTA([1]characters!$A:$A),MATCH($L$1,[1]characters!$1:$1,0)-MATCH($F$1,[1]characters!$2:$2,0)+2),MATCH($L$1,[1]characters!$1:$1,0)-MATCH($F$1,[1]characters!$2:$2,0)+2,FALSE)</f>
        <v>ヒューマン</v>
      </c>
      <c r="M113" s="6">
        <v>1</v>
      </c>
      <c r="N113" s="40">
        <f ca="1">VLOOKUP(D113,gacha_133_base!A:B,2,FALSE)</f>
        <v>2433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4"/>
        <v>01341</v>
      </c>
      <c r="B114" s="2">
        <f t="shared" si="7"/>
        <v>133</v>
      </c>
      <c r="C114" s="10" t="str">
        <f t="shared" ca="1" si="5"/>
        <v>0PremiumW3</v>
      </c>
      <c r="D114" s="10" t="str">
        <f t="shared" ca="1" si="6"/>
        <v>0PremiumW3</v>
      </c>
      <c r="E114" s="6">
        <v>0</v>
      </c>
      <c r="F114" s="7">
        <v>134</v>
      </c>
      <c r="G114" s="10" t="str">
        <f ca="1">VLOOKUP($F114,OFFSET([1]characters!$A$2,0,0,COUNTA([1]characters!$A:$A),MATCH(G$1,[1]characters!$2:$2,0)-MATCH($F$1,[1]characters!$2:$2,0)+1),MATCH(G$1,[1]characters!$2:$2,0)-MATCH($F$1,[1]characters!$2:$2,0)+1,FALSE)</f>
        <v>妖炎の夕霧</v>
      </c>
      <c r="H114" s="10" t="str">
        <f ca="1">VLOOKUP($F114,OFFSET([1]characters!$A$2,0,0,COUNTA([1]characters!$A:$A),MATCH(H$1,[1]characters!$2:$2,0)-MATCH($F$1,[1]characters!$2:$2,0)+1),MATCH(H$1,[1]characters!$2:$2,0)-MATCH($F$1,[1]characters!$2:$2,0)+1,FALSE)</f>
        <v>PremiumW</v>
      </c>
      <c r="I114" s="10">
        <f ca="1">VLOOKUP($F114,OFFSET([1]characters!$A$2,0,0,COUNTA([1]characters!$A:$A),MATCH(I$1,[1]characters!$2:$2,0)-MATCH($F$1,[1]characters!$2:$2,0)+1),MATCH(I$1,[1]characters!$2:$2,0)-MATCH($F$1,[1]characters!$2:$2,0)+1,FALSE)</f>
        <v>3</v>
      </c>
      <c r="J114" s="10" t="str">
        <f ca="1">VLOOKUP($F114,OFFSET([1]characters!$A$2,0,0,COUNTA([1]characters!$A:$A),MATCH(J$1,[1]characters!$2:$2,0)-MATCH($F$1,[1]characters!$2:$2,0)+1),MATCH(J$1,[1]characters!$2:$2,0)-MATCH($F$1,[1]characters!$2:$2,0)+1,FALSE)</f>
        <v>red</v>
      </c>
      <c r="K114" s="10" t="str">
        <f ca="1">VLOOKUP($F114,OFFSET([1]characters!$A$2,0,0,COUNTA([1]characters!$A:$A),MATCH("タイプ",[1]characters!$1:$1,0)-MATCH($F$1,[1]characters!$2:$2,0)+2),MATCH("タイプ",[1]characters!$1:$1,0)-MATCH($F$1,[1]characters!$2:$2,0)+2,FALSE)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4" s="10" t="str">
        <f ca="1">VLOOKUP($F114,OFFSET([1]characters!$A$2,0,0,COUNTA([1]characters!$A:$A),MATCH($L$1,[1]characters!$1:$1,0)-MATCH($F$1,[1]characters!$2:$2,0)+2),MATCH($L$1,[1]characters!$1:$1,0)-MATCH($F$1,[1]characters!$2:$2,0)+2,FALSE)</f>
        <v>ヒューマン</v>
      </c>
      <c r="M114" s="6">
        <v>1</v>
      </c>
      <c r="N114" s="40">
        <f ca="1">VLOOKUP(D114,gacha_133_base!A:B,2,FALSE)</f>
        <v>2433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4"/>
        <v>01361</v>
      </c>
      <c r="B115" s="2">
        <f t="shared" si="7"/>
        <v>133</v>
      </c>
      <c r="C115" s="10" t="str">
        <f t="shared" ca="1" si="5"/>
        <v>0PremiumW3</v>
      </c>
      <c r="D115" s="10" t="str">
        <f t="shared" ca="1" si="6"/>
        <v>0PremiumW3</v>
      </c>
      <c r="E115" s="6">
        <v>0</v>
      </c>
      <c r="F115" s="7">
        <v>136</v>
      </c>
      <c r="G115" s="10" t="str">
        <f ca="1">VLOOKUP($F115,OFFSET([1]characters!$A$2,0,0,COUNTA([1]characters!$A:$A),MATCH(G$1,[1]characters!$2:$2,0)-MATCH($F$1,[1]characters!$2:$2,0)+1),MATCH(G$1,[1]characters!$2:$2,0)-MATCH($F$1,[1]characters!$2:$2,0)+1,FALSE)</f>
        <v>お針子チハヤ</v>
      </c>
      <c r="H115" s="10" t="str">
        <f ca="1">VLOOKUP($F115,OFFSET([1]characters!$A$2,0,0,COUNTA([1]characters!$A:$A),MATCH(H$1,[1]characters!$2:$2,0)-MATCH($F$1,[1]characters!$2:$2,0)+1),MATCH(H$1,[1]characters!$2:$2,0)-MATCH($F$1,[1]characters!$2:$2,0)+1,FALSE)</f>
        <v>PremiumW</v>
      </c>
      <c r="I115" s="10">
        <f ca="1">VLOOKUP($F115,OFFSET([1]characters!$A$2,0,0,COUNTA([1]characters!$A:$A),MATCH(I$1,[1]characters!$2:$2,0)-MATCH($F$1,[1]characters!$2:$2,0)+1),MATCH(I$1,[1]characters!$2:$2,0)-MATCH($F$1,[1]characters!$2:$2,0)+1,FALSE)</f>
        <v>3</v>
      </c>
      <c r="J115" s="10" t="str">
        <f ca="1">VLOOKUP($F115,OFFSET([1]characters!$A$2,0,0,COUNTA([1]characters!$A:$A),MATCH(J$1,[1]characters!$2:$2,0)-MATCH($F$1,[1]characters!$2:$2,0)+1),MATCH(J$1,[1]characters!$2:$2,0)-MATCH($F$1,[1]characters!$2:$2,0)+1,FALSE)</f>
        <v>green</v>
      </c>
      <c r="K115" s="10" t="str">
        <f ca="1">VLOOKUP($F115,OFFSET([1]characters!$A$2,0,0,COUNTA([1]characters!$A:$A),MATCH("タイプ",[1]characters!$1:$1,0)-MATCH($F$1,[1]characters!$2:$2,0)+2),MATCH("タイプ",[1]characters!$1:$1,0)-MATCH($F$1,[1]characters!$2:$2,0)+2,FALSE)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5" s="10" t="str">
        <f ca="1">VLOOKUP($F115,OFFSET([1]characters!$A$2,0,0,COUNTA([1]characters!$A:$A),MATCH($L$1,[1]characters!$1:$1,0)-MATCH($F$1,[1]characters!$2:$2,0)+2),MATCH($L$1,[1]characters!$1:$1,0)-MATCH($F$1,[1]characters!$2:$2,0)+2,FALSE)</f>
        <v>ヒューマン</v>
      </c>
      <c r="M115" s="6">
        <v>1</v>
      </c>
      <c r="N115" s="40">
        <f ca="1">VLOOKUP(D115,gacha_133_base!A:B,2,FALSE)</f>
        <v>2433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4"/>
        <v>01381</v>
      </c>
      <c r="B116" s="2">
        <f t="shared" si="7"/>
        <v>133</v>
      </c>
      <c r="C116" s="10" t="str">
        <f t="shared" ca="1" si="5"/>
        <v>0PremiumW3</v>
      </c>
      <c r="D116" s="10" t="str">
        <f t="shared" ca="1" si="6"/>
        <v>0PremiumW3</v>
      </c>
      <c r="E116" s="6">
        <v>0</v>
      </c>
      <c r="F116" s="7">
        <v>138</v>
      </c>
      <c r="G116" s="10" t="str">
        <f ca="1">VLOOKUP($F116,OFFSET([1]characters!$A$2,0,0,COUNTA([1]characters!$A:$A),MATCH(G$1,[1]characters!$2:$2,0)-MATCH($F$1,[1]characters!$2:$2,0)+1),MATCH(G$1,[1]characters!$2:$2,0)-MATCH($F$1,[1]characters!$2:$2,0)+1,FALSE)</f>
        <v>蒼薙のトモエ</v>
      </c>
      <c r="H116" s="10" t="str">
        <f ca="1">VLOOKUP($F116,OFFSET([1]characters!$A$2,0,0,COUNTA([1]characters!$A:$A),MATCH(H$1,[1]characters!$2:$2,0)-MATCH($F$1,[1]characters!$2:$2,0)+1),MATCH(H$1,[1]characters!$2:$2,0)-MATCH($F$1,[1]characters!$2:$2,0)+1,FALSE)</f>
        <v>PremiumW</v>
      </c>
      <c r="I116" s="10">
        <f ca="1">VLOOKUP($F116,OFFSET([1]characters!$A$2,0,0,COUNTA([1]characters!$A:$A),MATCH(I$1,[1]characters!$2:$2,0)-MATCH($F$1,[1]characters!$2:$2,0)+1),MATCH(I$1,[1]characters!$2:$2,0)-MATCH($F$1,[1]characters!$2:$2,0)+1,FALSE)</f>
        <v>3</v>
      </c>
      <c r="J116" s="10" t="str">
        <f ca="1">VLOOKUP($F116,OFFSET([1]characters!$A$2,0,0,COUNTA([1]characters!$A:$A),MATCH(J$1,[1]characters!$2:$2,0)-MATCH($F$1,[1]characters!$2:$2,0)+1),MATCH(J$1,[1]characters!$2:$2,0)-MATCH($F$1,[1]characters!$2:$2,0)+1,FALSE)</f>
        <v>blue</v>
      </c>
      <c r="K116" s="10" t="str">
        <f ca="1">VLOOKUP($F116,OFFSET([1]characters!$A$2,0,0,COUNTA([1]characters!$A:$A),MATCH("タイプ",[1]characters!$1:$1,0)-MATCH($F$1,[1]characters!$2:$2,0)+2),MATCH("タイプ",[1]characters!$1:$1,0)-MATCH($F$1,[1]characters!$2:$2,0)+2,FALSE)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6" s="10" t="str">
        <f ca="1">VLOOKUP($F116,OFFSET([1]characters!$A$2,0,0,COUNTA([1]characters!$A:$A),MATCH($L$1,[1]characters!$1:$1,0)-MATCH($F$1,[1]characters!$2:$2,0)+2),MATCH($L$1,[1]characters!$1:$1,0)-MATCH($F$1,[1]characters!$2:$2,0)+2,FALSE)</f>
        <v>ヒューマン</v>
      </c>
      <c r="M116" s="6">
        <v>1</v>
      </c>
      <c r="N116" s="40">
        <f ca="1">VLOOKUP(D116,gacha_133_base!A:B,2,FALSE)</f>
        <v>2433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4"/>
        <v>01401</v>
      </c>
      <c r="B117" s="2">
        <f t="shared" si="7"/>
        <v>133</v>
      </c>
      <c r="C117" s="10" t="str">
        <f t="shared" ca="1" si="5"/>
        <v>0PremiumW3</v>
      </c>
      <c r="D117" s="10" t="str">
        <f t="shared" ca="1" si="6"/>
        <v>0PremiumW3</v>
      </c>
      <c r="E117" s="6">
        <v>0</v>
      </c>
      <c r="F117" s="7">
        <v>140</v>
      </c>
      <c r="G117" s="10" t="str">
        <f ca="1">VLOOKUP($F117,OFFSET([1]characters!$A$2,0,0,COUNTA([1]characters!$A:$A),MATCH(G$1,[1]characters!$2:$2,0)-MATCH($F$1,[1]characters!$2:$2,0)+1),MATCH(G$1,[1]characters!$2:$2,0)-MATCH($F$1,[1]characters!$2:$2,0)+1,FALSE)</f>
        <v>秋祭のタマモ</v>
      </c>
      <c r="H117" s="10" t="str">
        <f ca="1">VLOOKUP($F117,OFFSET([1]characters!$A$2,0,0,COUNTA([1]characters!$A:$A),MATCH(H$1,[1]characters!$2:$2,0)-MATCH($F$1,[1]characters!$2:$2,0)+1),MATCH(H$1,[1]characters!$2:$2,0)-MATCH($F$1,[1]characters!$2:$2,0)+1,FALSE)</f>
        <v>PremiumW</v>
      </c>
      <c r="I117" s="10">
        <f ca="1">VLOOKUP($F117,OFFSET([1]characters!$A$2,0,0,COUNTA([1]characters!$A:$A),MATCH(I$1,[1]characters!$2:$2,0)-MATCH($F$1,[1]characters!$2:$2,0)+1),MATCH(I$1,[1]characters!$2:$2,0)-MATCH($F$1,[1]characters!$2:$2,0)+1,FALSE)</f>
        <v>3</v>
      </c>
      <c r="J117" s="10" t="str">
        <f ca="1">VLOOKUP($F117,OFFSET([1]characters!$A$2,0,0,COUNTA([1]characters!$A:$A),MATCH(J$1,[1]characters!$2:$2,0)-MATCH($F$1,[1]characters!$2:$2,0)+1),MATCH(J$1,[1]characters!$2:$2,0)-MATCH($F$1,[1]characters!$2:$2,0)+1,FALSE)</f>
        <v>yellow</v>
      </c>
      <c r="K117" s="10" t="str">
        <f ca="1">VLOOKUP($F117,OFFSET([1]characters!$A$2,0,0,COUNTA([1]characters!$A:$A),MATCH("タイプ",[1]characters!$1:$1,0)-MATCH($F$1,[1]characters!$2:$2,0)+2),MATCH("タイプ",[1]characters!$1:$1,0)-MATCH($F$1,[1]characters!$2:$2,0)+2,FALSE)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7" s="10" t="str">
        <f ca="1">VLOOKUP($F117,OFFSET([1]characters!$A$2,0,0,COUNTA([1]characters!$A:$A),MATCH($L$1,[1]characters!$1:$1,0)-MATCH($F$1,[1]characters!$2:$2,0)+2),MATCH($L$1,[1]characters!$1:$1,0)-MATCH($F$1,[1]characters!$2:$2,0)+2,FALSE)</f>
        <v>アニマル</v>
      </c>
      <c r="M117" s="6">
        <v>1</v>
      </c>
      <c r="N117" s="40">
        <f ca="1">VLOOKUP(D117,gacha_133_base!A:B,2,FALSE)</f>
        <v>2433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4"/>
        <v>01421</v>
      </c>
      <c r="B118" s="2">
        <f t="shared" si="7"/>
        <v>133</v>
      </c>
      <c r="C118" s="10" t="str">
        <f t="shared" ca="1" si="5"/>
        <v>0PremiumW3</v>
      </c>
      <c r="D118" s="10" t="str">
        <f t="shared" ca="1" si="6"/>
        <v>0PremiumW3</v>
      </c>
      <c r="E118" s="6">
        <v>0</v>
      </c>
      <c r="F118" s="7">
        <v>142</v>
      </c>
      <c r="G118" s="10" t="str">
        <f ca="1">VLOOKUP($F118,OFFSET([1]characters!$A$2,0,0,COUNTA([1]characters!$A:$A),MATCH(G$1,[1]characters!$2:$2,0)-MATCH($F$1,[1]characters!$2:$2,0)+1),MATCH(G$1,[1]characters!$2:$2,0)-MATCH($F$1,[1]characters!$2:$2,0)+1,FALSE)</f>
        <v>赤ずきん</v>
      </c>
      <c r="H118" s="10" t="str">
        <f ca="1">VLOOKUP($F118,OFFSET([1]characters!$A$2,0,0,COUNTA([1]characters!$A:$A),MATCH(H$1,[1]characters!$2:$2,0)-MATCH($F$1,[1]characters!$2:$2,0)+1),MATCH(H$1,[1]characters!$2:$2,0)-MATCH($F$1,[1]characters!$2:$2,0)+1,FALSE)</f>
        <v>PremiumW</v>
      </c>
      <c r="I118" s="10">
        <f ca="1">VLOOKUP($F118,OFFSET([1]characters!$A$2,0,0,COUNTA([1]characters!$A:$A),MATCH(I$1,[1]characters!$2:$2,0)-MATCH($F$1,[1]characters!$2:$2,0)+1),MATCH(I$1,[1]characters!$2:$2,0)-MATCH($F$1,[1]characters!$2:$2,0)+1,FALSE)</f>
        <v>3</v>
      </c>
      <c r="J118" s="10" t="str">
        <f ca="1">VLOOKUP($F118,OFFSET([1]characters!$A$2,0,0,COUNTA([1]characters!$A:$A),MATCH(J$1,[1]characters!$2:$2,0)-MATCH($F$1,[1]characters!$2:$2,0)+1),MATCH(J$1,[1]characters!$2:$2,0)-MATCH($F$1,[1]characters!$2:$2,0)+1,FALSE)</f>
        <v>red</v>
      </c>
      <c r="K118" s="10" t="str">
        <f ca="1">VLOOKUP($F118,OFFSET([1]characters!$A$2,0,0,COUNTA([1]characters!$A:$A),MATCH("タイプ",[1]characters!$1:$1,0)-MATCH($F$1,[1]characters!$2:$2,0)+2),MATCH("タイプ",[1]characters!$1:$1,0)-MATCH($F$1,[1]characters!$2:$2,0)+2,FALSE)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8" s="10" t="str">
        <f ca="1">VLOOKUP($F118,OFFSET([1]characters!$A$2,0,0,COUNTA([1]characters!$A:$A),MATCH($L$1,[1]characters!$1:$1,0)-MATCH($F$1,[1]characters!$2:$2,0)+2),MATCH($L$1,[1]characters!$1:$1,0)-MATCH($F$1,[1]characters!$2:$2,0)+2,FALSE)</f>
        <v>ヒューマン</v>
      </c>
      <c r="M118" s="6">
        <v>1</v>
      </c>
      <c r="N118" s="40">
        <f ca="1">VLOOKUP(D118,gacha_133_base!A:B,2,FALSE)</f>
        <v>2433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4"/>
        <v>01441</v>
      </c>
      <c r="B119" s="2">
        <f t="shared" si="7"/>
        <v>133</v>
      </c>
      <c r="C119" s="10" t="str">
        <f t="shared" ca="1" si="5"/>
        <v>0PremiumW3</v>
      </c>
      <c r="D119" s="10" t="str">
        <f t="shared" ca="1" si="6"/>
        <v>0PremiumW3</v>
      </c>
      <c r="E119" s="6">
        <v>0</v>
      </c>
      <c r="F119" s="7">
        <v>144</v>
      </c>
      <c r="G119" s="10" t="str">
        <f ca="1">VLOOKUP($F119,OFFSET([1]characters!$A$2,0,0,COUNTA([1]characters!$A:$A),MATCH(G$1,[1]characters!$2:$2,0)-MATCH($F$1,[1]characters!$2:$2,0)+1),MATCH(G$1,[1]characters!$2:$2,0)-MATCH($F$1,[1]characters!$2:$2,0)+1,FALSE)</f>
        <v>かぐや</v>
      </c>
      <c r="H119" s="10" t="str">
        <f ca="1">VLOOKUP($F119,OFFSET([1]characters!$A$2,0,0,COUNTA([1]characters!$A:$A),MATCH(H$1,[1]characters!$2:$2,0)-MATCH($F$1,[1]characters!$2:$2,0)+1),MATCH(H$1,[1]characters!$2:$2,0)-MATCH($F$1,[1]characters!$2:$2,0)+1,FALSE)</f>
        <v>PremiumW</v>
      </c>
      <c r="I119" s="10">
        <f ca="1">VLOOKUP($F119,OFFSET([1]characters!$A$2,0,0,COUNTA([1]characters!$A:$A),MATCH(I$1,[1]characters!$2:$2,0)-MATCH($F$1,[1]characters!$2:$2,0)+1),MATCH(I$1,[1]characters!$2:$2,0)-MATCH($F$1,[1]characters!$2:$2,0)+1,FALSE)</f>
        <v>3</v>
      </c>
      <c r="J119" s="10" t="str">
        <f ca="1">VLOOKUP($F119,OFFSET([1]characters!$A$2,0,0,COUNTA([1]characters!$A:$A),MATCH(J$1,[1]characters!$2:$2,0)-MATCH($F$1,[1]characters!$2:$2,0)+1),MATCH(J$1,[1]characters!$2:$2,0)-MATCH($F$1,[1]characters!$2:$2,0)+1,FALSE)</f>
        <v>green</v>
      </c>
      <c r="K119" s="10" t="str">
        <f ca="1">VLOOKUP($F119,OFFSET([1]characters!$A$2,0,0,COUNTA([1]characters!$A:$A),MATCH("タイプ",[1]characters!$1:$1,0)-MATCH($F$1,[1]characters!$2:$2,0)+2),MATCH("タイプ",[1]characters!$1:$1,0)-MATCH($F$1,[1]characters!$2:$2,0)+2,FALSE)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9" s="10" t="str">
        <f ca="1">VLOOKUP($F119,OFFSET([1]characters!$A$2,0,0,COUNTA([1]characters!$A:$A),MATCH($L$1,[1]characters!$1:$1,0)-MATCH($F$1,[1]characters!$2:$2,0)+2),MATCH($L$1,[1]characters!$1:$1,0)-MATCH($F$1,[1]characters!$2:$2,0)+2,FALSE)</f>
        <v>ヒューマン</v>
      </c>
      <c r="M119" s="6">
        <v>1</v>
      </c>
      <c r="N119" s="40">
        <f ca="1">VLOOKUP(D119,gacha_133_base!A:B,2,FALSE)</f>
        <v>2433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4"/>
        <v>01461</v>
      </c>
      <c r="B120" s="2">
        <f t="shared" si="7"/>
        <v>133</v>
      </c>
      <c r="C120" s="10" t="str">
        <f t="shared" ca="1" si="5"/>
        <v>0PremiumW3</v>
      </c>
      <c r="D120" s="10" t="str">
        <f t="shared" ca="1" si="6"/>
        <v>0PremiumW3</v>
      </c>
      <c r="E120" s="6">
        <v>0</v>
      </c>
      <c r="F120" s="7">
        <v>146</v>
      </c>
      <c r="G120" s="10" t="str">
        <f ca="1">VLOOKUP($F120,OFFSET([1]characters!$A$2,0,0,COUNTA([1]characters!$A:$A),MATCH(G$1,[1]characters!$2:$2,0)-MATCH($F$1,[1]characters!$2:$2,0)+1),MATCH(G$1,[1]characters!$2:$2,0)-MATCH($F$1,[1]characters!$2:$2,0)+1,FALSE)</f>
        <v>マーメイド</v>
      </c>
      <c r="H120" s="10" t="str">
        <f ca="1">VLOOKUP($F120,OFFSET([1]characters!$A$2,0,0,COUNTA([1]characters!$A:$A),MATCH(H$1,[1]characters!$2:$2,0)-MATCH($F$1,[1]characters!$2:$2,0)+1),MATCH(H$1,[1]characters!$2:$2,0)-MATCH($F$1,[1]characters!$2:$2,0)+1,FALSE)</f>
        <v>PremiumW</v>
      </c>
      <c r="I120" s="10">
        <f ca="1">VLOOKUP($F120,OFFSET([1]characters!$A$2,0,0,COUNTA([1]characters!$A:$A),MATCH(I$1,[1]characters!$2:$2,0)-MATCH($F$1,[1]characters!$2:$2,0)+1),MATCH(I$1,[1]characters!$2:$2,0)-MATCH($F$1,[1]characters!$2:$2,0)+1,FALSE)</f>
        <v>3</v>
      </c>
      <c r="J120" s="10" t="str">
        <f ca="1">VLOOKUP($F120,OFFSET([1]characters!$A$2,0,0,COUNTA([1]characters!$A:$A),MATCH(J$1,[1]characters!$2:$2,0)-MATCH($F$1,[1]characters!$2:$2,0)+1),MATCH(J$1,[1]characters!$2:$2,0)-MATCH($F$1,[1]characters!$2:$2,0)+1,FALSE)</f>
        <v>blue</v>
      </c>
      <c r="K120" s="10" t="str">
        <f ca="1">VLOOKUP($F120,OFFSET([1]characters!$A$2,0,0,COUNTA([1]characters!$A:$A),MATCH("タイプ",[1]characters!$1:$1,0)-MATCH($F$1,[1]characters!$2:$2,0)+2),MATCH("タイプ",[1]characters!$1:$1,0)-MATCH($F$1,[1]characters!$2:$2,0)+2,FALSE)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0" s="10" t="str">
        <f ca="1">VLOOKUP($F120,OFFSET([1]characters!$A$2,0,0,COUNTA([1]characters!$A:$A),MATCH($L$1,[1]characters!$1:$1,0)-MATCH($F$1,[1]characters!$2:$2,0)+2),MATCH($L$1,[1]characters!$1:$1,0)-MATCH($F$1,[1]characters!$2:$2,0)+2,FALSE)</f>
        <v>ヒューマン</v>
      </c>
      <c r="M120" s="6">
        <v>1</v>
      </c>
      <c r="N120" s="40">
        <f ca="1">VLOOKUP(D120,gacha_133_base!A:B,2,FALSE)</f>
        <v>2433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si="4"/>
        <v>01481</v>
      </c>
      <c r="B121" s="2">
        <f t="shared" si="7"/>
        <v>133</v>
      </c>
      <c r="C121" s="10" t="str">
        <f t="shared" ca="1" si="5"/>
        <v>0PremiumW3</v>
      </c>
      <c r="D121" s="10" t="str">
        <f t="shared" ca="1" si="6"/>
        <v>0PremiumW3</v>
      </c>
      <c r="E121" s="6">
        <v>0</v>
      </c>
      <c r="F121" s="7">
        <v>148</v>
      </c>
      <c r="G121" s="10" t="str">
        <f ca="1">VLOOKUP($F121,OFFSET([1]characters!$A$2,0,0,COUNTA([1]characters!$A:$A),MATCH(G$1,[1]characters!$2:$2,0)-MATCH($F$1,[1]characters!$2:$2,0)+1),MATCH(G$1,[1]characters!$2:$2,0)-MATCH($F$1,[1]characters!$2:$2,0)+1,FALSE)</f>
        <v>シンデレラ</v>
      </c>
      <c r="H121" s="10" t="str">
        <f ca="1">VLOOKUP($F121,OFFSET([1]characters!$A$2,0,0,COUNTA([1]characters!$A:$A),MATCH(H$1,[1]characters!$2:$2,0)-MATCH($F$1,[1]characters!$2:$2,0)+1),MATCH(H$1,[1]characters!$2:$2,0)-MATCH($F$1,[1]characters!$2:$2,0)+1,FALSE)</f>
        <v>PremiumW</v>
      </c>
      <c r="I121" s="10">
        <f ca="1">VLOOKUP($F121,OFFSET([1]characters!$A$2,0,0,COUNTA([1]characters!$A:$A),MATCH(I$1,[1]characters!$2:$2,0)-MATCH($F$1,[1]characters!$2:$2,0)+1),MATCH(I$1,[1]characters!$2:$2,0)-MATCH($F$1,[1]characters!$2:$2,0)+1,FALSE)</f>
        <v>3</v>
      </c>
      <c r="J121" s="10" t="str">
        <f ca="1">VLOOKUP($F121,OFFSET([1]characters!$A$2,0,0,COUNTA([1]characters!$A:$A),MATCH(J$1,[1]characters!$2:$2,0)-MATCH($F$1,[1]characters!$2:$2,0)+1),MATCH(J$1,[1]characters!$2:$2,0)-MATCH($F$1,[1]characters!$2:$2,0)+1,FALSE)</f>
        <v>yellow</v>
      </c>
      <c r="K121" s="10" t="str">
        <f ca="1">VLOOKUP($F121,OFFSET([1]characters!$A$2,0,0,COUNTA([1]characters!$A:$A),MATCH("タイプ",[1]characters!$1:$1,0)-MATCH($F$1,[1]characters!$2:$2,0)+2),MATCH("タイプ",[1]characters!$1:$1,0)-MATCH($F$1,[1]characters!$2:$2,0)+2,FALSE)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1" s="10" t="str">
        <f ca="1">VLOOKUP($F121,OFFSET([1]characters!$A$2,0,0,COUNTA([1]characters!$A:$A),MATCH($L$1,[1]characters!$1:$1,0)-MATCH($F$1,[1]characters!$2:$2,0)+2),MATCH($L$1,[1]characters!$1:$1,0)-MATCH($F$1,[1]characters!$2:$2,0)+2,FALSE)</f>
        <v>ヒューマン</v>
      </c>
      <c r="M121" s="6">
        <v>1</v>
      </c>
      <c r="N121" s="40">
        <f ca="1">VLOOKUP(D121,gacha_133_base!A:B,2,FALSE)</f>
        <v>2433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4"/>
        <v>01501</v>
      </c>
      <c r="B122" s="2">
        <f t="shared" si="7"/>
        <v>133</v>
      </c>
      <c r="C122" s="10" t="str">
        <f t="shared" ca="1" si="5"/>
        <v>0PremiumW3</v>
      </c>
      <c r="D122" s="10" t="str">
        <f t="shared" ca="1" si="6"/>
        <v>0PremiumW3</v>
      </c>
      <c r="E122" s="6">
        <v>0</v>
      </c>
      <c r="F122" s="7">
        <v>150</v>
      </c>
      <c r="G122" s="10" t="str">
        <f ca="1">VLOOKUP($F122,OFFSET([1]characters!$A$2,0,0,COUNTA([1]characters!$A:$A),MATCH(G$1,[1]characters!$2:$2,0)-MATCH($F$1,[1]characters!$2:$2,0)+1),MATCH(G$1,[1]characters!$2:$2,0)-MATCH($F$1,[1]characters!$2:$2,0)+1,FALSE)</f>
        <v>ポイズンマスターサキ</v>
      </c>
      <c r="H122" s="10" t="str">
        <f ca="1">VLOOKUP($F122,OFFSET([1]characters!$A$2,0,0,COUNTA([1]characters!$A:$A),MATCH(H$1,[1]characters!$2:$2,0)-MATCH($F$1,[1]characters!$2:$2,0)+1),MATCH(H$1,[1]characters!$2:$2,0)-MATCH($F$1,[1]characters!$2:$2,0)+1,FALSE)</f>
        <v>PremiumW</v>
      </c>
      <c r="I122" s="10">
        <f ca="1">VLOOKUP($F122,OFFSET([1]characters!$A$2,0,0,COUNTA([1]characters!$A:$A),MATCH(I$1,[1]characters!$2:$2,0)-MATCH($F$1,[1]characters!$2:$2,0)+1),MATCH(I$1,[1]characters!$2:$2,0)-MATCH($F$1,[1]characters!$2:$2,0)+1,FALSE)</f>
        <v>3</v>
      </c>
      <c r="J122" s="10" t="str">
        <f ca="1">VLOOKUP($F122,OFFSET([1]characters!$A$2,0,0,COUNTA([1]characters!$A:$A),MATCH(J$1,[1]characters!$2:$2,0)-MATCH($F$1,[1]characters!$2:$2,0)+1),MATCH(J$1,[1]characters!$2:$2,0)-MATCH($F$1,[1]characters!$2:$2,0)+1,FALSE)</f>
        <v>red</v>
      </c>
      <c r="K122" s="10" t="str">
        <f ca="1">VLOOKUP($F122,OFFSET([1]characters!$A$2,0,0,COUNTA([1]characters!$A:$A),MATCH("タイプ",[1]characters!$1:$1,0)-MATCH($F$1,[1]characters!$2:$2,0)+2),MATCH("タイプ",[1]characters!$1:$1,0)-MATCH($F$1,[1]characters!$2:$2,0)+2,FALSE)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2" s="10" t="str">
        <f ca="1">VLOOKUP($F122,OFFSET([1]characters!$A$2,0,0,COUNTA([1]characters!$A:$A),MATCH($L$1,[1]characters!$1:$1,0)-MATCH($F$1,[1]characters!$2:$2,0)+2),MATCH($L$1,[1]characters!$1:$1,0)-MATCH($F$1,[1]characters!$2:$2,0)+2,FALSE)</f>
        <v>ヒューマン</v>
      </c>
      <c r="M122" s="6">
        <v>1</v>
      </c>
      <c r="N122" s="40">
        <f ca="1">VLOOKUP(D122,gacha_133_base!A:B,2,FALSE)</f>
        <v>2433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4"/>
        <v>01521</v>
      </c>
      <c r="B123" s="2">
        <f t="shared" si="7"/>
        <v>133</v>
      </c>
      <c r="C123" s="10" t="str">
        <f t="shared" ca="1" si="5"/>
        <v>0PremiumW3</v>
      </c>
      <c r="D123" s="10" t="str">
        <f t="shared" ca="1" si="6"/>
        <v>0PremiumW3</v>
      </c>
      <c r="E123" s="6">
        <v>0</v>
      </c>
      <c r="F123" s="7">
        <v>152</v>
      </c>
      <c r="G123" s="10" t="str">
        <f ca="1">VLOOKUP($F123,OFFSET([1]characters!$A$2,0,0,COUNTA([1]characters!$A:$A),MATCH(G$1,[1]characters!$2:$2,0)-MATCH($F$1,[1]characters!$2:$2,0)+1),MATCH(G$1,[1]characters!$2:$2,0)-MATCH($F$1,[1]characters!$2:$2,0)+1,FALSE)</f>
        <v>功夫少女ランラン</v>
      </c>
      <c r="H123" s="10" t="str">
        <f ca="1">VLOOKUP($F123,OFFSET([1]characters!$A$2,0,0,COUNTA([1]characters!$A:$A),MATCH(H$1,[1]characters!$2:$2,0)-MATCH($F$1,[1]characters!$2:$2,0)+1),MATCH(H$1,[1]characters!$2:$2,0)-MATCH($F$1,[1]characters!$2:$2,0)+1,FALSE)</f>
        <v>PremiumW</v>
      </c>
      <c r="I123" s="10">
        <f ca="1">VLOOKUP($F123,OFFSET([1]characters!$A$2,0,0,COUNTA([1]characters!$A:$A),MATCH(I$1,[1]characters!$2:$2,0)-MATCH($F$1,[1]characters!$2:$2,0)+1),MATCH(I$1,[1]characters!$2:$2,0)-MATCH($F$1,[1]characters!$2:$2,0)+1,FALSE)</f>
        <v>3</v>
      </c>
      <c r="J123" s="10" t="str">
        <f ca="1">VLOOKUP($F123,OFFSET([1]characters!$A$2,0,0,COUNTA([1]characters!$A:$A),MATCH(J$1,[1]characters!$2:$2,0)-MATCH($F$1,[1]characters!$2:$2,0)+1),MATCH(J$1,[1]characters!$2:$2,0)-MATCH($F$1,[1]characters!$2:$2,0)+1,FALSE)</f>
        <v>green</v>
      </c>
      <c r="K123" s="10" t="str">
        <f ca="1">VLOOKUP($F123,OFFSET([1]characters!$A$2,0,0,COUNTA([1]characters!$A:$A),MATCH("タイプ",[1]characters!$1:$1,0)-MATCH($F$1,[1]characters!$2:$2,0)+2),MATCH("タイプ",[1]characters!$1:$1,0)-MATCH($F$1,[1]characters!$2:$2,0)+2,FALSE)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3" s="10" t="str">
        <f ca="1">VLOOKUP($F123,OFFSET([1]characters!$A$2,0,0,COUNTA([1]characters!$A:$A),MATCH($L$1,[1]characters!$1:$1,0)-MATCH($F$1,[1]characters!$2:$2,0)+2),MATCH($L$1,[1]characters!$1:$1,0)-MATCH($F$1,[1]characters!$2:$2,0)+2,FALSE)</f>
        <v>ヒューマン</v>
      </c>
      <c r="M123" s="6">
        <v>1</v>
      </c>
      <c r="N123" s="40">
        <f ca="1">VLOOKUP(D123,gacha_133_base!A:B,2,FALSE)</f>
        <v>2433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4"/>
        <v>01541</v>
      </c>
      <c r="B124" s="2">
        <f t="shared" si="7"/>
        <v>133</v>
      </c>
      <c r="C124" s="10" t="str">
        <f t="shared" ca="1" si="5"/>
        <v>0PremiumW3</v>
      </c>
      <c r="D124" s="10" t="str">
        <f t="shared" ca="1" si="6"/>
        <v>0PremiumW3</v>
      </c>
      <c r="E124" s="6">
        <v>0</v>
      </c>
      <c r="F124" s="7">
        <v>154</v>
      </c>
      <c r="G124" s="10" t="str">
        <f ca="1">VLOOKUP($F124,OFFSET([1]characters!$A$2,0,0,COUNTA([1]characters!$A:$A),MATCH(G$1,[1]characters!$2:$2,0)-MATCH($F$1,[1]characters!$2:$2,0)+1),MATCH(G$1,[1]characters!$2:$2,0)-MATCH($F$1,[1]characters!$2:$2,0)+1,FALSE)</f>
        <v>始末屋 ハンナ</v>
      </c>
      <c r="H124" s="10" t="str">
        <f ca="1">VLOOKUP($F124,OFFSET([1]characters!$A$2,0,0,COUNTA([1]characters!$A:$A),MATCH(H$1,[1]characters!$2:$2,0)-MATCH($F$1,[1]characters!$2:$2,0)+1),MATCH(H$1,[1]characters!$2:$2,0)-MATCH($F$1,[1]characters!$2:$2,0)+1,FALSE)</f>
        <v>PremiumW</v>
      </c>
      <c r="I124" s="10">
        <f ca="1">VLOOKUP($F124,OFFSET([1]characters!$A$2,0,0,COUNTA([1]characters!$A:$A),MATCH(I$1,[1]characters!$2:$2,0)-MATCH($F$1,[1]characters!$2:$2,0)+1),MATCH(I$1,[1]characters!$2:$2,0)-MATCH($F$1,[1]characters!$2:$2,0)+1,FALSE)</f>
        <v>3</v>
      </c>
      <c r="J124" s="10" t="str">
        <f ca="1">VLOOKUP($F124,OFFSET([1]characters!$A$2,0,0,COUNTA([1]characters!$A:$A),MATCH(J$1,[1]characters!$2:$2,0)-MATCH($F$1,[1]characters!$2:$2,0)+1),MATCH(J$1,[1]characters!$2:$2,0)-MATCH($F$1,[1]characters!$2:$2,0)+1,FALSE)</f>
        <v>blue</v>
      </c>
      <c r="K124" s="10" t="str">
        <f ca="1">VLOOKUP($F124,OFFSET([1]characters!$A$2,0,0,COUNTA([1]characters!$A:$A),MATCH("タイプ",[1]characters!$1:$1,0)-MATCH($F$1,[1]characters!$2:$2,0)+2),MATCH("タイプ",[1]characters!$1:$1,0)-MATCH($F$1,[1]characters!$2:$2,0)+2,FALSE)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4" s="10" t="str">
        <f ca="1">VLOOKUP($F124,OFFSET([1]characters!$A$2,0,0,COUNTA([1]characters!$A:$A),MATCH($L$1,[1]characters!$1:$1,0)-MATCH($F$1,[1]characters!$2:$2,0)+2),MATCH($L$1,[1]characters!$1:$1,0)-MATCH($F$1,[1]characters!$2:$2,0)+2,FALSE)</f>
        <v>ヒューマン</v>
      </c>
      <c r="M124" s="6">
        <v>1</v>
      </c>
      <c r="N124" s="40">
        <f ca="1">VLOOKUP(D124,gacha_133_base!A:B,2,FALSE)</f>
        <v>2433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4"/>
        <v>01561</v>
      </c>
      <c r="B125" s="2">
        <f t="shared" si="7"/>
        <v>133</v>
      </c>
      <c r="C125" s="10" t="str">
        <f t="shared" ca="1" si="5"/>
        <v>0PremiumW3</v>
      </c>
      <c r="D125" s="10" t="str">
        <f t="shared" ca="1" si="6"/>
        <v>0PremiumW3</v>
      </c>
      <c r="E125" s="6">
        <v>0</v>
      </c>
      <c r="F125" s="7">
        <v>156</v>
      </c>
      <c r="G125" s="10" t="str">
        <f ca="1">VLOOKUP($F125,OFFSET([1]characters!$A$2,0,0,COUNTA([1]characters!$A:$A),MATCH(G$1,[1]characters!$2:$2,0)-MATCH($F$1,[1]characters!$2:$2,0)+1),MATCH(G$1,[1]characters!$2:$2,0)-MATCH($F$1,[1]characters!$2:$2,0)+1,FALSE)</f>
        <v>踊り子 エレナ</v>
      </c>
      <c r="H125" s="10" t="str">
        <f ca="1">VLOOKUP($F125,OFFSET([1]characters!$A$2,0,0,COUNTA([1]characters!$A:$A),MATCH(H$1,[1]characters!$2:$2,0)-MATCH($F$1,[1]characters!$2:$2,0)+1),MATCH(H$1,[1]characters!$2:$2,0)-MATCH($F$1,[1]characters!$2:$2,0)+1,FALSE)</f>
        <v>PremiumW</v>
      </c>
      <c r="I125" s="10">
        <f ca="1">VLOOKUP($F125,OFFSET([1]characters!$A$2,0,0,COUNTA([1]characters!$A:$A),MATCH(I$1,[1]characters!$2:$2,0)-MATCH($F$1,[1]characters!$2:$2,0)+1),MATCH(I$1,[1]characters!$2:$2,0)-MATCH($F$1,[1]characters!$2:$2,0)+1,FALSE)</f>
        <v>3</v>
      </c>
      <c r="J125" s="10" t="str">
        <f ca="1">VLOOKUP($F125,OFFSET([1]characters!$A$2,0,0,COUNTA([1]characters!$A:$A),MATCH(J$1,[1]characters!$2:$2,0)-MATCH($F$1,[1]characters!$2:$2,0)+1),MATCH(J$1,[1]characters!$2:$2,0)-MATCH($F$1,[1]characters!$2:$2,0)+1,FALSE)</f>
        <v>yellow</v>
      </c>
      <c r="K125" s="10" t="str">
        <f ca="1">VLOOKUP($F125,OFFSET([1]characters!$A$2,0,0,COUNTA([1]characters!$A:$A),MATCH("タイプ",[1]characters!$1:$1,0)-MATCH($F$1,[1]characters!$2:$2,0)+2),MATCH("タイプ",[1]characters!$1:$1,0)-MATCH($F$1,[1]characters!$2:$2,0)+2,FALSE)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5" s="10" t="str">
        <f ca="1">VLOOKUP($F125,OFFSET([1]characters!$A$2,0,0,COUNTA([1]characters!$A:$A),MATCH($L$1,[1]characters!$1:$1,0)-MATCH($F$1,[1]characters!$2:$2,0)+2),MATCH($L$1,[1]characters!$1:$1,0)-MATCH($F$1,[1]characters!$2:$2,0)+2,FALSE)</f>
        <v>ヒューマン</v>
      </c>
      <c r="M125" s="6">
        <v>1</v>
      </c>
      <c r="N125" s="40">
        <f ca="1">VLOOKUP(D125,gacha_133_base!A:B,2,FALSE)</f>
        <v>2433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4"/>
        <v>01581</v>
      </c>
      <c r="B126" s="2">
        <f t="shared" si="7"/>
        <v>133</v>
      </c>
      <c r="C126" s="10" t="str">
        <f t="shared" ca="1" si="5"/>
        <v>0PremiumW3</v>
      </c>
      <c r="D126" s="10" t="str">
        <f t="shared" ca="1" si="6"/>
        <v>0PremiumW3</v>
      </c>
      <c r="E126" s="6">
        <v>0</v>
      </c>
      <c r="F126" s="7">
        <v>158</v>
      </c>
      <c r="G126" s="10" t="str">
        <f ca="1">VLOOKUP($F126,OFFSET([1]characters!$A$2,0,0,COUNTA([1]characters!$A:$A),MATCH(G$1,[1]characters!$2:$2,0)-MATCH($F$1,[1]characters!$2:$2,0)+1),MATCH(G$1,[1]characters!$2:$2,0)-MATCH($F$1,[1]characters!$2:$2,0)+1,FALSE)</f>
        <v>シスター シャルロッテ</v>
      </c>
      <c r="H126" s="10" t="str">
        <f ca="1">VLOOKUP($F126,OFFSET([1]characters!$A$2,0,0,COUNTA([1]characters!$A:$A),MATCH(H$1,[1]characters!$2:$2,0)-MATCH($F$1,[1]characters!$2:$2,0)+1),MATCH(H$1,[1]characters!$2:$2,0)-MATCH($F$1,[1]characters!$2:$2,0)+1,FALSE)</f>
        <v>PremiumW</v>
      </c>
      <c r="I126" s="10">
        <f ca="1">VLOOKUP($F126,OFFSET([1]characters!$A$2,0,0,COUNTA([1]characters!$A:$A),MATCH(I$1,[1]characters!$2:$2,0)-MATCH($F$1,[1]characters!$2:$2,0)+1),MATCH(I$1,[1]characters!$2:$2,0)-MATCH($F$1,[1]characters!$2:$2,0)+1,FALSE)</f>
        <v>3</v>
      </c>
      <c r="J126" s="10" t="str">
        <f ca="1">VLOOKUP($F126,OFFSET([1]characters!$A$2,0,0,COUNTA([1]characters!$A:$A),MATCH(J$1,[1]characters!$2:$2,0)-MATCH($F$1,[1]characters!$2:$2,0)+1),MATCH(J$1,[1]characters!$2:$2,0)-MATCH($F$1,[1]characters!$2:$2,0)+1,FALSE)</f>
        <v>red</v>
      </c>
      <c r="K126" s="10" t="str">
        <f ca="1">VLOOKUP($F126,OFFSET([1]characters!$A$2,0,0,COUNTA([1]characters!$A:$A),MATCH("タイプ",[1]characters!$1:$1,0)-MATCH($F$1,[1]characters!$2:$2,0)+2),MATCH("タイプ",[1]characters!$1:$1,0)-MATCH($F$1,[1]characters!$2:$2,0)+2,FALSE)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6" s="10" t="str">
        <f ca="1">VLOOKUP($F126,OFFSET([1]characters!$A$2,0,0,COUNTA([1]characters!$A:$A),MATCH($L$1,[1]characters!$1:$1,0)-MATCH($F$1,[1]characters!$2:$2,0)+2),MATCH($L$1,[1]characters!$1:$1,0)-MATCH($F$1,[1]characters!$2:$2,0)+2,FALSE)</f>
        <v>ヒューマン</v>
      </c>
      <c r="M126" s="6">
        <v>1</v>
      </c>
      <c r="N126" s="40">
        <f ca="1">VLOOKUP(D126,gacha_133_base!A:B,2,FALSE)</f>
        <v>2433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4"/>
        <v>01601</v>
      </c>
      <c r="B127" s="2">
        <f t="shared" si="7"/>
        <v>133</v>
      </c>
      <c r="C127" s="10" t="str">
        <f t="shared" ca="1" si="5"/>
        <v>0PremiumW3</v>
      </c>
      <c r="D127" s="10" t="str">
        <f t="shared" ca="1" si="6"/>
        <v>0PremiumW3</v>
      </c>
      <c r="E127" s="6">
        <v>0</v>
      </c>
      <c r="F127" s="7">
        <v>160</v>
      </c>
      <c r="G127" s="10" t="str">
        <f ca="1">VLOOKUP($F127,OFFSET([1]characters!$A$2,0,0,COUNTA([1]characters!$A:$A),MATCH(G$1,[1]characters!$2:$2,0)-MATCH($F$1,[1]characters!$2:$2,0)+1),MATCH(G$1,[1]characters!$2:$2,0)-MATCH($F$1,[1]characters!$2:$2,0)+1,FALSE)</f>
        <v>反逆者 クリエ</v>
      </c>
      <c r="H127" s="10" t="str">
        <f ca="1">VLOOKUP($F127,OFFSET([1]characters!$A$2,0,0,COUNTA([1]characters!$A:$A),MATCH(H$1,[1]characters!$2:$2,0)-MATCH($F$1,[1]characters!$2:$2,0)+1),MATCH(H$1,[1]characters!$2:$2,0)-MATCH($F$1,[1]characters!$2:$2,0)+1,FALSE)</f>
        <v>PremiumW</v>
      </c>
      <c r="I127" s="10">
        <f ca="1">VLOOKUP($F127,OFFSET([1]characters!$A$2,0,0,COUNTA([1]characters!$A:$A),MATCH(I$1,[1]characters!$2:$2,0)-MATCH($F$1,[1]characters!$2:$2,0)+1),MATCH(I$1,[1]characters!$2:$2,0)-MATCH($F$1,[1]characters!$2:$2,0)+1,FALSE)</f>
        <v>3</v>
      </c>
      <c r="J127" s="10" t="str">
        <f ca="1">VLOOKUP($F127,OFFSET([1]characters!$A$2,0,0,COUNTA([1]characters!$A:$A),MATCH(J$1,[1]characters!$2:$2,0)-MATCH($F$1,[1]characters!$2:$2,0)+1),MATCH(J$1,[1]characters!$2:$2,0)-MATCH($F$1,[1]characters!$2:$2,0)+1,FALSE)</f>
        <v>green</v>
      </c>
      <c r="K127" s="10" t="str">
        <f ca="1">VLOOKUP($F127,OFFSET([1]characters!$A$2,0,0,COUNTA([1]characters!$A:$A),MATCH("タイプ",[1]characters!$1:$1,0)-MATCH($F$1,[1]characters!$2:$2,0)+2),MATCH("タイプ",[1]characters!$1:$1,0)-MATCH($F$1,[1]characters!$2:$2,0)+2,FALSE)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7" s="10" t="str">
        <f ca="1">VLOOKUP($F127,OFFSET([1]characters!$A$2,0,0,COUNTA([1]characters!$A:$A),MATCH($L$1,[1]characters!$1:$1,0)-MATCH($F$1,[1]characters!$2:$2,0)+2),MATCH($L$1,[1]characters!$1:$1,0)-MATCH($F$1,[1]characters!$2:$2,0)+2,FALSE)</f>
        <v>ヒューマン</v>
      </c>
      <c r="M127" s="6">
        <v>1</v>
      </c>
      <c r="N127" s="40">
        <f ca="1">VLOOKUP(D127,gacha_133_base!A:B,2,FALSE)</f>
        <v>2433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4"/>
        <v>01621</v>
      </c>
      <c r="B128" s="2">
        <f t="shared" si="7"/>
        <v>133</v>
      </c>
      <c r="C128" s="10" t="str">
        <f t="shared" ca="1" si="5"/>
        <v>0PremiumW3</v>
      </c>
      <c r="D128" s="10" t="str">
        <f t="shared" ca="1" si="6"/>
        <v>0PremiumW3</v>
      </c>
      <c r="E128" s="6">
        <v>0</v>
      </c>
      <c r="F128" s="7">
        <v>162</v>
      </c>
      <c r="G128" s="10" t="str">
        <f ca="1">VLOOKUP($F128,OFFSET([1]characters!$A$2,0,0,COUNTA([1]characters!$A:$A),MATCH(G$1,[1]characters!$2:$2,0)-MATCH($F$1,[1]characters!$2:$2,0)+1),MATCH(G$1,[1]characters!$2:$2,0)-MATCH($F$1,[1]characters!$2:$2,0)+1,FALSE)</f>
        <v>狂女 クララ</v>
      </c>
      <c r="H128" s="10" t="str">
        <f ca="1">VLOOKUP($F128,OFFSET([1]characters!$A$2,0,0,COUNTA([1]characters!$A:$A),MATCH(H$1,[1]characters!$2:$2,0)-MATCH($F$1,[1]characters!$2:$2,0)+1),MATCH(H$1,[1]characters!$2:$2,0)-MATCH($F$1,[1]characters!$2:$2,0)+1,FALSE)</f>
        <v>PremiumW</v>
      </c>
      <c r="I128" s="10">
        <f ca="1">VLOOKUP($F128,OFFSET([1]characters!$A$2,0,0,COUNTA([1]characters!$A:$A),MATCH(I$1,[1]characters!$2:$2,0)-MATCH($F$1,[1]characters!$2:$2,0)+1),MATCH(I$1,[1]characters!$2:$2,0)-MATCH($F$1,[1]characters!$2:$2,0)+1,FALSE)</f>
        <v>3</v>
      </c>
      <c r="J128" s="10" t="str">
        <f ca="1">VLOOKUP($F128,OFFSET([1]characters!$A$2,0,0,COUNTA([1]characters!$A:$A),MATCH(J$1,[1]characters!$2:$2,0)-MATCH($F$1,[1]characters!$2:$2,0)+1),MATCH(J$1,[1]characters!$2:$2,0)-MATCH($F$1,[1]characters!$2:$2,0)+1,FALSE)</f>
        <v>blue</v>
      </c>
      <c r="K128" s="10" t="str">
        <f ca="1">VLOOKUP($F128,OFFSET([1]characters!$A$2,0,0,COUNTA([1]characters!$A:$A),MATCH("タイプ",[1]characters!$1:$1,0)-MATCH($F$1,[1]characters!$2:$2,0)+2),MATCH("タイプ",[1]characters!$1:$1,0)-MATCH($F$1,[1]characters!$2:$2,0)+2,FALSE)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8" s="10" t="str">
        <f ca="1">VLOOKUP($F128,OFFSET([1]characters!$A$2,0,0,COUNTA([1]characters!$A:$A),MATCH($L$1,[1]characters!$1:$1,0)-MATCH($F$1,[1]characters!$2:$2,0)+2),MATCH($L$1,[1]characters!$1:$1,0)-MATCH($F$1,[1]characters!$2:$2,0)+2,FALSE)</f>
        <v>ヒューマン</v>
      </c>
      <c r="M128" s="6">
        <v>1</v>
      </c>
      <c r="N128" s="40">
        <f ca="1">VLOOKUP(D128,gacha_133_base!A:B,2,FALSE)</f>
        <v>2433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4"/>
        <v>01641</v>
      </c>
      <c r="B129" s="2">
        <f t="shared" si="7"/>
        <v>133</v>
      </c>
      <c r="C129" s="10" t="str">
        <f t="shared" ca="1" si="5"/>
        <v>0PremiumW3</v>
      </c>
      <c r="D129" s="10" t="str">
        <f t="shared" ca="1" si="6"/>
        <v>0PremiumW3</v>
      </c>
      <c r="E129" s="6">
        <v>0</v>
      </c>
      <c r="F129" s="7">
        <v>164</v>
      </c>
      <c r="G129" s="10" t="str">
        <f ca="1">VLOOKUP($F129,OFFSET([1]characters!$A$2,0,0,COUNTA([1]characters!$A:$A),MATCH(G$1,[1]characters!$2:$2,0)-MATCH($F$1,[1]characters!$2:$2,0)+1),MATCH(G$1,[1]characters!$2:$2,0)-MATCH($F$1,[1]characters!$2:$2,0)+1,FALSE)</f>
        <v>イブとトモダチ</v>
      </c>
      <c r="H129" s="10" t="str">
        <f ca="1">VLOOKUP($F129,OFFSET([1]characters!$A$2,0,0,COUNTA([1]characters!$A:$A),MATCH(H$1,[1]characters!$2:$2,0)-MATCH($F$1,[1]characters!$2:$2,0)+1),MATCH(H$1,[1]characters!$2:$2,0)-MATCH($F$1,[1]characters!$2:$2,0)+1,FALSE)</f>
        <v>PremiumW</v>
      </c>
      <c r="I129" s="10">
        <f ca="1">VLOOKUP($F129,OFFSET([1]characters!$A$2,0,0,COUNTA([1]characters!$A:$A),MATCH(I$1,[1]characters!$2:$2,0)-MATCH($F$1,[1]characters!$2:$2,0)+1),MATCH(I$1,[1]characters!$2:$2,0)-MATCH($F$1,[1]characters!$2:$2,0)+1,FALSE)</f>
        <v>3</v>
      </c>
      <c r="J129" s="10" t="str">
        <f ca="1">VLOOKUP($F129,OFFSET([1]characters!$A$2,0,0,COUNTA([1]characters!$A:$A),MATCH(J$1,[1]characters!$2:$2,0)-MATCH($F$1,[1]characters!$2:$2,0)+1),MATCH(J$1,[1]characters!$2:$2,0)-MATCH($F$1,[1]characters!$2:$2,0)+1,FALSE)</f>
        <v>yellow</v>
      </c>
      <c r="K129" s="10" t="str">
        <f ca="1">VLOOKUP($F129,OFFSET([1]characters!$A$2,0,0,COUNTA([1]characters!$A:$A),MATCH("タイプ",[1]characters!$1:$1,0)-MATCH($F$1,[1]characters!$2:$2,0)+2),MATCH("タイプ",[1]characters!$1:$1,0)-MATCH($F$1,[1]characters!$2:$2,0)+2,FALSE)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9" s="10" t="str">
        <f ca="1">VLOOKUP($F129,OFFSET([1]characters!$A$2,0,0,COUNTA([1]characters!$A:$A),MATCH($L$1,[1]characters!$1:$1,0)-MATCH($F$1,[1]characters!$2:$2,0)+2),MATCH($L$1,[1]characters!$1:$1,0)-MATCH($F$1,[1]characters!$2:$2,0)+2,FALSE)</f>
        <v>ヒューマン</v>
      </c>
      <c r="M129" s="6">
        <v>1</v>
      </c>
      <c r="N129" s="40">
        <f ca="1">VLOOKUP(D129,gacha_133_base!A:B,2,FALSE)</f>
        <v>2433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si="4"/>
        <v>01661</v>
      </c>
      <c r="B130" s="2">
        <f t="shared" si="7"/>
        <v>133</v>
      </c>
      <c r="C130" s="10" t="str">
        <f t="shared" ca="1" si="5"/>
        <v>0PremiumN3</v>
      </c>
      <c r="D130" s="10" t="str">
        <f t="shared" ca="1" si="6"/>
        <v>0PremiumN3</v>
      </c>
      <c r="E130" s="6">
        <v>0</v>
      </c>
      <c r="F130" s="7">
        <v>166</v>
      </c>
      <c r="G130" s="10" t="str">
        <f ca="1">VLOOKUP($F130,OFFSET([1]characters!$A$2,0,0,COUNTA([1]characters!$A:$A),MATCH(G$1,[1]characters!$2:$2,0)-MATCH($F$1,[1]characters!$2:$2,0)+1),MATCH(G$1,[1]characters!$2:$2,0)-MATCH($F$1,[1]characters!$2:$2,0)+1,FALSE)</f>
        <v>ベリアル</v>
      </c>
      <c r="H130" s="10" t="str">
        <f ca="1">VLOOKUP($F130,OFFSET([1]characters!$A$2,0,0,COUNTA([1]characters!$A:$A),MATCH(H$1,[1]characters!$2:$2,0)-MATCH($F$1,[1]characters!$2:$2,0)+1),MATCH(H$1,[1]characters!$2:$2,0)-MATCH($F$1,[1]characters!$2:$2,0)+1,FALSE)</f>
        <v>PremiumN</v>
      </c>
      <c r="I130" s="10">
        <f ca="1">VLOOKUP($F130,OFFSET([1]characters!$A$2,0,0,COUNTA([1]characters!$A:$A),MATCH(I$1,[1]characters!$2:$2,0)-MATCH($F$1,[1]characters!$2:$2,0)+1),MATCH(I$1,[1]characters!$2:$2,0)-MATCH($F$1,[1]characters!$2:$2,0)+1,FALSE)</f>
        <v>3</v>
      </c>
      <c r="J130" s="10" t="str">
        <f ca="1">VLOOKUP($F130,OFFSET([1]characters!$A$2,0,0,COUNTA([1]characters!$A:$A),MATCH(J$1,[1]characters!$2:$2,0)-MATCH($F$1,[1]characters!$2:$2,0)+1),MATCH(J$1,[1]characters!$2:$2,0)-MATCH($F$1,[1]characters!$2:$2,0)+1,FALSE)</f>
        <v>red</v>
      </c>
      <c r="K130" s="10" t="str">
        <f ca="1">VLOOKUP($F130,OFFSET([1]characters!$A$2,0,0,COUNTA([1]characters!$A:$A),MATCH("タイプ",[1]characters!$1:$1,0)-MATCH($F$1,[1]characters!$2:$2,0)+2),MATCH("タイプ",[1]characters!$1:$1,0)-MATCH($F$1,[1]characters!$2:$2,0)+2,FALSE)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0" s="10" t="str">
        <f ca="1">VLOOKUP($F130,OFFSET([1]characters!$A$2,0,0,COUNTA([1]characters!$A:$A),MATCH($L$1,[1]characters!$1:$1,0)-MATCH($F$1,[1]characters!$2:$2,0)+2),MATCH($L$1,[1]characters!$1:$1,0)-MATCH($F$1,[1]characters!$2:$2,0)+2,FALSE)</f>
        <v>ゴッド</v>
      </c>
      <c r="M130" s="6">
        <v>1</v>
      </c>
      <c r="N130" s="40">
        <f ca="1">VLOOKUP(D130,gacha_133_base!A:B,2,FALSE)</f>
        <v>2460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4"/>
        <v>01691</v>
      </c>
      <c r="B131" s="2">
        <f t="shared" si="7"/>
        <v>133</v>
      </c>
      <c r="C131" s="10" t="str">
        <f t="shared" ca="1" si="5"/>
        <v>0PremiumN3</v>
      </c>
      <c r="D131" s="10" t="str">
        <f t="shared" ca="1" si="6"/>
        <v>0PremiumN3</v>
      </c>
      <c r="E131" s="6">
        <v>0</v>
      </c>
      <c r="F131" s="7">
        <v>169</v>
      </c>
      <c r="G131" s="10" t="str">
        <f ca="1">VLOOKUP($F131,OFFSET([1]characters!$A$2,0,0,COUNTA([1]characters!$A:$A),MATCH(G$1,[1]characters!$2:$2,0)-MATCH($F$1,[1]characters!$2:$2,0)+1),MATCH(G$1,[1]characters!$2:$2,0)-MATCH($F$1,[1]characters!$2:$2,0)+1,FALSE)</f>
        <v>オセ</v>
      </c>
      <c r="H131" s="10" t="str">
        <f ca="1">VLOOKUP($F131,OFFSET([1]characters!$A$2,0,0,COUNTA([1]characters!$A:$A),MATCH(H$1,[1]characters!$2:$2,0)-MATCH($F$1,[1]characters!$2:$2,0)+1),MATCH(H$1,[1]characters!$2:$2,0)-MATCH($F$1,[1]characters!$2:$2,0)+1,FALSE)</f>
        <v>PremiumN</v>
      </c>
      <c r="I131" s="10">
        <f ca="1">VLOOKUP($F131,OFFSET([1]characters!$A$2,0,0,COUNTA([1]characters!$A:$A),MATCH(I$1,[1]characters!$2:$2,0)-MATCH($F$1,[1]characters!$2:$2,0)+1),MATCH(I$1,[1]characters!$2:$2,0)-MATCH($F$1,[1]characters!$2:$2,0)+1,FALSE)</f>
        <v>3</v>
      </c>
      <c r="J131" s="10" t="str">
        <f ca="1">VLOOKUP($F131,OFFSET([1]characters!$A$2,0,0,COUNTA([1]characters!$A:$A),MATCH(J$1,[1]characters!$2:$2,0)-MATCH($F$1,[1]characters!$2:$2,0)+1),MATCH(J$1,[1]characters!$2:$2,0)-MATCH($F$1,[1]characters!$2:$2,0)+1,FALSE)</f>
        <v>green</v>
      </c>
      <c r="K131" s="10" t="str">
        <f ca="1">VLOOKUP($F131,OFFSET([1]characters!$A$2,0,0,COUNTA([1]characters!$A:$A),MATCH("タイプ",[1]characters!$1:$1,0)-MATCH($F$1,[1]characters!$2:$2,0)+2),MATCH("タイプ",[1]characters!$1:$1,0)-MATCH($F$1,[1]characters!$2:$2,0)+2,FALSE)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1" s="10" t="str">
        <f ca="1">VLOOKUP($F131,OFFSET([1]characters!$A$2,0,0,COUNTA([1]characters!$A:$A),MATCH($L$1,[1]characters!$1:$1,0)-MATCH($F$1,[1]characters!$2:$2,0)+2),MATCH($L$1,[1]characters!$1:$1,0)-MATCH($F$1,[1]characters!$2:$2,0)+2,FALSE)</f>
        <v>ゴッド</v>
      </c>
      <c r="M131" s="6">
        <v>1</v>
      </c>
      <c r="N131" s="40">
        <f ca="1">VLOOKUP(D131,gacha_133_base!A:B,2,FALSE)</f>
        <v>2460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4"/>
        <v>01721</v>
      </c>
      <c r="B132" s="2">
        <f t="shared" si="7"/>
        <v>133</v>
      </c>
      <c r="C132" s="10" t="str">
        <f t="shared" ca="1" si="5"/>
        <v>0PremiumN3</v>
      </c>
      <c r="D132" s="10" t="str">
        <f t="shared" ca="1" si="6"/>
        <v>0PremiumN3</v>
      </c>
      <c r="E132" s="6">
        <v>0</v>
      </c>
      <c r="F132" s="7">
        <v>172</v>
      </c>
      <c r="G132" s="10" t="str">
        <f ca="1">VLOOKUP($F132,OFFSET([1]characters!$A$2,0,0,COUNTA([1]characters!$A:$A),MATCH(G$1,[1]characters!$2:$2,0)-MATCH($F$1,[1]characters!$2:$2,0)+1),MATCH(G$1,[1]characters!$2:$2,0)-MATCH($F$1,[1]characters!$2:$2,0)+1,FALSE)</f>
        <v>フォルネウス</v>
      </c>
      <c r="H132" s="10" t="str">
        <f ca="1">VLOOKUP($F132,OFFSET([1]characters!$A$2,0,0,COUNTA([1]characters!$A:$A),MATCH(H$1,[1]characters!$2:$2,0)-MATCH($F$1,[1]characters!$2:$2,0)+1),MATCH(H$1,[1]characters!$2:$2,0)-MATCH($F$1,[1]characters!$2:$2,0)+1,FALSE)</f>
        <v>PremiumN</v>
      </c>
      <c r="I132" s="10">
        <f ca="1">VLOOKUP($F132,OFFSET([1]characters!$A$2,0,0,COUNTA([1]characters!$A:$A),MATCH(I$1,[1]characters!$2:$2,0)-MATCH($F$1,[1]characters!$2:$2,0)+1),MATCH(I$1,[1]characters!$2:$2,0)-MATCH($F$1,[1]characters!$2:$2,0)+1,FALSE)</f>
        <v>3</v>
      </c>
      <c r="J132" s="10" t="str">
        <f ca="1">VLOOKUP($F132,OFFSET([1]characters!$A$2,0,0,COUNTA([1]characters!$A:$A),MATCH(J$1,[1]characters!$2:$2,0)-MATCH($F$1,[1]characters!$2:$2,0)+1),MATCH(J$1,[1]characters!$2:$2,0)-MATCH($F$1,[1]characters!$2:$2,0)+1,FALSE)</f>
        <v>blue</v>
      </c>
      <c r="K132" s="10" t="str">
        <f ca="1">VLOOKUP($F132,OFFSET([1]characters!$A$2,0,0,COUNTA([1]characters!$A:$A),MATCH("タイプ",[1]characters!$1:$1,0)-MATCH($F$1,[1]characters!$2:$2,0)+2),MATCH("タイプ",[1]characters!$1:$1,0)-MATCH($F$1,[1]characters!$2:$2,0)+2,FALSE)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2" s="10" t="str">
        <f ca="1">VLOOKUP($F132,OFFSET([1]characters!$A$2,0,0,COUNTA([1]characters!$A:$A),MATCH($L$1,[1]characters!$1:$1,0)-MATCH($F$1,[1]characters!$2:$2,0)+2),MATCH($L$1,[1]characters!$1:$1,0)-MATCH($F$1,[1]characters!$2:$2,0)+2,FALSE)</f>
        <v>ゴッド</v>
      </c>
      <c r="M132" s="6">
        <v>1</v>
      </c>
      <c r="N132" s="40">
        <f ca="1">VLOOKUP(D132,gacha_133_base!A:B,2,FALSE)</f>
        <v>2460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4"/>
        <v>01751</v>
      </c>
      <c r="B133" s="2">
        <f t="shared" si="7"/>
        <v>133</v>
      </c>
      <c r="C133" s="10" t="str">
        <f t="shared" ca="1" si="5"/>
        <v>0PremiumN3</v>
      </c>
      <c r="D133" s="10" t="str">
        <f t="shared" ca="1" si="6"/>
        <v>0PremiumN3</v>
      </c>
      <c r="E133" s="6">
        <v>0</v>
      </c>
      <c r="F133" s="7">
        <v>175</v>
      </c>
      <c r="G133" s="10" t="str">
        <f ca="1">VLOOKUP($F133,OFFSET([1]characters!$A$2,0,0,COUNTA([1]characters!$A:$A),MATCH(G$1,[1]characters!$2:$2,0)-MATCH($F$1,[1]characters!$2:$2,0)+1),MATCH(G$1,[1]characters!$2:$2,0)-MATCH($F$1,[1]characters!$2:$2,0)+1,FALSE)</f>
        <v>バフォメット</v>
      </c>
      <c r="H133" s="10" t="str">
        <f ca="1">VLOOKUP($F133,OFFSET([1]characters!$A$2,0,0,COUNTA([1]characters!$A:$A),MATCH(H$1,[1]characters!$2:$2,0)-MATCH($F$1,[1]characters!$2:$2,0)+1),MATCH(H$1,[1]characters!$2:$2,0)-MATCH($F$1,[1]characters!$2:$2,0)+1,FALSE)</f>
        <v>PremiumN</v>
      </c>
      <c r="I133" s="10">
        <f ca="1">VLOOKUP($F133,OFFSET([1]characters!$A$2,0,0,COUNTA([1]characters!$A:$A),MATCH(I$1,[1]characters!$2:$2,0)-MATCH($F$1,[1]characters!$2:$2,0)+1),MATCH(I$1,[1]characters!$2:$2,0)-MATCH($F$1,[1]characters!$2:$2,0)+1,FALSE)</f>
        <v>3</v>
      </c>
      <c r="J133" s="10" t="str">
        <f ca="1">VLOOKUP($F133,OFFSET([1]characters!$A$2,0,0,COUNTA([1]characters!$A:$A),MATCH(J$1,[1]characters!$2:$2,0)-MATCH($F$1,[1]characters!$2:$2,0)+1),MATCH(J$1,[1]characters!$2:$2,0)-MATCH($F$1,[1]characters!$2:$2,0)+1,FALSE)</f>
        <v>yellow</v>
      </c>
      <c r="K133" s="10" t="str">
        <f ca="1">VLOOKUP($F133,OFFSET([1]characters!$A$2,0,0,COUNTA([1]characters!$A:$A),MATCH("タイプ",[1]characters!$1:$1,0)-MATCH($F$1,[1]characters!$2:$2,0)+2),MATCH("タイプ",[1]characters!$1:$1,0)-MATCH($F$1,[1]characters!$2:$2,0)+2,FALSE)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3" s="10" t="str">
        <f ca="1">VLOOKUP($F133,OFFSET([1]characters!$A$2,0,0,COUNTA([1]characters!$A:$A),MATCH($L$1,[1]characters!$1:$1,0)-MATCH($F$1,[1]characters!$2:$2,0)+2),MATCH($L$1,[1]characters!$1:$1,0)-MATCH($F$1,[1]characters!$2:$2,0)+2,FALSE)</f>
        <v>ゴッド</v>
      </c>
      <c r="M133" s="6">
        <v>1</v>
      </c>
      <c r="N133" s="40">
        <f ca="1">VLOOKUP(D133,gacha_133_base!A:B,2,FALSE)</f>
        <v>2460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4"/>
        <v>01781</v>
      </c>
      <c r="B134" s="2">
        <f t="shared" si="7"/>
        <v>133</v>
      </c>
      <c r="C134" s="10" t="str">
        <f t="shared" ca="1" si="5"/>
        <v>0PremiumN3</v>
      </c>
      <c r="D134" s="10" t="str">
        <f t="shared" ca="1" si="6"/>
        <v>0PremiumN3</v>
      </c>
      <c r="E134" s="6">
        <v>0</v>
      </c>
      <c r="F134" s="7">
        <v>178</v>
      </c>
      <c r="G134" s="10" t="str">
        <f ca="1">VLOOKUP($F134,OFFSET([1]characters!$A$2,0,0,COUNTA([1]characters!$A:$A),MATCH(G$1,[1]characters!$2:$2,0)-MATCH($F$1,[1]characters!$2:$2,0)+1),MATCH(G$1,[1]characters!$2:$2,0)-MATCH($F$1,[1]characters!$2:$2,0)+1,FALSE)</f>
        <v>ケルベロス</v>
      </c>
      <c r="H134" s="10" t="str">
        <f ca="1">VLOOKUP($F134,OFFSET([1]characters!$A$2,0,0,COUNTA([1]characters!$A:$A),MATCH(H$1,[1]characters!$2:$2,0)-MATCH($F$1,[1]characters!$2:$2,0)+1),MATCH(H$1,[1]characters!$2:$2,0)-MATCH($F$1,[1]characters!$2:$2,0)+1,FALSE)</f>
        <v>PremiumN</v>
      </c>
      <c r="I134" s="10">
        <f ca="1">VLOOKUP($F134,OFFSET([1]characters!$A$2,0,0,COUNTA([1]characters!$A:$A),MATCH(I$1,[1]characters!$2:$2,0)-MATCH($F$1,[1]characters!$2:$2,0)+1),MATCH(I$1,[1]characters!$2:$2,0)-MATCH($F$1,[1]characters!$2:$2,0)+1,FALSE)</f>
        <v>3</v>
      </c>
      <c r="J134" s="10" t="str">
        <f ca="1">VLOOKUP($F134,OFFSET([1]characters!$A$2,0,0,COUNTA([1]characters!$A:$A),MATCH(J$1,[1]characters!$2:$2,0)-MATCH($F$1,[1]characters!$2:$2,0)+1),MATCH(J$1,[1]characters!$2:$2,0)-MATCH($F$1,[1]characters!$2:$2,0)+1,FALSE)</f>
        <v>red</v>
      </c>
      <c r="K134" s="10" t="str">
        <f ca="1">VLOOKUP($F134,OFFSET([1]characters!$A$2,0,0,COUNTA([1]characters!$A:$A),MATCH("タイプ",[1]characters!$1:$1,0)-MATCH($F$1,[1]characters!$2:$2,0)+2),MATCH("タイプ",[1]characters!$1:$1,0)-MATCH($F$1,[1]characters!$2:$2,0)+2,FALSE)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4" s="10" t="str">
        <f ca="1">VLOOKUP($F134,OFFSET([1]characters!$A$2,0,0,COUNTA([1]characters!$A:$A),MATCH($L$1,[1]characters!$1:$1,0)-MATCH($F$1,[1]characters!$2:$2,0)+2),MATCH($L$1,[1]characters!$1:$1,0)-MATCH($F$1,[1]characters!$2:$2,0)+2,FALSE)</f>
        <v>アニマル</v>
      </c>
      <c r="M134" s="6">
        <v>1</v>
      </c>
      <c r="N134" s="40">
        <f ca="1">VLOOKUP(D134,gacha_133_base!A:B,2,FALSE)</f>
        <v>2460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4"/>
        <v>01811</v>
      </c>
      <c r="B135" s="2">
        <f t="shared" si="7"/>
        <v>133</v>
      </c>
      <c r="C135" s="10" t="str">
        <f t="shared" ca="1" si="5"/>
        <v>0PremiumN3</v>
      </c>
      <c r="D135" s="10" t="str">
        <f t="shared" ca="1" si="6"/>
        <v>0PremiumN3</v>
      </c>
      <c r="E135" s="6">
        <v>0</v>
      </c>
      <c r="F135" s="7">
        <v>181</v>
      </c>
      <c r="G135" s="10" t="str">
        <f ca="1">VLOOKUP($F135,OFFSET([1]characters!$A$2,0,0,COUNTA([1]characters!$A:$A),MATCH(G$1,[1]characters!$2:$2,0)-MATCH($F$1,[1]characters!$2:$2,0)+1),MATCH(G$1,[1]characters!$2:$2,0)-MATCH($F$1,[1]characters!$2:$2,0)+1,FALSE)</f>
        <v>ベヒモス</v>
      </c>
      <c r="H135" s="10" t="str">
        <f ca="1">VLOOKUP($F135,OFFSET([1]characters!$A$2,0,0,COUNTA([1]characters!$A:$A),MATCH(H$1,[1]characters!$2:$2,0)-MATCH($F$1,[1]characters!$2:$2,0)+1),MATCH(H$1,[1]characters!$2:$2,0)-MATCH($F$1,[1]characters!$2:$2,0)+1,FALSE)</f>
        <v>PremiumN</v>
      </c>
      <c r="I135" s="10">
        <f ca="1">VLOOKUP($F135,OFFSET([1]characters!$A$2,0,0,COUNTA([1]characters!$A:$A),MATCH(I$1,[1]characters!$2:$2,0)-MATCH($F$1,[1]characters!$2:$2,0)+1),MATCH(I$1,[1]characters!$2:$2,0)-MATCH($F$1,[1]characters!$2:$2,0)+1,FALSE)</f>
        <v>3</v>
      </c>
      <c r="J135" s="10" t="str">
        <f ca="1">VLOOKUP($F135,OFFSET([1]characters!$A$2,0,0,COUNTA([1]characters!$A:$A),MATCH(J$1,[1]characters!$2:$2,0)-MATCH($F$1,[1]characters!$2:$2,0)+1),MATCH(J$1,[1]characters!$2:$2,0)-MATCH($F$1,[1]characters!$2:$2,0)+1,FALSE)</f>
        <v>green</v>
      </c>
      <c r="K135" s="10" t="str">
        <f ca="1">VLOOKUP($F135,OFFSET([1]characters!$A$2,0,0,COUNTA([1]characters!$A:$A),MATCH("タイプ",[1]characters!$1:$1,0)-MATCH($F$1,[1]characters!$2:$2,0)+2),MATCH("タイプ",[1]characters!$1:$1,0)-MATCH($F$1,[1]characters!$2:$2,0)+2,FALSE)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5" s="10" t="str">
        <f ca="1">VLOOKUP($F135,OFFSET([1]characters!$A$2,0,0,COUNTA([1]characters!$A:$A),MATCH($L$1,[1]characters!$1:$1,0)-MATCH($F$1,[1]characters!$2:$2,0)+2),MATCH($L$1,[1]characters!$1:$1,0)-MATCH($F$1,[1]characters!$2:$2,0)+2,FALSE)</f>
        <v>アニマル</v>
      </c>
      <c r="M135" s="6">
        <v>1</v>
      </c>
      <c r="N135" s="40">
        <f ca="1">VLOOKUP(D135,gacha_133_base!A:B,2,FALSE)</f>
        <v>2460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4"/>
        <v>01841</v>
      </c>
      <c r="B136" s="2">
        <f t="shared" si="7"/>
        <v>133</v>
      </c>
      <c r="C136" s="10" t="str">
        <f t="shared" ca="1" si="5"/>
        <v>0PremiumN3</v>
      </c>
      <c r="D136" s="10" t="str">
        <f t="shared" ca="1" si="6"/>
        <v>0PremiumN3</v>
      </c>
      <c r="E136" s="6">
        <v>0</v>
      </c>
      <c r="F136" s="7">
        <v>184</v>
      </c>
      <c r="G136" s="10" t="str">
        <f ca="1">VLOOKUP($F136,OFFSET([1]characters!$A$2,0,0,COUNTA([1]characters!$A:$A),MATCH(G$1,[1]characters!$2:$2,0)-MATCH($F$1,[1]characters!$2:$2,0)+1),MATCH(G$1,[1]characters!$2:$2,0)-MATCH($F$1,[1]characters!$2:$2,0)+1,FALSE)</f>
        <v>クラーケン</v>
      </c>
      <c r="H136" s="10" t="str">
        <f ca="1">VLOOKUP($F136,OFFSET([1]characters!$A$2,0,0,COUNTA([1]characters!$A:$A),MATCH(H$1,[1]characters!$2:$2,0)-MATCH($F$1,[1]characters!$2:$2,0)+1),MATCH(H$1,[1]characters!$2:$2,0)-MATCH($F$1,[1]characters!$2:$2,0)+1,FALSE)</f>
        <v>PremiumN</v>
      </c>
      <c r="I136" s="10">
        <f ca="1">VLOOKUP($F136,OFFSET([1]characters!$A$2,0,0,COUNTA([1]characters!$A:$A),MATCH(I$1,[1]characters!$2:$2,0)-MATCH($F$1,[1]characters!$2:$2,0)+1),MATCH(I$1,[1]characters!$2:$2,0)-MATCH($F$1,[1]characters!$2:$2,0)+1,FALSE)</f>
        <v>3</v>
      </c>
      <c r="J136" s="10" t="str">
        <f ca="1">VLOOKUP($F136,OFFSET([1]characters!$A$2,0,0,COUNTA([1]characters!$A:$A),MATCH(J$1,[1]characters!$2:$2,0)-MATCH($F$1,[1]characters!$2:$2,0)+1),MATCH(J$1,[1]characters!$2:$2,0)-MATCH($F$1,[1]characters!$2:$2,0)+1,FALSE)</f>
        <v>blue</v>
      </c>
      <c r="K136" s="10" t="str">
        <f ca="1">VLOOKUP($F136,OFFSET([1]characters!$A$2,0,0,COUNTA([1]characters!$A:$A),MATCH("タイプ",[1]characters!$1:$1,0)-MATCH($F$1,[1]characters!$2:$2,0)+2),MATCH("タイプ",[1]characters!$1:$1,0)-MATCH($F$1,[1]characters!$2:$2,0)+2,FALSE)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36" s="10" t="str">
        <f ca="1">VLOOKUP($F136,OFFSET([1]characters!$A$2,0,0,COUNTA([1]characters!$A:$A),MATCH($L$1,[1]characters!$1:$1,0)-MATCH($F$1,[1]characters!$2:$2,0)+2),MATCH($L$1,[1]characters!$1:$1,0)-MATCH($F$1,[1]characters!$2:$2,0)+2,FALSE)</f>
        <v>アニマル</v>
      </c>
      <c r="M136" s="6">
        <v>1</v>
      </c>
      <c r="N136" s="40">
        <f ca="1">VLOOKUP(D136,gacha_133_base!A:B,2,FALSE)</f>
        <v>2460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4"/>
        <v>01871</v>
      </c>
      <c r="B137" s="2">
        <f t="shared" si="7"/>
        <v>133</v>
      </c>
      <c r="C137" s="10" t="str">
        <f t="shared" ca="1" si="5"/>
        <v>0PremiumN3</v>
      </c>
      <c r="D137" s="10" t="str">
        <f t="shared" ca="1" si="6"/>
        <v>0PremiumN3</v>
      </c>
      <c r="E137" s="6">
        <v>0</v>
      </c>
      <c r="F137" s="7">
        <v>187</v>
      </c>
      <c r="G137" s="10" t="str">
        <f ca="1">VLOOKUP($F137,OFFSET([1]characters!$A$2,0,0,COUNTA([1]characters!$A:$A),MATCH(G$1,[1]characters!$2:$2,0)-MATCH($F$1,[1]characters!$2:$2,0)+1),MATCH(G$1,[1]characters!$2:$2,0)-MATCH($F$1,[1]characters!$2:$2,0)+1,FALSE)</f>
        <v>ホルス</v>
      </c>
      <c r="H137" s="10" t="str">
        <f ca="1">VLOOKUP($F137,OFFSET([1]characters!$A$2,0,0,COUNTA([1]characters!$A:$A),MATCH(H$1,[1]characters!$2:$2,0)-MATCH($F$1,[1]characters!$2:$2,0)+1),MATCH(H$1,[1]characters!$2:$2,0)-MATCH($F$1,[1]characters!$2:$2,0)+1,FALSE)</f>
        <v>PremiumN</v>
      </c>
      <c r="I137" s="10">
        <f ca="1">VLOOKUP($F137,OFFSET([1]characters!$A$2,0,0,COUNTA([1]characters!$A:$A),MATCH(I$1,[1]characters!$2:$2,0)-MATCH($F$1,[1]characters!$2:$2,0)+1),MATCH(I$1,[1]characters!$2:$2,0)-MATCH($F$1,[1]characters!$2:$2,0)+1,FALSE)</f>
        <v>3</v>
      </c>
      <c r="J137" s="10" t="str">
        <f ca="1">VLOOKUP($F137,OFFSET([1]characters!$A$2,0,0,COUNTA([1]characters!$A:$A),MATCH(J$1,[1]characters!$2:$2,0)-MATCH($F$1,[1]characters!$2:$2,0)+1),MATCH(J$1,[1]characters!$2:$2,0)-MATCH($F$1,[1]characters!$2:$2,0)+1,FALSE)</f>
        <v>yellow</v>
      </c>
      <c r="K137" s="10" t="str">
        <f ca="1">VLOOKUP($F137,OFFSET([1]characters!$A$2,0,0,COUNTA([1]characters!$A:$A),MATCH("タイプ",[1]characters!$1:$1,0)-MATCH($F$1,[1]characters!$2:$2,0)+2),MATCH("タイプ",[1]characters!$1:$1,0)-MATCH($F$1,[1]characters!$2:$2,0)+2,FALSE)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7" s="10" t="str">
        <f ca="1">VLOOKUP($F137,OFFSET([1]characters!$A$2,0,0,COUNTA([1]characters!$A:$A),MATCH($L$1,[1]characters!$1:$1,0)-MATCH($F$1,[1]characters!$2:$2,0)+2),MATCH($L$1,[1]characters!$1:$1,0)-MATCH($F$1,[1]characters!$2:$2,0)+2,FALSE)</f>
        <v>アニマル</v>
      </c>
      <c r="M137" s="6">
        <v>1</v>
      </c>
      <c r="N137" s="40">
        <f ca="1">VLOOKUP(D137,gacha_133_base!A:B,2,FALSE)</f>
        <v>2460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4"/>
        <v>01901</v>
      </c>
      <c r="B138" s="2">
        <f t="shared" si="7"/>
        <v>133</v>
      </c>
      <c r="C138" s="10" t="str">
        <f t="shared" ca="1" si="5"/>
        <v>0PremiumN3</v>
      </c>
      <c r="D138" s="10" t="str">
        <f t="shared" ca="1" si="6"/>
        <v>0PremiumN3</v>
      </c>
      <c r="E138" s="6">
        <v>0</v>
      </c>
      <c r="F138" s="7">
        <v>190</v>
      </c>
      <c r="G138" s="10" t="str">
        <f ca="1">VLOOKUP($F138,OFFSET([1]characters!$A$2,0,0,COUNTA([1]characters!$A:$A),MATCH(G$1,[1]characters!$2:$2,0)-MATCH($F$1,[1]characters!$2:$2,0)+1),MATCH(G$1,[1]characters!$2:$2,0)-MATCH($F$1,[1]characters!$2:$2,0)+1,FALSE)</f>
        <v>卑弥呼</v>
      </c>
      <c r="H138" s="10" t="str">
        <f ca="1">VLOOKUP($F138,OFFSET([1]characters!$A$2,0,0,COUNTA([1]characters!$A:$A),MATCH(H$1,[1]characters!$2:$2,0)-MATCH($F$1,[1]characters!$2:$2,0)+1),MATCH(H$1,[1]characters!$2:$2,0)-MATCH($F$1,[1]characters!$2:$2,0)+1,FALSE)</f>
        <v>PremiumN</v>
      </c>
      <c r="I138" s="10">
        <f ca="1">VLOOKUP($F138,OFFSET([1]characters!$A$2,0,0,COUNTA([1]characters!$A:$A),MATCH(I$1,[1]characters!$2:$2,0)-MATCH($F$1,[1]characters!$2:$2,0)+1),MATCH(I$1,[1]characters!$2:$2,0)-MATCH($F$1,[1]characters!$2:$2,0)+1,FALSE)</f>
        <v>3</v>
      </c>
      <c r="J138" s="10" t="str">
        <f ca="1">VLOOKUP($F138,OFFSET([1]characters!$A$2,0,0,COUNTA([1]characters!$A:$A),MATCH(J$1,[1]characters!$2:$2,0)-MATCH($F$1,[1]characters!$2:$2,0)+1),MATCH(J$1,[1]characters!$2:$2,0)-MATCH($F$1,[1]characters!$2:$2,0)+1,FALSE)</f>
        <v>red</v>
      </c>
      <c r="K138" s="10" t="str">
        <f ca="1">VLOOKUP($F138,OFFSET([1]characters!$A$2,0,0,COUNTA([1]characters!$A:$A),MATCH("タイプ",[1]characters!$1:$1,0)-MATCH($F$1,[1]characters!$2:$2,0)+2),MATCH("タイプ",[1]characters!$1:$1,0)-MATCH($F$1,[1]characters!$2:$2,0)+2,FALSE)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8" s="10" t="str">
        <f ca="1">VLOOKUP($F138,OFFSET([1]characters!$A$2,0,0,COUNTA([1]characters!$A:$A),MATCH($L$1,[1]characters!$1:$1,0)-MATCH($F$1,[1]characters!$2:$2,0)+2),MATCH($L$1,[1]characters!$1:$1,0)-MATCH($F$1,[1]characters!$2:$2,0)+2,FALSE)</f>
        <v>ヒューマン</v>
      </c>
      <c r="M138" s="6">
        <v>1</v>
      </c>
      <c r="N138" s="40">
        <f ca="1">VLOOKUP(D138,gacha_133_base!A:B,2,FALSE)</f>
        <v>2460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4"/>
        <v>01931</v>
      </c>
      <c r="B139" s="2">
        <f t="shared" si="7"/>
        <v>133</v>
      </c>
      <c r="C139" s="10" t="str">
        <f t="shared" ref="C139:C202" ca="1" si="15">E139&amp;H139&amp;I139</f>
        <v>0PremiumN3</v>
      </c>
      <c r="D139" s="10" t="str">
        <f t="shared" ref="D139:D202" ca="1" si="16">E139&amp;H139&amp;I139</f>
        <v>0PremiumN3</v>
      </c>
      <c r="E139" s="6">
        <v>0</v>
      </c>
      <c r="F139" s="7">
        <v>193</v>
      </c>
      <c r="G139" s="10" t="str">
        <f ca="1">VLOOKUP($F139,OFFSET([1]characters!$A$2,0,0,COUNTA([1]characters!$A:$A),MATCH(G$1,[1]characters!$2:$2,0)-MATCH($F$1,[1]characters!$2:$2,0)+1),MATCH(G$1,[1]characters!$2:$2,0)-MATCH($F$1,[1]characters!$2:$2,0)+1,FALSE)</f>
        <v>ロビンフッド</v>
      </c>
      <c r="H139" s="10" t="str">
        <f ca="1">VLOOKUP($F139,OFFSET([1]characters!$A$2,0,0,COUNTA([1]characters!$A:$A),MATCH(H$1,[1]characters!$2:$2,0)-MATCH($F$1,[1]characters!$2:$2,0)+1),MATCH(H$1,[1]characters!$2:$2,0)-MATCH($F$1,[1]characters!$2:$2,0)+1,FALSE)</f>
        <v>PremiumN</v>
      </c>
      <c r="I139" s="10">
        <f ca="1">VLOOKUP($F139,OFFSET([1]characters!$A$2,0,0,COUNTA([1]characters!$A:$A),MATCH(I$1,[1]characters!$2:$2,0)-MATCH($F$1,[1]characters!$2:$2,0)+1),MATCH(I$1,[1]characters!$2:$2,0)-MATCH($F$1,[1]characters!$2:$2,0)+1,FALSE)</f>
        <v>3</v>
      </c>
      <c r="J139" s="10" t="str">
        <f ca="1">VLOOKUP($F139,OFFSET([1]characters!$A$2,0,0,COUNTA([1]characters!$A:$A),MATCH(J$1,[1]characters!$2:$2,0)-MATCH($F$1,[1]characters!$2:$2,0)+1),MATCH(J$1,[1]characters!$2:$2,0)-MATCH($F$1,[1]characters!$2:$2,0)+1,FALSE)</f>
        <v>green</v>
      </c>
      <c r="K139" s="10" t="str">
        <f ca="1">VLOOKUP($F139,OFFSET([1]characters!$A$2,0,0,COUNTA([1]characters!$A:$A),MATCH("タイプ",[1]characters!$1:$1,0)-MATCH($F$1,[1]characters!$2:$2,0)+2),MATCH("タイプ",[1]characters!$1:$1,0)-MATCH($F$1,[1]characters!$2:$2,0)+2,FALSE)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9" s="10" t="str">
        <f ca="1">VLOOKUP($F139,OFFSET([1]characters!$A$2,0,0,COUNTA([1]characters!$A:$A),MATCH($L$1,[1]characters!$1:$1,0)-MATCH($F$1,[1]characters!$2:$2,0)+2),MATCH($L$1,[1]characters!$1:$1,0)-MATCH($F$1,[1]characters!$2:$2,0)+2,FALSE)</f>
        <v>ヒューマン</v>
      </c>
      <c r="M139" s="6">
        <v>1</v>
      </c>
      <c r="N139" s="40">
        <f ca="1">VLOOKUP(D139,gacha_133_base!A:B,2,FALSE)</f>
        <v>2460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4"/>
        <v>01961</v>
      </c>
      <c r="B140" s="2">
        <f t="shared" ref="B140:B203" si="17">$B$2</f>
        <v>133</v>
      </c>
      <c r="C140" s="10" t="str">
        <f t="shared" ca="1" si="15"/>
        <v>0PremiumN3</v>
      </c>
      <c r="D140" s="10" t="str">
        <f t="shared" ca="1" si="16"/>
        <v>0PremiumN3</v>
      </c>
      <c r="E140" s="6">
        <v>0</v>
      </c>
      <c r="F140" s="7">
        <v>196</v>
      </c>
      <c r="G140" s="10" t="str">
        <f ca="1">VLOOKUP($F140,OFFSET([1]characters!$A$2,0,0,COUNTA([1]characters!$A:$A),MATCH(G$1,[1]characters!$2:$2,0)-MATCH($F$1,[1]characters!$2:$2,0)+1),MATCH(G$1,[1]characters!$2:$2,0)-MATCH($F$1,[1]characters!$2:$2,0)+1,FALSE)</f>
        <v>アキレス</v>
      </c>
      <c r="H140" s="10" t="str">
        <f ca="1">VLOOKUP($F140,OFFSET([1]characters!$A$2,0,0,COUNTA([1]characters!$A:$A),MATCH(H$1,[1]characters!$2:$2,0)-MATCH($F$1,[1]characters!$2:$2,0)+1),MATCH(H$1,[1]characters!$2:$2,0)-MATCH($F$1,[1]characters!$2:$2,0)+1,FALSE)</f>
        <v>PremiumN</v>
      </c>
      <c r="I140" s="10">
        <f ca="1">VLOOKUP($F140,OFFSET([1]characters!$A$2,0,0,COUNTA([1]characters!$A:$A),MATCH(I$1,[1]characters!$2:$2,0)-MATCH($F$1,[1]characters!$2:$2,0)+1),MATCH(I$1,[1]characters!$2:$2,0)-MATCH($F$1,[1]characters!$2:$2,0)+1,FALSE)</f>
        <v>3</v>
      </c>
      <c r="J140" s="10" t="str">
        <f ca="1">VLOOKUP($F140,OFFSET([1]characters!$A$2,0,0,COUNTA([1]characters!$A:$A),MATCH(J$1,[1]characters!$2:$2,0)-MATCH($F$1,[1]characters!$2:$2,0)+1),MATCH(J$1,[1]characters!$2:$2,0)-MATCH($F$1,[1]characters!$2:$2,0)+1,FALSE)</f>
        <v>yellow</v>
      </c>
      <c r="K140" s="10" t="str">
        <f ca="1">VLOOKUP($F140,OFFSET([1]characters!$A$2,0,0,COUNTA([1]characters!$A:$A),MATCH("タイプ",[1]characters!$1:$1,0)-MATCH($F$1,[1]characters!$2:$2,0)+2),MATCH("タイプ",[1]characters!$1:$1,0)-MATCH($F$1,[1]characters!$2:$2,0)+2,FALSE)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0" s="10" t="str">
        <f ca="1">VLOOKUP($F140,OFFSET([1]characters!$A$2,0,0,COUNTA([1]characters!$A:$A),MATCH($L$1,[1]characters!$1:$1,0)-MATCH($F$1,[1]characters!$2:$2,0)+2),MATCH($L$1,[1]characters!$1:$1,0)-MATCH($F$1,[1]characters!$2:$2,0)+2,FALSE)</f>
        <v>ヒューマン</v>
      </c>
      <c r="M140" s="6">
        <v>1</v>
      </c>
      <c r="N140" s="40">
        <f ca="1">VLOOKUP(D140,gacha_133_base!A:B,2,FALSE)</f>
        <v>2460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4"/>
        <v>01991</v>
      </c>
      <c r="B141" s="2">
        <f t="shared" si="17"/>
        <v>133</v>
      </c>
      <c r="C141" s="10" t="str">
        <f t="shared" ca="1" si="15"/>
        <v>0PremiumN3</v>
      </c>
      <c r="D141" s="10" t="str">
        <f t="shared" ca="1" si="16"/>
        <v>0PremiumN3</v>
      </c>
      <c r="E141" s="6">
        <v>0</v>
      </c>
      <c r="F141" s="7">
        <v>199</v>
      </c>
      <c r="G141" s="10" t="str">
        <f ca="1">VLOOKUP($F141,OFFSET([1]characters!$A$2,0,0,COUNTA([1]characters!$A:$A),MATCH(G$1,[1]characters!$2:$2,0)-MATCH($F$1,[1]characters!$2:$2,0)+1),MATCH(G$1,[1]characters!$2:$2,0)-MATCH($F$1,[1]characters!$2:$2,0)+1,FALSE)</f>
        <v>ジークフリート</v>
      </c>
      <c r="H141" s="10" t="str">
        <f ca="1">VLOOKUP($F141,OFFSET([1]characters!$A$2,0,0,COUNTA([1]characters!$A:$A),MATCH(H$1,[1]characters!$2:$2,0)-MATCH($F$1,[1]characters!$2:$2,0)+1),MATCH(H$1,[1]characters!$2:$2,0)-MATCH($F$1,[1]characters!$2:$2,0)+1,FALSE)</f>
        <v>PremiumN</v>
      </c>
      <c r="I141" s="10">
        <f ca="1">VLOOKUP($F141,OFFSET([1]characters!$A$2,0,0,COUNTA([1]characters!$A:$A),MATCH(I$1,[1]characters!$2:$2,0)-MATCH($F$1,[1]characters!$2:$2,0)+1),MATCH(I$1,[1]characters!$2:$2,0)-MATCH($F$1,[1]characters!$2:$2,0)+1,FALSE)</f>
        <v>3</v>
      </c>
      <c r="J141" s="10" t="str">
        <f ca="1">VLOOKUP($F141,OFFSET([1]characters!$A$2,0,0,COUNTA([1]characters!$A:$A),MATCH(J$1,[1]characters!$2:$2,0)-MATCH($F$1,[1]characters!$2:$2,0)+1),MATCH(J$1,[1]characters!$2:$2,0)-MATCH($F$1,[1]characters!$2:$2,0)+1,FALSE)</f>
        <v>blue</v>
      </c>
      <c r="K141" s="10" t="str">
        <f ca="1">VLOOKUP($F141,OFFSET([1]characters!$A$2,0,0,COUNTA([1]characters!$A:$A),MATCH("タイプ",[1]characters!$1:$1,0)-MATCH($F$1,[1]characters!$2:$2,0)+2),MATCH("タイプ",[1]characters!$1:$1,0)-MATCH($F$1,[1]characters!$2:$2,0)+2,FALSE)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1" s="10" t="str">
        <f ca="1">VLOOKUP($F141,OFFSET([1]characters!$A$2,0,0,COUNTA([1]characters!$A:$A),MATCH($L$1,[1]characters!$1:$1,0)-MATCH($F$1,[1]characters!$2:$2,0)+2),MATCH($L$1,[1]characters!$1:$1,0)-MATCH($F$1,[1]characters!$2:$2,0)+2,FALSE)</f>
        <v>ヒューマン</v>
      </c>
      <c r="M141" s="6">
        <v>1</v>
      </c>
      <c r="N141" s="40">
        <f ca="1">VLOOKUP(D141,gacha_133_base!A:B,2,FALSE)</f>
        <v>2460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4"/>
        <v>02021</v>
      </c>
      <c r="B142" s="2">
        <f t="shared" si="17"/>
        <v>133</v>
      </c>
      <c r="C142" s="10" t="str">
        <f t="shared" ca="1" si="15"/>
        <v>0PremiumN3</v>
      </c>
      <c r="D142" s="10" t="str">
        <f t="shared" ca="1" si="16"/>
        <v>0PremiumN3</v>
      </c>
      <c r="E142" s="6">
        <v>0</v>
      </c>
      <c r="F142" s="7">
        <v>202</v>
      </c>
      <c r="G142" s="10" t="str">
        <f ca="1">VLOOKUP($F142,OFFSET([1]characters!$A$2,0,0,COUNTA([1]characters!$A:$A),MATCH(G$1,[1]characters!$2:$2,0)-MATCH($F$1,[1]characters!$2:$2,0)+1),MATCH(G$1,[1]characters!$2:$2,0)-MATCH($F$1,[1]characters!$2:$2,0)+1,FALSE)</f>
        <v>プロメテウス</v>
      </c>
      <c r="H142" s="10" t="str">
        <f ca="1">VLOOKUP($F142,OFFSET([1]characters!$A$2,0,0,COUNTA([1]characters!$A:$A),MATCH(H$1,[1]characters!$2:$2,0)-MATCH($F$1,[1]characters!$2:$2,0)+1),MATCH(H$1,[1]characters!$2:$2,0)-MATCH($F$1,[1]characters!$2:$2,0)+1,FALSE)</f>
        <v>PremiumN</v>
      </c>
      <c r="I142" s="10">
        <f ca="1">VLOOKUP($F142,OFFSET([1]characters!$A$2,0,0,COUNTA([1]characters!$A:$A),MATCH(I$1,[1]characters!$2:$2,0)-MATCH($F$1,[1]characters!$2:$2,0)+1),MATCH(I$1,[1]characters!$2:$2,0)-MATCH($F$1,[1]characters!$2:$2,0)+1,FALSE)</f>
        <v>3</v>
      </c>
      <c r="J142" s="10" t="str">
        <f ca="1">VLOOKUP($F142,OFFSET([1]characters!$A$2,0,0,COUNTA([1]characters!$A:$A),MATCH(J$1,[1]characters!$2:$2,0)-MATCH($F$1,[1]characters!$2:$2,0)+1),MATCH(J$1,[1]characters!$2:$2,0)-MATCH($F$1,[1]characters!$2:$2,0)+1,FALSE)</f>
        <v>red</v>
      </c>
      <c r="K142" s="10" t="str">
        <f ca="1">VLOOKUP($F142,OFFSET([1]characters!$A$2,0,0,COUNTA([1]characters!$A:$A),MATCH("タイプ",[1]characters!$1:$1,0)-MATCH($F$1,[1]characters!$2:$2,0)+2),MATCH("タイプ",[1]characters!$1:$1,0)-MATCH($F$1,[1]characters!$2:$2,0)+2,FALSE)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2" s="10" t="str">
        <f ca="1">VLOOKUP($F142,OFFSET([1]characters!$A$2,0,0,COUNTA([1]characters!$A:$A),MATCH($L$1,[1]characters!$1:$1,0)-MATCH($F$1,[1]characters!$2:$2,0)+2),MATCH($L$1,[1]characters!$1:$1,0)-MATCH($F$1,[1]characters!$2:$2,0)+2,FALSE)</f>
        <v>ゴッド</v>
      </c>
      <c r="M142" s="6">
        <v>1</v>
      </c>
      <c r="N142" s="40">
        <f ca="1">VLOOKUP(D142,gacha_133_base!A:B,2,FALSE)</f>
        <v>2460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4"/>
        <v>02051</v>
      </c>
      <c r="B143" s="2">
        <f t="shared" si="17"/>
        <v>133</v>
      </c>
      <c r="C143" s="10" t="str">
        <f t="shared" ca="1" si="15"/>
        <v>0PremiumN3</v>
      </c>
      <c r="D143" s="10" t="str">
        <f t="shared" ca="1" si="16"/>
        <v>0PremiumN3</v>
      </c>
      <c r="E143" s="6">
        <v>0</v>
      </c>
      <c r="F143" s="7">
        <v>205</v>
      </c>
      <c r="G143" s="10" t="str">
        <f ca="1">VLOOKUP($F143,OFFSET([1]characters!$A$2,0,0,COUNTA([1]characters!$A:$A),MATCH(G$1,[1]characters!$2:$2,0)-MATCH($F$1,[1]characters!$2:$2,0)+1),MATCH(G$1,[1]characters!$2:$2,0)-MATCH($F$1,[1]characters!$2:$2,0)+1,FALSE)</f>
        <v>アフロディーテ</v>
      </c>
      <c r="H143" s="10" t="str">
        <f ca="1">VLOOKUP($F143,OFFSET([1]characters!$A$2,0,0,COUNTA([1]characters!$A:$A),MATCH(H$1,[1]characters!$2:$2,0)-MATCH($F$1,[1]characters!$2:$2,0)+1),MATCH(H$1,[1]characters!$2:$2,0)-MATCH($F$1,[1]characters!$2:$2,0)+1,FALSE)</f>
        <v>PremiumN</v>
      </c>
      <c r="I143" s="10">
        <f ca="1">VLOOKUP($F143,OFFSET([1]characters!$A$2,0,0,COUNTA([1]characters!$A:$A),MATCH(I$1,[1]characters!$2:$2,0)-MATCH($F$1,[1]characters!$2:$2,0)+1),MATCH(I$1,[1]characters!$2:$2,0)-MATCH($F$1,[1]characters!$2:$2,0)+1,FALSE)</f>
        <v>3</v>
      </c>
      <c r="J143" s="10" t="str">
        <f ca="1">VLOOKUP($F143,OFFSET([1]characters!$A$2,0,0,COUNTA([1]characters!$A:$A),MATCH(J$1,[1]characters!$2:$2,0)-MATCH($F$1,[1]characters!$2:$2,0)+1),MATCH(J$1,[1]characters!$2:$2,0)-MATCH($F$1,[1]characters!$2:$2,0)+1,FALSE)</f>
        <v>green</v>
      </c>
      <c r="K143" s="10" t="str">
        <f ca="1">VLOOKUP($F143,OFFSET([1]characters!$A$2,0,0,COUNTA([1]characters!$A:$A),MATCH("タイプ",[1]characters!$1:$1,0)-MATCH($F$1,[1]characters!$2:$2,0)+2),MATCH("タイプ",[1]characters!$1:$1,0)-MATCH($F$1,[1]characters!$2:$2,0)+2,FALSE)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3" s="10" t="str">
        <f ca="1">VLOOKUP($F143,OFFSET([1]characters!$A$2,0,0,COUNTA([1]characters!$A:$A),MATCH($L$1,[1]characters!$1:$1,0)-MATCH($F$1,[1]characters!$2:$2,0)+2),MATCH($L$1,[1]characters!$1:$1,0)-MATCH($F$1,[1]characters!$2:$2,0)+2,FALSE)</f>
        <v>ゴッド</v>
      </c>
      <c r="M143" s="6">
        <v>1</v>
      </c>
      <c r="N143" s="40">
        <f ca="1">VLOOKUP(D143,gacha_133_base!A:B,2,FALSE)</f>
        <v>2460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4"/>
        <v>02081</v>
      </c>
      <c r="B144" s="2">
        <f t="shared" si="17"/>
        <v>133</v>
      </c>
      <c r="C144" s="10" t="str">
        <f t="shared" ca="1" si="15"/>
        <v>0PremiumN3</v>
      </c>
      <c r="D144" s="10" t="str">
        <f t="shared" ca="1" si="16"/>
        <v>0PremiumN3</v>
      </c>
      <c r="E144" s="6">
        <v>0</v>
      </c>
      <c r="F144" s="7">
        <v>208</v>
      </c>
      <c r="G144" s="10" t="str">
        <f ca="1">VLOOKUP($F144,OFFSET([1]characters!$A$2,0,0,COUNTA([1]characters!$A:$A),MATCH(G$1,[1]characters!$2:$2,0)-MATCH($F$1,[1]characters!$2:$2,0)+1),MATCH(G$1,[1]characters!$2:$2,0)-MATCH($F$1,[1]characters!$2:$2,0)+1,FALSE)</f>
        <v>テティス</v>
      </c>
      <c r="H144" s="10" t="str">
        <f ca="1">VLOOKUP($F144,OFFSET([1]characters!$A$2,0,0,COUNTA([1]characters!$A:$A),MATCH(H$1,[1]characters!$2:$2,0)-MATCH($F$1,[1]characters!$2:$2,0)+1),MATCH(H$1,[1]characters!$2:$2,0)-MATCH($F$1,[1]characters!$2:$2,0)+1,FALSE)</f>
        <v>PremiumN</v>
      </c>
      <c r="I144" s="10">
        <f ca="1">VLOOKUP($F144,OFFSET([1]characters!$A$2,0,0,COUNTA([1]characters!$A:$A),MATCH(I$1,[1]characters!$2:$2,0)-MATCH($F$1,[1]characters!$2:$2,0)+1),MATCH(I$1,[1]characters!$2:$2,0)-MATCH($F$1,[1]characters!$2:$2,0)+1,FALSE)</f>
        <v>3</v>
      </c>
      <c r="J144" s="10" t="str">
        <f ca="1">VLOOKUP($F144,OFFSET([1]characters!$A$2,0,0,COUNTA([1]characters!$A:$A),MATCH(J$1,[1]characters!$2:$2,0)-MATCH($F$1,[1]characters!$2:$2,0)+1),MATCH(J$1,[1]characters!$2:$2,0)-MATCH($F$1,[1]characters!$2:$2,0)+1,FALSE)</f>
        <v>blue</v>
      </c>
      <c r="K144" s="10" t="str">
        <f ca="1">VLOOKUP($F144,OFFSET([1]characters!$A$2,0,0,COUNTA([1]characters!$A:$A),MATCH("タイプ",[1]characters!$1:$1,0)-MATCH($F$1,[1]characters!$2:$2,0)+2),MATCH("タイプ",[1]characters!$1:$1,0)-MATCH($F$1,[1]characters!$2:$2,0)+2,FALSE)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4" s="10" t="str">
        <f ca="1">VLOOKUP($F144,OFFSET([1]characters!$A$2,0,0,COUNTA([1]characters!$A:$A),MATCH($L$1,[1]characters!$1:$1,0)-MATCH($F$1,[1]characters!$2:$2,0)+2),MATCH($L$1,[1]characters!$1:$1,0)-MATCH($F$1,[1]characters!$2:$2,0)+2,FALSE)</f>
        <v>ゴッド</v>
      </c>
      <c r="M144" s="6">
        <v>1</v>
      </c>
      <c r="N144" s="40">
        <f ca="1">VLOOKUP(D144,gacha_133_base!A:B,2,FALSE)</f>
        <v>2460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4"/>
        <v>02111</v>
      </c>
      <c r="B145" s="2">
        <f t="shared" si="17"/>
        <v>133</v>
      </c>
      <c r="C145" s="10" t="str">
        <f t="shared" ca="1" si="15"/>
        <v>0PremiumN3</v>
      </c>
      <c r="D145" s="10" t="str">
        <f t="shared" ca="1" si="16"/>
        <v>0PremiumN3</v>
      </c>
      <c r="E145" s="6">
        <v>0</v>
      </c>
      <c r="F145" s="7">
        <v>211</v>
      </c>
      <c r="G145" s="10" t="str">
        <f ca="1">VLOOKUP($F145,OFFSET([1]characters!$A$2,0,0,COUNTA([1]characters!$A:$A),MATCH(G$1,[1]characters!$2:$2,0)-MATCH($F$1,[1]characters!$2:$2,0)+1),MATCH(G$1,[1]characters!$2:$2,0)-MATCH($F$1,[1]characters!$2:$2,0)+1,FALSE)</f>
        <v>アストライアー</v>
      </c>
      <c r="H145" s="10" t="str">
        <f ca="1">VLOOKUP($F145,OFFSET([1]characters!$A$2,0,0,COUNTA([1]characters!$A:$A),MATCH(H$1,[1]characters!$2:$2,0)-MATCH($F$1,[1]characters!$2:$2,0)+1),MATCH(H$1,[1]characters!$2:$2,0)-MATCH($F$1,[1]characters!$2:$2,0)+1,FALSE)</f>
        <v>PremiumN</v>
      </c>
      <c r="I145" s="10">
        <f ca="1">VLOOKUP($F145,OFFSET([1]characters!$A$2,0,0,COUNTA([1]characters!$A:$A),MATCH(I$1,[1]characters!$2:$2,0)-MATCH($F$1,[1]characters!$2:$2,0)+1),MATCH(I$1,[1]characters!$2:$2,0)-MATCH($F$1,[1]characters!$2:$2,0)+1,FALSE)</f>
        <v>3</v>
      </c>
      <c r="J145" s="10" t="str">
        <f ca="1">VLOOKUP($F145,OFFSET([1]characters!$A$2,0,0,COUNTA([1]characters!$A:$A),MATCH(J$1,[1]characters!$2:$2,0)-MATCH($F$1,[1]characters!$2:$2,0)+1),MATCH(J$1,[1]characters!$2:$2,0)-MATCH($F$1,[1]characters!$2:$2,0)+1,FALSE)</f>
        <v>yellow</v>
      </c>
      <c r="K145" s="10" t="str">
        <f ca="1">VLOOKUP($F145,OFFSET([1]characters!$A$2,0,0,COUNTA([1]characters!$A:$A),MATCH("タイプ",[1]characters!$1:$1,0)-MATCH($F$1,[1]characters!$2:$2,0)+2),MATCH("タイプ",[1]characters!$1:$1,0)-MATCH($F$1,[1]characters!$2:$2,0)+2,FALSE)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5" s="10" t="str">
        <f ca="1">VLOOKUP($F145,OFFSET([1]characters!$A$2,0,0,COUNTA([1]characters!$A:$A),MATCH($L$1,[1]characters!$1:$1,0)-MATCH($F$1,[1]characters!$2:$2,0)+2),MATCH($L$1,[1]characters!$1:$1,0)-MATCH($F$1,[1]characters!$2:$2,0)+2,FALSE)</f>
        <v>ゴッド</v>
      </c>
      <c r="M145" s="6">
        <v>1</v>
      </c>
      <c r="N145" s="40">
        <f ca="1">VLOOKUP(D145,gacha_133_base!A:B,2,FALSE)</f>
        <v>2460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4"/>
        <v>02141</v>
      </c>
      <c r="B146" s="2">
        <f t="shared" si="17"/>
        <v>133</v>
      </c>
      <c r="C146" s="10" t="str">
        <f t="shared" ca="1" si="15"/>
        <v>0PremiumN3</v>
      </c>
      <c r="D146" s="10" t="str">
        <f t="shared" ca="1" si="16"/>
        <v>0PremiumN3</v>
      </c>
      <c r="E146" s="6">
        <v>0</v>
      </c>
      <c r="F146" s="7">
        <v>214</v>
      </c>
      <c r="G146" s="10" t="str">
        <f ca="1">VLOOKUP($F146,OFFSET([1]characters!$A$2,0,0,COUNTA([1]characters!$A:$A),MATCH(G$1,[1]characters!$2:$2,0)-MATCH($F$1,[1]characters!$2:$2,0)+1),MATCH(G$1,[1]characters!$2:$2,0)-MATCH($F$1,[1]characters!$2:$2,0)+1,FALSE)</f>
        <v>アズラエル</v>
      </c>
      <c r="H146" s="10" t="str">
        <f ca="1">VLOOKUP($F146,OFFSET([1]characters!$A$2,0,0,COUNTA([1]characters!$A:$A),MATCH(H$1,[1]characters!$2:$2,0)-MATCH($F$1,[1]characters!$2:$2,0)+1),MATCH(H$1,[1]characters!$2:$2,0)-MATCH($F$1,[1]characters!$2:$2,0)+1,FALSE)</f>
        <v>PremiumN</v>
      </c>
      <c r="I146" s="10">
        <f ca="1">VLOOKUP($F146,OFFSET([1]characters!$A$2,0,0,COUNTA([1]characters!$A:$A),MATCH(I$1,[1]characters!$2:$2,0)-MATCH($F$1,[1]characters!$2:$2,0)+1),MATCH(I$1,[1]characters!$2:$2,0)-MATCH($F$1,[1]characters!$2:$2,0)+1,FALSE)</f>
        <v>3</v>
      </c>
      <c r="J146" s="10" t="str">
        <f ca="1">VLOOKUP($F146,OFFSET([1]characters!$A$2,0,0,COUNTA([1]characters!$A:$A),MATCH(J$1,[1]characters!$2:$2,0)-MATCH($F$1,[1]characters!$2:$2,0)+1),MATCH(J$1,[1]characters!$2:$2,0)-MATCH($F$1,[1]characters!$2:$2,0)+1,FALSE)</f>
        <v>red</v>
      </c>
      <c r="K146" s="10" t="str">
        <f ca="1">VLOOKUP($F146,OFFSET([1]characters!$A$2,0,0,COUNTA([1]characters!$A:$A),MATCH("タイプ",[1]characters!$1:$1,0)-MATCH($F$1,[1]characters!$2:$2,0)+2),MATCH("タイプ",[1]characters!$1:$1,0)-MATCH($F$1,[1]characters!$2:$2,0)+2,FALSE)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6" s="10" t="str">
        <f ca="1">VLOOKUP($F146,OFFSET([1]characters!$A$2,0,0,COUNTA([1]characters!$A:$A),MATCH($L$1,[1]characters!$1:$1,0)-MATCH($F$1,[1]characters!$2:$2,0)+2),MATCH($L$1,[1]characters!$1:$1,0)-MATCH($F$1,[1]characters!$2:$2,0)+2,FALSE)</f>
        <v>ゴッド</v>
      </c>
      <c r="M146" s="6">
        <v>1</v>
      </c>
      <c r="N146" s="40">
        <f ca="1">VLOOKUP(D146,gacha_133_base!A:B,2,FALSE)</f>
        <v>2460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4"/>
        <v>02171</v>
      </c>
      <c r="B147" s="2">
        <f t="shared" si="17"/>
        <v>133</v>
      </c>
      <c r="C147" s="10" t="str">
        <f t="shared" ca="1" si="15"/>
        <v>0PremiumN3</v>
      </c>
      <c r="D147" s="10" t="str">
        <f t="shared" ca="1" si="16"/>
        <v>0PremiumN3</v>
      </c>
      <c r="E147" s="6">
        <v>0</v>
      </c>
      <c r="F147" s="7">
        <v>217</v>
      </c>
      <c r="G147" s="10" t="str">
        <f ca="1">VLOOKUP($F147,OFFSET([1]characters!$A$2,0,0,COUNTA([1]characters!$A:$A),MATCH(G$1,[1]characters!$2:$2,0)-MATCH($F$1,[1]characters!$2:$2,0)+1),MATCH(G$1,[1]characters!$2:$2,0)-MATCH($F$1,[1]characters!$2:$2,0)+1,FALSE)</f>
        <v>ケツァクアトル</v>
      </c>
      <c r="H147" s="10" t="str">
        <f ca="1">VLOOKUP($F147,OFFSET([1]characters!$A$2,0,0,COUNTA([1]characters!$A:$A),MATCH(H$1,[1]characters!$2:$2,0)-MATCH($F$1,[1]characters!$2:$2,0)+1),MATCH(H$1,[1]characters!$2:$2,0)-MATCH($F$1,[1]characters!$2:$2,0)+1,FALSE)</f>
        <v>PremiumN</v>
      </c>
      <c r="I147" s="10">
        <f ca="1">VLOOKUP($F147,OFFSET([1]characters!$A$2,0,0,COUNTA([1]characters!$A:$A),MATCH(I$1,[1]characters!$2:$2,0)-MATCH($F$1,[1]characters!$2:$2,0)+1),MATCH(I$1,[1]characters!$2:$2,0)-MATCH($F$1,[1]characters!$2:$2,0)+1,FALSE)</f>
        <v>3</v>
      </c>
      <c r="J147" s="10" t="str">
        <f ca="1">VLOOKUP($F147,OFFSET([1]characters!$A$2,0,0,COUNTA([1]characters!$A:$A),MATCH(J$1,[1]characters!$2:$2,0)-MATCH($F$1,[1]characters!$2:$2,0)+1),MATCH(J$1,[1]characters!$2:$2,0)-MATCH($F$1,[1]characters!$2:$2,0)+1,FALSE)</f>
        <v>green</v>
      </c>
      <c r="K147" s="10" t="str">
        <f ca="1">VLOOKUP($F147,OFFSET([1]characters!$A$2,0,0,COUNTA([1]characters!$A:$A),MATCH("タイプ",[1]characters!$1:$1,0)-MATCH($F$1,[1]characters!$2:$2,0)+2),MATCH("タイプ",[1]characters!$1:$1,0)-MATCH($F$1,[1]characters!$2:$2,0)+2,FALSE)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7" s="10" t="str">
        <f ca="1">VLOOKUP($F147,OFFSET([1]characters!$A$2,0,0,COUNTA([1]characters!$A:$A),MATCH($L$1,[1]characters!$1:$1,0)-MATCH($F$1,[1]characters!$2:$2,0)+2),MATCH($L$1,[1]characters!$1:$1,0)-MATCH($F$1,[1]characters!$2:$2,0)+2,FALSE)</f>
        <v>ドラゴン</v>
      </c>
      <c r="M147" s="6">
        <v>1</v>
      </c>
      <c r="N147" s="40">
        <f ca="1">VLOOKUP(D147,gacha_133_base!A:B,2,FALSE)</f>
        <v>2460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4"/>
        <v>02201</v>
      </c>
      <c r="B148" s="2">
        <f t="shared" si="17"/>
        <v>133</v>
      </c>
      <c r="C148" s="10" t="str">
        <f t="shared" ca="1" si="15"/>
        <v>0PremiumN3</v>
      </c>
      <c r="D148" s="10" t="str">
        <f t="shared" ca="1" si="16"/>
        <v>0PremiumN3</v>
      </c>
      <c r="E148" s="6">
        <v>0</v>
      </c>
      <c r="F148" s="7">
        <v>220</v>
      </c>
      <c r="G148" s="10" t="str">
        <f ca="1">VLOOKUP($F148,OFFSET([1]characters!$A$2,0,0,COUNTA([1]characters!$A:$A),MATCH(G$1,[1]characters!$2:$2,0)-MATCH($F$1,[1]characters!$2:$2,0)+1),MATCH(G$1,[1]characters!$2:$2,0)-MATCH($F$1,[1]characters!$2:$2,0)+1,FALSE)</f>
        <v>ルキフグス</v>
      </c>
      <c r="H148" s="10" t="str">
        <f ca="1">VLOOKUP($F148,OFFSET([1]characters!$A$2,0,0,COUNTA([1]characters!$A:$A),MATCH(H$1,[1]characters!$2:$2,0)-MATCH($F$1,[1]characters!$2:$2,0)+1),MATCH(H$1,[1]characters!$2:$2,0)-MATCH($F$1,[1]characters!$2:$2,0)+1,FALSE)</f>
        <v>PremiumN</v>
      </c>
      <c r="I148" s="10">
        <f ca="1">VLOOKUP($F148,OFFSET([1]characters!$A$2,0,0,COUNTA([1]characters!$A:$A),MATCH(I$1,[1]characters!$2:$2,0)-MATCH($F$1,[1]characters!$2:$2,0)+1),MATCH(I$1,[1]characters!$2:$2,0)-MATCH($F$1,[1]characters!$2:$2,0)+1,FALSE)</f>
        <v>3</v>
      </c>
      <c r="J148" s="10" t="str">
        <f ca="1">VLOOKUP($F148,OFFSET([1]characters!$A$2,0,0,COUNTA([1]characters!$A:$A),MATCH(J$1,[1]characters!$2:$2,0)-MATCH($F$1,[1]characters!$2:$2,0)+1),MATCH(J$1,[1]characters!$2:$2,0)-MATCH($F$1,[1]characters!$2:$2,0)+1,FALSE)</f>
        <v>blue</v>
      </c>
      <c r="K148" s="10" t="str">
        <f ca="1">VLOOKUP($F148,OFFSET([1]characters!$A$2,0,0,COUNTA([1]characters!$A:$A),MATCH("タイプ",[1]characters!$1:$1,0)-MATCH($F$1,[1]characters!$2:$2,0)+2),MATCH("タイプ",[1]characters!$1:$1,0)-MATCH($F$1,[1]characters!$2:$2,0)+2,FALSE)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8" s="10" t="str">
        <f ca="1">VLOOKUP($F148,OFFSET([1]characters!$A$2,0,0,COUNTA([1]characters!$A:$A),MATCH($L$1,[1]characters!$1:$1,0)-MATCH($F$1,[1]characters!$2:$2,0)+2),MATCH($L$1,[1]characters!$1:$1,0)-MATCH($F$1,[1]characters!$2:$2,0)+2,FALSE)</f>
        <v>ゴッド</v>
      </c>
      <c r="M148" s="6">
        <v>1</v>
      </c>
      <c r="N148" s="40">
        <f ca="1">VLOOKUP(D148,gacha_133_base!A:B,2,FALSE)</f>
        <v>2460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4"/>
        <v>02231</v>
      </c>
      <c r="B149" s="2">
        <f t="shared" si="17"/>
        <v>133</v>
      </c>
      <c r="C149" s="10" t="str">
        <f t="shared" ca="1" si="15"/>
        <v>0PremiumN3</v>
      </c>
      <c r="D149" s="10" t="str">
        <f t="shared" ca="1" si="16"/>
        <v>0PremiumN3</v>
      </c>
      <c r="E149" s="6">
        <v>0</v>
      </c>
      <c r="F149" s="7">
        <v>223</v>
      </c>
      <c r="G149" s="10" t="str">
        <f ca="1">VLOOKUP($F149,OFFSET([1]characters!$A$2,0,0,COUNTA([1]characters!$A:$A),MATCH(G$1,[1]characters!$2:$2,0)-MATCH($F$1,[1]characters!$2:$2,0)+1),MATCH(G$1,[1]characters!$2:$2,0)-MATCH($F$1,[1]characters!$2:$2,0)+1,FALSE)</f>
        <v>ヘラクレス</v>
      </c>
      <c r="H149" s="10" t="str">
        <f ca="1">VLOOKUP($F149,OFFSET([1]characters!$A$2,0,0,COUNTA([1]characters!$A:$A),MATCH(H$1,[1]characters!$2:$2,0)-MATCH($F$1,[1]characters!$2:$2,0)+1),MATCH(H$1,[1]characters!$2:$2,0)-MATCH($F$1,[1]characters!$2:$2,0)+1,FALSE)</f>
        <v>PremiumN</v>
      </c>
      <c r="I149" s="10">
        <f ca="1">VLOOKUP($F149,OFFSET([1]characters!$A$2,0,0,COUNTA([1]characters!$A:$A),MATCH(I$1,[1]characters!$2:$2,0)-MATCH($F$1,[1]characters!$2:$2,0)+1),MATCH(I$1,[1]characters!$2:$2,0)-MATCH($F$1,[1]characters!$2:$2,0)+1,FALSE)</f>
        <v>3</v>
      </c>
      <c r="J149" s="10" t="str">
        <f ca="1">VLOOKUP($F149,OFFSET([1]characters!$A$2,0,0,COUNTA([1]characters!$A:$A),MATCH(J$1,[1]characters!$2:$2,0)-MATCH($F$1,[1]characters!$2:$2,0)+1),MATCH(J$1,[1]characters!$2:$2,0)-MATCH($F$1,[1]characters!$2:$2,0)+1,FALSE)</f>
        <v>yellow</v>
      </c>
      <c r="K149" s="10" t="str">
        <f ca="1">VLOOKUP($F149,OFFSET([1]characters!$A$2,0,0,COUNTA([1]characters!$A:$A),MATCH("タイプ",[1]characters!$1:$1,0)-MATCH($F$1,[1]characters!$2:$2,0)+2),MATCH("タイプ",[1]characters!$1:$1,0)-MATCH($F$1,[1]characters!$2:$2,0)+2,FALSE)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9" s="10" t="str">
        <f ca="1">VLOOKUP($F149,OFFSET([1]characters!$A$2,0,0,COUNTA([1]characters!$A:$A),MATCH($L$1,[1]characters!$1:$1,0)-MATCH($F$1,[1]characters!$2:$2,0)+2),MATCH($L$1,[1]characters!$1:$1,0)-MATCH($F$1,[1]characters!$2:$2,0)+2,FALSE)</f>
        <v>ヒューマン</v>
      </c>
      <c r="M149" s="6">
        <v>1</v>
      </c>
      <c r="N149" s="40">
        <f ca="1">VLOOKUP(D149,gacha_133_base!A:B,2,FALSE)</f>
        <v>2460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4"/>
        <v>02261</v>
      </c>
      <c r="B150" s="2">
        <f t="shared" si="17"/>
        <v>133</v>
      </c>
      <c r="C150" s="10" t="str">
        <f t="shared" ca="1" si="15"/>
        <v>0PremiumS3</v>
      </c>
      <c r="D150" s="10" t="str">
        <f t="shared" ca="1" si="16"/>
        <v>0PremiumS3</v>
      </c>
      <c r="E150" s="6">
        <v>0</v>
      </c>
      <c r="F150" s="7">
        <v>226</v>
      </c>
      <c r="G150" s="10" t="str">
        <f ca="1">VLOOKUP($F150,OFFSET([1]characters!$A$2,0,0,COUNTA([1]characters!$A:$A),MATCH(G$1,[1]characters!$2:$2,0)-MATCH($F$1,[1]characters!$2:$2,0)+1),MATCH(G$1,[1]characters!$2:$2,0)-MATCH($F$1,[1]characters!$2:$2,0)+1,FALSE)</f>
        <v>アレス</v>
      </c>
      <c r="H150" s="10" t="str">
        <f ca="1">VLOOKUP($F150,OFFSET([1]characters!$A$2,0,0,COUNTA([1]characters!$A:$A),MATCH(H$1,[1]characters!$2:$2,0)-MATCH($F$1,[1]characters!$2:$2,0)+1),MATCH(H$1,[1]characters!$2:$2,0)-MATCH($F$1,[1]characters!$2:$2,0)+1,FALSE)</f>
        <v>PremiumS</v>
      </c>
      <c r="I150" s="10">
        <f ca="1">VLOOKUP($F150,OFFSET([1]characters!$A$2,0,0,COUNTA([1]characters!$A:$A),MATCH(I$1,[1]characters!$2:$2,0)-MATCH($F$1,[1]characters!$2:$2,0)+1),MATCH(I$1,[1]characters!$2:$2,0)-MATCH($F$1,[1]characters!$2:$2,0)+1,FALSE)</f>
        <v>3</v>
      </c>
      <c r="J150" s="10" t="str">
        <f ca="1">VLOOKUP($F150,OFFSET([1]characters!$A$2,0,0,COUNTA([1]characters!$A:$A),MATCH(J$1,[1]characters!$2:$2,0)-MATCH($F$1,[1]characters!$2:$2,0)+1),MATCH(J$1,[1]characters!$2:$2,0)-MATCH($F$1,[1]characters!$2:$2,0)+1,FALSE)</f>
        <v>red</v>
      </c>
      <c r="K150" s="10" t="str">
        <f ca="1">VLOOKUP($F150,OFFSET([1]characters!$A$2,0,0,COUNTA([1]characters!$A:$A),MATCH("タイプ",[1]characters!$1:$1,0)-MATCH($F$1,[1]characters!$2:$2,0)+2),MATCH("タイプ",[1]characters!$1:$1,0)-MATCH($F$1,[1]characters!$2:$2,0)+2,FALSE)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0" s="10" t="str">
        <f ca="1">VLOOKUP($F150,OFFSET([1]characters!$A$2,0,0,COUNTA([1]characters!$A:$A),MATCH($L$1,[1]characters!$1:$1,0)-MATCH($F$1,[1]characters!$2:$2,0)+2),MATCH($L$1,[1]characters!$1:$1,0)-MATCH($F$1,[1]characters!$2:$2,0)+2,FALSE)</f>
        <v>ゴッド</v>
      </c>
      <c r="M150" s="6">
        <v>1</v>
      </c>
      <c r="N150" s="40">
        <f ca="1">VLOOKUP(D150,gacha_133_base!A:B,2,FALSE)</f>
        <v>228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4"/>
        <v>02291</v>
      </c>
      <c r="B151" s="2">
        <f t="shared" si="17"/>
        <v>133</v>
      </c>
      <c r="C151" s="10" t="str">
        <f t="shared" ca="1" si="15"/>
        <v>0PremiumS3</v>
      </c>
      <c r="D151" s="10" t="str">
        <f t="shared" ca="1" si="16"/>
        <v>0PremiumS3</v>
      </c>
      <c r="E151" s="6">
        <v>0</v>
      </c>
      <c r="F151" s="7">
        <v>229</v>
      </c>
      <c r="G151" s="10" t="str">
        <f ca="1">VLOOKUP($F151,OFFSET([1]characters!$A$2,0,0,COUNTA([1]characters!$A:$A),MATCH(G$1,[1]characters!$2:$2,0)-MATCH($F$1,[1]characters!$2:$2,0)+1),MATCH(G$1,[1]characters!$2:$2,0)-MATCH($F$1,[1]characters!$2:$2,0)+1,FALSE)</f>
        <v>ヨルムンガンド</v>
      </c>
      <c r="H151" s="10" t="str">
        <f ca="1">VLOOKUP($F151,OFFSET([1]characters!$A$2,0,0,COUNTA([1]characters!$A:$A),MATCH(H$1,[1]characters!$2:$2,0)-MATCH($F$1,[1]characters!$2:$2,0)+1),MATCH(H$1,[1]characters!$2:$2,0)-MATCH($F$1,[1]characters!$2:$2,0)+1,FALSE)</f>
        <v>PremiumS</v>
      </c>
      <c r="I151" s="10">
        <f ca="1">VLOOKUP($F151,OFFSET([1]characters!$A$2,0,0,COUNTA([1]characters!$A:$A),MATCH(I$1,[1]characters!$2:$2,0)-MATCH($F$1,[1]characters!$2:$2,0)+1),MATCH(I$1,[1]characters!$2:$2,0)-MATCH($F$1,[1]characters!$2:$2,0)+1,FALSE)</f>
        <v>3</v>
      </c>
      <c r="J151" s="10" t="str">
        <f ca="1">VLOOKUP($F151,OFFSET([1]characters!$A$2,0,0,COUNTA([1]characters!$A:$A),MATCH(J$1,[1]characters!$2:$2,0)-MATCH($F$1,[1]characters!$2:$2,0)+1),MATCH(J$1,[1]characters!$2:$2,0)-MATCH($F$1,[1]characters!$2:$2,0)+1,FALSE)</f>
        <v>green</v>
      </c>
      <c r="K151" s="10" t="str">
        <f ca="1">VLOOKUP($F151,OFFSET([1]characters!$A$2,0,0,COUNTA([1]characters!$A:$A),MATCH("タイプ",[1]characters!$1:$1,0)-MATCH($F$1,[1]characters!$2:$2,0)+2),MATCH("タイプ",[1]characters!$1:$1,0)-MATCH($F$1,[1]characters!$2:$2,0)+2,FALSE)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1" s="10" t="str">
        <f ca="1">VLOOKUP($F151,OFFSET([1]characters!$A$2,0,0,COUNTA([1]characters!$A:$A),MATCH($L$1,[1]characters!$1:$1,0)-MATCH($F$1,[1]characters!$2:$2,0)+2),MATCH($L$1,[1]characters!$1:$1,0)-MATCH($F$1,[1]characters!$2:$2,0)+2,FALSE)</f>
        <v>ドラゴン</v>
      </c>
      <c r="M151" s="6">
        <v>1</v>
      </c>
      <c r="N151" s="40">
        <f ca="1">VLOOKUP(D151,gacha_133_base!A:B,2,FALSE)</f>
        <v>228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4"/>
        <v>02321</v>
      </c>
      <c r="B152" s="2">
        <f t="shared" si="17"/>
        <v>133</v>
      </c>
      <c r="C152" s="10" t="str">
        <f t="shared" ca="1" si="15"/>
        <v>0PremiumS3</v>
      </c>
      <c r="D152" s="10" t="str">
        <f t="shared" ca="1" si="16"/>
        <v>0PremiumS3</v>
      </c>
      <c r="E152" s="6">
        <v>0</v>
      </c>
      <c r="F152" s="7">
        <v>232</v>
      </c>
      <c r="G152" s="10" t="str">
        <f ca="1">VLOOKUP($F152,OFFSET([1]characters!$A$2,0,0,COUNTA([1]characters!$A:$A),MATCH(G$1,[1]characters!$2:$2,0)-MATCH($F$1,[1]characters!$2:$2,0)+1),MATCH(G$1,[1]characters!$2:$2,0)-MATCH($F$1,[1]characters!$2:$2,0)+1,FALSE)</f>
        <v>パーシヴァル</v>
      </c>
      <c r="H152" s="10" t="str">
        <f ca="1">VLOOKUP($F152,OFFSET([1]characters!$A$2,0,0,COUNTA([1]characters!$A:$A),MATCH(H$1,[1]characters!$2:$2,0)-MATCH($F$1,[1]characters!$2:$2,0)+1),MATCH(H$1,[1]characters!$2:$2,0)-MATCH($F$1,[1]characters!$2:$2,0)+1,FALSE)</f>
        <v>PremiumS</v>
      </c>
      <c r="I152" s="10">
        <f ca="1">VLOOKUP($F152,OFFSET([1]characters!$A$2,0,0,COUNTA([1]characters!$A:$A),MATCH(I$1,[1]characters!$2:$2,0)-MATCH($F$1,[1]characters!$2:$2,0)+1),MATCH(I$1,[1]characters!$2:$2,0)-MATCH($F$1,[1]characters!$2:$2,0)+1,FALSE)</f>
        <v>3</v>
      </c>
      <c r="J152" s="10" t="str">
        <f ca="1">VLOOKUP($F152,OFFSET([1]characters!$A$2,0,0,COUNTA([1]characters!$A:$A),MATCH(J$1,[1]characters!$2:$2,0)-MATCH($F$1,[1]characters!$2:$2,0)+1),MATCH(J$1,[1]characters!$2:$2,0)-MATCH($F$1,[1]characters!$2:$2,0)+1,FALSE)</f>
        <v>blue</v>
      </c>
      <c r="K152" s="10" t="str">
        <f ca="1">VLOOKUP($F152,OFFSET([1]characters!$A$2,0,0,COUNTA([1]characters!$A:$A),MATCH("タイプ",[1]characters!$1:$1,0)-MATCH($F$1,[1]characters!$2:$2,0)+2),MATCH("タイプ",[1]characters!$1:$1,0)-MATCH($F$1,[1]characters!$2:$2,0)+2,FALSE)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2" s="10" t="str">
        <f ca="1">VLOOKUP($F152,OFFSET([1]characters!$A$2,0,0,COUNTA([1]characters!$A:$A),MATCH($L$1,[1]characters!$1:$1,0)-MATCH($F$1,[1]characters!$2:$2,0)+2),MATCH($L$1,[1]characters!$1:$1,0)-MATCH($F$1,[1]characters!$2:$2,0)+2,FALSE)</f>
        <v>ヒューマン</v>
      </c>
      <c r="M152" s="6">
        <v>1</v>
      </c>
      <c r="N152" s="40">
        <f ca="1">VLOOKUP(D152,gacha_133_base!A:B,2,FALSE)</f>
        <v>228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4"/>
        <v>02351</v>
      </c>
      <c r="B153" s="2">
        <f t="shared" si="17"/>
        <v>133</v>
      </c>
      <c r="C153" s="10" t="str">
        <f t="shared" ca="1" si="15"/>
        <v>0PremiumS3</v>
      </c>
      <c r="D153" s="10" t="str">
        <f t="shared" ca="1" si="16"/>
        <v>0PremiumS3</v>
      </c>
      <c r="E153" s="6">
        <v>0</v>
      </c>
      <c r="F153" s="7">
        <v>235</v>
      </c>
      <c r="G153" s="10" t="str">
        <f ca="1">VLOOKUP($F153,OFFSET([1]characters!$A$2,0,0,COUNTA([1]characters!$A:$A),MATCH(G$1,[1]characters!$2:$2,0)-MATCH($F$1,[1]characters!$2:$2,0)+1),MATCH(G$1,[1]characters!$2:$2,0)-MATCH($F$1,[1]characters!$2:$2,0)+1,FALSE)</f>
        <v>イザナミ</v>
      </c>
      <c r="H153" s="10" t="str">
        <f ca="1">VLOOKUP($F153,OFFSET([1]characters!$A$2,0,0,COUNTA([1]characters!$A:$A),MATCH(H$1,[1]characters!$2:$2,0)-MATCH($F$1,[1]characters!$2:$2,0)+1),MATCH(H$1,[1]characters!$2:$2,0)-MATCH($F$1,[1]characters!$2:$2,0)+1,FALSE)</f>
        <v>PremiumS</v>
      </c>
      <c r="I153" s="10">
        <f ca="1">VLOOKUP($F153,OFFSET([1]characters!$A$2,0,0,COUNTA([1]characters!$A:$A),MATCH(I$1,[1]characters!$2:$2,0)-MATCH($F$1,[1]characters!$2:$2,0)+1),MATCH(I$1,[1]characters!$2:$2,0)-MATCH($F$1,[1]characters!$2:$2,0)+1,FALSE)</f>
        <v>3</v>
      </c>
      <c r="J153" s="10" t="str">
        <f ca="1">VLOOKUP($F153,OFFSET([1]characters!$A$2,0,0,COUNTA([1]characters!$A:$A),MATCH(J$1,[1]characters!$2:$2,0)-MATCH($F$1,[1]characters!$2:$2,0)+1),MATCH(J$1,[1]characters!$2:$2,0)-MATCH($F$1,[1]characters!$2:$2,0)+1,FALSE)</f>
        <v>yellow</v>
      </c>
      <c r="K153" s="10" t="str">
        <f ca="1">VLOOKUP($F153,OFFSET([1]characters!$A$2,0,0,COUNTA([1]characters!$A:$A),MATCH("タイプ",[1]characters!$1:$1,0)-MATCH($F$1,[1]characters!$2:$2,0)+2),MATCH("タイプ",[1]characters!$1:$1,0)-MATCH($F$1,[1]characters!$2:$2,0)+2,FALSE)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3" s="10" t="str">
        <f ca="1">VLOOKUP($F153,OFFSET([1]characters!$A$2,0,0,COUNTA([1]characters!$A:$A),MATCH($L$1,[1]characters!$1:$1,0)-MATCH($F$1,[1]characters!$2:$2,0)+2),MATCH($L$1,[1]characters!$1:$1,0)-MATCH($F$1,[1]characters!$2:$2,0)+2,FALSE)</f>
        <v>ゴッド</v>
      </c>
      <c r="M153" s="6">
        <v>1</v>
      </c>
      <c r="N153" s="40">
        <f ca="1">VLOOKUP(D153,gacha_133_base!A:B,2,FALSE)</f>
        <v>228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4"/>
        <v>01271</v>
      </c>
      <c r="B154" s="2">
        <f t="shared" si="17"/>
        <v>133</v>
      </c>
      <c r="C154" s="10" t="str">
        <f t="shared" ca="1" si="15"/>
        <v>0PremiumW4</v>
      </c>
      <c r="D154" s="10" t="str">
        <f t="shared" ca="1" si="16"/>
        <v>0PremiumW4</v>
      </c>
      <c r="E154" s="6">
        <v>0</v>
      </c>
      <c r="F154" s="7">
        <v>127</v>
      </c>
      <c r="G154" s="10" t="str">
        <f ca="1">VLOOKUP($F154,OFFSET([1]characters!$A$2,0,0,COUNTA([1]characters!$A:$A),MATCH(G$1,[1]characters!$2:$2,0)-MATCH($F$1,[1]characters!$2:$2,0)+1),MATCH(G$1,[1]characters!$2:$2,0)-MATCH($F$1,[1]characters!$2:$2,0)+1,FALSE)</f>
        <v>狂喜の賢者 ユノ</v>
      </c>
      <c r="H154" s="10" t="str">
        <f ca="1">VLOOKUP($F154,OFFSET([1]characters!$A$2,0,0,COUNTA([1]characters!$A:$A),MATCH(H$1,[1]characters!$2:$2,0)-MATCH($F$1,[1]characters!$2:$2,0)+1),MATCH(H$1,[1]characters!$2:$2,0)-MATCH($F$1,[1]characters!$2:$2,0)+1,FALSE)</f>
        <v>PremiumW</v>
      </c>
      <c r="I154" s="10">
        <f ca="1">VLOOKUP($F154,OFFSET([1]characters!$A$2,0,0,COUNTA([1]characters!$A:$A),MATCH(I$1,[1]characters!$2:$2,0)-MATCH($F$1,[1]characters!$2:$2,0)+1),MATCH(I$1,[1]characters!$2:$2,0)-MATCH($F$1,[1]characters!$2:$2,0)+1,FALSE)</f>
        <v>4</v>
      </c>
      <c r="J154" s="10" t="str">
        <f ca="1">VLOOKUP($F154,OFFSET([1]characters!$A$2,0,0,COUNTA([1]characters!$A:$A),MATCH(J$1,[1]characters!$2:$2,0)-MATCH($F$1,[1]characters!$2:$2,0)+1),MATCH(J$1,[1]characters!$2:$2,0)-MATCH($F$1,[1]characters!$2:$2,0)+1,FALSE)</f>
        <v>red</v>
      </c>
      <c r="K154" s="10" t="str">
        <f ca="1">VLOOKUP($F154,OFFSET([1]characters!$A$2,0,0,COUNTA([1]characters!$A:$A),MATCH("タイプ",[1]characters!$1:$1,0)-MATCH($F$1,[1]characters!$2:$2,0)+2),MATCH("タイプ",[1]characters!$1:$1,0)-MATCH($F$1,[1]characters!$2:$2,0)+2,FALSE)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4" s="10" t="str">
        <f ca="1">VLOOKUP($F154,OFFSET([1]characters!$A$2,0,0,COUNTA([1]characters!$A:$A),MATCH($L$1,[1]characters!$1:$1,0)-MATCH($F$1,[1]characters!$2:$2,0)+2),MATCH($L$1,[1]characters!$1:$1,0)-MATCH($F$1,[1]characters!$2:$2,0)+2,FALSE)</f>
        <v>ヒューマン</v>
      </c>
      <c r="M154" s="6">
        <v>1</v>
      </c>
      <c r="N154" s="40">
        <f ca="1">VLOOKUP(D154,gacha_133_base!A:B,2,FALSE)</f>
        <v>801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si="4"/>
        <v>01291</v>
      </c>
      <c r="B155" s="2">
        <f t="shared" si="17"/>
        <v>133</v>
      </c>
      <c r="C155" s="10" t="str">
        <f t="shared" ca="1" si="15"/>
        <v>0PremiumW4</v>
      </c>
      <c r="D155" s="10" t="str">
        <f t="shared" ca="1" si="16"/>
        <v>0PremiumW4</v>
      </c>
      <c r="E155" s="6">
        <v>0</v>
      </c>
      <c r="F155" s="7">
        <v>129</v>
      </c>
      <c r="G155" s="10" t="str">
        <f ca="1">VLOOKUP($F155,OFFSET([1]characters!$A$2,0,0,COUNTA([1]characters!$A:$A),MATCH(G$1,[1]characters!$2:$2,0)-MATCH($F$1,[1]characters!$2:$2,0)+1),MATCH(G$1,[1]characters!$2:$2,0)-MATCH($F$1,[1]characters!$2:$2,0)+1,FALSE)</f>
        <v>孤高の狼憑き アマラ</v>
      </c>
      <c r="H155" s="10" t="str">
        <f ca="1">VLOOKUP($F155,OFFSET([1]characters!$A$2,0,0,COUNTA([1]characters!$A:$A),MATCH(H$1,[1]characters!$2:$2,0)-MATCH($F$1,[1]characters!$2:$2,0)+1),MATCH(H$1,[1]characters!$2:$2,0)-MATCH($F$1,[1]characters!$2:$2,0)+1,FALSE)</f>
        <v>PremiumW</v>
      </c>
      <c r="I155" s="10">
        <f ca="1">VLOOKUP($F155,OFFSET([1]characters!$A$2,0,0,COUNTA([1]characters!$A:$A),MATCH(I$1,[1]characters!$2:$2,0)-MATCH($F$1,[1]characters!$2:$2,0)+1),MATCH(I$1,[1]characters!$2:$2,0)-MATCH($F$1,[1]characters!$2:$2,0)+1,FALSE)</f>
        <v>4</v>
      </c>
      <c r="J155" s="10" t="str">
        <f ca="1">VLOOKUP($F155,OFFSET([1]characters!$A$2,0,0,COUNTA([1]characters!$A:$A),MATCH(J$1,[1]characters!$2:$2,0)-MATCH($F$1,[1]characters!$2:$2,0)+1),MATCH(J$1,[1]characters!$2:$2,0)-MATCH($F$1,[1]characters!$2:$2,0)+1,FALSE)</f>
        <v>green</v>
      </c>
      <c r="K155" s="10" t="str">
        <f ca="1">VLOOKUP($F155,OFFSET([1]characters!$A$2,0,0,COUNTA([1]characters!$A:$A),MATCH("タイプ",[1]characters!$1:$1,0)-MATCH($F$1,[1]characters!$2:$2,0)+2),MATCH("タイプ",[1]characters!$1:$1,0)-MATCH($F$1,[1]characters!$2:$2,0)+2,FALSE)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5" s="10" t="str">
        <f ca="1">VLOOKUP($F155,OFFSET([1]characters!$A$2,0,0,COUNTA([1]characters!$A:$A),MATCH($L$1,[1]characters!$1:$1,0)-MATCH($F$1,[1]characters!$2:$2,0)+2),MATCH($L$1,[1]characters!$1:$1,0)-MATCH($F$1,[1]characters!$2:$2,0)+2,FALSE)</f>
        <v>ヒューマン</v>
      </c>
      <c r="M155" s="6">
        <v>1</v>
      </c>
      <c r="N155" s="40">
        <f ca="1">VLOOKUP(D155,gacha_133_base!A:B,2,FALSE)</f>
        <v>801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4"/>
        <v>01311</v>
      </c>
      <c r="B156" s="2">
        <f t="shared" si="17"/>
        <v>133</v>
      </c>
      <c r="C156" s="10" t="str">
        <f t="shared" ca="1" si="15"/>
        <v>0PremiumW4</v>
      </c>
      <c r="D156" s="10" t="str">
        <f t="shared" ca="1" si="16"/>
        <v>0PremiumW4</v>
      </c>
      <c r="E156" s="6">
        <v>0</v>
      </c>
      <c r="F156" s="7">
        <v>131</v>
      </c>
      <c r="G156" s="10" t="str">
        <f ca="1">VLOOKUP($F156,OFFSET([1]characters!$A$2,0,0,COUNTA([1]characters!$A:$A),MATCH(G$1,[1]characters!$2:$2,0)-MATCH($F$1,[1]characters!$2:$2,0)+1),MATCH(G$1,[1]characters!$2:$2,0)-MATCH($F$1,[1]characters!$2:$2,0)+1,FALSE)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156" s="10" t="str">
        <f ca="1">VLOOKUP($F156,OFFSET([1]characters!$A$2,0,0,COUNTA([1]characters!$A:$A),MATCH(H$1,[1]characters!$2:$2,0)-MATCH($F$1,[1]characters!$2:$2,0)+1),MATCH(H$1,[1]characters!$2:$2,0)-MATCH($F$1,[1]characters!$2:$2,0)+1,FALSE)</f>
        <v>PremiumW</v>
      </c>
      <c r="I156" s="10">
        <f ca="1">VLOOKUP($F156,OFFSET([1]characters!$A$2,0,0,COUNTA([1]characters!$A:$A),MATCH(I$1,[1]characters!$2:$2,0)-MATCH($F$1,[1]characters!$2:$2,0)+1),MATCH(I$1,[1]characters!$2:$2,0)-MATCH($F$1,[1]characters!$2:$2,0)+1,FALSE)</f>
        <v>4</v>
      </c>
      <c r="J156" s="10" t="str">
        <f ca="1">VLOOKUP($F156,OFFSET([1]characters!$A$2,0,0,COUNTA([1]characters!$A:$A),MATCH(J$1,[1]characters!$2:$2,0)-MATCH($F$1,[1]characters!$2:$2,0)+1),MATCH(J$1,[1]characters!$2:$2,0)-MATCH($F$1,[1]characters!$2:$2,0)+1,FALSE)</f>
        <v>blue</v>
      </c>
      <c r="K156" s="10" t="str">
        <f ca="1">VLOOKUP($F156,OFFSET([1]characters!$A$2,0,0,COUNTA([1]characters!$A:$A),MATCH("タイプ",[1]characters!$1:$1,0)-MATCH($F$1,[1]characters!$2:$2,0)+2),MATCH("タイプ",[1]characters!$1:$1,0)-MATCH($F$1,[1]characters!$2:$2,0)+2,FALSE)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6" s="10" t="str">
        <f ca="1">VLOOKUP($F156,OFFSET([1]characters!$A$2,0,0,COUNTA([1]characters!$A:$A),MATCH($L$1,[1]characters!$1:$1,0)-MATCH($F$1,[1]characters!$2:$2,0)+2),MATCH($L$1,[1]characters!$1:$1,0)-MATCH($F$1,[1]characters!$2:$2,0)+2,FALSE)</f>
        <v>アニマル</v>
      </c>
      <c r="M156" s="6">
        <v>1</v>
      </c>
      <c r="N156" s="40">
        <f ca="1">VLOOKUP(D156,gacha_133_base!A:B,2,FALSE)</f>
        <v>801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4"/>
        <v>01331</v>
      </c>
      <c r="B157" s="2">
        <f t="shared" si="17"/>
        <v>133</v>
      </c>
      <c r="C157" s="10" t="str">
        <f t="shared" ca="1" si="15"/>
        <v>0PremiumW4</v>
      </c>
      <c r="D157" s="10" t="str">
        <f t="shared" ca="1" si="16"/>
        <v>0PremiumW4</v>
      </c>
      <c r="E157" s="6">
        <v>0</v>
      </c>
      <c r="F157" s="7">
        <v>133</v>
      </c>
      <c r="G157" s="10" t="str">
        <f ca="1">VLOOKUP($F157,OFFSET([1]characters!$A$2,0,0,COUNTA([1]characters!$A:$A),MATCH(G$1,[1]characters!$2:$2,0)-MATCH($F$1,[1]characters!$2:$2,0)+1),MATCH(G$1,[1]characters!$2:$2,0)-MATCH($F$1,[1]characters!$2:$2,0)+1,FALSE)</f>
        <v>迅雷の刀剣 ハヤト</v>
      </c>
      <c r="H157" s="10" t="str">
        <f ca="1">VLOOKUP($F157,OFFSET([1]characters!$A$2,0,0,COUNTA([1]characters!$A:$A),MATCH(H$1,[1]characters!$2:$2,0)-MATCH($F$1,[1]characters!$2:$2,0)+1),MATCH(H$1,[1]characters!$2:$2,0)-MATCH($F$1,[1]characters!$2:$2,0)+1,FALSE)</f>
        <v>PremiumW</v>
      </c>
      <c r="I157" s="10">
        <f ca="1">VLOOKUP($F157,OFFSET([1]characters!$A$2,0,0,COUNTA([1]characters!$A:$A),MATCH(I$1,[1]characters!$2:$2,0)-MATCH($F$1,[1]characters!$2:$2,0)+1),MATCH(I$1,[1]characters!$2:$2,0)-MATCH($F$1,[1]characters!$2:$2,0)+1,FALSE)</f>
        <v>4</v>
      </c>
      <c r="J157" s="10" t="str">
        <f ca="1">VLOOKUP($F157,OFFSET([1]characters!$A$2,0,0,COUNTA([1]characters!$A:$A),MATCH(J$1,[1]characters!$2:$2,0)-MATCH($F$1,[1]characters!$2:$2,0)+1),MATCH(J$1,[1]characters!$2:$2,0)-MATCH($F$1,[1]characters!$2:$2,0)+1,FALSE)</f>
        <v>yellow</v>
      </c>
      <c r="K157" s="10" t="str">
        <f ca="1">VLOOKUP($F157,OFFSET([1]characters!$A$2,0,0,COUNTA([1]characters!$A:$A),MATCH("タイプ",[1]characters!$1:$1,0)-MATCH($F$1,[1]characters!$2:$2,0)+2),MATCH("タイプ",[1]characters!$1:$1,0)-MATCH($F$1,[1]characters!$2:$2,0)+2,FALSE)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7" s="10" t="str">
        <f ca="1">VLOOKUP($F157,OFFSET([1]characters!$A$2,0,0,COUNTA([1]characters!$A:$A),MATCH($L$1,[1]characters!$1:$1,0)-MATCH($F$1,[1]characters!$2:$2,0)+2),MATCH($L$1,[1]characters!$1:$1,0)-MATCH($F$1,[1]characters!$2:$2,0)+2,FALSE)</f>
        <v>ヒューマン</v>
      </c>
      <c r="M157" s="6">
        <v>1</v>
      </c>
      <c r="N157" s="40">
        <f ca="1">VLOOKUP(D157,gacha_133_base!A:B,2,FALSE)</f>
        <v>801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4"/>
        <v>01351</v>
      </c>
      <c r="B158" s="2">
        <f t="shared" si="17"/>
        <v>133</v>
      </c>
      <c r="C158" s="10" t="str">
        <f t="shared" ca="1" si="15"/>
        <v>0PremiumW4</v>
      </c>
      <c r="D158" s="10" t="str">
        <f t="shared" ca="1" si="16"/>
        <v>0PremiumW4</v>
      </c>
      <c r="E158" s="6">
        <v>0</v>
      </c>
      <c r="F158" s="7">
        <v>135</v>
      </c>
      <c r="G158" s="10" t="str">
        <f ca="1">VLOOKUP($F158,OFFSET([1]characters!$A$2,0,0,COUNTA([1]characters!$A:$A),MATCH(G$1,[1]characters!$2:$2,0)-MATCH($F$1,[1]characters!$2:$2,0)+1),MATCH(G$1,[1]characters!$2:$2,0)-MATCH($F$1,[1]characters!$2:$2,0)+1,FALSE)</f>
        <v>京の炎華夕霧</v>
      </c>
      <c r="H158" s="10" t="str">
        <f ca="1">VLOOKUP($F158,OFFSET([1]characters!$A$2,0,0,COUNTA([1]characters!$A:$A),MATCH(H$1,[1]characters!$2:$2,0)-MATCH($F$1,[1]characters!$2:$2,0)+1),MATCH(H$1,[1]characters!$2:$2,0)-MATCH($F$1,[1]characters!$2:$2,0)+1,FALSE)</f>
        <v>PremiumW</v>
      </c>
      <c r="I158" s="10">
        <f ca="1">VLOOKUP($F158,OFFSET([1]characters!$A$2,0,0,COUNTA([1]characters!$A:$A),MATCH(I$1,[1]characters!$2:$2,0)-MATCH($F$1,[1]characters!$2:$2,0)+1),MATCH(I$1,[1]characters!$2:$2,0)-MATCH($F$1,[1]characters!$2:$2,0)+1,FALSE)</f>
        <v>4</v>
      </c>
      <c r="J158" s="10" t="str">
        <f ca="1">VLOOKUP($F158,OFFSET([1]characters!$A$2,0,0,COUNTA([1]characters!$A:$A),MATCH(J$1,[1]characters!$2:$2,0)-MATCH($F$1,[1]characters!$2:$2,0)+1),MATCH(J$1,[1]characters!$2:$2,0)-MATCH($F$1,[1]characters!$2:$2,0)+1,FALSE)</f>
        <v>red</v>
      </c>
      <c r="K158" s="10" t="str">
        <f ca="1">VLOOKUP($F158,OFFSET([1]characters!$A$2,0,0,COUNTA([1]characters!$A:$A),MATCH("タイプ",[1]characters!$1:$1,0)-MATCH($F$1,[1]characters!$2:$2,0)+2),MATCH("タイプ",[1]characters!$1:$1,0)-MATCH($F$1,[1]characters!$2:$2,0)+2,FALSE)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8" s="10" t="str">
        <f ca="1">VLOOKUP($F158,OFFSET([1]characters!$A$2,0,0,COUNTA([1]characters!$A:$A),MATCH($L$1,[1]characters!$1:$1,0)-MATCH($F$1,[1]characters!$2:$2,0)+2),MATCH($L$1,[1]characters!$1:$1,0)-MATCH($F$1,[1]characters!$2:$2,0)+2,FALSE)</f>
        <v>ヒューマン</v>
      </c>
      <c r="M158" s="6">
        <v>1</v>
      </c>
      <c r="N158" s="40">
        <f ca="1">VLOOKUP(D158,gacha_133_base!A:B,2,FALSE)</f>
        <v>801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4"/>
        <v>01371</v>
      </c>
      <c r="B159" s="2">
        <f t="shared" si="17"/>
        <v>133</v>
      </c>
      <c r="C159" s="10" t="str">
        <f t="shared" ca="1" si="15"/>
        <v>0PremiumW4</v>
      </c>
      <c r="D159" s="10" t="str">
        <f t="shared" ca="1" si="16"/>
        <v>0PremiumW4</v>
      </c>
      <c r="E159" s="6">
        <v>0</v>
      </c>
      <c r="F159" s="7">
        <v>137</v>
      </c>
      <c r="G159" s="10" t="str">
        <f ca="1">VLOOKUP($F159,OFFSET([1]characters!$A$2,0,0,COUNTA([1]characters!$A:$A),MATCH(G$1,[1]characters!$2:$2,0)-MATCH($F$1,[1]characters!$2:$2,0)+1),MATCH(G$1,[1]characters!$2:$2,0)-MATCH($F$1,[1]characters!$2:$2,0)+1,FALSE)</f>
        <v>清福の仕立屋 チハヤ</v>
      </c>
      <c r="H159" s="10" t="str">
        <f ca="1">VLOOKUP($F159,OFFSET([1]characters!$A$2,0,0,COUNTA([1]characters!$A:$A),MATCH(H$1,[1]characters!$2:$2,0)-MATCH($F$1,[1]characters!$2:$2,0)+1),MATCH(H$1,[1]characters!$2:$2,0)-MATCH($F$1,[1]characters!$2:$2,0)+1,FALSE)</f>
        <v>PremiumW</v>
      </c>
      <c r="I159" s="10">
        <f ca="1">VLOOKUP($F159,OFFSET([1]characters!$A$2,0,0,COUNTA([1]characters!$A:$A),MATCH(I$1,[1]characters!$2:$2,0)-MATCH($F$1,[1]characters!$2:$2,0)+1),MATCH(I$1,[1]characters!$2:$2,0)-MATCH($F$1,[1]characters!$2:$2,0)+1,FALSE)</f>
        <v>4</v>
      </c>
      <c r="J159" s="10" t="str">
        <f ca="1">VLOOKUP($F159,OFFSET([1]characters!$A$2,0,0,COUNTA([1]characters!$A:$A),MATCH(J$1,[1]characters!$2:$2,0)-MATCH($F$1,[1]characters!$2:$2,0)+1),MATCH(J$1,[1]characters!$2:$2,0)-MATCH($F$1,[1]characters!$2:$2,0)+1,FALSE)</f>
        <v>green</v>
      </c>
      <c r="K159" s="10" t="str">
        <f ca="1">VLOOKUP($F159,OFFSET([1]characters!$A$2,0,0,COUNTA([1]characters!$A:$A),MATCH("タイプ",[1]characters!$1:$1,0)-MATCH($F$1,[1]characters!$2:$2,0)+2),MATCH("タイプ",[1]characters!$1:$1,0)-MATCH($F$1,[1]characters!$2:$2,0)+2,FALSE)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9" s="10" t="str">
        <f ca="1">VLOOKUP($F159,OFFSET([1]characters!$A$2,0,0,COUNTA([1]characters!$A:$A),MATCH($L$1,[1]characters!$1:$1,0)-MATCH($F$1,[1]characters!$2:$2,0)+2),MATCH($L$1,[1]characters!$1:$1,0)-MATCH($F$1,[1]characters!$2:$2,0)+2,FALSE)</f>
        <v>ヒューマン</v>
      </c>
      <c r="M159" s="6">
        <v>1</v>
      </c>
      <c r="N159" s="40">
        <f ca="1">VLOOKUP(D159,gacha_133_base!A:B,2,FALSE)</f>
        <v>801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4"/>
        <v>01391</v>
      </c>
      <c r="B160" s="2">
        <f t="shared" si="17"/>
        <v>133</v>
      </c>
      <c r="C160" s="10" t="str">
        <f t="shared" ca="1" si="15"/>
        <v>0PremiumW4</v>
      </c>
      <c r="D160" s="10" t="str">
        <f t="shared" ca="1" si="16"/>
        <v>0PremiumW4</v>
      </c>
      <c r="E160" s="6">
        <v>0</v>
      </c>
      <c r="F160" s="7">
        <v>139</v>
      </c>
      <c r="G160" s="10" t="str">
        <f ca="1">VLOOKUP($F160,OFFSET([1]characters!$A$2,0,0,COUNTA([1]characters!$A:$A),MATCH(G$1,[1]characters!$2:$2,0)-MATCH($F$1,[1]characters!$2:$2,0)+1),MATCH(G$1,[1]characters!$2:$2,0)-MATCH($F$1,[1]characters!$2:$2,0)+1,FALSE)</f>
        <v>蒼昇刃姫 トモエ</v>
      </c>
      <c r="H160" s="10" t="str">
        <f ca="1">VLOOKUP($F160,OFFSET([1]characters!$A$2,0,0,COUNTA([1]characters!$A:$A),MATCH(H$1,[1]characters!$2:$2,0)-MATCH($F$1,[1]characters!$2:$2,0)+1),MATCH(H$1,[1]characters!$2:$2,0)-MATCH($F$1,[1]characters!$2:$2,0)+1,FALSE)</f>
        <v>PremiumW</v>
      </c>
      <c r="I160" s="10">
        <f ca="1">VLOOKUP($F160,OFFSET([1]characters!$A$2,0,0,COUNTA([1]characters!$A:$A),MATCH(I$1,[1]characters!$2:$2,0)-MATCH($F$1,[1]characters!$2:$2,0)+1),MATCH(I$1,[1]characters!$2:$2,0)-MATCH($F$1,[1]characters!$2:$2,0)+1,FALSE)</f>
        <v>4</v>
      </c>
      <c r="J160" s="10" t="str">
        <f ca="1">VLOOKUP($F160,OFFSET([1]characters!$A$2,0,0,COUNTA([1]characters!$A:$A),MATCH(J$1,[1]characters!$2:$2,0)-MATCH($F$1,[1]characters!$2:$2,0)+1),MATCH(J$1,[1]characters!$2:$2,0)-MATCH($F$1,[1]characters!$2:$2,0)+1,FALSE)</f>
        <v>blue</v>
      </c>
      <c r="K160" s="10" t="str">
        <f ca="1">VLOOKUP($F160,OFFSET([1]characters!$A$2,0,0,COUNTA([1]characters!$A:$A),MATCH("タイプ",[1]characters!$1:$1,0)-MATCH($F$1,[1]characters!$2:$2,0)+2),MATCH("タイプ",[1]characters!$1:$1,0)-MATCH($F$1,[1]characters!$2:$2,0)+2,FALSE)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0" s="10" t="str">
        <f ca="1">VLOOKUP($F160,OFFSET([1]characters!$A$2,0,0,COUNTA([1]characters!$A:$A),MATCH($L$1,[1]characters!$1:$1,0)-MATCH($F$1,[1]characters!$2:$2,0)+2),MATCH($L$1,[1]characters!$1:$1,0)-MATCH($F$1,[1]characters!$2:$2,0)+2,FALSE)</f>
        <v>ヒューマン</v>
      </c>
      <c r="M160" s="6">
        <v>1</v>
      </c>
      <c r="N160" s="40">
        <f ca="1">VLOOKUP(D160,gacha_133_base!A:B,2,FALSE)</f>
        <v>801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si="4"/>
        <v>01411</v>
      </c>
      <c r="B161" s="2">
        <f t="shared" si="17"/>
        <v>133</v>
      </c>
      <c r="C161" s="10" t="str">
        <f t="shared" ca="1" si="15"/>
        <v>0PremiumW4</v>
      </c>
      <c r="D161" s="10" t="str">
        <f t="shared" ca="1" si="16"/>
        <v>0PremiumW4</v>
      </c>
      <c r="E161" s="6">
        <v>0</v>
      </c>
      <c r="F161" s="7">
        <v>141</v>
      </c>
      <c r="G161" s="10" t="str">
        <f ca="1">VLOOKUP($F161,OFFSET([1]characters!$A$2,0,0,COUNTA([1]characters!$A:$A),MATCH(G$1,[1]characters!$2:$2,0)-MATCH($F$1,[1]characters!$2:$2,0)+1),MATCH(G$1,[1]characters!$2:$2,0)-MATCH($F$1,[1]characters!$2:$2,0)+1,FALSE)</f>
        <v>妖狐演舞 タマモ</v>
      </c>
      <c r="H161" s="10" t="str">
        <f ca="1">VLOOKUP($F161,OFFSET([1]characters!$A$2,0,0,COUNTA([1]characters!$A:$A),MATCH(H$1,[1]characters!$2:$2,0)-MATCH($F$1,[1]characters!$2:$2,0)+1),MATCH(H$1,[1]characters!$2:$2,0)-MATCH($F$1,[1]characters!$2:$2,0)+1,FALSE)</f>
        <v>PremiumW</v>
      </c>
      <c r="I161" s="10">
        <f ca="1">VLOOKUP($F161,OFFSET([1]characters!$A$2,0,0,COUNTA([1]characters!$A:$A),MATCH(I$1,[1]characters!$2:$2,0)-MATCH($F$1,[1]characters!$2:$2,0)+1),MATCH(I$1,[1]characters!$2:$2,0)-MATCH($F$1,[1]characters!$2:$2,0)+1,FALSE)</f>
        <v>4</v>
      </c>
      <c r="J161" s="10" t="str">
        <f ca="1">VLOOKUP($F161,OFFSET([1]characters!$A$2,0,0,COUNTA([1]characters!$A:$A),MATCH(J$1,[1]characters!$2:$2,0)-MATCH($F$1,[1]characters!$2:$2,0)+1),MATCH(J$1,[1]characters!$2:$2,0)-MATCH($F$1,[1]characters!$2:$2,0)+1,FALSE)</f>
        <v>yellow</v>
      </c>
      <c r="K161" s="10" t="str">
        <f ca="1">VLOOKUP($F161,OFFSET([1]characters!$A$2,0,0,COUNTA([1]characters!$A:$A),MATCH("タイプ",[1]characters!$1:$1,0)-MATCH($F$1,[1]characters!$2:$2,0)+2),MATCH("タイプ",[1]characters!$1:$1,0)-MATCH($F$1,[1]characters!$2:$2,0)+2,FALSE)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1" s="10" t="str">
        <f ca="1">VLOOKUP($F161,OFFSET([1]characters!$A$2,0,0,COUNTA([1]characters!$A:$A),MATCH($L$1,[1]characters!$1:$1,0)-MATCH($F$1,[1]characters!$2:$2,0)+2),MATCH($L$1,[1]characters!$1:$1,0)-MATCH($F$1,[1]characters!$2:$2,0)+2,FALSE)</f>
        <v>アニマル</v>
      </c>
      <c r="M161" s="6">
        <v>1</v>
      </c>
      <c r="N161" s="40">
        <f ca="1">VLOOKUP(D161,gacha_133_base!A:B,2,FALSE)</f>
        <v>801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4"/>
        <v>01431</v>
      </c>
      <c r="B162" s="2">
        <f t="shared" si="17"/>
        <v>133</v>
      </c>
      <c r="C162" s="10" t="str">
        <f t="shared" ca="1" si="15"/>
        <v>0PremiumW4</v>
      </c>
      <c r="D162" s="10" t="str">
        <f t="shared" ca="1" si="16"/>
        <v>0PremiumW4</v>
      </c>
      <c r="E162" s="6">
        <v>0</v>
      </c>
      <c r="F162" s="7">
        <v>143</v>
      </c>
      <c r="G162" s="10" t="str">
        <f ca="1">VLOOKUP($F162,OFFSET([1]characters!$A$2,0,0,COUNTA([1]characters!$A:$A),MATCH(G$1,[1]characters!$2:$2,0)-MATCH($F$1,[1]characters!$2:$2,0)+1),MATCH(G$1,[1]characters!$2:$2,0)-MATCH($F$1,[1]characters!$2:$2,0)+1,FALSE)</f>
        <v>深紅の死神 赤ずきん</v>
      </c>
      <c r="H162" s="10" t="str">
        <f ca="1">VLOOKUP($F162,OFFSET([1]characters!$A$2,0,0,COUNTA([1]characters!$A:$A),MATCH(H$1,[1]characters!$2:$2,0)-MATCH($F$1,[1]characters!$2:$2,0)+1),MATCH(H$1,[1]characters!$2:$2,0)-MATCH($F$1,[1]characters!$2:$2,0)+1,FALSE)</f>
        <v>PremiumW</v>
      </c>
      <c r="I162" s="10">
        <f ca="1">VLOOKUP($F162,OFFSET([1]characters!$A$2,0,0,COUNTA([1]characters!$A:$A),MATCH(I$1,[1]characters!$2:$2,0)-MATCH($F$1,[1]characters!$2:$2,0)+1),MATCH(I$1,[1]characters!$2:$2,0)-MATCH($F$1,[1]characters!$2:$2,0)+1,FALSE)</f>
        <v>4</v>
      </c>
      <c r="J162" s="10" t="str">
        <f ca="1">VLOOKUP($F162,OFFSET([1]characters!$A$2,0,0,COUNTA([1]characters!$A:$A),MATCH(J$1,[1]characters!$2:$2,0)-MATCH($F$1,[1]characters!$2:$2,0)+1),MATCH(J$1,[1]characters!$2:$2,0)-MATCH($F$1,[1]characters!$2:$2,0)+1,FALSE)</f>
        <v>red</v>
      </c>
      <c r="K162" s="10" t="str">
        <f ca="1">VLOOKUP($F162,OFFSET([1]characters!$A$2,0,0,COUNTA([1]characters!$A:$A),MATCH("タイプ",[1]characters!$1:$1,0)-MATCH($F$1,[1]characters!$2:$2,0)+2),MATCH("タイプ",[1]characters!$1:$1,0)-MATCH($F$1,[1]characters!$2:$2,0)+2,FALSE)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2" s="10" t="str">
        <f ca="1">VLOOKUP($F162,OFFSET([1]characters!$A$2,0,0,COUNTA([1]characters!$A:$A),MATCH($L$1,[1]characters!$1:$1,0)-MATCH($F$1,[1]characters!$2:$2,0)+2),MATCH($L$1,[1]characters!$1:$1,0)-MATCH($F$1,[1]characters!$2:$2,0)+2,FALSE)</f>
        <v>ヒューマン</v>
      </c>
      <c r="M162" s="6">
        <v>1</v>
      </c>
      <c r="N162" s="40">
        <f ca="1">VLOOKUP(D162,gacha_133_base!A:B,2,FALSE)</f>
        <v>801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ref="A163:A226" si="18">E163&amp;F163&amp;M163</f>
        <v>01451</v>
      </c>
      <c r="B163" s="2">
        <f t="shared" si="17"/>
        <v>133</v>
      </c>
      <c r="C163" s="10" t="str">
        <f t="shared" ca="1" si="15"/>
        <v>0PremiumW4</v>
      </c>
      <c r="D163" s="10" t="str">
        <f t="shared" ca="1" si="16"/>
        <v>0PremiumW4</v>
      </c>
      <c r="E163" s="6">
        <v>0</v>
      </c>
      <c r="F163" s="7">
        <v>145</v>
      </c>
      <c r="G163" s="10" t="str">
        <f ca="1">VLOOKUP($F163,OFFSET([1]characters!$A$2,0,0,COUNTA([1]characters!$A:$A),MATCH(G$1,[1]characters!$2:$2,0)-MATCH($F$1,[1]characters!$2:$2,0)+1),MATCH(G$1,[1]characters!$2:$2,0)-MATCH($F$1,[1]characters!$2:$2,0)+1,FALSE)</f>
        <v>魔性妖艶 かぐや</v>
      </c>
      <c r="H163" s="10" t="str">
        <f ca="1">VLOOKUP($F163,OFFSET([1]characters!$A$2,0,0,COUNTA([1]characters!$A:$A),MATCH(H$1,[1]characters!$2:$2,0)-MATCH($F$1,[1]characters!$2:$2,0)+1),MATCH(H$1,[1]characters!$2:$2,0)-MATCH($F$1,[1]characters!$2:$2,0)+1,FALSE)</f>
        <v>PremiumW</v>
      </c>
      <c r="I163" s="10">
        <f ca="1">VLOOKUP($F163,OFFSET([1]characters!$A$2,0,0,COUNTA([1]characters!$A:$A),MATCH(I$1,[1]characters!$2:$2,0)-MATCH($F$1,[1]characters!$2:$2,0)+1),MATCH(I$1,[1]characters!$2:$2,0)-MATCH($F$1,[1]characters!$2:$2,0)+1,FALSE)</f>
        <v>4</v>
      </c>
      <c r="J163" s="10" t="str">
        <f ca="1">VLOOKUP($F163,OFFSET([1]characters!$A$2,0,0,COUNTA([1]characters!$A:$A),MATCH(J$1,[1]characters!$2:$2,0)-MATCH($F$1,[1]characters!$2:$2,0)+1),MATCH(J$1,[1]characters!$2:$2,0)-MATCH($F$1,[1]characters!$2:$2,0)+1,FALSE)</f>
        <v>green</v>
      </c>
      <c r="K163" s="10" t="str">
        <f ca="1">VLOOKUP($F163,OFFSET([1]characters!$A$2,0,0,COUNTA([1]characters!$A:$A),MATCH("タイプ",[1]characters!$1:$1,0)-MATCH($F$1,[1]characters!$2:$2,0)+2),MATCH("タイプ",[1]characters!$1:$1,0)-MATCH($F$1,[1]characters!$2:$2,0)+2,FALSE)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63" s="10" t="str">
        <f ca="1">VLOOKUP($F163,OFFSET([1]characters!$A$2,0,0,COUNTA([1]characters!$A:$A),MATCH($L$1,[1]characters!$1:$1,0)-MATCH($F$1,[1]characters!$2:$2,0)+2),MATCH($L$1,[1]characters!$1:$1,0)-MATCH($F$1,[1]characters!$2:$2,0)+2,FALSE)</f>
        <v>ヒューマン</v>
      </c>
      <c r="M163" s="6">
        <v>1</v>
      </c>
      <c r="N163" s="40">
        <f ca="1">VLOOKUP(D163,gacha_133_base!A:B,2,FALSE)</f>
        <v>801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ht="21" customHeight="1">
      <c r="A164" s="8" t="str">
        <f t="shared" si="18"/>
        <v>01471</v>
      </c>
      <c r="B164" s="2">
        <f t="shared" si="17"/>
        <v>133</v>
      </c>
      <c r="C164" s="10" t="str">
        <f t="shared" ca="1" si="15"/>
        <v>0PremiumW4</v>
      </c>
      <c r="D164" s="10" t="str">
        <f t="shared" ca="1" si="16"/>
        <v>0PremiumW4</v>
      </c>
      <c r="E164" s="6">
        <v>0</v>
      </c>
      <c r="F164" s="7">
        <v>147</v>
      </c>
      <c r="G164" s="10" t="str">
        <f ca="1">VLOOKUP($F164,OFFSET([1]characters!$A$2,0,0,COUNTA([1]characters!$A:$A),MATCH(G$1,[1]characters!$2:$2,0)-MATCH($F$1,[1]characters!$2:$2,0)+1),MATCH(G$1,[1]characters!$2:$2,0)-MATCH($F$1,[1]characters!$2:$2,0)+1,FALSE)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64" s="10" t="str">
        <f ca="1">VLOOKUP($F164,OFFSET([1]characters!$A$2,0,0,COUNTA([1]characters!$A:$A),MATCH(H$1,[1]characters!$2:$2,0)-MATCH($F$1,[1]characters!$2:$2,0)+1),MATCH(H$1,[1]characters!$2:$2,0)-MATCH($F$1,[1]characters!$2:$2,0)+1,FALSE)</f>
        <v>PremiumW</v>
      </c>
      <c r="I164" s="10">
        <f ca="1">VLOOKUP($F164,OFFSET([1]characters!$A$2,0,0,COUNTA([1]characters!$A:$A),MATCH(I$1,[1]characters!$2:$2,0)-MATCH($F$1,[1]characters!$2:$2,0)+1),MATCH(I$1,[1]characters!$2:$2,0)-MATCH($F$1,[1]characters!$2:$2,0)+1,FALSE)</f>
        <v>4</v>
      </c>
      <c r="J164" s="10" t="str">
        <f ca="1">VLOOKUP($F164,OFFSET([1]characters!$A$2,0,0,COUNTA([1]characters!$A:$A),MATCH(J$1,[1]characters!$2:$2,0)-MATCH($F$1,[1]characters!$2:$2,0)+1),MATCH(J$1,[1]characters!$2:$2,0)-MATCH($F$1,[1]characters!$2:$2,0)+1,FALSE)</f>
        <v>blue</v>
      </c>
      <c r="K164" s="10" t="str">
        <f ca="1">VLOOKUP($F164,OFFSET([1]characters!$A$2,0,0,COUNTA([1]characters!$A:$A),MATCH("タイプ",[1]characters!$1:$1,0)-MATCH($F$1,[1]characters!$2:$2,0)+2),MATCH("タイプ",[1]characters!$1:$1,0)-MATCH($F$1,[1]characters!$2:$2,0)+2,FALSE)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64" s="10" t="str">
        <f ca="1">VLOOKUP($F164,OFFSET([1]characters!$A$2,0,0,COUNTA([1]characters!$A:$A),MATCH($L$1,[1]characters!$1:$1,0)-MATCH($F$1,[1]characters!$2:$2,0)+2),MATCH($L$1,[1]characters!$1:$1,0)-MATCH($F$1,[1]characters!$2:$2,0)+2,FALSE)</f>
        <v>ヒューマン</v>
      </c>
      <c r="M164" s="6">
        <v>1</v>
      </c>
      <c r="N164" s="40">
        <f ca="1">VLOOKUP(D164,gacha_133_base!A:B,2,FALSE)</f>
        <v>801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ht="21" customHeight="1">
      <c r="A165" s="8" t="str">
        <f t="shared" si="18"/>
        <v>01491</v>
      </c>
      <c r="B165" s="2">
        <f t="shared" si="17"/>
        <v>133</v>
      </c>
      <c r="C165" s="10" t="str">
        <f t="shared" ca="1" si="15"/>
        <v>0PremiumW4</v>
      </c>
      <c r="D165" s="10" t="str">
        <f t="shared" ca="1" si="16"/>
        <v>0PremiumW4</v>
      </c>
      <c r="E165" s="6">
        <v>0</v>
      </c>
      <c r="F165" s="7">
        <v>149</v>
      </c>
      <c r="G165" s="10" t="str">
        <f ca="1">VLOOKUP($F165,OFFSET([1]characters!$A$2,0,0,COUNTA([1]characters!$A:$A),MATCH(G$1,[1]characters!$2:$2,0)-MATCH($F$1,[1]characters!$2:$2,0)+1),MATCH(G$1,[1]characters!$2:$2,0)-MATCH($F$1,[1]characters!$2:$2,0)+1,FALSE)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65" s="10" t="str">
        <f ca="1">VLOOKUP($F165,OFFSET([1]characters!$A$2,0,0,COUNTA([1]characters!$A:$A),MATCH(H$1,[1]characters!$2:$2,0)-MATCH($F$1,[1]characters!$2:$2,0)+1),MATCH(H$1,[1]characters!$2:$2,0)-MATCH($F$1,[1]characters!$2:$2,0)+1,FALSE)</f>
        <v>PremiumW</v>
      </c>
      <c r="I165" s="10">
        <f ca="1">VLOOKUP($F165,OFFSET([1]characters!$A$2,0,0,COUNTA([1]characters!$A:$A),MATCH(I$1,[1]characters!$2:$2,0)-MATCH($F$1,[1]characters!$2:$2,0)+1),MATCH(I$1,[1]characters!$2:$2,0)-MATCH($F$1,[1]characters!$2:$2,0)+1,FALSE)</f>
        <v>4</v>
      </c>
      <c r="J165" s="10" t="str">
        <f ca="1">VLOOKUP($F165,OFFSET([1]characters!$A$2,0,0,COUNTA([1]characters!$A:$A),MATCH(J$1,[1]characters!$2:$2,0)-MATCH($F$1,[1]characters!$2:$2,0)+1),MATCH(J$1,[1]characters!$2:$2,0)-MATCH($F$1,[1]characters!$2:$2,0)+1,FALSE)</f>
        <v>yellow</v>
      </c>
      <c r="K165" s="10" t="str">
        <f ca="1">VLOOKUP($F165,OFFSET([1]characters!$A$2,0,0,COUNTA([1]characters!$A:$A),MATCH("タイプ",[1]characters!$1:$1,0)-MATCH($F$1,[1]characters!$2:$2,0)+2),MATCH("タイプ",[1]characters!$1:$1,0)-MATCH($F$1,[1]characters!$2:$2,0)+2,FALSE)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5" s="10" t="str">
        <f ca="1">VLOOKUP($F165,OFFSET([1]characters!$A$2,0,0,COUNTA([1]characters!$A:$A),MATCH($L$1,[1]characters!$1:$1,0)-MATCH($F$1,[1]characters!$2:$2,0)+2),MATCH($L$1,[1]characters!$1:$1,0)-MATCH($F$1,[1]characters!$2:$2,0)+2,FALSE)</f>
        <v>ヒューマン</v>
      </c>
      <c r="M165" s="6">
        <v>1</v>
      </c>
      <c r="N165" s="40">
        <f ca="1">VLOOKUP(D165,gacha_133_base!A:B,2,FALSE)</f>
        <v>801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>
      <c r="A166" s="8" t="str">
        <f t="shared" si="18"/>
        <v>01511</v>
      </c>
      <c r="B166" s="2">
        <f t="shared" si="17"/>
        <v>133</v>
      </c>
      <c r="C166" s="10" t="str">
        <f t="shared" ca="1" si="15"/>
        <v>0PremiumW4</v>
      </c>
      <c r="D166" s="10" t="str">
        <f t="shared" ca="1" si="16"/>
        <v>0PremiumW4</v>
      </c>
      <c r="E166" s="6">
        <v>0</v>
      </c>
      <c r="F166" s="7">
        <v>151</v>
      </c>
      <c r="G166" s="10" t="str">
        <f ca="1">VLOOKUP($F166,OFFSET([1]characters!$A$2,0,0,COUNTA([1]characters!$A:$A),MATCH(G$1,[1]characters!$2:$2,0)-MATCH($F$1,[1]characters!$2:$2,0)+1),MATCH(G$1,[1]characters!$2:$2,0)-MATCH($F$1,[1]characters!$2:$2,0)+1,FALSE)</f>
        <v>毒煙の処刑人サキ</v>
      </c>
      <c r="H166" s="10" t="str">
        <f ca="1">VLOOKUP($F166,OFFSET([1]characters!$A$2,0,0,COUNTA([1]characters!$A:$A),MATCH(H$1,[1]characters!$2:$2,0)-MATCH($F$1,[1]characters!$2:$2,0)+1),MATCH(H$1,[1]characters!$2:$2,0)-MATCH($F$1,[1]characters!$2:$2,0)+1,FALSE)</f>
        <v>PremiumW</v>
      </c>
      <c r="I166" s="10">
        <f ca="1">VLOOKUP($F166,OFFSET([1]characters!$A$2,0,0,COUNTA([1]characters!$A:$A),MATCH(I$1,[1]characters!$2:$2,0)-MATCH($F$1,[1]characters!$2:$2,0)+1),MATCH(I$1,[1]characters!$2:$2,0)-MATCH($F$1,[1]characters!$2:$2,0)+1,FALSE)</f>
        <v>4</v>
      </c>
      <c r="J166" s="10" t="str">
        <f ca="1">VLOOKUP($F166,OFFSET([1]characters!$A$2,0,0,COUNTA([1]characters!$A:$A),MATCH(J$1,[1]characters!$2:$2,0)-MATCH($F$1,[1]characters!$2:$2,0)+1),MATCH(J$1,[1]characters!$2:$2,0)-MATCH($F$1,[1]characters!$2:$2,0)+1,FALSE)</f>
        <v>red</v>
      </c>
      <c r="K166" s="10" t="str">
        <f ca="1">VLOOKUP($F166,OFFSET([1]characters!$A$2,0,0,COUNTA([1]characters!$A:$A),MATCH("タイプ",[1]characters!$1:$1,0)-MATCH($F$1,[1]characters!$2:$2,0)+2),MATCH("タイプ",[1]characters!$1:$1,0)-MATCH($F$1,[1]characters!$2:$2,0)+2,FALSE)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66" s="10" t="str">
        <f ca="1">VLOOKUP($F166,OFFSET([1]characters!$A$2,0,0,COUNTA([1]characters!$A:$A),MATCH($L$1,[1]characters!$1:$1,0)-MATCH($F$1,[1]characters!$2:$2,0)+2),MATCH($L$1,[1]characters!$1:$1,0)-MATCH($F$1,[1]characters!$2:$2,0)+2,FALSE)</f>
        <v>ヒューマン</v>
      </c>
      <c r="M166" s="6">
        <v>1</v>
      </c>
      <c r="N166" s="40">
        <f ca="1">VLOOKUP(D166,gacha_133_base!A:B,2,FALSE)</f>
        <v>801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>
      <c r="A167" s="8" t="str">
        <f t="shared" si="18"/>
        <v>01531</v>
      </c>
      <c r="B167" s="2">
        <f t="shared" si="17"/>
        <v>133</v>
      </c>
      <c r="C167" s="10" t="str">
        <f t="shared" ca="1" si="15"/>
        <v>0PremiumW4</v>
      </c>
      <c r="D167" s="10" t="str">
        <f t="shared" ca="1" si="16"/>
        <v>0PremiumW4</v>
      </c>
      <c r="E167" s="6">
        <v>0</v>
      </c>
      <c r="F167" s="7">
        <v>153</v>
      </c>
      <c r="G167" s="10" t="str">
        <f ca="1">VLOOKUP($F167,OFFSET([1]characters!$A$2,0,0,COUNTA([1]characters!$A:$A),MATCH(G$1,[1]characters!$2:$2,0)-MATCH($F$1,[1]characters!$2:$2,0)+1),MATCH(G$1,[1]characters!$2:$2,0)-MATCH($F$1,[1]characters!$2:$2,0)+1,FALSE)</f>
        <v>拳聖ランラン</v>
      </c>
      <c r="H167" s="10" t="str">
        <f ca="1">VLOOKUP($F167,OFFSET([1]characters!$A$2,0,0,COUNTA([1]characters!$A:$A),MATCH(H$1,[1]characters!$2:$2,0)-MATCH($F$1,[1]characters!$2:$2,0)+1),MATCH(H$1,[1]characters!$2:$2,0)-MATCH($F$1,[1]characters!$2:$2,0)+1,FALSE)</f>
        <v>PremiumW</v>
      </c>
      <c r="I167" s="10">
        <f ca="1">VLOOKUP($F167,OFFSET([1]characters!$A$2,0,0,COUNTA([1]characters!$A:$A),MATCH(I$1,[1]characters!$2:$2,0)-MATCH($F$1,[1]characters!$2:$2,0)+1),MATCH(I$1,[1]characters!$2:$2,0)-MATCH($F$1,[1]characters!$2:$2,0)+1,FALSE)</f>
        <v>4</v>
      </c>
      <c r="J167" s="10" t="str">
        <f ca="1">VLOOKUP($F167,OFFSET([1]characters!$A$2,0,0,COUNTA([1]characters!$A:$A),MATCH(J$1,[1]characters!$2:$2,0)-MATCH($F$1,[1]characters!$2:$2,0)+1),MATCH(J$1,[1]characters!$2:$2,0)-MATCH($F$1,[1]characters!$2:$2,0)+1,FALSE)</f>
        <v>green</v>
      </c>
      <c r="K167" s="10" t="str">
        <f ca="1">VLOOKUP($F167,OFFSET([1]characters!$A$2,0,0,COUNTA([1]characters!$A:$A),MATCH("タイプ",[1]characters!$1:$1,0)-MATCH($F$1,[1]characters!$2:$2,0)+2),MATCH("タイプ",[1]characters!$1:$1,0)-MATCH($F$1,[1]characters!$2:$2,0)+2,FALSE)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7" s="10" t="str">
        <f ca="1">VLOOKUP($F167,OFFSET([1]characters!$A$2,0,0,COUNTA([1]characters!$A:$A),MATCH($L$1,[1]characters!$1:$1,0)-MATCH($F$1,[1]characters!$2:$2,0)+2),MATCH($L$1,[1]characters!$1:$1,0)-MATCH($F$1,[1]characters!$2:$2,0)+2,FALSE)</f>
        <v>ヒューマン</v>
      </c>
      <c r="M167" s="6">
        <v>1</v>
      </c>
      <c r="N167" s="40">
        <f ca="1">VLOOKUP(D167,gacha_133_base!A:B,2,FALSE)</f>
        <v>801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>
      <c r="A168" s="8" t="str">
        <f t="shared" si="18"/>
        <v>01551</v>
      </c>
      <c r="B168" s="2">
        <f t="shared" si="17"/>
        <v>133</v>
      </c>
      <c r="C168" s="10" t="str">
        <f t="shared" ca="1" si="15"/>
        <v>0PremiumW4</v>
      </c>
      <c r="D168" s="10" t="str">
        <f t="shared" ca="1" si="16"/>
        <v>0PremiumW4</v>
      </c>
      <c r="E168" s="6">
        <v>0</v>
      </c>
      <c r="F168" s="7">
        <v>155</v>
      </c>
      <c r="G168" s="10" t="str">
        <f ca="1">VLOOKUP($F168,OFFSET([1]characters!$A$2,0,0,COUNTA([1]characters!$A:$A),MATCH(G$1,[1]characters!$2:$2,0)-MATCH($F$1,[1]characters!$2:$2,0)+1),MATCH(G$1,[1]characters!$2:$2,0)-MATCH($F$1,[1]characters!$2:$2,0)+1,FALSE)</f>
        <v>隻眼の掃除屋 ハンナ</v>
      </c>
      <c r="H168" s="10" t="str">
        <f ca="1">VLOOKUP($F168,OFFSET([1]characters!$A$2,0,0,COUNTA([1]characters!$A:$A),MATCH(H$1,[1]characters!$2:$2,0)-MATCH($F$1,[1]characters!$2:$2,0)+1),MATCH(H$1,[1]characters!$2:$2,0)-MATCH($F$1,[1]characters!$2:$2,0)+1,FALSE)</f>
        <v>PremiumW</v>
      </c>
      <c r="I168" s="10">
        <f ca="1">VLOOKUP($F168,OFFSET([1]characters!$A$2,0,0,COUNTA([1]characters!$A:$A),MATCH(I$1,[1]characters!$2:$2,0)-MATCH($F$1,[1]characters!$2:$2,0)+1),MATCH(I$1,[1]characters!$2:$2,0)-MATCH($F$1,[1]characters!$2:$2,0)+1,FALSE)</f>
        <v>4</v>
      </c>
      <c r="J168" s="10" t="str">
        <f ca="1">VLOOKUP($F168,OFFSET([1]characters!$A$2,0,0,COUNTA([1]characters!$A:$A),MATCH(J$1,[1]characters!$2:$2,0)-MATCH($F$1,[1]characters!$2:$2,0)+1),MATCH(J$1,[1]characters!$2:$2,0)-MATCH($F$1,[1]characters!$2:$2,0)+1,FALSE)</f>
        <v>blue</v>
      </c>
      <c r="K168" s="10" t="str">
        <f ca="1">VLOOKUP($F168,OFFSET([1]characters!$A$2,0,0,COUNTA([1]characters!$A:$A),MATCH("タイプ",[1]characters!$1:$1,0)-MATCH($F$1,[1]characters!$2:$2,0)+2),MATCH("タイプ",[1]characters!$1:$1,0)-MATCH($F$1,[1]characters!$2:$2,0)+2,FALSE)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8" s="10" t="str">
        <f ca="1">VLOOKUP($F168,OFFSET([1]characters!$A$2,0,0,COUNTA([1]characters!$A:$A),MATCH($L$1,[1]characters!$1:$1,0)-MATCH($F$1,[1]characters!$2:$2,0)+2),MATCH($L$1,[1]characters!$1:$1,0)-MATCH($F$1,[1]characters!$2:$2,0)+2,FALSE)</f>
        <v>ヒューマン</v>
      </c>
      <c r="M168" s="6">
        <v>1</v>
      </c>
      <c r="N168" s="40">
        <f ca="1">VLOOKUP(D168,gacha_133_base!A:B,2,FALSE)</f>
        <v>801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>
      <c r="A169" s="8" t="str">
        <f t="shared" si="18"/>
        <v>01571</v>
      </c>
      <c r="B169" s="2">
        <f t="shared" si="17"/>
        <v>133</v>
      </c>
      <c r="C169" s="10" t="str">
        <f t="shared" ca="1" si="15"/>
        <v>0PremiumW4</v>
      </c>
      <c r="D169" s="10" t="str">
        <f t="shared" ca="1" si="16"/>
        <v>0PremiumW4</v>
      </c>
      <c r="E169" s="6">
        <v>0</v>
      </c>
      <c r="F169" s="7">
        <v>157</v>
      </c>
      <c r="G169" s="10" t="str">
        <f ca="1">VLOOKUP($F169,OFFSET([1]characters!$A$2,0,0,COUNTA([1]characters!$A:$A),MATCH(G$1,[1]characters!$2:$2,0)-MATCH($F$1,[1]characters!$2:$2,0)+1),MATCH(G$1,[1]characters!$2:$2,0)-MATCH($F$1,[1]characters!$2:$2,0)+1,FALSE)</f>
        <v>雷光舞姫 エレナ</v>
      </c>
      <c r="H169" s="10" t="str">
        <f ca="1">VLOOKUP($F169,OFFSET([1]characters!$A$2,0,0,COUNTA([1]characters!$A:$A),MATCH(H$1,[1]characters!$2:$2,0)-MATCH($F$1,[1]characters!$2:$2,0)+1),MATCH(H$1,[1]characters!$2:$2,0)-MATCH($F$1,[1]characters!$2:$2,0)+1,FALSE)</f>
        <v>PremiumW</v>
      </c>
      <c r="I169" s="10">
        <f ca="1">VLOOKUP($F169,OFFSET([1]characters!$A$2,0,0,COUNTA([1]characters!$A:$A),MATCH(I$1,[1]characters!$2:$2,0)-MATCH($F$1,[1]characters!$2:$2,0)+1),MATCH(I$1,[1]characters!$2:$2,0)-MATCH($F$1,[1]characters!$2:$2,0)+1,FALSE)</f>
        <v>4</v>
      </c>
      <c r="J169" s="10" t="str">
        <f ca="1">VLOOKUP($F169,OFFSET([1]characters!$A$2,0,0,COUNTA([1]characters!$A:$A),MATCH(J$1,[1]characters!$2:$2,0)-MATCH($F$1,[1]characters!$2:$2,0)+1),MATCH(J$1,[1]characters!$2:$2,0)-MATCH($F$1,[1]characters!$2:$2,0)+1,FALSE)</f>
        <v>yellow</v>
      </c>
      <c r="K169" s="10" t="str">
        <f ca="1">VLOOKUP($F169,OFFSET([1]characters!$A$2,0,0,COUNTA([1]characters!$A:$A),MATCH("タイプ",[1]characters!$1:$1,0)-MATCH($F$1,[1]characters!$2:$2,0)+2),MATCH("タイプ",[1]characters!$1:$1,0)-MATCH($F$1,[1]characters!$2:$2,0)+2,FALSE)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9" s="10" t="str">
        <f ca="1">VLOOKUP($F169,OFFSET([1]characters!$A$2,0,0,COUNTA([1]characters!$A:$A),MATCH($L$1,[1]characters!$1:$1,0)-MATCH($F$1,[1]characters!$2:$2,0)+2),MATCH($L$1,[1]characters!$1:$1,0)-MATCH($F$1,[1]characters!$2:$2,0)+2,FALSE)</f>
        <v>ヒューマン</v>
      </c>
      <c r="M169" s="6">
        <v>1</v>
      </c>
      <c r="N169" s="40">
        <f ca="1">VLOOKUP(D169,gacha_133_base!A:B,2,FALSE)</f>
        <v>801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>
      <c r="A170" s="8" t="str">
        <f t="shared" si="18"/>
        <v>01591</v>
      </c>
      <c r="B170" s="2">
        <f t="shared" si="17"/>
        <v>133</v>
      </c>
      <c r="C170" s="10" t="str">
        <f t="shared" ca="1" si="15"/>
        <v>0PremiumW4</v>
      </c>
      <c r="D170" s="10" t="str">
        <f t="shared" ca="1" si="16"/>
        <v>0PremiumW4</v>
      </c>
      <c r="E170" s="6">
        <v>0</v>
      </c>
      <c r="F170" s="7">
        <v>159</v>
      </c>
      <c r="G170" s="10" t="str">
        <f ca="1">VLOOKUP($F170,OFFSET([1]characters!$A$2,0,0,COUNTA([1]characters!$A:$A),MATCH(G$1,[1]characters!$2:$2,0)-MATCH($F$1,[1]characters!$2:$2,0)+1),MATCH(G$1,[1]characters!$2:$2,0)-MATCH($F$1,[1]characters!$2:$2,0)+1,FALSE)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70" s="10" t="str">
        <f ca="1">VLOOKUP($F170,OFFSET([1]characters!$A$2,0,0,COUNTA([1]characters!$A:$A),MATCH(H$1,[1]characters!$2:$2,0)-MATCH($F$1,[1]characters!$2:$2,0)+1),MATCH(H$1,[1]characters!$2:$2,0)-MATCH($F$1,[1]characters!$2:$2,0)+1,FALSE)</f>
        <v>PremiumW</v>
      </c>
      <c r="I170" s="10">
        <f ca="1">VLOOKUP($F170,OFFSET([1]characters!$A$2,0,0,COUNTA([1]characters!$A:$A),MATCH(I$1,[1]characters!$2:$2,0)-MATCH($F$1,[1]characters!$2:$2,0)+1),MATCH(I$1,[1]characters!$2:$2,0)-MATCH($F$1,[1]characters!$2:$2,0)+1,FALSE)</f>
        <v>4</v>
      </c>
      <c r="J170" s="10" t="str">
        <f ca="1">VLOOKUP($F170,OFFSET([1]characters!$A$2,0,0,COUNTA([1]characters!$A:$A),MATCH(J$1,[1]characters!$2:$2,0)-MATCH($F$1,[1]characters!$2:$2,0)+1),MATCH(J$1,[1]characters!$2:$2,0)-MATCH($F$1,[1]characters!$2:$2,0)+1,FALSE)</f>
        <v>red</v>
      </c>
      <c r="K170" s="10" t="str">
        <f ca="1">VLOOKUP($F170,OFFSET([1]characters!$A$2,0,0,COUNTA([1]characters!$A:$A),MATCH("タイプ",[1]characters!$1:$1,0)-MATCH($F$1,[1]characters!$2:$2,0)+2),MATCH("タイプ",[1]characters!$1:$1,0)-MATCH($F$1,[1]characters!$2:$2,0)+2,FALSE)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0" s="10" t="str">
        <f ca="1">VLOOKUP($F170,OFFSET([1]characters!$A$2,0,0,COUNTA([1]characters!$A:$A),MATCH($L$1,[1]characters!$1:$1,0)-MATCH($F$1,[1]characters!$2:$2,0)+2),MATCH($L$1,[1]characters!$1:$1,0)-MATCH($F$1,[1]characters!$2:$2,0)+2,FALSE)</f>
        <v>ヒューマン</v>
      </c>
      <c r="M170" s="6">
        <v>1</v>
      </c>
      <c r="N170" s="40">
        <f ca="1">VLOOKUP(D170,gacha_133_base!A:B,2,FALSE)</f>
        <v>801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>
      <c r="A171" s="8" t="str">
        <f t="shared" si="18"/>
        <v>01611</v>
      </c>
      <c r="B171" s="2">
        <f t="shared" si="17"/>
        <v>133</v>
      </c>
      <c r="C171" s="10" t="str">
        <f t="shared" ca="1" si="15"/>
        <v>0PremiumW4</v>
      </c>
      <c r="D171" s="10" t="str">
        <f t="shared" ca="1" si="16"/>
        <v>0PremiumW4</v>
      </c>
      <c r="E171" s="6">
        <v>0</v>
      </c>
      <c r="F171" s="7">
        <v>161</v>
      </c>
      <c r="G171" s="10" t="str">
        <f ca="1">VLOOKUP($F171,OFFSET([1]characters!$A$2,0,0,COUNTA([1]characters!$A:$A),MATCH(G$1,[1]characters!$2:$2,0)-MATCH($F$1,[1]characters!$2:$2,0)+1),MATCH(G$1,[1]characters!$2:$2,0)-MATCH($F$1,[1]characters!$2:$2,0)+1,FALSE)</f>
        <v>咆哮の先導者 クリエ</v>
      </c>
      <c r="H171" s="10" t="str">
        <f ca="1">VLOOKUP($F171,OFFSET([1]characters!$A$2,0,0,COUNTA([1]characters!$A:$A),MATCH(H$1,[1]characters!$2:$2,0)-MATCH($F$1,[1]characters!$2:$2,0)+1),MATCH(H$1,[1]characters!$2:$2,0)-MATCH($F$1,[1]characters!$2:$2,0)+1,FALSE)</f>
        <v>PremiumW</v>
      </c>
      <c r="I171" s="10">
        <f ca="1">VLOOKUP($F171,OFFSET([1]characters!$A$2,0,0,COUNTA([1]characters!$A:$A),MATCH(I$1,[1]characters!$2:$2,0)-MATCH($F$1,[1]characters!$2:$2,0)+1),MATCH(I$1,[1]characters!$2:$2,0)-MATCH($F$1,[1]characters!$2:$2,0)+1,FALSE)</f>
        <v>4</v>
      </c>
      <c r="J171" s="10" t="str">
        <f ca="1">VLOOKUP($F171,OFFSET([1]characters!$A$2,0,0,COUNTA([1]characters!$A:$A),MATCH(J$1,[1]characters!$2:$2,0)-MATCH($F$1,[1]characters!$2:$2,0)+1),MATCH(J$1,[1]characters!$2:$2,0)-MATCH($F$1,[1]characters!$2:$2,0)+1,FALSE)</f>
        <v>green</v>
      </c>
      <c r="K171" s="10" t="str">
        <f ca="1">VLOOKUP($F171,OFFSET([1]characters!$A$2,0,0,COUNTA([1]characters!$A:$A),MATCH("タイプ",[1]characters!$1:$1,0)-MATCH($F$1,[1]characters!$2:$2,0)+2),MATCH("タイプ",[1]characters!$1:$1,0)-MATCH($F$1,[1]characters!$2:$2,0)+2,FALSE)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1" s="10" t="str">
        <f ca="1">VLOOKUP($F171,OFFSET([1]characters!$A$2,0,0,COUNTA([1]characters!$A:$A),MATCH($L$1,[1]characters!$1:$1,0)-MATCH($F$1,[1]characters!$2:$2,0)+2),MATCH($L$1,[1]characters!$1:$1,0)-MATCH($F$1,[1]characters!$2:$2,0)+2,FALSE)</f>
        <v>ヒューマン</v>
      </c>
      <c r="M171" s="6">
        <v>1</v>
      </c>
      <c r="N171" s="40">
        <f ca="1">VLOOKUP(D171,gacha_133_base!A:B,2,FALSE)</f>
        <v>801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>
      <c r="A172" s="8" t="str">
        <f t="shared" si="18"/>
        <v>01631</v>
      </c>
      <c r="B172" s="2">
        <f t="shared" si="17"/>
        <v>133</v>
      </c>
      <c r="C172" s="10" t="str">
        <f t="shared" ca="1" si="15"/>
        <v>0PremiumW4</v>
      </c>
      <c r="D172" s="10" t="str">
        <f t="shared" ca="1" si="16"/>
        <v>0PremiumW4</v>
      </c>
      <c r="E172" s="6">
        <v>0</v>
      </c>
      <c r="F172" s="7">
        <v>163</v>
      </c>
      <c r="G172" s="10" t="str">
        <f ca="1">VLOOKUP($F172,OFFSET([1]characters!$A$2,0,0,COUNTA([1]characters!$A:$A),MATCH(G$1,[1]characters!$2:$2,0)-MATCH($F$1,[1]characters!$2:$2,0)+1),MATCH(G$1,[1]characters!$2:$2,0)-MATCH($F$1,[1]characters!$2:$2,0)+1,FALSE)</f>
        <v>冷酷な狂嬢 クララ</v>
      </c>
      <c r="H172" s="10" t="str">
        <f ca="1">VLOOKUP($F172,OFFSET([1]characters!$A$2,0,0,COUNTA([1]characters!$A:$A),MATCH(H$1,[1]characters!$2:$2,0)-MATCH($F$1,[1]characters!$2:$2,0)+1),MATCH(H$1,[1]characters!$2:$2,0)-MATCH($F$1,[1]characters!$2:$2,0)+1,FALSE)</f>
        <v>PremiumW</v>
      </c>
      <c r="I172" s="10">
        <f ca="1">VLOOKUP($F172,OFFSET([1]characters!$A$2,0,0,COUNTA([1]characters!$A:$A),MATCH(I$1,[1]characters!$2:$2,0)-MATCH($F$1,[1]characters!$2:$2,0)+1),MATCH(I$1,[1]characters!$2:$2,0)-MATCH($F$1,[1]characters!$2:$2,0)+1,FALSE)</f>
        <v>4</v>
      </c>
      <c r="J172" s="10" t="str">
        <f ca="1">VLOOKUP($F172,OFFSET([1]characters!$A$2,0,0,COUNTA([1]characters!$A:$A),MATCH(J$1,[1]characters!$2:$2,0)-MATCH($F$1,[1]characters!$2:$2,0)+1),MATCH(J$1,[1]characters!$2:$2,0)-MATCH($F$1,[1]characters!$2:$2,0)+1,FALSE)</f>
        <v>blue</v>
      </c>
      <c r="K172" s="10" t="str">
        <f ca="1">VLOOKUP($F172,OFFSET([1]characters!$A$2,0,0,COUNTA([1]characters!$A:$A),MATCH("タイプ",[1]characters!$1:$1,0)-MATCH($F$1,[1]characters!$2:$2,0)+2),MATCH("タイプ",[1]characters!$1:$1,0)-MATCH($F$1,[1]characters!$2:$2,0)+2,FALSE)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2" s="10" t="str">
        <f ca="1">VLOOKUP($F172,OFFSET([1]characters!$A$2,0,0,COUNTA([1]characters!$A:$A),MATCH($L$1,[1]characters!$1:$1,0)-MATCH($F$1,[1]characters!$2:$2,0)+2),MATCH($L$1,[1]characters!$1:$1,0)-MATCH($F$1,[1]characters!$2:$2,0)+2,FALSE)</f>
        <v>ヒューマン</v>
      </c>
      <c r="M172" s="6">
        <v>1</v>
      </c>
      <c r="N172" s="40">
        <f ca="1">VLOOKUP(D172,gacha_133_base!A:B,2,FALSE)</f>
        <v>801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>
      <c r="A173" s="8" t="str">
        <f t="shared" si="18"/>
        <v>01651</v>
      </c>
      <c r="B173" s="2">
        <f t="shared" si="17"/>
        <v>133</v>
      </c>
      <c r="C173" s="10" t="str">
        <f t="shared" ca="1" si="15"/>
        <v>0PremiumW4</v>
      </c>
      <c r="D173" s="10" t="str">
        <f t="shared" ca="1" si="16"/>
        <v>0PremiumW4</v>
      </c>
      <c r="E173" s="6">
        <v>0</v>
      </c>
      <c r="F173" s="7">
        <v>165</v>
      </c>
      <c r="G173" s="10" t="str">
        <f ca="1">VLOOKUP($F173,OFFSET([1]characters!$A$2,0,0,COUNTA([1]characters!$A:$A),MATCH(G$1,[1]characters!$2:$2,0)-MATCH($F$1,[1]characters!$2:$2,0)+1),MATCH(G$1,[1]characters!$2:$2,0)-MATCH($F$1,[1]characters!$2:$2,0)+1,FALSE)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173" s="10" t="str">
        <f ca="1">VLOOKUP($F173,OFFSET([1]characters!$A$2,0,0,COUNTA([1]characters!$A:$A),MATCH(H$1,[1]characters!$2:$2,0)-MATCH($F$1,[1]characters!$2:$2,0)+1),MATCH(H$1,[1]characters!$2:$2,0)-MATCH($F$1,[1]characters!$2:$2,0)+1,FALSE)</f>
        <v>PremiumW</v>
      </c>
      <c r="I173" s="10">
        <f ca="1">VLOOKUP($F173,OFFSET([1]characters!$A$2,0,0,COUNTA([1]characters!$A:$A),MATCH(I$1,[1]characters!$2:$2,0)-MATCH($F$1,[1]characters!$2:$2,0)+1),MATCH(I$1,[1]characters!$2:$2,0)-MATCH($F$1,[1]characters!$2:$2,0)+1,FALSE)</f>
        <v>4</v>
      </c>
      <c r="J173" s="10" t="str">
        <f ca="1">VLOOKUP($F173,OFFSET([1]characters!$A$2,0,0,COUNTA([1]characters!$A:$A),MATCH(J$1,[1]characters!$2:$2,0)-MATCH($F$1,[1]characters!$2:$2,0)+1),MATCH(J$1,[1]characters!$2:$2,0)-MATCH($F$1,[1]characters!$2:$2,0)+1,FALSE)</f>
        <v>yellow</v>
      </c>
      <c r="K173" s="10" t="str">
        <f ca="1">VLOOKUP($F173,OFFSET([1]characters!$A$2,0,0,COUNTA([1]characters!$A:$A),MATCH("タイプ",[1]characters!$1:$1,0)-MATCH($F$1,[1]characters!$2:$2,0)+2),MATCH("タイプ",[1]characters!$1:$1,0)-MATCH($F$1,[1]characters!$2:$2,0)+2,FALSE)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73" s="10" t="str">
        <f ca="1">VLOOKUP($F173,OFFSET([1]characters!$A$2,0,0,COUNTA([1]characters!$A:$A),MATCH($L$1,[1]characters!$1:$1,0)-MATCH($F$1,[1]characters!$2:$2,0)+2),MATCH($L$1,[1]characters!$1:$1,0)-MATCH($F$1,[1]characters!$2:$2,0)+2,FALSE)</f>
        <v>ヒューマン</v>
      </c>
      <c r="M173" s="6">
        <v>1</v>
      </c>
      <c r="N173" s="40">
        <f ca="1">VLOOKUP(D173,gacha_133_base!A:B,2,FALSE)</f>
        <v>801</v>
      </c>
      <c r="O173" s="28">
        <v>0</v>
      </c>
      <c r="P173" s="28">
        <v>0</v>
      </c>
      <c r="Q173" s="28">
        <v>0</v>
      </c>
      <c r="R173" s="28">
        <v>0</v>
      </c>
      <c r="S173" s="28">
        <v>1</v>
      </c>
    </row>
    <row r="174" spans="1:19" ht="21" customHeight="1">
      <c r="A174" s="8" t="str">
        <f t="shared" si="18"/>
        <v>01671</v>
      </c>
      <c r="B174" s="2">
        <f t="shared" si="17"/>
        <v>133</v>
      </c>
      <c r="C174" s="10" t="str">
        <f t="shared" ca="1" si="15"/>
        <v>0PremiumN4</v>
      </c>
      <c r="D174" s="10" t="str">
        <f t="shared" ca="1" si="16"/>
        <v>0PremiumN4</v>
      </c>
      <c r="E174" s="6">
        <v>0</v>
      </c>
      <c r="F174" s="7">
        <v>167</v>
      </c>
      <c r="G174" s="10" t="str">
        <f ca="1">VLOOKUP($F174,OFFSET([1]characters!$A$2,0,0,COUNTA([1]characters!$A:$A),MATCH(G$1,[1]characters!$2:$2,0)-MATCH($F$1,[1]characters!$2:$2,0)+1),MATCH(G$1,[1]characters!$2:$2,0)-MATCH($F$1,[1]characters!$2:$2,0)+1,FALSE)</f>
        <v>逆徒 ベリアル</v>
      </c>
      <c r="H174" s="10" t="str">
        <f ca="1">VLOOKUP($F174,OFFSET([1]characters!$A$2,0,0,COUNTA([1]characters!$A:$A),MATCH(H$1,[1]characters!$2:$2,0)-MATCH($F$1,[1]characters!$2:$2,0)+1),MATCH(H$1,[1]characters!$2:$2,0)-MATCH($F$1,[1]characters!$2:$2,0)+1,FALSE)</f>
        <v>PremiumN</v>
      </c>
      <c r="I174" s="10">
        <f ca="1">VLOOKUP($F174,OFFSET([1]characters!$A$2,0,0,COUNTA([1]characters!$A:$A),MATCH(I$1,[1]characters!$2:$2,0)-MATCH($F$1,[1]characters!$2:$2,0)+1),MATCH(I$1,[1]characters!$2:$2,0)-MATCH($F$1,[1]characters!$2:$2,0)+1,FALSE)</f>
        <v>4</v>
      </c>
      <c r="J174" s="10" t="str">
        <f ca="1">VLOOKUP($F174,OFFSET([1]characters!$A$2,0,0,COUNTA([1]characters!$A:$A),MATCH(J$1,[1]characters!$2:$2,0)-MATCH($F$1,[1]characters!$2:$2,0)+1),MATCH(J$1,[1]characters!$2:$2,0)-MATCH($F$1,[1]characters!$2:$2,0)+1,FALSE)</f>
        <v>red</v>
      </c>
      <c r="K174" s="10" t="str">
        <f ca="1">VLOOKUP($F174,OFFSET([1]characters!$A$2,0,0,COUNTA([1]characters!$A:$A),MATCH("タイプ",[1]characters!$1:$1,0)-MATCH($F$1,[1]characters!$2:$2,0)+2),MATCH("タイプ",[1]characters!$1:$1,0)-MATCH($F$1,[1]characters!$2:$2,0)+2,FALSE)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4" s="10" t="str">
        <f ca="1">VLOOKUP($F174,OFFSET([1]characters!$A$2,0,0,COUNTA([1]characters!$A:$A),MATCH($L$1,[1]characters!$1:$1,0)-MATCH($F$1,[1]characters!$2:$2,0)+2),MATCH($L$1,[1]characters!$1:$1,0)-MATCH($F$1,[1]characters!$2:$2,0)+2,FALSE)</f>
        <v>ゴッド</v>
      </c>
      <c r="M174" s="6">
        <v>1</v>
      </c>
      <c r="N174" s="40">
        <f ca="1">VLOOKUP(D174,gacha_133_base!A:B,2,FALSE)</f>
        <v>758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>
      <c r="A175" s="8" t="str">
        <f t="shared" si="18"/>
        <v>01701</v>
      </c>
      <c r="B175" s="2">
        <f t="shared" si="17"/>
        <v>133</v>
      </c>
      <c r="C175" s="10" t="str">
        <f t="shared" ca="1" si="15"/>
        <v>0PremiumN4</v>
      </c>
      <c r="D175" s="10" t="str">
        <f t="shared" ca="1" si="16"/>
        <v>0PremiumN4</v>
      </c>
      <c r="E175" s="6">
        <v>0</v>
      </c>
      <c r="F175" s="7">
        <v>170</v>
      </c>
      <c r="G175" s="10" t="str">
        <f ca="1">VLOOKUP($F175,OFFSET([1]characters!$A$2,0,0,COUNTA([1]characters!$A:$A),MATCH(G$1,[1]characters!$2:$2,0)-MATCH($F$1,[1]characters!$2:$2,0)+1),MATCH(G$1,[1]characters!$2:$2,0)-MATCH($F$1,[1]characters!$2:$2,0)+1,FALSE)</f>
        <v>識徒 オセ</v>
      </c>
      <c r="H175" s="10" t="str">
        <f ca="1">VLOOKUP($F175,OFFSET([1]characters!$A$2,0,0,COUNTA([1]characters!$A:$A),MATCH(H$1,[1]characters!$2:$2,0)-MATCH($F$1,[1]characters!$2:$2,0)+1),MATCH(H$1,[1]characters!$2:$2,0)-MATCH($F$1,[1]characters!$2:$2,0)+1,FALSE)</f>
        <v>PremiumN</v>
      </c>
      <c r="I175" s="10">
        <f ca="1">VLOOKUP($F175,OFFSET([1]characters!$A$2,0,0,COUNTA([1]characters!$A:$A),MATCH(I$1,[1]characters!$2:$2,0)-MATCH($F$1,[1]characters!$2:$2,0)+1),MATCH(I$1,[1]characters!$2:$2,0)-MATCH($F$1,[1]characters!$2:$2,0)+1,FALSE)</f>
        <v>4</v>
      </c>
      <c r="J175" s="10" t="str">
        <f ca="1">VLOOKUP($F175,OFFSET([1]characters!$A$2,0,0,COUNTA([1]characters!$A:$A),MATCH(J$1,[1]characters!$2:$2,0)-MATCH($F$1,[1]characters!$2:$2,0)+1),MATCH(J$1,[1]characters!$2:$2,0)-MATCH($F$1,[1]characters!$2:$2,0)+1,FALSE)</f>
        <v>green</v>
      </c>
      <c r="K175" s="10" t="str">
        <f ca="1">VLOOKUP($F175,OFFSET([1]characters!$A$2,0,0,COUNTA([1]characters!$A:$A),MATCH("タイプ",[1]characters!$1:$1,0)-MATCH($F$1,[1]characters!$2:$2,0)+2),MATCH("タイプ",[1]characters!$1:$1,0)-MATCH($F$1,[1]characters!$2:$2,0)+2,FALSE)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5" s="10" t="str">
        <f ca="1">VLOOKUP($F175,OFFSET([1]characters!$A$2,0,0,COUNTA([1]characters!$A:$A),MATCH($L$1,[1]characters!$1:$1,0)-MATCH($F$1,[1]characters!$2:$2,0)+2),MATCH($L$1,[1]characters!$1:$1,0)-MATCH($F$1,[1]characters!$2:$2,0)+2,FALSE)</f>
        <v>ゴッド</v>
      </c>
      <c r="M175" s="6">
        <v>1</v>
      </c>
      <c r="N175" s="40">
        <f ca="1">VLOOKUP(D175,gacha_133_base!A:B,2,FALSE)</f>
        <v>758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>
      <c r="A176" s="8" t="str">
        <f t="shared" si="18"/>
        <v>01731</v>
      </c>
      <c r="B176" s="2">
        <f t="shared" si="17"/>
        <v>133</v>
      </c>
      <c r="C176" s="10" t="str">
        <f t="shared" ca="1" si="15"/>
        <v>0PremiumN4</v>
      </c>
      <c r="D176" s="10" t="str">
        <f t="shared" ca="1" si="16"/>
        <v>0PremiumN4</v>
      </c>
      <c r="E176" s="6">
        <v>0</v>
      </c>
      <c r="F176" s="7">
        <v>173</v>
      </c>
      <c r="G176" s="10" t="str">
        <f ca="1">VLOOKUP($F176,OFFSET([1]characters!$A$2,0,0,COUNTA([1]characters!$A:$A),MATCH(G$1,[1]characters!$2:$2,0)-MATCH($F$1,[1]characters!$2:$2,0)+1),MATCH(G$1,[1]characters!$2:$2,0)-MATCH($F$1,[1]characters!$2:$2,0)+1,FALSE)</f>
        <v>公爵 フォルネウス</v>
      </c>
      <c r="H176" s="10" t="str">
        <f ca="1">VLOOKUP($F176,OFFSET([1]characters!$A$2,0,0,COUNTA([1]characters!$A:$A),MATCH(H$1,[1]characters!$2:$2,0)-MATCH($F$1,[1]characters!$2:$2,0)+1),MATCH(H$1,[1]characters!$2:$2,0)-MATCH($F$1,[1]characters!$2:$2,0)+1,FALSE)</f>
        <v>PremiumN</v>
      </c>
      <c r="I176" s="10">
        <f ca="1">VLOOKUP($F176,OFFSET([1]characters!$A$2,0,0,COUNTA([1]characters!$A:$A),MATCH(I$1,[1]characters!$2:$2,0)-MATCH($F$1,[1]characters!$2:$2,0)+1),MATCH(I$1,[1]characters!$2:$2,0)-MATCH($F$1,[1]characters!$2:$2,0)+1,FALSE)</f>
        <v>4</v>
      </c>
      <c r="J176" s="10" t="str">
        <f ca="1">VLOOKUP($F176,OFFSET([1]characters!$A$2,0,0,COUNTA([1]characters!$A:$A),MATCH(J$1,[1]characters!$2:$2,0)-MATCH($F$1,[1]characters!$2:$2,0)+1),MATCH(J$1,[1]characters!$2:$2,0)-MATCH($F$1,[1]characters!$2:$2,0)+1,FALSE)</f>
        <v>blue</v>
      </c>
      <c r="K176" s="10" t="str">
        <f ca="1">VLOOKUP($F176,OFFSET([1]characters!$A$2,0,0,COUNTA([1]characters!$A:$A),MATCH("タイプ",[1]characters!$1:$1,0)-MATCH($F$1,[1]characters!$2:$2,0)+2),MATCH("タイプ",[1]characters!$1:$1,0)-MATCH($F$1,[1]characters!$2:$2,0)+2,FALSE)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6" s="10" t="str">
        <f ca="1">VLOOKUP($F176,OFFSET([1]characters!$A$2,0,0,COUNTA([1]characters!$A:$A),MATCH($L$1,[1]characters!$1:$1,0)-MATCH($F$1,[1]characters!$2:$2,0)+2),MATCH($L$1,[1]characters!$1:$1,0)-MATCH($F$1,[1]characters!$2:$2,0)+2,FALSE)</f>
        <v>ゴッド</v>
      </c>
      <c r="M176" s="6">
        <v>1</v>
      </c>
      <c r="N176" s="40">
        <f ca="1">VLOOKUP(D176,gacha_133_base!A:B,2,FALSE)</f>
        <v>758</v>
      </c>
      <c r="O176" s="28">
        <v>0</v>
      </c>
      <c r="P176" s="28">
        <v>0</v>
      </c>
      <c r="Q176" s="28">
        <v>0</v>
      </c>
      <c r="R176" s="28">
        <v>0</v>
      </c>
      <c r="S176" s="28">
        <v>1</v>
      </c>
    </row>
    <row r="177" spans="1:19" ht="21" customHeight="1">
      <c r="A177" s="8" t="str">
        <f t="shared" si="18"/>
        <v>01761</v>
      </c>
      <c r="B177" s="2">
        <f t="shared" si="17"/>
        <v>133</v>
      </c>
      <c r="C177" s="10" t="str">
        <f t="shared" ca="1" si="15"/>
        <v>0PremiumN4</v>
      </c>
      <c r="D177" s="10" t="str">
        <f t="shared" ca="1" si="16"/>
        <v>0PremiumN4</v>
      </c>
      <c r="E177" s="6">
        <v>0</v>
      </c>
      <c r="F177" s="7">
        <v>176</v>
      </c>
      <c r="G177" s="10" t="str">
        <f ca="1">VLOOKUP($F177,OFFSET([1]characters!$A$2,0,0,COUNTA([1]characters!$A:$A),MATCH(G$1,[1]characters!$2:$2,0)-MATCH($F$1,[1]characters!$2:$2,0)+1),MATCH(G$1,[1]characters!$2:$2,0)-MATCH($F$1,[1]characters!$2:$2,0)+1,FALSE)</f>
        <v>異教徒 バフォメット</v>
      </c>
      <c r="H177" s="10" t="str">
        <f ca="1">VLOOKUP($F177,OFFSET([1]characters!$A$2,0,0,COUNTA([1]characters!$A:$A),MATCH(H$1,[1]characters!$2:$2,0)-MATCH($F$1,[1]characters!$2:$2,0)+1),MATCH(H$1,[1]characters!$2:$2,0)-MATCH($F$1,[1]characters!$2:$2,0)+1,FALSE)</f>
        <v>PremiumN</v>
      </c>
      <c r="I177" s="10">
        <f ca="1">VLOOKUP($F177,OFFSET([1]characters!$A$2,0,0,COUNTA([1]characters!$A:$A),MATCH(I$1,[1]characters!$2:$2,0)-MATCH($F$1,[1]characters!$2:$2,0)+1),MATCH(I$1,[1]characters!$2:$2,0)-MATCH($F$1,[1]characters!$2:$2,0)+1,FALSE)</f>
        <v>4</v>
      </c>
      <c r="J177" s="10" t="str">
        <f ca="1">VLOOKUP($F177,OFFSET([1]characters!$A$2,0,0,COUNTA([1]characters!$A:$A),MATCH(J$1,[1]characters!$2:$2,0)-MATCH($F$1,[1]characters!$2:$2,0)+1),MATCH(J$1,[1]characters!$2:$2,0)-MATCH($F$1,[1]characters!$2:$2,0)+1,FALSE)</f>
        <v>yellow</v>
      </c>
      <c r="K177" s="10" t="str">
        <f ca="1">VLOOKUP($F177,OFFSET([1]characters!$A$2,0,0,COUNTA([1]characters!$A:$A),MATCH("タイプ",[1]characters!$1:$1,0)-MATCH($F$1,[1]characters!$2:$2,0)+2),MATCH("タイプ",[1]characters!$1:$1,0)-MATCH($F$1,[1]characters!$2:$2,0)+2,FALSE)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7" s="10" t="str">
        <f ca="1">VLOOKUP($F177,OFFSET([1]characters!$A$2,0,0,COUNTA([1]characters!$A:$A),MATCH($L$1,[1]characters!$1:$1,0)-MATCH($F$1,[1]characters!$2:$2,0)+2),MATCH($L$1,[1]characters!$1:$1,0)-MATCH($F$1,[1]characters!$2:$2,0)+2,FALSE)</f>
        <v>ゴッド</v>
      </c>
      <c r="M177" s="6">
        <v>1</v>
      </c>
      <c r="N177" s="40">
        <f ca="1">VLOOKUP(D177,gacha_133_base!A:B,2,FALSE)</f>
        <v>758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>
      <c r="A178" s="8" t="str">
        <f t="shared" si="18"/>
        <v>01791</v>
      </c>
      <c r="B178" s="2">
        <f t="shared" si="17"/>
        <v>133</v>
      </c>
      <c r="C178" s="10" t="str">
        <f t="shared" ca="1" si="15"/>
        <v>0PremiumN4</v>
      </c>
      <c r="D178" s="10" t="str">
        <f t="shared" ca="1" si="16"/>
        <v>0PremiumN4</v>
      </c>
      <c r="E178" s="6">
        <v>0</v>
      </c>
      <c r="F178" s="7">
        <v>179</v>
      </c>
      <c r="G178" s="10" t="str">
        <f ca="1">VLOOKUP($F178,OFFSET([1]characters!$A$2,0,0,COUNTA([1]characters!$A:$A),MATCH(G$1,[1]characters!$2:$2,0)-MATCH($F$1,[1]characters!$2:$2,0)+1),MATCH(G$1,[1]characters!$2:$2,0)-MATCH($F$1,[1]characters!$2:$2,0)+1,FALSE)</f>
        <v>番犬 ケルベロス</v>
      </c>
      <c r="H178" s="10" t="str">
        <f ca="1">VLOOKUP($F178,OFFSET([1]characters!$A$2,0,0,COUNTA([1]characters!$A:$A),MATCH(H$1,[1]characters!$2:$2,0)-MATCH($F$1,[1]characters!$2:$2,0)+1),MATCH(H$1,[1]characters!$2:$2,0)-MATCH($F$1,[1]characters!$2:$2,0)+1,FALSE)</f>
        <v>PremiumN</v>
      </c>
      <c r="I178" s="10">
        <f ca="1">VLOOKUP($F178,OFFSET([1]characters!$A$2,0,0,COUNTA([1]characters!$A:$A),MATCH(I$1,[1]characters!$2:$2,0)-MATCH($F$1,[1]characters!$2:$2,0)+1),MATCH(I$1,[1]characters!$2:$2,0)-MATCH($F$1,[1]characters!$2:$2,0)+1,FALSE)</f>
        <v>4</v>
      </c>
      <c r="J178" s="10" t="str">
        <f ca="1">VLOOKUP($F178,OFFSET([1]characters!$A$2,0,0,COUNTA([1]characters!$A:$A),MATCH(J$1,[1]characters!$2:$2,0)-MATCH($F$1,[1]characters!$2:$2,0)+1),MATCH(J$1,[1]characters!$2:$2,0)-MATCH($F$1,[1]characters!$2:$2,0)+1,FALSE)</f>
        <v>red</v>
      </c>
      <c r="K178" s="10" t="str">
        <f ca="1">VLOOKUP($F178,OFFSET([1]characters!$A$2,0,0,COUNTA([1]characters!$A:$A),MATCH("タイプ",[1]characters!$1:$1,0)-MATCH($F$1,[1]characters!$2:$2,0)+2),MATCH("タイプ",[1]characters!$1:$1,0)-MATCH($F$1,[1]characters!$2:$2,0)+2,FALSE)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8" s="10" t="str">
        <f ca="1">VLOOKUP($F178,OFFSET([1]characters!$A$2,0,0,COUNTA([1]characters!$A:$A),MATCH($L$1,[1]characters!$1:$1,0)-MATCH($F$1,[1]characters!$2:$2,0)+2),MATCH($L$1,[1]characters!$1:$1,0)-MATCH($F$1,[1]characters!$2:$2,0)+2,FALSE)</f>
        <v>アニマル</v>
      </c>
      <c r="M178" s="6">
        <v>1</v>
      </c>
      <c r="N178" s="40">
        <f ca="1">VLOOKUP(D178,gacha_133_base!A:B,2,FALSE)</f>
        <v>758</v>
      </c>
      <c r="O178" s="28">
        <v>0</v>
      </c>
      <c r="P178" s="28">
        <v>0</v>
      </c>
      <c r="Q178" s="28">
        <v>0</v>
      </c>
      <c r="R178" s="28">
        <v>0</v>
      </c>
      <c r="S178" s="28">
        <v>1</v>
      </c>
    </row>
    <row r="179" spans="1:19" ht="21" customHeight="1">
      <c r="A179" s="8" t="str">
        <f t="shared" si="18"/>
        <v>01821</v>
      </c>
      <c r="B179" s="2">
        <f t="shared" si="17"/>
        <v>133</v>
      </c>
      <c r="C179" s="10" t="str">
        <f t="shared" ca="1" si="15"/>
        <v>0PremiumN4</v>
      </c>
      <c r="D179" s="10" t="str">
        <f t="shared" ca="1" si="16"/>
        <v>0PremiumN4</v>
      </c>
      <c r="E179" s="6">
        <v>0</v>
      </c>
      <c r="F179" s="7">
        <v>182</v>
      </c>
      <c r="G179" s="10" t="str">
        <f ca="1">VLOOKUP($F179,OFFSET([1]characters!$A$2,0,0,COUNTA([1]characters!$A:$A),MATCH(G$1,[1]characters!$2:$2,0)-MATCH($F$1,[1]characters!$2:$2,0)+1),MATCH(G$1,[1]characters!$2:$2,0)-MATCH($F$1,[1]characters!$2:$2,0)+1,FALSE)</f>
        <v>放蕩者 ベヒモス</v>
      </c>
      <c r="H179" s="10" t="str">
        <f ca="1">VLOOKUP($F179,OFFSET([1]characters!$A$2,0,0,COUNTA([1]characters!$A:$A),MATCH(H$1,[1]characters!$2:$2,0)-MATCH($F$1,[1]characters!$2:$2,0)+1),MATCH(H$1,[1]characters!$2:$2,0)-MATCH($F$1,[1]characters!$2:$2,0)+1,FALSE)</f>
        <v>PremiumN</v>
      </c>
      <c r="I179" s="10">
        <f ca="1">VLOOKUP($F179,OFFSET([1]characters!$A$2,0,0,COUNTA([1]characters!$A:$A),MATCH(I$1,[1]characters!$2:$2,0)-MATCH($F$1,[1]characters!$2:$2,0)+1),MATCH(I$1,[1]characters!$2:$2,0)-MATCH($F$1,[1]characters!$2:$2,0)+1,FALSE)</f>
        <v>4</v>
      </c>
      <c r="J179" s="10" t="str">
        <f ca="1">VLOOKUP($F179,OFFSET([1]characters!$A$2,0,0,COUNTA([1]characters!$A:$A),MATCH(J$1,[1]characters!$2:$2,0)-MATCH($F$1,[1]characters!$2:$2,0)+1),MATCH(J$1,[1]characters!$2:$2,0)-MATCH($F$1,[1]characters!$2:$2,0)+1,FALSE)</f>
        <v>green</v>
      </c>
      <c r="K179" s="10" t="str">
        <f ca="1">VLOOKUP($F179,OFFSET([1]characters!$A$2,0,0,COUNTA([1]characters!$A:$A),MATCH("タイプ",[1]characters!$1:$1,0)-MATCH($F$1,[1]characters!$2:$2,0)+2),MATCH("タイプ",[1]characters!$1:$1,0)-MATCH($F$1,[1]characters!$2:$2,0)+2,FALSE)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9" s="10" t="str">
        <f ca="1">VLOOKUP($F179,OFFSET([1]characters!$A$2,0,0,COUNTA([1]characters!$A:$A),MATCH($L$1,[1]characters!$1:$1,0)-MATCH($F$1,[1]characters!$2:$2,0)+2),MATCH($L$1,[1]characters!$1:$1,0)-MATCH($F$1,[1]characters!$2:$2,0)+2,FALSE)</f>
        <v>アニマル</v>
      </c>
      <c r="M179" s="6">
        <v>1</v>
      </c>
      <c r="N179" s="40">
        <f ca="1">VLOOKUP(D179,gacha_133_base!A:B,2,FALSE)</f>
        <v>758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>
      <c r="A180" s="8" t="str">
        <f t="shared" si="18"/>
        <v>01851</v>
      </c>
      <c r="B180" s="2">
        <f t="shared" si="17"/>
        <v>133</v>
      </c>
      <c r="C180" s="10" t="str">
        <f t="shared" ca="1" si="15"/>
        <v>0PremiumN4</v>
      </c>
      <c r="D180" s="10" t="str">
        <f t="shared" ca="1" si="16"/>
        <v>0PremiumN4</v>
      </c>
      <c r="E180" s="6">
        <v>0</v>
      </c>
      <c r="F180" s="7">
        <v>185</v>
      </c>
      <c r="G180" s="10" t="str">
        <f ca="1">VLOOKUP($F180,OFFSET([1]characters!$A$2,0,0,COUNTA([1]characters!$A:$A),MATCH(G$1,[1]characters!$2:$2,0)-MATCH($F$1,[1]characters!$2:$2,0)+1),MATCH(G$1,[1]characters!$2:$2,0)-MATCH($F$1,[1]characters!$2:$2,0)+1,FALSE)</f>
        <v>海姫 クラーケン</v>
      </c>
      <c r="H180" s="10" t="str">
        <f ca="1">VLOOKUP($F180,OFFSET([1]characters!$A$2,0,0,COUNTA([1]characters!$A:$A),MATCH(H$1,[1]characters!$2:$2,0)-MATCH($F$1,[1]characters!$2:$2,0)+1),MATCH(H$1,[1]characters!$2:$2,0)-MATCH($F$1,[1]characters!$2:$2,0)+1,FALSE)</f>
        <v>PremiumN</v>
      </c>
      <c r="I180" s="10">
        <f ca="1">VLOOKUP($F180,OFFSET([1]characters!$A$2,0,0,COUNTA([1]characters!$A:$A),MATCH(I$1,[1]characters!$2:$2,0)-MATCH($F$1,[1]characters!$2:$2,0)+1),MATCH(I$1,[1]characters!$2:$2,0)-MATCH($F$1,[1]characters!$2:$2,0)+1,FALSE)</f>
        <v>4</v>
      </c>
      <c r="J180" s="10" t="str">
        <f ca="1">VLOOKUP($F180,OFFSET([1]characters!$A$2,0,0,COUNTA([1]characters!$A:$A),MATCH(J$1,[1]characters!$2:$2,0)-MATCH($F$1,[1]characters!$2:$2,0)+1),MATCH(J$1,[1]characters!$2:$2,0)-MATCH($F$1,[1]characters!$2:$2,0)+1,FALSE)</f>
        <v>blue</v>
      </c>
      <c r="K180" s="10" t="str">
        <f ca="1">VLOOKUP($F180,OFFSET([1]characters!$A$2,0,0,COUNTA([1]characters!$A:$A),MATCH("タイプ",[1]characters!$1:$1,0)-MATCH($F$1,[1]characters!$2:$2,0)+2),MATCH("タイプ",[1]characters!$1:$1,0)-MATCH($F$1,[1]characters!$2:$2,0)+2,FALSE)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0" s="10" t="str">
        <f ca="1">VLOOKUP($F180,OFFSET([1]characters!$A$2,0,0,COUNTA([1]characters!$A:$A),MATCH($L$1,[1]characters!$1:$1,0)-MATCH($F$1,[1]characters!$2:$2,0)+2),MATCH($L$1,[1]characters!$1:$1,0)-MATCH($F$1,[1]characters!$2:$2,0)+2,FALSE)</f>
        <v>アニマル</v>
      </c>
      <c r="M180" s="6">
        <v>1</v>
      </c>
      <c r="N180" s="40">
        <f ca="1">VLOOKUP(D180,gacha_133_base!A:B,2,FALSE)</f>
        <v>758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>
      <c r="A181" s="8" t="str">
        <f t="shared" si="18"/>
        <v>01881</v>
      </c>
      <c r="B181" s="2">
        <f t="shared" si="17"/>
        <v>133</v>
      </c>
      <c r="C181" s="10" t="str">
        <f t="shared" ca="1" si="15"/>
        <v>0PremiumN4</v>
      </c>
      <c r="D181" s="10" t="str">
        <f t="shared" ca="1" si="16"/>
        <v>0PremiumN4</v>
      </c>
      <c r="E181" s="6">
        <v>0</v>
      </c>
      <c r="F181" s="7">
        <v>188</v>
      </c>
      <c r="G181" s="10" t="str">
        <f ca="1">VLOOKUP($F181,OFFSET([1]characters!$A$2,0,0,COUNTA([1]characters!$A:$A),MATCH(G$1,[1]characters!$2:$2,0)-MATCH($F$1,[1]characters!$2:$2,0)+1),MATCH(G$1,[1]characters!$2:$2,0)-MATCH($F$1,[1]characters!$2:$2,0)+1,FALSE)</f>
        <v>猛禽 ホルス</v>
      </c>
      <c r="H181" s="10" t="str">
        <f ca="1">VLOOKUP($F181,OFFSET([1]characters!$A$2,0,0,COUNTA([1]characters!$A:$A),MATCH(H$1,[1]characters!$2:$2,0)-MATCH($F$1,[1]characters!$2:$2,0)+1),MATCH(H$1,[1]characters!$2:$2,0)-MATCH($F$1,[1]characters!$2:$2,0)+1,FALSE)</f>
        <v>PremiumN</v>
      </c>
      <c r="I181" s="10">
        <f ca="1">VLOOKUP($F181,OFFSET([1]characters!$A$2,0,0,COUNTA([1]characters!$A:$A),MATCH(I$1,[1]characters!$2:$2,0)-MATCH($F$1,[1]characters!$2:$2,0)+1),MATCH(I$1,[1]characters!$2:$2,0)-MATCH($F$1,[1]characters!$2:$2,0)+1,FALSE)</f>
        <v>4</v>
      </c>
      <c r="J181" s="10" t="str">
        <f ca="1">VLOOKUP($F181,OFFSET([1]characters!$A$2,0,0,COUNTA([1]characters!$A:$A),MATCH(J$1,[1]characters!$2:$2,0)-MATCH($F$1,[1]characters!$2:$2,0)+1),MATCH(J$1,[1]characters!$2:$2,0)-MATCH($F$1,[1]characters!$2:$2,0)+1,FALSE)</f>
        <v>yellow</v>
      </c>
      <c r="K181" s="10" t="str">
        <f ca="1">VLOOKUP($F181,OFFSET([1]characters!$A$2,0,0,COUNTA([1]characters!$A:$A),MATCH("タイプ",[1]characters!$1:$1,0)-MATCH($F$1,[1]characters!$2:$2,0)+2),MATCH("タイプ",[1]characters!$1:$1,0)-MATCH($F$1,[1]characters!$2:$2,0)+2,FALSE)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1" s="10" t="str">
        <f ca="1">VLOOKUP($F181,OFFSET([1]characters!$A$2,0,0,COUNTA([1]characters!$A:$A),MATCH($L$1,[1]characters!$1:$1,0)-MATCH($F$1,[1]characters!$2:$2,0)+2),MATCH($L$1,[1]characters!$1:$1,0)-MATCH($F$1,[1]characters!$2:$2,0)+2,FALSE)</f>
        <v>アニマル</v>
      </c>
      <c r="M181" s="6">
        <v>1</v>
      </c>
      <c r="N181" s="40">
        <f ca="1">VLOOKUP(D181,gacha_133_base!A:B,2,FALSE)</f>
        <v>758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>
      <c r="A182" s="8" t="str">
        <f t="shared" si="18"/>
        <v>01911</v>
      </c>
      <c r="B182" s="2">
        <f t="shared" si="17"/>
        <v>133</v>
      </c>
      <c r="C182" s="10" t="str">
        <f t="shared" ca="1" si="15"/>
        <v>0PremiumN4</v>
      </c>
      <c r="D182" s="10" t="str">
        <f t="shared" ca="1" si="16"/>
        <v>0PremiumN4</v>
      </c>
      <c r="E182" s="6">
        <v>0</v>
      </c>
      <c r="F182" s="7">
        <v>191</v>
      </c>
      <c r="G182" s="10" t="str">
        <f ca="1">VLOOKUP($F182,OFFSET([1]characters!$A$2,0,0,COUNTA([1]characters!$A:$A),MATCH(G$1,[1]characters!$2:$2,0)-MATCH($F$1,[1]characters!$2:$2,0)+1),MATCH(G$1,[1]characters!$2:$2,0)-MATCH($F$1,[1]characters!$2:$2,0)+1,FALSE)</f>
        <v>始祖 卑弥呼</v>
      </c>
      <c r="H182" s="10" t="str">
        <f ca="1">VLOOKUP($F182,OFFSET([1]characters!$A$2,0,0,COUNTA([1]characters!$A:$A),MATCH(H$1,[1]characters!$2:$2,0)-MATCH($F$1,[1]characters!$2:$2,0)+1),MATCH(H$1,[1]characters!$2:$2,0)-MATCH($F$1,[1]characters!$2:$2,0)+1,FALSE)</f>
        <v>PremiumN</v>
      </c>
      <c r="I182" s="10">
        <f ca="1">VLOOKUP($F182,OFFSET([1]characters!$A$2,0,0,COUNTA([1]characters!$A:$A),MATCH(I$1,[1]characters!$2:$2,0)-MATCH($F$1,[1]characters!$2:$2,0)+1),MATCH(I$1,[1]characters!$2:$2,0)-MATCH($F$1,[1]characters!$2:$2,0)+1,FALSE)</f>
        <v>4</v>
      </c>
      <c r="J182" s="10" t="str">
        <f ca="1">VLOOKUP($F182,OFFSET([1]characters!$A$2,0,0,COUNTA([1]characters!$A:$A),MATCH(J$1,[1]characters!$2:$2,0)-MATCH($F$1,[1]characters!$2:$2,0)+1),MATCH(J$1,[1]characters!$2:$2,0)-MATCH($F$1,[1]characters!$2:$2,0)+1,FALSE)</f>
        <v>red</v>
      </c>
      <c r="K182" s="10" t="str">
        <f ca="1">VLOOKUP($F182,OFFSET([1]characters!$A$2,0,0,COUNTA([1]characters!$A:$A),MATCH("タイプ",[1]characters!$1:$1,0)-MATCH($F$1,[1]characters!$2:$2,0)+2),MATCH("タイプ",[1]characters!$1:$1,0)-MATCH($F$1,[1]characters!$2:$2,0)+2,FALSE)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2" s="10" t="str">
        <f ca="1">VLOOKUP($F182,OFFSET([1]characters!$A$2,0,0,COUNTA([1]characters!$A:$A),MATCH($L$1,[1]characters!$1:$1,0)-MATCH($F$1,[1]characters!$2:$2,0)+2),MATCH($L$1,[1]characters!$1:$1,0)-MATCH($F$1,[1]characters!$2:$2,0)+2,FALSE)</f>
        <v>ヒューマン</v>
      </c>
      <c r="M182" s="6">
        <v>1</v>
      </c>
      <c r="N182" s="40">
        <f ca="1">VLOOKUP(D182,gacha_133_base!A:B,2,FALSE)</f>
        <v>758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8" t="str">
        <f t="shared" si="18"/>
        <v>01941</v>
      </c>
      <c r="B183" s="2">
        <f t="shared" si="17"/>
        <v>133</v>
      </c>
      <c r="C183" s="10" t="str">
        <f t="shared" ca="1" si="15"/>
        <v>0PremiumN4</v>
      </c>
      <c r="D183" s="10" t="str">
        <f t="shared" ca="1" si="16"/>
        <v>0PremiumN4</v>
      </c>
      <c r="E183" s="6">
        <v>0</v>
      </c>
      <c r="F183" s="7">
        <v>194</v>
      </c>
      <c r="G183" s="10" t="str">
        <f ca="1">VLOOKUP($F183,OFFSET([1]characters!$A$2,0,0,COUNTA([1]characters!$A:$A),MATCH(G$1,[1]characters!$2:$2,0)-MATCH($F$1,[1]characters!$2:$2,0)+1),MATCH(G$1,[1]characters!$2:$2,0)-MATCH($F$1,[1]characters!$2:$2,0)+1,FALSE)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183" s="10" t="str">
        <f ca="1">VLOOKUP($F183,OFFSET([1]characters!$A$2,0,0,COUNTA([1]characters!$A:$A),MATCH(H$1,[1]characters!$2:$2,0)-MATCH($F$1,[1]characters!$2:$2,0)+1),MATCH(H$1,[1]characters!$2:$2,0)-MATCH($F$1,[1]characters!$2:$2,0)+1,FALSE)</f>
        <v>PremiumN</v>
      </c>
      <c r="I183" s="10">
        <f ca="1">VLOOKUP($F183,OFFSET([1]characters!$A$2,0,0,COUNTA([1]characters!$A:$A),MATCH(I$1,[1]characters!$2:$2,0)-MATCH($F$1,[1]characters!$2:$2,0)+1),MATCH(I$1,[1]characters!$2:$2,0)-MATCH($F$1,[1]characters!$2:$2,0)+1,FALSE)</f>
        <v>4</v>
      </c>
      <c r="J183" s="10" t="str">
        <f ca="1">VLOOKUP($F183,OFFSET([1]characters!$A$2,0,0,COUNTA([1]characters!$A:$A),MATCH(J$1,[1]characters!$2:$2,0)-MATCH($F$1,[1]characters!$2:$2,0)+1),MATCH(J$1,[1]characters!$2:$2,0)-MATCH($F$1,[1]characters!$2:$2,0)+1,FALSE)</f>
        <v>green</v>
      </c>
      <c r="K183" s="10" t="str">
        <f ca="1">VLOOKUP($F183,OFFSET([1]characters!$A$2,0,0,COUNTA([1]characters!$A:$A),MATCH("タイプ",[1]characters!$1:$1,0)-MATCH($F$1,[1]characters!$2:$2,0)+2),MATCH("タイプ",[1]characters!$1:$1,0)-MATCH($F$1,[1]characters!$2:$2,0)+2,FALSE)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3" s="10" t="str">
        <f ca="1">VLOOKUP($F183,OFFSET([1]characters!$A$2,0,0,COUNTA([1]characters!$A:$A),MATCH($L$1,[1]characters!$1:$1,0)-MATCH($F$1,[1]characters!$2:$2,0)+2),MATCH($L$1,[1]characters!$1:$1,0)-MATCH($F$1,[1]characters!$2:$2,0)+2,FALSE)</f>
        <v>ヒューマン</v>
      </c>
      <c r="M183" s="6">
        <v>1</v>
      </c>
      <c r="N183" s="40">
        <f ca="1">VLOOKUP(D183,gacha_133_base!A:B,2,FALSE)</f>
        <v>758</v>
      </c>
      <c r="O183" s="28">
        <v>0</v>
      </c>
      <c r="P183" s="28">
        <v>0</v>
      </c>
      <c r="Q183" s="28">
        <v>0</v>
      </c>
      <c r="R183" s="28">
        <v>0</v>
      </c>
      <c r="S183" s="28">
        <v>1</v>
      </c>
    </row>
    <row r="184" spans="1:19" ht="21" customHeight="1">
      <c r="A184" s="8" t="str">
        <f t="shared" si="18"/>
        <v>01971</v>
      </c>
      <c r="B184" s="2">
        <f t="shared" si="17"/>
        <v>133</v>
      </c>
      <c r="C184" s="10" t="str">
        <f t="shared" ca="1" si="15"/>
        <v>0PremiumN4</v>
      </c>
      <c r="D184" s="10" t="str">
        <f t="shared" ca="1" si="16"/>
        <v>0PremiumN4</v>
      </c>
      <c r="E184" s="6">
        <v>0</v>
      </c>
      <c r="F184" s="7">
        <v>197</v>
      </c>
      <c r="G184" s="10" t="str">
        <f ca="1">VLOOKUP($F184,OFFSET([1]characters!$A$2,0,0,COUNTA([1]characters!$A:$A),MATCH(G$1,[1]characters!$2:$2,0)-MATCH($F$1,[1]characters!$2:$2,0)+1),MATCH(G$1,[1]characters!$2:$2,0)-MATCH($F$1,[1]characters!$2:$2,0)+1,FALSE)</f>
        <v>鉄腕 アキレス</v>
      </c>
      <c r="H184" s="10" t="str">
        <f ca="1">VLOOKUP($F184,OFFSET([1]characters!$A$2,0,0,COUNTA([1]characters!$A:$A),MATCH(H$1,[1]characters!$2:$2,0)-MATCH($F$1,[1]characters!$2:$2,0)+1),MATCH(H$1,[1]characters!$2:$2,0)-MATCH($F$1,[1]characters!$2:$2,0)+1,FALSE)</f>
        <v>PremiumN</v>
      </c>
      <c r="I184" s="10">
        <f ca="1">VLOOKUP($F184,OFFSET([1]characters!$A$2,0,0,COUNTA([1]characters!$A:$A),MATCH(I$1,[1]characters!$2:$2,0)-MATCH($F$1,[1]characters!$2:$2,0)+1),MATCH(I$1,[1]characters!$2:$2,0)-MATCH($F$1,[1]characters!$2:$2,0)+1,FALSE)</f>
        <v>4</v>
      </c>
      <c r="J184" s="10" t="str">
        <f ca="1">VLOOKUP($F184,OFFSET([1]characters!$A$2,0,0,COUNTA([1]characters!$A:$A),MATCH(J$1,[1]characters!$2:$2,0)-MATCH($F$1,[1]characters!$2:$2,0)+1),MATCH(J$1,[1]characters!$2:$2,0)-MATCH($F$1,[1]characters!$2:$2,0)+1,FALSE)</f>
        <v>yellow</v>
      </c>
      <c r="K184" s="10" t="str">
        <f ca="1">VLOOKUP($F184,OFFSET([1]characters!$A$2,0,0,COUNTA([1]characters!$A:$A),MATCH("タイプ",[1]characters!$1:$1,0)-MATCH($F$1,[1]characters!$2:$2,0)+2),MATCH("タイプ",[1]characters!$1:$1,0)-MATCH($F$1,[1]characters!$2:$2,0)+2,FALSE)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4" s="10" t="str">
        <f ca="1">VLOOKUP($F184,OFFSET([1]characters!$A$2,0,0,COUNTA([1]characters!$A:$A),MATCH($L$1,[1]characters!$1:$1,0)-MATCH($F$1,[1]characters!$2:$2,0)+2),MATCH($L$1,[1]characters!$1:$1,0)-MATCH($F$1,[1]characters!$2:$2,0)+2,FALSE)</f>
        <v>ヒューマン</v>
      </c>
      <c r="M184" s="6">
        <v>1</v>
      </c>
      <c r="N184" s="40">
        <f ca="1">VLOOKUP(D184,gacha_133_base!A:B,2,FALSE)</f>
        <v>758</v>
      </c>
      <c r="O184" s="28">
        <v>0</v>
      </c>
      <c r="P184" s="28">
        <v>0</v>
      </c>
      <c r="Q184" s="28">
        <v>0</v>
      </c>
      <c r="R184" s="28">
        <v>0</v>
      </c>
      <c r="S184" s="28">
        <v>1</v>
      </c>
    </row>
    <row r="185" spans="1:19" ht="21" customHeight="1">
      <c r="A185" s="8" t="str">
        <f t="shared" si="18"/>
        <v>02001</v>
      </c>
      <c r="B185" s="2">
        <f t="shared" si="17"/>
        <v>133</v>
      </c>
      <c r="C185" s="10" t="str">
        <f t="shared" ca="1" si="15"/>
        <v>0PremiumN4</v>
      </c>
      <c r="D185" s="10" t="str">
        <f t="shared" ca="1" si="16"/>
        <v>0PremiumN4</v>
      </c>
      <c r="E185" s="6">
        <v>0</v>
      </c>
      <c r="F185" s="7">
        <v>200</v>
      </c>
      <c r="G185" s="10" t="str">
        <f ca="1">VLOOKUP($F185,OFFSET([1]characters!$A$2,0,0,COUNTA([1]characters!$A:$A),MATCH(G$1,[1]characters!$2:$2,0)-MATCH($F$1,[1]characters!$2:$2,0)+1),MATCH(G$1,[1]characters!$2:$2,0)-MATCH($F$1,[1]characters!$2:$2,0)+1,FALSE)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185" s="10" t="str">
        <f ca="1">VLOOKUP($F185,OFFSET([1]characters!$A$2,0,0,COUNTA([1]characters!$A:$A),MATCH(H$1,[1]characters!$2:$2,0)-MATCH($F$1,[1]characters!$2:$2,0)+1),MATCH(H$1,[1]characters!$2:$2,0)-MATCH($F$1,[1]characters!$2:$2,0)+1,FALSE)</f>
        <v>PremiumN</v>
      </c>
      <c r="I185" s="10">
        <f ca="1">VLOOKUP($F185,OFFSET([1]characters!$A$2,0,0,COUNTA([1]characters!$A:$A),MATCH(I$1,[1]characters!$2:$2,0)-MATCH($F$1,[1]characters!$2:$2,0)+1),MATCH(I$1,[1]characters!$2:$2,0)-MATCH($F$1,[1]characters!$2:$2,0)+1,FALSE)</f>
        <v>4</v>
      </c>
      <c r="J185" s="10" t="str">
        <f ca="1">VLOOKUP($F185,OFFSET([1]characters!$A$2,0,0,COUNTA([1]characters!$A:$A),MATCH(J$1,[1]characters!$2:$2,0)-MATCH($F$1,[1]characters!$2:$2,0)+1),MATCH(J$1,[1]characters!$2:$2,0)-MATCH($F$1,[1]characters!$2:$2,0)+1,FALSE)</f>
        <v>blue</v>
      </c>
      <c r="K185" s="10" t="str">
        <f ca="1">VLOOKUP($F185,OFFSET([1]characters!$A$2,0,0,COUNTA([1]characters!$A:$A),MATCH("タイプ",[1]characters!$1:$1,0)-MATCH($F$1,[1]characters!$2:$2,0)+2),MATCH("タイプ",[1]characters!$1:$1,0)-MATCH($F$1,[1]characters!$2:$2,0)+2,FALSE)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5" s="10" t="str">
        <f ca="1">VLOOKUP($F185,OFFSET([1]characters!$A$2,0,0,COUNTA([1]characters!$A:$A),MATCH($L$1,[1]characters!$1:$1,0)-MATCH($F$1,[1]characters!$2:$2,0)+2),MATCH($L$1,[1]characters!$1:$1,0)-MATCH($F$1,[1]characters!$2:$2,0)+2,FALSE)</f>
        <v>ヒューマン</v>
      </c>
      <c r="M185" s="6">
        <v>1</v>
      </c>
      <c r="N185" s="40">
        <f ca="1">VLOOKUP(D185,gacha_133_base!A:B,2,FALSE)</f>
        <v>758</v>
      </c>
      <c r="O185" s="28">
        <v>0</v>
      </c>
      <c r="P185" s="28">
        <v>0</v>
      </c>
      <c r="Q185" s="28">
        <v>0</v>
      </c>
      <c r="R185" s="28">
        <v>0</v>
      </c>
      <c r="S185" s="28">
        <v>1</v>
      </c>
    </row>
    <row r="186" spans="1:19" ht="21" customHeight="1">
      <c r="A186" s="8" t="str">
        <f t="shared" si="18"/>
        <v>02031</v>
      </c>
      <c r="B186" s="2">
        <f t="shared" si="17"/>
        <v>133</v>
      </c>
      <c r="C186" s="10" t="str">
        <f t="shared" ca="1" si="15"/>
        <v>0PremiumN4</v>
      </c>
      <c r="D186" s="10" t="str">
        <f t="shared" ca="1" si="16"/>
        <v>0PremiumN4</v>
      </c>
      <c r="E186" s="6">
        <v>0</v>
      </c>
      <c r="F186" s="7">
        <v>203</v>
      </c>
      <c r="G186" s="10" t="str">
        <f ca="1">VLOOKUP($F186,OFFSET([1]characters!$A$2,0,0,COUNTA([1]characters!$A:$A),MATCH(G$1,[1]characters!$2:$2,0)-MATCH($F$1,[1]characters!$2:$2,0)+1),MATCH(G$1,[1]characters!$2:$2,0)-MATCH($F$1,[1]characters!$2:$2,0)+1,FALSE)</f>
        <v>焔神 プロメテウス</v>
      </c>
      <c r="H186" s="10" t="str">
        <f ca="1">VLOOKUP($F186,OFFSET([1]characters!$A$2,0,0,COUNTA([1]characters!$A:$A),MATCH(H$1,[1]characters!$2:$2,0)-MATCH($F$1,[1]characters!$2:$2,0)+1),MATCH(H$1,[1]characters!$2:$2,0)-MATCH($F$1,[1]characters!$2:$2,0)+1,FALSE)</f>
        <v>PremiumN</v>
      </c>
      <c r="I186" s="10">
        <f ca="1">VLOOKUP($F186,OFFSET([1]characters!$A$2,0,0,COUNTA([1]characters!$A:$A),MATCH(I$1,[1]characters!$2:$2,0)-MATCH($F$1,[1]characters!$2:$2,0)+1),MATCH(I$1,[1]characters!$2:$2,0)-MATCH($F$1,[1]characters!$2:$2,0)+1,FALSE)</f>
        <v>4</v>
      </c>
      <c r="J186" s="10" t="str">
        <f ca="1">VLOOKUP($F186,OFFSET([1]characters!$A$2,0,0,COUNTA([1]characters!$A:$A),MATCH(J$1,[1]characters!$2:$2,0)-MATCH($F$1,[1]characters!$2:$2,0)+1),MATCH(J$1,[1]characters!$2:$2,0)-MATCH($F$1,[1]characters!$2:$2,0)+1,FALSE)</f>
        <v>red</v>
      </c>
      <c r="K186" s="10" t="str">
        <f ca="1">VLOOKUP($F186,OFFSET([1]characters!$A$2,0,0,COUNTA([1]characters!$A:$A),MATCH("タイプ",[1]characters!$1:$1,0)-MATCH($F$1,[1]characters!$2:$2,0)+2),MATCH("タイプ",[1]characters!$1:$1,0)-MATCH($F$1,[1]characters!$2:$2,0)+2,FALSE)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6" s="10" t="str">
        <f ca="1">VLOOKUP($F186,OFFSET([1]characters!$A$2,0,0,COUNTA([1]characters!$A:$A),MATCH($L$1,[1]characters!$1:$1,0)-MATCH($F$1,[1]characters!$2:$2,0)+2),MATCH($L$1,[1]characters!$1:$1,0)-MATCH($F$1,[1]characters!$2:$2,0)+2,FALSE)</f>
        <v>ゴッド</v>
      </c>
      <c r="M186" s="6">
        <v>1</v>
      </c>
      <c r="N186" s="40">
        <f ca="1">VLOOKUP(D186,gacha_133_base!A:B,2,FALSE)</f>
        <v>758</v>
      </c>
      <c r="O186" s="28">
        <v>0</v>
      </c>
      <c r="P186" s="28">
        <v>0</v>
      </c>
      <c r="Q186" s="28">
        <v>0</v>
      </c>
      <c r="R186" s="28">
        <v>0</v>
      </c>
      <c r="S186" s="28">
        <v>1</v>
      </c>
    </row>
    <row r="187" spans="1:19" ht="21" customHeight="1">
      <c r="A187" s="8" t="str">
        <f t="shared" si="18"/>
        <v>02061</v>
      </c>
      <c r="B187" s="2">
        <f t="shared" si="17"/>
        <v>133</v>
      </c>
      <c r="C187" s="10" t="str">
        <f t="shared" ca="1" si="15"/>
        <v>0PremiumN4</v>
      </c>
      <c r="D187" s="10" t="str">
        <f t="shared" ca="1" si="16"/>
        <v>0PremiumN4</v>
      </c>
      <c r="E187" s="6">
        <v>0</v>
      </c>
      <c r="F187" s="7">
        <v>206</v>
      </c>
      <c r="G187" s="10" t="str">
        <f ca="1">VLOOKUP($F187,OFFSET([1]characters!$A$2,0,0,COUNTA([1]characters!$A:$A),MATCH(G$1,[1]characters!$2:$2,0)-MATCH($F$1,[1]characters!$2:$2,0)+1),MATCH(G$1,[1]characters!$2:$2,0)-MATCH($F$1,[1]characters!$2:$2,0)+1,FALSE)</f>
        <v>美神 アフロディーテ</v>
      </c>
      <c r="H187" s="10" t="str">
        <f ca="1">VLOOKUP($F187,OFFSET([1]characters!$A$2,0,0,COUNTA([1]characters!$A:$A),MATCH(H$1,[1]characters!$2:$2,0)-MATCH($F$1,[1]characters!$2:$2,0)+1),MATCH(H$1,[1]characters!$2:$2,0)-MATCH($F$1,[1]characters!$2:$2,0)+1,FALSE)</f>
        <v>PremiumN</v>
      </c>
      <c r="I187" s="10">
        <f ca="1">VLOOKUP($F187,OFFSET([1]characters!$A$2,0,0,COUNTA([1]characters!$A:$A),MATCH(I$1,[1]characters!$2:$2,0)-MATCH($F$1,[1]characters!$2:$2,0)+1),MATCH(I$1,[1]characters!$2:$2,0)-MATCH($F$1,[1]characters!$2:$2,0)+1,FALSE)</f>
        <v>4</v>
      </c>
      <c r="J187" s="10" t="str">
        <f ca="1">VLOOKUP($F187,OFFSET([1]characters!$A$2,0,0,COUNTA([1]characters!$A:$A),MATCH(J$1,[1]characters!$2:$2,0)-MATCH($F$1,[1]characters!$2:$2,0)+1),MATCH(J$1,[1]characters!$2:$2,0)-MATCH($F$1,[1]characters!$2:$2,0)+1,FALSE)</f>
        <v>green</v>
      </c>
      <c r="K187" s="10" t="str">
        <f ca="1">VLOOKUP($F187,OFFSET([1]characters!$A$2,0,0,COUNTA([1]characters!$A:$A),MATCH("タイプ",[1]characters!$1:$1,0)-MATCH($F$1,[1]characters!$2:$2,0)+2),MATCH("タイプ",[1]characters!$1:$1,0)-MATCH($F$1,[1]characters!$2:$2,0)+2,FALSE)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7" s="10" t="str">
        <f ca="1">VLOOKUP($F187,OFFSET([1]characters!$A$2,0,0,COUNTA([1]characters!$A:$A),MATCH($L$1,[1]characters!$1:$1,0)-MATCH($F$1,[1]characters!$2:$2,0)+2),MATCH($L$1,[1]characters!$1:$1,0)-MATCH($F$1,[1]characters!$2:$2,0)+2,FALSE)</f>
        <v>ゴッド</v>
      </c>
      <c r="M187" s="6">
        <v>1</v>
      </c>
      <c r="N187" s="40">
        <f ca="1">VLOOKUP(D187,gacha_133_base!A:B,2,FALSE)</f>
        <v>758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8" t="str">
        <f t="shared" si="18"/>
        <v>02091</v>
      </c>
      <c r="B188" s="2">
        <f t="shared" si="17"/>
        <v>133</v>
      </c>
      <c r="C188" s="10" t="str">
        <f t="shared" ca="1" si="15"/>
        <v>0PremiumN4</v>
      </c>
      <c r="D188" s="10" t="str">
        <f t="shared" ca="1" si="16"/>
        <v>0PremiumN4</v>
      </c>
      <c r="E188" s="6">
        <v>0</v>
      </c>
      <c r="F188" s="7">
        <v>209</v>
      </c>
      <c r="G188" s="10" t="str">
        <f ca="1">VLOOKUP($F188,OFFSET([1]characters!$A$2,0,0,COUNTA([1]characters!$A:$A),MATCH(G$1,[1]characters!$2:$2,0)-MATCH($F$1,[1]characters!$2:$2,0)+1),MATCH(G$1,[1]characters!$2:$2,0)-MATCH($F$1,[1]characters!$2:$2,0)+1,FALSE)</f>
        <v>孤神 テティス</v>
      </c>
      <c r="H188" s="10" t="str">
        <f ca="1">VLOOKUP($F188,OFFSET([1]characters!$A$2,0,0,COUNTA([1]characters!$A:$A),MATCH(H$1,[1]characters!$2:$2,0)-MATCH($F$1,[1]characters!$2:$2,0)+1),MATCH(H$1,[1]characters!$2:$2,0)-MATCH($F$1,[1]characters!$2:$2,0)+1,FALSE)</f>
        <v>PremiumN</v>
      </c>
      <c r="I188" s="10">
        <f ca="1">VLOOKUP($F188,OFFSET([1]characters!$A$2,0,0,COUNTA([1]characters!$A:$A),MATCH(I$1,[1]characters!$2:$2,0)-MATCH($F$1,[1]characters!$2:$2,0)+1),MATCH(I$1,[1]characters!$2:$2,0)-MATCH($F$1,[1]characters!$2:$2,0)+1,FALSE)</f>
        <v>4</v>
      </c>
      <c r="J188" s="10" t="str">
        <f ca="1">VLOOKUP($F188,OFFSET([1]characters!$A$2,0,0,COUNTA([1]characters!$A:$A),MATCH(J$1,[1]characters!$2:$2,0)-MATCH($F$1,[1]characters!$2:$2,0)+1),MATCH(J$1,[1]characters!$2:$2,0)-MATCH($F$1,[1]characters!$2:$2,0)+1,FALSE)</f>
        <v>blue</v>
      </c>
      <c r="K188" s="10" t="str">
        <f ca="1">VLOOKUP($F188,OFFSET([1]characters!$A$2,0,0,COUNTA([1]characters!$A:$A),MATCH("タイプ",[1]characters!$1:$1,0)-MATCH($F$1,[1]characters!$2:$2,0)+2),MATCH("タイプ",[1]characters!$1:$1,0)-MATCH($F$1,[1]characters!$2:$2,0)+2,FALSE)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8" s="10" t="str">
        <f ca="1">VLOOKUP($F188,OFFSET([1]characters!$A$2,0,0,COUNTA([1]characters!$A:$A),MATCH($L$1,[1]characters!$1:$1,0)-MATCH($F$1,[1]characters!$2:$2,0)+2),MATCH($L$1,[1]characters!$1:$1,0)-MATCH($F$1,[1]characters!$2:$2,0)+2,FALSE)</f>
        <v>ゴッド</v>
      </c>
      <c r="M188" s="6">
        <v>1</v>
      </c>
      <c r="N188" s="40">
        <f ca="1">VLOOKUP(D188,gacha_133_base!A:B,2,FALSE)</f>
        <v>758</v>
      </c>
      <c r="O188" s="28">
        <v>0</v>
      </c>
      <c r="P188" s="28">
        <v>0</v>
      </c>
      <c r="Q188" s="28">
        <v>0</v>
      </c>
      <c r="R188" s="28">
        <v>0</v>
      </c>
      <c r="S188" s="28">
        <v>1</v>
      </c>
    </row>
    <row r="189" spans="1:19" ht="21" customHeight="1">
      <c r="A189" s="8" t="str">
        <f t="shared" si="18"/>
        <v>02121</v>
      </c>
      <c r="B189" s="2">
        <f t="shared" si="17"/>
        <v>133</v>
      </c>
      <c r="C189" s="10" t="str">
        <f t="shared" ca="1" si="15"/>
        <v>0PremiumN4</v>
      </c>
      <c r="D189" s="10" t="str">
        <f t="shared" ca="1" si="16"/>
        <v>0PremiumN4</v>
      </c>
      <c r="E189" s="6">
        <v>0</v>
      </c>
      <c r="F189" s="7">
        <v>212</v>
      </c>
      <c r="G189" s="10" t="str">
        <f ca="1">VLOOKUP($F189,OFFSET([1]characters!$A$2,0,0,COUNTA([1]characters!$A:$A),MATCH(G$1,[1]characters!$2:$2,0)-MATCH($F$1,[1]characters!$2:$2,0)+1),MATCH(G$1,[1]characters!$2:$2,0)-MATCH($F$1,[1]characters!$2:$2,0)+1,FALSE)</f>
        <v>星神 アストライアー</v>
      </c>
      <c r="H189" s="10" t="str">
        <f ca="1">VLOOKUP($F189,OFFSET([1]characters!$A$2,0,0,COUNTA([1]characters!$A:$A),MATCH(H$1,[1]characters!$2:$2,0)-MATCH($F$1,[1]characters!$2:$2,0)+1),MATCH(H$1,[1]characters!$2:$2,0)-MATCH($F$1,[1]characters!$2:$2,0)+1,FALSE)</f>
        <v>PremiumN</v>
      </c>
      <c r="I189" s="10">
        <f ca="1">VLOOKUP($F189,OFFSET([1]characters!$A$2,0,0,COUNTA([1]characters!$A:$A),MATCH(I$1,[1]characters!$2:$2,0)-MATCH($F$1,[1]characters!$2:$2,0)+1),MATCH(I$1,[1]characters!$2:$2,0)-MATCH($F$1,[1]characters!$2:$2,0)+1,FALSE)</f>
        <v>4</v>
      </c>
      <c r="J189" s="10" t="str">
        <f ca="1">VLOOKUP($F189,OFFSET([1]characters!$A$2,0,0,COUNTA([1]characters!$A:$A),MATCH(J$1,[1]characters!$2:$2,0)-MATCH($F$1,[1]characters!$2:$2,0)+1),MATCH(J$1,[1]characters!$2:$2,0)-MATCH($F$1,[1]characters!$2:$2,0)+1,FALSE)</f>
        <v>yellow</v>
      </c>
      <c r="K189" s="10" t="str">
        <f ca="1">VLOOKUP($F189,OFFSET([1]characters!$A$2,0,0,COUNTA([1]characters!$A:$A),MATCH("タイプ",[1]characters!$1:$1,0)-MATCH($F$1,[1]characters!$2:$2,0)+2),MATCH("タイプ",[1]characters!$1:$1,0)-MATCH($F$1,[1]characters!$2:$2,0)+2,FALSE)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9" s="10" t="str">
        <f ca="1">VLOOKUP($F189,OFFSET([1]characters!$A$2,0,0,COUNTA([1]characters!$A:$A),MATCH($L$1,[1]characters!$1:$1,0)-MATCH($F$1,[1]characters!$2:$2,0)+2),MATCH($L$1,[1]characters!$1:$1,0)-MATCH($F$1,[1]characters!$2:$2,0)+2,FALSE)</f>
        <v>ゴッド</v>
      </c>
      <c r="M189" s="6">
        <v>1</v>
      </c>
      <c r="N189" s="40">
        <f ca="1">VLOOKUP(D189,gacha_133_base!A:B,2,FALSE)</f>
        <v>758</v>
      </c>
      <c r="O189" s="28">
        <v>0</v>
      </c>
      <c r="P189" s="28">
        <v>0</v>
      </c>
      <c r="Q189" s="28">
        <v>0</v>
      </c>
      <c r="R189" s="28">
        <v>0</v>
      </c>
      <c r="S189" s="28">
        <v>1</v>
      </c>
    </row>
    <row r="190" spans="1:19" ht="21" customHeight="1">
      <c r="A190" s="8" t="str">
        <f t="shared" si="18"/>
        <v>02151</v>
      </c>
      <c r="B190" s="2">
        <f t="shared" si="17"/>
        <v>133</v>
      </c>
      <c r="C190" s="10" t="str">
        <f t="shared" ca="1" si="15"/>
        <v>0PremiumN4</v>
      </c>
      <c r="D190" s="10" t="str">
        <f t="shared" ca="1" si="16"/>
        <v>0PremiumN4</v>
      </c>
      <c r="E190" s="6">
        <v>0</v>
      </c>
      <c r="F190" s="7">
        <v>215</v>
      </c>
      <c r="G190" s="10" t="str">
        <f ca="1">VLOOKUP($F190,OFFSET([1]characters!$A$2,0,0,COUNTA([1]characters!$A:$A),MATCH(G$1,[1]characters!$2:$2,0)-MATCH($F$1,[1]characters!$2:$2,0)+1),MATCH(G$1,[1]characters!$2:$2,0)-MATCH($F$1,[1]characters!$2:$2,0)+1,FALSE)</f>
        <v>死導者 アズラエル</v>
      </c>
      <c r="H190" s="10" t="str">
        <f ca="1">VLOOKUP($F190,OFFSET([1]characters!$A$2,0,0,COUNTA([1]characters!$A:$A),MATCH(H$1,[1]characters!$2:$2,0)-MATCH($F$1,[1]characters!$2:$2,0)+1),MATCH(H$1,[1]characters!$2:$2,0)-MATCH($F$1,[1]characters!$2:$2,0)+1,FALSE)</f>
        <v>PremiumN</v>
      </c>
      <c r="I190" s="10">
        <f ca="1">VLOOKUP($F190,OFFSET([1]characters!$A$2,0,0,COUNTA([1]characters!$A:$A),MATCH(I$1,[1]characters!$2:$2,0)-MATCH($F$1,[1]characters!$2:$2,0)+1),MATCH(I$1,[1]characters!$2:$2,0)-MATCH($F$1,[1]characters!$2:$2,0)+1,FALSE)</f>
        <v>4</v>
      </c>
      <c r="J190" s="10" t="str">
        <f ca="1">VLOOKUP($F190,OFFSET([1]characters!$A$2,0,0,COUNTA([1]characters!$A:$A),MATCH(J$1,[1]characters!$2:$2,0)-MATCH($F$1,[1]characters!$2:$2,0)+1),MATCH(J$1,[1]characters!$2:$2,0)-MATCH($F$1,[1]characters!$2:$2,0)+1,FALSE)</f>
        <v>red</v>
      </c>
      <c r="K190" s="10" t="str">
        <f ca="1">VLOOKUP($F190,OFFSET([1]characters!$A$2,0,0,COUNTA([1]characters!$A:$A),MATCH("タイプ",[1]characters!$1:$1,0)-MATCH($F$1,[1]characters!$2:$2,0)+2),MATCH("タイプ",[1]characters!$1:$1,0)-MATCH($F$1,[1]characters!$2:$2,0)+2,FALSE)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0" s="10" t="str">
        <f ca="1">VLOOKUP($F190,OFFSET([1]characters!$A$2,0,0,COUNTA([1]characters!$A:$A),MATCH($L$1,[1]characters!$1:$1,0)-MATCH($F$1,[1]characters!$2:$2,0)+2),MATCH($L$1,[1]characters!$1:$1,0)-MATCH($F$1,[1]characters!$2:$2,0)+2,FALSE)</f>
        <v>ゴッド</v>
      </c>
      <c r="M190" s="6">
        <v>1</v>
      </c>
      <c r="N190" s="40">
        <f ca="1">VLOOKUP(D190,gacha_133_base!A:B,2,FALSE)</f>
        <v>758</v>
      </c>
      <c r="O190" s="28">
        <v>0</v>
      </c>
      <c r="P190" s="28">
        <v>0</v>
      </c>
      <c r="Q190" s="28">
        <v>0</v>
      </c>
      <c r="R190" s="28">
        <v>0</v>
      </c>
      <c r="S190" s="28">
        <v>1</v>
      </c>
    </row>
    <row r="191" spans="1:19" ht="21" customHeight="1">
      <c r="A191" s="8" t="str">
        <f t="shared" si="18"/>
        <v>02181</v>
      </c>
      <c r="B191" s="2">
        <f t="shared" si="17"/>
        <v>133</v>
      </c>
      <c r="C191" s="10" t="str">
        <f t="shared" ca="1" si="15"/>
        <v>0PremiumN4</v>
      </c>
      <c r="D191" s="10" t="str">
        <f t="shared" ca="1" si="16"/>
        <v>0PremiumN4</v>
      </c>
      <c r="E191" s="6">
        <v>0</v>
      </c>
      <c r="F191" s="7">
        <v>218</v>
      </c>
      <c r="G191" s="10" t="str">
        <f ca="1">VLOOKUP($F191,OFFSET([1]characters!$A$2,0,0,COUNTA([1]characters!$A:$A),MATCH(G$1,[1]characters!$2:$2,0)-MATCH($F$1,[1]characters!$2:$2,0)+1),MATCH(G$1,[1]characters!$2:$2,0)-MATCH($F$1,[1]characters!$2:$2,0)+1,FALSE)</f>
        <v>聖蛇 ケツァクアトル</v>
      </c>
      <c r="H191" s="10" t="str">
        <f ca="1">VLOOKUP($F191,OFFSET([1]characters!$A$2,0,0,COUNTA([1]characters!$A:$A),MATCH(H$1,[1]characters!$2:$2,0)-MATCH($F$1,[1]characters!$2:$2,0)+1),MATCH(H$1,[1]characters!$2:$2,0)-MATCH($F$1,[1]characters!$2:$2,0)+1,FALSE)</f>
        <v>PremiumN</v>
      </c>
      <c r="I191" s="10">
        <f ca="1">VLOOKUP($F191,OFFSET([1]characters!$A$2,0,0,COUNTA([1]characters!$A:$A),MATCH(I$1,[1]characters!$2:$2,0)-MATCH($F$1,[1]characters!$2:$2,0)+1),MATCH(I$1,[1]characters!$2:$2,0)-MATCH($F$1,[1]characters!$2:$2,0)+1,FALSE)</f>
        <v>4</v>
      </c>
      <c r="J191" s="10" t="str">
        <f ca="1">VLOOKUP($F191,OFFSET([1]characters!$A$2,0,0,COUNTA([1]characters!$A:$A),MATCH(J$1,[1]characters!$2:$2,0)-MATCH($F$1,[1]characters!$2:$2,0)+1),MATCH(J$1,[1]characters!$2:$2,0)-MATCH($F$1,[1]characters!$2:$2,0)+1,FALSE)</f>
        <v>green</v>
      </c>
      <c r="K191" s="10" t="str">
        <f ca="1">VLOOKUP($F191,OFFSET([1]characters!$A$2,0,0,COUNTA([1]characters!$A:$A),MATCH("タイプ",[1]characters!$1:$1,0)-MATCH($F$1,[1]characters!$2:$2,0)+2),MATCH("タイプ",[1]characters!$1:$1,0)-MATCH($F$1,[1]characters!$2:$2,0)+2,FALSE)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91" s="10" t="str">
        <f ca="1">VLOOKUP($F191,OFFSET([1]characters!$A$2,0,0,COUNTA([1]characters!$A:$A),MATCH($L$1,[1]characters!$1:$1,0)-MATCH($F$1,[1]characters!$2:$2,0)+2),MATCH($L$1,[1]characters!$1:$1,0)-MATCH($F$1,[1]characters!$2:$2,0)+2,FALSE)</f>
        <v>ドラゴン</v>
      </c>
      <c r="M191" s="6">
        <v>1</v>
      </c>
      <c r="N191" s="40">
        <f ca="1">VLOOKUP(D191,gacha_133_base!A:B,2,FALSE)</f>
        <v>758</v>
      </c>
      <c r="O191" s="28">
        <v>0</v>
      </c>
      <c r="P191" s="28">
        <v>0</v>
      </c>
      <c r="Q191" s="28">
        <v>0</v>
      </c>
      <c r="R191" s="28">
        <v>0</v>
      </c>
      <c r="S191" s="28">
        <v>1</v>
      </c>
    </row>
    <row r="192" spans="1:19" ht="21" customHeight="1">
      <c r="A192" s="8" t="str">
        <f t="shared" si="18"/>
        <v>02211</v>
      </c>
      <c r="B192" s="2">
        <f t="shared" si="17"/>
        <v>133</v>
      </c>
      <c r="C192" s="10" t="str">
        <f t="shared" ca="1" si="15"/>
        <v>0PremiumN4</v>
      </c>
      <c r="D192" s="10" t="str">
        <f t="shared" ca="1" si="16"/>
        <v>0PremiumN4</v>
      </c>
      <c r="E192" s="6">
        <v>0</v>
      </c>
      <c r="F192" s="7">
        <v>221</v>
      </c>
      <c r="G192" s="10" t="str">
        <f ca="1">VLOOKUP($F192,OFFSET([1]characters!$A$2,0,0,COUNTA([1]characters!$A:$A),MATCH(G$1,[1]characters!$2:$2,0)-MATCH($F$1,[1]characters!$2:$2,0)+1),MATCH(G$1,[1]characters!$2:$2,0)-MATCH($F$1,[1]characters!$2:$2,0)+1,FALSE)</f>
        <v>宰相 ルキフグス</v>
      </c>
      <c r="H192" s="10" t="str">
        <f ca="1">VLOOKUP($F192,OFFSET([1]characters!$A$2,0,0,COUNTA([1]characters!$A:$A),MATCH(H$1,[1]characters!$2:$2,0)-MATCH($F$1,[1]characters!$2:$2,0)+1),MATCH(H$1,[1]characters!$2:$2,0)-MATCH($F$1,[1]characters!$2:$2,0)+1,FALSE)</f>
        <v>PremiumN</v>
      </c>
      <c r="I192" s="10">
        <f ca="1">VLOOKUP($F192,OFFSET([1]characters!$A$2,0,0,COUNTA([1]characters!$A:$A),MATCH(I$1,[1]characters!$2:$2,0)-MATCH($F$1,[1]characters!$2:$2,0)+1),MATCH(I$1,[1]characters!$2:$2,0)-MATCH($F$1,[1]characters!$2:$2,0)+1,FALSE)</f>
        <v>4</v>
      </c>
      <c r="J192" s="10" t="str">
        <f ca="1">VLOOKUP($F192,OFFSET([1]characters!$A$2,0,0,COUNTA([1]characters!$A:$A),MATCH(J$1,[1]characters!$2:$2,0)-MATCH($F$1,[1]characters!$2:$2,0)+1),MATCH(J$1,[1]characters!$2:$2,0)-MATCH($F$1,[1]characters!$2:$2,0)+1,FALSE)</f>
        <v>blue</v>
      </c>
      <c r="K192" s="10" t="str">
        <f ca="1">VLOOKUP($F192,OFFSET([1]characters!$A$2,0,0,COUNTA([1]characters!$A:$A),MATCH("タイプ",[1]characters!$1:$1,0)-MATCH($F$1,[1]characters!$2:$2,0)+2),MATCH("タイプ",[1]characters!$1:$1,0)-MATCH($F$1,[1]characters!$2:$2,0)+2,FALSE)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2" s="10" t="str">
        <f ca="1">VLOOKUP($F192,OFFSET([1]characters!$A$2,0,0,COUNTA([1]characters!$A:$A),MATCH($L$1,[1]characters!$1:$1,0)-MATCH($F$1,[1]characters!$2:$2,0)+2),MATCH($L$1,[1]characters!$1:$1,0)-MATCH($F$1,[1]characters!$2:$2,0)+2,FALSE)</f>
        <v>ゴッド</v>
      </c>
      <c r="M192" s="6">
        <v>1</v>
      </c>
      <c r="N192" s="40">
        <f ca="1">VLOOKUP(D192,gacha_133_base!A:B,2,FALSE)</f>
        <v>758</v>
      </c>
      <c r="O192" s="28">
        <v>0</v>
      </c>
      <c r="P192" s="28">
        <v>0</v>
      </c>
      <c r="Q192" s="28">
        <v>0</v>
      </c>
      <c r="R192" s="28">
        <v>0</v>
      </c>
      <c r="S192" s="28">
        <v>1</v>
      </c>
    </row>
    <row r="193" spans="1:19" ht="21" customHeight="1">
      <c r="A193" s="8" t="str">
        <f t="shared" si="18"/>
        <v>02241</v>
      </c>
      <c r="B193" s="2">
        <f t="shared" si="17"/>
        <v>133</v>
      </c>
      <c r="C193" s="10" t="str">
        <f t="shared" ca="1" si="15"/>
        <v>0PremiumN4</v>
      </c>
      <c r="D193" s="10" t="str">
        <f t="shared" ca="1" si="16"/>
        <v>0PremiumN4</v>
      </c>
      <c r="E193" s="6">
        <v>0</v>
      </c>
      <c r="F193" s="7">
        <v>224</v>
      </c>
      <c r="G193" s="10" t="str">
        <f ca="1">VLOOKUP($F193,OFFSET([1]characters!$A$2,0,0,COUNTA([1]characters!$A:$A),MATCH(G$1,[1]characters!$2:$2,0)-MATCH($F$1,[1]characters!$2:$2,0)+1),MATCH(G$1,[1]characters!$2:$2,0)-MATCH($F$1,[1]characters!$2:$2,0)+1,FALSE)</f>
        <v>巨腕 ヘラクレス</v>
      </c>
      <c r="H193" s="10" t="str">
        <f ca="1">VLOOKUP($F193,OFFSET([1]characters!$A$2,0,0,COUNTA([1]characters!$A:$A),MATCH(H$1,[1]characters!$2:$2,0)-MATCH($F$1,[1]characters!$2:$2,0)+1),MATCH(H$1,[1]characters!$2:$2,0)-MATCH($F$1,[1]characters!$2:$2,0)+1,FALSE)</f>
        <v>PremiumN</v>
      </c>
      <c r="I193" s="10">
        <f ca="1">VLOOKUP($F193,OFFSET([1]characters!$A$2,0,0,COUNTA([1]characters!$A:$A),MATCH(I$1,[1]characters!$2:$2,0)-MATCH($F$1,[1]characters!$2:$2,0)+1),MATCH(I$1,[1]characters!$2:$2,0)-MATCH($F$1,[1]characters!$2:$2,0)+1,FALSE)</f>
        <v>4</v>
      </c>
      <c r="J193" s="10" t="str">
        <f ca="1">VLOOKUP($F193,OFFSET([1]characters!$A$2,0,0,COUNTA([1]characters!$A:$A),MATCH(J$1,[1]characters!$2:$2,0)-MATCH($F$1,[1]characters!$2:$2,0)+1),MATCH(J$1,[1]characters!$2:$2,0)-MATCH($F$1,[1]characters!$2:$2,0)+1,FALSE)</f>
        <v>yellow</v>
      </c>
      <c r="K193" s="10" t="str">
        <f ca="1">VLOOKUP($F193,OFFSET([1]characters!$A$2,0,0,COUNTA([1]characters!$A:$A),MATCH("タイプ",[1]characters!$1:$1,0)-MATCH($F$1,[1]characters!$2:$2,0)+2),MATCH("タイプ",[1]characters!$1:$1,0)-MATCH($F$1,[1]characters!$2:$2,0)+2,FALSE)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3" s="10" t="str">
        <f ca="1">VLOOKUP($F193,OFFSET([1]characters!$A$2,0,0,COUNTA([1]characters!$A:$A),MATCH($L$1,[1]characters!$1:$1,0)-MATCH($F$1,[1]characters!$2:$2,0)+2),MATCH($L$1,[1]characters!$1:$1,0)-MATCH($F$1,[1]characters!$2:$2,0)+2,FALSE)</f>
        <v>ヒューマン</v>
      </c>
      <c r="M193" s="6">
        <v>1</v>
      </c>
      <c r="N193" s="40">
        <f ca="1">VLOOKUP(D193,gacha_133_base!A:B,2,FALSE)</f>
        <v>758</v>
      </c>
      <c r="O193" s="28">
        <v>0</v>
      </c>
      <c r="P193" s="28">
        <v>0</v>
      </c>
      <c r="Q193" s="28">
        <v>0</v>
      </c>
      <c r="R193" s="28">
        <v>0</v>
      </c>
      <c r="S193" s="28">
        <v>1</v>
      </c>
    </row>
    <row r="194" spans="1:19" ht="21" customHeight="1">
      <c r="A194" s="8" t="str">
        <f t="shared" si="18"/>
        <v>02271</v>
      </c>
      <c r="B194" s="2">
        <f t="shared" si="17"/>
        <v>133</v>
      </c>
      <c r="C194" s="10" t="str">
        <f t="shared" ca="1" si="15"/>
        <v>0PremiumS4</v>
      </c>
      <c r="D194" s="10" t="str">
        <f t="shared" ca="1" si="16"/>
        <v>0PremiumS4</v>
      </c>
      <c r="E194" s="6">
        <v>0</v>
      </c>
      <c r="F194" s="7">
        <v>227</v>
      </c>
      <c r="G194" s="10" t="str">
        <f ca="1">VLOOKUP($F194,OFFSET([1]characters!$A$2,0,0,COUNTA([1]characters!$A:$A),MATCH(G$1,[1]characters!$2:$2,0)-MATCH($F$1,[1]characters!$2:$2,0)+1),MATCH(G$1,[1]characters!$2:$2,0)-MATCH($F$1,[1]characters!$2:$2,0)+1,FALSE)</f>
        <v>滅弾 アレス</v>
      </c>
      <c r="H194" s="10" t="str">
        <f ca="1">VLOOKUP($F194,OFFSET([1]characters!$A$2,0,0,COUNTA([1]characters!$A:$A),MATCH(H$1,[1]characters!$2:$2,0)-MATCH($F$1,[1]characters!$2:$2,0)+1),MATCH(H$1,[1]characters!$2:$2,0)-MATCH($F$1,[1]characters!$2:$2,0)+1,FALSE)</f>
        <v>PremiumS</v>
      </c>
      <c r="I194" s="10">
        <f ca="1">VLOOKUP($F194,OFFSET([1]characters!$A$2,0,0,COUNTA([1]characters!$A:$A),MATCH(I$1,[1]characters!$2:$2,0)-MATCH($F$1,[1]characters!$2:$2,0)+1),MATCH(I$1,[1]characters!$2:$2,0)-MATCH($F$1,[1]characters!$2:$2,0)+1,FALSE)</f>
        <v>4</v>
      </c>
      <c r="J194" s="10" t="str">
        <f ca="1">VLOOKUP($F194,OFFSET([1]characters!$A$2,0,0,COUNTA([1]characters!$A:$A),MATCH(J$1,[1]characters!$2:$2,0)-MATCH($F$1,[1]characters!$2:$2,0)+1),MATCH(J$1,[1]characters!$2:$2,0)-MATCH($F$1,[1]characters!$2:$2,0)+1,FALSE)</f>
        <v>red</v>
      </c>
      <c r="K194" s="10" t="str">
        <f ca="1">VLOOKUP($F194,OFFSET([1]characters!$A$2,0,0,COUNTA([1]characters!$A:$A),MATCH("タイプ",[1]characters!$1:$1,0)-MATCH($F$1,[1]characters!$2:$2,0)+2),MATCH("タイプ",[1]characters!$1:$1,0)-MATCH($F$1,[1]characters!$2:$2,0)+2,FALSE)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4" s="10" t="str">
        <f ca="1">VLOOKUP($F194,OFFSET([1]characters!$A$2,0,0,COUNTA([1]characters!$A:$A),MATCH($L$1,[1]characters!$1:$1,0)-MATCH($F$1,[1]characters!$2:$2,0)+2),MATCH($L$1,[1]characters!$1:$1,0)-MATCH($F$1,[1]characters!$2:$2,0)+2,FALSE)</f>
        <v>ゴッド</v>
      </c>
      <c r="M194" s="6">
        <v>1</v>
      </c>
      <c r="N194" s="40">
        <f ca="1">VLOOKUP(D194,gacha_133_base!A:B,2,FALSE)</f>
        <v>80</v>
      </c>
      <c r="O194" s="28">
        <v>0</v>
      </c>
      <c r="P194" s="28">
        <v>0</v>
      </c>
      <c r="Q194" s="28">
        <v>0</v>
      </c>
      <c r="R194" s="28">
        <v>0</v>
      </c>
      <c r="S194" s="28">
        <v>1</v>
      </c>
    </row>
    <row r="195" spans="1:19" ht="21" customHeight="1">
      <c r="A195" s="8" t="str">
        <f t="shared" si="18"/>
        <v>02301</v>
      </c>
      <c r="B195" s="2">
        <f t="shared" si="17"/>
        <v>133</v>
      </c>
      <c r="C195" s="10" t="str">
        <f t="shared" ca="1" si="15"/>
        <v>0PremiumS4</v>
      </c>
      <c r="D195" s="10" t="str">
        <f t="shared" ca="1" si="16"/>
        <v>0PremiumS4</v>
      </c>
      <c r="E195" s="6">
        <v>0</v>
      </c>
      <c r="F195" s="7">
        <v>230</v>
      </c>
      <c r="G195" s="10" t="str">
        <f ca="1">VLOOKUP($F195,OFFSET([1]characters!$A$2,0,0,COUNTA([1]characters!$A:$A),MATCH(G$1,[1]characters!$2:$2,0)-MATCH($F$1,[1]characters!$2:$2,0)+1),MATCH(G$1,[1]characters!$2:$2,0)-MATCH($F$1,[1]characters!$2:$2,0)+1,FALSE)</f>
        <v>毒銃 ヨルムンガンド</v>
      </c>
      <c r="H195" s="10" t="str">
        <f ca="1">VLOOKUP($F195,OFFSET([1]characters!$A$2,0,0,COUNTA([1]characters!$A:$A),MATCH(H$1,[1]characters!$2:$2,0)-MATCH($F$1,[1]characters!$2:$2,0)+1),MATCH(H$1,[1]characters!$2:$2,0)-MATCH($F$1,[1]characters!$2:$2,0)+1,FALSE)</f>
        <v>PremiumS</v>
      </c>
      <c r="I195" s="10">
        <f ca="1">VLOOKUP($F195,OFFSET([1]characters!$A$2,0,0,COUNTA([1]characters!$A:$A),MATCH(I$1,[1]characters!$2:$2,0)-MATCH($F$1,[1]characters!$2:$2,0)+1),MATCH(I$1,[1]characters!$2:$2,0)-MATCH($F$1,[1]characters!$2:$2,0)+1,FALSE)</f>
        <v>4</v>
      </c>
      <c r="J195" s="10" t="str">
        <f ca="1">VLOOKUP($F195,OFFSET([1]characters!$A$2,0,0,COUNTA([1]characters!$A:$A),MATCH(J$1,[1]characters!$2:$2,0)-MATCH($F$1,[1]characters!$2:$2,0)+1),MATCH(J$1,[1]characters!$2:$2,0)-MATCH($F$1,[1]characters!$2:$2,0)+1,FALSE)</f>
        <v>green</v>
      </c>
      <c r="K195" s="10" t="str">
        <f ca="1">VLOOKUP($F195,OFFSET([1]characters!$A$2,0,0,COUNTA([1]characters!$A:$A),MATCH("タイプ",[1]characters!$1:$1,0)-MATCH($F$1,[1]characters!$2:$2,0)+2),MATCH("タイプ",[1]characters!$1:$1,0)-MATCH($F$1,[1]characters!$2:$2,0)+2,FALSE)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95" s="10" t="str">
        <f ca="1">VLOOKUP($F195,OFFSET([1]characters!$A$2,0,0,COUNTA([1]characters!$A:$A),MATCH($L$1,[1]characters!$1:$1,0)-MATCH($F$1,[1]characters!$2:$2,0)+2),MATCH($L$1,[1]characters!$1:$1,0)-MATCH($F$1,[1]characters!$2:$2,0)+2,FALSE)</f>
        <v>ドラゴン</v>
      </c>
      <c r="M195" s="6">
        <v>1</v>
      </c>
      <c r="N195" s="40">
        <f ca="1">VLOOKUP(D195,gacha_133_base!A:B,2,FALSE)</f>
        <v>80</v>
      </c>
      <c r="O195" s="28">
        <v>0</v>
      </c>
      <c r="P195" s="28">
        <v>0</v>
      </c>
      <c r="Q195" s="28">
        <v>0</v>
      </c>
      <c r="R195" s="28">
        <v>0</v>
      </c>
      <c r="S195" s="28">
        <v>1</v>
      </c>
    </row>
    <row r="196" spans="1:19" ht="21" customHeight="1">
      <c r="A196" s="8" t="str">
        <f t="shared" si="18"/>
        <v>02331</v>
      </c>
      <c r="B196" s="2">
        <f t="shared" si="17"/>
        <v>133</v>
      </c>
      <c r="C196" s="10" t="str">
        <f t="shared" ca="1" si="15"/>
        <v>0PremiumS4</v>
      </c>
      <c r="D196" s="10" t="str">
        <f t="shared" ca="1" si="16"/>
        <v>0PremiumS4</v>
      </c>
      <c r="E196" s="6">
        <v>0</v>
      </c>
      <c r="F196" s="7">
        <v>233</v>
      </c>
      <c r="G196" s="10" t="str">
        <f ca="1">VLOOKUP($F196,OFFSET([1]characters!$A$2,0,0,COUNTA([1]characters!$A:$A),MATCH(G$1,[1]characters!$2:$2,0)-MATCH($F$1,[1]characters!$2:$2,0)+1),MATCH(G$1,[1]characters!$2:$2,0)-MATCH($F$1,[1]characters!$2:$2,0)+1,FALSE)</f>
        <v>遂行 パーシヴァル</v>
      </c>
      <c r="H196" s="10" t="str">
        <f ca="1">VLOOKUP($F196,OFFSET([1]characters!$A$2,0,0,COUNTA([1]characters!$A:$A),MATCH(H$1,[1]characters!$2:$2,0)-MATCH($F$1,[1]characters!$2:$2,0)+1),MATCH(H$1,[1]characters!$2:$2,0)-MATCH($F$1,[1]characters!$2:$2,0)+1,FALSE)</f>
        <v>PremiumS</v>
      </c>
      <c r="I196" s="10">
        <f ca="1">VLOOKUP($F196,OFFSET([1]characters!$A$2,0,0,COUNTA([1]characters!$A:$A),MATCH(I$1,[1]characters!$2:$2,0)-MATCH($F$1,[1]characters!$2:$2,0)+1),MATCH(I$1,[1]characters!$2:$2,0)-MATCH($F$1,[1]characters!$2:$2,0)+1,FALSE)</f>
        <v>4</v>
      </c>
      <c r="J196" s="10" t="str">
        <f ca="1">VLOOKUP($F196,OFFSET([1]characters!$A$2,0,0,COUNTA([1]characters!$A:$A),MATCH(J$1,[1]characters!$2:$2,0)-MATCH($F$1,[1]characters!$2:$2,0)+1),MATCH(J$1,[1]characters!$2:$2,0)-MATCH($F$1,[1]characters!$2:$2,0)+1,FALSE)</f>
        <v>blue</v>
      </c>
      <c r="K196" s="10" t="str">
        <f ca="1">VLOOKUP($F196,OFFSET([1]characters!$A$2,0,0,COUNTA([1]characters!$A:$A),MATCH("タイプ",[1]characters!$1:$1,0)-MATCH($F$1,[1]characters!$2:$2,0)+2),MATCH("タイプ",[1]characters!$1:$1,0)-MATCH($F$1,[1]characters!$2:$2,0)+2,FALSE)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96" s="10" t="str">
        <f ca="1">VLOOKUP($F196,OFFSET([1]characters!$A$2,0,0,COUNTA([1]characters!$A:$A),MATCH($L$1,[1]characters!$1:$1,0)-MATCH($F$1,[1]characters!$2:$2,0)+2),MATCH($L$1,[1]characters!$1:$1,0)-MATCH($F$1,[1]characters!$2:$2,0)+2,FALSE)</f>
        <v>ヒューマン</v>
      </c>
      <c r="M196" s="6">
        <v>1</v>
      </c>
      <c r="N196" s="40">
        <f ca="1">VLOOKUP(D196,gacha_133_base!A:B,2,FALSE)</f>
        <v>80</v>
      </c>
      <c r="O196" s="28">
        <v>0</v>
      </c>
      <c r="P196" s="28">
        <v>0</v>
      </c>
      <c r="Q196" s="28">
        <v>0</v>
      </c>
      <c r="R196" s="28">
        <v>0</v>
      </c>
      <c r="S196" s="28">
        <v>1</v>
      </c>
    </row>
    <row r="197" spans="1:19" ht="21" customHeight="1">
      <c r="A197" s="8" t="str">
        <f t="shared" si="18"/>
        <v>02361</v>
      </c>
      <c r="B197" s="2">
        <f t="shared" si="17"/>
        <v>133</v>
      </c>
      <c r="C197" s="10" t="str">
        <f t="shared" ca="1" si="15"/>
        <v>0PremiumS4</v>
      </c>
      <c r="D197" s="10" t="str">
        <f t="shared" ca="1" si="16"/>
        <v>0PremiumS4</v>
      </c>
      <c r="E197" s="6">
        <v>0</v>
      </c>
      <c r="F197" s="7">
        <v>236</v>
      </c>
      <c r="G197" s="10" t="str">
        <f ca="1">VLOOKUP($F197,OFFSET([1]characters!$A$2,0,0,COUNTA([1]characters!$A:$A),MATCH(G$1,[1]characters!$2:$2,0)-MATCH($F$1,[1]characters!$2:$2,0)+1),MATCH(G$1,[1]characters!$2:$2,0)-MATCH($F$1,[1]characters!$2:$2,0)+1,FALSE)</f>
        <v>神産 イザナミ</v>
      </c>
      <c r="H197" s="10" t="str">
        <f ca="1">VLOOKUP($F197,OFFSET([1]characters!$A$2,0,0,COUNTA([1]characters!$A:$A),MATCH(H$1,[1]characters!$2:$2,0)-MATCH($F$1,[1]characters!$2:$2,0)+1),MATCH(H$1,[1]characters!$2:$2,0)-MATCH($F$1,[1]characters!$2:$2,0)+1,FALSE)</f>
        <v>PremiumS</v>
      </c>
      <c r="I197" s="10">
        <f ca="1">VLOOKUP($F197,OFFSET([1]characters!$A$2,0,0,COUNTA([1]characters!$A:$A),MATCH(I$1,[1]characters!$2:$2,0)-MATCH($F$1,[1]characters!$2:$2,0)+1),MATCH(I$1,[1]characters!$2:$2,0)-MATCH($F$1,[1]characters!$2:$2,0)+1,FALSE)</f>
        <v>4</v>
      </c>
      <c r="J197" s="10" t="str">
        <f ca="1">VLOOKUP($F197,OFFSET([1]characters!$A$2,0,0,COUNTA([1]characters!$A:$A),MATCH(J$1,[1]characters!$2:$2,0)-MATCH($F$1,[1]characters!$2:$2,0)+1),MATCH(J$1,[1]characters!$2:$2,0)-MATCH($F$1,[1]characters!$2:$2,0)+1,FALSE)</f>
        <v>yellow</v>
      </c>
      <c r="K197" s="10" t="str">
        <f ca="1">VLOOKUP($F197,OFFSET([1]characters!$A$2,0,0,COUNTA([1]characters!$A:$A),MATCH("タイプ",[1]characters!$1:$1,0)-MATCH($F$1,[1]characters!$2:$2,0)+2),MATCH("タイプ",[1]characters!$1:$1,0)-MATCH($F$1,[1]characters!$2:$2,0)+2,FALSE)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7" s="10" t="str">
        <f ca="1">VLOOKUP($F197,OFFSET([1]characters!$A$2,0,0,COUNTA([1]characters!$A:$A),MATCH($L$1,[1]characters!$1:$1,0)-MATCH($F$1,[1]characters!$2:$2,0)+2),MATCH($L$1,[1]characters!$1:$1,0)-MATCH($F$1,[1]characters!$2:$2,0)+2,FALSE)</f>
        <v>ゴッド</v>
      </c>
      <c r="M197" s="6">
        <v>1</v>
      </c>
      <c r="N197" s="40">
        <f ca="1">VLOOKUP(D197,gacha_133_base!A:B,2,FALSE)</f>
        <v>80</v>
      </c>
      <c r="O197" s="28">
        <v>0</v>
      </c>
      <c r="P197" s="28">
        <v>0</v>
      </c>
      <c r="Q197" s="28">
        <v>0</v>
      </c>
      <c r="R197" s="28">
        <v>0</v>
      </c>
      <c r="S197" s="28">
        <v>1</v>
      </c>
    </row>
    <row r="198" spans="1:19" ht="21" customHeight="1">
      <c r="A198" s="8" t="str">
        <f t="shared" si="18"/>
        <v>01681</v>
      </c>
      <c r="B198" s="2">
        <f t="shared" si="17"/>
        <v>133</v>
      </c>
      <c r="C198" s="10" t="str">
        <f t="shared" ca="1" si="15"/>
        <v>0PremiumN5</v>
      </c>
      <c r="D198" s="10" t="str">
        <f t="shared" ca="1" si="16"/>
        <v>0PremiumN5</v>
      </c>
      <c r="E198" s="6">
        <v>0</v>
      </c>
      <c r="F198" s="7">
        <v>168</v>
      </c>
      <c r="G198" s="10" t="str">
        <f ca="1">VLOOKUP($F198,OFFSET([1]characters!$A$2,0,0,COUNTA([1]characters!$A:$A),MATCH(G$1,[1]characters!$2:$2,0)-MATCH($F$1,[1]characters!$2:$2,0)+1),MATCH(G$1,[1]characters!$2:$2,0)-MATCH($F$1,[1]characters!$2:$2,0)+1,FALSE)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198" s="10" t="str">
        <f ca="1">VLOOKUP($F198,OFFSET([1]characters!$A$2,0,0,COUNTA([1]characters!$A:$A),MATCH(H$1,[1]characters!$2:$2,0)-MATCH($F$1,[1]characters!$2:$2,0)+1),MATCH(H$1,[1]characters!$2:$2,0)-MATCH($F$1,[1]characters!$2:$2,0)+1,FALSE)</f>
        <v>PremiumN</v>
      </c>
      <c r="I198" s="10">
        <f ca="1">VLOOKUP($F198,OFFSET([1]characters!$A$2,0,0,COUNTA([1]characters!$A:$A),MATCH(I$1,[1]characters!$2:$2,0)-MATCH($F$1,[1]characters!$2:$2,0)+1),MATCH(I$1,[1]characters!$2:$2,0)-MATCH($F$1,[1]characters!$2:$2,0)+1,FALSE)</f>
        <v>5</v>
      </c>
      <c r="J198" s="10" t="str">
        <f ca="1">VLOOKUP($F198,OFFSET([1]characters!$A$2,0,0,COUNTA([1]characters!$A:$A),MATCH(J$1,[1]characters!$2:$2,0)-MATCH($F$1,[1]characters!$2:$2,0)+1),MATCH(J$1,[1]characters!$2:$2,0)-MATCH($F$1,[1]characters!$2:$2,0)+1,FALSE)</f>
        <v>red</v>
      </c>
      <c r="K198" s="10" t="str">
        <f ca="1">VLOOKUP($F198,OFFSET([1]characters!$A$2,0,0,COUNTA([1]characters!$A:$A),MATCH("タイプ",[1]characters!$1:$1,0)-MATCH($F$1,[1]characters!$2:$2,0)+2),MATCH("タイプ",[1]characters!$1:$1,0)-MATCH($F$1,[1]characters!$2:$2,0)+2,FALSE)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8" s="10" t="str">
        <f ca="1">VLOOKUP($F198,OFFSET([1]characters!$A$2,0,0,COUNTA([1]characters!$A:$A),MATCH($L$1,[1]characters!$1:$1,0)-MATCH($F$1,[1]characters!$2:$2,0)+2),MATCH($L$1,[1]characters!$1:$1,0)-MATCH($F$1,[1]characters!$2:$2,0)+2,FALSE)</f>
        <v>ゴッド</v>
      </c>
      <c r="M198" s="6">
        <v>1</v>
      </c>
      <c r="N198" s="40">
        <f ca="1">VLOOKUP(D198,gacha_133_base!A:B,2,FALSE)</f>
        <v>247</v>
      </c>
      <c r="O198" s="28">
        <v>0</v>
      </c>
      <c r="P198" s="28">
        <v>0</v>
      </c>
      <c r="Q198" s="28">
        <v>0</v>
      </c>
      <c r="R198" s="28">
        <v>0</v>
      </c>
      <c r="S198" s="28">
        <v>1</v>
      </c>
    </row>
    <row r="199" spans="1:19" ht="21" customHeight="1">
      <c r="A199" s="8" t="str">
        <f t="shared" si="18"/>
        <v>01711</v>
      </c>
      <c r="B199" s="2">
        <f t="shared" si="17"/>
        <v>133</v>
      </c>
      <c r="C199" s="10" t="str">
        <f t="shared" ca="1" si="15"/>
        <v>0PremiumN5</v>
      </c>
      <c r="D199" s="10" t="str">
        <f t="shared" ca="1" si="16"/>
        <v>0PremiumN5</v>
      </c>
      <c r="E199" s="6">
        <v>0</v>
      </c>
      <c r="F199" s="7">
        <v>171</v>
      </c>
      <c r="G199" s="10" t="str">
        <f ca="1">VLOOKUP($F199,OFFSET([1]characters!$A$2,0,0,COUNTA([1]characters!$A:$A),MATCH(G$1,[1]characters!$2:$2,0)-MATCH($F$1,[1]characters!$2:$2,0)+1),MATCH(G$1,[1]characters!$2:$2,0)-MATCH($F$1,[1]characters!$2:$2,0)+1,FALSE)</f>
        <v>精解の預知者 オセ</v>
      </c>
      <c r="H199" s="10" t="str">
        <f ca="1">VLOOKUP($F199,OFFSET([1]characters!$A$2,0,0,COUNTA([1]characters!$A:$A),MATCH(H$1,[1]characters!$2:$2,0)-MATCH($F$1,[1]characters!$2:$2,0)+1),MATCH(H$1,[1]characters!$2:$2,0)-MATCH($F$1,[1]characters!$2:$2,0)+1,FALSE)</f>
        <v>PremiumN</v>
      </c>
      <c r="I199" s="10">
        <f ca="1">VLOOKUP($F199,OFFSET([1]characters!$A$2,0,0,COUNTA([1]characters!$A:$A),MATCH(I$1,[1]characters!$2:$2,0)-MATCH($F$1,[1]characters!$2:$2,0)+1),MATCH(I$1,[1]characters!$2:$2,0)-MATCH($F$1,[1]characters!$2:$2,0)+1,FALSE)</f>
        <v>5</v>
      </c>
      <c r="J199" s="10" t="str">
        <f ca="1">VLOOKUP($F199,OFFSET([1]characters!$A$2,0,0,COUNTA([1]characters!$A:$A),MATCH(J$1,[1]characters!$2:$2,0)-MATCH($F$1,[1]characters!$2:$2,0)+1),MATCH(J$1,[1]characters!$2:$2,0)-MATCH($F$1,[1]characters!$2:$2,0)+1,FALSE)</f>
        <v>green</v>
      </c>
      <c r="K199" s="10" t="str">
        <f ca="1">VLOOKUP($F199,OFFSET([1]characters!$A$2,0,0,COUNTA([1]characters!$A:$A),MATCH("タイプ",[1]characters!$1:$1,0)-MATCH($F$1,[1]characters!$2:$2,0)+2),MATCH("タイプ",[1]characters!$1:$1,0)-MATCH($F$1,[1]characters!$2:$2,0)+2,FALSE)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9" s="10" t="str">
        <f ca="1">VLOOKUP($F199,OFFSET([1]characters!$A$2,0,0,COUNTA([1]characters!$A:$A),MATCH($L$1,[1]characters!$1:$1,0)-MATCH($F$1,[1]characters!$2:$2,0)+2),MATCH($L$1,[1]characters!$1:$1,0)-MATCH($F$1,[1]characters!$2:$2,0)+2,FALSE)</f>
        <v>ゴッド</v>
      </c>
      <c r="M199" s="6">
        <v>1</v>
      </c>
      <c r="N199" s="40">
        <f ca="1">VLOOKUP(D199,gacha_133_base!A:B,2,FALSE)</f>
        <v>247</v>
      </c>
      <c r="O199" s="28">
        <v>0</v>
      </c>
      <c r="P199" s="28">
        <v>0</v>
      </c>
      <c r="Q199" s="28">
        <v>0</v>
      </c>
      <c r="R199" s="28">
        <v>0</v>
      </c>
      <c r="S199" s="28">
        <v>1</v>
      </c>
    </row>
    <row r="200" spans="1:19" ht="21" customHeight="1">
      <c r="A200" s="8" t="str">
        <f t="shared" si="18"/>
        <v>01741</v>
      </c>
      <c r="B200" s="2">
        <f t="shared" si="17"/>
        <v>133</v>
      </c>
      <c r="C200" s="10" t="str">
        <f t="shared" ca="1" si="15"/>
        <v>0PremiumN5</v>
      </c>
      <c r="D200" s="10" t="str">
        <f t="shared" ca="1" si="16"/>
        <v>0PremiumN5</v>
      </c>
      <c r="E200" s="6">
        <v>0</v>
      </c>
      <c r="F200" s="7">
        <v>174</v>
      </c>
      <c r="G200" s="10" t="str">
        <f ca="1">VLOOKUP($F200,OFFSET([1]characters!$A$2,0,0,COUNTA([1]characters!$A:$A),MATCH(G$1,[1]characters!$2:$2,0)-MATCH($F$1,[1]characters!$2:$2,0)+1),MATCH(G$1,[1]characters!$2:$2,0)-MATCH($F$1,[1]characters!$2:$2,0)+1,FALSE)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200" s="10" t="str">
        <f ca="1">VLOOKUP($F200,OFFSET([1]characters!$A$2,0,0,COUNTA([1]characters!$A:$A),MATCH(H$1,[1]characters!$2:$2,0)-MATCH($F$1,[1]characters!$2:$2,0)+1),MATCH(H$1,[1]characters!$2:$2,0)-MATCH($F$1,[1]characters!$2:$2,0)+1,FALSE)</f>
        <v>PremiumN</v>
      </c>
      <c r="I200" s="10">
        <f ca="1">VLOOKUP($F200,OFFSET([1]characters!$A$2,0,0,COUNTA([1]characters!$A:$A),MATCH(I$1,[1]characters!$2:$2,0)-MATCH($F$1,[1]characters!$2:$2,0)+1),MATCH(I$1,[1]characters!$2:$2,0)-MATCH($F$1,[1]characters!$2:$2,0)+1,FALSE)</f>
        <v>5</v>
      </c>
      <c r="J200" s="10" t="str">
        <f ca="1">VLOOKUP($F200,OFFSET([1]characters!$A$2,0,0,COUNTA([1]characters!$A:$A),MATCH(J$1,[1]characters!$2:$2,0)-MATCH($F$1,[1]characters!$2:$2,0)+1),MATCH(J$1,[1]characters!$2:$2,0)-MATCH($F$1,[1]characters!$2:$2,0)+1,FALSE)</f>
        <v>blue</v>
      </c>
      <c r="K200" s="10" t="str">
        <f ca="1">VLOOKUP($F200,OFFSET([1]characters!$A$2,0,0,COUNTA([1]characters!$A:$A),MATCH("タイプ",[1]characters!$1:$1,0)-MATCH($F$1,[1]characters!$2:$2,0)+2),MATCH("タイプ",[1]characters!$1:$1,0)-MATCH($F$1,[1]characters!$2:$2,0)+2,FALSE)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0" s="10" t="str">
        <f ca="1">VLOOKUP($F200,OFFSET([1]characters!$A$2,0,0,COUNTA([1]characters!$A:$A),MATCH($L$1,[1]characters!$1:$1,0)-MATCH($F$1,[1]characters!$2:$2,0)+2),MATCH($L$1,[1]characters!$1:$1,0)-MATCH($F$1,[1]characters!$2:$2,0)+2,FALSE)</f>
        <v>ゴッド</v>
      </c>
      <c r="M200" s="6">
        <v>1</v>
      </c>
      <c r="N200" s="40">
        <f ca="1">VLOOKUP(D200,gacha_133_base!A:B,2,FALSE)</f>
        <v>247</v>
      </c>
      <c r="O200" s="28">
        <v>0</v>
      </c>
      <c r="P200" s="28">
        <v>0</v>
      </c>
      <c r="Q200" s="28">
        <v>0</v>
      </c>
      <c r="R200" s="28">
        <v>0</v>
      </c>
      <c r="S200" s="28">
        <v>1</v>
      </c>
    </row>
    <row r="201" spans="1:19" ht="21" customHeight="1">
      <c r="A201" s="8" t="str">
        <f t="shared" si="18"/>
        <v>01771</v>
      </c>
      <c r="B201" s="2">
        <f t="shared" si="17"/>
        <v>133</v>
      </c>
      <c r="C201" s="10" t="str">
        <f t="shared" ca="1" si="15"/>
        <v>0PremiumN5</v>
      </c>
      <c r="D201" s="10" t="str">
        <f t="shared" ca="1" si="16"/>
        <v>0PremiumN5</v>
      </c>
      <c r="E201" s="6">
        <v>0</v>
      </c>
      <c r="F201" s="7">
        <v>177</v>
      </c>
      <c r="G201" s="10" t="str">
        <f ca="1">VLOOKUP($F201,OFFSET([1]characters!$A$2,0,0,COUNTA([1]characters!$A:$A),MATCH(G$1,[1]characters!$2:$2,0)-MATCH($F$1,[1]characters!$2:$2,0)+1),MATCH(G$1,[1]characters!$2:$2,0)-MATCH($F$1,[1]characters!$2:$2,0)+1,FALSE)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201" s="10" t="str">
        <f ca="1">VLOOKUP($F201,OFFSET([1]characters!$A$2,0,0,COUNTA([1]characters!$A:$A),MATCH(H$1,[1]characters!$2:$2,0)-MATCH($F$1,[1]characters!$2:$2,0)+1),MATCH(H$1,[1]characters!$2:$2,0)-MATCH($F$1,[1]characters!$2:$2,0)+1,FALSE)</f>
        <v>PremiumN</v>
      </c>
      <c r="I201" s="10">
        <f ca="1">VLOOKUP($F201,OFFSET([1]characters!$A$2,0,0,COUNTA([1]characters!$A:$A),MATCH(I$1,[1]characters!$2:$2,0)-MATCH($F$1,[1]characters!$2:$2,0)+1),MATCH(I$1,[1]characters!$2:$2,0)-MATCH($F$1,[1]characters!$2:$2,0)+1,FALSE)</f>
        <v>5</v>
      </c>
      <c r="J201" s="10" t="str">
        <f ca="1">VLOOKUP($F201,OFFSET([1]characters!$A$2,0,0,COUNTA([1]characters!$A:$A),MATCH(J$1,[1]characters!$2:$2,0)-MATCH($F$1,[1]characters!$2:$2,0)+1),MATCH(J$1,[1]characters!$2:$2,0)-MATCH($F$1,[1]characters!$2:$2,0)+1,FALSE)</f>
        <v>yellow</v>
      </c>
      <c r="K201" s="10" t="str">
        <f ca="1">VLOOKUP($F201,OFFSET([1]characters!$A$2,0,0,COUNTA([1]characters!$A:$A),MATCH("タイプ",[1]characters!$1:$1,0)-MATCH($F$1,[1]characters!$2:$2,0)+2),MATCH("タイプ",[1]characters!$1:$1,0)-MATCH($F$1,[1]characters!$2:$2,0)+2,FALSE)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1" s="10" t="str">
        <f ca="1">VLOOKUP($F201,OFFSET([1]characters!$A$2,0,0,COUNTA([1]characters!$A:$A),MATCH($L$1,[1]characters!$1:$1,0)-MATCH($F$1,[1]characters!$2:$2,0)+2),MATCH($L$1,[1]characters!$1:$1,0)-MATCH($F$1,[1]characters!$2:$2,0)+2,FALSE)</f>
        <v>ゴッド</v>
      </c>
      <c r="M201" s="6">
        <v>1</v>
      </c>
      <c r="N201" s="40">
        <f ca="1">VLOOKUP(D201,gacha_133_base!A:B,2,FALSE)</f>
        <v>247</v>
      </c>
      <c r="O201" s="28">
        <v>0</v>
      </c>
      <c r="P201" s="28">
        <v>0</v>
      </c>
      <c r="Q201" s="28">
        <v>0</v>
      </c>
      <c r="R201" s="28">
        <v>0</v>
      </c>
      <c r="S201" s="28">
        <v>1</v>
      </c>
    </row>
    <row r="202" spans="1:19" ht="21" customHeight="1">
      <c r="A202" s="8" t="str">
        <f t="shared" si="18"/>
        <v>01801</v>
      </c>
      <c r="B202" s="2">
        <f t="shared" si="17"/>
        <v>133</v>
      </c>
      <c r="C202" s="10" t="str">
        <f t="shared" ca="1" si="15"/>
        <v>0PremiumN5</v>
      </c>
      <c r="D202" s="10" t="str">
        <f t="shared" ca="1" si="16"/>
        <v>0PremiumN5</v>
      </c>
      <c r="E202" s="6">
        <v>0</v>
      </c>
      <c r="F202" s="7">
        <v>180</v>
      </c>
      <c r="G202" s="10" t="str">
        <f ca="1">VLOOKUP($F202,OFFSET([1]characters!$A$2,0,0,COUNTA([1]characters!$A:$A),MATCH(G$1,[1]characters!$2:$2,0)-MATCH($F$1,[1]characters!$2:$2,0)+1),MATCH(G$1,[1]characters!$2:$2,0)-MATCH($F$1,[1]characters!$2:$2,0)+1,FALSE)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202" s="10" t="str">
        <f ca="1">VLOOKUP($F202,OFFSET([1]characters!$A$2,0,0,COUNTA([1]characters!$A:$A),MATCH(H$1,[1]characters!$2:$2,0)-MATCH($F$1,[1]characters!$2:$2,0)+1),MATCH(H$1,[1]characters!$2:$2,0)-MATCH($F$1,[1]characters!$2:$2,0)+1,FALSE)</f>
        <v>PremiumN</v>
      </c>
      <c r="I202" s="10">
        <f ca="1">VLOOKUP($F202,OFFSET([1]characters!$A$2,0,0,COUNTA([1]characters!$A:$A),MATCH(I$1,[1]characters!$2:$2,0)-MATCH($F$1,[1]characters!$2:$2,0)+1),MATCH(I$1,[1]characters!$2:$2,0)-MATCH($F$1,[1]characters!$2:$2,0)+1,FALSE)</f>
        <v>5</v>
      </c>
      <c r="J202" s="10" t="str">
        <f ca="1">VLOOKUP($F202,OFFSET([1]characters!$A$2,0,0,COUNTA([1]characters!$A:$A),MATCH(J$1,[1]characters!$2:$2,0)-MATCH($F$1,[1]characters!$2:$2,0)+1),MATCH(J$1,[1]characters!$2:$2,0)-MATCH($F$1,[1]characters!$2:$2,0)+1,FALSE)</f>
        <v>red</v>
      </c>
      <c r="K202" s="10" t="str">
        <f ca="1">VLOOKUP($F202,OFFSET([1]characters!$A$2,0,0,COUNTA([1]characters!$A:$A),MATCH("タイプ",[1]characters!$1:$1,0)-MATCH($F$1,[1]characters!$2:$2,0)+2),MATCH("タイプ",[1]characters!$1:$1,0)-MATCH($F$1,[1]characters!$2:$2,0)+2,FALSE)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2" s="10" t="str">
        <f ca="1">VLOOKUP($F202,OFFSET([1]characters!$A$2,0,0,COUNTA([1]characters!$A:$A),MATCH($L$1,[1]characters!$1:$1,0)-MATCH($F$1,[1]characters!$2:$2,0)+2),MATCH($L$1,[1]characters!$1:$1,0)-MATCH($F$1,[1]characters!$2:$2,0)+2,FALSE)</f>
        <v>アニマル</v>
      </c>
      <c r="M202" s="6">
        <v>1</v>
      </c>
      <c r="N202" s="40">
        <f ca="1">VLOOKUP(D202,gacha_133_base!A:B,2,FALSE)</f>
        <v>247</v>
      </c>
      <c r="O202" s="28">
        <v>0</v>
      </c>
      <c r="P202" s="28">
        <v>0</v>
      </c>
      <c r="Q202" s="28">
        <v>0</v>
      </c>
      <c r="R202" s="28">
        <v>0</v>
      </c>
      <c r="S202" s="28">
        <v>1</v>
      </c>
    </row>
    <row r="203" spans="1:19" ht="21" customHeight="1">
      <c r="A203" s="8" t="str">
        <f t="shared" si="18"/>
        <v>01831</v>
      </c>
      <c r="B203" s="2">
        <f t="shared" si="17"/>
        <v>133</v>
      </c>
      <c r="C203" s="10" t="str">
        <f t="shared" ref="C203:C266" ca="1" si="19">E203&amp;H203&amp;I203</f>
        <v>0PremiumN5</v>
      </c>
      <c r="D203" s="10" t="str">
        <f t="shared" ref="D203:D263" ca="1" si="20">E203&amp;H203&amp;I203</f>
        <v>0PremiumN5</v>
      </c>
      <c r="E203" s="6">
        <v>0</v>
      </c>
      <c r="F203" s="7">
        <v>183</v>
      </c>
      <c r="G203" s="10" t="str">
        <f ca="1">VLOOKUP($F203,OFFSET([1]characters!$A$2,0,0,COUNTA([1]characters!$A:$A),MATCH(G$1,[1]characters!$2:$2,0)-MATCH($F$1,[1]characters!$2:$2,0)+1),MATCH(G$1,[1]characters!$2:$2,0)-MATCH($F$1,[1]characters!$2:$2,0)+1,FALSE)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203" s="10" t="str">
        <f ca="1">VLOOKUP($F203,OFFSET([1]characters!$A$2,0,0,COUNTA([1]characters!$A:$A),MATCH(H$1,[1]characters!$2:$2,0)-MATCH($F$1,[1]characters!$2:$2,0)+1),MATCH(H$1,[1]characters!$2:$2,0)-MATCH($F$1,[1]characters!$2:$2,0)+1,FALSE)</f>
        <v>PremiumN</v>
      </c>
      <c r="I203" s="10">
        <f ca="1">VLOOKUP($F203,OFFSET([1]characters!$A$2,0,0,COUNTA([1]characters!$A:$A),MATCH(I$1,[1]characters!$2:$2,0)-MATCH($F$1,[1]characters!$2:$2,0)+1),MATCH(I$1,[1]characters!$2:$2,0)-MATCH($F$1,[1]characters!$2:$2,0)+1,FALSE)</f>
        <v>5</v>
      </c>
      <c r="J203" s="10" t="str">
        <f ca="1">VLOOKUP($F203,OFFSET([1]characters!$A$2,0,0,COUNTA([1]characters!$A:$A),MATCH(J$1,[1]characters!$2:$2,0)-MATCH($F$1,[1]characters!$2:$2,0)+1),MATCH(J$1,[1]characters!$2:$2,0)-MATCH($F$1,[1]characters!$2:$2,0)+1,FALSE)</f>
        <v>green</v>
      </c>
      <c r="K203" s="10" t="str">
        <f ca="1">VLOOKUP($F203,OFFSET([1]characters!$A$2,0,0,COUNTA([1]characters!$A:$A),MATCH("タイプ",[1]characters!$1:$1,0)-MATCH($F$1,[1]characters!$2:$2,0)+2),MATCH("タイプ",[1]characters!$1:$1,0)-MATCH($F$1,[1]characters!$2:$2,0)+2,FALSE)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3" s="10" t="str">
        <f ca="1">VLOOKUP($F203,OFFSET([1]characters!$A$2,0,0,COUNTA([1]characters!$A:$A),MATCH($L$1,[1]characters!$1:$1,0)-MATCH($F$1,[1]characters!$2:$2,0)+2),MATCH($L$1,[1]characters!$1:$1,0)-MATCH($F$1,[1]characters!$2:$2,0)+2,FALSE)</f>
        <v>アニマル</v>
      </c>
      <c r="M203" s="6">
        <v>1</v>
      </c>
      <c r="N203" s="40">
        <f ca="1">VLOOKUP(D203,gacha_133_base!A:B,2,FALSE)</f>
        <v>247</v>
      </c>
      <c r="O203" s="28">
        <v>0</v>
      </c>
      <c r="P203" s="28">
        <v>0</v>
      </c>
      <c r="Q203" s="28">
        <v>0</v>
      </c>
      <c r="R203" s="28">
        <v>0</v>
      </c>
      <c r="S203" s="28">
        <v>1</v>
      </c>
    </row>
    <row r="204" spans="1:19" ht="21" customHeight="1">
      <c r="A204" s="8" t="str">
        <f t="shared" si="18"/>
        <v>01861</v>
      </c>
      <c r="B204" s="2">
        <f t="shared" ref="B204:B267" si="21">$B$2</f>
        <v>133</v>
      </c>
      <c r="C204" s="10" t="str">
        <f t="shared" ca="1" si="19"/>
        <v>0PremiumN5</v>
      </c>
      <c r="D204" s="10" t="str">
        <f t="shared" ca="1" si="20"/>
        <v>0PremiumN5</v>
      </c>
      <c r="E204" s="6">
        <v>0</v>
      </c>
      <c r="F204" s="7">
        <v>186</v>
      </c>
      <c r="G204" s="10" t="str">
        <f ca="1">VLOOKUP($F204,OFFSET([1]characters!$A$2,0,0,COUNTA([1]characters!$A:$A),MATCH(G$1,[1]characters!$2:$2,0)-MATCH($F$1,[1]characters!$2:$2,0)+1),MATCH(G$1,[1]characters!$2:$2,0)-MATCH($F$1,[1]characters!$2:$2,0)+1,FALSE)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204" s="10" t="str">
        <f ca="1">VLOOKUP($F204,OFFSET([1]characters!$A$2,0,0,COUNTA([1]characters!$A:$A),MATCH(H$1,[1]characters!$2:$2,0)-MATCH($F$1,[1]characters!$2:$2,0)+1),MATCH(H$1,[1]characters!$2:$2,0)-MATCH($F$1,[1]characters!$2:$2,0)+1,FALSE)</f>
        <v>PremiumN</v>
      </c>
      <c r="I204" s="10">
        <f ca="1">VLOOKUP($F204,OFFSET([1]characters!$A$2,0,0,COUNTA([1]characters!$A:$A),MATCH(I$1,[1]characters!$2:$2,0)-MATCH($F$1,[1]characters!$2:$2,0)+1),MATCH(I$1,[1]characters!$2:$2,0)-MATCH($F$1,[1]characters!$2:$2,0)+1,FALSE)</f>
        <v>5</v>
      </c>
      <c r="J204" s="10" t="str">
        <f ca="1">VLOOKUP($F204,OFFSET([1]characters!$A$2,0,0,COUNTA([1]characters!$A:$A),MATCH(J$1,[1]characters!$2:$2,0)-MATCH($F$1,[1]characters!$2:$2,0)+1),MATCH(J$1,[1]characters!$2:$2,0)-MATCH($F$1,[1]characters!$2:$2,0)+1,FALSE)</f>
        <v>blue</v>
      </c>
      <c r="K204" s="10" t="str">
        <f ca="1">VLOOKUP($F204,OFFSET([1]characters!$A$2,0,0,COUNTA([1]characters!$A:$A),MATCH("タイプ",[1]characters!$1:$1,0)-MATCH($F$1,[1]characters!$2:$2,0)+2),MATCH("タイプ",[1]characters!$1:$1,0)-MATCH($F$1,[1]characters!$2:$2,0)+2,FALSE)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04" s="10" t="str">
        <f ca="1">VLOOKUP($F204,OFFSET([1]characters!$A$2,0,0,COUNTA([1]characters!$A:$A),MATCH($L$1,[1]characters!$1:$1,0)-MATCH($F$1,[1]characters!$2:$2,0)+2),MATCH($L$1,[1]characters!$1:$1,0)-MATCH($F$1,[1]characters!$2:$2,0)+2,FALSE)</f>
        <v>アニマル</v>
      </c>
      <c r="M204" s="6">
        <v>1</v>
      </c>
      <c r="N204" s="40">
        <f ca="1">VLOOKUP(D204,gacha_133_base!A:B,2,FALSE)</f>
        <v>247</v>
      </c>
      <c r="O204" s="28">
        <v>0</v>
      </c>
      <c r="P204" s="28">
        <v>0</v>
      </c>
      <c r="Q204" s="28">
        <v>0</v>
      </c>
      <c r="R204" s="28">
        <v>0</v>
      </c>
      <c r="S204" s="28">
        <v>1</v>
      </c>
    </row>
    <row r="205" spans="1:19" ht="21" customHeight="1">
      <c r="A205" s="8" t="str">
        <f t="shared" si="18"/>
        <v>01891</v>
      </c>
      <c r="B205" s="2">
        <f t="shared" si="21"/>
        <v>133</v>
      </c>
      <c r="C205" s="10" t="str">
        <f t="shared" ca="1" si="19"/>
        <v>0PremiumN5</v>
      </c>
      <c r="D205" s="10" t="str">
        <f t="shared" ca="1" si="20"/>
        <v>0PremiumN5</v>
      </c>
      <c r="E205" s="6">
        <v>0</v>
      </c>
      <c r="F205" s="7">
        <v>189</v>
      </c>
      <c r="G205" s="10" t="str">
        <f ca="1">VLOOKUP($F205,OFFSET([1]characters!$A$2,0,0,COUNTA([1]characters!$A:$A),MATCH(G$1,[1]characters!$2:$2,0)-MATCH($F$1,[1]characters!$2:$2,0)+1),MATCH(G$1,[1]characters!$2:$2,0)-MATCH($F$1,[1]characters!$2:$2,0)+1,FALSE)</f>
        <v>迅雷の王禽 ホルス</v>
      </c>
      <c r="H205" s="10" t="str">
        <f ca="1">VLOOKUP($F205,OFFSET([1]characters!$A$2,0,0,COUNTA([1]characters!$A:$A),MATCH(H$1,[1]characters!$2:$2,0)-MATCH($F$1,[1]characters!$2:$2,0)+1),MATCH(H$1,[1]characters!$2:$2,0)-MATCH($F$1,[1]characters!$2:$2,0)+1,FALSE)</f>
        <v>PremiumN</v>
      </c>
      <c r="I205" s="10">
        <f ca="1">VLOOKUP($F205,OFFSET([1]characters!$A$2,0,0,COUNTA([1]characters!$A:$A),MATCH(I$1,[1]characters!$2:$2,0)-MATCH($F$1,[1]characters!$2:$2,0)+1),MATCH(I$1,[1]characters!$2:$2,0)-MATCH($F$1,[1]characters!$2:$2,0)+1,FALSE)</f>
        <v>5</v>
      </c>
      <c r="J205" s="10" t="str">
        <f ca="1">VLOOKUP($F205,OFFSET([1]characters!$A$2,0,0,COUNTA([1]characters!$A:$A),MATCH(J$1,[1]characters!$2:$2,0)-MATCH($F$1,[1]characters!$2:$2,0)+1),MATCH(J$1,[1]characters!$2:$2,0)-MATCH($F$1,[1]characters!$2:$2,0)+1,FALSE)</f>
        <v>yellow</v>
      </c>
      <c r="K205" s="10" t="str">
        <f ca="1">VLOOKUP($F205,OFFSET([1]characters!$A$2,0,0,COUNTA([1]characters!$A:$A),MATCH("タイプ",[1]characters!$1:$1,0)-MATCH($F$1,[1]characters!$2:$2,0)+2),MATCH("タイプ",[1]characters!$1:$1,0)-MATCH($F$1,[1]characters!$2:$2,0)+2,FALSE)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5" s="10" t="str">
        <f ca="1">VLOOKUP($F205,OFFSET([1]characters!$A$2,0,0,COUNTA([1]characters!$A:$A),MATCH($L$1,[1]characters!$1:$1,0)-MATCH($F$1,[1]characters!$2:$2,0)+2),MATCH($L$1,[1]characters!$1:$1,0)-MATCH($F$1,[1]characters!$2:$2,0)+2,FALSE)</f>
        <v>アニマル</v>
      </c>
      <c r="M205" s="6">
        <v>1</v>
      </c>
      <c r="N205" s="40">
        <f ca="1">VLOOKUP(D205,gacha_133_base!A:B,2,FALSE)</f>
        <v>247</v>
      </c>
      <c r="O205" s="28">
        <v>0</v>
      </c>
      <c r="P205" s="28">
        <v>0</v>
      </c>
      <c r="Q205" s="28">
        <v>0</v>
      </c>
      <c r="R205" s="28">
        <v>0</v>
      </c>
      <c r="S205" s="28">
        <v>1</v>
      </c>
    </row>
    <row r="206" spans="1:19" ht="21" customHeight="1">
      <c r="A206" s="8" t="str">
        <f t="shared" si="18"/>
        <v>01921</v>
      </c>
      <c r="B206" s="2">
        <f t="shared" si="21"/>
        <v>133</v>
      </c>
      <c r="C206" s="10" t="str">
        <f t="shared" ca="1" si="19"/>
        <v>0PremiumN5</v>
      </c>
      <c r="D206" s="10" t="str">
        <f t="shared" ca="1" si="20"/>
        <v>0PremiumN5</v>
      </c>
      <c r="E206" s="6">
        <v>0</v>
      </c>
      <c r="F206" s="7">
        <v>192</v>
      </c>
      <c r="G206" s="10" t="str">
        <f ca="1">VLOOKUP($F206,OFFSET([1]characters!$A$2,0,0,COUNTA([1]characters!$A:$A),MATCH(G$1,[1]characters!$2:$2,0)-MATCH($F$1,[1]characters!$2:$2,0)+1),MATCH(G$1,[1]characters!$2:$2,0)-MATCH($F$1,[1]characters!$2:$2,0)+1,FALSE)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206" s="10" t="str">
        <f ca="1">VLOOKUP($F206,OFFSET([1]characters!$A$2,0,0,COUNTA([1]characters!$A:$A),MATCH(H$1,[1]characters!$2:$2,0)-MATCH($F$1,[1]characters!$2:$2,0)+1),MATCH(H$1,[1]characters!$2:$2,0)-MATCH($F$1,[1]characters!$2:$2,0)+1,FALSE)</f>
        <v>PremiumN</v>
      </c>
      <c r="I206" s="10">
        <f ca="1">VLOOKUP($F206,OFFSET([1]characters!$A$2,0,0,COUNTA([1]characters!$A:$A),MATCH(I$1,[1]characters!$2:$2,0)-MATCH($F$1,[1]characters!$2:$2,0)+1),MATCH(I$1,[1]characters!$2:$2,0)-MATCH($F$1,[1]characters!$2:$2,0)+1,FALSE)</f>
        <v>5</v>
      </c>
      <c r="J206" s="10" t="str">
        <f ca="1">VLOOKUP($F206,OFFSET([1]characters!$A$2,0,0,COUNTA([1]characters!$A:$A),MATCH(J$1,[1]characters!$2:$2,0)-MATCH($F$1,[1]characters!$2:$2,0)+1),MATCH(J$1,[1]characters!$2:$2,0)-MATCH($F$1,[1]characters!$2:$2,0)+1,FALSE)</f>
        <v>red</v>
      </c>
      <c r="K206" s="10" t="str">
        <f ca="1">VLOOKUP($F206,OFFSET([1]characters!$A$2,0,0,COUNTA([1]characters!$A:$A),MATCH("タイプ",[1]characters!$1:$1,0)-MATCH($F$1,[1]characters!$2:$2,0)+2),MATCH("タイプ",[1]characters!$1:$1,0)-MATCH($F$1,[1]characters!$2:$2,0)+2,FALSE)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6" s="10" t="str">
        <f ca="1">VLOOKUP($F206,OFFSET([1]characters!$A$2,0,0,COUNTA([1]characters!$A:$A),MATCH($L$1,[1]characters!$1:$1,0)-MATCH($F$1,[1]characters!$2:$2,0)+2),MATCH($L$1,[1]characters!$1:$1,0)-MATCH($F$1,[1]characters!$2:$2,0)+2,FALSE)</f>
        <v>ヒューマン</v>
      </c>
      <c r="M206" s="6">
        <v>1</v>
      </c>
      <c r="N206" s="40">
        <f ca="1">VLOOKUP(D206,gacha_133_base!A:B,2,FALSE)</f>
        <v>247</v>
      </c>
      <c r="O206" s="28">
        <v>0</v>
      </c>
      <c r="P206" s="28">
        <v>0</v>
      </c>
      <c r="Q206" s="28">
        <v>0</v>
      </c>
      <c r="R206" s="28">
        <v>0</v>
      </c>
      <c r="S206" s="28">
        <v>1</v>
      </c>
    </row>
    <row r="207" spans="1:19" ht="21" customHeight="1">
      <c r="A207" s="8" t="str">
        <f t="shared" si="18"/>
        <v>01951</v>
      </c>
      <c r="B207" s="2">
        <f t="shared" si="21"/>
        <v>133</v>
      </c>
      <c r="C207" s="10" t="str">
        <f t="shared" ca="1" si="19"/>
        <v>0PremiumN5</v>
      </c>
      <c r="D207" s="10" t="str">
        <f t="shared" ca="1" si="20"/>
        <v>0PremiumN5</v>
      </c>
      <c r="E207" s="6">
        <v>0</v>
      </c>
      <c r="F207" s="7">
        <v>195</v>
      </c>
      <c r="G207" s="10" t="str">
        <f ca="1">VLOOKUP($F207,OFFSET([1]characters!$A$2,0,0,COUNTA([1]characters!$A:$A),MATCH(G$1,[1]characters!$2:$2,0)-MATCH($F$1,[1]characters!$2:$2,0)+1),MATCH(G$1,[1]characters!$2:$2,0)-MATCH($F$1,[1]characters!$2:$2,0)+1,FALSE)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207" s="10" t="str">
        <f ca="1">VLOOKUP($F207,OFFSET([1]characters!$A$2,0,0,COUNTA([1]characters!$A:$A),MATCH(H$1,[1]characters!$2:$2,0)-MATCH($F$1,[1]characters!$2:$2,0)+1),MATCH(H$1,[1]characters!$2:$2,0)-MATCH($F$1,[1]characters!$2:$2,0)+1,FALSE)</f>
        <v>PremiumN</v>
      </c>
      <c r="I207" s="10">
        <f ca="1">VLOOKUP($F207,OFFSET([1]characters!$A$2,0,0,COUNTA([1]characters!$A:$A),MATCH(I$1,[1]characters!$2:$2,0)-MATCH($F$1,[1]characters!$2:$2,0)+1),MATCH(I$1,[1]characters!$2:$2,0)-MATCH($F$1,[1]characters!$2:$2,0)+1,FALSE)</f>
        <v>5</v>
      </c>
      <c r="J207" s="10" t="str">
        <f ca="1">VLOOKUP($F207,OFFSET([1]characters!$A$2,0,0,COUNTA([1]characters!$A:$A),MATCH(J$1,[1]characters!$2:$2,0)-MATCH($F$1,[1]characters!$2:$2,0)+1),MATCH(J$1,[1]characters!$2:$2,0)-MATCH($F$1,[1]characters!$2:$2,0)+1,FALSE)</f>
        <v>green</v>
      </c>
      <c r="K207" s="10" t="str">
        <f ca="1">VLOOKUP($F207,OFFSET([1]characters!$A$2,0,0,COUNTA([1]characters!$A:$A),MATCH("タイプ",[1]characters!$1:$1,0)-MATCH($F$1,[1]characters!$2:$2,0)+2),MATCH("タイプ",[1]characters!$1:$1,0)-MATCH($F$1,[1]characters!$2:$2,0)+2,FALSE)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7" s="10" t="str">
        <f ca="1">VLOOKUP($F207,OFFSET([1]characters!$A$2,0,0,COUNTA([1]characters!$A:$A),MATCH($L$1,[1]characters!$1:$1,0)-MATCH($F$1,[1]characters!$2:$2,0)+2),MATCH($L$1,[1]characters!$1:$1,0)-MATCH($F$1,[1]characters!$2:$2,0)+2,FALSE)</f>
        <v>ヒューマン</v>
      </c>
      <c r="M207" s="6">
        <v>1</v>
      </c>
      <c r="N207" s="40">
        <f ca="1">VLOOKUP(D207,gacha_133_base!A:B,2,FALSE)</f>
        <v>247</v>
      </c>
      <c r="O207" s="28">
        <v>0</v>
      </c>
      <c r="P207" s="28">
        <v>0</v>
      </c>
      <c r="Q207" s="28">
        <v>0</v>
      </c>
      <c r="R207" s="28">
        <v>0</v>
      </c>
      <c r="S207" s="28">
        <v>1</v>
      </c>
    </row>
    <row r="208" spans="1:19" ht="21" customHeight="1">
      <c r="A208" s="8" t="str">
        <f t="shared" si="18"/>
        <v>01981</v>
      </c>
      <c r="B208" s="2">
        <f t="shared" si="21"/>
        <v>133</v>
      </c>
      <c r="C208" s="10" t="str">
        <f t="shared" ca="1" si="19"/>
        <v>0PremiumN5</v>
      </c>
      <c r="D208" s="10" t="str">
        <f t="shared" ca="1" si="20"/>
        <v>0PremiumN5</v>
      </c>
      <c r="E208" s="6">
        <v>0</v>
      </c>
      <c r="F208" s="7">
        <v>198</v>
      </c>
      <c r="G208" s="10" t="str">
        <f ca="1">VLOOKUP($F208,OFFSET([1]characters!$A$2,0,0,COUNTA([1]characters!$A:$A),MATCH(G$1,[1]characters!$2:$2,0)-MATCH($F$1,[1]characters!$2:$2,0)+1),MATCH(G$1,[1]characters!$2:$2,0)-MATCH($F$1,[1]characters!$2:$2,0)+1,FALSE)</f>
        <v>砕骨の剛腕 アキレス</v>
      </c>
      <c r="H208" s="10" t="str">
        <f ca="1">VLOOKUP($F208,OFFSET([1]characters!$A$2,0,0,COUNTA([1]characters!$A:$A),MATCH(H$1,[1]characters!$2:$2,0)-MATCH($F$1,[1]characters!$2:$2,0)+1),MATCH(H$1,[1]characters!$2:$2,0)-MATCH($F$1,[1]characters!$2:$2,0)+1,FALSE)</f>
        <v>PremiumN</v>
      </c>
      <c r="I208" s="10">
        <f ca="1">VLOOKUP($F208,OFFSET([1]characters!$A$2,0,0,COUNTA([1]characters!$A:$A),MATCH(I$1,[1]characters!$2:$2,0)-MATCH($F$1,[1]characters!$2:$2,0)+1),MATCH(I$1,[1]characters!$2:$2,0)-MATCH($F$1,[1]characters!$2:$2,0)+1,FALSE)</f>
        <v>5</v>
      </c>
      <c r="J208" s="10" t="str">
        <f ca="1">VLOOKUP($F208,OFFSET([1]characters!$A$2,0,0,COUNTA([1]characters!$A:$A),MATCH(J$1,[1]characters!$2:$2,0)-MATCH($F$1,[1]characters!$2:$2,0)+1),MATCH(J$1,[1]characters!$2:$2,0)-MATCH($F$1,[1]characters!$2:$2,0)+1,FALSE)</f>
        <v>yellow</v>
      </c>
      <c r="K208" s="10" t="str">
        <f ca="1">VLOOKUP($F208,OFFSET([1]characters!$A$2,0,0,COUNTA([1]characters!$A:$A),MATCH("タイプ",[1]characters!$1:$1,0)-MATCH($F$1,[1]characters!$2:$2,0)+2),MATCH("タイプ",[1]characters!$1:$1,0)-MATCH($F$1,[1]characters!$2:$2,0)+2,FALSE)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8" s="10" t="str">
        <f ca="1">VLOOKUP($F208,OFFSET([1]characters!$A$2,0,0,COUNTA([1]characters!$A:$A),MATCH($L$1,[1]characters!$1:$1,0)-MATCH($F$1,[1]characters!$2:$2,0)+2),MATCH($L$1,[1]characters!$1:$1,0)-MATCH($F$1,[1]characters!$2:$2,0)+2,FALSE)</f>
        <v>ヒューマン</v>
      </c>
      <c r="M208" s="6">
        <v>1</v>
      </c>
      <c r="N208" s="40">
        <f ca="1">VLOOKUP(D208,gacha_133_base!A:B,2,FALSE)</f>
        <v>247</v>
      </c>
      <c r="O208" s="28">
        <v>0</v>
      </c>
      <c r="P208" s="28">
        <v>0</v>
      </c>
      <c r="Q208" s="28">
        <v>0</v>
      </c>
      <c r="R208" s="28">
        <v>0</v>
      </c>
      <c r="S208" s="28">
        <v>1</v>
      </c>
    </row>
    <row r="209" spans="1:19" ht="21" customHeight="1">
      <c r="A209" s="8" t="str">
        <f t="shared" si="18"/>
        <v>02011</v>
      </c>
      <c r="B209" s="2">
        <f t="shared" si="21"/>
        <v>133</v>
      </c>
      <c r="C209" s="10" t="str">
        <f t="shared" ca="1" si="19"/>
        <v>0PremiumN5</v>
      </c>
      <c r="D209" s="10" t="str">
        <f t="shared" ca="1" si="20"/>
        <v>0PremiumN5</v>
      </c>
      <c r="E209" s="6">
        <v>0</v>
      </c>
      <c r="F209" s="7">
        <v>201</v>
      </c>
      <c r="G209" s="10" t="str">
        <f ca="1">VLOOKUP($F209,OFFSET([1]characters!$A$2,0,0,COUNTA([1]characters!$A:$A),MATCH(G$1,[1]characters!$2:$2,0)-MATCH($F$1,[1]characters!$2:$2,0)+1),MATCH(G$1,[1]characters!$2:$2,0)-MATCH($F$1,[1]characters!$2:$2,0)+1,FALSE)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209" s="10" t="str">
        <f ca="1">VLOOKUP($F209,OFFSET([1]characters!$A$2,0,0,COUNTA([1]characters!$A:$A),MATCH(H$1,[1]characters!$2:$2,0)-MATCH($F$1,[1]characters!$2:$2,0)+1),MATCH(H$1,[1]characters!$2:$2,0)-MATCH($F$1,[1]characters!$2:$2,0)+1,FALSE)</f>
        <v>PremiumN</v>
      </c>
      <c r="I209" s="10">
        <f ca="1">VLOOKUP($F209,OFFSET([1]characters!$A$2,0,0,COUNTA([1]characters!$A:$A),MATCH(I$1,[1]characters!$2:$2,0)-MATCH($F$1,[1]characters!$2:$2,0)+1),MATCH(I$1,[1]characters!$2:$2,0)-MATCH($F$1,[1]characters!$2:$2,0)+1,FALSE)</f>
        <v>5</v>
      </c>
      <c r="J209" s="10" t="str">
        <f ca="1">VLOOKUP($F209,OFFSET([1]characters!$A$2,0,0,COUNTA([1]characters!$A:$A),MATCH(J$1,[1]characters!$2:$2,0)-MATCH($F$1,[1]characters!$2:$2,0)+1),MATCH(J$1,[1]characters!$2:$2,0)-MATCH($F$1,[1]characters!$2:$2,0)+1,FALSE)</f>
        <v>blue</v>
      </c>
      <c r="K209" s="10" t="str">
        <f ca="1">VLOOKUP($F209,OFFSET([1]characters!$A$2,0,0,COUNTA([1]characters!$A:$A),MATCH("タイプ",[1]characters!$1:$1,0)-MATCH($F$1,[1]characters!$2:$2,0)+2),MATCH("タイプ",[1]characters!$1:$1,0)-MATCH($F$1,[1]characters!$2:$2,0)+2,FALSE)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9" s="10" t="str">
        <f ca="1">VLOOKUP($F209,OFFSET([1]characters!$A$2,0,0,COUNTA([1]characters!$A:$A),MATCH($L$1,[1]characters!$1:$1,0)-MATCH($F$1,[1]characters!$2:$2,0)+2),MATCH($L$1,[1]characters!$1:$1,0)-MATCH($F$1,[1]characters!$2:$2,0)+2,FALSE)</f>
        <v>ヒューマン</v>
      </c>
      <c r="M209" s="6">
        <v>1</v>
      </c>
      <c r="N209" s="40">
        <f ca="1">VLOOKUP(D209,gacha_133_base!A:B,2,FALSE)</f>
        <v>247</v>
      </c>
      <c r="O209" s="28">
        <v>0</v>
      </c>
      <c r="P209" s="28">
        <v>0</v>
      </c>
      <c r="Q209" s="28">
        <v>0</v>
      </c>
      <c r="R209" s="28">
        <v>0</v>
      </c>
      <c r="S209" s="28">
        <v>1</v>
      </c>
    </row>
    <row r="210" spans="1:19" ht="21" customHeight="1">
      <c r="A210" s="8" t="str">
        <f t="shared" si="18"/>
        <v>02041</v>
      </c>
      <c r="B210" s="2">
        <f t="shared" si="21"/>
        <v>133</v>
      </c>
      <c r="C210" s="10" t="str">
        <f t="shared" ca="1" si="19"/>
        <v>0PremiumN5</v>
      </c>
      <c r="D210" s="10" t="str">
        <f t="shared" ca="1" si="20"/>
        <v>0PremiumN5</v>
      </c>
      <c r="E210" s="6">
        <v>0</v>
      </c>
      <c r="F210" s="7">
        <v>204</v>
      </c>
      <c r="G210" s="10" t="str">
        <f ca="1">VLOOKUP($F210,OFFSET([1]characters!$A$2,0,0,COUNTA([1]characters!$A:$A),MATCH(G$1,[1]characters!$2:$2,0)-MATCH($F$1,[1]characters!$2:$2,0)+1),MATCH(G$1,[1]characters!$2:$2,0)-MATCH($F$1,[1]characters!$2:$2,0)+1,FALSE)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210" s="10" t="str">
        <f ca="1">VLOOKUP($F210,OFFSET([1]characters!$A$2,0,0,COUNTA([1]characters!$A:$A),MATCH(H$1,[1]characters!$2:$2,0)-MATCH($F$1,[1]characters!$2:$2,0)+1),MATCH(H$1,[1]characters!$2:$2,0)-MATCH($F$1,[1]characters!$2:$2,0)+1,FALSE)</f>
        <v>PremiumN</v>
      </c>
      <c r="I210" s="10">
        <f ca="1">VLOOKUP($F210,OFFSET([1]characters!$A$2,0,0,COUNTA([1]characters!$A:$A),MATCH(I$1,[1]characters!$2:$2,0)-MATCH($F$1,[1]characters!$2:$2,0)+1),MATCH(I$1,[1]characters!$2:$2,0)-MATCH($F$1,[1]characters!$2:$2,0)+1,FALSE)</f>
        <v>5</v>
      </c>
      <c r="J210" s="10" t="str">
        <f ca="1">VLOOKUP($F210,OFFSET([1]characters!$A$2,0,0,COUNTA([1]characters!$A:$A),MATCH(J$1,[1]characters!$2:$2,0)-MATCH($F$1,[1]characters!$2:$2,0)+1),MATCH(J$1,[1]characters!$2:$2,0)-MATCH($F$1,[1]characters!$2:$2,0)+1,FALSE)</f>
        <v>red</v>
      </c>
      <c r="K210" s="10" t="str">
        <f ca="1">VLOOKUP($F210,OFFSET([1]characters!$A$2,0,0,COUNTA([1]characters!$A:$A),MATCH("タイプ",[1]characters!$1:$1,0)-MATCH($F$1,[1]characters!$2:$2,0)+2),MATCH("タイプ",[1]characters!$1:$1,0)-MATCH($F$1,[1]characters!$2:$2,0)+2,FALSE)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0" s="10" t="str">
        <f ca="1">VLOOKUP($F210,OFFSET([1]characters!$A$2,0,0,COUNTA([1]characters!$A:$A),MATCH($L$1,[1]characters!$1:$1,0)-MATCH($F$1,[1]characters!$2:$2,0)+2),MATCH($L$1,[1]characters!$1:$1,0)-MATCH($F$1,[1]characters!$2:$2,0)+2,FALSE)</f>
        <v>ゴッド</v>
      </c>
      <c r="M210" s="6">
        <v>1</v>
      </c>
      <c r="N210" s="40">
        <f ca="1">VLOOKUP(D210,gacha_133_base!A:B,2,FALSE)</f>
        <v>247</v>
      </c>
      <c r="O210" s="28">
        <v>0</v>
      </c>
      <c r="P210" s="28">
        <v>0</v>
      </c>
      <c r="Q210" s="28">
        <v>0</v>
      </c>
      <c r="R210" s="28">
        <v>0</v>
      </c>
      <c r="S210" s="28">
        <v>1</v>
      </c>
    </row>
    <row r="211" spans="1:19" ht="21" customHeight="1">
      <c r="A211" s="8" t="str">
        <f t="shared" si="18"/>
        <v>02071</v>
      </c>
      <c r="B211" s="2">
        <f t="shared" si="21"/>
        <v>133</v>
      </c>
      <c r="C211" s="10" t="str">
        <f t="shared" ca="1" si="19"/>
        <v>0PremiumN5</v>
      </c>
      <c r="D211" s="10" t="str">
        <f t="shared" ca="1" si="20"/>
        <v>0PremiumN5</v>
      </c>
      <c r="E211" s="6">
        <v>0</v>
      </c>
      <c r="F211" s="7">
        <v>207</v>
      </c>
      <c r="G211" s="10" t="str">
        <f ca="1">VLOOKUP($F211,OFFSET([1]characters!$A$2,0,0,COUNTA([1]characters!$A:$A),MATCH(G$1,[1]characters!$2:$2,0)-MATCH($F$1,[1]characters!$2:$2,0)+1),MATCH(G$1,[1]characters!$2:$2,0)-MATCH($F$1,[1]characters!$2:$2,0)+1,FALSE)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211" s="10" t="str">
        <f ca="1">VLOOKUP($F211,OFFSET([1]characters!$A$2,0,0,COUNTA([1]characters!$A:$A),MATCH(H$1,[1]characters!$2:$2,0)-MATCH($F$1,[1]characters!$2:$2,0)+1),MATCH(H$1,[1]characters!$2:$2,0)-MATCH($F$1,[1]characters!$2:$2,0)+1,FALSE)</f>
        <v>PremiumN</v>
      </c>
      <c r="I211" s="10">
        <f ca="1">VLOOKUP($F211,OFFSET([1]characters!$A$2,0,0,COUNTA([1]characters!$A:$A),MATCH(I$1,[1]characters!$2:$2,0)-MATCH($F$1,[1]characters!$2:$2,0)+1),MATCH(I$1,[1]characters!$2:$2,0)-MATCH($F$1,[1]characters!$2:$2,0)+1,FALSE)</f>
        <v>5</v>
      </c>
      <c r="J211" s="10" t="str">
        <f ca="1">VLOOKUP($F211,OFFSET([1]characters!$A$2,0,0,COUNTA([1]characters!$A:$A),MATCH(J$1,[1]characters!$2:$2,0)-MATCH($F$1,[1]characters!$2:$2,0)+1),MATCH(J$1,[1]characters!$2:$2,0)-MATCH($F$1,[1]characters!$2:$2,0)+1,FALSE)</f>
        <v>green</v>
      </c>
      <c r="K211" s="10" t="str">
        <f ca="1">VLOOKUP($F211,OFFSET([1]characters!$A$2,0,0,COUNTA([1]characters!$A:$A),MATCH("タイプ",[1]characters!$1:$1,0)-MATCH($F$1,[1]characters!$2:$2,0)+2),MATCH("タイプ",[1]characters!$1:$1,0)-MATCH($F$1,[1]characters!$2:$2,0)+2,FALSE)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1" s="10" t="str">
        <f ca="1">VLOOKUP($F211,OFFSET([1]characters!$A$2,0,0,COUNTA([1]characters!$A:$A),MATCH($L$1,[1]characters!$1:$1,0)-MATCH($F$1,[1]characters!$2:$2,0)+2),MATCH($L$1,[1]characters!$1:$1,0)-MATCH($F$1,[1]characters!$2:$2,0)+2,FALSE)</f>
        <v>ゴッド</v>
      </c>
      <c r="M211" s="6">
        <v>1</v>
      </c>
      <c r="N211" s="40">
        <f ca="1">VLOOKUP(D211,gacha_133_base!A:B,2,FALSE)</f>
        <v>247</v>
      </c>
      <c r="O211" s="28">
        <v>0</v>
      </c>
      <c r="P211" s="28">
        <v>0</v>
      </c>
      <c r="Q211" s="28">
        <v>0</v>
      </c>
      <c r="R211" s="28">
        <v>0</v>
      </c>
      <c r="S211" s="28">
        <v>1</v>
      </c>
    </row>
    <row r="212" spans="1:19" ht="21" customHeight="1">
      <c r="A212" s="8" t="str">
        <f t="shared" si="18"/>
        <v>02101</v>
      </c>
      <c r="B212" s="2">
        <f t="shared" si="21"/>
        <v>133</v>
      </c>
      <c r="C212" s="10" t="str">
        <f t="shared" ca="1" si="19"/>
        <v>0PremiumN5</v>
      </c>
      <c r="D212" s="10" t="str">
        <f t="shared" ca="1" si="20"/>
        <v>0PremiumN5</v>
      </c>
      <c r="E212" s="6">
        <v>0</v>
      </c>
      <c r="F212" s="7">
        <v>210</v>
      </c>
      <c r="G212" s="10" t="str">
        <f ca="1">VLOOKUP($F212,OFFSET([1]characters!$A$2,0,0,COUNTA([1]characters!$A:$A),MATCH(G$1,[1]characters!$2:$2,0)-MATCH($F$1,[1]characters!$2:$2,0)+1),MATCH(G$1,[1]characters!$2:$2,0)-MATCH($F$1,[1]characters!$2:$2,0)+1,FALSE)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212" s="10" t="str">
        <f ca="1">VLOOKUP($F212,OFFSET([1]characters!$A$2,0,0,COUNTA([1]characters!$A:$A),MATCH(H$1,[1]characters!$2:$2,0)-MATCH($F$1,[1]characters!$2:$2,0)+1),MATCH(H$1,[1]characters!$2:$2,0)-MATCH($F$1,[1]characters!$2:$2,0)+1,FALSE)</f>
        <v>PremiumN</v>
      </c>
      <c r="I212" s="10">
        <f ca="1">VLOOKUP($F212,OFFSET([1]characters!$A$2,0,0,COUNTA([1]characters!$A:$A),MATCH(I$1,[1]characters!$2:$2,0)-MATCH($F$1,[1]characters!$2:$2,0)+1),MATCH(I$1,[1]characters!$2:$2,0)-MATCH($F$1,[1]characters!$2:$2,0)+1,FALSE)</f>
        <v>5</v>
      </c>
      <c r="J212" s="10" t="str">
        <f ca="1">VLOOKUP($F212,OFFSET([1]characters!$A$2,0,0,COUNTA([1]characters!$A:$A),MATCH(J$1,[1]characters!$2:$2,0)-MATCH($F$1,[1]characters!$2:$2,0)+1),MATCH(J$1,[1]characters!$2:$2,0)-MATCH($F$1,[1]characters!$2:$2,0)+1,FALSE)</f>
        <v>blue</v>
      </c>
      <c r="K212" s="10" t="str">
        <f ca="1">VLOOKUP($F212,OFFSET([1]characters!$A$2,0,0,COUNTA([1]characters!$A:$A),MATCH("タイプ",[1]characters!$1:$1,0)-MATCH($F$1,[1]characters!$2:$2,0)+2),MATCH("タイプ",[1]characters!$1:$1,0)-MATCH($F$1,[1]characters!$2:$2,0)+2,FALSE)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2" s="10" t="str">
        <f ca="1">VLOOKUP($F212,OFFSET([1]characters!$A$2,0,0,COUNTA([1]characters!$A:$A),MATCH($L$1,[1]characters!$1:$1,0)-MATCH($F$1,[1]characters!$2:$2,0)+2),MATCH($L$1,[1]characters!$1:$1,0)-MATCH($F$1,[1]characters!$2:$2,0)+2,FALSE)</f>
        <v>ゴッド</v>
      </c>
      <c r="M212" s="6">
        <v>1</v>
      </c>
      <c r="N212" s="40">
        <f ca="1">VLOOKUP(D212,gacha_133_base!A:B,2,FALSE)</f>
        <v>247</v>
      </c>
      <c r="O212" s="28">
        <v>0</v>
      </c>
      <c r="P212" s="28">
        <v>0</v>
      </c>
      <c r="Q212" s="28">
        <v>0</v>
      </c>
      <c r="R212" s="28">
        <v>0</v>
      </c>
      <c r="S212" s="28">
        <v>1</v>
      </c>
    </row>
    <row r="213" spans="1:19" ht="21" customHeight="1">
      <c r="A213" s="8" t="str">
        <f t="shared" si="18"/>
        <v>02131</v>
      </c>
      <c r="B213" s="2">
        <f t="shared" si="21"/>
        <v>133</v>
      </c>
      <c r="C213" s="10" t="str">
        <f t="shared" ca="1" si="19"/>
        <v>0PremiumN5</v>
      </c>
      <c r="D213" s="10" t="str">
        <f t="shared" ca="1" si="20"/>
        <v>0PremiumN5</v>
      </c>
      <c r="E213" s="6">
        <v>0</v>
      </c>
      <c r="F213" s="7">
        <v>213</v>
      </c>
      <c r="G213" s="10" t="str">
        <f ca="1">VLOOKUP($F213,OFFSET([1]characters!$A$2,0,0,COUNTA([1]characters!$A:$A),MATCH(G$1,[1]characters!$2:$2,0)-MATCH($F$1,[1]characters!$2:$2,0)+1),MATCH(G$1,[1]characters!$2:$2,0)-MATCH($F$1,[1]characters!$2:$2,0)+1,FALSE)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213" s="10" t="str">
        <f ca="1">VLOOKUP($F213,OFFSET([1]characters!$A$2,0,0,COUNTA([1]characters!$A:$A),MATCH(H$1,[1]characters!$2:$2,0)-MATCH($F$1,[1]characters!$2:$2,0)+1),MATCH(H$1,[1]characters!$2:$2,0)-MATCH($F$1,[1]characters!$2:$2,0)+1,FALSE)</f>
        <v>PremiumN</v>
      </c>
      <c r="I213" s="10">
        <f ca="1">VLOOKUP($F213,OFFSET([1]characters!$A$2,0,0,COUNTA([1]characters!$A:$A),MATCH(I$1,[1]characters!$2:$2,0)-MATCH($F$1,[1]characters!$2:$2,0)+1),MATCH(I$1,[1]characters!$2:$2,0)-MATCH($F$1,[1]characters!$2:$2,0)+1,FALSE)</f>
        <v>5</v>
      </c>
      <c r="J213" s="10" t="str">
        <f ca="1">VLOOKUP($F213,OFFSET([1]characters!$A$2,0,0,COUNTA([1]characters!$A:$A),MATCH(J$1,[1]characters!$2:$2,0)-MATCH($F$1,[1]characters!$2:$2,0)+1),MATCH(J$1,[1]characters!$2:$2,0)-MATCH($F$1,[1]characters!$2:$2,0)+1,FALSE)</f>
        <v>yellow</v>
      </c>
      <c r="K213" s="10" t="str">
        <f ca="1">VLOOKUP($F213,OFFSET([1]characters!$A$2,0,0,COUNTA([1]characters!$A:$A),MATCH("タイプ",[1]characters!$1:$1,0)-MATCH($F$1,[1]characters!$2:$2,0)+2),MATCH("タイプ",[1]characters!$1:$1,0)-MATCH($F$1,[1]characters!$2:$2,0)+2,FALSE)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3" s="10" t="str">
        <f ca="1">VLOOKUP($F213,OFFSET([1]characters!$A$2,0,0,COUNTA([1]characters!$A:$A),MATCH($L$1,[1]characters!$1:$1,0)-MATCH($F$1,[1]characters!$2:$2,0)+2),MATCH($L$1,[1]characters!$1:$1,0)-MATCH($F$1,[1]characters!$2:$2,0)+2,FALSE)</f>
        <v>ゴッド</v>
      </c>
      <c r="M213" s="6">
        <v>1</v>
      </c>
      <c r="N213" s="40">
        <f ca="1">VLOOKUP(D213,gacha_133_base!A:B,2,FALSE)</f>
        <v>247</v>
      </c>
      <c r="O213" s="28">
        <v>0</v>
      </c>
      <c r="P213" s="28">
        <v>0</v>
      </c>
      <c r="Q213" s="28">
        <v>0</v>
      </c>
      <c r="R213" s="28">
        <v>0</v>
      </c>
      <c r="S213" s="28">
        <v>1</v>
      </c>
    </row>
    <row r="214" spans="1:19" ht="21" customHeight="1">
      <c r="A214" s="8" t="str">
        <f t="shared" si="18"/>
        <v>02161</v>
      </c>
      <c r="B214" s="2">
        <f t="shared" si="21"/>
        <v>133</v>
      </c>
      <c r="C214" s="10" t="str">
        <f t="shared" ca="1" si="19"/>
        <v>0PremiumN5</v>
      </c>
      <c r="D214" s="10" t="str">
        <f t="shared" ca="1" si="20"/>
        <v>0PremiumN5</v>
      </c>
      <c r="E214" s="6">
        <v>0</v>
      </c>
      <c r="F214" s="7">
        <v>216</v>
      </c>
      <c r="G214" s="10" t="str">
        <f ca="1">VLOOKUP($F214,OFFSET([1]characters!$A$2,0,0,COUNTA([1]characters!$A:$A),MATCH(G$1,[1]characters!$2:$2,0)-MATCH($F$1,[1]characters!$2:$2,0)+1),MATCH(G$1,[1]characters!$2:$2,0)-MATCH($F$1,[1]characters!$2:$2,0)+1,FALSE)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214" s="10" t="str">
        <f ca="1">VLOOKUP($F214,OFFSET([1]characters!$A$2,0,0,COUNTA([1]characters!$A:$A),MATCH(H$1,[1]characters!$2:$2,0)-MATCH($F$1,[1]characters!$2:$2,0)+1),MATCH(H$1,[1]characters!$2:$2,0)-MATCH($F$1,[1]characters!$2:$2,0)+1,FALSE)</f>
        <v>PremiumN</v>
      </c>
      <c r="I214" s="10">
        <f ca="1">VLOOKUP($F214,OFFSET([1]characters!$A$2,0,0,COUNTA([1]characters!$A:$A),MATCH(I$1,[1]characters!$2:$2,0)-MATCH($F$1,[1]characters!$2:$2,0)+1),MATCH(I$1,[1]characters!$2:$2,0)-MATCH($F$1,[1]characters!$2:$2,0)+1,FALSE)</f>
        <v>5</v>
      </c>
      <c r="J214" s="10" t="str">
        <f ca="1">VLOOKUP($F214,OFFSET([1]characters!$A$2,0,0,COUNTA([1]characters!$A:$A),MATCH(J$1,[1]characters!$2:$2,0)-MATCH($F$1,[1]characters!$2:$2,0)+1),MATCH(J$1,[1]characters!$2:$2,0)-MATCH($F$1,[1]characters!$2:$2,0)+1,FALSE)</f>
        <v>red</v>
      </c>
      <c r="K214" s="10" t="str">
        <f ca="1">VLOOKUP($F214,OFFSET([1]characters!$A$2,0,0,COUNTA([1]characters!$A:$A),MATCH("タイプ",[1]characters!$1:$1,0)-MATCH($F$1,[1]characters!$2:$2,0)+2),MATCH("タイプ",[1]characters!$1:$1,0)-MATCH($F$1,[1]characters!$2:$2,0)+2,FALSE)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4" s="10" t="str">
        <f ca="1">VLOOKUP($F214,OFFSET([1]characters!$A$2,0,0,COUNTA([1]characters!$A:$A),MATCH($L$1,[1]characters!$1:$1,0)-MATCH($F$1,[1]characters!$2:$2,0)+2),MATCH($L$1,[1]characters!$1:$1,0)-MATCH($F$1,[1]characters!$2:$2,0)+2,FALSE)</f>
        <v>ゴッド</v>
      </c>
      <c r="M214" s="6">
        <v>1</v>
      </c>
      <c r="N214" s="40">
        <f ca="1">VLOOKUP(D214,gacha_133_base!A:B,2,FALSE)</f>
        <v>247</v>
      </c>
      <c r="O214" s="28">
        <v>0</v>
      </c>
      <c r="P214" s="28">
        <v>0</v>
      </c>
      <c r="Q214" s="28">
        <v>0</v>
      </c>
      <c r="R214" s="28">
        <v>0</v>
      </c>
      <c r="S214" s="28">
        <v>1</v>
      </c>
    </row>
    <row r="215" spans="1:19" ht="21" customHeight="1">
      <c r="A215" s="8" t="str">
        <f t="shared" si="18"/>
        <v>02191</v>
      </c>
      <c r="B215" s="2">
        <f t="shared" si="21"/>
        <v>133</v>
      </c>
      <c r="C215" s="10" t="str">
        <f t="shared" ca="1" si="19"/>
        <v>0PremiumN5</v>
      </c>
      <c r="D215" s="10" t="str">
        <f t="shared" ca="1" si="20"/>
        <v>0PremiumN5</v>
      </c>
      <c r="E215" s="6">
        <v>0</v>
      </c>
      <c r="F215" s="7">
        <v>219</v>
      </c>
      <c r="G215" s="10" t="str">
        <f ca="1">VLOOKUP($F215,OFFSET([1]characters!$A$2,0,0,COUNTA([1]characters!$A:$A),MATCH(G$1,[1]characters!$2:$2,0)-MATCH($F$1,[1]characters!$2:$2,0)+1),MATCH(G$1,[1]characters!$2:$2,0)-MATCH($F$1,[1]characters!$2:$2,0)+1,FALSE)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215" s="10" t="str">
        <f ca="1">VLOOKUP($F215,OFFSET([1]characters!$A$2,0,0,COUNTA([1]characters!$A:$A),MATCH(H$1,[1]characters!$2:$2,0)-MATCH($F$1,[1]characters!$2:$2,0)+1),MATCH(H$1,[1]characters!$2:$2,0)-MATCH($F$1,[1]characters!$2:$2,0)+1,FALSE)</f>
        <v>PremiumN</v>
      </c>
      <c r="I215" s="10">
        <f ca="1">VLOOKUP($F215,OFFSET([1]characters!$A$2,0,0,COUNTA([1]characters!$A:$A),MATCH(I$1,[1]characters!$2:$2,0)-MATCH($F$1,[1]characters!$2:$2,0)+1),MATCH(I$1,[1]characters!$2:$2,0)-MATCH($F$1,[1]characters!$2:$2,0)+1,FALSE)</f>
        <v>5</v>
      </c>
      <c r="J215" s="10" t="str">
        <f ca="1">VLOOKUP($F215,OFFSET([1]characters!$A$2,0,0,COUNTA([1]characters!$A:$A),MATCH(J$1,[1]characters!$2:$2,0)-MATCH($F$1,[1]characters!$2:$2,0)+1),MATCH(J$1,[1]characters!$2:$2,0)-MATCH($F$1,[1]characters!$2:$2,0)+1,FALSE)</f>
        <v>green</v>
      </c>
      <c r="K215" s="10" t="str">
        <f ca="1">VLOOKUP($F215,OFFSET([1]characters!$A$2,0,0,COUNTA([1]characters!$A:$A),MATCH("タイプ",[1]characters!$1:$1,0)-MATCH($F$1,[1]characters!$2:$2,0)+2),MATCH("タイプ",[1]characters!$1:$1,0)-MATCH($F$1,[1]characters!$2:$2,0)+2,FALSE)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5" s="10" t="str">
        <f ca="1">VLOOKUP($F215,OFFSET([1]characters!$A$2,0,0,COUNTA([1]characters!$A:$A),MATCH($L$1,[1]characters!$1:$1,0)-MATCH($F$1,[1]characters!$2:$2,0)+2),MATCH($L$1,[1]characters!$1:$1,0)-MATCH($F$1,[1]characters!$2:$2,0)+2,FALSE)</f>
        <v>ドラゴン</v>
      </c>
      <c r="M215" s="6">
        <v>1</v>
      </c>
      <c r="N215" s="40">
        <f ca="1">VLOOKUP(D215,gacha_133_base!A:B,2,FALSE)</f>
        <v>247</v>
      </c>
      <c r="O215" s="28">
        <v>0</v>
      </c>
      <c r="P215" s="28">
        <v>0</v>
      </c>
      <c r="Q215" s="28">
        <v>0</v>
      </c>
      <c r="R215" s="28">
        <v>0</v>
      </c>
      <c r="S215" s="28">
        <v>1</v>
      </c>
    </row>
    <row r="216" spans="1:19" ht="21" customHeight="1">
      <c r="A216" s="8" t="str">
        <f t="shared" si="18"/>
        <v>02221</v>
      </c>
      <c r="B216" s="2">
        <f t="shared" si="21"/>
        <v>133</v>
      </c>
      <c r="C216" s="10" t="str">
        <f t="shared" ca="1" si="19"/>
        <v>0PremiumN5</v>
      </c>
      <c r="D216" s="10" t="str">
        <f t="shared" ca="1" si="20"/>
        <v>0PremiumN5</v>
      </c>
      <c r="E216" s="6">
        <v>0</v>
      </c>
      <c r="F216" s="7">
        <v>222</v>
      </c>
      <c r="G216" s="10" t="str">
        <f ca="1">VLOOKUP($F216,OFFSET([1]characters!$A$2,0,0,COUNTA([1]characters!$A:$A),MATCH(G$1,[1]characters!$2:$2,0)-MATCH($F$1,[1]characters!$2:$2,0)+1),MATCH(G$1,[1]characters!$2:$2,0)-MATCH($F$1,[1]characters!$2:$2,0)+1,FALSE)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216" s="10" t="str">
        <f ca="1">VLOOKUP($F216,OFFSET([1]characters!$A$2,0,0,COUNTA([1]characters!$A:$A),MATCH(H$1,[1]characters!$2:$2,0)-MATCH($F$1,[1]characters!$2:$2,0)+1),MATCH(H$1,[1]characters!$2:$2,0)-MATCH($F$1,[1]characters!$2:$2,0)+1,FALSE)</f>
        <v>PremiumN</v>
      </c>
      <c r="I216" s="10">
        <f ca="1">VLOOKUP($F216,OFFSET([1]characters!$A$2,0,0,COUNTA([1]characters!$A:$A),MATCH(I$1,[1]characters!$2:$2,0)-MATCH($F$1,[1]characters!$2:$2,0)+1),MATCH(I$1,[1]characters!$2:$2,0)-MATCH($F$1,[1]characters!$2:$2,0)+1,FALSE)</f>
        <v>5</v>
      </c>
      <c r="J216" s="10" t="str">
        <f ca="1">VLOOKUP($F216,OFFSET([1]characters!$A$2,0,0,COUNTA([1]characters!$A:$A),MATCH(J$1,[1]characters!$2:$2,0)-MATCH($F$1,[1]characters!$2:$2,0)+1),MATCH(J$1,[1]characters!$2:$2,0)-MATCH($F$1,[1]characters!$2:$2,0)+1,FALSE)</f>
        <v>blue</v>
      </c>
      <c r="K216" s="10" t="str">
        <f ca="1">VLOOKUP($F216,OFFSET([1]characters!$A$2,0,0,COUNTA([1]characters!$A:$A),MATCH("タイプ",[1]characters!$1:$1,0)-MATCH($F$1,[1]characters!$2:$2,0)+2),MATCH("タイプ",[1]characters!$1:$1,0)-MATCH($F$1,[1]characters!$2:$2,0)+2,FALSE)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6" s="10" t="str">
        <f ca="1">VLOOKUP($F216,OFFSET([1]characters!$A$2,0,0,COUNTA([1]characters!$A:$A),MATCH($L$1,[1]characters!$1:$1,0)-MATCH($F$1,[1]characters!$2:$2,0)+2),MATCH($L$1,[1]characters!$1:$1,0)-MATCH($F$1,[1]characters!$2:$2,0)+2,FALSE)</f>
        <v>ゴッド</v>
      </c>
      <c r="M216" s="6">
        <v>1</v>
      </c>
      <c r="N216" s="40">
        <f ca="1">VLOOKUP(D216,gacha_133_base!A:B,2,FALSE)</f>
        <v>247</v>
      </c>
      <c r="O216" s="28">
        <v>0</v>
      </c>
      <c r="P216" s="28">
        <v>0</v>
      </c>
      <c r="Q216" s="28">
        <v>0</v>
      </c>
      <c r="R216" s="28">
        <v>0</v>
      </c>
      <c r="S216" s="28">
        <v>1</v>
      </c>
    </row>
    <row r="217" spans="1:19" ht="21" customHeight="1">
      <c r="A217" s="8" t="str">
        <f t="shared" si="18"/>
        <v>02251</v>
      </c>
      <c r="B217" s="2">
        <f t="shared" si="21"/>
        <v>133</v>
      </c>
      <c r="C217" s="10" t="str">
        <f t="shared" ca="1" si="19"/>
        <v>0PremiumN5</v>
      </c>
      <c r="D217" s="10" t="str">
        <f t="shared" ca="1" si="20"/>
        <v>0PremiumN5</v>
      </c>
      <c r="E217" s="6">
        <v>0</v>
      </c>
      <c r="F217" s="7">
        <v>225</v>
      </c>
      <c r="G217" s="10" t="str">
        <f ca="1">VLOOKUP($F217,OFFSET([1]characters!$A$2,0,0,COUNTA([1]characters!$A:$A),MATCH(G$1,[1]characters!$2:$2,0)-MATCH($F$1,[1]characters!$2:$2,0)+1),MATCH(G$1,[1]characters!$2:$2,0)-MATCH($F$1,[1]characters!$2:$2,0)+1,FALSE)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217" s="10" t="str">
        <f ca="1">VLOOKUP($F217,OFFSET([1]characters!$A$2,0,0,COUNTA([1]characters!$A:$A),MATCH(H$1,[1]characters!$2:$2,0)-MATCH($F$1,[1]characters!$2:$2,0)+1),MATCH(H$1,[1]characters!$2:$2,0)-MATCH($F$1,[1]characters!$2:$2,0)+1,FALSE)</f>
        <v>PremiumN</v>
      </c>
      <c r="I217" s="10">
        <f ca="1">VLOOKUP($F217,OFFSET([1]characters!$A$2,0,0,COUNTA([1]characters!$A:$A),MATCH(I$1,[1]characters!$2:$2,0)-MATCH($F$1,[1]characters!$2:$2,0)+1),MATCH(I$1,[1]characters!$2:$2,0)-MATCH($F$1,[1]characters!$2:$2,0)+1,FALSE)</f>
        <v>5</v>
      </c>
      <c r="J217" s="10" t="str">
        <f ca="1">VLOOKUP($F217,OFFSET([1]characters!$A$2,0,0,COUNTA([1]characters!$A:$A),MATCH(J$1,[1]characters!$2:$2,0)-MATCH($F$1,[1]characters!$2:$2,0)+1),MATCH(J$1,[1]characters!$2:$2,0)-MATCH($F$1,[1]characters!$2:$2,0)+1,FALSE)</f>
        <v>yellow</v>
      </c>
      <c r="K217" s="10" t="str">
        <f ca="1">VLOOKUP($F217,OFFSET([1]characters!$A$2,0,0,COUNTA([1]characters!$A:$A),MATCH("タイプ",[1]characters!$1:$1,0)-MATCH($F$1,[1]characters!$2:$2,0)+2),MATCH("タイプ",[1]characters!$1:$1,0)-MATCH($F$1,[1]characters!$2:$2,0)+2,FALSE)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7" s="10" t="str">
        <f ca="1">VLOOKUP($F217,OFFSET([1]characters!$A$2,0,0,COUNTA([1]characters!$A:$A),MATCH($L$1,[1]characters!$1:$1,0)-MATCH($F$1,[1]characters!$2:$2,0)+2),MATCH($L$1,[1]characters!$1:$1,0)-MATCH($F$1,[1]characters!$2:$2,0)+2,FALSE)</f>
        <v>ヒューマン</v>
      </c>
      <c r="M217" s="6">
        <v>1</v>
      </c>
      <c r="N217" s="40">
        <f ca="1">VLOOKUP(D217,gacha_133_base!A:B,2,FALSE)</f>
        <v>247</v>
      </c>
      <c r="O217" s="28">
        <v>0</v>
      </c>
      <c r="P217" s="28">
        <v>0</v>
      </c>
      <c r="Q217" s="28">
        <v>0</v>
      </c>
      <c r="R217" s="28">
        <v>0</v>
      </c>
      <c r="S217" s="28">
        <v>1</v>
      </c>
    </row>
    <row r="218" spans="1:19" ht="21" customHeight="1">
      <c r="A218" s="8" t="str">
        <f t="shared" si="18"/>
        <v>02281</v>
      </c>
      <c r="B218" s="2">
        <f t="shared" si="21"/>
        <v>133</v>
      </c>
      <c r="C218" s="10" t="str">
        <f t="shared" ca="1" si="19"/>
        <v>0PremiumS5</v>
      </c>
      <c r="D218" s="10" t="str">
        <f t="shared" ca="1" si="20"/>
        <v>0PremiumS5</v>
      </c>
      <c r="E218" s="6">
        <v>0</v>
      </c>
      <c r="F218" s="7">
        <v>228</v>
      </c>
      <c r="G218" s="10" t="str">
        <f ca="1">VLOOKUP($F218,OFFSET([1]characters!$A$2,0,0,COUNTA([1]characters!$A:$A),MATCH(G$1,[1]characters!$2:$2,0)-MATCH($F$1,[1]characters!$2:$2,0)+1),MATCH(G$1,[1]characters!$2:$2,0)-MATCH($F$1,[1]characters!$2:$2,0)+1,FALSE)</f>
        <v>殲滅の掃射砲 アレス</v>
      </c>
      <c r="H218" s="10" t="str">
        <f ca="1">VLOOKUP($F218,OFFSET([1]characters!$A$2,0,0,COUNTA([1]characters!$A:$A),MATCH(H$1,[1]characters!$2:$2,0)-MATCH($F$1,[1]characters!$2:$2,0)+1),MATCH(H$1,[1]characters!$2:$2,0)-MATCH($F$1,[1]characters!$2:$2,0)+1,FALSE)</f>
        <v>PremiumS</v>
      </c>
      <c r="I218" s="10">
        <f ca="1">VLOOKUP($F218,OFFSET([1]characters!$A$2,0,0,COUNTA([1]characters!$A:$A),MATCH(I$1,[1]characters!$2:$2,0)-MATCH($F$1,[1]characters!$2:$2,0)+1),MATCH(I$1,[1]characters!$2:$2,0)-MATCH($F$1,[1]characters!$2:$2,0)+1,FALSE)</f>
        <v>5</v>
      </c>
      <c r="J218" s="10" t="str">
        <f ca="1">VLOOKUP($F218,OFFSET([1]characters!$A$2,0,0,COUNTA([1]characters!$A:$A),MATCH(J$1,[1]characters!$2:$2,0)-MATCH($F$1,[1]characters!$2:$2,0)+1),MATCH(J$1,[1]characters!$2:$2,0)-MATCH($F$1,[1]characters!$2:$2,0)+1,FALSE)</f>
        <v>red</v>
      </c>
      <c r="K218" s="10" t="str">
        <f ca="1">VLOOKUP($F218,OFFSET([1]characters!$A$2,0,0,COUNTA([1]characters!$A:$A),MATCH("タイプ",[1]characters!$1:$1,0)-MATCH($F$1,[1]characters!$2:$2,0)+2),MATCH("タイプ",[1]characters!$1:$1,0)-MATCH($F$1,[1]characters!$2:$2,0)+2,FALSE)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8" s="10" t="str">
        <f ca="1">VLOOKUP($F218,OFFSET([1]characters!$A$2,0,0,COUNTA([1]characters!$A:$A),MATCH($L$1,[1]characters!$1:$1,0)-MATCH($F$1,[1]characters!$2:$2,0)+2),MATCH($L$1,[1]characters!$1:$1,0)-MATCH($F$1,[1]characters!$2:$2,0)+2,FALSE)</f>
        <v>ゴッド</v>
      </c>
      <c r="M218" s="6">
        <v>1</v>
      </c>
      <c r="N218" s="40">
        <f ca="1">VLOOKUP(D218,gacha_133_base!A:B,2,FALSE)</f>
        <v>13</v>
      </c>
      <c r="O218" s="28">
        <v>0</v>
      </c>
      <c r="P218" s="28">
        <v>0</v>
      </c>
      <c r="Q218" s="28">
        <v>0</v>
      </c>
      <c r="R218" s="28">
        <v>0</v>
      </c>
      <c r="S218" s="28">
        <v>1</v>
      </c>
    </row>
    <row r="219" spans="1:19" ht="21" customHeight="1">
      <c r="A219" s="8" t="str">
        <f t="shared" si="18"/>
        <v>02311</v>
      </c>
      <c r="B219" s="2">
        <f t="shared" si="21"/>
        <v>133</v>
      </c>
      <c r="C219" s="10" t="str">
        <f t="shared" ca="1" si="19"/>
        <v>0PremiumS5</v>
      </c>
      <c r="D219" s="10" t="str">
        <f t="shared" ca="1" si="20"/>
        <v>0PremiumS5</v>
      </c>
      <c r="E219" s="6">
        <v>0</v>
      </c>
      <c r="F219" s="7">
        <v>231</v>
      </c>
      <c r="G219" s="10" t="str">
        <f ca="1">VLOOKUP($F219,OFFSET([1]characters!$A$2,0,0,COUNTA([1]characters!$A:$A),MATCH(G$1,[1]characters!$2:$2,0)-MATCH($F$1,[1]characters!$2:$2,0)+1),MATCH(G$1,[1]characters!$2:$2,0)-MATCH($F$1,[1]characters!$2:$2,0)+1,FALSE)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219" s="10" t="str">
        <f ca="1">VLOOKUP($F219,OFFSET([1]characters!$A$2,0,0,COUNTA([1]characters!$A:$A),MATCH(H$1,[1]characters!$2:$2,0)-MATCH($F$1,[1]characters!$2:$2,0)+1),MATCH(H$1,[1]characters!$2:$2,0)-MATCH($F$1,[1]characters!$2:$2,0)+1,FALSE)</f>
        <v>PremiumS</v>
      </c>
      <c r="I219" s="10">
        <f ca="1">VLOOKUP($F219,OFFSET([1]characters!$A$2,0,0,COUNTA([1]characters!$A:$A),MATCH(I$1,[1]characters!$2:$2,0)-MATCH($F$1,[1]characters!$2:$2,0)+1),MATCH(I$1,[1]characters!$2:$2,0)-MATCH($F$1,[1]characters!$2:$2,0)+1,FALSE)</f>
        <v>5</v>
      </c>
      <c r="J219" s="10" t="str">
        <f ca="1">VLOOKUP($F219,OFFSET([1]characters!$A$2,0,0,COUNTA([1]characters!$A:$A),MATCH(J$1,[1]characters!$2:$2,0)-MATCH($F$1,[1]characters!$2:$2,0)+1),MATCH(J$1,[1]characters!$2:$2,0)-MATCH($F$1,[1]characters!$2:$2,0)+1,FALSE)</f>
        <v>green</v>
      </c>
      <c r="K219" s="10" t="str">
        <f ca="1">VLOOKUP($F219,OFFSET([1]characters!$A$2,0,0,COUNTA([1]characters!$A:$A),MATCH("タイプ",[1]characters!$1:$1,0)-MATCH($F$1,[1]characters!$2:$2,0)+2),MATCH("タイプ",[1]characters!$1:$1,0)-MATCH($F$1,[1]characters!$2:$2,0)+2,FALSE)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9" s="10" t="str">
        <f ca="1">VLOOKUP($F219,OFFSET([1]characters!$A$2,0,0,COUNTA([1]characters!$A:$A),MATCH($L$1,[1]characters!$1:$1,0)-MATCH($F$1,[1]characters!$2:$2,0)+2),MATCH($L$1,[1]characters!$1:$1,0)-MATCH($F$1,[1]characters!$2:$2,0)+2,FALSE)</f>
        <v>ドラゴン</v>
      </c>
      <c r="M219" s="6">
        <v>1</v>
      </c>
      <c r="N219" s="40">
        <f ca="1">VLOOKUP(D219,gacha_133_base!A:B,2,FALSE)</f>
        <v>13</v>
      </c>
      <c r="O219" s="28">
        <v>0</v>
      </c>
      <c r="P219" s="28">
        <v>0</v>
      </c>
      <c r="Q219" s="28">
        <v>0</v>
      </c>
      <c r="R219" s="28">
        <v>0</v>
      </c>
      <c r="S219" s="28">
        <v>1</v>
      </c>
    </row>
    <row r="220" spans="1:19" ht="21" customHeight="1">
      <c r="A220" s="8" t="str">
        <f t="shared" si="18"/>
        <v>02341</v>
      </c>
      <c r="B220" s="2">
        <f t="shared" si="21"/>
        <v>133</v>
      </c>
      <c r="C220" s="10" t="str">
        <f t="shared" ca="1" si="19"/>
        <v>0PremiumS5</v>
      </c>
      <c r="D220" s="10" t="str">
        <f t="shared" ca="1" si="20"/>
        <v>0PremiumS5</v>
      </c>
      <c r="E220" s="6">
        <v>0</v>
      </c>
      <c r="F220" s="7">
        <v>234</v>
      </c>
      <c r="G220" s="10" t="str">
        <f ca="1">VLOOKUP($F220,OFFSET([1]characters!$A$2,0,0,COUNTA([1]characters!$A:$A),MATCH(G$1,[1]characters!$2:$2,0)-MATCH($F$1,[1]characters!$2:$2,0)+1),MATCH(G$1,[1]characters!$2:$2,0)-MATCH($F$1,[1]characters!$2:$2,0)+1,FALSE)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220" s="10" t="str">
        <f ca="1">VLOOKUP($F220,OFFSET([1]characters!$A$2,0,0,COUNTA([1]characters!$A:$A),MATCH(H$1,[1]characters!$2:$2,0)-MATCH($F$1,[1]characters!$2:$2,0)+1),MATCH(H$1,[1]characters!$2:$2,0)-MATCH($F$1,[1]characters!$2:$2,0)+1,FALSE)</f>
        <v>PremiumS</v>
      </c>
      <c r="I220" s="10">
        <f ca="1">VLOOKUP($F220,OFFSET([1]characters!$A$2,0,0,COUNTA([1]characters!$A:$A),MATCH(I$1,[1]characters!$2:$2,0)-MATCH($F$1,[1]characters!$2:$2,0)+1),MATCH(I$1,[1]characters!$2:$2,0)-MATCH($F$1,[1]characters!$2:$2,0)+1,FALSE)</f>
        <v>5</v>
      </c>
      <c r="J220" s="10" t="str">
        <f ca="1">VLOOKUP($F220,OFFSET([1]characters!$A$2,0,0,COUNTA([1]characters!$A:$A),MATCH(J$1,[1]characters!$2:$2,0)-MATCH($F$1,[1]characters!$2:$2,0)+1),MATCH(J$1,[1]characters!$2:$2,0)-MATCH($F$1,[1]characters!$2:$2,0)+1,FALSE)</f>
        <v>blue</v>
      </c>
      <c r="K220" s="10" t="str">
        <f ca="1">VLOOKUP($F220,OFFSET([1]characters!$A$2,0,0,COUNTA([1]characters!$A:$A),MATCH("タイプ",[1]characters!$1:$1,0)-MATCH($F$1,[1]characters!$2:$2,0)+2),MATCH("タイプ",[1]characters!$1:$1,0)-MATCH($F$1,[1]characters!$2:$2,0)+2,FALSE)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20" s="10" t="str">
        <f ca="1">VLOOKUP($F220,OFFSET([1]characters!$A$2,0,0,COUNTA([1]characters!$A:$A),MATCH($L$1,[1]characters!$1:$1,0)-MATCH($F$1,[1]characters!$2:$2,0)+2),MATCH($L$1,[1]characters!$1:$1,0)-MATCH($F$1,[1]characters!$2:$2,0)+2,FALSE)</f>
        <v>ヒューマン</v>
      </c>
      <c r="M220" s="6">
        <v>1</v>
      </c>
      <c r="N220" s="40">
        <f ca="1">VLOOKUP(D220,gacha_133_base!A:B,2,FALSE)</f>
        <v>13</v>
      </c>
      <c r="O220" s="28">
        <v>0</v>
      </c>
      <c r="P220" s="28">
        <v>0</v>
      </c>
      <c r="Q220" s="28">
        <v>0</v>
      </c>
      <c r="R220" s="28">
        <v>0</v>
      </c>
      <c r="S220" s="28">
        <v>1</v>
      </c>
    </row>
    <row r="221" spans="1:19" s="26" customFormat="1" ht="21" customHeight="1" thickBot="1">
      <c r="A221" s="22" t="str">
        <f t="shared" si="18"/>
        <v>02371</v>
      </c>
      <c r="B221" s="2">
        <f t="shared" si="21"/>
        <v>133</v>
      </c>
      <c r="C221" s="10" t="str">
        <f t="shared" ca="1" si="19"/>
        <v>0PremiumS5</v>
      </c>
      <c r="D221" s="10" t="str">
        <f t="shared" ca="1" si="20"/>
        <v>0PremiumS5</v>
      </c>
      <c r="E221" s="6">
        <v>0</v>
      </c>
      <c r="F221" s="7">
        <v>237</v>
      </c>
      <c r="G221" s="10" t="str">
        <f ca="1">VLOOKUP($F221,OFFSET([1]characters!$A$2,0,0,COUNTA([1]characters!$A:$A),MATCH(G$1,[1]characters!$2:$2,0)-MATCH($F$1,[1]characters!$2:$2,0)+1),MATCH(G$1,[1]characters!$2:$2,0)-MATCH($F$1,[1]characters!$2:$2,0)+1,FALSE)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221" s="10" t="str">
        <f ca="1">VLOOKUP($F221,OFFSET([1]characters!$A$2,0,0,COUNTA([1]characters!$A:$A),MATCH(H$1,[1]characters!$2:$2,0)-MATCH($F$1,[1]characters!$2:$2,0)+1),MATCH(H$1,[1]characters!$2:$2,0)-MATCH($F$1,[1]characters!$2:$2,0)+1,FALSE)</f>
        <v>PremiumS</v>
      </c>
      <c r="I221" s="10">
        <f ca="1">VLOOKUP($F221,OFFSET([1]characters!$A$2,0,0,COUNTA([1]characters!$A:$A),MATCH(I$1,[1]characters!$2:$2,0)-MATCH($F$1,[1]characters!$2:$2,0)+1),MATCH(I$1,[1]characters!$2:$2,0)-MATCH($F$1,[1]characters!$2:$2,0)+1,FALSE)</f>
        <v>5</v>
      </c>
      <c r="J221" s="10" t="str">
        <f ca="1">VLOOKUP($F221,OFFSET([1]characters!$A$2,0,0,COUNTA([1]characters!$A:$A),MATCH(J$1,[1]characters!$2:$2,0)-MATCH($F$1,[1]characters!$2:$2,0)+1),MATCH(J$1,[1]characters!$2:$2,0)-MATCH($F$1,[1]characters!$2:$2,0)+1,FALSE)</f>
        <v>yellow</v>
      </c>
      <c r="K221" s="10" t="str">
        <f ca="1">VLOOKUP($F221,OFFSET([1]characters!$A$2,0,0,COUNTA([1]characters!$A:$A),MATCH("タイプ",[1]characters!$1:$1,0)-MATCH($F$1,[1]characters!$2:$2,0)+2),MATCH("タイプ",[1]characters!$1:$1,0)-MATCH($F$1,[1]characters!$2:$2,0)+2,FALSE)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1" s="10" t="str">
        <f ca="1">VLOOKUP($F221,OFFSET([1]characters!$A$2,0,0,COUNTA([1]characters!$A:$A),MATCH($L$1,[1]characters!$1:$1,0)-MATCH($F$1,[1]characters!$2:$2,0)+2),MATCH($L$1,[1]characters!$1:$1,0)-MATCH($F$1,[1]characters!$2:$2,0)+2,FALSE)</f>
        <v>ゴッド</v>
      </c>
      <c r="M221" s="6">
        <v>1</v>
      </c>
      <c r="N221" s="40">
        <f ca="1">VLOOKUP(D221,gacha_133_base!A:B,2,FALSE)</f>
        <v>13</v>
      </c>
      <c r="O221" s="28">
        <v>0</v>
      </c>
      <c r="P221" s="28">
        <v>0</v>
      </c>
      <c r="Q221" s="28">
        <v>0</v>
      </c>
      <c r="R221" s="28">
        <v>0</v>
      </c>
      <c r="S221" s="28">
        <v>1</v>
      </c>
    </row>
    <row r="222" spans="1:19" ht="21" customHeight="1">
      <c r="A222" s="8" t="str">
        <f t="shared" si="18"/>
        <v>02381</v>
      </c>
      <c r="B222" s="2">
        <f t="shared" si="21"/>
        <v>133</v>
      </c>
      <c r="C222" s="10" t="str">
        <f t="shared" ca="1" si="19"/>
        <v>0PremiumS3</v>
      </c>
      <c r="D222" s="10" t="str">
        <f t="shared" ca="1" si="20"/>
        <v>0PremiumS3</v>
      </c>
      <c r="E222" s="6">
        <v>0</v>
      </c>
      <c r="F222" s="19">
        <v>238</v>
      </c>
      <c r="G222" s="10" t="str">
        <f ca="1">VLOOKUP($F222,OFFSET([1]characters!$A$2,0,0,COUNTA([1]characters!$A:$A),MATCH(G$1,[1]characters!$2:$2,0)-MATCH($F$1,[1]characters!$2:$2,0)+1),MATCH(G$1,[1]characters!$2:$2,0)-MATCH($F$1,[1]characters!$2:$2,0)+1,FALSE)</f>
        <v>ウリエル</v>
      </c>
      <c r="H222" s="10" t="str">
        <f ca="1">VLOOKUP($F222,OFFSET([1]characters!$A$2,0,0,COUNTA([1]characters!$A:$A),MATCH(H$1,[1]characters!$2:$2,0)-MATCH($F$1,[1]characters!$2:$2,0)+1),MATCH(H$1,[1]characters!$2:$2,0)-MATCH($F$1,[1]characters!$2:$2,0)+1,FALSE)</f>
        <v>PremiumS</v>
      </c>
      <c r="I222" s="10">
        <f ca="1">VLOOKUP($F222,OFFSET([1]characters!$A$2,0,0,COUNTA([1]characters!$A:$A),MATCH(I$1,[1]characters!$2:$2,0)-MATCH($F$1,[1]characters!$2:$2,0)+1),MATCH(I$1,[1]characters!$2:$2,0)-MATCH($F$1,[1]characters!$2:$2,0)+1,FALSE)</f>
        <v>3</v>
      </c>
      <c r="J222" s="10" t="str">
        <f ca="1">VLOOKUP($F222,OFFSET([1]characters!$A$2,0,0,COUNTA([1]characters!$A:$A),MATCH(J$1,[1]characters!$2:$2,0)-MATCH($F$1,[1]characters!$2:$2,0)+1),MATCH(J$1,[1]characters!$2:$2,0)-MATCH($F$1,[1]characters!$2:$2,0)+1,FALSE)</f>
        <v>red</v>
      </c>
      <c r="K222" s="10" t="str">
        <f ca="1">VLOOKUP($F222,OFFSET([1]characters!$A$2,0,0,COUNTA([1]characters!$A:$A),MATCH("タイプ",[1]characters!$1:$1,0)-MATCH($F$1,[1]characters!$2:$2,0)+2),MATCH("タイプ",[1]characters!$1:$1,0)-MATCH($F$1,[1]characters!$2:$2,0)+2,FALSE)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2" s="10" t="str">
        <f ca="1">VLOOKUP($F222,OFFSET([1]characters!$A$2,0,0,COUNTA([1]characters!$A:$A),MATCH($L$1,[1]characters!$1:$1,0)-MATCH($F$1,[1]characters!$2:$2,0)+2),MATCH($L$1,[1]characters!$1:$1,0)-MATCH($F$1,[1]characters!$2:$2,0)+2,FALSE)</f>
        <v>マシン</v>
      </c>
      <c r="M222" s="6">
        <v>1</v>
      </c>
      <c r="N222" s="40">
        <f ca="1">VLOOKUP(D222,gacha_133_base!A:B,2,FALSE)</f>
        <v>228</v>
      </c>
      <c r="O222" s="28">
        <v>0</v>
      </c>
      <c r="P222" s="28">
        <v>0</v>
      </c>
      <c r="Q222" s="28">
        <v>0</v>
      </c>
      <c r="R222" s="28">
        <v>0</v>
      </c>
      <c r="S222" s="28">
        <v>1</v>
      </c>
    </row>
    <row r="223" spans="1:19" ht="21" customHeight="1">
      <c r="A223" s="8" t="str">
        <f t="shared" si="18"/>
        <v>02391</v>
      </c>
      <c r="B223" s="2">
        <f t="shared" si="21"/>
        <v>133</v>
      </c>
      <c r="C223" s="10" t="str">
        <f t="shared" ca="1" si="19"/>
        <v>0PremiumS4</v>
      </c>
      <c r="D223" s="10" t="str">
        <f t="shared" ca="1" si="20"/>
        <v>0PremiumS4</v>
      </c>
      <c r="E223" s="6">
        <v>0</v>
      </c>
      <c r="F223" s="19">
        <v>239</v>
      </c>
      <c r="G223" s="10" t="str">
        <f ca="1">VLOOKUP($F223,OFFSET([1]characters!$A$2,0,0,COUNTA([1]characters!$A:$A),MATCH(G$1,[1]characters!$2:$2,0)-MATCH($F$1,[1]characters!$2:$2,0)+1),MATCH(G$1,[1]characters!$2:$2,0)-MATCH($F$1,[1]characters!$2:$2,0)+1,FALSE)</f>
        <v>豪炎の天使 ウリエル</v>
      </c>
      <c r="H223" s="10" t="str">
        <f ca="1">VLOOKUP($F223,OFFSET([1]characters!$A$2,0,0,COUNTA([1]characters!$A:$A),MATCH(H$1,[1]characters!$2:$2,0)-MATCH($F$1,[1]characters!$2:$2,0)+1),MATCH(H$1,[1]characters!$2:$2,0)-MATCH($F$1,[1]characters!$2:$2,0)+1,FALSE)</f>
        <v>PremiumS</v>
      </c>
      <c r="I223" s="10">
        <f ca="1">VLOOKUP($F223,OFFSET([1]characters!$A$2,0,0,COUNTA([1]characters!$A:$A),MATCH(I$1,[1]characters!$2:$2,0)-MATCH($F$1,[1]characters!$2:$2,0)+1),MATCH(I$1,[1]characters!$2:$2,0)-MATCH($F$1,[1]characters!$2:$2,0)+1,FALSE)</f>
        <v>4</v>
      </c>
      <c r="J223" s="10" t="str">
        <f ca="1">VLOOKUP($F223,OFFSET([1]characters!$A$2,0,0,COUNTA([1]characters!$A:$A),MATCH(J$1,[1]characters!$2:$2,0)-MATCH($F$1,[1]characters!$2:$2,0)+1),MATCH(J$1,[1]characters!$2:$2,0)-MATCH($F$1,[1]characters!$2:$2,0)+1,FALSE)</f>
        <v>red</v>
      </c>
      <c r="K223" s="10" t="str">
        <f ca="1">VLOOKUP($F223,OFFSET([1]characters!$A$2,0,0,COUNTA([1]characters!$A:$A),MATCH("タイプ",[1]characters!$1:$1,0)-MATCH($F$1,[1]characters!$2:$2,0)+2),MATCH("タイプ",[1]characters!$1:$1,0)-MATCH($F$1,[1]characters!$2:$2,0)+2,FALSE)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3" s="10" t="str">
        <f ca="1">VLOOKUP($F223,OFFSET([1]characters!$A$2,0,0,COUNTA([1]characters!$A:$A),MATCH($L$1,[1]characters!$1:$1,0)-MATCH($F$1,[1]characters!$2:$2,0)+2),MATCH($L$1,[1]characters!$1:$1,0)-MATCH($F$1,[1]characters!$2:$2,0)+2,FALSE)</f>
        <v>マシン</v>
      </c>
      <c r="M223" s="6">
        <v>1</v>
      </c>
      <c r="N223" s="40">
        <f ca="1">VLOOKUP(D223,gacha_133_base!A:B,2,FALSE)</f>
        <v>80</v>
      </c>
      <c r="O223" s="28">
        <v>0</v>
      </c>
      <c r="P223" s="28">
        <v>0</v>
      </c>
      <c r="Q223" s="28">
        <v>0</v>
      </c>
      <c r="R223" s="28">
        <v>0</v>
      </c>
      <c r="S223" s="28">
        <v>1</v>
      </c>
    </row>
    <row r="224" spans="1:19" ht="21" customHeight="1">
      <c r="A224" s="8" t="str">
        <f t="shared" si="18"/>
        <v>02401</v>
      </c>
      <c r="B224" s="2">
        <f t="shared" si="21"/>
        <v>133</v>
      </c>
      <c r="C224" s="10" t="str">
        <f t="shared" ca="1" si="19"/>
        <v>0PremiumS5</v>
      </c>
      <c r="D224" s="10" t="str">
        <f t="shared" ca="1" si="20"/>
        <v>0PremiumS5</v>
      </c>
      <c r="E224" s="6">
        <v>0</v>
      </c>
      <c r="F224" s="19">
        <v>240</v>
      </c>
      <c r="G224" s="10" t="str">
        <f ca="1">VLOOKUP($F224,OFFSET([1]characters!$A$2,0,0,COUNTA([1]characters!$A:$A),MATCH(G$1,[1]characters!$2:$2,0)-MATCH($F$1,[1]characters!$2:$2,0)+1),MATCH(G$1,[1]characters!$2:$2,0)-MATCH($F$1,[1]characters!$2:$2,0)+1,FALSE)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224" s="10" t="str">
        <f ca="1">VLOOKUP($F224,OFFSET([1]characters!$A$2,0,0,COUNTA([1]characters!$A:$A),MATCH(H$1,[1]characters!$2:$2,0)-MATCH($F$1,[1]characters!$2:$2,0)+1),MATCH(H$1,[1]characters!$2:$2,0)-MATCH($F$1,[1]characters!$2:$2,0)+1,FALSE)</f>
        <v>PremiumS</v>
      </c>
      <c r="I224" s="10">
        <f ca="1">VLOOKUP($F224,OFFSET([1]characters!$A$2,0,0,COUNTA([1]characters!$A:$A),MATCH(I$1,[1]characters!$2:$2,0)-MATCH($F$1,[1]characters!$2:$2,0)+1),MATCH(I$1,[1]characters!$2:$2,0)-MATCH($F$1,[1]characters!$2:$2,0)+1,FALSE)</f>
        <v>5</v>
      </c>
      <c r="J224" s="10" t="str">
        <f ca="1">VLOOKUP($F224,OFFSET([1]characters!$A$2,0,0,COUNTA([1]characters!$A:$A),MATCH(J$1,[1]characters!$2:$2,0)-MATCH($F$1,[1]characters!$2:$2,0)+1),MATCH(J$1,[1]characters!$2:$2,0)-MATCH($F$1,[1]characters!$2:$2,0)+1,FALSE)</f>
        <v>red</v>
      </c>
      <c r="K224" s="10" t="str">
        <f ca="1">VLOOKUP($F224,OFFSET([1]characters!$A$2,0,0,COUNTA([1]characters!$A:$A),MATCH("タイプ",[1]characters!$1:$1,0)-MATCH($F$1,[1]characters!$2:$2,0)+2),MATCH("タイプ",[1]characters!$1:$1,0)-MATCH($F$1,[1]characters!$2:$2,0)+2,FALSE)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4" s="10" t="str">
        <f ca="1">VLOOKUP($F224,OFFSET([1]characters!$A$2,0,0,COUNTA([1]characters!$A:$A),MATCH($L$1,[1]characters!$1:$1,0)-MATCH($F$1,[1]characters!$2:$2,0)+2),MATCH($L$1,[1]characters!$1:$1,0)-MATCH($F$1,[1]characters!$2:$2,0)+2,FALSE)</f>
        <v>マシン</v>
      </c>
      <c r="M224" s="6">
        <v>1</v>
      </c>
      <c r="N224" s="40">
        <f ca="1">VLOOKUP(D224,gacha_133_base!A:B,2,FALSE)</f>
        <v>13</v>
      </c>
      <c r="O224" s="28">
        <v>0</v>
      </c>
      <c r="P224" s="28">
        <v>0</v>
      </c>
      <c r="Q224" s="28">
        <v>0</v>
      </c>
      <c r="R224" s="28">
        <v>0</v>
      </c>
      <c r="S224" s="28">
        <v>1</v>
      </c>
    </row>
    <row r="225" spans="1:19" ht="21" customHeight="1">
      <c r="A225" s="8" t="str">
        <f t="shared" si="18"/>
        <v>02411</v>
      </c>
      <c r="B225" s="2">
        <f t="shared" si="21"/>
        <v>133</v>
      </c>
      <c r="C225" s="10" t="str">
        <f t="shared" ca="1" si="19"/>
        <v>0PremiumS3</v>
      </c>
      <c r="D225" s="10" t="str">
        <f t="shared" ca="1" si="20"/>
        <v>0PremiumS3</v>
      </c>
      <c r="E225" s="6">
        <v>0</v>
      </c>
      <c r="F225" s="19">
        <v>241</v>
      </c>
      <c r="G225" s="10" t="str">
        <f ca="1">VLOOKUP($F225,OFFSET([1]characters!$A$2,0,0,COUNTA([1]characters!$A:$A),MATCH(G$1,[1]characters!$2:$2,0)-MATCH($F$1,[1]characters!$2:$2,0)+1),MATCH(G$1,[1]characters!$2:$2,0)-MATCH($F$1,[1]characters!$2:$2,0)+1,FALSE)</f>
        <v>ガブリエル</v>
      </c>
      <c r="H225" s="10" t="str">
        <f ca="1">VLOOKUP($F225,OFFSET([1]characters!$A$2,0,0,COUNTA([1]characters!$A:$A),MATCH(H$1,[1]characters!$2:$2,0)-MATCH($F$1,[1]characters!$2:$2,0)+1),MATCH(H$1,[1]characters!$2:$2,0)-MATCH($F$1,[1]characters!$2:$2,0)+1,FALSE)</f>
        <v>PremiumS</v>
      </c>
      <c r="I225" s="10">
        <f ca="1">VLOOKUP($F225,OFFSET([1]characters!$A$2,0,0,COUNTA([1]characters!$A:$A),MATCH(I$1,[1]characters!$2:$2,0)-MATCH($F$1,[1]characters!$2:$2,0)+1),MATCH(I$1,[1]characters!$2:$2,0)-MATCH($F$1,[1]characters!$2:$2,0)+1,FALSE)</f>
        <v>3</v>
      </c>
      <c r="J225" s="10" t="str">
        <f ca="1">VLOOKUP($F225,OFFSET([1]characters!$A$2,0,0,COUNTA([1]characters!$A:$A),MATCH(J$1,[1]characters!$2:$2,0)-MATCH($F$1,[1]characters!$2:$2,0)+1),MATCH(J$1,[1]characters!$2:$2,0)-MATCH($F$1,[1]characters!$2:$2,0)+1,FALSE)</f>
        <v>green</v>
      </c>
      <c r="K225" s="10" t="str">
        <f ca="1">VLOOKUP($F225,OFFSET([1]characters!$A$2,0,0,COUNTA([1]characters!$A:$A),MATCH("タイプ",[1]characters!$1:$1,0)-MATCH($F$1,[1]characters!$2:$2,0)+2),MATCH("タイプ",[1]characters!$1:$1,0)-MATCH($F$1,[1]characters!$2:$2,0)+2,FALSE)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5" s="10" t="str">
        <f ca="1">VLOOKUP($F225,OFFSET([1]characters!$A$2,0,0,COUNTA([1]characters!$A:$A),MATCH($L$1,[1]characters!$1:$1,0)-MATCH($F$1,[1]characters!$2:$2,0)+2),MATCH($L$1,[1]characters!$1:$1,0)-MATCH($F$1,[1]characters!$2:$2,0)+2,FALSE)</f>
        <v>マシン</v>
      </c>
      <c r="M225" s="6">
        <v>1</v>
      </c>
      <c r="N225" s="40">
        <f ca="1">VLOOKUP(D225,gacha_133_base!A:B,2,FALSE)</f>
        <v>228</v>
      </c>
      <c r="O225" s="28">
        <v>0</v>
      </c>
      <c r="P225" s="28">
        <v>0</v>
      </c>
      <c r="Q225" s="28">
        <v>0</v>
      </c>
      <c r="R225" s="28">
        <v>0</v>
      </c>
      <c r="S225" s="28">
        <v>1</v>
      </c>
    </row>
    <row r="226" spans="1:19" ht="21" customHeight="1">
      <c r="A226" s="8" t="str">
        <f t="shared" si="18"/>
        <v>02421</v>
      </c>
      <c r="B226" s="2">
        <f t="shared" si="21"/>
        <v>133</v>
      </c>
      <c r="C226" s="10" t="str">
        <f t="shared" ca="1" si="19"/>
        <v>0PremiumS4</v>
      </c>
      <c r="D226" s="10" t="str">
        <f t="shared" ca="1" si="20"/>
        <v>0PremiumS4</v>
      </c>
      <c r="E226" s="6">
        <v>0</v>
      </c>
      <c r="F226" s="19">
        <v>242</v>
      </c>
      <c r="G226" s="10" t="str">
        <f ca="1">VLOOKUP($F226,OFFSET([1]characters!$A$2,0,0,COUNTA([1]characters!$A:$A),MATCH(G$1,[1]characters!$2:$2,0)-MATCH($F$1,[1]characters!$2:$2,0)+1),MATCH(G$1,[1]characters!$2:$2,0)-MATCH($F$1,[1]characters!$2:$2,0)+1,FALSE)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226" s="10" t="str">
        <f ca="1">VLOOKUP($F226,OFFSET([1]characters!$A$2,0,0,COUNTA([1]characters!$A:$A),MATCH(H$1,[1]characters!$2:$2,0)-MATCH($F$1,[1]characters!$2:$2,0)+1),MATCH(H$1,[1]characters!$2:$2,0)-MATCH($F$1,[1]characters!$2:$2,0)+1,FALSE)</f>
        <v>PremiumS</v>
      </c>
      <c r="I226" s="10">
        <f ca="1">VLOOKUP($F226,OFFSET([1]characters!$A$2,0,0,COUNTA([1]characters!$A:$A),MATCH(I$1,[1]characters!$2:$2,0)-MATCH($F$1,[1]characters!$2:$2,0)+1),MATCH(I$1,[1]characters!$2:$2,0)-MATCH($F$1,[1]characters!$2:$2,0)+1,FALSE)</f>
        <v>4</v>
      </c>
      <c r="J226" s="10" t="str">
        <f ca="1">VLOOKUP($F226,OFFSET([1]characters!$A$2,0,0,COUNTA([1]characters!$A:$A),MATCH(J$1,[1]characters!$2:$2,0)-MATCH($F$1,[1]characters!$2:$2,0)+1),MATCH(J$1,[1]characters!$2:$2,0)-MATCH($F$1,[1]characters!$2:$2,0)+1,FALSE)</f>
        <v>green</v>
      </c>
      <c r="K226" s="10" t="str">
        <f ca="1">VLOOKUP($F226,OFFSET([1]characters!$A$2,0,0,COUNTA([1]characters!$A:$A),MATCH("タイプ",[1]characters!$1:$1,0)-MATCH($F$1,[1]characters!$2:$2,0)+2),MATCH("タイプ",[1]characters!$1:$1,0)-MATCH($F$1,[1]characters!$2:$2,0)+2,FALSE)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6" s="10" t="str">
        <f ca="1">VLOOKUP($F226,OFFSET([1]characters!$A$2,0,0,COUNTA([1]characters!$A:$A),MATCH($L$1,[1]characters!$1:$1,0)-MATCH($F$1,[1]characters!$2:$2,0)+2),MATCH($L$1,[1]characters!$1:$1,0)-MATCH($F$1,[1]characters!$2:$2,0)+2,FALSE)</f>
        <v>マシン</v>
      </c>
      <c r="M226" s="6">
        <v>1</v>
      </c>
      <c r="N226" s="40">
        <f ca="1">VLOOKUP(D226,gacha_133_base!A:B,2,FALSE)</f>
        <v>80</v>
      </c>
      <c r="O226" s="28">
        <v>0</v>
      </c>
      <c r="P226" s="28">
        <v>0</v>
      </c>
      <c r="Q226" s="28">
        <v>0</v>
      </c>
      <c r="R226" s="28">
        <v>0</v>
      </c>
      <c r="S226" s="28">
        <v>1</v>
      </c>
    </row>
    <row r="227" spans="1:19" ht="21" customHeight="1">
      <c r="A227" s="8" t="str">
        <f t="shared" ref="A227:A263" si="22">E227&amp;F227&amp;M227</f>
        <v>02431</v>
      </c>
      <c r="B227" s="2">
        <f t="shared" si="21"/>
        <v>133</v>
      </c>
      <c r="C227" s="10" t="str">
        <f t="shared" ca="1" si="19"/>
        <v>0PremiumS5</v>
      </c>
      <c r="D227" s="10" t="str">
        <f t="shared" ca="1" si="20"/>
        <v>0PremiumS5</v>
      </c>
      <c r="E227" s="6">
        <v>0</v>
      </c>
      <c r="F227" s="19">
        <v>243</v>
      </c>
      <c r="G227" s="10" t="str">
        <f ca="1">VLOOKUP($F227,OFFSET([1]characters!$A$2,0,0,COUNTA([1]characters!$A:$A),MATCH(G$1,[1]characters!$2:$2,0)-MATCH($F$1,[1]characters!$2:$2,0)+1),MATCH(G$1,[1]characters!$2:$2,0)-MATCH($F$1,[1]characters!$2:$2,0)+1,FALSE)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227" s="10" t="str">
        <f ca="1">VLOOKUP($F227,OFFSET([1]characters!$A$2,0,0,COUNTA([1]characters!$A:$A),MATCH(H$1,[1]characters!$2:$2,0)-MATCH($F$1,[1]characters!$2:$2,0)+1),MATCH(H$1,[1]characters!$2:$2,0)-MATCH($F$1,[1]characters!$2:$2,0)+1,FALSE)</f>
        <v>PremiumS</v>
      </c>
      <c r="I227" s="10">
        <f ca="1">VLOOKUP($F227,OFFSET([1]characters!$A$2,0,0,COUNTA([1]characters!$A:$A),MATCH(I$1,[1]characters!$2:$2,0)-MATCH($F$1,[1]characters!$2:$2,0)+1),MATCH(I$1,[1]characters!$2:$2,0)-MATCH($F$1,[1]characters!$2:$2,0)+1,FALSE)</f>
        <v>5</v>
      </c>
      <c r="J227" s="10" t="str">
        <f ca="1">VLOOKUP($F227,OFFSET([1]characters!$A$2,0,0,COUNTA([1]characters!$A:$A),MATCH(J$1,[1]characters!$2:$2,0)-MATCH($F$1,[1]characters!$2:$2,0)+1),MATCH(J$1,[1]characters!$2:$2,0)-MATCH($F$1,[1]characters!$2:$2,0)+1,FALSE)</f>
        <v>green</v>
      </c>
      <c r="K227" s="10" t="str">
        <f ca="1">VLOOKUP($F227,OFFSET([1]characters!$A$2,0,0,COUNTA([1]characters!$A:$A),MATCH("タイプ",[1]characters!$1:$1,0)-MATCH($F$1,[1]characters!$2:$2,0)+2),MATCH("タイプ",[1]characters!$1:$1,0)-MATCH($F$1,[1]characters!$2:$2,0)+2,FALSE)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7" s="10" t="str">
        <f ca="1">VLOOKUP($F227,OFFSET([1]characters!$A$2,0,0,COUNTA([1]characters!$A:$A),MATCH($L$1,[1]characters!$1:$1,0)-MATCH($F$1,[1]characters!$2:$2,0)+2),MATCH($L$1,[1]characters!$1:$1,0)-MATCH($F$1,[1]characters!$2:$2,0)+2,FALSE)</f>
        <v>マシン</v>
      </c>
      <c r="M227" s="6">
        <v>1</v>
      </c>
      <c r="N227" s="40">
        <f ca="1">VLOOKUP(D227,gacha_133_base!A:B,2,FALSE)</f>
        <v>13</v>
      </c>
      <c r="O227" s="28">
        <v>0</v>
      </c>
      <c r="P227" s="28">
        <v>0</v>
      </c>
      <c r="Q227" s="28">
        <v>0</v>
      </c>
      <c r="R227" s="28">
        <v>0</v>
      </c>
      <c r="S227" s="28">
        <v>1</v>
      </c>
    </row>
    <row r="228" spans="1:19" ht="21" customHeight="1">
      <c r="A228" s="8" t="str">
        <f t="shared" si="22"/>
        <v>02441</v>
      </c>
      <c r="B228" s="2">
        <f t="shared" si="21"/>
        <v>133</v>
      </c>
      <c r="C228" s="10" t="str">
        <f t="shared" ca="1" si="19"/>
        <v>0PremiumS3</v>
      </c>
      <c r="D228" s="10" t="str">
        <f t="shared" ca="1" si="20"/>
        <v>0PremiumS3</v>
      </c>
      <c r="E228" s="6">
        <v>0</v>
      </c>
      <c r="F228" s="19">
        <v>244</v>
      </c>
      <c r="G228" s="10" t="str">
        <f ca="1">VLOOKUP($F228,OFFSET([1]characters!$A$2,0,0,COUNTA([1]characters!$A:$A),MATCH(G$1,[1]characters!$2:$2,0)-MATCH($F$1,[1]characters!$2:$2,0)+1),MATCH(G$1,[1]characters!$2:$2,0)-MATCH($F$1,[1]characters!$2:$2,0)+1,FALSE)</f>
        <v>ラファエル</v>
      </c>
      <c r="H228" s="10" t="str">
        <f ca="1">VLOOKUP($F228,OFFSET([1]characters!$A$2,0,0,COUNTA([1]characters!$A:$A),MATCH(H$1,[1]characters!$2:$2,0)-MATCH($F$1,[1]characters!$2:$2,0)+1),MATCH(H$1,[1]characters!$2:$2,0)-MATCH($F$1,[1]characters!$2:$2,0)+1,FALSE)</f>
        <v>PremiumS</v>
      </c>
      <c r="I228" s="10">
        <f ca="1">VLOOKUP($F228,OFFSET([1]characters!$A$2,0,0,COUNTA([1]characters!$A:$A),MATCH(I$1,[1]characters!$2:$2,0)-MATCH($F$1,[1]characters!$2:$2,0)+1),MATCH(I$1,[1]characters!$2:$2,0)-MATCH($F$1,[1]characters!$2:$2,0)+1,FALSE)</f>
        <v>3</v>
      </c>
      <c r="J228" s="10" t="str">
        <f ca="1">VLOOKUP($F228,OFFSET([1]characters!$A$2,0,0,COUNTA([1]characters!$A:$A),MATCH(J$1,[1]characters!$2:$2,0)-MATCH($F$1,[1]characters!$2:$2,0)+1),MATCH(J$1,[1]characters!$2:$2,0)-MATCH($F$1,[1]characters!$2:$2,0)+1,FALSE)</f>
        <v>blue</v>
      </c>
      <c r="K228" s="10" t="str">
        <f ca="1">VLOOKUP($F228,OFFSET([1]characters!$A$2,0,0,COUNTA([1]characters!$A:$A),MATCH("タイプ",[1]characters!$1:$1,0)-MATCH($F$1,[1]characters!$2:$2,0)+2),MATCH("タイプ",[1]characters!$1:$1,0)-MATCH($F$1,[1]characters!$2:$2,0)+2,FALSE)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8" s="10" t="str">
        <f ca="1">VLOOKUP($F228,OFFSET([1]characters!$A$2,0,0,COUNTA([1]characters!$A:$A),MATCH($L$1,[1]characters!$1:$1,0)-MATCH($F$1,[1]characters!$2:$2,0)+2),MATCH($L$1,[1]characters!$1:$1,0)-MATCH($F$1,[1]characters!$2:$2,0)+2,FALSE)</f>
        <v>マシン</v>
      </c>
      <c r="M228" s="6">
        <v>1</v>
      </c>
      <c r="N228" s="40">
        <f ca="1">VLOOKUP(D228,gacha_133_base!A:B,2,FALSE)</f>
        <v>228</v>
      </c>
      <c r="O228" s="28">
        <v>0</v>
      </c>
      <c r="P228" s="28">
        <v>0</v>
      </c>
      <c r="Q228" s="28">
        <v>0</v>
      </c>
      <c r="R228" s="28">
        <v>0</v>
      </c>
      <c r="S228" s="28">
        <v>1</v>
      </c>
    </row>
    <row r="229" spans="1:19" ht="21" customHeight="1">
      <c r="A229" s="8" t="str">
        <f t="shared" si="22"/>
        <v>02451</v>
      </c>
      <c r="B229" s="2">
        <f t="shared" si="21"/>
        <v>133</v>
      </c>
      <c r="C229" s="10" t="str">
        <f t="shared" ca="1" si="19"/>
        <v>0PremiumS4</v>
      </c>
      <c r="D229" s="10" t="str">
        <f t="shared" ca="1" si="20"/>
        <v>0PremiumS4</v>
      </c>
      <c r="E229" s="6">
        <v>0</v>
      </c>
      <c r="F229" s="19">
        <v>245</v>
      </c>
      <c r="G229" s="10" t="str">
        <f ca="1">VLOOKUP($F229,OFFSET([1]characters!$A$2,0,0,COUNTA([1]characters!$A:$A),MATCH(G$1,[1]characters!$2:$2,0)-MATCH($F$1,[1]characters!$2:$2,0)+1),MATCH(G$1,[1]characters!$2:$2,0)-MATCH($F$1,[1]characters!$2:$2,0)+1,FALSE)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229" s="10" t="str">
        <f ca="1">VLOOKUP($F229,OFFSET([1]characters!$A$2,0,0,COUNTA([1]characters!$A:$A),MATCH(H$1,[1]characters!$2:$2,0)-MATCH($F$1,[1]characters!$2:$2,0)+1),MATCH(H$1,[1]characters!$2:$2,0)-MATCH($F$1,[1]characters!$2:$2,0)+1,FALSE)</f>
        <v>PremiumS</v>
      </c>
      <c r="I229" s="10">
        <f ca="1">VLOOKUP($F229,OFFSET([1]characters!$A$2,0,0,COUNTA([1]characters!$A:$A),MATCH(I$1,[1]characters!$2:$2,0)-MATCH($F$1,[1]characters!$2:$2,0)+1),MATCH(I$1,[1]characters!$2:$2,0)-MATCH($F$1,[1]characters!$2:$2,0)+1,FALSE)</f>
        <v>4</v>
      </c>
      <c r="J229" s="10" t="str">
        <f ca="1">VLOOKUP($F229,OFFSET([1]characters!$A$2,0,0,COUNTA([1]characters!$A:$A),MATCH(J$1,[1]characters!$2:$2,0)-MATCH($F$1,[1]characters!$2:$2,0)+1),MATCH(J$1,[1]characters!$2:$2,0)-MATCH($F$1,[1]characters!$2:$2,0)+1,FALSE)</f>
        <v>blue</v>
      </c>
      <c r="K229" s="10" t="str">
        <f ca="1">VLOOKUP($F229,OFFSET([1]characters!$A$2,0,0,COUNTA([1]characters!$A:$A),MATCH("タイプ",[1]characters!$1:$1,0)-MATCH($F$1,[1]characters!$2:$2,0)+2),MATCH("タイプ",[1]characters!$1:$1,0)-MATCH($F$1,[1]characters!$2:$2,0)+2,FALSE)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9" s="10" t="str">
        <f ca="1">VLOOKUP($F229,OFFSET([1]characters!$A$2,0,0,COUNTA([1]characters!$A:$A),MATCH($L$1,[1]characters!$1:$1,0)-MATCH($F$1,[1]characters!$2:$2,0)+2),MATCH($L$1,[1]characters!$1:$1,0)-MATCH($F$1,[1]characters!$2:$2,0)+2,FALSE)</f>
        <v>マシン</v>
      </c>
      <c r="M229" s="6">
        <v>1</v>
      </c>
      <c r="N229" s="40">
        <f ca="1">VLOOKUP(D229,gacha_133_base!A:B,2,FALSE)</f>
        <v>80</v>
      </c>
      <c r="O229" s="28">
        <v>0</v>
      </c>
      <c r="P229" s="28">
        <v>0</v>
      </c>
      <c r="Q229" s="28">
        <v>0</v>
      </c>
      <c r="R229" s="28">
        <v>0</v>
      </c>
      <c r="S229" s="28">
        <v>1</v>
      </c>
    </row>
    <row r="230" spans="1:19" ht="21" customHeight="1">
      <c r="A230" s="8" t="str">
        <f t="shared" si="22"/>
        <v>02461</v>
      </c>
      <c r="B230" s="2">
        <f t="shared" si="21"/>
        <v>133</v>
      </c>
      <c r="C230" s="10" t="str">
        <f t="shared" ca="1" si="19"/>
        <v>0PremiumS5</v>
      </c>
      <c r="D230" s="10" t="str">
        <f t="shared" ca="1" si="20"/>
        <v>0PremiumS5</v>
      </c>
      <c r="E230" s="6">
        <v>0</v>
      </c>
      <c r="F230" s="19">
        <v>246</v>
      </c>
      <c r="G230" s="10" t="str">
        <f ca="1">VLOOKUP($F230,OFFSET([1]characters!$A$2,0,0,COUNTA([1]characters!$A:$A),MATCH(G$1,[1]characters!$2:$2,0)-MATCH($F$1,[1]characters!$2:$2,0)+1),MATCH(G$1,[1]characters!$2:$2,0)-MATCH($F$1,[1]characters!$2:$2,0)+1,FALSE)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230" s="10" t="str">
        <f ca="1">VLOOKUP($F230,OFFSET([1]characters!$A$2,0,0,COUNTA([1]characters!$A:$A),MATCH(H$1,[1]characters!$2:$2,0)-MATCH($F$1,[1]characters!$2:$2,0)+1),MATCH(H$1,[1]characters!$2:$2,0)-MATCH($F$1,[1]characters!$2:$2,0)+1,FALSE)</f>
        <v>PremiumS</v>
      </c>
      <c r="I230" s="10">
        <f ca="1">VLOOKUP($F230,OFFSET([1]characters!$A$2,0,0,COUNTA([1]characters!$A:$A),MATCH(I$1,[1]characters!$2:$2,0)-MATCH($F$1,[1]characters!$2:$2,0)+1),MATCH(I$1,[1]characters!$2:$2,0)-MATCH($F$1,[1]characters!$2:$2,0)+1,FALSE)</f>
        <v>5</v>
      </c>
      <c r="J230" s="10" t="str">
        <f ca="1">VLOOKUP($F230,OFFSET([1]characters!$A$2,0,0,COUNTA([1]characters!$A:$A),MATCH(J$1,[1]characters!$2:$2,0)-MATCH($F$1,[1]characters!$2:$2,0)+1),MATCH(J$1,[1]characters!$2:$2,0)-MATCH($F$1,[1]characters!$2:$2,0)+1,FALSE)</f>
        <v>blue</v>
      </c>
      <c r="K230" s="10" t="str">
        <f ca="1">VLOOKUP($F230,OFFSET([1]characters!$A$2,0,0,COUNTA([1]characters!$A:$A),MATCH("タイプ",[1]characters!$1:$1,0)-MATCH($F$1,[1]characters!$2:$2,0)+2),MATCH("タイプ",[1]characters!$1:$1,0)-MATCH($F$1,[1]characters!$2:$2,0)+2,FALSE)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0" s="10" t="str">
        <f ca="1">VLOOKUP($F230,OFFSET([1]characters!$A$2,0,0,COUNTA([1]characters!$A:$A),MATCH($L$1,[1]characters!$1:$1,0)-MATCH($F$1,[1]characters!$2:$2,0)+2),MATCH($L$1,[1]characters!$1:$1,0)-MATCH($F$1,[1]characters!$2:$2,0)+2,FALSE)</f>
        <v>マシン</v>
      </c>
      <c r="M230" s="6">
        <v>1</v>
      </c>
      <c r="N230" s="40">
        <f ca="1">VLOOKUP(D230,gacha_133_base!A:B,2,FALSE)</f>
        <v>13</v>
      </c>
      <c r="O230" s="28">
        <v>0</v>
      </c>
      <c r="P230" s="28">
        <v>0</v>
      </c>
      <c r="Q230" s="28">
        <v>0</v>
      </c>
      <c r="R230" s="28">
        <v>0</v>
      </c>
      <c r="S230" s="28">
        <v>1</v>
      </c>
    </row>
    <row r="231" spans="1:19" ht="21" customHeight="1">
      <c r="A231" s="8" t="str">
        <f t="shared" si="22"/>
        <v>02471</v>
      </c>
      <c r="B231" s="2">
        <f t="shared" si="21"/>
        <v>133</v>
      </c>
      <c r="C231" s="10" t="str">
        <f t="shared" ca="1" si="19"/>
        <v>0PremiumS3</v>
      </c>
      <c r="D231" s="10" t="str">
        <f t="shared" ca="1" si="20"/>
        <v>0PremiumS3</v>
      </c>
      <c r="E231" s="6">
        <v>0</v>
      </c>
      <c r="F231" s="19">
        <v>247</v>
      </c>
      <c r="G231" s="10" t="str">
        <f ca="1">VLOOKUP($F231,OFFSET([1]characters!$A$2,0,0,COUNTA([1]characters!$A:$A),MATCH(G$1,[1]characters!$2:$2,0)-MATCH($F$1,[1]characters!$2:$2,0)+1),MATCH(G$1,[1]characters!$2:$2,0)-MATCH($F$1,[1]characters!$2:$2,0)+1,FALSE)</f>
        <v>ミカエル</v>
      </c>
      <c r="H231" s="10" t="str">
        <f ca="1">VLOOKUP($F231,OFFSET([1]characters!$A$2,0,0,COUNTA([1]characters!$A:$A),MATCH(H$1,[1]characters!$2:$2,0)-MATCH($F$1,[1]characters!$2:$2,0)+1),MATCH(H$1,[1]characters!$2:$2,0)-MATCH($F$1,[1]characters!$2:$2,0)+1,FALSE)</f>
        <v>PremiumS</v>
      </c>
      <c r="I231" s="10">
        <f ca="1">VLOOKUP($F231,OFFSET([1]characters!$A$2,0,0,COUNTA([1]characters!$A:$A),MATCH(I$1,[1]characters!$2:$2,0)-MATCH($F$1,[1]characters!$2:$2,0)+1),MATCH(I$1,[1]characters!$2:$2,0)-MATCH($F$1,[1]characters!$2:$2,0)+1,FALSE)</f>
        <v>3</v>
      </c>
      <c r="J231" s="10" t="str">
        <f ca="1">VLOOKUP($F231,OFFSET([1]characters!$A$2,0,0,COUNTA([1]characters!$A:$A),MATCH(J$1,[1]characters!$2:$2,0)-MATCH($F$1,[1]characters!$2:$2,0)+1),MATCH(J$1,[1]characters!$2:$2,0)-MATCH($F$1,[1]characters!$2:$2,0)+1,FALSE)</f>
        <v>yellow</v>
      </c>
      <c r="K231" s="10" t="str">
        <f ca="1">VLOOKUP($F231,OFFSET([1]characters!$A$2,0,0,COUNTA([1]characters!$A:$A),MATCH("タイプ",[1]characters!$1:$1,0)-MATCH($F$1,[1]characters!$2:$2,0)+2),MATCH("タイプ",[1]characters!$1:$1,0)-MATCH($F$1,[1]characters!$2:$2,0)+2,FALSE)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1" s="10" t="str">
        <f ca="1">VLOOKUP($F231,OFFSET([1]characters!$A$2,0,0,COUNTA([1]characters!$A:$A),MATCH($L$1,[1]characters!$1:$1,0)-MATCH($F$1,[1]characters!$2:$2,0)+2),MATCH($L$1,[1]characters!$1:$1,0)-MATCH($F$1,[1]characters!$2:$2,0)+2,FALSE)</f>
        <v>マシン</v>
      </c>
      <c r="M231" s="6">
        <v>1</v>
      </c>
      <c r="N231" s="40">
        <f ca="1">VLOOKUP(D231,gacha_133_base!A:B,2,FALSE)</f>
        <v>228</v>
      </c>
      <c r="O231" s="28">
        <v>0</v>
      </c>
      <c r="P231" s="28">
        <v>0</v>
      </c>
      <c r="Q231" s="28">
        <v>0</v>
      </c>
      <c r="R231" s="28">
        <v>0</v>
      </c>
      <c r="S231" s="28">
        <v>1</v>
      </c>
    </row>
    <row r="232" spans="1:19" ht="21" customHeight="1">
      <c r="A232" s="8" t="str">
        <f t="shared" si="22"/>
        <v>02481</v>
      </c>
      <c r="B232" s="2">
        <f t="shared" si="21"/>
        <v>133</v>
      </c>
      <c r="C232" s="10" t="str">
        <f t="shared" ca="1" si="19"/>
        <v>0PremiumS4</v>
      </c>
      <c r="D232" s="10" t="str">
        <f t="shared" ca="1" si="20"/>
        <v>0PremiumS4</v>
      </c>
      <c r="E232" s="6">
        <v>0</v>
      </c>
      <c r="F232" s="19">
        <v>248</v>
      </c>
      <c r="G232" s="10" t="str">
        <f ca="1">VLOOKUP($F232,OFFSET([1]characters!$A$2,0,0,COUNTA([1]characters!$A:$A),MATCH(G$1,[1]characters!$2:$2,0)-MATCH($F$1,[1]characters!$2:$2,0)+1),MATCH(G$1,[1]characters!$2:$2,0)-MATCH($F$1,[1]characters!$2:$2,0)+1,FALSE)</f>
        <v>彩電の天使 ミカエル</v>
      </c>
      <c r="H232" s="10" t="str">
        <f ca="1">VLOOKUP($F232,OFFSET([1]characters!$A$2,0,0,COUNTA([1]characters!$A:$A),MATCH(H$1,[1]characters!$2:$2,0)-MATCH($F$1,[1]characters!$2:$2,0)+1),MATCH(H$1,[1]characters!$2:$2,0)-MATCH($F$1,[1]characters!$2:$2,0)+1,FALSE)</f>
        <v>PremiumS</v>
      </c>
      <c r="I232" s="10">
        <f ca="1">VLOOKUP($F232,OFFSET([1]characters!$A$2,0,0,COUNTA([1]characters!$A:$A),MATCH(I$1,[1]characters!$2:$2,0)-MATCH($F$1,[1]characters!$2:$2,0)+1),MATCH(I$1,[1]characters!$2:$2,0)-MATCH($F$1,[1]characters!$2:$2,0)+1,FALSE)</f>
        <v>4</v>
      </c>
      <c r="J232" s="10" t="str">
        <f ca="1">VLOOKUP($F232,OFFSET([1]characters!$A$2,0,0,COUNTA([1]characters!$A:$A),MATCH(J$1,[1]characters!$2:$2,0)-MATCH($F$1,[1]characters!$2:$2,0)+1),MATCH(J$1,[1]characters!$2:$2,0)-MATCH($F$1,[1]characters!$2:$2,0)+1,FALSE)</f>
        <v>yellow</v>
      </c>
      <c r="K232" s="10" t="str">
        <f ca="1">VLOOKUP($F232,OFFSET([1]characters!$A$2,0,0,COUNTA([1]characters!$A:$A),MATCH("タイプ",[1]characters!$1:$1,0)-MATCH($F$1,[1]characters!$2:$2,0)+2),MATCH("タイプ",[1]characters!$1:$1,0)-MATCH($F$1,[1]characters!$2:$2,0)+2,FALSE)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2" s="10" t="str">
        <f ca="1">VLOOKUP($F232,OFFSET([1]characters!$A$2,0,0,COUNTA([1]characters!$A:$A),MATCH($L$1,[1]characters!$1:$1,0)-MATCH($F$1,[1]characters!$2:$2,0)+2),MATCH($L$1,[1]characters!$1:$1,0)-MATCH($F$1,[1]characters!$2:$2,0)+2,FALSE)</f>
        <v>マシン</v>
      </c>
      <c r="M232" s="6">
        <v>1</v>
      </c>
      <c r="N232" s="40">
        <f ca="1">VLOOKUP(D232,gacha_133_base!A:B,2,FALSE)</f>
        <v>80</v>
      </c>
      <c r="O232" s="28">
        <v>0</v>
      </c>
      <c r="P232" s="28">
        <v>0</v>
      </c>
      <c r="Q232" s="28">
        <v>0</v>
      </c>
      <c r="R232" s="28">
        <v>0</v>
      </c>
      <c r="S232" s="28">
        <v>1</v>
      </c>
    </row>
    <row r="233" spans="1:19" s="26" customFormat="1" ht="21" customHeight="1" thickBot="1">
      <c r="A233" s="22" t="str">
        <f t="shared" si="22"/>
        <v>02491</v>
      </c>
      <c r="B233" s="2">
        <f t="shared" si="21"/>
        <v>133</v>
      </c>
      <c r="C233" s="10" t="str">
        <f t="shared" ca="1" si="19"/>
        <v>0PremiumS5</v>
      </c>
      <c r="D233" s="10" t="str">
        <f t="shared" ca="1" si="20"/>
        <v>0PremiumS5</v>
      </c>
      <c r="E233" s="6">
        <v>0</v>
      </c>
      <c r="F233" s="19">
        <v>249</v>
      </c>
      <c r="G233" s="10" t="str">
        <f ca="1">VLOOKUP($F233,OFFSET([1]characters!$A$2,0,0,COUNTA([1]characters!$A:$A),MATCH(G$1,[1]characters!$2:$2,0)-MATCH($F$1,[1]characters!$2:$2,0)+1),MATCH(G$1,[1]characters!$2:$2,0)-MATCH($F$1,[1]characters!$2:$2,0)+1,FALSE)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233" s="10" t="str">
        <f ca="1">VLOOKUP($F233,OFFSET([1]characters!$A$2,0,0,COUNTA([1]characters!$A:$A),MATCH(H$1,[1]characters!$2:$2,0)-MATCH($F$1,[1]characters!$2:$2,0)+1),MATCH(H$1,[1]characters!$2:$2,0)-MATCH($F$1,[1]characters!$2:$2,0)+1,FALSE)</f>
        <v>PremiumS</v>
      </c>
      <c r="I233" s="10">
        <f ca="1">VLOOKUP($F233,OFFSET([1]characters!$A$2,0,0,COUNTA([1]characters!$A:$A),MATCH(I$1,[1]characters!$2:$2,0)-MATCH($F$1,[1]characters!$2:$2,0)+1),MATCH(I$1,[1]characters!$2:$2,0)-MATCH($F$1,[1]characters!$2:$2,0)+1,FALSE)</f>
        <v>5</v>
      </c>
      <c r="J233" s="10" t="str">
        <f ca="1">VLOOKUP($F233,OFFSET([1]characters!$A$2,0,0,COUNTA([1]characters!$A:$A),MATCH(J$1,[1]characters!$2:$2,0)-MATCH($F$1,[1]characters!$2:$2,0)+1),MATCH(J$1,[1]characters!$2:$2,0)-MATCH($F$1,[1]characters!$2:$2,0)+1,FALSE)</f>
        <v>yellow</v>
      </c>
      <c r="K233" s="10" t="str">
        <f ca="1">VLOOKUP($F233,OFFSET([1]characters!$A$2,0,0,COUNTA([1]characters!$A:$A),MATCH("タイプ",[1]characters!$1:$1,0)-MATCH($F$1,[1]characters!$2:$2,0)+2),MATCH("タイプ",[1]characters!$1:$1,0)-MATCH($F$1,[1]characters!$2:$2,0)+2,FALSE)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3" s="10" t="str">
        <f ca="1">VLOOKUP($F233,OFFSET([1]characters!$A$2,0,0,COUNTA([1]characters!$A:$A),MATCH($L$1,[1]characters!$1:$1,0)-MATCH($F$1,[1]characters!$2:$2,0)+2),MATCH($L$1,[1]characters!$1:$1,0)-MATCH($F$1,[1]characters!$2:$2,0)+2,FALSE)</f>
        <v>マシン</v>
      </c>
      <c r="M233" s="6">
        <v>1</v>
      </c>
      <c r="N233" s="40">
        <f ca="1">VLOOKUP(D233,gacha_133_base!A:B,2,FALSE)</f>
        <v>13</v>
      </c>
      <c r="O233" s="28">
        <v>0</v>
      </c>
      <c r="P233" s="28">
        <v>0</v>
      </c>
      <c r="Q233" s="28">
        <v>0</v>
      </c>
      <c r="R233" s="28">
        <v>0</v>
      </c>
      <c r="S233" s="28">
        <v>1</v>
      </c>
    </row>
    <row r="234" spans="1:19" s="26" customFormat="1" ht="21" customHeight="1" thickBot="1">
      <c r="A234" s="22" t="str">
        <f t="shared" si="22"/>
        <v>02501</v>
      </c>
      <c r="B234" s="2">
        <f t="shared" si="21"/>
        <v>133</v>
      </c>
      <c r="C234" s="10" t="str">
        <f t="shared" ca="1" si="19"/>
        <v>0PremiumS3</v>
      </c>
      <c r="D234" s="10" t="str">
        <f t="shared" ca="1" si="20"/>
        <v>0PremiumS3</v>
      </c>
      <c r="E234" s="6">
        <v>0</v>
      </c>
      <c r="F234" s="7">
        <v>250</v>
      </c>
      <c r="G234" s="10" t="str">
        <f ca="1">VLOOKUP($F234,OFFSET([1]characters!$A$2,0,0,COUNTA([1]characters!$A:$A),MATCH(G$1,[1]characters!$2:$2,0)-MATCH($F$1,[1]characters!$2:$2,0)+1),MATCH(G$1,[1]characters!$2:$2,0)-MATCH($F$1,[1]characters!$2:$2,0)+1,FALSE)</f>
        <v>マンモン</v>
      </c>
      <c r="H234" s="10" t="str">
        <f ca="1">VLOOKUP($F234,OFFSET([1]characters!$A$2,0,0,COUNTA([1]characters!$A:$A),MATCH(H$1,[1]characters!$2:$2,0)-MATCH($F$1,[1]characters!$2:$2,0)+1),MATCH(H$1,[1]characters!$2:$2,0)-MATCH($F$1,[1]characters!$2:$2,0)+1,FALSE)</f>
        <v>PremiumS</v>
      </c>
      <c r="I234" s="10">
        <f ca="1">VLOOKUP($F234,OFFSET([1]characters!$A$2,0,0,COUNTA([1]characters!$A:$A),MATCH(I$1,[1]characters!$2:$2,0)-MATCH($F$1,[1]characters!$2:$2,0)+1),MATCH(I$1,[1]characters!$2:$2,0)-MATCH($F$1,[1]characters!$2:$2,0)+1,FALSE)</f>
        <v>3</v>
      </c>
      <c r="J234" s="10" t="str">
        <f ca="1">VLOOKUP($F234,OFFSET([1]characters!$A$2,0,0,COUNTA([1]characters!$A:$A),MATCH(J$1,[1]characters!$2:$2,0)-MATCH($F$1,[1]characters!$2:$2,0)+1),MATCH(J$1,[1]characters!$2:$2,0)-MATCH($F$1,[1]characters!$2:$2,0)+1,FALSE)</f>
        <v>red</v>
      </c>
      <c r="K234" s="10" t="str">
        <f ca="1">VLOOKUP($F234,OFFSET([1]characters!$A$2,0,0,COUNTA([1]characters!$A:$A),MATCH("タイプ",[1]characters!$1:$1,0)-MATCH($F$1,[1]characters!$2:$2,0)+2),MATCH("タイプ",[1]characters!$1:$1,0)-MATCH($F$1,[1]characters!$2:$2,0)+2,FALSE)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4" s="10" t="str">
        <f ca="1">VLOOKUP($F234,OFFSET([1]characters!$A$2,0,0,COUNTA([1]characters!$A:$A),MATCH($L$1,[1]characters!$1:$1,0)-MATCH($F$1,[1]characters!$2:$2,0)+2),MATCH($L$1,[1]characters!$1:$1,0)-MATCH($F$1,[1]characters!$2:$2,0)+2,FALSE)</f>
        <v>ゴッド</v>
      </c>
      <c r="M234" s="6">
        <v>1</v>
      </c>
      <c r="N234" s="40">
        <f ca="1">VLOOKUP(D234,gacha_133_base!A:B,2,FALSE)</f>
        <v>228</v>
      </c>
      <c r="O234" s="28">
        <v>0</v>
      </c>
      <c r="P234" s="28">
        <v>0</v>
      </c>
      <c r="Q234" s="28">
        <v>0</v>
      </c>
      <c r="R234" s="28">
        <v>0</v>
      </c>
      <c r="S234" s="28">
        <v>1</v>
      </c>
    </row>
    <row r="235" spans="1:19" ht="21" customHeight="1" thickBot="1">
      <c r="A235" s="22" t="str">
        <f t="shared" si="22"/>
        <v>02511</v>
      </c>
      <c r="B235" s="2">
        <f t="shared" si="21"/>
        <v>133</v>
      </c>
      <c r="C235" s="10" t="str">
        <f t="shared" ca="1" si="19"/>
        <v>0PremiumS4</v>
      </c>
      <c r="D235" s="10" t="str">
        <f t="shared" ca="1" si="20"/>
        <v>0PremiumS4</v>
      </c>
      <c r="E235" s="6">
        <v>0</v>
      </c>
      <c r="F235" s="7">
        <v>251</v>
      </c>
      <c r="G235" s="10" t="str">
        <f ca="1">VLOOKUP($F235,OFFSET([1]characters!$A$2,0,0,COUNTA([1]characters!$A:$A),MATCH(G$1,[1]characters!$2:$2,0)-MATCH($F$1,[1]characters!$2:$2,0)+1),MATCH(G$1,[1]characters!$2:$2,0)-MATCH($F$1,[1]characters!$2:$2,0)+1,FALSE)</f>
        <v>強欲 マンモン</v>
      </c>
      <c r="H235" s="10" t="str">
        <f ca="1">VLOOKUP($F235,OFFSET([1]characters!$A$2,0,0,COUNTA([1]characters!$A:$A),MATCH(H$1,[1]characters!$2:$2,0)-MATCH($F$1,[1]characters!$2:$2,0)+1),MATCH(H$1,[1]characters!$2:$2,0)-MATCH($F$1,[1]characters!$2:$2,0)+1,FALSE)</f>
        <v>PremiumS</v>
      </c>
      <c r="I235" s="10">
        <f ca="1">VLOOKUP($F235,OFFSET([1]characters!$A$2,0,0,COUNTA([1]characters!$A:$A),MATCH(I$1,[1]characters!$2:$2,0)-MATCH($F$1,[1]characters!$2:$2,0)+1),MATCH(I$1,[1]characters!$2:$2,0)-MATCH($F$1,[1]characters!$2:$2,0)+1,FALSE)</f>
        <v>4</v>
      </c>
      <c r="J235" s="10" t="str">
        <f ca="1">VLOOKUP($F235,OFFSET([1]characters!$A$2,0,0,COUNTA([1]characters!$A:$A),MATCH(J$1,[1]characters!$2:$2,0)-MATCH($F$1,[1]characters!$2:$2,0)+1),MATCH(J$1,[1]characters!$2:$2,0)-MATCH($F$1,[1]characters!$2:$2,0)+1,FALSE)</f>
        <v>red</v>
      </c>
      <c r="K235" s="10" t="str">
        <f ca="1">VLOOKUP($F235,OFFSET([1]characters!$A$2,0,0,COUNTA([1]characters!$A:$A),MATCH("タイプ",[1]characters!$1:$1,0)-MATCH($F$1,[1]characters!$2:$2,0)+2),MATCH("タイプ",[1]characters!$1:$1,0)-MATCH($F$1,[1]characters!$2:$2,0)+2,FALSE)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5" s="10" t="str">
        <f ca="1">VLOOKUP($F235,OFFSET([1]characters!$A$2,0,0,COUNTA([1]characters!$A:$A),MATCH($L$1,[1]characters!$1:$1,0)-MATCH($F$1,[1]characters!$2:$2,0)+2),MATCH($L$1,[1]characters!$1:$1,0)-MATCH($F$1,[1]characters!$2:$2,0)+2,FALSE)</f>
        <v>ゴッド</v>
      </c>
      <c r="M235" s="6">
        <v>1</v>
      </c>
      <c r="N235" s="40">
        <f ca="1">VLOOKUP(D235,gacha_133_base!A:B,2,FALSE)</f>
        <v>80</v>
      </c>
      <c r="O235" s="28">
        <v>0</v>
      </c>
      <c r="P235" s="28">
        <v>0</v>
      </c>
      <c r="Q235" s="28">
        <v>0</v>
      </c>
      <c r="R235" s="28">
        <v>0</v>
      </c>
      <c r="S235" s="28">
        <v>1</v>
      </c>
    </row>
    <row r="236" spans="1:19" ht="21" customHeight="1" thickBot="1">
      <c r="A236" s="22" t="str">
        <f t="shared" si="22"/>
        <v>02521</v>
      </c>
      <c r="B236" s="2">
        <f t="shared" si="21"/>
        <v>133</v>
      </c>
      <c r="C236" s="10" t="str">
        <f t="shared" ca="1" si="19"/>
        <v>0PremiumS5</v>
      </c>
      <c r="D236" s="10" t="str">
        <f t="shared" ca="1" si="20"/>
        <v>0PremiumS5</v>
      </c>
      <c r="E236" s="6">
        <v>0</v>
      </c>
      <c r="F236" s="7">
        <v>252</v>
      </c>
      <c r="G236" s="10" t="str">
        <f ca="1">VLOOKUP($F236,OFFSET([1]characters!$A$2,0,0,COUNTA([1]characters!$A:$A),MATCH(G$1,[1]characters!$2:$2,0)-MATCH($F$1,[1]characters!$2:$2,0)+1),MATCH(G$1,[1]characters!$2:$2,0)-MATCH($F$1,[1]characters!$2:$2,0)+1,FALSE)</f>
        <v>強欲の沸騰 マンモン</v>
      </c>
      <c r="H236" s="10" t="str">
        <f ca="1">VLOOKUP($F236,OFFSET([1]characters!$A$2,0,0,COUNTA([1]characters!$A:$A),MATCH(H$1,[1]characters!$2:$2,0)-MATCH($F$1,[1]characters!$2:$2,0)+1),MATCH(H$1,[1]characters!$2:$2,0)-MATCH($F$1,[1]characters!$2:$2,0)+1,FALSE)</f>
        <v>PremiumS</v>
      </c>
      <c r="I236" s="10">
        <f ca="1">VLOOKUP($F236,OFFSET([1]characters!$A$2,0,0,COUNTA([1]characters!$A:$A),MATCH(I$1,[1]characters!$2:$2,0)-MATCH($F$1,[1]characters!$2:$2,0)+1),MATCH(I$1,[1]characters!$2:$2,0)-MATCH($F$1,[1]characters!$2:$2,0)+1,FALSE)</f>
        <v>5</v>
      </c>
      <c r="J236" s="10" t="str">
        <f ca="1">VLOOKUP($F236,OFFSET([1]characters!$A$2,0,0,COUNTA([1]characters!$A:$A),MATCH(J$1,[1]characters!$2:$2,0)-MATCH($F$1,[1]characters!$2:$2,0)+1),MATCH(J$1,[1]characters!$2:$2,0)-MATCH($F$1,[1]characters!$2:$2,0)+1,FALSE)</f>
        <v>red</v>
      </c>
      <c r="K236" s="10" t="str">
        <f ca="1">VLOOKUP($F236,OFFSET([1]characters!$A$2,0,0,COUNTA([1]characters!$A:$A),MATCH("タイプ",[1]characters!$1:$1,0)-MATCH($F$1,[1]characters!$2:$2,0)+2),MATCH("タイプ",[1]characters!$1:$1,0)-MATCH($F$1,[1]characters!$2:$2,0)+2,FALSE)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6" s="10" t="str">
        <f ca="1">VLOOKUP($F236,OFFSET([1]characters!$A$2,0,0,COUNTA([1]characters!$A:$A),MATCH($L$1,[1]characters!$1:$1,0)-MATCH($F$1,[1]characters!$2:$2,0)+2),MATCH($L$1,[1]characters!$1:$1,0)-MATCH($F$1,[1]characters!$2:$2,0)+2,FALSE)</f>
        <v>ゴッド</v>
      </c>
      <c r="M236" s="6">
        <v>1</v>
      </c>
      <c r="N236" s="40">
        <f ca="1">VLOOKUP(D236,gacha_133_base!A:B,2,FALSE)</f>
        <v>13</v>
      </c>
      <c r="O236" s="28">
        <v>0</v>
      </c>
      <c r="P236" s="28">
        <v>0</v>
      </c>
      <c r="Q236" s="28">
        <v>0</v>
      </c>
      <c r="R236" s="28">
        <v>0</v>
      </c>
      <c r="S236" s="28">
        <v>1</v>
      </c>
    </row>
    <row r="237" spans="1:19" ht="21" customHeight="1" thickBot="1">
      <c r="A237" s="22" t="str">
        <f t="shared" si="22"/>
        <v>02531</v>
      </c>
      <c r="B237" s="2">
        <f t="shared" si="21"/>
        <v>133</v>
      </c>
      <c r="C237" s="10" t="str">
        <f t="shared" ca="1" si="19"/>
        <v>0PremiumS3</v>
      </c>
      <c r="D237" s="10" t="str">
        <f t="shared" ca="1" si="20"/>
        <v>0PremiumS3</v>
      </c>
      <c r="E237" s="6">
        <v>0</v>
      </c>
      <c r="F237" s="7">
        <v>253</v>
      </c>
      <c r="G237" s="10" t="str">
        <f ca="1">VLOOKUP($F237,OFFSET([1]characters!$A$2,0,0,COUNTA([1]characters!$A:$A),MATCH(G$1,[1]characters!$2:$2,0)-MATCH($F$1,[1]characters!$2:$2,0)+1),MATCH(G$1,[1]characters!$2:$2,0)-MATCH($F$1,[1]characters!$2:$2,0)+1,FALSE)</f>
        <v>ベルフェゴール</v>
      </c>
      <c r="H237" s="10" t="str">
        <f ca="1">VLOOKUP($F237,OFFSET([1]characters!$A$2,0,0,COUNTA([1]characters!$A:$A),MATCH(H$1,[1]characters!$2:$2,0)-MATCH($F$1,[1]characters!$2:$2,0)+1),MATCH(H$1,[1]characters!$2:$2,0)-MATCH($F$1,[1]characters!$2:$2,0)+1,FALSE)</f>
        <v>PremiumS</v>
      </c>
      <c r="I237" s="10">
        <f ca="1">VLOOKUP($F237,OFFSET([1]characters!$A$2,0,0,COUNTA([1]characters!$A:$A),MATCH(I$1,[1]characters!$2:$2,0)-MATCH($F$1,[1]characters!$2:$2,0)+1),MATCH(I$1,[1]characters!$2:$2,0)-MATCH($F$1,[1]characters!$2:$2,0)+1,FALSE)</f>
        <v>3</v>
      </c>
      <c r="J237" s="10" t="str">
        <f ca="1">VLOOKUP($F237,OFFSET([1]characters!$A$2,0,0,COUNTA([1]characters!$A:$A),MATCH(J$1,[1]characters!$2:$2,0)-MATCH($F$1,[1]characters!$2:$2,0)+1),MATCH(J$1,[1]characters!$2:$2,0)-MATCH($F$1,[1]characters!$2:$2,0)+1,FALSE)</f>
        <v>green</v>
      </c>
      <c r="K237" s="10" t="str">
        <f ca="1">VLOOKUP($F237,OFFSET([1]characters!$A$2,0,0,COUNTA([1]characters!$A:$A),MATCH("タイプ",[1]characters!$1:$1,0)-MATCH($F$1,[1]characters!$2:$2,0)+2),MATCH("タイプ",[1]characters!$1:$1,0)-MATCH($F$1,[1]characters!$2:$2,0)+2,FALSE)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7" s="10" t="str">
        <f ca="1">VLOOKUP($F237,OFFSET([1]characters!$A$2,0,0,COUNTA([1]characters!$A:$A),MATCH($L$1,[1]characters!$1:$1,0)-MATCH($F$1,[1]characters!$2:$2,0)+2),MATCH($L$1,[1]characters!$1:$1,0)-MATCH($F$1,[1]characters!$2:$2,0)+2,FALSE)</f>
        <v>ゴッド</v>
      </c>
      <c r="M237" s="6">
        <v>1</v>
      </c>
      <c r="N237" s="40">
        <f ca="1">VLOOKUP(D237,gacha_133_base!A:B,2,FALSE)</f>
        <v>228</v>
      </c>
      <c r="O237" s="28">
        <v>0</v>
      </c>
      <c r="P237" s="28">
        <v>0</v>
      </c>
      <c r="Q237" s="28">
        <v>0</v>
      </c>
      <c r="R237" s="28">
        <v>0</v>
      </c>
      <c r="S237" s="28">
        <v>1</v>
      </c>
    </row>
    <row r="238" spans="1:19" ht="21" customHeight="1" thickBot="1">
      <c r="A238" s="22" t="str">
        <f t="shared" si="22"/>
        <v>02541</v>
      </c>
      <c r="B238" s="2">
        <f t="shared" si="21"/>
        <v>133</v>
      </c>
      <c r="C238" s="10" t="str">
        <f t="shared" ca="1" si="19"/>
        <v>0PremiumS4</v>
      </c>
      <c r="D238" s="10" t="str">
        <f t="shared" ca="1" si="20"/>
        <v>0PremiumS4</v>
      </c>
      <c r="E238" s="6">
        <v>0</v>
      </c>
      <c r="F238" s="7">
        <v>254</v>
      </c>
      <c r="G238" s="10" t="str">
        <f ca="1">VLOOKUP($F238,OFFSET([1]characters!$A$2,0,0,COUNTA([1]characters!$A:$A),MATCH(G$1,[1]characters!$2:$2,0)-MATCH($F$1,[1]characters!$2:$2,0)+1),MATCH(G$1,[1]characters!$2:$2,0)-MATCH($F$1,[1]characters!$2:$2,0)+1,FALSE)</f>
        <v>怠惰 ベルフェゴール</v>
      </c>
      <c r="H238" s="10" t="str">
        <f ca="1">VLOOKUP($F238,OFFSET([1]characters!$A$2,0,0,COUNTA([1]characters!$A:$A),MATCH(H$1,[1]characters!$2:$2,0)-MATCH($F$1,[1]characters!$2:$2,0)+1),MATCH(H$1,[1]characters!$2:$2,0)-MATCH($F$1,[1]characters!$2:$2,0)+1,FALSE)</f>
        <v>PremiumS</v>
      </c>
      <c r="I238" s="10">
        <f ca="1">VLOOKUP($F238,OFFSET([1]characters!$A$2,0,0,COUNTA([1]characters!$A:$A),MATCH(I$1,[1]characters!$2:$2,0)-MATCH($F$1,[1]characters!$2:$2,0)+1),MATCH(I$1,[1]characters!$2:$2,0)-MATCH($F$1,[1]characters!$2:$2,0)+1,FALSE)</f>
        <v>4</v>
      </c>
      <c r="J238" s="10" t="str">
        <f ca="1">VLOOKUP($F238,OFFSET([1]characters!$A$2,0,0,COUNTA([1]characters!$A:$A),MATCH(J$1,[1]characters!$2:$2,0)-MATCH($F$1,[1]characters!$2:$2,0)+1),MATCH(J$1,[1]characters!$2:$2,0)-MATCH($F$1,[1]characters!$2:$2,0)+1,FALSE)</f>
        <v>green</v>
      </c>
      <c r="K238" s="10" t="str">
        <f ca="1">VLOOKUP($F238,OFFSET([1]characters!$A$2,0,0,COUNTA([1]characters!$A:$A),MATCH("タイプ",[1]characters!$1:$1,0)-MATCH($F$1,[1]characters!$2:$2,0)+2),MATCH("タイプ",[1]characters!$1:$1,0)-MATCH($F$1,[1]characters!$2:$2,0)+2,FALSE)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8" s="10" t="str">
        <f ca="1">VLOOKUP($F238,OFFSET([1]characters!$A$2,0,0,COUNTA([1]characters!$A:$A),MATCH($L$1,[1]characters!$1:$1,0)-MATCH($F$1,[1]characters!$2:$2,0)+2),MATCH($L$1,[1]characters!$1:$1,0)-MATCH($F$1,[1]characters!$2:$2,0)+2,FALSE)</f>
        <v>ゴッド</v>
      </c>
      <c r="M238" s="6">
        <v>1</v>
      </c>
      <c r="N238" s="40">
        <f ca="1">VLOOKUP(D238,gacha_133_base!A:B,2,FALSE)</f>
        <v>80</v>
      </c>
      <c r="O238" s="28">
        <v>0</v>
      </c>
      <c r="P238" s="28">
        <v>0</v>
      </c>
      <c r="Q238" s="28">
        <v>0</v>
      </c>
      <c r="R238" s="28">
        <v>0</v>
      </c>
      <c r="S238" s="28">
        <v>1</v>
      </c>
    </row>
    <row r="239" spans="1:19" ht="21" customHeight="1" thickBot="1">
      <c r="A239" s="22" t="str">
        <f t="shared" si="22"/>
        <v>02551</v>
      </c>
      <c r="B239" s="2">
        <f t="shared" si="21"/>
        <v>133</v>
      </c>
      <c r="C239" s="10" t="str">
        <f t="shared" ca="1" si="19"/>
        <v>0PremiumS5</v>
      </c>
      <c r="D239" s="10" t="str">
        <f t="shared" ca="1" si="20"/>
        <v>0PremiumS5</v>
      </c>
      <c r="E239" s="6">
        <v>0</v>
      </c>
      <c r="F239" s="7">
        <v>255</v>
      </c>
      <c r="G239" s="10" t="str">
        <f ca="1">VLOOKUP($F239,OFFSET([1]characters!$A$2,0,0,COUNTA([1]characters!$A:$A),MATCH(G$1,[1]characters!$2:$2,0)-MATCH($F$1,[1]characters!$2:$2,0)+1),MATCH(G$1,[1]characters!$2:$2,0)-MATCH($F$1,[1]characters!$2:$2,0)+1,FALSE)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239" s="10" t="str">
        <f ca="1">VLOOKUP($F239,OFFSET([1]characters!$A$2,0,0,COUNTA([1]characters!$A:$A),MATCH(H$1,[1]characters!$2:$2,0)-MATCH($F$1,[1]characters!$2:$2,0)+1),MATCH(H$1,[1]characters!$2:$2,0)-MATCH($F$1,[1]characters!$2:$2,0)+1,FALSE)</f>
        <v>PremiumS</v>
      </c>
      <c r="I239" s="10">
        <f ca="1">VLOOKUP($F239,OFFSET([1]characters!$A$2,0,0,COUNTA([1]characters!$A:$A),MATCH(I$1,[1]characters!$2:$2,0)-MATCH($F$1,[1]characters!$2:$2,0)+1),MATCH(I$1,[1]characters!$2:$2,0)-MATCH($F$1,[1]characters!$2:$2,0)+1,FALSE)</f>
        <v>5</v>
      </c>
      <c r="J239" s="10" t="str">
        <f ca="1">VLOOKUP($F239,OFFSET([1]characters!$A$2,0,0,COUNTA([1]characters!$A:$A),MATCH(J$1,[1]characters!$2:$2,0)-MATCH($F$1,[1]characters!$2:$2,0)+1),MATCH(J$1,[1]characters!$2:$2,0)-MATCH($F$1,[1]characters!$2:$2,0)+1,FALSE)</f>
        <v>green</v>
      </c>
      <c r="K239" s="10" t="str">
        <f ca="1">VLOOKUP($F239,OFFSET([1]characters!$A$2,0,0,COUNTA([1]characters!$A:$A),MATCH("タイプ",[1]characters!$1:$1,0)-MATCH($F$1,[1]characters!$2:$2,0)+2),MATCH("タイプ",[1]characters!$1:$1,0)-MATCH($F$1,[1]characters!$2:$2,0)+2,FALSE)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9" s="10" t="str">
        <f ca="1">VLOOKUP($F239,OFFSET([1]characters!$A$2,0,0,COUNTA([1]characters!$A:$A),MATCH($L$1,[1]characters!$1:$1,0)-MATCH($F$1,[1]characters!$2:$2,0)+2),MATCH($L$1,[1]characters!$1:$1,0)-MATCH($F$1,[1]characters!$2:$2,0)+2,FALSE)</f>
        <v>ゴッド</v>
      </c>
      <c r="M239" s="6">
        <v>1</v>
      </c>
      <c r="N239" s="40">
        <f ca="1">VLOOKUP(D239,gacha_133_base!A:B,2,FALSE)</f>
        <v>13</v>
      </c>
      <c r="O239" s="28">
        <v>0</v>
      </c>
      <c r="P239" s="28">
        <v>0</v>
      </c>
      <c r="Q239" s="28">
        <v>0</v>
      </c>
      <c r="R239" s="28">
        <v>0</v>
      </c>
      <c r="S239" s="28">
        <v>1</v>
      </c>
    </row>
    <row r="240" spans="1:19" ht="21" customHeight="1" thickBot="1">
      <c r="A240" s="22" t="str">
        <f t="shared" si="22"/>
        <v>02561</v>
      </c>
      <c r="B240" s="2">
        <f t="shared" si="21"/>
        <v>133</v>
      </c>
      <c r="C240" s="10" t="str">
        <f t="shared" ca="1" si="19"/>
        <v>0PremiumS3</v>
      </c>
      <c r="D240" s="10" t="str">
        <f t="shared" ca="1" si="20"/>
        <v>0PremiumS3</v>
      </c>
      <c r="E240" s="6">
        <v>0</v>
      </c>
      <c r="F240" s="7">
        <v>256</v>
      </c>
      <c r="G240" s="10" t="str">
        <f ca="1">VLOOKUP($F240,OFFSET([1]characters!$A$2,0,0,COUNTA([1]characters!$A:$A),MATCH(G$1,[1]characters!$2:$2,0)-MATCH($F$1,[1]characters!$2:$2,0)+1),MATCH(G$1,[1]characters!$2:$2,0)-MATCH($F$1,[1]characters!$2:$2,0)+1,FALSE)</f>
        <v>アスモデウス</v>
      </c>
      <c r="H240" s="10" t="str">
        <f ca="1">VLOOKUP($F240,OFFSET([1]characters!$A$2,0,0,COUNTA([1]characters!$A:$A),MATCH(H$1,[1]characters!$2:$2,0)-MATCH($F$1,[1]characters!$2:$2,0)+1),MATCH(H$1,[1]characters!$2:$2,0)-MATCH($F$1,[1]characters!$2:$2,0)+1,FALSE)</f>
        <v>PremiumS</v>
      </c>
      <c r="I240" s="10">
        <f ca="1">VLOOKUP($F240,OFFSET([1]characters!$A$2,0,0,COUNTA([1]characters!$A:$A),MATCH(I$1,[1]characters!$2:$2,0)-MATCH($F$1,[1]characters!$2:$2,0)+1),MATCH(I$1,[1]characters!$2:$2,0)-MATCH($F$1,[1]characters!$2:$2,0)+1,FALSE)</f>
        <v>3</v>
      </c>
      <c r="J240" s="10" t="str">
        <f ca="1">VLOOKUP($F240,OFFSET([1]characters!$A$2,0,0,COUNTA([1]characters!$A:$A),MATCH(J$1,[1]characters!$2:$2,0)-MATCH($F$1,[1]characters!$2:$2,0)+1),MATCH(J$1,[1]characters!$2:$2,0)-MATCH($F$1,[1]characters!$2:$2,0)+1,FALSE)</f>
        <v>blue</v>
      </c>
      <c r="K240" s="10" t="str">
        <f ca="1">VLOOKUP($F240,OFFSET([1]characters!$A$2,0,0,COUNTA([1]characters!$A:$A),MATCH("タイプ",[1]characters!$1:$1,0)-MATCH($F$1,[1]characters!$2:$2,0)+2),MATCH("タイプ",[1]characters!$1:$1,0)-MATCH($F$1,[1]characters!$2:$2,0)+2,FALSE)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0" s="10" t="str">
        <f ca="1">VLOOKUP($F240,OFFSET([1]characters!$A$2,0,0,COUNTA([1]characters!$A:$A),MATCH($L$1,[1]characters!$1:$1,0)-MATCH($F$1,[1]characters!$2:$2,0)+2),MATCH($L$1,[1]characters!$1:$1,0)-MATCH($F$1,[1]characters!$2:$2,0)+2,FALSE)</f>
        <v>ゴッド</v>
      </c>
      <c r="M240" s="6">
        <v>1</v>
      </c>
      <c r="N240" s="40">
        <f ca="1">VLOOKUP(D240,gacha_133_base!A:B,2,FALSE)</f>
        <v>228</v>
      </c>
      <c r="O240" s="28">
        <v>0</v>
      </c>
      <c r="P240" s="28">
        <v>0</v>
      </c>
      <c r="Q240" s="28">
        <v>0</v>
      </c>
      <c r="R240" s="28">
        <v>0</v>
      </c>
      <c r="S240" s="28">
        <v>1</v>
      </c>
    </row>
    <row r="241" spans="1:19" ht="21" customHeight="1" thickBot="1">
      <c r="A241" s="22" t="str">
        <f t="shared" si="22"/>
        <v>02571</v>
      </c>
      <c r="B241" s="2">
        <f t="shared" si="21"/>
        <v>133</v>
      </c>
      <c r="C241" s="10" t="str">
        <f t="shared" ca="1" si="19"/>
        <v>0PremiumS4</v>
      </c>
      <c r="D241" s="10" t="str">
        <f t="shared" ca="1" si="20"/>
        <v>0PremiumS4</v>
      </c>
      <c r="E241" s="6">
        <v>0</v>
      </c>
      <c r="F241" s="7">
        <v>257</v>
      </c>
      <c r="G241" s="10" t="str">
        <f ca="1">VLOOKUP($F241,OFFSET([1]characters!$A$2,0,0,COUNTA([1]characters!$A:$A),MATCH(G$1,[1]characters!$2:$2,0)-MATCH($F$1,[1]characters!$2:$2,0)+1),MATCH(G$1,[1]characters!$2:$2,0)-MATCH($F$1,[1]characters!$2:$2,0)+1,FALSE)</f>
        <v>色欲 アスモデウス</v>
      </c>
      <c r="H241" s="10" t="str">
        <f ca="1">VLOOKUP($F241,OFFSET([1]characters!$A$2,0,0,COUNTA([1]characters!$A:$A),MATCH(H$1,[1]characters!$2:$2,0)-MATCH($F$1,[1]characters!$2:$2,0)+1),MATCH(H$1,[1]characters!$2:$2,0)-MATCH($F$1,[1]characters!$2:$2,0)+1,FALSE)</f>
        <v>PremiumS</v>
      </c>
      <c r="I241" s="10">
        <f ca="1">VLOOKUP($F241,OFFSET([1]characters!$A$2,0,0,COUNTA([1]characters!$A:$A),MATCH(I$1,[1]characters!$2:$2,0)-MATCH($F$1,[1]characters!$2:$2,0)+1),MATCH(I$1,[1]characters!$2:$2,0)-MATCH($F$1,[1]characters!$2:$2,0)+1,FALSE)</f>
        <v>4</v>
      </c>
      <c r="J241" s="10" t="str">
        <f ca="1">VLOOKUP($F241,OFFSET([1]characters!$A$2,0,0,COUNTA([1]characters!$A:$A),MATCH(J$1,[1]characters!$2:$2,0)-MATCH($F$1,[1]characters!$2:$2,0)+1),MATCH(J$1,[1]characters!$2:$2,0)-MATCH($F$1,[1]characters!$2:$2,0)+1,FALSE)</f>
        <v>blue</v>
      </c>
      <c r="K241" s="10" t="str">
        <f ca="1">VLOOKUP($F241,OFFSET([1]characters!$A$2,0,0,COUNTA([1]characters!$A:$A),MATCH("タイプ",[1]characters!$1:$1,0)-MATCH($F$1,[1]characters!$2:$2,0)+2),MATCH("タイプ",[1]characters!$1:$1,0)-MATCH($F$1,[1]characters!$2:$2,0)+2,FALSE)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1" s="10" t="str">
        <f ca="1">VLOOKUP($F241,OFFSET([1]characters!$A$2,0,0,COUNTA([1]characters!$A:$A),MATCH($L$1,[1]characters!$1:$1,0)-MATCH($F$1,[1]characters!$2:$2,0)+2),MATCH($L$1,[1]characters!$1:$1,0)-MATCH($F$1,[1]characters!$2:$2,0)+2,FALSE)</f>
        <v>ゴッド</v>
      </c>
      <c r="M241" s="6">
        <v>1</v>
      </c>
      <c r="N241" s="40">
        <f ca="1">VLOOKUP(D241,gacha_133_base!A:B,2,FALSE)</f>
        <v>80</v>
      </c>
      <c r="O241" s="28">
        <v>0</v>
      </c>
      <c r="P241" s="28">
        <v>0</v>
      </c>
      <c r="Q241" s="28">
        <v>0</v>
      </c>
      <c r="R241" s="28">
        <v>0</v>
      </c>
      <c r="S241" s="28">
        <v>1</v>
      </c>
    </row>
    <row r="242" spans="1:19" ht="21" customHeight="1" thickBot="1">
      <c r="A242" s="22" t="str">
        <f t="shared" si="22"/>
        <v>02581</v>
      </c>
      <c r="B242" s="2">
        <f t="shared" si="21"/>
        <v>133</v>
      </c>
      <c r="C242" s="10" t="str">
        <f t="shared" ca="1" si="19"/>
        <v>0PremiumS5</v>
      </c>
      <c r="D242" s="10" t="str">
        <f t="shared" ca="1" si="20"/>
        <v>0PremiumS5</v>
      </c>
      <c r="E242" s="6">
        <v>0</v>
      </c>
      <c r="F242" s="7">
        <v>258</v>
      </c>
      <c r="G242" s="10" t="str">
        <f ca="1">VLOOKUP($F242,OFFSET([1]characters!$A$2,0,0,COUNTA([1]characters!$A:$A),MATCH(G$1,[1]characters!$2:$2,0)-MATCH($F$1,[1]characters!$2:$2,0)+1),MATCH(G$1,[1]characters!$2:$2,0)-MATCH($F$1,[1]characters!$2:$2,0)+1,FALSE)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242" s="10" t="str">
        <f ca="1">VLOOKUP($F242,OFFSET([1]characters!$A$2,0,0,COUNTA([1]characters!$A:$A),MATCH(H$1,[1]characters!$2:$2,0)-MATCH($F$1,[1]characters!$2:$2,0)+1),MATCH(H$1,[1]characters!$2:$2,0)-MATCH($F$1,[1]characters!$2:$2,0)+1,FALSE)</f>
        <v>PremiumS</v>
      </c>
      <c r="I242" s="10">
        <f ca="1">VLOOKUP($F242,OFFSET([1]characters!$A$2,0,0,COUNTA([1]characters!$A:$A),MATCH(I$1,[1]characters!$2:$2,0)-MATCH($F$1,[1]characters!$2:$2,0)+1),MATCH(I$1,[1]characters!$2:$2,0)-MATCH($F$1,[1]characters!$2:$2,0)+1,FALSE)</f>
        <v>5</v>
      </c>
      <c r="J242" s="10" t="str">
        <f ca="1">VLOOKUP($F242,OFFSET([1]characters!$A$2,0,0,COUNTA([1]characters!$A:$A),MATCH(J$1,[1]characters!$2:$2,0)-MATCH($F$1,[1]characters!$2:$2,0)+1),MATCH(J$1,[1]characters!$2:$2,0)-MATCH($F$1,[1]characters!$2:$2,0)+1,FALSE)</f>
        <v>blue</v>
      </c>
      <c r="K242" s="10" t="str">
        <f ca="1">VLOOKUP($F242,OFFSET([1]characters!$A$2,0,0,COUNTA([1]characters!$A:$A),MATCH("タイプ",[1]characters!$1:$1,0)-MATCH($F$1,[1]characters!$2:$2,0)+2),MATCH("タイプ",[1]characters!$1:$1,0)-MATCH($F$1,[1]characters!$2:$2,0)+2,FALSE)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2" s="10" t="str">
        <f ca="1">VLOOKUP($F242,OFFSET([1]characters!$A$2,0,0,COUNTA([1]characters!$A:$A),MATCH($L$1,[1]characters!$1:$1,0)-MATCH($F$1,[1]characters!$2:$2,0)+2),MATCH($L$1,[1]characters!$1:$1,0)-MATCH($F$1,[1]characters!$2:$2,0)+2,FALSE)</f>
        <v>ゴッド</v>
      </c>
      <c r="M242" s="6">
        <v>1</v>
      </c>
      <c r="N242" s="40">
        <f ca="1">VLOOKUP(D242,gacha_133_base!A:B,2,FALSE)</f>
        <v>13</v>
      </c>
      <c r="O242" s="28">
        <v>0</v>
      </c>
      <c r="P242" s="28">
        <v>0</v>
      </c>
      <c r="Q242" s="28">
        <v>0</v>
      </c>
      <c r="R242" s="28">
        <v>0</v>
      </c>
      <c r="S242" s="28">
        <v>1</v>
      </c>
    </row>
    <row r="243" spans="1:19" ht="21" customHeight="1" thickBot="1">
      <c r="A243" s="22" t="str">
        <f t="shared" si="22"/>
        <v>02591</v>
      </c>
      <c r="B243" s="2">
        <f t="shared" si="21"/>
        <v>133</v>
      </c>
      <c r="C243" s="10" t="str">
        <f t="shared" ca="1" si="19"/>
        <v>0PremiumS3</v>
      </c>
      <c r="D243" s="10" t="str">
        <f t="shared" ca="1" si="20"/>
        <v>0PremiumS3</v>
      </c>
      <c r="E243" s="6">
        <v>0</v>
      </c>
      <c r="F243" s="7">
        <v>259</v>
      </c>
      <c r="G243" s="10" t="str">
        <f ca="1">VLOOKUP($F243,OFFSET([1]characters!$A$2,0,0,COUNTA([1]characters!$A:$A),MATCH(G$1,[1]characters!$2:$2,0)-MATCH($F$1,[1]characters!$2:$2,0)+1),MATCH(G$1,[1]characters!$2:$2,0)-MATCH($F$1,[1]characters!$2:$2,0)+1,FALSE)</f>
        <v>ウロボロス</v>
      </c>
      <c r="H243" s="10" t="str">
        <f ca="1">VLOOKUP($F243,OFFSET([1]characters!$A$2,0,0,COUNTA([1]characters!$A:$A),MATCH(H$1,[1]characters!$2:$2,0)-MATCH($F$1,[1]characters!$2:$2,0)+1),MATCH(H$1,[1]characters!$2:$2,0)-MATCH($F$1,[1]characters!$2:$2,0)+1,FALSE)</f>
        <v>PremiumS</v>
      </c>
      <c r="I243" s="10">
        <f ca="1">VLOOKUP($F243,OFFSET([1]characters!$A$2,0,0,COUNTA([1]characters!$A:$A),MATCH(I$1,[1]characters!$2:$2,0)-MATCH($F$1,[1]characters!$2:$2,0)+1),MATCH(I$1,[1]characters!$2:$2,0)-MATCH($F$1,[1]characters!$2:$2,0)+1,FALSE)</f>
        <v>3</v>
      </c>
      <c r="J243" s="10" t="str">
        <f ca="1">VLOOKUP($F243,OFFSET([1]characters!$A$2,0,0,COUNTA([1]characters!$A:$A),MATCH(J$1,[1]characters!$2:$2,0)-MATCH($F$1,[1]characters!$2:$2,0)+1),MATCH(J$1,[1]characters!$2:$2,0)-MATCH($F$1,[1]characters!$2:$2,0)+1,FALSE)</f>
        <v>yellow</v>
      </c>
      <c r="K243" s="10" t="str">
        <f ca="1">VLOOKUP($F243,OFFSET([1]characters!$A$2,0,0,COUNTA([1]characters!$A:$A),MATCH("タイプ",[1]characters!$1:$1,0)-MATCH($F$1,[1]characters!$2:$2,0)+2),MATCH("タイプ",[1]characters!$1:$1,0)-MATCH($F$1,[1]characters!$2:$2,0)+2,FALSE)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3" s="10" t="str">
        <f ca="1">VLOOKUP($F243,OFFSET([1]characters!$A$2,0,0,COUNTA([1]characters!$A:$A),MATCH($L$1,[1]characters!$1:$1,0)-MATCH($F$1,[1]characters!$2:$2,0)+2),MATCH($L$1,[1]characters!$1:$1,0)-MATCH($F$1,[1]characters!$2:$2,0)+2,FALSE)</f>
        <v>ドラゴン</v>
      </c>
      <c r="M243" s="6">
        <v>1</v>
      </c>
      <c r="N243" s="40">
        <f ca="1">VLOOKUP(D243,gacha_133_base!A:B,2,FALSE)</f>
        <v>228</v>
      </c>
      <c r="O243" s="28">
        <v>0</v>
      </c>
      <c r="P243" s="28">
        <v>0</v>
      </c>
      <c r="Q243" s="28">
        <v>0</v>
      </c>
      <c r="R243" s="28">
        <v>0</v>
      </c>
      <c r="S243" s="28">
        <v>1</v>
      </c>
    </row>
    <row r="244" spans="1:19" ht="21" customHeight="1" thickBot="1">
      <c r="A244" s="22" t="str">
        <f t="shared" si="22"/>
        <v>02601</v>
      </c>
      <c r="B244" s="2">
        <f t="shared" si="21"/>
        <v>133</v>
      </c>
      <c r="C244" s="10" t="str">
        <f t="shared" ca="1" si="19"/>
        <v>0PremiumS4</v>
      </c>
      <c r="D244" s="10" t="str">
        <f t="shared" ca="1" si="20"/>
        <v>0PremiumS4</v>
      </c>
      <c r="E244" s="6">
        <v>0</v>
      </c>
      <c r="F244" s="7">
        <v>260</v>
      </c>
      <c r="G244" s="10" t="str">
        <f ca="1">VLOOKUP($F244,OFFSET([1]characters!$A$2,0,0,COUNTA([1]characters!$A:$A),MATCH(G$1,[1]characters!$2:$2,0)-MATCH($F$1,[1]characters!$2:$2,0)+1),MATCH(G$1,[1]characters!$2:$2,0)-MATCH($F$1,[1]characters!$2:$2,0)+1,FALSE)</f>
        <v>輪廻 ウロボロス</v>
      </c>
      <c r="H244" s="10" t="str">
        <f ca="1">VLOOKUP($F244,OFFSET([1]characters!$A$2,0,0,COUNTA([1]characters!$A:$A),MATCH(H$1,[1]characters!$2:$2,0)-MATCH($F$1,[1]characters!$2:$2,0)+1),MATCH(H$1,[1]characters!$2:$2,0)-MATCH($F$1,[1]characters!$2:$2,0)+1,FALSE)</f>
        <v>PremiumS</v>
      </c>
      <c r="I244" s="10">
        <f ca="1">VLOOKUP($F244,OFFSET([1]characters!$A$2,0,0,COUNTA([1]characters!$A:$A),MATCH(I$1,[1]characters!$2:$2,0)-MATCH($F$1,[1]characters!$2:$2,0)+1),MATCH(I$1,[1]characters!$2:$2,0)-MATCH($F$1,[1]characters!$2:$2,0)+1,FALSE)</f>
        <v>4</v>
      </c>
      <c r="J244" s="10" t="str">
        <f ca="1">VLOOKUP($F244,OFFSET([1]characters!$A$2,0,0,COUNTA([1]characters!$A:$A),MATCH(J$1,[1]characters!$2:$2,0)-MATCH($F$1,[1]characters!$2:$2,0)+1),MATCH(J$1,[1]characters!$2:$2,0)-MATCH($F$1,[1]characters!$2:$2,0)+1,FALSE)</f>
        <v>yellow</v>
      </c>
      <c r="K244" s="10" t="str">
        <f ca="1">VLOOKUP($F244,OFFSET([1]characters!$A$2,0,0,COUNTA([1]characters!$A:$A),MATCH("タイプ",[1]characters!$1:$1,0)-MATCH($F$1,[1]characters!$2:$2,0)+2),MATCH("タイプ",[1]characters!$1:$1,0)-MATCH($F$1,[1]characters!$2:$2,0)+2,FALSE)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4" s="10" t="str">
        <f ca="1">VLOOKUP($F244,OFFSET([1]characters!$A$2,0,0,COUNTA([1]characters!$A:$A),MATCH($L$1,[1]characters!$1:$1,0)-MATCH($F$1,[1]characters!$2:$2,0)+2),MATCH($L$1,[1]characters!$1:$1,0)-MATCH($F$1,[1]characters!$2:$2,0)+2,FALSE)</f>
        <v>ドラゴン</v>
      </c>
      <c r="M244" s="6">
        <v>1</v>
      </c>
      <c r="N244" s="40">
        <f ca="1">VLOOKUP(D244,gacha_133_base!A:B,2,FALSE)</f>
        <v>80</v>
      </c>
      <c r="O244" s="28">
        <v>0</v>
      </c>
      <c r="P244" s="28">
        <v>0</v>
      </c>
      <c r="Q244" s="28">
        <v>0</v>
      </c>
      <c r="R244" s="28">
        <v>0</v>
      </c>
      <c r="S244" s="28">
        <v>1</v>
      </c>
    </row>
    <row r="245" spans="1:19" ht="21" customHeight="1" thickBot="1">
      <c r="A245" s="22" t="str">
        <f t="shared" si="22"/>
        <v>02611</v>
      </c>
      <c r="B245" s="2">
        <f t="shared" si="21"/>
        <v>133</v>
      </c>
      <c r="C245" s="10" t="str">
        <f t="shared" ca="1" si="19"/>
        <v>0PremiumS5</v>
      </c>
      <c r="D245" s="10" t="str">
        <f t="shared" ca="1" si="20"/>
        <v>0PremiumS5</v>
      </c>
      <c r="E245" s="6">
        <v>0</v>
      </c>
      <c r="F245" s="7">
        <v>261</v>
      </c>
      <c r="G245" s="10" t="str">
        <f ca="1">VLOOKUP($F245,OFFSET([1]characters!$A$2,0,0,COUNTA([1]characters!$A:$A),MATCH(G$1,[1]characters!$2:$2,0)-MATCH($F$1,[1]characters!$2:$2,0)+1),MATCH(G$1,[1]characters!$2:$2,0)-MATCH($F$1,[1]characters!$2:$2,0)+1,FALSE)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245" s="10" t="str">
        <f ca="1">VLOOKUP($F245,OFFSET([1]characters!$A$2,0,0,COUNTA([1]characters!$A:$A),MATCH(H$1,[1]characters!$2:$2,0)-MATCH($F$1,[1]characters!$2:$2,0)+1),MATCH(H$1,[1]characters!$2:$2,0)-MATCH($F$1,[1]characters!$2:$2,0)+1,FALSE)</f>
        <v>PremiumS</v>
      </c>
      <c r="I245" s="10">
        <f ca="1">VLOOKUP($F245,OFFSET([1]characters!$A$2,0,0,COUNTA([1]characters!$A:$A),MATCH(I$1,[1]characters!$2:$2,0)-MATCH($F$1,[1]characters!$2:$2,0)+1),MATCH(I$1,[1]characters!$2:$2,0)-MATCH($F$1,[1]characters!$2:$2,0)+1,FALSE)</f>
        <v>5</v>
      </c>
      <c r="J245" s="10" t="str">
        <f ca="1">VLOOKUP($F245,OFFSET([1]characters!$A$2,0,0,COUNTA([1]characters!$A:$A),MATCH(J$1,[1]characters!$2:$2,0)-MATCH($F$1,[1]characters!$2:$2,0)+1),MATCH(J$1,[1]characters!$2:$2,0)-MATCH($F$1,[1]characters!$2:$2,0)+1,FALSE)</f>
        <v>yellow</v>
      </c>
      <c r="K245" s="10" t="str">
        <f ca="1">VLOOKUP($F245,OFFSET([1]characters!$A$2,0,0,COUNTA([1]characters!$A:$A),MATCH("タイプ",[1]characters!$1:$1,0)-MATCH($F$1,[1]characters!$2:$2,0)+2),MATCH("タイプ",[1]characters!$1:$1,0)-MATCH($F$1,[1]characters!$2:$2,0)+2,FALSE)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5" s="10" t="str">
        <f ca="1">VLOOKUP($F245,OFFSET([1]characters!$A$2,0,0,COUNTA([1]characters!$A:$A),MATCH($L$1,[1]characters!$1:$1,0)-MATCH($F$1,[1]characters!$2:$2,0)+2),MATCH($L$1,[1]characters!$1:$1,0)-MATCH($F$1,[1]characters!$2:$2,0)+2,FALSE)</f>
        <v>ドラゴン</v>
      </c>
      <c r="M245" s="6">
        <v>1</v>
      </c>
      <c r="N245" s="40">
        <f ca="1">VLOOKUP(D245,gacha_133_base!A:B,2,FALSE)</f>
        <v>13</v>
      </c>
      <c r="O245" s="28">
        <v>0</v>
      </c>
      <c r="P245" s="28">
        <v>0</v>
      </c>
      <c r="Q245" s="28">
        <v>0</v>
      </c>
      <c r="R245" s="28">
        <v>0</v>
      </c>
      <c r="S245" s="28">
        <v>1</v>
      </c>
    </row>
    <row r="246" spans="1:19" ht="21" customHeight="1" thickBot="1">
      <c r="A246" s="22" t="str">
        <f t="shared" si="22"/>
        <v>03201</v>
      </c>
      <c r="B246" s="2">
        <f t="shared" si="21"/>
        <v>133</v>
      </c>
      <c r="C246" s="10" t="str">
        <f t="shared" ca="1" si="19"/>
        <v>0PremiumSS4</v>
      </c>
      <c r="D246" s="10" t="str">
        <f t="shared" ca="1" si="20"/>
        <v>0PremiumSS4</v>
      </c>
      <c r="E246" s="21">
        <v>0</v>
      </c>
      <c r="F246" s="27">
        <v>320</v>
      </c>
      <c r="G246" s="20" t="str">
        <f ca="1">VLOOKUP($F246,OFFSET([1]characters!$A$2,0,0,COUNTA([1]characters!$A:$A),MATCH(G$1,[1]characters!$2:$2,0)-MATCH($F$1,[1]characters!$2:$2,0)+1),MATCH(G$1,[1]characters!$2:$2,0)-MATCH($F$1,[1]characters!$2:$2,0)+1,FALSE)</f>
        <v>烈志士 近藤勇</v>
      </c>
      <c r="H246" s="20" t="str">
        <f ca="1">VLOOKUP($F246,OFFSET([1]characters!$A$2,0,0,COUNTA([1]characters!$A:$A),MATCH(H$1,[1]characters!$2:$2,0)-MATCH($F$1,[1]characters!$2:$2,0)+1),MATCH(H$1,[1]characters!$2:$2,0)-MATCH($F$1,[1]characters!$2:$2,0)+1,FALSE)</f>
        <v>PremiumSS</v>
      </c>
      <c r="I246" s="20">
        <f ca="1">VLOOKUP($F246,OFFSET([1]characters!$A$2,0,0,COUNTA([1]characters!$A:$A),MATCH(I$1,[1]characters!$2:$2,0)-MATCH($F$1,[1]characters!$2:$2,0)+1),MATCH(I$1,[1]characters!$2:$2,0)-MATCH($F$1,[1]characters!$2:$2,0)+1,FALSE)</f>
        <v>4</v>
      </c>
      <c r="J246" s="20" t="str">
        <f ca="1">VLOOKUP($F246,OFFSET([1]characters!$A$2,0,0,COUNTA([1]characters!$A:$A),MATCH(J$1,[1]characters!$2:$2,0)-MATCH($F$1,[1]characters!$2:$2,0)+1),MATCH(J$1,[1]characters!$2:$2,0)-MATCH($F$1,[1]characters!$2:$2,0)+1,FALSE)</f>
        <v>red</v>
      </c>
      <c r="K246" s="20" t="str">
        <f ca="1">VLOOKUP($F246,OFFSET([1]characters!$A$2,0,0,COUNTA([1]characters!$A:$A),MATCH("タイプ",[1]characters!$1:$1,0)-MATCH($F$1,[1]characters!$2:$2,0)+2),MATCH("タイプ",[1]characters!$1:$1,0)-MATCH($F$1,[1]characters!$2:$2,0)+2,FALSE)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6" s="20" t="str">
        <f ca="1">VLOOKUP($F246,OFFSET([1]characters!$A$2,0,0,COUNTA([1]characters!$A:$A),MATCH($L$1,[1]characters!$1:$1,0)-MATCH($F$1,[1]characters!$2:$2,0)+2),MATCH($L$1,[1]characters!$1:$1,0)-MATCH($F$1,[1]characters!$2:$2,0)+2,FALSE)</f>
        <v>ヒューマン</v>
      </c>
      <c r="M246" s="21">
        <v>1</v>
      </c>
      <c r="N246" s="40">
        <f ca="1">VLOOKUP(D246,gacha_133_base!A:B,2,FALSE)</f>
        <v>144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2" t="str">
        <f t="shared" si="22"/>
        <v>03211</v>
      </c>
      <c r="B247" s="2">
        <f t="shared" si="21"/>
        <v>133</v>
      </c>
      <c r="C247" s="10" t="str">
        <f t="shared" ca="1" si="19"/>
        <v>0PremiumSS5</v>
      </c>
      <c r="D247" s="10" t="str">
        <f t="shared" ca="1" si="20"/>
        <v>0PremiumSS5</v>
      </c>
      <c r="E247" s="21">
        <v>0</v>
      </c>
      <c r="F247" s="7">
        <v>321</v>
      </c>
      <c r="G247" s="10" t="str">
        <f ca="1">VLOOKUP($F247,OFFSET([1]characters!$A$2,0,0,COUNTA([1]characters!$A:$A),MATCH(G$1,[1]characters!$2:$2,0)-MATCH($F$1,[1]characters!$2:$2,0)+1),MATCH(G$1,[1]characters!$2:$2,0)-MATCH($F$1,[1]characters!$2:$2,0)+1,FALSE)</f>
        <v>巌鉄の烈志士 近藤勇</v>
      </c>
      <c r="H247" s="10" t="str">
        <f ca="1">VLOOKUP($F247,OFFSET([1]characters!$A$2,0,0,COUNTA([1]characters!$A:$A),MATCH(H$1,[1]characters!$2:$2,0)-MATCH($F$1,[1]characters!$2:$2,0)+1),MATCH(H$1,[1]characters!$2:$2,0)-MATCH($F$1,[1]characters!$2:$2,0)+1,FALSE)</f>
        <v>PremiumSS</v>
      </c>
      <c r="I247" s="10">
        <f ca="1">VLOOKUP($F247,OFFSET([1]characters!$A$2,0,0,COUNTA([1]characters!$A:$A),MATCH(I$1,[1]characters!$2:$2,0)-MATCH($F$1,[1]characters!$2:$2,0)+1),MATCH(I$1,[1]characters!$2:$2,0)-MATCH($F$1,[1]characters!$2:$2,0)+1,FALSE)</f>
        <v>5</v>
      </c>
      <c r="J247" s="10" t="str">
        <f ca="1">VLOOKUP($F247,OFFSET([1]characters!$A$2,0,0,COUNTA([1]characters!$A:$A),MATCH(J$1,[1]characters!$2:$2,0)-MATCH($F$1,[1]characters!$2:$2,0)+1),MATCH(J$1,[1]characters!$2:$2,0)-MATCH($F$1,[1]characters!$2:$2,0)+1,FALSE)</f>
        <v>red</v>
      </c>
      <c r="K247" s="10" t="str">
        <f ca="1">VLOOKUP($F247,OFFSET([1]characters!$A$2,0,0,COUNTA([1]characters!$A:$A),MATCH("タイプ",[1]characters!$1:$1,0)-MATCH($F$1,[1]characters!$2:$2,0)+2),MATCH("タイプ",[1]characters!$1:$1,0)-MATCH($F$1,[1]characters!$2:$2,0)+2,FALSE)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7" s="10" t="str">
        <f ca="1">VLOOKUP($F247,OFFSET([1]characters!$A$2,0,0,COUNTA([1]characters!$A:$A),MATCH($L$1,[1]characters!$1:$1,0)-MATCH($F$1,[1]characters!$2:$2,0)+2),MATCH($L$1,[1]characters!$1:$1,0)-MATCH($F$1,[1]characters!$2:$2,0)+2,FALSE)</f>
        <v>ヒューマン</v>
      </c>
      <c r="M247" s="6">
        <v>1</v>
      </c>
      <c r="N247" s="40">
        <f ca="1">VLOOKUP(D247,gacha_133_base!A:B,2,FALSE)</f>
        <v>48</v>
      </c>
      <c r="O247" s="28">
        <v>0</v>
      </c>
      <c r="P247" s="28">
        <v>0</v>
      </c>
      <c r="Q247" s="28">
        <v>0</v>
      </c>
      <c r="R247" s="28">
        <v>0</v>
      </c>
      <c r="S247" s="28">
        <v>1</v>
      </c>
    </row>
    <row r="248" spans="1:19" ht="21" customHeight="1" thickBot="1">
      <c r="A248" s="22" t="str">
        <f t="shared" si="22"/>
        <v>03221</v>
      </c>
      <c r="B248" s="2">
        <f t="shared" si="21"/>
        <v>133</v>
      </c>
      <c r="C248" s="10" t="str">
        <f t="shared" ca="1" si="19"/>
        <v>0PremiumSS4</v>
      </c>
      <c r="D248" s="10" t="str">
        <f t="shared" ca="1" si="20"/>
        <v>0PremiumSS4</v>
      </c>
      <c r="E248" s="21">
        <v>0</v>
      </c>
      <c r="F248" s="7">
        <v>322</v>
      </c>
      <c r="G248" s="10" t="str">
        <f ca="1">VLOOKUP($F248,OFFSET([1]characters!$A$2,0,0,COUNTA([1]characters!$A:$A),MATCH(G$1,[1]characters!$2:$2,0)-MATCH($F$1,[1]characters!$2:$2,0)+1),MATCH(G$1,[1]characters!$2:$2,0)-MATCH($F$1,[1]characters!$2:$2,0)+1,FALSE)</f>
        <v>愛志士 土方歳三</v>
      </c>
      <c r="H248" s="10" t="str">
        <f ca="1">VLOOKUP($F248,OFFSET([1]characters!$A$2,0,0,COUNTA([1]characters!$A:$A),MATCH(H$1,[1]characters!$2:$2,0)-MATCH($F$1,[1]characters!$2:$2,0)+1),MATCH(H$1,[1]characters!$2:$2,0)-MATCH($F$1,[1]characters!$2:$2,0)+1,FALSE)</f>
        <v>PremiumSS</v>
      </c>
      <c r="I248" s="10">
        <f ca="1">VLOOKUP($F248,OFFSET([1]characters!$A$2,0,0,COUNTA([1]characters!$A:$A),MATCH(I$1,[1]characters!$2:$2,0)-MATCH($F$1,[1]characters!$2:$2,0)+1),MATCH(I$1,[1]characters!$2:$2,0)-MATCH($F$1,[1]characters!$2:$2,0)+1,FALSE)</f>
        <v>4</v>
      </c>
      <c r="J248" s="10" t="str">
        <f ca="1">VLOOKUP($F248,OFFSET([1]characters!$A$2,0,0,COUNTA([1]characters!$A:$A),MATCH(J$1,[1]characters!$2:$2,0)-MATCH($F$1,[1]characters!$2:$2,0)+1),MATCH(J$1,[1]characters!$2:$2,0)-MATCH($F$1,[1]characters!$2:$2,0)+1,FALSE)</f>
        <v>green</v>
      </c>
      <c r="K248" s="10" t="str">
        <f ca="1">VLOOKUP($F248,OFFSET([1]characters!$A$2,0,0,COUNTA([1]characters!$A:$A),MATCH("タイプ",[1]characters!$1:$1,0)-MATCH($F$1,[1]characters!$2:$2,0)+2),MATCH("タイプ",[1]characters!$1:$1,0)-MATCH($F$1,[1]characters!$2:$2,0)+2,FALSE)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8" s="10" t="str">
        <f ca="1">VLOOKUP($F248,OFFSET([1]characters!$A$2,0,0,COUNTA([1]characters!$A:$A),MATCH($L$1,[1]characters!$1:$1,0)-MATCH($F$1,[1]characters!$2:$2,0)+2),MATCH($L$1,[1]characters!$1:$1,0)-MATCH($F$1,[1]characters!$2:$2,0)+2,FALSE)</f>
        <v>ヒューマン</v>
      </c>
      <c r="M248" s="6">
        <v>1</v>
      </c>
      <c r="N248" s="40">
        <f ca="1">VLOOKUP(D248,gacha_133_base!A:B,2,FALSE)</f>
        <v>144</v>
      </c>
      <c r="O248" s="28">
        <v>0</v>
      </c>
      <c r="P248" s="28">
        <v>0</v>
      </c>
      <c r="Q248" s="28">
        <v>0</v>
      </c>
      <c r="R248" s="28">
        <v>0</v>
      </c>
      <c r="S248" s="28">
        <v>1</v>
      </c>
    </row>
    <row r="249" spans="1:19" ht="21" customHeight="1" thickBot="1">
      <c r="A249" s="22" t="str">
        <f t="shared" si="22"/>
        <v>03231</v>
      </c>
      <c r="B249" s="2">
        <f t="shared" si="21"/>
        <v>133</v>
      </c>
      <c r="C249" s="10" t="str">
        <f t="shared" ca="1" si="19"/>
        <v>0PremiumSS5</v>
      </c>
      <c r="D249" s="10" t="str">
        <f t="shared" ca="1" si="20"/>
        <v>0PremiumSS5</v>
      </c>
      <c r="E249" s="21">
        <v>0</v>
      </c>
      <c r="F249" s="7">
        <v>323</v>
      </c>
      <c r="G249" s="10" t="str">
        <f ca="1">VLOOKUP($F249,OFFSET([1]characters!$A$2,0,0,COUNTA([1]characters!$A:$A),MATCH(G$1,[1]characters!$2:$2,0)-MATCH($F$1,[1]characters!$2:$2,0)+1),MATCH(G$1,[1]characters!$2:$2,0)-MATCH($F$1,[1]characters!$2:$2,0)+1,FALSE)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249" s="10" t="str">
        <f ca="1">VLOOKUP($F249,OFFSET([1]characters!$A$2,0,0,COUNTA([1]characters!$A:$A),MATCH(H$1,[1]characters!$2:$2,0)-MATCH($F$1,[1]characters!$2:$2,0)+1),MATCH(H$1,[1]characters!$2:$2,0)-MATCH($F$1,[1]characters!$2:$2,0)+1,FALSE)</f>
        <v>PremiumSS</v>
      </c>
      <c r="I249" s="10">
        <f ca="1">VLOOKUP($F249,OFFSET([1]characters!$A$2,0,0,COUNTA([1]characters!$A:$A),MATCH(I$1,[1]characters!$2:$2,0)-MATCH($F$1,[1]characters!$2:$2,0)+1),MATCH(I$1,[1]characters!$2:$2,0)-MATCH($F$1,[1]characters!$2:$2,0)+1,FALSE)</f>
        <v>5</v>
      </c>
      <c r="J249" s="10" t="str">
        <f ca="1">VLOOKUP($F249,OFFSET([1]characters!$A$2,0,0,COUNTA([1]characters!$A:$A),MATCH(J$1,[1]characters!$2:$2,0)-MATCH($F$1,[1]characters!$2:$2,0)+1),MATCH(J$1,[1]characters!$2:$2,0)-MATCH($F$1,[1]characters!$2:$2,0)+1,FALSE)</f>
        <v>green</v>
      </c>
      <c r="K249" s="10" t="str">
        <f ca="1">VLOOKUP($F249,OFFSET([1]characters!$A$2,0,0,COUNTA([1]characters!$A:$A),MATCH("タイプ",[1]characters!$1:$1,0)-MATCH($F$1,[1]characters!$2:$2,0)+2),MATCH("タイプ",[1]characters!$1:$1,0)-MATCH($F$1,[1]characters!$2:$2,0)+2,FALSE)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9" s="10" t="str">
        <f ca="1">VLOOKUP($F249,OFFSET([1]characters!$A$2,0,0,COUNTA([1]characters!$A:$A),MATCH($L$1,[1]characters!$1:$1,0)-MATCH($F$1,[1]characters!$2:$2,0)+2),MATCH($L$1,[1]characters!$1:$1,0)-MATCH($F$1,[1]characters!$2:$2,0)+2,FALSE)</f>
        <v>ヒューマン</v>
      </c>
      <c r="M249" s="6">
        <v>1</v>
      </c>
      <c r="N249" s="40">
        <f ca="1">VLOOKUP(D249,gacha_133_base!A:B,2,FALSE)</f>
        <v>48</v>
      </c>
      <c r="O249" s="28">
        <v>0</v>
      </c>
      <c r="P249" s="28">
        <v>0</v>
      </c>
      <c r="Q249" s="28">
        <v>0</v>
      </c>
      <c r="R249" s="28">
        <v>0</v>
      </c>
      <c r="S249" s="28">
        <v>1</v>
      </c>
    </row>
    <row r="250" spans="1:19" ht="21" customHeight="1" thickBot="1">
      <c r="A250" s="22" t="str">
        <f t="shared" si="22"/>
        <v>03241</v>
      </c>
      <c r="B250" s="2">
        <f t="shared" si="21"/>
        <v>133</v>
      </c>
      <c r="C250" s="10" t="str">
        <f t="shared" ca="1" si="19"/>
        <v>0PremiumSS4</v>
      </c>
      <c r="D250" s="10" t="str">
        <f t="shared" ca="1" si="20"/>
        <v>0PremiumSS4</v>
      </c>
      <c r="E250" s="21">
        <v>0</v>
      </c>
      <c r="F250" s="7">
        <v>324</v>
      </c>
      <c r="G250" s="10" t="str">
        <f ca="1">VLOOKUP($F250,OFFSET([1]characters!$A$2,0,0,COUNTA([1]characters!$A:$A),MATCH(G$1,[1]characters!$2:$2,0)-MATCH($F$1,[1]characters!$2:$2,0)+1),MATCH(G$1,[1]characters!$2:$2,0)-MATCH($F$1,[1]characters!$2:$2,0)+1,FALSE)</f>
        <v>凛志士 沖田総司</v>
      </c>
      <c r="H250" s="10" t="str">
        <f ca="1">VLOOKUP($F250,OFFSET([1]characters!$A$2,0,0,COUNTA([1]characters!$A:$A),MATCH(H$1,[1]characters!$2:$2,0)-MATCH($F$1,[1]characters!$2:$2,0)+1),MATCH(H$1,[1]characters!$2:$2,0)-MATCH($F$1,[1]characters!$2:$2,0)+1,FALSE)</f>
        <v>PremiumSS</v>
      </c>
      <c r="I250" s="10">
        <f ca="1">VLOOKUP($F250,OFFSET([1]characters!$A$2,0,0,COUNTA([1]characters!$A:$A),MATCH(I$1,[1]characters!$2:$2,0)-MATCH($F$1,[1]characters!$2:$2,0)+1),MATCH(I$1,[1]characters!$2:$2,0)-MATCH($F$1,[1]characters!$2:$2,0)+1,FALSE)</f>
        <v>4</v>
      </c>
      <c r="J250" s="10" t="str">
        <f ca="1">VLOOKUP($F250,OFFSET([1]characters!$A$2,0,0,COUNTA([1]characters!$A:$A),MATCH(J$1,[1]characters!$2:$2,0)-MATCH($F$1,[1]characters!$2:$2,0)+1),MATCH(J$1,[1]characters!$2:$2,0)-MATCH($F$1,[1]characters!$2:$2,0)+1,FALSE)</f>
        <v>blue</v>
      </c>
      <c r="K250" s="10" t="str">
        <f ca="1">VLOOKUP($F250,OFFSET([1]characters!$A$2,0,0,COUNTA([1]characters!$A:$A),MATCH("タイプ",[1]characters!$1:$1,0)-MATCH($F$1,[1]characters!$2:$2,0)+2),MATCH("タイプ",[1]characters!$1:$1,0)-MATCH($F$1,[1]characters!$2:$2,0)+2,FALSE)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0" s="10" t="str">
        <f ca="1">VLOOKUP($F250,OFFSET([1]characters!$A$2,0,0,COUNTA([1]characters!$A:$A),MATCH($L$1,[1]characters!$1:$1,0)-MATCH($F$1,[1]characters!$2:$2,0)+2),MATCH($L$1,[1]characters!$1:$1,0)-MATCH($F$1,[1]characters!$2:$2,0)+2,FALSE)</f>
        <v>ヒューマン</v>
      </c>
      <c r="M250" s="6">
        <v>1</v>
      </c>
      <c r="N250" s="40">
        <f ca="1">VLOOKUP(D250,gacha_133_base!A:B,2,FALSE)</f>
        <v>144</v>
      </c>
      <c r="O250" s="28">
        <v>0</v>
      </c>
      <c r="P250" s="28">
        <v>0</v>
      </c>
      <c r="Q250" s="28">
        <v>0</v>
      </c>
      <c r="R250" s="28">
        <v>0</v>
      </c>
      <c r="S250" s="28">
        <v>1</v>
      </c>
    </row>
    <row r="251" spans="1:19" ht="21" customHeight="1" thickBot="1">
      <c r="A251" s="22" t="str">
        <f t="shared" si="22"/>
        <v>03251</v>
      </c>
      <c r="B251" s="2">
        <f t="shared" si="21"/>
        <v>133</v>
      </c>
      <c r="C251" s="10" t="str">
        <f t="shared" ca="1" si="19"/>
        <v>0PremiumSS5</v>
      </c>
      <c r="D251" s="10" t="str">
        <f t="shared" ca="1" si="20"/>
        <v>0PremiumSS5</v>
      </c>
      <c r="E251" s="21">
        <v>0</v>
      </c>
      <c r="F251" s="7">
        <v>325</v>
      </c>
      <c r="G251" s="10" t="str">
        <f ca="1">VLOOKUP($F251,OFFSET([1]characters!$A$2,0,0,COUNTA([1]characters!$A:$A),MATCH(G$1,[1]characters!$2:$2,0)-MATCH($F$1,[1]characters!$2:$2,0)+1),MATCH(G$1,[1]characters!$2:$2,0)-MATCH($F$1,[1]characters!$2:$2,0)+1,FALSE)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251" s="10" t="str">
        <f ca="1">VLOOKUP($F251,OFFSET([1]characters!$A$2,0,0,COUNTA([1]characters!$A:$A),MATCH(H$1,[1]characters!$2:$2,0)-MATCH($F$1,[1]characters!$2:$2,0)+1),MATCH(H$1,[1]characters!$2:$2,0)-MATCH($F$1,[1]characters!$2:$2,0)+1,FALSE)</f>
        <v>PremiumSS</v>
      </c>
      <c r="I251" s="10">
        <f ca="1">VLOOKUP($F251,OFFSET([1]characters!$A$2,0,0,COUNTA([1]characters!$A:$A),MATCH(I$1,[1]characters!$2:$2,0)-MATCH($F$1,[1]characters!$2:$2,0)+1),MATCH(I$1,[1]characters!$2:$2,0)-MATCH($F$1,[1]characters!$2:$2,0)+1,FALSE)</f>
        <v>5</v>
      </c>
      <c r="J251" s="10" t="str">
        <f ca="1">VLOOKUP($F251,OFFSET([1]characters!$A$2,0,0,COUNTA([1]characters!$A:$A),MATCH(J$1,[1]characters!$2:$2,0)-MATCH($F$1,[1]characters!$2:$2,0)+1),MATCH(J$1,[1]characters!$2:$2,0)-MATCH($F$1,[1]characters!$2:$2,0)+1,FALSE)</f>
        <v>blue</v>
      </c>
      <c r="K251" s="10" t="str">
        <f ca="1">VLOOKUP($F251,OFFSET([1]characters!$A$2,0,0,COUNTA([1]characters!$A:$A),MATCH("タイプ",[1]characters!$1:$1,0)-MATCH($F$1,[1]characters!$2:$2,0)+2),MATCH("タイプ",[1]characters!$1:$1,0)-MATCH($F$1,[1]characters!$2:$2,0)+2,FALSE)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1" s="10" t="str">
        <f ca="1">VLOOKUP($F251,OFFSET([1]characters!$A$2,0,0,COUNTA([1]characters!$A:$A),MATCH($L$1,[1]characters!$1:$1,0)-MATCH($F$1,[1]characters!$2:$2,0)+2),MATCH($L$1,[1]characters!$1:$1,0)-MATCH($F$1,[1]characters!$2:$2,0)+2,FALSE)</f>
        <v>ヒューマン</v>
      </c>
      <c r="M251" s="6">
        <v>1</v>
      </c>
      <c r="N251" s="40">
        <f ca="1">VLOOKUP(D251,gacha_133_base!A:B,2,FALSE)</f>
        <v>48</v>
      </c>
      <c r="O251" s="28">
        <v>0</v>
      </c>
      <c r="P251" s="28">
        <v>0</v>
      </c>
      <c r="Q251" s="28">
        <v>0</v>
      </c>
      <c r="R251" s="28">
        <v>0</v>
      </c>
      <c r="S251" s="28">
        <v>1</v>
      </c>
    </row>
    <row r="252" spans="1:19" ht="21" customHeight="1" thickBot="1">
      <c r="A252" s="22" t="str">
        <f t="shared" si="22"/>
        <v>03261</v>
      </c>
      <c r="B252" s="2">
        <f t="shared" si="21"/>
        <v>133</v>
      </c>
      <c r="C252" s="10" t="str">
        <f t="shared" ca="1" si="19"/>
        <v>0PremiumSS4</v>
      </c>
      <c r="D252" s="10" t="str">
        <f t="shared" ca="1" si="20"/>
        <v>0PremiumSS4</v>
      </c>
      <c r="E252" s="21">
        <v>0</v>
      </c>
      <c r="F252" s="33">
        <v>326</v>
      </c>
      <c r="G252" s="34" t="str">
        <f ca="1">VLOOKUP($F252,OFFSET([1]characters!$A$2,0,0,COUNTA([1]characters!$A:$A),MATCH(G$1,[1]characters!$2:$2,0)-MATCH($F$1,[1]characters!$2:$2,0)+1),MATCH(G$1,[1]characters!$2:$2,0)-MATCH($F$1,[1]characters!$2:$2,0)+1,FALSE)</f>
        <v>妖志士 斎藤一</v>
      </c>
      <c r="H252" s="34" t="str">
        <f ca="1">VLOOKUP($F252,OFFSET([1]characters!$A$2,0,0,COUNTA([1]characters!$A:$A),MATCH(H$1,[1]characters!$2:$2,0)-MATCH($F$1,[1]characters!$2:$2,0)+1),MATCH(H$1,[1]characters!$2:$2,0)-MATCH($F$1,[1]characters!$2:$2,0)+1,FALSE)</f>
        <v>PremiumSS</v>
      </c>
      <c r="I252" s="34">
        <f ca="1">VLOOKUP($F252,OFFSET([1]characters!$A$2,0,0,COUNTA([1]characters!$A:$A),MATCH(I$1,[1]characters!$2:$2,0)-MATCH($F$1,[1]characters!$2:$2,0)+1),MATCH(I$1,[1]characters!$2:$2,0)-MATCH($F$1,[1]characters!$2:$2,0)+1,FALSE)</f>
        <v>4</v>
      </c>
      <c r="J252" s="34" t="str">
        <f ca="1">VLOOKUP($F252,OFFSET([1]characters!$A$2,0,0,COUNTA([1]characters!$A:$A),MATCH(J$1,[1]characters!$2:$2,0)-MATCH($F$1,[1]characters!$2:$2,0)+1),MATCH(J$1,[1]characters!$2:$2,0)-MATCH($F$1,[1]characters!$2:$2,0)+1,FALSE)</f>
        <v>yellow</v>
      </c>
      <c r="K252" s="34" t="str">
        <f ca="1">VLOOKUP($F252,OFFSET([1]characters!$A$2,0,0,COUNTA([1]characters!$A:$A),MATCH("タイプ",[1]characters!$1:$1,0)-MATCH($F$1,[1]characters!$2:$2,0)+2),MATCH("タイプ",[1]characters!$1:$1,0)-MATCH($F$1,[1]characters!$2:$2,0)+2,FALSE)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2" s="34" t="str">
        <f ca="1">VLOOKUP($F252,OFFSET([1]characters!$A$2,0,0,COUNTA([1]characters!$A:$A),MATCH($L$1,[1]characters!$1:$1,0)-MATCH($F$1,[1]characters!$2:$2,0)+2),MATCH($L$1,[1]characters!$1:$1,0)-MATCH($F$1,[1]characters!$2:$2,0)+2,FALSE)</f>
        <v>ヒューマン</v>
      </c>
      <c r="M252" s="32">
        <v>1</v>
      </c>
      <c r="N252" s="40">
        <f ca="1">VLOOKUP(D252,gacha_133_base!A:B,2,FALSE)</f>
        <v>144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2" t="str">
        <f t="shared" si="22"/>
        <v>03271</v>
      </c>
      <c r="B253" s="2">
        <f t="shared" si="21"/>
        <v>133</v>
      </c>
      <c r="C253" s="10" t="str">
        <f t="shared" ca="1" si="19"/>
        <v>0PremiumSS5</v>
      </c>
      <c r="D253" s="10" t="str">
        <f t="shared" ca="1" si="20"/>
        <v>0PremiumSS5</v>
      </c>
      <c r="E253" s="38">
        <v>0</v>
      </c>
      <c r="F253" s="7">
        <v>327</v>
      </c>
      <c r="G253" s="10" t="str">
        <f ca="1">VLOOKUP($F253,OFFSET([1]characters!$A$2,0,0,COUNTA([1]characters!$A:$A),MATCH(G$1,[1]characters!$2:$2,0)-MATCH($F$1,[1]characters!$2:$2,0)+1),MATCH(G$1,[1]characters!$2:$2,0)-MATCH($F$1,[1]characters!$2:$2,0)+1,FALSE)</f>
        <v>千殺の妖志士 斎藤一</v>
      </c>
      <c r="H253" s="10" t="str">
        <f ca="1">VLOOKUP($F253,OFFSET([1]characters!$A$2,0,0,COUNTA([1]characters!$A:$A),MATCH(H$1,[1]characters!$2:$2,0)-MATCH($F$1,[1]characters!$2:$2,0)+1),MATCH(H$1,[1]characters!$2:$2,0)-MATCH($F$1,[1]characters!$2:$2,0)+1,FALSE)</f>
        <v>PremiumSS</v>
      </c>
      <c r="I253" s="10">
        <f ca="1">VLOOKUP($F253,OFFSET([1]characters!$A$2,0,0,COUNTA([1]characters!$A:$A),MATCH(I$1,[1]characters!$2:$2,0)-MATCH($F$1,[1]characters!$2:$2,0)+1),MATCH(I$1,[1]characters!$2:$2,0)-MATCH($F$1,[1]characters!$2:$2,0)+1,FALSE)</f>
        <v>5</v>
      </c>
      <c r="J253" s="10" t="str">
        <f ca="1">VLOOKUP($F253,OFFSET([1]characters!$A$2,0,0,COUNTA([1]characters!$A:$A),MATCH(J$1,[1]characters!$2:$2,0)-MATCH($F$1,[1]characters!$2:$2,0)+1),MATCH(J$1,[1]characters!$2:$2,0)-MATCH($F$1,[1]characters!$2:$2,0)+1,FALSE)</f>
        <v>yellow</v>
      </c>
      <c r="K253" s="10" t="str">
        <f ca="1">VLOOKUP($F253,OFFSET([1]characters!$A$2,0,0,COUNTA([1]characters!$A:$A),MATCH("タイプ",[1]characters!$1:$1,0)-MATCH($F$1,[1]characters!$2:$2,0)+2),MATCH("タイプ",[1]characters!$1:$1,0)-MATCH($F$1,[1]characters!$2:$2,0)+2,FALSE)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3" s="10" t="str">
        <f ca="1">VLOOKUP($F253,OFFSET([1]characters!$A$2,0,0,COUNTA([1]characters!$A:$A),MATCH($L$1,[1]characters!$1:$1,0)-MATCH($F$1,[1]characters!$2:$2,0)+2),MATCH($L$1,[1]characters!$1:$1,0)-MATCH($F$1,[1]characters!$2:$2,0)+2,FALSE)</f>
        <v>ヒューマン</v>
      </c>
      <c r="M253" s="6">
        <v>1</v>
      </c>
      <c r="N253" s="40">
        <f ca="1">VLOOKUP(D253,gacha_133_base!A:B,2,FALSE)</f>
        <v>48</v>
      </c>
      <c r="O253" s="28">
        <v>0</v>
      </c>
      <c r="P253" s="28">
        <v>0</v>
      </c>
      <c r="Q253" s="28">
        <v>0</v>
      </c>
      <c r="R253" s="28">
        <v>0</v>
      </c>
      <c r="S253" s="28">
        <v>1</v>
      </c>
    </row>
    <row r="254" spans="1:19" ht="21" customHeight="1" thickBot="1">
      <c r="A254" s="22" t="str">
        <f t="shared" si="22"/>
        <v>03801</v>
      </c>
      <c r="B254" s="2">
        <f t="shared" si="21"/>
        <v>133</v>
      </c>
      <c r="C254" s="10" t="str">
        <f t="shared" ca="1" si="19"/>
        <v>0PremiumS3</v>
      </c>
      <c r="D254" s="10" t="str">
        <f t="shared" ca="1" si="20"/>
        <v>0PremiumS3</v>
      </c>
      <c r="E254" s="38">
        <v>0</v>
      </c>
      <c r="F254" s="27">
        <v>380</v>
      </c>
      <c r="G254" s="20" t="str">
        <f ca="1">VLOOKUP($F254,OFFSET([1]characters!$A$2,0,0,COUNTA([1]characters!$A:$A),MATCH(G$1,[1]characters!$2:$2,0)-MATCH($F$1,[1]characters!$2:$2,0)+1),MATCH(G$1,[1]characters!$2:$2,0)-MATCH($F$1,[1]characters!$2:$2,0)+1,FALSE)</f>
        <v>バハムート</v>
      </c>
      <c r="H254" s="20" t="str">
        <f ca="1">VLOOKUP($F254,OFFSET([1]characters!$A$2,0,0,COUNTA([1]characters!$A:$A),MATCH(H$1,[1]characters!$2:$2,0)-MATCH($F$1,[1]characters!$2:$2,0)+1),MATCH(H$1,[1]characters!$2:$2,0)-MATCH($F$1,[1]characters!$2:$2,0)+1,FALSE)</f>
        <v>PremiumS</v>
      </c>
      <c r="I254" s="20">
        <f ca="1">VLOOKUP($F254,OFFSET([1]characters!$A$2,0,0,COUNTA([1]characters!$A:$A),MATCH(I$1,[1]characters!$2:$2,0)-MATCH($F$1,[1]characters!$2:$2,0)+1),MATCH(I$1,[1]characters!$2:$2,0)-MATCH($F$1,[1]characters!$2:$2,0)+1,FALSE)</f>
        <v>3</v>
      </c>
      <c r="J254" s="20" t="str">
        <f ca="1">VLOOKUP($F254,OFFSET([1]characters!$A$2,0,0,COUNTA([1]characters!$A:$A),MATCH(J$1,[1]characters!$2:$2,0)-MATCH($F$1,[1]characters!$2:$2,0)+1),MATCH(J$1,[1]characters!$2:$2,0)-MATCH($F$1,[1]characters!$2:$2,0)+1,FALSE)</f>
        <v>red</v>
      </c>
      <c r="K254" s="20" t="str">
        <f ca="1">VLOOKUP($F254,OFFSET([1]characters!$A$2,0,0,COUNTA([1]characters!$A:$A),MATCH("タイプ",[1]characters!$1:$1,0)-MATCH($F$1,[1]characters!$2:$2,0)+2),MATCH("タイプ",[1]characters!$1:$1,0)-MATCH($F$1,[1]characters!$2:$2,0)+2,FALSE)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4" s="20" t="str">
        <f ca="1">VLOOKUP($F254,OFFSET([1]characters!$A$2,0,0,COUNTA([1]characters!$A:$A),MATCH($L$1,[1]characters!$1:$1,0)-MATCH($F$1,[1]characters!$2:$2,0)+2),MATCH($L$1,[1]characters!$1:$1,0)-MATCH($F$1,[1]characters!$2:$2,0)+2,FALSE)</f>
        <v>ドラゴン</v>
      </c>
      <c r="M254" s="21">
        <v>1</v>
      </c>
      <c r="N254" s="40">
        <f ca="1">VLOOKUP(D254,gacha_133_base!A:B,2,FALSE)</f>
        <v>228</v>
      </c>
      <c r="O254" s="18">
        <v>0</v>
      </c>
      <c r="P254" s="18">
        <v>0</v>
      </c>
      <c r="Q254" s="18">
        <v>0</v>
      </c>
      <c r="R254" s="18">
        <v>0</v>
      </c>
      <c r="S254" s="18">
        <v>1</v>
      </c>
    </row>
    <row r="255" spans="1:19" ht="21" customHeight="1" thickBot="1">
      <c r="A255" s="22" t="str">
        <f t="shared" si="22"/>
        <v>03811</v>
      </c>
      <c r="B255" s="2">
        <f t="shared" si="21"/>
        <v>133</v>
      </c>
      <c r="C255" s="10" t="str">
        <f t="shared" ca="1" si="19"/>
        <v>0PremiumS4</v>
      </c>
      <c r="D255" s="10" t="str">
        <f t="shared" ca="1" si="20"/>
        <v>0PremiumS4</v>
      </c>
      <c r="E255" s="38">
        <v>0</v>
      </c>
      <c r="F255" s="27">
        <v>381</v>
      </c>
      <c r="G255" s="10" t="str">
        <f ca="1">VLOOKUP($F255,OFFSET([1]characters!$A$2,0,0,COUNTA([1]characters!$A:$A),MATCH(G$1,[1]characters!$2:$2,0)-MATCH($F$1,[1]characters!$2:$2,0)+1),MATCH(G$1,[1]characters!$2:$2,0)-MATCH($F$1,[1]characters!$2:$2,0)+1,FALSE)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255" s="10" t="str">
        <f ca="1">VLOOKUP($F255,OFFSET([1]characters!$A$2,0,0,COUNTA([1]characters!$A:$A),MATCH(H$1,[1]characters!$2:$2,0)-MATCH($F$1,[1]characters!$2:$2,0)+1),MATCH(H$1,[1]characters!$2:$2,0)-MATCH($F$1,[1]characters!$2:$2,0)+1,FALSE)</f>
        <v>PremiumS</v>
      </c>
      <c r="I255" s="10">
        <f ca="1">VLOOKUP($F255,OFFSET([1]characters!$A$2,0,0,COUNTA([1]characters!$A:$A),MATCH(I$1,[1]characters!$2:$2,0)-MATCH($F$1,[1]characters!$2:$2,0)+1),MATCH(I$1,[1]characters!$2:$2,0)-MATCH($F$1,[1]characters!$2:$2,0)+1,FALSE)</f>
        <v>4</v>
      </c>
      <c r="J255" s="10" t="str">
        <f ca="1">VLOOKUP($F255,OFFSET([1]characters!$A$2,0,0,COUNTA([1]characters!$A:$A),MATCH(J$1,[1]characters!$2:$2,0)-MATCH($F$1,[1]characters!$2:$2,0)+1),MATCH(J$1,[1]characters!$2:$2,0)-MATCH($F$1,[1]characters!$2:$2,0)+1,FALSE)</f>
        <v>red</v>
      </c>
      <c r="K255" s="10" t="str">
        <f ca="1">VLOOKUP($F255,OFFSET([1]characters!$A$2,0,0,COUNTA([1]characters!$A:$A),MATCH("タイプ",[1]characters!$1:$1,0)-MATCH($F$1,[1]characters!$2:$2,0)+2),MATCH("タイプ",[1]characters!$1:$1,0)-MATCH($F$1,[1]characters!$2:$2,0)+2,FALSE)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5" s="10" t="str">
        <f ca="1">VLOOKUP($F255,OFFSET([1]characters!$A$2,0,0,COUNTA([1]characters!$A:$A),MATCH($L$1,[1]characters!$1:$1,0)-MATCH($F$1,[1]characters!$2:$2,0)+2),MATCH($L$1,[1]characters!$1:$1,0)-MATCH($F$1,[1]characters!$2:$2,0)+2,FALSE)</f>
        <v>ドラゴン</v>
      </c>
      <c r="M255" s="6">
        <v>1</v>
      </c>
      <c r="N255" s="40">
        <f ca="1">VLOOKUP(D255,gacha_133_base!A:B,2,FALSE)</f>
        <v>80</v>
      </c>
      <c r="O255" s="28">
        <v>0</v>
      </c>
      <c r="P255" s="28">
        <v>0</v>
      </c>
      <c r="Q255" s="28">
        <v>0</v>
      </c>
      <c r="R255" s="28">
        <v>0</v>
      </c>
      <c r="S255" s="28">
        <v>1</v>
      </c>
    </row>
    <row r="256" spans="1:19" ht="21" customHeight="1" thickBot="1">
      <c r="A256" s="22" t="str">
        <f t="shared" si="22"/>
        <v>03821</v>
      </c>
      <c r="B256" s="2">
        <f t="shared" si="21"/>
        <v>133</v>
      </c>
      <c r="C256" s="10" t="str">
        <f t="shared" ca="1" si="19"/>
        <v>0PremiumS5</v>
      </c>
      <c r="D256" s="10" t="str">
        <f t="shared" ca="1" si="20"/>
        <v>0PremiumS5</v>
      </c>
      <c r="E256" s="38">
        <v>0</v>
      </c>
      <c r="F256" s="27">
        <v>382</v>
      </c>
      <c r="G256" s="10" t="str">
        <f ca="1">VLOOKUP($F256,OFFSET([1]characters!$A$2,0,0,COUNTA([1]characters!$A:$A),MATCH(G$1,[1]characters!$2:$2,0)-MATCH($F$1,[1]characters!$2:$2,0)+1),MATCH(G$1,[1]characters!$2:$2,0)-MATCH($F$1,[1]characters!$2:$2,0)+1,FALSE)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256" s="10" t="str">
        <f ca="1">VLOOKUP($F256,OFFSET([1]characters!$A$2,0,0,COUNTA([1]characters!$A:$A),MATCH(H$1,[1]characters!$2:$2,0)-MATCH($F$1,[1]characters!$2:$2,0)+1),MATCH(H$1,[1]characters!$2:$2,0)-MATCH($F$1,[1]characters!$2:$2,0)+1,FALSE)</f>
        <v>PremiumS</v>
      </c>
      <c r="I256" s="10">
        <f ca="1">VLOOKUP($F256,OFFSET([1]characters!$A$2,0,0,COUNTA([1]characters!$A:$A),MATCH(I$1,[1]characters!$2:$2,0)-MATCH($F$1,[1]characters!$2:$2,0)+1),MATCH(I$1,[1]characters!$2:$2,0)-MATCH($F$1,[1]characters!$2:$2,0)+1,FALSE)</f>
        <v>5</v>
      </c>
      <c r="J256" s="10" t="str">
        <f ca="1">VLOOKUP($F256,OFFSET([1]characters!$A$2,0,0,COUNTA([1]characters!$A:$A),MATCH(J$1,[1]characters!$2:$2,0)-MATCH($F$1,[1]characters!$2:$2,0)+1),MATCH(J$1,[1]characters!$2:$2,0)-MATCH($F$1,[1]characters!$2:$2,0)+1,FALSE)</f>
        <v>red</v>
      </c>
      <c r="K256" s="10" t="str">
        <f ca="1">VLOOKUP($F256,OFFSET([1]characters!$A$2,0,0,COUNTA([1]characters!$A:$A),MATCH("タイプ",[1]characters!$1:$1,0)-MATCH($F$1,[1]characters!$2:$2,0)+2),MATCH("タイプ",[1]characters!$1:$1,0)-MATCH($F$1,[1]characters!$2:$2,0)+2,FALSE)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6" s="10" t="str">
        <f ca="1">VLOOKUP($F256,OFFSET([1]characters!$A$2,0,0,COUNTA([1]characters!$A:$A),MATCH($L$1,[1]characters!$1:$1,0)-MATCH($F$1,[1]characters!$2:$2,0)+2),MATCH($L$1,[1]characters!$1:$1,0)-MATCH($F$1,[1]characters!$2:$2,0)+2,FALSE)</f>
        <v>ドラゴン</v>
      </c>
      <c r="M256" s="6">
        <v>1</v>
      </c>
      <c r="N256" s="40">
        <f ca="1">VLOOKUP(D256,gacha_133_base!A:B,2,FALSE)</f>
        <v>13</v>
      </c>
      <c r="O256" s="28">
        <v>0</v>
      </c>
      <c r="P256" s="28">
        <v>0</v>
      </c>
      <c r="Q256" s="28">
        <v>0</v>
      </c>
      <c r="R256" s="28">
        <v>0</v>
      </c>
      <c r="S256" s="28">
        <v>1</v>
      </c>
    </row>
    <row r="257" spans="1:19" ht="21" customHeight="1" thickBot="1">
      <c r="A257" s="22" t="str">
        <f t="shared" si="22"/>
        <v>03831</v>
      </c>
      <c r="B257" s="2">
        <f t="shared" si="21"/>
        <v>133</v>
      </c>
      <c r="C257" s="10" t="str">
        <f t="shared" ca="1" si="19"/>
        <v>0PremiumSS4</v>
      </c>
      <c r="D257" s="10" t="str">
        <f t="shared" ca="1" si="20"/>
        <v>0PremiumSS4</v>
      </c>
      <c r="E257" s="38">
        <v>0</v>
      </c>
      <c r="F257" s="27">
        <v>383</v>
      </c>
      <c r="G257" s="10" t="str">
        <f ca="1">VLOOKUP($F257,OFFSET([1]characters!$A$2,0,0,COUNTA([1]characters!$A:$A),MATCH(G$1,[1]characters!$2:$2,0)-MATCH($F$1,[1]characters!$2:$2,0)+1),MATCH(G$1,[1]characters!$2:$2,0)-MATCH($F$1,[1]characters!$2:$2,0)+1,FALSE)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257" s="10" t="str">
        <f ca="1">VLOOKUP($F257,OFFSET([1]characters!$A$2,0,0,COUNTA([1]characters!$A:$A),MATCH(H$1,[1]characters!$2:$2,0)-MATCH($F$1,[1]characters!$2:$2,0)+1),MATCH(H$1,[1]characters!$2:$2,0)-MATCH($F$1,[1]characters!$2:$2,0)+1,FALSE)</f>
        <v>PremiumSS</v>
      </c>
      <c r="I257" s="10">
        <f ca="1">VLOOKUP($F257,OFFSET([1]characters!$A$2,0,0,COUNTA([1]characters!$A:$A),MATCH(I$1,[1]characters!$2:$2,0)-MATCH($F$1,[1]characters!$2:$2,0)+1),MATCH(I$1,[1]characters!$2:$2,0)-MATCH($F$1,[1]characters!$2:$2,0)+1,FALSE)</f>
        <v>4</v>
      </c>
      <c r="J257" s="10" t="str">
        <f ca="1">VLOOKUP($F257,OFFSET([1]characters!$A$2,0,0,COUNTA([1]characters!$A:$A),MATCH(J$1,[1]characters!$2:$2,0)-MATCH($F$1,[1]characters!$2:$2,0)+1),MATCH(J$1,[1]characters!$2:$2,0)-MATCH($F$1,[1]characters!$2:$2,0)+1,FALSE)</f>
        <v>green</v>
      </c>
      <c r="K257" s="10" t="str">
        <f ca="1">VLOOKUP($F257,OFFSET([1]characters!$A$2,0,0,COUNTA([1]characters!$A:$A),MATCH("タイプ",[1]characters!$1:$1,0)-MATCH($F$1,[1]characters!$2:$2,0)+2),MATCH("タイプ",[1]characters!$1:$1,0)-MATCH($F$1,[1]characters!$2:$2,0)+2,FALSE)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7" s="10" t="str">
        <f ca="1">VLOOKUP($F257,OFFSET([1]characters!$A$2,0,0,COUNTA([1]characters!$A:$A),MATCH($L$1,[1]characters!$1:$1,0)-MATCH($F$1,[1]characters!$2:$2,0)+2),MATCH($L$1,[1]characters!$1:$1,0)-MATCH($F$1,[1]characters!$2:$2,0)+2,FALSE)</f>
        <v>ドラゴン</v>
      </c>
      <c r="M257" s="6">
        <v>1</v>
      </c>
      <c r="N257" s="40">
        <f ca="1">VLOOKUP(D257,gacha_133_base!A:B,2,FALSE)</f>
        <v>144</v>
      </c>
      <c r="O257" s="28">
        <v>0</v>
      </c>
      <c r="P257" s="28">
        <v>0</v>
      </c>
      <c r="Q257" s="28">
        <v>0</v>
      </c>
      <c r="R257" s="28">
        <v>0</v>
      </c>
      <c r="S257" s="28">
        <v>1</v>
      </c>
    </row>
    <row r="258" spans="1:19" ht="21" customHeight="1" thickBot="1">
      <c r="A258" s="22" t="str">
        <f t="shared" si="22"/>
        <v>03841</v>
      </c>
      <c r="B258" s="2">
        <f t="shared" si="21"/>
        <v>133</v>
      </c>
      <c r="C258" s="10" t="str">
        <f t="shared" ca="1" si="19"/>
        <v>0PremiumSS5</v>
      </c>
      <c r="D258" s="10" t="str">
        <f t="shared" ca="1" si="20"/>
        <v>0PremiumSS5</v>
      </c>
      <c r="E258" s="38">
        <v>0</v>
      </c>
      <c r="F258" s="27">
        <v>384</v>
      </c>
      <c r="G258" s="10" t="str">
        <f ca="1">VLOOKUP($F258,OFFSET([1]characters!$A$2,0,0,COUNTA([1]characters!$A:$A),MATCH(G$1,[1]characters!$2:$2,0)-MATCH($F$1,[1]characters!$2:$2,0)+1),MATCH(G$1,[1]characters!$2:$2,0)-MATCH($F$1,[1]characters!$2:$2,0)+1,FALSE)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258" s="10" t="str">
        <f ca="1">VLOOKUP($F258,OFFSET([1]characters!$A$2,0,0,COUNTA([1]characters!$A:$A),MATCH(H$1,[1]characters!$2:$2,0)-MATCH($F$1,[1]characters!$2:$2,0)+1),MATCH(H$1,[1]characters!$2:$2,0)-MATCH($F$1,[1]characters!$2:$2,0)+1,FALSE)</f>
        <v>PremiumSS</v>
      </c>
      <c r="I258" s="10">
        <f ca="1">VLOOKUP($F258,OFFSET([1]characters!$A$2,0,0,COUNTA([1]characters!$A:$A),MATCH(I$1,[1]characters!$2:$2,0)-MATCH($F$1,[1]characters!$2:$2,0)+1),MATCH(I$1,[1]characters!$2:$2,0)-MATCH($F$1,[1]characters!$2:$2,0)+1,FALSE)</f>
        <v>5</v>
      </c>
      <c r="J258" s="10" t="str">
        <f ca="1">VLOOKUP($F258,OFFSET([1]characters!$A$2,0,0,COUNTA([1]characters!$A:$A),MATCH(J$1,[1]characters!$2:$2,0)-MATCH($F$1,[1]characters!$2:$2,0)+1),MATCH(J$1,[1]characters!$2:$2,0)-MATCH($F$1,[1]characters!$2:$2,0)+1,FALSE)</f>
        <v>green</v>
      </c>
      <c r="K258" s="10" t="str">
        <f ca="1">VLOOKUP($F258,OFFSET([1]characters!$A$2,0,0,COUNTA([1]characters!$A:$A),MATCH("タイプ",[1]characters!$1:$1,0)-MATCH($F$1,[1]characters!$2:$2,0)+2),MATCH("タイプ",[1]characters!$1:$1,0)-MATCH($F$1,[1]characters!$2:$2,0)+2,FALSE)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8" s="10" t="str">
        <f ca="1">VLOOKUP($F258,OFFSET([1]characters!$A$2,0,0,COUNTA([1]characters!$A:$A),MATCH($L$1,[1]characters!$1:$1,0)-MATCH($F$1,[1]characters!$2:$2,0)+2),MATCH($L$1,[1]characters!$1:$1,0)-MATCH($F$1,[1]characters!$2:$2,0)+2,FALSE)</f>
        <v>ドラゴン</v>
      </c>
      <c r="M258" s="6">
        <v>1</v>
      </c>
      <c r="N258" s="40">
        <f ca="1">VLOOKUP(D258,gacha_133_base!A:B,2,FALSE)</f>
        <v>48</v>
      </c>
      <c r="O258" s="28">
        <v>0</v>
      </c>
      <c r="P258" s="28">
        <v>0</v>
      </c>
      <c r="Q258" s="28">
        <v>0</v>
      </c>
      <c r="R258" s="28">
        <v>0</v>
      </c>
      <c r="S258" s="28">
        <v>1</v>
      </c>
    </row>
    <row r="259" spans="1:19" ht="21" customHeight="1" thickBot="1">
      <c r="A259" s="22" t="str">
        <f t="shared" si="22"/>
        <v>03851</v>
      </c>
      <c r="B259" s="2">
        <f t="shared" si="21"/>
        <v>133</v>
      </c>
      <c r="C259" s="10" t="str">
        <f t="shared" ca="1" si="19"/>
        <v>0PremiumSS4</v>
      </c>
      <c r="D259" s="10" t="str">
        <f t="shared" ca="1" si="20"/>
        <v>0PremiumSS4</v>
      </c>
      <c r="E259" s="38">
        <v>0</v>
      </c>
      <c r="F259" s="27">
        <v>385</v>
      </c>
      <c r="G259" s="10" t="str">
        <f ca="1">VLOOKUP($F259,OFFSET([1]characters!$A$2,0,0,COUNTA([1]characters!$A:$A),MATCH(G$1,[1]characters!$2:$2,0)-MATCH($F$1,[1]characters!$2:$2,0)+1),MATCH(G$1,[1]characters!$2:$2,0)-MATCH($F$1,[1]characters!$2:$2,0)+1,FALSE)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259" s="10" t="str">
        <f ca="1">VLOOKUP($F259,OFFSET([1]characters!$A$2,0,0,COUNTA([1]characters!$A:$A),MATCH(H$1,[1]characters!$2:$2,0)-MATCH($F$1,[1]characters!$2:$2,0)+1),MATCH(H$1,[1]characters!$2:$2,0)-MATCH($F$1,[1]characters!$2:$2,0)+1,FALSE)</f>
        <v>PremiumSS</v>
      </c>
      <c r="I259" s="10">
        <f ca="1">VLOOKUP($F259,OFFSET([1]characters!$A$2,0,0,COUNTA([1]characters!$A:$A),MATCH(I$1,[1]characters!$2:$2,0)-MATCH($F$1,[1]characters!$2:$2,0)+1),MATCH(I$1,[1]characters!$2:$2,0)-MATCH($F$1,[1]characters!$2:$2,0)+1,FALSE)</f>
        <v>4</v>
      </c>
      <c r="J259" s="10" t="str">
        <f ca="1">VLOOKUP($F259,OFFSET([1]characters!$A$2,0,0,COUNTA([1]characters!$A:$A),MATCH(J$1,[1]characters!$2:$2,0)-MATCH($F$1,[1]characters!$2:$2,0)+1),MATCH(J$1,[1]characters!$2:$2,0)-MATCH($F$1,[1]characters!$2:$2,0)+1,FALSE)</f>
        <v>blue</v>
      </c>
      <c r="K259" s="10" t="str">
        <f ca="1">VLOOKUP($F259,OFFSET([1]characters!$A$2,0,0,COUNTA([1]characters!$A:$A),MATCH("タイプ",[1]characters!$1:$1,0)-MATCH($F$1,[1]characters!$2:$2,0)+2),MATCH("タイプ",[1]characters!$1:$1,0)-MATCH($F$1,[1]characters!$2:$2,0)+2,FALSE)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9" s="10" t="str">
        <f ca="1">VLOOKUP($F259,OFFSET([1]characters!$A$2,0,0,COUNTA([1]characters!$A:$A),MATCH($L$1,[1]characters!$1:$1,0)-MATCH($F$1,[1]characters!$2:$2,0)+2),MATCH($L$1,[1]characters!$1:$1,0)-MATCH($F$1,[1]characters!$2:$2,0)+2,FALSE)</f>
        <v>ドラゴン</v>
      </c>
      <c r="M259" s="6">
        <v>1</v>
      </c>
      <c r="N259" s="40">
        <f ca="1">VLOOKUP(D259,gacha_133_base!A:B,2,FALSE)</f>
        <v>144</v>
      </c>
      <c r="O259" s="28">
        <v>0</v>
      </c>
      <c r="P259" s="28">
        <v>0</v>
      </c>
      <c r="Q259" s="28">
        <v>0</v>
      </c>
      <c r="R259" s="28">
        <v>0</v>
      </c>
      <c r="S259" s="28">
        <v>1</v>
      </c>
    </row>
    <row r="260" spans="1:19" ht="21" customHeight="1" thickBot="1">
      <c r="A260" s="22" t="str">
        <f t="shared" si="22"/>
        <v>03861</v>
      </c>
      <c r="B260" s="2">
        <f t="shared" si="21"/>
        <v>133</v>
      </c>
      <c r="C260" s="10" t="str">
        <f t="shared" ca="1" si="19"/>
        <v>0PremiumSS5</v>
      </c>
      <c r="D260" s="10" t="str">
        <f t="shared" ca="1" si="20"/>
        <v>0PremiumSS5</v>
      </c>
      <c r="E260" s="38">
        <v>0</v>
      </c>
      <c r="F260" s="31">
        <v>386</v>
      </c>
      <c r="G260" s="34" t="str">
        <f ca="1">VLOOKUP($F260,OFFSET([1]characters!$A$2,0,0,COUNTA([1]characters!$A:$A),MATCH(G$1,[1]characters!$2:$2,0)-MATCH($F$1,[1]characters!$2:$2,0)+1),MATCH(G$1,[1]characters!$2:$2,0)-MATCH($F$1,[1]characters!$2:$2,0)+1,FALSE)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260" s="34" t="str">
        <f ca="1">VLOOKUP($F260,OFFSET([1]characters!$A$2,0,0,COUNTA([1]characters!$A:$A),MATCH(H$1,[1]characters!$2:$2,0)-MATCH($F$1,[1]characters!$2:$2,0)+1),MATCH(H$1,[1]characters!$2:$2,0)-MATCH($F$1,[1]characters!$2:$2,0)+1,FALSE)</f>
        <v>PremiumSS</v>
      </c>
      <c r="I260" s="34">
        <f ca="1">VLOOKUP($F260,OFFSET([1]characters!$A$2,0,0,COUNTA([1]characters!$A:$A),MATCH(I$1,[1]characters!$2:$2,0)-MATCH($F$1,[1]characters!$2:$2,0)+1),MATCH(I$1,[1]characters!$2:$2,0)-MATCH($F$1,[1]characters!$2:$2,0)+1,FALSE)</f>
        <v>5</v>
      </c>
      <c r="J260" s="34" t="str">
        <f ca="1">VLOOKUP($F260,OFFSET([1]characters!$A$2,0,0,COUNTA([1]characters!$A:$A),MATCH(J$1,[1]characters!$2:$2,0)-MATCH($F$1,[1]characters!$2:$2,0)+1),MATCH(J$1,[1]characters!$2:$2,0)-MATCH($F$1,[1]characters!$2:$2,0)+1,FALSE)</f>
        <v>blue</v>
      </c>
      <c r="K260" s="34" t="str">
        <f ca="1">VLOOKUP($F260,OFFSET([1]characters!$A$2,0,0,COUNTA([1]characters!$A:$A),MATCH("タイプ",[1]characters!$1:$1,0)-MATCH($F$1,[1]characters!$2:$2,0)+2),MATCH("タイプ",[1]characters!$1:$1,0)-MATCH($F$1,[1]characters!$2:$2,0)+2,FALSE)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0" s="34" t="str">
        <f ca="1">VLOOKUP($F260,OFFSET([1]characters!$A$2,0,0,COUNTA([1]characters!$A:$A),MATCH($L$1,[1]characters!$1:$1,0)-MATCH($F$1,[1]characters!$2:$2,0)+2),MATCH($L$1,[1]characters!$1:$1,0)-MATCH($F$1,[1]characters!$2:$2,0)+2,FALSE)</f>
        <v>ドラゴン</v>
      </c>
      <c r="M260" s="32">
        <v>1</v>
      </c>
      <c r="N260" s="40">
        <f ca="1">VLOOKUP(D260,gacha_133_base!A:B,2,FALSE)</f>
        <v>48</v>
      </c>
      <c r="O260" s="35">
        <v>0</v>
      </c>
      <c r="P260" s="35">
        <v>0</v>
      </c>
      <c r="Q260" s="35">
        <v>0</v>
      </c>
      <c r="R260" s="35">
        <v>0</v>
      </c>
      <c r="S260" s="35">
        <v>1</v>
      </c>
    </row>
    <row r="261" spans="1:19" ht="21" customHeight="1" thickBot="1">
      <c r="A261" s="22" t="str">
        <f t="shared" si="22"/>
        <v>03871</v>
      </c>
      <c r="B261" s="2">
        <f t="shared" si="21"/>
        <v>133</v>
      </c>
      <c r="C261" s="10" t="str">
        <f t="shared" ca="1" si="19"/>
        <v>0PremiumS3</v>
      </c>
      <c r="D261" s="10" t="str">
        <f t="shared" ca="1" si="20"/>
        <v>0PremiumS3</v>
      </c>
      <c r="E261" s="38">
        <v>0</v>
      </c>
      <c r="F261" s="7">
        <v>387</v>
      </c>
      <c r="G261" s="10" t="str">
        <f ca="1">VLOOKUP($F261,OFFSET([1]characters!$A$2,0,0,COUNTA([1]characters!$A:$A),MATCH(G$1,[1]characters!$2:$2,0)-MATCH($F$1,[1]characters!$2:$2,0)+1),MATCH(G$1,[1]characters!$2:$2,0)-MATCH($F$1,[1]characters!$2:$2,0)+1,FALSE)</f>
        <v>スフィンクス</v>
      </c>
      <c r="H261" s="10" t="str">
        <f ca="1">VLOOKUP($F261,OFFSET([1]characters!$A$2,0,0,COUNTA([1]characters!$A:$A),MATCH(H$1,[1]characters!$2:$2,0)-MATCH($F$1,[1]characters!$2:$2,0)+1),MATCH(H$1,[1]characters!$2:$2,0)-MATCH($F$1,[1]characters!$2:$2,0)+1,FALSE)</f>
        <v>PremiumS</v>
      </c>
      <c r="I261" s="10">
        <f ca="1">VLOOKUP($F261,OFFSET([1]characters!$A$2,0,0,COUNTA([1]characters!$A:$A),MATCH(I$1,[1]characters!$2:$2,0)-MATCH($F$1,[1]characters!$2:$2,0)+1),MATCH(I$1,[1]characters!$2:$2,0)-MATCH($F$1,[1]characters!$2:$2,0)+1,FALSE)</f>
        <v>3</v>
      </c>
      <c r="J261" s="10" t="str">
        <f ca="1">VLOOKUP($F261,OFFSET([1]characters!$A$2,0,0,COUNTA([1]characters!$A:$A),MATCH(J$1,[1]characters!$2:$2,0)-MATCH($F$1,[1]characters!$2:$2,0)+1),MATCH(J$1,[1]characters!$2:$2,0)-MATCH($F$1,[1]characters!$2:$2,0)+1,FALSE)</f>
        <v>yellow</v>
      </c>
      <c r="K261" s="10" t="str">
        <f ca="1">VLOOKUP($F261,OFFSET([1]characters!$A$2,0,0,COUNTA([1]characters!$A:$A),MATCH("タイプ",[1]characters!$1:$1,0)-MATCH($F$1,[1]characters!$2:$2,0)+2),MATCH("タイプ",[1]characters!$1:$1,0)-MATCH($F$1,[1]characters!$2:$2,0)+2,FALSE)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1" s="10" t="str">
        <f ca="1">VLOOKUP($F261,OFFSET([1]characters!$A$2,0,0,COUNTA([1]characters!$A:$A),MATCH($L$1,[1]characters!$1:$1,0)-MATCH($F$1,[1]characters!$2:$2,0)+2),MATCH($L$1,[1]characters!$1:$1,0)-MATCH($F$1,[1]characters!$2:$2,0)+2,FALSE)</f>
        <v>アニマル</v>
      </c>
      <c r="M261" s="6">
        <v>1</v>
      </c>
      <c r="N261" s="40">
        <f ca="1">VLOOKUP(D261,gacha_133_base!A:B,2,FALSE)</f>
        <v>228</v>
      </c>
      <c r="O261" s="28">
        <v>0</v>
      </c>
      <c r="P261" s="28">
        <v>0</v>
      </c>
      <c r="Q261" s="28">
        <v>0</v>
      </c>
      <c r="R261" s="28">
        <v>0</v>
      </c>
      <c r="S261" s="28">
        <v>1</v>
      </c>
    </row>
    <row r="262" spans="1:19" ht="21" customHeight="1">
      <c r="A262" s="30" t="str">
        <f t="shared" si="22"/>
        <v>03881</v>
      </c>
      <c r="B262" s="2">
        <f t="shared" si="21"/>
        <v>133</v>
      </c>
      <c r="C262" s="10" t="str">
        <f t="shared" ca="1" si="19"/>
        <v>0PremiumS4</v>
      </c>
      <c r="D262" s="10" t="str">
        <f t="shared" ca="1" si="20"/>
        <v>0PremiumS4</v>
      </c>
      <c r="E262" s="38">
        <v>0</v>
      </c>
      <c r="F262" s="33">
        <v>388</v>
      </c>
      <c r="G262" s="34" t="str">
        <f ca="1">VLOOKUP($F262,OFFSET([1]characters!$A$2,0,0,COUNTA([1]characters!$A:$A),MATCH(G$1,[1]characters!$2:$2,0)-MATCH($F$1,[1]characters!$2:$2,0)+1),MATCH(G$1,[1]characters!$2:$2,0)-MATCH($F$1,[1]characters!$2:$2,0)+1,FALSE)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262" s="34" t="str">
        <f ca="1">VLOOKUP($F262,OFFSET([1]characters!$A$2,0,0,COUNTA([1]characters!$A:$A),MATCH(H$1,[1]characters!$2:$2,0)-MATCH($F$1,[1]characters!$2:$2,0)+1),MATCH(H$1,[1]characters!$2:$2,0)-MATCH($F$1,[1]characters!$2:$2,0)+1,FALSE)</f>
        <v>PremiumS</v>
      </c>
      <c r="I262" s="34">
        <f ca="1">VLOOKUP($F262,OFFSET([1]characters!$A$2,0,0,COUNTA([1]characters!$A:$A),MATCH(I$1,[1]characters!$2:$2,0)-MATCH($F$1,[1]characters!$2:$2,0)+1),MATCH(I$1,[1]characters!$2:$2,0)-MATCH($F$1,[1]characters!$2:$2,0)+1,FALSE)</f>
        <v>4</v>
      </c>
      <c r="J262" s="34" t="str">
        <f ca="1">VLOOKUP($F262,OFFSET([1]characters!$A$2,0,0,COUNTA([1]characters!$A:$A),MATCH(J$1,[1]characters!$2:$2,0)-MATCH($F$1,[1]characters!$2:$2,0)+1),MATCH(J$1,[1]characters!$2:$2,0)-MATCH($F$1,[1]characters!$2:$2,0)+1,FALSE)</f>
        <v>yellow</v>
      </c>
      <c r="K262" s="34" t="str">
        <f ca="1">VLOOKUP($F262,OFFSET([1]characters!$A$2,0,0,COUNTA([1]characters!$A:$A),MATCH("タイプ",[1]characters!$1:$1,0)-MATCH($F$1,[1]characters!$2:$2,0)+2),MATCH("タイプ",[1]characters!$1:$1,0)-MATCH($F$1,[1]characters!$2:$2,0)+2,FALSE)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2" s="34" t="str">
        <f ca="1">VLOOKUP($F262,OFFSET([1]characters!$A$2,0,0,COUNTA([1]characters!$A:$A),MATCH($L$1,[1]characters!$1:$1,0)-MATCH($F$1,[1]characters!$2:$2,0)+2),MATCH($L$1,[1]characters!$1:$1,0)-MATCH($F$1,[1]characters!$2:$2,0)+2,FALSE)</f>
        <v>アニマル</v>
      </c>
      <c r="M262" s="32">
        <v>1</v>
      </c>
      <c r="N262" s="40">
        <f ca="1">VLOOKUP(D262,gacha_133_base!A:B,2,FALSE)</f>
        <v>80</v>
      </c>
      <c r="O262" s="35">
        <v>0</v>
      </c>
      <c r="P262" s="35">
        <v>0</v>
      </c>
      <c r="Q262" s="35">
        <v>0</v>
      </c>
      <c r="R262" s="35">
        <v>0</v>
      </c>
      <c r="S262" s="35">
        <v>1</v>
      </c>
    </row>
    <row r="263" spans="1:19" s="37" customFormat="1" ht="21" customHeight="1" thickBot="1">
      <c r="A263" s="36" t="str">
        <f t="shared" si="22"/>
        <v>03891</v>
      </c>
      <c r="B263" s="2">
        <f t="shared" si="21"/>
        <v>133</v>
      </c>
      <c r="C263" s="10" t="str">
        <f t="shared" ca="1" si="19"/>
        <v>0PremiumS5</v>
      </c>
      <c r="D263" s="10" t="str">
        <f t="shared" ca="1" si="20"/>
        <v>0PremiumS5</v>
      </c>
      <c r="E263" s="38">
        <v>0</v>
      </c>
      <c r="F263" s="25">
        <v>389</v>
      </c>
      <c r="G263" s="23" t="str">
        <f ca="1">VLOOKUP($F263,OFFSET([1]characters!$A$2,0,0,COUNTA([1]characters!$A:$A),MATCH(G$1,[1]characters!$2:$2,0)-MATCH($F$1,[1]characters!$2:$2,0)+1),MATCH(G$1,[1]characters!$2:$2,0)-MATCH($F$1,[1]characters!$2:$2,0)+1,FALSE)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263" s="23" t="str">
        <f ca="1">VLOOKUP($F263,OFFSET([1]characters!$A$2,0,0,COUNTA([1]characters!$A:$A),MATCH(H$1,[1]characters!$2:$2,0)-MATCH($F$1,[1]characters!$2:$2,0)+1),MATCH(H$1,[1]characters!$2:$2,0)-MATCH($F$1,[1]characters!$2:$2,0)+1,FALSE)</f>
        <v>PremiumS</v>
      </c>
      <c r="I263" s="23">
        <f ca="1">VLOOKUP($F263,OFFSET([1]characters!$A$2,0,0,COUNTA([1]characters!$A:$A),MATCH(I$1,[1]characters!$2:$2,0)-MATCH($F$1,[1]characters!$2:$2,0)+1),MATCH(I$1,[1]characters!$2:$2,0)-MATCH($F$1,[1]characters!$2:$2,0)+1,FALSE)</f>
        <v>5</v>
      </c>
      <c r="J263" s="23" t="str">
        <f ca="1">VLOOKUP($F263,OFFSET([1]characters!$A$2,0,0,COUNTA([1]characters!$A:$A),MATCH(J$1,[1]characters!$2:$2,0)-MATCH($F$1,[1]characters!$2:$2,0)+1),MATCH(J$1,[1]characters!$2:$2,0)-MATCH($F$1,[1]characters!$2:$2,0)+1,FALSE)</f>
        <v>yellow</v>
      </c>
      <c r="K263" s="23" t="str">
        <f ca="1">VLOOKUP($F263,OFFSET([1]characters!$A$2,0,0,COUNTA([1]characters!$A:$A),MATCH("タイプ",[1]characters!$1:$1,0)-MATCH($F$1,[1]characters!$2:$2,0)+2),MATCH("タイプ",[1]characters!$1:$1,0)-MATCH($F$1,[1]characters!$2:$2,0)+2,FALSE)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3" s="23" t="str">
        <f ca="1">VLOOKUP($F263,OFFSET([1]characters!$A$2,0,0,COUNTA([1]characters!$A:$A),MATCH($L$1,[1]characters!$1:$1,0)-MATCH($F$1,[1]characters!$2:$2,0)+2),MATCH($L$1,[1]characters!$1:$1,0)-MATCH($F$1,[1]characters!$2:$2,0)+2,FALSE)</f>
        <v>アニマル</v>
      </c>
      <c r="M263" s="24">
        <v>1</v>
      </c>
      <c r="N263" s="40">
        <f ca="1">VLOOKUP(D263,gacha_133_base!A:B,2,FALSE)</f>
        <v>13</v>
      </c>
      <c r="O263" s="29">
        <v>0</v>
      </c>
      <c r="P263" s="29">
        <v>0</v>
      </c>
      <c r="Q263" s="29">
        <v>0</v>
      </c>
      <c r="R263" s="29">
        <v>0</v>
      </c>
      <c r="S263" s="29">
        <v>1</v>
      </c>
    </row>
    <row r="264" spans="1:19" ht="21" customHeight="1" thickBot="1">
      <c r="A264" s="22" t="str">
        <f t="shared" ref="A264:A272" si="23">E264&amp;F264&amp;M264</f>
        <v>03901</v>
      </c>
      <c r="B264" s="2">
        <f t="shared" si="21"/>
        <v>133</v>
      </c>
      <c r="C264" s="10" t="str">
        <f t="shared" ca="1" si="19"/>
        <v>0PremiumSS4</v>
      </c>
      <c r="D264" s="10" t="str">
        <f ca="1">E264&amp;H264&amp;I264&amp;"pick"</f>
        <v>0PremiumSS4pick</v>
      </c>
      <c r="E264" s="38">
        <v>0</v>
      </c>
      <c r="F264" s="31">
        <v>390</v>
      </c>
      <c r="G264" s="34" t="str">
        <f ca="1">VLOOKUP($F264,OFFSET([1]characters!$A$2,0,0,COUNTA([1]characters!$A:$A),MATCH(G$1,[1]characters!$2:$2,0)-MATCH($F$1,[1]characters!$2:$2,0)+1),MATCH(G$1,[1]characters!$2:$2,0)-MATCH($F$1,[1]characters!$2:$2,0)+1,FALSE)</f>
        <v>華環の旅客 親指姫</v>
      </c>
      <c r="H264" s="34" t="str">
        <f ca="1">VLOOKUP($F264,OFFSET([1]characters!$A$2,0,0,COUNTA([1]characters!$A:$A),MATCH(H$1,[1]characters!$2:$2,0)-MATCH($F$1,[1]characters!$2:$2,0)+1),MATCH(H$1,[1]characters!$2:$2,0)-MATCH($F$1,[1]characters!$2:$2,0)+1,FALSE)</f>
        <v>PremiumSS</v>
      </c>
      <c r="I264" s="34">
        <f ca="1">VLOOKUP($F264,OFFSET([1]characters!$A$2,0,0,COUNTA([1]characters!$A:$A),MATCH(I$1,[1]characters!$2:$2,0)-MATCH($F$1,[1]characters!$2:$2,0)+1),MATCH(I$1,[1]characters!$2:$2,0)-MATCH($F$1,[1]characters!$2:$2,0)+1,FALSE)</f>
        <v>4</v>
      </c>
      <c r="J264" s="34" t="str">
        <f ca="1">VLOOKUP($F264,OFFSET([1]characters!$A$2,0,0,COUNTA([1]characters!$A:$A),MATCH(J$1,[1]characters!$2:$2,0)-MATCH($F$1,[1]characters!$2:$2,0)+1),MATCH(J$1,[1]characters!$2:$2,0)-MATCH($F$1,[1]characters!$2:$2,0)+1,FALSE)</f>
        <v>red</v>
      </c>
      <c r="K264" s="34" t="str">
        <f ca="1">VLOOKUP($F264,OFFSET([1]characters!$A$2,0,0,COUNTA([1]characters!$A:$A),MATCH("タイプ",[1]characters!$1:$1,0)-MATCH($F$1,[1]characters!$2:$2,0)+2),MATCH("タイプ",[1]characters!$1:$1,0)-MATCH($F$1,[1]characters!$2:$2,0)+2,FALSE)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4" s="34" t="str">
        <f ca="1">VLOOKUP($F264,OFFSET([1]characters!$A$2,0,0,COUNTA([1]characters!$A:$A),MATCH($L$1,[1]characters!$1:$1,0)-MATCH($F$1,[1]characters!$2:$2,0)+2),MATCH($L$1,[1]characters!$1:$1,0)-MATCH($F$1,[1]characters!$2:$2,0)+2,FALSE)</f>
        <v>ヒューマン</v>
      </c>
      <c r="M264" s="32">
        <v>1</v>
      </c>
      <c r="N264" s="40">
        <f ca="1">VLOOKUP(D264,gacha_133_base!A:B,2,FALSE)</f>
        <v>1348</v>
      </c>
      <c r="O264" s="35">
        <v>0</v>
      </c>
      <c r="P264" s="35">
        <v>0</v>
      </c>
      <c r="Q264" s="35">
        <v>0</v>
      </c>
      <c r="R264" s="35">
        <v>0</v>
      </c>
      <c r="S264" s="35">
        <v>1</v>
      </c>
    </row>
    <row r="265" spans="1:19" ht="21" customHeight="1" thickBot="1">
      <c r="A265" s="22" t="str">
        <f t="shared" si="23"/>
        <v>03911</v>
      </c>
      <c r="B265" s="2">
        <f t="shared" si="21"/>
        <v>133</v>
      </c>
      <c r="C265" s="10" t="str">
        <f t="shared" ca="1" si="19"/>
        <v>0PremiumSS5</v>
      </c>
      <c r="D265" s="10" t="str">
        <f t="shared" ref="D265:D273" ca="1" si="24">E265&amp;H265&amp;I265&amp;"pick"</f>
        <v>0PremiumSS5pick</v>
      </c>
      <c r="E265" s="38">
        <v>0</v>
      </c>
      <c r="F265" s="7">
        <v>391</v>
      </c>
      <c r="G265" s="10" t="str">
        <f ca="1">VLOOKUP($F265,OFFSET([1]characters!$A$2,0,0,COUNTA([1]characters!$A:$A),MATCH(G$1,[1]characters!$2:$2,0)-MATCH($F$1,[1]characters!$2:$2,0)+1),MATCH(G$1,[1]characters!$2:$2,0)-MATCH($F$1,[1]characters!$2:$2,0)+1,FALSE)</f>
        <v>燕翼の旅人 親指姫</v>
      </c>
      <c r="H265" s="10" t="str">
        <f ca="1">VLOOKUP($F265,OFFSET([1]characters!$A$2,0,0,COUNTA([1]characters!$A:$A),MATCH(H$1,[1]characters!$2:$2,0)-MATCH($F$1,[1]characters!$2:$2,0)+1),MATCH(H$1,[1]characters!$2:$2,0)-MATCH($F$1,[1]characters!$2:$2,0)+1,FALSE)</f>
        <v>PremiumSS</v>
      </c>
      <c r="I265" s="10">
        <f ca="1">VLOOKUP($F265,OFFSET([1]characters!$A$2,0,0,COUNTA([1]characters!$A:$A),MATCH(I$1,[1]characters!$2:$2,0)-MATCH($F$1,[1]characters!$2:$2,0)+1),MATCH(I$1,[1]characters!$2:$2,0)-MATCH($F$1,[1]characters!$2:$2,0)+1,FALSE)</f>
        <v>5</v>
      </c>
      <c r="J265" s="10" t="str">
        <f ca="1">VLOOKUP($F265,OFFSET([1]characters!$A$2,0,0,COUNTA([1]characters!$A:$A),MATCH(J$1,[1]characters!$2:$2,0)-MATCH($F$1,[1]characters!$2:$2,0)+1),MATCH(J$1,[1]characters!$2:$2,0)-MATCH($F$1,[1]characters!$2:$2,0)+1,FALSE)</f>
        <v>red</v>
      </c>
      <c r="K265" s="10" t="str">
        <f ca="1">VLOOKUP($F265,OFFSET([1]characters!$A$2,0,0,COUNTA([1]characters!$A:$A),MATCH("タイプ",[1]characters!$1:$1,0)-MATCH($F$1,[1]characters!$2:$2,0)+2),MATCH("タイプ",[1]characters!$1:$1,0)-MATCH($F$1,[1]characters!$2:$2,0)+2,FALSE)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5" s="10" t="str">
        <f ca="1">VLOOKUP($F265,OFFSET([1]characters!$A$2,0,0,COUNTA([1]characters!$A:$A),MATCH($L$1,[1]characters!$1:$1,0)-MATCH($F$1,[1]characters!$2:$2,0)+2),MATCH($L$1,[1]characters!$1:$1,0)-MATCH($F$1,[1]characters!$2:$2,0)+2,FALSE)</f>
        <v>ヒューマン</v>
      </c>
      <c r="M265" s="6">
        <v>1</v>
      </c>
      <c r="N265" s="40">
        <f ca="1">VLOOKUP(D265,gacha_133_base!A:B,2,FALSE)</f>
        <v>193</v>
      </c>
      <c r="O265" s="28">
        <v>0</v>
      </c>
      <c r="P265" s="28">
        <v>0</v>
      </c>
      <c r="Q265" s="28">
        <v>0</v>
      </c>
      <c r="R265" s="28">
        <v>0</v>
      </c>
      <c r="S265" s="28">
        <v>1</v>
      </c>
    </row>
    <row r="266" spans="1:19" ht="21" customHeight="1">
      <c r="A266" s="30" t="str">
        <f t="shared" si="23"/>
        <v>03921</v>
      </c>
      <c r="B266" s="2">
        <f t="shared" si="21"/>
        <v>133</v>
      </c>
      <c r="C266" s="10" t="str">
        <f t="shared" ca="1" si="19"/>
        <v>0PremiumS3</v>
      </c>
      <c r="D266" s="10" t="str">
        <f t="shared" ca="1" si="24"/>
        <v>0PremiumS3pick</v>
      </c>
      <c r="E266" s="38">
        <v>0</v>
      </c>
      <c r="F266" s="33">
        <v>392</v>
      </c>
      <c r="G266" s="34" t="str">
        <f ca="1">VLOOKUP($F266,OFFSET([1]characters!$A$2,0,0,COUNTA([1]characters!$A:$A),MATCH(G$1,[1]characters!$2:$2,0)-MATCH($F$1,[1]characters!$2:$2,0)+1),MATCH(G$1,[1]characters!$2:$2,0)-MATCH($F$1,[1]characters!$2:$2,0)+1,FALSE)</f>
        <v>ピーターパン</v>
      </c>
      <c r="H266" s="34" t="str">
        <f ca="1">VLOOKUP($F266,OFFSET([1]characters!$A$2,0,0,COUNTA([1]characters!$A:$A),MATCH(H$1,[1]characters!$2:$2,0)-MATCH($F$1,[1]characters!$2:$2,0)+1),MATCH(H$1,[1]characters!$2:$2,0)-MATCH($F$1,[1]characters!$2:$2,0)+1,FALSE)</f>
        <v>PremiumS</v>
      </c>
      <c r="I266" s="34">
        <f ca="1">VLOOKUP($F266,OFFSET([1]characters!$A$2,0,0,COUNTA([1]characters!$A:$A),MATCH(I$1,[1]characters!$2:$2,0)-MATCH($F$1,[1]characters!$2:$2,0)+1),MATCH(I$1,[1]characters!$2:$2,0)-MATCH($F$1,[1]characters!$2:$2,0)+1,FALSE)</f>
        <v>3</v>
      </c>
      <c r="J266" s="34" t="str">
        <f ca="1">VLOOKUP($F266,OFFSET([1]characters!$A$2,0,0,COUNTA([1]characters!$A:$A),MATCH(J$1,[1]characters!$2:$2,0)-MATCH($F$1,[1]characters!$2:$2,0)+1),MATCH(J$1,[1]characters!$2:$2,0)-MATCH($F$1,[1]characters!$2:$2,0)+1,FALSE)</f>
        <v>green</v>
      </c>
      <c r="K266" s="34" t="str">
        <f ca="1">VLOOKUP($F266,OFFSET([1]characters!$A$2,0,0,COUNTA([1]characters!$A:$A),MATCH("タイプ",[1]characters!$1:$1,0)-MATCH($F$1,[1]characters!$2:$2,0)+2),MATCH("タイプ",[1]characters!$1:$1,0)-MATCH($F$1,[1]characters!$2:$2,0)+2,FALSE)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6" s="34" t="str">
        <f ca="1">VLOOKUP($F266,OFFSET([1]characters!$A$2,0,0,COUNTA([1]characters!$A:$A),MATCH($L$1,[1]characters!$1:$1,0)-MATCH($F$1,[1]characters!$2:$2,0)+2),MATCH($L$1,[1]characters!$1:$1,0)-MATCH($F$1,[1]characters!$2:$2,0)+2,FALSE)</f>
        <v>ヒューマン</v>
      </c>
      <c r="M266" s="32">
        <v>1</v>
      </c>
      <c r="N266" s="40">
        <f ca="1">VLOOKUP(D266,gacha_133_base!A:B,2,FALSE)</f>
        <v>4374</v>
      </c>
      <c r="O266" s="35">
        <v>0</v>
      </c>
      <c r="P266" s="35">
        <v>0</v>
      </c>
      <c r="Q266" s="35">
        <v>0</v>
      </c>
      <c r="R266" s="35">
        <v>0</v>
      </c>
      <c r="S266" s="35">
        <v>1</v>
      </c>
    </row>
    <row r="267" spans="1:19" ht="21" customHeight="1" thickBot="1">
      <c r="A267" s="36" t="str">
        <f t="shared" si="23"/>
        <v>03931</v>
      </c>
      <c r="B267" s="2">
        <f t="shared" si="21"/>
        <v>133</v>
      </c>
      <c r="C267" s="10" t="str">
        <f t="shared" ref="C267:C273" ca="1" si="25">E267&amp;H267&amp;I267</f>
        <v>0PremiumS4</v>
      </c>
      <c r="D267" s="10" t="str">
        <f t="shared" ca="1" si="24"/>
        <v>0PremiumS4pick</v>
      </c>
      <c r="E267" s="38">
        <v>0</v>
      </c>
      <c r="F267" s="25">
        <v>393</v>
      </c>
      <c r="G267" s="23" t="str">
        <f ca="1">VLOOKUP($F267,OFFSET([1]characters!$A$2,0,0,COUNTA([1]characters!$A:$A),MATCH(G$1,[1]characters!$2:$2,0)-MATCH($F$1,[1]characters!$2:$2,0)+1),MATCH(G$1,[1]characters!$2:$2,0)-MATCH($F$1,[1]characters!$2:$2,0)+1,FALSE)</f>
        <v>影縫い ピーターパン</v>
      </c>
      <c r="H267" s="23" t="str">
        <f ca="1">VLOOKUP($F267,OFFSET([1]characters!$A$2,0,0,COUNTA([1]characters!$A:$A),MATCH(H$1,[1]characters!$2:$2,0)-MATCH($F$1,[1]characters!$2:$2,0)+1),MATCH(H$1,[1]characters!$2:$2,0)-MATCH($F$1,[1]characters!$2:$2,0)+1,FALSE)</f>
        <v>PremiumS</v>
      </c>
      <c r="I267" s="23">
        <f ca="1">VLOOKUP($F267,OFFSET([1]characters!$A$2,0,0,COUNTA([1]characters!$A:$A),MATCH(I$1,[1]characters!$2:$2,0)-MATCH($F$1,[1]characters!$2:$2,0)+1),MATCH(I$1,[1]characters!$2:$2,0)-MATCH($F$1,[1]characters!$2:$2,0)+1,FALSE)</f>
        <v>4</v>
      </c>
      <c r="J267" s="23" t="str">
        <f ca="1">VLOOKUP($F267,OFFSET([1]characters!$A$2,0,0,COUNTA([1]characters!$A:$A),MATCH(J$1,[1]characters!$2:$2,0)-MATCH($F$1,[1]characters!$2:$2,0)+1),MATCH(J$1,[1]characters!$2:$2,0)-MATCH($F$1,[1]characters!$2:$2,0)+1,FALSE)</f>
        <v>green</v>
      </c>
      <c r="K267" s="23" t="str">
        <f ca="1">VLOOKUP($F267,OFFSET([1]characters!$A$2,0,0,COUNTA([1]characters!$A:$A),MATCH("タイプ",[1]characters!$1:$1,0)-MATCH($F$1,[1]characters!$2:$2,0)+2),MATCH("タイプ",[1]characters!$1:$1,0)-MATCH($F$1,[1]characters!$2:$2,0)+2,FALSE)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7" s="23" t="str">
        <f ca="1">VLOOKUP($F267,OFFSET([1]characters!$A$2,0,0,COUNTA([1]characters!$A:$A),MATCH($L$1,[1]characters!$1:$1,0)-MATCH($F$1,[1]characters!$2:$2,0)+2),MATCH($L$1,[1]characters!$1:$1,0)-MATCH($F$1,[1]characters!$2:$2,0)+2,FALSE)</f>
        <v>ヒューマン</v>
      </c>
      <c r="M267" s="24">
        <v>1</v>
      </c>
      <c r="N267" s="40">
        <f ca="1">VLOOKUP(D267,gacha_133_base!A:B,2,FALSE)</f>
        <v>1540</v>
      </c>
      <c r="O267" s="29">
        <v>0</v>
      </c>
      <c r="P267" s="29">
        <v>0</v>
      </c>
      <c r="Q267" s="29">
        <v>0</v>
      </c>
      <c r="R267" s="29">
        <v>0</v>
      </c>
      <c r="S267" s="29">
        <v>1</v>
      </c>
    </row>
    <row r="268" spans="1:19" ht="21" customHeight="1" thickBot="1">
      <c r="A268" s="22" t="str">
        <f t="shared" si="23"/>
        <v>03941</v>
      </c>
      <c r="B268" s="2">
        <f t="shared" ref="B268:B273" si="26">$B$2</f>
        <v>133</v>
      </c>
      <c r="C268" s="10" t="str">
        <f t="shared" ca="1" si="25"/>
        <v>0PremiumS5</v>
      </c>
      <c r="D268" s="10" t="str">
        <f t="shared" ca="1" si="24"/>
        <v>0PremiumS5pick</v>
      </c>
      <c r="E268" s="38">
        <v>0</v>
      </c>
      <c r="F268" s="31">
        <v>394</v>
      </c>
      <c r="G268" s="34" t="str">
        <f ca="1">VLOOKUP($F268,OFFSET([1]characters!$A$2,0,0,COUNTA([1]characters!$A:$A),MATCH(G$1,[1]characters!$2:$2,0)-MATCH($F$1,[1]characters!$2:$2,0)+1),MATCH(G$1,[1]characters!$2:$2,0)-MATCH($F$1,[1]characters!$2:$2,0)+1,FALSE)</f>
        <v>影求の悪童 ピーターパン</v>
      </c>
      <c r="H268" s="34" t="str">
        <f ca="1">VLOOKUP($F268,OFFSET([1]characters!$A$2,0,0,COUNTA([1]characters!$A:$A),MATCH(H$1,[1]characters!$2:$2,0)-MATCH($F$1,[1]characters!$2:$2,0)+1),MATCH(H$1,[1]characters!$2:$2,0)-MATCH($F$1,[1]characters!$2:$2,0)+1,FALSE)</f>
        <v>PremiumS</v>
      </c>
      <c r="I268" s="34">
        <f ca="1">VLOOKUP($F268,OFFSET([1]characters!$A$2,0,0,COUNTA([1]characters!$A:$A),MATCH(I$1,[1]characters!$2:$2,0)-MATCH($F$1,[1]characters!$2:$2,0)+1),MATCH(I$1,[1]characters!$2:$2,0)-MATCH($F$1,[1]characters!$2:$2,0)+1,FALSE)</f>
        <v>5</v>
      </c>
      <c r="J268" s="34" t="str">
        <f ca="1">VLOOKUP($F268,OFFSET([1]characters!$A$2,0,0,COUNTA([1]characters!$A:$A),MATCH(J$1,[1]characters!$2:$2,0)-MATCH($F$1,[1]characters!$2:$2,0)+1),MATCH(J$1,[1]characters!$2:$2,0)-MATCH($F$1,[1]characters!$2:$2,0)+1,FALSE)</f>
        <v>green</v>
      </c>
      <c r="K268" s="34" t="str">
        <f ca="1">VLOOKUP($F268,OFFSET([1]characters!$A$2,0,0,COUNTA([1]characters!$A:$A),MATCH("タイプ",[1]characters!$1:$1,0)-MATCH($F$1,[1]characters!$2:$2,0)+2),MATCH("タイプ",[1]characters!$1:$1,0)-MATCH($F$1,[1]characters!$2:$2,0)+2,FALSE)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8" s="34" t="str">
        <f ca="1">VLOOKUP($F268,OFFSET([1]characters!$A$2,0,0,COUNTA([1]characters!$A:$A),MATCH($L$1,[1]characters!$1:$1,0)-MATCH($F$1,[1]characters!$2:$2,0)+2),MATCH($L$1,[1]characters!$1:$1,0)-MATCH($F$1,[1]characters!$2:$2,0)+2,FALSE)</f>
        <v>ヒューマン</v>
      </c>
      <c r="M268" s="32">
        <v>1</v>
      </c>
      <c r="N268" s="40">
        <f ca="1">VLOOKUP(D268,gacha_133_base!A:B,2,FALSE)</f>
        <v>246</v>
      </c>
      <c r="O268" s="35">
        <v>0</v>
      </c>
      <c r="P268" s="35">
        <v>0</v>
      </c>
      <c r="Q268" s="35">
        <v>0</v>
      </c>
      <c r="R268" s="35">
        <v>0</v>
      </c>
      <c r="S268" s="35">
        <v>1</v>
      </c>
    </row>
    <row r="269" spans="1:19" ht="21" customHeight="1" thickBot="1">
      <c r="A269" s="22" t="str">
        <f t="shared" si="23"/>
        <v>03951</v>
      </c>
      <c r="B269" s="2">
        <f t="shared" si="26"/>
        <v>133</v>
      </c>
      <c r="C269" s="10" t="str">
        <f t="shared" ca="1" si="25"/>
        <v>0PremiumS3</v>
      </c>
      <c r="D269" s="10" t="str">
        <f t="shared" ca="1" si="24"/>
        <v>0PremiumS3pick</v>
      </c>
      <c r="E269" s="38">
        <v>0</v>
      </c>
      <c r="F269" s="7">
        <v>395</v>
      </c>
      <c r="G269" s="10" t="str">
        <f ca="1">VLOOKUP($F269,OFFSET([1]characters!$A$2,0,0,COUNTA([1]characters!$A:$A),MATCH(G$1,[1]characters!$2:$2,0)-MATCH($F$1,[1]characters!$2:$2,0)+1),MATCH(G$1,[1]characters!$2:$2,0)-MATCH($F$1,[1]characters!$2:$2,0)+1,FALSE)</f>
        <v>乙姫（亀）</v>
      </c>
      <c r="H269" s="10" t="str">
        <f ca="1">VLOOKUP($F269,OFFSET([1]characters!$A$2,0,0,COUNTA([1]characters!$A:$A),MATCH(H$1,[1]characters!$2:$2,0)-MATCH($F$1,[1]characters!$2:$2,0)+1),MATCH(H$1,[1]characters!$2:$2,0)-MATCH($F$1,[1]characters!$2:$2,0)+1,FALSE)</f>
        <v>PremiumS</v>
      </c>
      <c r="I269" s="10">
        <f ca="1">VLOOKUP($F269,OFFSET([1]characters!$A$2,0,0,COUNTA([1]characters!$A:$A),MATCH(I$1,[1]characters!$2:$2,0)-MATCH($F$1,[1]characters!$2:$2,0)+1),MATCH(I$1,[1]characters!$2:$2,0)-MATCH($F$1,[1]characters!$2:$2,0)+1,FALSE)</f>
        <v>3</v>
      </c>
      <c r="J269" s="10" t="str">
        <f ca="1">VLOOKUP($F269,OFFSET([1]characters!$A$2,0,0,COUNTA([1]characters!$A:$A),MATCH(J$1,[1]characters!$2:$2,0)-MATCH($F$1,[1]characters!$2:$2,0)+1),MATCH(J$1,[1]characters!$2:$2,0)-MATCH($F$1,[1]characters!$2:$2,0)+1,FALSE)</f>
        <v>blue</v>
      </c>
      <c r="K269" s="10" t="str">
        <f ca="1">VLOOKUP($F269,OFFSET([1]characters!$A$2,0,0,COUNTA([1]characters!$A:$A),MATCH("タイプ",[1]characters!$1:$1,0)-MATCH($F$1,[1]characters!$2:$2,0)+2),MATCH("タイプ",[1]characters!$1:$1,0)-MATCH($F$1,[1]characters!$2:$2,0)+2,FALSE)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69" s="10" t="str">
        <f ca="1">VLOOKUP($F269,OFFSET([1]characters!$A$2,0,0,COUNTA([1]characters!$A:$A),MATCH($L$1,[1]characters!$1:$1,0)-MATCH($F$1,[1]characters!$2:$2,0)+2),MATCH($L$1,[1]characters!$1:$1,0)-MATCH($F$1,[1]characters!$2:$2,0)+2,FALSE)</f>
        <v>ヒューマン</v>
      </c>
      <c r="M269" s="6">
        <v>1</v>
      </c>
      <c r="N269" s="40">
        <f ca="1">VLOOKUP(D269,gacha_133_base!A:B,2,FALSE)</f>
        <v>4374</v>
      </c>
      <c r="O269" s="28">
        <v>0</v>
      </c>
      <c r="P269" s="28">
        <v>0</v>
      </c>
      <c r="Q269" s="28">
        <v>0</v>
      </c>
      <c r="R269" s="28">
        <v>0</v>
      </c>
      <c r="S269" s="28">
        <v>1</v>
      </c>
    </row>
    <row r="270" spans="1:19" ht="21" customHeight="1">
      <c r="A270" s="30" t="str">
        <f t="shared" si="23"/>
        <v>03961</v>
      </c>
      <c r="B270" s="2">
        <f t="shared" si="26"/>
        <v>133</v>
      </c>
      <c r="C270" s="10" t="str">
        <f t="shared" ca="1" si="25"/>
        <v>0PremiumS4</v>
      </c>
      <c r="D270" s="10" t="str">
        <f t="shared" ca="1" si="24"/>
        <v>0PremiumS4pick</v>
      </c>
      <c r="E270" s="38">
        <v>0</v>
      </c>
      <c r="F270" s="33">
        <v>396</v>
      </c>
      <c r="G270" s="34" t="str">
        <f ca="1">VLOOKUP($F270,OFFSET([1]characters!$A$2,0,0,COUNTA([1]characters!$A:$A),MATCH(G$1,[1]characters!$2:$2,0)-MATCH($F$1,[1]characters!$2:$2,0)+1),MATCH(G$1,[1]characters!$2:$2,0)-MATCH($F$1,[1]characters!$2:$2,0)+1,FALSE)</f>
        <v>竜宮の水雷 乙姫</v>
      </c>
      <c r="H270" s="34" t="str">
        <f ca="1">VLOOKUP($F270,OFFSET([1]characters!$A$2,0,0,COUNTA([1]characters!$A:$A),MATCH(H$1,[1]characters!$2:$2,0)-MATCH($F$1,[1]characters!$2:$2,0)+1),MATCH(H$1,[1]characters!$2:$2,0)-MATCH($F$1,[1]characters!$2:$2,0)+1,FALSE)</f>
        <v>PremiumS</v>
      </c>
      <c r="I270" s="34">
        <f ca="1">VLOOKUP($F270,OFFSET([1]characters!$A$2,0,0,COUNTA([1]characters!$A:$A),MATCH(I$1,[1]characters!$2:$2,0)-MATCH($F$1,[1]characters!$2:$2,0)+1),MATCH(I$1,[1]characters!$2:$2,0)-MATCH($F$1,[1]characters!$2:$2,0)+1,FALSE)</f>
        <v>4</v>
      </c>
      <c r="J270" s="34" t="str">
        <f ca="1">VLOOKUP($F270,OFFSET([1]characters!$A$2,0,0,COUNTA([1]characters!$A:$A),MATCH(J$1,[1]characters!$2:$2,0)-MATCH($F$1,[1]characters!$2:$2,0)+1),MATCH(J$1,[1]characters!$2:$2,0)-MATCH($F$1,[1]characters!$2:$2,0)+1,FALSE)</f>
        <v>blue</v>
      </c>
      <c r="K270" s="34" t="str">
        <f ca="1">VLOOKUP($F270,OFFSET([1]characters!$A$2,0,0,COUNTA([1]characters!$A:$A),MATCH("タイプ",[1]characters!$1:$1,0)-MATCH($F$1,[1]characters!$2:$2,0)+2),MATCH("タイプ",[1]characters!$1:$1,0)-MATCH($F$1,[1]characters!$2:$2,0)+2,FALSE)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0" s="34" t="str">
        <f ca="1">VLOOKUP($F270,OFFSET([1]characters!$A$2,0,0,COUNTA([1]characters!$A:$A),MATCH($L$1,[1]characters!$1:$1,0)-MATCH($F$1,[1]characters!$2:$2,0)+2),MATCH($L$1,[1]characters!$1:$1,0)-MATCH($F$1,[1]characters!$2:$2,0)+2,FALSE)</f>
        <v>ヒューマン</v>
      </c>
      <c r="M270" s="32">
        <v>1</v>
      </c>
      <c r="N270" s="40">
        <f ca="1">VLOOKUP(D270,gacha_133_base!A:B,2,FALSE)</f>
        <v>1540</v>
      </c>
      <c r="O270" s="35">
        <v>0</v>
      </c>
      <c r="P270" s="35">
        <v>0</v>
      </c>
      <c r="Q270" s="35">
        <v>0</v>
      </c>
      <c r="R270" s="35">
        <v>0</v>
      </c>
      <c r="S270" s="35">
        <v>1</v>
      </c>
    </row>
    <row r="271" spans="1:19" ht="21" customHeight="1" thickBot="1">
      <c r="A271" s="36" t="str">
        <f t="shared" si="23"/>
        <v>03971</v>
      </c>
      <c r="B271" s="2">
        <f t="shared" si="26"/>
        <v>133</v>
      </c>
      <c r="C271" s="10" t="str">
        <f t="shared" ca="1" si="25"/>
        <v>0PremiumS5</v>
      </c>
      <c r="D271" s="10" t="str">
        <f t="shared" ca="1" si="24"/>
        <v>0PremiumS5pick</v>
      </c>
      <c r="E271" s="38">
        <v>0</v>
      </c>
      <c r="F271" s="25">
        <v>397</v>
      </c>
      <c r="G271" s="23" t="str">
        <f ca="1">VLOOKUP($F271,OFFSET([1]characters!$A$2,0,0,COUNTA([1]characters!$A:$A),MATCH(G$1,[1]characters!$2:$2,0)-MATCH($F$1,[1]characters!$2:$2,0)+1),MATCH(G$1,[1]characters!$2:$2,0)-MATCH($F$1,[1]characters!$2:$2,0)+1,FALSE)</f>
        <v>禁断の追箱 乙姫</v>
      </c>
      <c r="H271" s="23" t="str">
        <f ca="1">VLOOKUP($F271,OFFSET([1]characters!$A$2,0,0,COUNTA([1]characters!$A:$A),MATCH(H$1,[1]characters!$2:$2,0)-MATCH($F$1,[1]characters!$2:$2,0)+1),MATCH(H$1,[1]characters!$2:$2,0)-MATCH($F$1,[1]characters!$2:$2,0)+1,FALSE)</f>
        <v>PremiumS</v>
      </c>
      <c r="I271" s="23">
        <f ca="1">VLOOKUP($F271,OFFSET([1]characters!$A$2,0,0,COUNTA([1]characters!$A:$A),MATCH(I$1,[1]characters!$2:$2,0)-MATCH($F$1,[1]characters!$2:$2,0)+1),MATCH(I$1,[1]characters!$2:$2,0)-MATCH($F$1,[1]characters!$2:$2,0)+1,FALSE)</f>
        <v>5</v>
      </c>
      <c r="J271" s="23" t="str">
        <f ca="1">VLOOKUP($F271,OFFSET([1]characters!$A$2,0,0,COUNTA([1]characters!$A:$A),MATCH(J$1,[1]characters!$2:$2,0)-MATCH($F$1,[1]characters!$2:$2,0)+1),MATCH(J$1,[1]characters!$2:$2,0)-MATCH($F$1,[1]characters!$2:$2,0)+1,FALSE)</f>
        <v>blue</v>
      </c>
      <c r="K271" s="23" t="str">
        <f ca="1">VLOOKUP($F271,OFFSET([1]characters!$A$2,0,0,COUNTA([1]characters!$A:$A),MATCH("タイプ",[1]characters!$1:$1,0)-MATCH($F$1,[1]characters!$2:$2,0)+2),MATCH("タイプ",[1]characters!$1:$1,0)-MATCH($F$1,[1]characters!$2:$2,0)+2,FALSE)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1" s="23" t="str">
        <f ca="1">VLOOKUP($F271,OFFSET([1]characters!$A$2,0,0,COUNTA([1]characters!$A:$A),MATCH($L$1,[1]characters!$1:$1,0)-MATCH($F$1,[1]characters!$2:$2,0)+2),MATCH($L$1,[1]characters!$1:$1,0)-MATCH($F$1,[1]characters!$2:$2,0)+2,FALSE)</f>
        <v>ヒューマン</v>
      </c>
      <c r="M271" s="24">
        <v>1</v>
      </c>
      <c r="N271" s="40">
        <f ca="1">VLOOKUP(D271,gacha_133_base!A:B,2,FALSE)</f>
        <v>246</v>
      </c>
      <c r="O271" s="29">
        <v>0</v>
      </c>
      <c r="P271" s="29">
        <v>0</v>
      </c>
      <c r="Q271" s="29">
        <v>0</v>
      </c>
      <c r="R271" s="29">
        <v>0</v>
      </c>
      <c r="S271" s="29">
        <v>1</v>
      </c>
    </row>
    <row r="272" spans="1:19" ht="21" customHeight="1" thickBot="1">
      <c r="A272" s="22" t="str">
        <f t="shared" si="23"/>
        <v>03981</v>
      </c>
      <c r="B272" s="2">
        <f t="shared" si="26"/>
        <v>133</v>
      </c>
      <c r="C272" s="10" t="str">
        <f t="shared" ca="1" si="25"/>
        <v>0PremiumSS4</v>
      </c>
      <c r="D272" s="10" t="str">
        <f t="shared" ca="1" si="24"/>
        <v>0PremiumSS4pick</v>
      </c>
      <c r="E272" s="38">
        <v>0</v>
      </c>
      <c r="F272" s="31">
        <v>398</v>
      </c>
      <c r="G272" s="34" t="str">
        <f ca="1">VLOOKUP($F272,OFFSET([1]characters!$A$2,0,0,COUNTA([1]characters!$A:$A),MATCH(G$1,[1]characters!$2:$2,0)-MATCH($F$1,[1]characters!$2:$2,0)+1),MATCH(G$1,[1]characters!$2:$2,0)-MATCH($F$1,[1]characters!$2:$2,0)+1,FALSE)</f>
        <v>ヘンゼル＆グレーテル</v>
      </c>
      <c r="H272" s="34" t="str">
        <f ca="1">VLOOKUP($F272,OFFSET([1]characters!$A$2,0,0,COUNTA([1]characters!$A:$A),MATCH(H$1,[1]characters!$2:$2,0)-MATCH($F$1,[1]characters!$2:$2,0)+1),MATCH(H$1,[1]characters!$2:$2,0)-MATCH($F$1,[1]characters!$2:$2,0)+1,FALSE)</f>
        <v>PremiumSS</v>
      </c>
      <c r="I272" s="34">
        <f ca="1">VLOOKUP($F272,OFFSET([1]characters!$A$2,0,0,COUNTA([1]characters!$A:$A),MATCH(I$1,[1]characters!$2:$2,0)-MATCH($F$1,[1]characters!$2:$2,0)+1),MATCH(I$1,[1]characters!$2:$2,0)-MATCH($F$1,[1]characters!$2:$2,0)+1,FALSE)</f>
        <v>4</v>
      </c>
      <c r="J272" s="34" t="str">
        <f ca="1">VLOOKUP($F272,OFFSET([1]characters!$A$2,0,0,COUNTA([1]characters!$A:$A),MATCH(J$1,[1]characters!$2:$2,0)-MATCH($F$1,[1]characters!$2:$2,0)+1),MATCH(J$1,[1]characters!$2:$2,0)-MATCH($F$1,[1]characters!$2:$2,0)+1,FALSE)</f>
        <v>yellow</v>
      </c>
      <c r="K272" s="34" t="str">
        <f ca="1">VLOOKUP($F272,OFFSET([1]characters!$A$2,0,0,COUNTA([1]characters!$A:$A),MATCH("タイプ",[1]characters!$1:$1,0)-MATCH($F$1,[1]characters!$2:$2,0)+2),MATCH("タイプ",[1]characters!$1:$1,0)-MATCH($F$1,[1]characters!$2:$2,0)+2,FALSE)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72" s="34" t="str">
        <f ca="1">VLOOKUP($F272,OFFSET([1]characters!$A$2,0,0,COUNTA([1]characters!$A:$A),MATCH($L$1,[1]characters!$1:$1,0)-MATCH($F$1,[1]characters!$2:$2,0)+2),MATCH($L$1,[1]characters!$1:$1,0)-MATCH($F$1,[1]characters!$2:$2,0)+2,FALSE)</f>
        <v>ヒューマン</v>
      </c>
      <c r="M272" s="32">
        <v>1</v>
      </c>
      <c r="N272" s="40">
        <f ca="1">VLOOKUP(D272,gacha_133_base!A:B,2,FALSE)</f>
        <v>1348</v>
      </c>
      <c r="O272" s="35">
        <v>0</v>
      </c>
      <c r="P272" s="35">
        <v>0</v>
      </c>
      <c r="Q272" s="35">
        <v>0</v>
      </c>
      <c r="R272" s="35">
        <v>0</v>
      </c>
      <c r="S272" s="35">
        <v>1</v>
      </c>
    </row>
    <row r="273" spans="1:19" ht="21" customHeight="1" thickBot="1">
      <c r="A273" s="22" t="str">
        <f t="shared" ref="A273" si="27">E273&amp;F273&amp;M273</f>
        <v>03991</v>
      </c>
      <c r="B273" s="2">
        <f t="shared" si="26"/>
        <v>133</v>
      </c>
      <c r="C273" s="10" t="str">
        <f t="shared" ca="1" si="25"/>
        <v>0PremiumSS5</v>
      </c>
      <c r="D273" s="10" t="str">
        <f t="shared" ca="1" si="24"/>
        <v>0PremiumSS5pick</v>
      </c>
      <c r="E273" s="38">
        <v>0</v>
      </c>
      <c r="F273" s="25">
        <v>399</v>
      </c>
      <c r="G273" s="23" t="str">
        <f ca="1">VLOOKUP($F273,OFFSET([1]characters!$A$2,0,0,COUNTA([1]characters!$A:$A),MATCH(G$1,[1]characters!$2:$2,0)-MATCH($F$1,[1]characters!$2:$2,0)+1),MATCH(G$1,[1]characters!$2:$2,0)-MATCH($F$1,[1]characters!$2:$2,0)+1,FALSE)</f>
        <v>信愛の兄妹 ヘンゼル＆グレーテル</v>
      </c>
      <c r="H273" s="23" t="str">
        <f ca="1">VLOOKUP($F273,OFFSET([1]characters!$A$2,0,0,COUNTA([1]characters!$A:$A),MATCH(H$1,[1]characters!$2:$2,0)-MATCH($F$1,[1]characters!$2:$2,0)+1),MATCH(H$1,[1]characters!$2:$2,0)-MATCH($F$1,[1]characters!$2:$2,0)+1,FALSE)</f>
        <v>PremiumSS</v>
      </c>
      <c r="I273" s="23">
        <f ca="1">VLOOKUP($F273,OFFSET([1]characters!$A$2,0,0,COUNTA([1]characters!$A:$A),MATCH(I$1,[1]characters!$2:$2,0)-MATCH($F$1,[1]characters!$2:$2,0)+1),MATCH(I$1,[1]characters!$2:$2,0)-MATCH($F$1,[1]characters!$2:$2,0)+1,FALSE)</f>
        <v>5</v>
      </c>
      <c r="J273" s="23" t="str">
        <f ca="1">VLOOKUP($F273,OFFSET([1]characters!$A$2,0,0,COUNTA([1]characters!$A:$A),MATCH(J$1,[1]characters!$2:$2,0)-MATCH($F$1,[1]characters!$2:$2,0)+1),MATCH(J$1,[1]characters!$2:$2,0)-MATCH($F$1,[1]characters!$2:$2,0)+1,FALSE)</f>
        <v>yellow</v>
      </c>
      <c r="K273" s="23" t="str">
        <f ca="1">VLOOKUP($F273,OFFSET([1]characters!$A$2,0,0,COUNTA([1]characters!$A:$A),MATCH("タイプ",[1]characters!$1:$1,0)-MATCH($F$1,[1]characters!$2:$2,0)+2),MATCH("タイプ",[1]characters!$1:$1,0)-MATCH($F$1,[1]characters!$2:$2,0)+2,FALSE)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73" s="23" t="str">
        <f ca="1">VLOOKUP($F273,OFFSET([1]characters!$A$2,0,0,COUNTA([1]characters!$A:$A),MATCH($L$1,[1]characters!$1:$1,0)-MATCH($F$1,[1]characters!$2:$2,0)+2),MATCH($L$1,[1]characters!$1:$1,0)-MATCH($F$1,[1]characters!$2:$2,0)+2,FALSE)</f>
        <v>ヒューマン</v>
      </c>
      <c r="M273" s="24">
        <v>1</v>
      </c>
      <c r="N273" s="40">
        <f ca="1">VLOOKUP(D273,gacha_133_base!A:B,2,FALSE)</f>
        <v>193</v>
      </c>
      <c r="O273" s="29">
        <v>0</v>
      </c>
      <c r="P273" s="29">
        <v>0</v>
      </c>
      <c r="Q273" s="29">
        <v>0</v>
      </c>
      <c r="R273" s="29">
        <v>0</v>
      </c>
      <c r="S273" s="29">
        <v>1</v>
      </c>
    </row>
  </sheetData>
  <autoFilter ref="B1:N263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73"/>
  <sheetViews>
    <sheetView showGridLines="0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5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8" t="s">
        <v>15</v>
      </c>
      <c r="B1" s="4" t="s">
        <v>2</v>
      </c>
      <c r="C1" s="3" t="s">
        <v>1</v>
      </c>
      <c r="D1" s="3" t="s">
        <v>40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7" t="s">
        <v>19</v>
      </c>
      <c r="P1" s="17" t="s">
        <v>20</v>
      </c>
      <c r="Q1" s="17" t="s">
        <v>21</v>
      </c>
      <c r="R1" s="17" t="s">
        <v>22</v>
      </c>
      <c r="S1" s="17" t="s">
        <v>23</v>
      </c>
    </row>
    <row r="2" spans="1:19" ht="21" customHeight="1">
      <c r="A2" s="8" t="str">
        <f t="shared" ref="A2:A65" si="0">E2&amp;F2&amp;M2</f>
        <v>11271</v>
      </c>
      <c r="B2" s="2">
        <v>134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VLOOKUP($F2,OFFSET([1]characters!$A$2,0,0,COUNTA([1]characters!$A:$A),MATCH(G$1,[1]characters!$2:$2,0)-MATCH($F$1,[1]characters!$2:$2,0)+1),MATCH(G$1,[1]characters!$2:$2,0)-MATCH($F$1,[1]characters!$2:$2,0)+1,FALSE)</f>
        <v>狂喜の賢者 ユノ</v>
      </c>
      <c r="H2" s="10" t="str">
        <f ca="1">VLOOKUP($F2,OFFSET([1]characters!$A$2,0,0,COUNTA([1]characters!$A:$A),MATCH(H$1,[1]characters!$2:$2,0)-MATCH($F$1,[1]characters!$2:$2,0)+1),MATCH(H$1,[1]characters!$2:$2,0)-MATCH($F$1,[1]characters!$2:$2,0)+1,FALSE)</f>
        <v>PremiumW</v>
      </c>
      <c r="I2" s="10">
        <f ca="1">VLOOKUP($F2,OFFSET([1]characters!$A$2,0,0,COUNTA([1]characters!$A:$A),MATCH(I$1,[1]characters!$2:$2,0)-MATCH($F$1,[1]characters!$2:$2,0)+1),MATCH(I$1,[1]characters!$2:$2,0)-MATCH($F$1,[1]characters!$2:$2,0)+1,FALSE)</f>
        <v>4</v>
      </c>
      <c r="J2" s="10" t="str">
        <f ca="1">VLOOKUP($F2,OFFSET([1]characters!$A$2,0,0,COUNTA([1]characters!$A:$A),MATCH(J$1,[1]characters!$2:$2,0)-MATCH($F$1,[1]characters!$2:$2,0)+1),MATCH(J$1,[1]characters!$2:$2,0)-MATCH($F$1,[1]characters!$2:$2,0)+1,FALSE)</f>
        <v>red</v>
      </c>
      <c r="K2" s="10" t="str">
        <f ca="1">VLOOKUP($F2,OFFSET([1]characters!$A$2,0,0,COUNTA([1]characters!$A:$A),MATCH("タイプ",[1]characters!$1:$1,0)-MATCH($F$1,[1]characters!$2:$2,0)+2),MATCH("タイプ",[1]characters!$1:$1,0)-MATCH($F$1,[1]characters!$2:$2,0)+2,FALSE)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" s="10" t="str">
        <f ca="1">VLOOKUP($F2,OFFSET([1]characters!$A$2,0,0,COUNTA([1]characters!$A:$A),MATCH($L$1,[1]characters!$1:$1,0)-MATCH($F$1,[1]characters!$2:$2,0)+2),MATCH($L$1,[1]characters!$1:$1,0)-MATCH($F$1,[1]characters!$2:$2,0)+2,FALSE)</f>
        <v>ヒューマン</v>
      </c>
      <c r="M2" s="6">
        <v>1</v>
      </c>
      <c r="N2" s="40">
        <f ca="1">VLOOKUP(D2,gacha_133_base!A:B,2,FALSE)</f>
        <v>2100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134</v>
      </c>
      <c r="C3" s="10" t="str">
        <f t="shared" ref="C3:C65" ca="1" si="1">E3&amp;H3&amp;I3</f>
        <v>1PremiumW4</v>
      </c>
      <c r="D3" s="10" t="str">
        <f t="shared" ref="D3:D66" ca="1" si="2">E3&amp;H3&amp;I3</f>
        <v>1PremiumW4</v>
      </c>
      <c r="E3" s="6">
        <v>1</v>
      </c>
      <c r="F3" s="7">
        <v>129</v>
      </c>
      <c r="G3" s="10" t="str">
        <f ca="1">VLOOKUP($F3,OFFSET([1]characters!$A$2,0,0,COUNTA([1]characters!$A:$A),MATCH(G$1,[1]characters!$2:$2,0)-MATCH($F$1,[1]characters!$2:$2,0)+1),MATCH(G$1,[1]characters!$2:$2,0)-MATCH($F$1,[1]characters!$2:$2,0)+1,FALSE)</f>
        <v>孤高の狼憑き アマラ</v>
      </c>
      <c r="H3" s="10" t="str">
        <f ca="1">VLOOKUP($F3,OFFSET([1]characters!$A$2,0,0,COUNTA([1]characters!$A:$A),MATCH(H$1,[1]characters!$2:$2,0)-MATCH($F$1,[1]characters!$2:$2,0)+1),MATCH(H$1,[1]characters!$2:$2,0)-MATCH($F$1,[1]characters!$2:$2,0)+1,FALSE)</f>
        <v>PremiumW</v>
      </c>
      <c r="I3" s="10">
        <f ca="1">VLOOKUP($F3,OFFSET([1]characters!$A$2,0,0,COUNTA([1]characters!$A:$A),MATCH(I$1,[1]characters!$2:$2,0)-MATCH($F$1,[1]characters!$2:$2,0)+1),MATCH(I$1,[1]characters!$2:$2,0)-MATCH($F$1,[1]characters!$2:$2,0)+1,FALSE)</f>
        <v>4</v>
      </c>
      <c r="J3" s="10" t="str">
        <f ca="1">VLOOKUP($F3,OFFSET([1]characters!$A$2,0,0,COUNTA([1]characters!$A:$A),MATCH(J$1,[1]characters!$2:$2,0)-MATCH($F$1,[1]characters!$2:$2,0)+1),MATCH(J$1,[1]characters!$2:$2,0)-MATCH($F$1,[1]characters!$2:$2,0)+1,FALSE)</f>
        <v>green</v>
      </c>
      <c r="K3" s="10" t="str">
        <f ca="1">VLOOKUP($F3,OFFSET([1]characters!$A$2,0,0,COUNTA([1]characters!$A:$A),MATCH("タイプ",[1]characters!$1:$1,0)-MATCH($F$1,[1]characters!$2:$2,0)+2),MATCH("タイプ",[1]characters!$1:$1,0)-MATCH($F$1,[1]characters!$2:$2,0)+2,FALSE)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3" s="10" t="str">
        <f ca="1">VLOOKUP($F3,OFFSET([1]characters!$A$2,0,0,COUNTA([1]characters!$A:$A),MATCH($L$1,[1]characters!$1:$1,0)-MATCH($F$1,[1]characters!$2:$2,0)+2),MATCH($L$1,[1]characters!$1:$1,0)-MATCH($F$1,[1]characters!$2:$2,0)+2,FALSE)</f>
        <v>ヒューマン</v>
      </c>
      <c r="M3" s="6">
        <v>1</v>
      </c>
      <c r="N3" s="40">
        <f ca="1">VLOOKUP(D3,gacha_133_base!A:B,2,FALSE)</f>
        <v>2100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67" si="3">$B$2</f>
        <v>134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4" s="10" t="str">
        <f ca="1">VLOOKUP($F4,OFFSET([1]characters!$A$2,0,0,COUNTA([1]characters!$A:$A),MATCH(H$1,[1]characters!$2:$2,0)-MATCH($F$1,[1]characters!$2:$2,0)+1),MATCH(H$1,[1]characters!$2:$2,0)-MATCH($F$1,[1]characters!$2:$2,0)+1,FALSE)</f>
        <v>PremiumW</v>
      </c>
      <c r="I4" s="10">
        <f ca="1">VLOOKUP($F4,OFFSET([1]characters!$A$2,0,0,COUNTA([1]characters!$A:$A),MATCH(I$1,[1]characters!$2:$2,0)-MATCH($F$1,[1]characters!$2:$2,0)+1),MATCH(I$1,[1]characters!$2:$2,0)-MATCH($F$1,[1]characters!$2:$2,0)+1,FALSE)</f>
        <v>4</v>
      </c>
      <c r="J4" s="10" t="str">
        <f ca="1">VLOOKUP($F4,OFFSET([1]characters!$A$2,0,0,COUNTA([1]characters!$A:$A),MATCH(J$1,[1]characters!$2:$2,0)-MATCH($F$1,[1]characters!$2:$2,0)+1),MATCH(J$1,[1]characters!$2:$2,0)-MATCH($F$1,[1]characters!$2:$2,0)+1,FALSE)</f>
        <v>blue</v>
      </c>
      <c r="K4" s="10" t="str">
        <f ca="1">VLOOKUP($F4,OFFSET([1]characters!$A$2,0,0,COUNTA([1]characters!$A:$A),MATCH("タイプ",[1]characters!$1:$1,0)-MATCH($F$1,[1]characters!$2:$2,0)+2),MATCH("タイプ",[1]characters!$1:$1,0)-MATCH($F$1,[1]characters!$2:$2,0)+2,FALSE)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" s="10" t="str">
        <f ca="1">VLOOKUP($F4,OFFSET([1]characters!$A$2,0,0,COUNTA([1]characters!$A:$A),MATCH($L$1,[1]characters!$1:$1,0)-MATCH($F$1,[1]characters!$2:$2,0)+2),MATCH($L$1,[1]characters!$1:$1,0)-MATCH($F$1,[1]characters!$2:$2,0)+2,FALSE)</f>
        <v>アニマル</v>
      </c>
      <c r="M4" s="6">
        <v>1</v>
      </c>
      <c r="N4" s="40">
        <f ca="1">VLOOKUP(D4,gacha_133_base!A:B,2,FALSE)</f>
        <v>2100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134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VLOOKUP($F5,OFFSET([1]characters!$A$2,0,0,COUNTA([1]characters!$A:$A),MATCH(G$1,[1]characters!$2:$2,0)-MATCH($F$1,[1]characters!$2:$2,0)+1),MATCH(G$1,[1]characters!$2:$2,0)-MATCH($F$1,[1]characters!$2:$2,0)+1,FALSE)</f>
        <v>迅雷の刀剣 ハヤト</v>
      </c>
      <c r="H5" s="10" t="str">
        <f ca="1">VLOOKUP($F5,OFFSET([1]characters!$A$2,0,0,COUNTA([1]characters!$A:$A),MATCH(H$1,[1]characters!$2:$2,0)-MATCH($F$1,[1]characters!$2:$2,0)+1),MATCH(H$1,[1]characters!$2:$2,0)-MATCH($F$1,[1]characters!$2:$2,0)+1,FALSE)</f>
        <v>PremiumW</v>
      </c>
      <c r="I5" s="10">
        <f ca="1">VLOOKUP($F5,OFFSET([1]characters!$A$2,0,0,COUNTA([1]characters!$A:$A),MATCH(I$1,[1]characters!$2:$2,0)-MATCH($F$1,[1]characters!$2:$2,0)+1),MATCH(I$1,[1]characters!$2:$2,0)-MATCH($F$1,[1]characters!$2:$2,0)+1,FALSE)</f>
        <v>4</v>
      </c>
      <c r="J5" s="10" t="str">
        <f ca="1">VLOOKUP($F5,OFFSET([1]characters!$A$2,0,0,COUNTA([1]characters!$A:$A),MATCH(J$1,[1]characters!$2:$2,0)-MATCH($F$1,[1]characters!$2:$2,0)+1),MATCH(J$1,[1]characters!$2:$2,0)-MATCH($F$1,[1]characters!$2:$2,0)+1,FALSE)</f>
        <v>yellow</v>
      </c>
      <c r="K5" s="10" t="str">
        <f ca="1">VLOOKUP($F5,OFFSET([1]characters!$A$2,0,0,COUNTA([1]characters!$A:$A),MATCH("タイプ",[1]characters!$1:$1,0)-MATCH($F$1,[1]characters!$2:$2,0)+2),MATCH("タイプ",[1]characters!$1:$1,0)-MATCH($F$1,[1]characters!$2:$2,0)+2,FALSE)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" s="10" t="str">
        <f ca="1">VLOOKUP($F5,OFFSET([1]characters!$A$2,0,0,COUNTA([1]characters!$A:$A),MATCH($L$1,[1]characters!$1:$1,0)-MATCH($F$1,[1]characters!$2:$2,0)+2),MATCH($L$1,[1]characters!$1:$1,0)-MATCH($F$1,[1]characters!$2:$2,0)+2,FALSE)</f>
        <v>ヒューマン</v>
      </c>
      <c r="M5" s="6">
        <v>1</v>
      </c>
      <c r="N5" s="40">
        <f ca="1">VLOOKUP(D5,gacha_133_base!A:B,2,FALSE)</f>
        <v>2100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134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VLOOKUP($F6,OFFSET([1]characters!$A$2,0,0,COUNTA([1]characters!$A:$A),MATCH(G$1,[1]characters!$2:$2,0)-MATCH($F$1,[1]characters!$2:$2,0)+1),MATCH(G$1,[1]characters!$2:$2,0)-MATCH($F$1,[1]characters!$2:$2,0)+1,FALSE)</f>
        <v>京の炎華夕霧</v>
      </c>
      <c r="H6" s="10" t="str">
        <f ca="1">VLOOKUP($F6,OFFSET([1]characters!$A$2,0,0,COUNTA([1]characters!$A:$A),MATCH(H$1,[1]characters!$2:$2,0)-MATCH($F$1,[1]characters!$2:$2,0)+1),MATCH(H$1,[1]characters!$2:$2,0)-MATCH($F$1,[1]characters!$2:$2,0)+1,FALSE)</f>
        <v>PremiumW</v>
      </c>
      <c r="I6" s="10">
        <f ca="1">VLOOKUP($F6,OFFSET([1]characters!$A$2,0,0,COUNTA([1]characters!$A:$A),MATCH(I$1,[1]characters!$2:$2,0)-MATCH($F$1,[1]characters!$2:$2,0)+1),MATCH(I$1,[1]characters!$2:$2,0)-MATCH($F$1,[1]characters!$2:$2,0)+1,FALSE)</f>
        <v>4</v>
      </c>
      <c r="J6" s="10" t="str">
        <f ca="1">VLOOKUP($F6,OFFSET([1]characters!$A$2,0,0,COUNTA([1]characters!$A:$A),MATCH(J$1,[1]characters!$2:$2,0)-MATCH($F$1,[1]characters!$2:$2,0)+1),MATCH(J$1,[1]characters!$2:$2,0)-MATCH($F$1,[1]characters!$2:$2,0)+1,FALSE)</f>
        <v>red</v>
      </c>
      <c r="K6" s="10" t="str">
        <f ca="1">VLOOKUP($F6,OFFSET([1]characters!$A$2,0,0,COUNTA([1]characters!$A:$A),MATCH("タイプ",[1]characters!$1:$1,0)-MATCH($F$1,[1]characters!$2:$2,0)+2),MATCH("タイプ",[1]characters!$1:$1,0)-MATCH($F$1,[1]characters!$2:$2,0)+2,FALSE)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" s="10" t="str">
        <f ca="1">VLOOKUP($F6,OFFSET([1]characters!$A$2,0,0,COUNTA([1]characters!$A:$A),MATCH($L$1,[1]characters!$1:$1,0)-MATCH($F$1,[1]characters!$2:$2,0)+2),MATCH($L$1,[1]characters!$1:$1,0)-MATCH($F$1,[1]characters!$2:$2,0)+2,FALSE)</f>
        <v>ヒューマン</v>
      </c>
      <c r="M6" s="6">
        <v>1</v>
      </c>
      <c r="N6" s="40">
        <f ca="1">VLOOKUP(D6,gacha_133_base!A:B,2,FALSE)</f>
        <v>2100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134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VLOOKUP($F7,OFFSET([1]characters!$A$2,0,0,COUNTA([1]characters!$A:$A),MATCH(G$1,[1]characters!$2:$2,0)-MATCH($F$1,[1]characters!$2:$2,0)+1),MATCH(G$1,[1]characters!$2:$2,0)-MATCH($F$1,[1]characters!$2:$2,0)+1,FALSE)</f>
        <v>清福の仕立屋 チハヤ</v>
      </c>
      <c r="H7" s="10" t="str">
        <f ca="1">VLOOKUP($F7,OFFSET([1]characters!$A$2,0,0,COUNTA([1]characters!$A:$A),MATCH(H$1,[1]characters!$2:$2,0)-MATCH($F$1,[1]characters!$2:$2,0)+1),MATCH(H$1,[1]characters!$2:$2,0)-MATCH($F$1,[1]characters!$2:$2,0)+1,FALSE)</f>
        <v>PremiumW</v>
      </c>
      <c r="I7" s="10">
        <f ca="1">VLOOKUP($F7,OFFSET([1]characters!$A$2,0,0,COUNTA([1]characters!$A:$A),MATCH(I$1,[1]characters!$2:$2,0)-MATCH($F$1,[1]characters!$2:$2,0)+1),MATCH(I$1,[1]characters!$2:$2,0)-MATCH($F$1,[1]characters!$2:$2,0)+1,FALSE)</f>
        <v>4</v>
      </c>
      <c r="J7" s="10" t="str">
        <f ca="1">VLOOKUP($F7,OFFSET([1]characters!$A$2,0,0,COUNTA([1]characters!$A:$A),MATCH(J$1,[1]characters!$2:$2,0)-MATCH($F$1,[1]characters!$2:$2,0)+1),MATCH(J$1,[1]characters!$2:$2,0)-MATCH($F$1,[1]characters!$2:$2,0)+1,FALSE)</f>
        <v>green</v>
      </c>
      <c r="K7" s="10" t="str">
        <f ca="1">VLOOKUP($F7,OFFSET([1]characters!$A$2,0,0,COUNTA([1]characters!$A:$A),MATCH("タイプ",[1]characters!$1:$1,0)-MATCH($F$1,[1]characters!$2:$2,0)+2),MATCH("タイプ",[1]characters!$1:$1,0)-MATCH($F$1,[1]characters!$2:$2,0)+2,FALSE)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" s="10" t="str">
        <f ca="1">VLOOKUP($F7,OFFSET([1]characters!$A$2,0,0,COUNTA([1]characters!$A:$A),MATCH($L$1,[1]characters!$1:$1,0)-MATCH($F$1,[1]characters!$2:$2,0)+2),MATCH($L$1,[1]characters!$1:$1,0)-MATCH($F$1,[1]characters!$2:$2,0)+2,FALSE)</f>
        <v>ヒューマン</v>
      </c>
      <c r="M7" s="6">
        <v>1</v>
      </c>
      <c r="N7" s="40">
        <f ca="1">VLOOKUP(D7,gacha_133_base!A:B,2,FALSE)</f>
        <v>2100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134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VLOOKUP($F8,OFFSET([1]characters!$A$2,0,0,COUNTA([1]characters!$A:$A),MATCH(G$1,[1]characters!$2:$2,0)-MATCH($F$1,[1]characters!$2:$2,0)+1),MATCH(G$1,[1]characters!$2:$2,0)-MATCH($F$1,[1]characters!$2:$2,0)+1,FALSE)</f>
        <v>蒼昇刃姫 トモエ</v>
      </c>
      <c r="H8" s="10" t="str">
        <f ca="1">VLOOKUP($F8,OFFSET([1]characters!$A$2,0,0,COUNTA([1]characters!$A:$A),MATCH(H$1,[1]characters!$2:$2,0)-MATCH($F$1,[1]characters!$2:$2,0)+1),MATCH(H$1,[1]characters!$2:$2,0)-MATCH($F$1,[1]characters!$2:$2,0)+1,FALSE)</f>
        <v>PremiumW</v>
      </c>
      <c r="I8" s="10">
        <f ca="1">VLOOKUP($F8,OFFSET([1]characters!$A$2,0,0,COUNTA([1]characters!$A:$A),MATCH(I$1,[1]characters!$2:$2,0)-MATCH($F$1,[1]characters!$2:$2,0)+1),MATCH(I$1,[1]characters!$2:$2,0)-MATCH($F$1,[1]characters!$2:$2,0)+1,FALSE)</f>
        <v>4</v>
      </c>
      <c r="J8" s="10" t="str">
        <f ca="1">VLOOKUP($F8,OFFSET([1]characters!$A$2,0,0,COUNTA([1]characters!$A:$A),MATCH(J$1,[1]characters!$2:$2,0)-MATCH($F$1,[1]characters!$2:$2,0)+1),MATCH(J$1,[1]characters!$2:$2,0)-MATCH($F$1,[1]characters!$2:$2,0)+1,FALSE)</f>
        <v>blue</v>
      </c>
      <c r="K8" s="10" t="str">
        <f ca="1">VLOOKUP($F8,OFFSET([1]characters!$A$2,0,0,COUNTA([1]characters!$A:$A),MATCH("タイプ",[1]characters!$1:$1,0)-MATCH($F$1,[1]characters!$2:$2,0)+2),MATCH("タイプ",[1]characters!$1:$1,0)-MATCH($F$1,[1]characters!$2:$2,0)+2,FALSE)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" s="10" t="str">
        <f ca="1">VLOOKUP($F8,OFFSET([1]characters!$A$2,0,0,COUNTA([1]characters!$A:$A),MATCH($L$1,[1]characters!$1:$1,0)-MATCH($F$1,[1]characters!$2:$2,0)+2),MATCH($L$1,[1]characters!$1:$1,0)-MATCH($F$1,[1]characters!$2:$2,0)+2,FALSE)</f>
        <v>ヒューマン</v>
      </c>
      <c r="M8" s="6">
        <v>1</v>
      </c>
      <c r="N8" s="40">
        <f ca="1">VLOOKUP(D8,gacha_133_base!A:B,2,FALSE)</f>
        <v>2100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134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VLOOKUP($F9,OFFSET([1]characters!$A$2,0,0,COUNTA([1]characters!$A:$A),MATCH(G$1,[1]characters!$2:$2,0)-MATCH($F$1,[1]characters!$2:$2,0)+1),MATCH(G$1,[1]characters!$2:$2,0)-MATCH($F$1,[1]characters!$2:$2,0)+1,FALSE)</f>
        <v>妖狐演舞 タマモ</v>
      </c>
      <c r="H9" s="10" t="str">
        <f ca="1">VLOOKUP($F9,OFFSET([1]characters!$A$2,0,0,COUNTA([1]characters!$A:$A),MATCH(H$1,[1]characters!$2:$2,0)-MATCH($F$1,[1]characters!$2:$2,0)+1),MATCH(H$1,[1]characters!$2:$2,0)-MATCH($F$1,[1]characters!$2:$2,0)+1,FALSE)</f>
        <v>PremiumW</v>
      </c>
      <c r="I9" s="10">
        <f ca="1">VLOOKUP($F9,OFFSET([1]characters!$A$2,0,0,COUNTA([1]characters!$A:$A),MATCH(I$1,[1]characters!$2:$2,0)-MATCH($F$1,[1]characters!$2:$2,0)+1),MATCH(I$1,[1]characters!$2:$2,0)-MATCH($F$1,[1]characters!$2:$2,0)+1,FALSE)</f>
        <v>4</v>
      </c>
      <c r="J9" s="10" t="str">
        <f ca="1">VLOOKUP($F9,OFFSET([1]characters!$A$2,0,0,COUNTA([1]characters!$A:$A),MATCH(J$1,[1]characters!$2:$2,0)-MATCH($F$1,[1]characters!$2:$2,0)+1),MATCH(J$1,[1]characters!$2:$2,0)-MATCH($F$1,[1]characters!$2:$2,0)+1,FALSE)</f>
        <v>yellow</v>
      </c>
      <c r="K9" s="10" t="str">
        <f ca="1">VLOOKUP($F9,OFFSET([1]characters!$A$2,0,0,COUNTA([1]characters!$A:$A),MATCH("タイプ",[1]characters!$1:$1,0)-MATCH($F$1,[1]characters!$2:$2,0)+2),MATCH("タイプ",[1]characters!$1:$1,0)-MATCH($F$1,[1]characters!$2:$2,0)+2,FALSE)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" s="10" t="str">
        <f ca="1">VLOOKUP($F9,OFFSET([1]characters!$A$2,0,0,COUNTA([1]characters!$A:$A),MATCH($L$1,[1]characters!$1:$1,0)-MATCH($F$1,[1]characters!$2:$2,0)+2),MATCH($L$1,[1]characters!$1:$1,0)-MATCH($F$1,[1]characters!$2:$2,0)+2,FALSE)</f>
        <v>アニマル</v>
      </c>
      <c r="M9" s="6">
        <v>1</v>
      </c>
      <c r="N9" s="40">
        <f ca="1">VLOOKUP(D9,gacha_133_base!A:B,2,FALSE)</f>
        <v>2100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134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VLOOKUP($F10,OFFSET([1]characters!$A$2,0,0,COUNTA([1]characters!$A:$A),MATCH(G$1,[1]characters!$2:$2,0)-MATCH($F$1,[1]characters!$2:$2,0)+1),MATCH(G$1,[1]characters!$2:$2,0)-MATCH($F$1,[1]characters!$2:$2,0)+1,FALSE)</f>
        <v>深紅の死神 赤ずきん</v>
      </c>
      <c r="H10" s="10" t="str">
        <f ca="1">VLOOKUP($F10,OFFSET([1]characters!$A$2,0,0,COUNTA([1]characters!$A:$A),MATCH(H$1,[1]characters!$2:$2,0)-MATCH($F$1,[1]characters!$2:$2,0)+1),MATCH(H$1,[1]characters!$2:$2,0)-MATCH($F$1,[1]characters!$2:$2,0)+1,FALSE)</f>
        <v>PremiumW</v>
      </c>
      <c r="I10" s="10">
        <f ca="1">VLOOKUP($F10,OFFSET([1]characters!$A$2,0,0,COUNTA([1]characters!$A:$A),MATCH(I$1,[1]characters!$2:$2,0)-MATCH($F$1,[1]characters!$2:$2,0)+1),MATCH(I$1,[1]characters!$2:$2,0)-MATCH($F$1,[1]characters!$2:$2,0)+1,FALSE)</f>
        <v>4</v>
      </c>
      <c r="J10" s="10" t="str">
        <f ca="1">VLOOKUP($F10,OFFSET([1]characters!$A$2,0,0,COUNTA([1]characters!$A:$A),MATCH(J$1,[1]characters!$2:$2,0)-MATCH($F$1,[1]characters!$2:$2,0)+1),MATCH(J$1,[1]characters!$2:$2,0)-MATCH($F$1,[1]characters!$2:$2,0)+1,FALSE)</f>
        <v>red</v>
      </c>
      <c r="K10" s="10" t="str">
        <f ca="1">VLOOKUP($F10,OFFSET([1]characters!$A$2,0,0,COUNTA([1]characters!$A:$A),MATCH("タイプ",[1]characters!$1:$1,0)-MATCH($F$1,[1]characters!$2:$2,0)+2),MATCH("タイプ",[1]characters!$1:$1,0)-MATCH($F$1,[1]characters!$2:$2,0)+2,FALSE)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" s="10" t="str">
        <f ca="1">VLOOKUP($F10,OFFSET([1]characters!$A$2,0,0,COUNTA([1]characters!$A:$A),MATCH($L$1,[1]characters!$1:$1,0)-MATCH($F$1,[1]characters!$2:$2,0)+2),MATCH($L$1,[1]characters!$1:$1,0)-MATCH($F$1,[1]characters!$2:$2,0)+2,FALSE)</f>
        <v>ヒューマン</v>
      </c>
      <c r="M10" s="6">
        <v>1</v>
      </c>
      <c r="N10" s="40">
        <f ca="1">VLOOKUP(D10,gacha_133_base!A:B,2,FALSE)</f>
        <v>2100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134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VLOOKUP($F11,OFFSET([1]characters!$A$2,0,0,COUNTA([1]characters!$A:$A),MATCH(G$1,[1]characters!$2:$2,0)-MATCH($F$1,[1]characters!$2:$2,0)+1),MATCH(G$1,[1]characters!$2:$2,0)-MATCH($F$1,[1]characters!$2:$2,0)+1,FALSE)</f>
        <v>魔性妖艶 かぐや</v>
      </c>
      <c r="H11" s="10" t="str">
        <f ca="1">VLOOKUP($F11,OFFSET([1]characters!$A$2,0,0,COUNTA([1]characters!$A:$A),MATCH(H$1,[1]characters!$2:$2,0)-MATCH($F$1,[1]characters!$2:$2,0)+1),MATCH(H$1,[1]characters!$2:$2,0)-MATCH($F$1,[1]characters!$2:$2,0)+1,FALSE)</f>
        <v>PremiumW</v>
      </c>
      <c r="I11" s="10">
        <f ca="1">VLOOKUP($F11,OFFSET([1]characters!$A$2,0,0,COUNTA([1]characters!$A:$A),MATCH(I$1,[1]characters!$2:$2,0)-MATCH($F$1,[1]characters!$2:$2,0)+1),MATCH(I$1,[1]characters!$2:$2,0)-MATCH($F$1,[1]characters!$2:$2,0)+1,FALSE)</f>
        <v>4</v>
      </c>
      <c r="J11" s="10" t="str">
        <f ca="1">VLOOKUP($F11,OFFSET([1]characters!$A$2,0,0,COUNTA([1]characters!$A:$A),MATCH(J$1,[1]characters!$2:$2,0)-MATCH($F$1,[1]characters!$2:$2,0)+1),MATCH(J$1,[1]characters!$2:$2,0)-MATCH($F$1,[1]characters!$2:$2,0)+1,FALSE)</f>
        <v>green</v>
      </c>
      <c r="K11" s="10" t="str">
        <f ca="1">VLOOKUP($F11,OFFSET([1]characters!$A$2,0,0,COUNTA([1]characters!$A:$A),MATCH("タイプ",[1]characters!$1:$1,0)-MATCH($F$1,[1]characters!$2:$2,0)+2),MATCH("タイプ",[1]characters!$1:$1,0)-MATCH($F$1,[1]characters!$2:$2,0)+2,FALSE)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" s="10" t="str">
        <f ca="1">VLOOKUP($F11,OFFSET([1]characters!$A$2,0,0,COUNTA([1]characters!$A:$A),MATCH($L$1,[1]characters!$1:$1,0)-MATCH($F$1,[1]characters!$2:$2,0)+2),MATCH($L$1,[1]characters!$1:$1,0)-MATCH($F$1,[1]characters!$2:$2,0)+2,FALSE)</f>
        <v>ヒューマン</v>
      </c>
      <c r="M11" s="6">
        <v>1</v>
      </c>
      <c r="N11" s="40">
        <f ca="1">VLOOKUP(D11,gacha_133_base!A:B,2,FALSE)</f>
        <v>2100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134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2" s="10" t="str">
        <f ca="1">VLOOKUP($F12,OFFSET([1]characters!$A$2,0,0,COUNTA([1]characters!$A:$A),MATCH(H$1,[1]characters!$2:$2,0)-MATCH($F$1,[1]characters!$2:$2,0)+1),MATCH(H$1,[1]characters!$2:$2,0)-MATCH($F$1,[1]characters!$2:$2,0)+1,FALSE)</f>
        <v>PremiumW</v>
      </c>
      <c r="I12" s="10">
        <f ca="1">VLOOKUP($F12,OFFSET([1]characters!$A$2,0,0,COUNTA([1]characters!$A:$A),MATCH(I$1,[1]characters!$2:$2,0)-MATCH($F$1,[1]characters!$2:$2,0)+1),MATCH(I$1,[1]characters!$2:$2,0)-MATCH($F$1,[1]characters!$2:$2,0)+1,FALSE)</f>
        <v>4</v>
      </c>
      <c r="J12" s="10" t="str">
        <f ca="1">VLOOKUP($F12,OFFSET([1]characters!$A$2,0,0,COUNTA([1]characters!$A:$A),MATCH(J$1,[1]characters!$2:$2,0)-MATCH($F$1,[1]characters!$2:$2,0)+1),MATCH(J$1,[1]characters!$2:$2,0)-MATCH($F$1,[1]characters!$2:$2,0)+1,FALSE)</f>
        <v>blue</v>
      </c>
      <c r="K12" s="10" t="str">
        <f ca="1">VLOOKUP($F12,OFFSET([1]characters!$A$2,0,0,COUNTA([1]characters!$A:$A),MATCH("タイプ",[1]characters!$1:$1,0)-MATCH($F$1,[1]characters!$2:$2,0)+2),MATCH("タイプ",[1]characters!$1:$1,0)-MATCH($F$1,[1]characters!$2:$2,0)+2,FALSE)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" s="10" t="str">
        <f ca="1">VLOOKUP($F12,OFFSET([1]characters!$A$2,0,0,COUNTA([1]characters!$A:$A),MATCH($L$1,[1]characters!$1:$1,0)-MATCH($F$1,[1]characters!$2:$2,0)+2),MATCH($L$1,[1]characters!$1:$1,0)-MATCH($F$1,[1]characters!$2:$2,0)+2,FALSE)</f>
        <v>ヒューマン</v>
      </c>
      <c r="M12" s="6">
        <v>1</v>
      </c>
      <c r="N12" s="40">
        <f ca="1">VLOOKUP(D12,gacha_133_base!A:B,2,FALSE)</f>
        <v>2100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134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3" s="10" t="str">
        <f ca="1">VLOOKUP($F13,OFFSET([1]characters!$A$2,0,0,COUNTA([1]characters!$A:$A),MATCH(H$1,[1]characters!$2:$2,0)-MATCH($F$1,[1]characters!$2:$2,0)+1),MATCH(H$1,[1]characters!$2:$2,0)-MATCH($F$1,[1]characters!$2:$2,0)+1,FALSE)</f>
        <v>PremiumW</v>
      </c>
      <c r="I13" s="10">
        <f ca="1">VLOOKUP($F13,OFFSET([1]characters!$A$2,0,0,COUNTA([1]characters!$A:$A),MATCH(I$1,[1]characters!$2:$2,0)-MATCH($F$1,[1]characters!$2:$2,0)+1),MATCH(I$1,[1]characters!$2:$2,0)-MATCH($F$1,[1]characters!$2:$2,0)+1,FALSE)</f>
        <v>4</v>
      </c>
      <c r="J13" s="10" t="str">
        <f ca="1">VLOOKUP($F13,OFFSET([1]characters!$A$2,0,0,COUNTA([1]characters!$A:$A),MATCH(J$1,[1]characters!$2:$2,0)-MATCH($F$1,[1]characters!$2:$2,0)+1),MATCH(J$1,[1]characters!$2:$2,0)-MATCH($F$1,[1]characters!$2:$2,0)+1,FALSE)</f>
        <v>yellow</v>
      </c>
      <c r="K13" s="10" t="str">
        <f ca="1">VLOOKUP($F13,OFFSET([1]characters!$A$2,0,0,COUNTA([1]characters!$A:$A),MATCH("タイプ",[1]characters!$1:$1,0)-MATCH($F$1,[1]characters!$2:$2,0)+2),MATCH("タイプ",[1]characters!$1:$1,0)-MATCH($F$1,[1]characters!$2:$2,0)+2,FALSE)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" s="10" t="str">
        <f ca="1">VLOOKUP($F13,OFFSET([1]characters!$A$2,0,0,COUNTA([1]characters!$A:$A),MATCH($L$1,[1]characters!$1:$1,0)-MATCH($F$1,[1]characters!$2:$2,0)+2),MATCH($L$1,[1]characters!$1:$1,0)-MATCH($F$1,[1]characters!$2:$2,0)+2,FALSE)</f>
        <v>ヒューマン</v>
      </c>
      <c r="M13" s="6">
        <v>1</v>
      </c>
      <c r="N13" s="40">
        <f ca="1">VLOOKUP(D13,gacha_133_base!A:B,2,FALSE)</f>
        <v>2100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134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VLOOKUP($F14,OFFSET([1]characters!$A$2,0,0,COUNTA([1]characters!$A:$A),MATCH(G$1,[1]characters!$2:$2,0)-MATCH($F$1,[1]characters!$2:$2,0)+1),MATCH(G$1,[1]characters!$2:$2,0)-MATCH($F$1,[1]characters!$2:$2,0)+1,FALSE)</f>
        <v>毒煙の処刑人サキ</v>
      </c>
      <c r="H14" s="10" t="str">
        <f ca="1">VLOOKUP($F14,OFFSET([1]characters!$A$2,0,0,COUNTA([1]characters!$A:$A),MATCH(H$1,[1]characters!$2:$2,0)-MATCH($F$1,[1]characters!$2:$2,0)+1),MATCH(H$1,[1]characters!$2:$2,0)-MATCH($F$1,[1]characters!$2:$2,0)+1,FALSE)</f>
        <v>PremiumW</v>
      </c>
      <c r="I14" s="10">
        <f ca="1">VLOOKUP($F14,OFFSET([1]characters!$A$2,0,0,COUNTA([1]characters!$A:$A),MATCH(I$1,[1]characters!$2:$2,0)-MATCH($F$1,[1]characters!$2:$2,0)+1),MATCH(I$1,[1]characters!$2:$2,0)-MATCH($F$1,[1]characters!$2:$2,0)+1,FALSE)</f>
        <v>4</v>
      </c>
      <c r="J14" s="10" t="str">
        <f ca="1">VLOOKUP($F14,OFFSET([1]characters!$A$2,0,0,COUNTA([1]characters!$A:$A),MATCH(J$1,[1]characters!$2:$2,0)-MATCH($F$1,[1]characters!$2:$2,0)+1),MATCH(J$1,[1]characters!$2:$2,0)-MATCH($F$1,[1]characters!$2:$2,0)+1,FALSE)</f>
        <v>red</v>
      </c>
      <c r="K14" s="10" t="str">
        <f ca="1">VLOOKUP($F14,OFFSET([1]characters!$A$2,0,0,COUNTA([1]characters!$A:$A),MATCH("タイプ",[1]characters!$1:$1,0)-MATCH($F$1,[1]characters!$2:$2,0)+2),MATCH("タイプ",[1]characters!$1:$1,0)-MATCH($F$1,[1]characters!$2:$2,0)+2,FALSE)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" s="10" t="str">
        <f ca="1">VLOOKUP($F14,OFFSET([1]characters!$A$2,0,0,COUNTA([1]characters!$A:$A),MATCH($L$1,[1]characters!$1:$1,0)-MATCH($F$1,[1]characters!$2:$2,0)+2),MATCH($L$1,[1]characters!$1:$1,0)-MATCH($F$1,[1]characters!$2:$2,0)+2,FALSE)</f>
        <v>ヒューマン</v>
      </c>
      <c r="M14" s="6">
        <v>1</v>
      </c>
      <c r="N14" s="40">
        <f ca="1">VLOOKUP(D14,gacha_133_base!A:B,2,FALSE)</f>
        <v>2100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134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VLOOKUP($F15,OFFSET([1]characters!$A$2,0,0,COUNTA([1]characters!$A:$A),MATCH(G$1,[1]characters!$2:$2,0)-MATCH($F$1,[1]characters!$2:$2,0)+1),MATCH(G$1,[1]characters!$2:$2,0)-MATCH($F$1,[1]characters!$2:$2,0)+1,FALSE)</f>
        <v>拳聖ランラン</v>
      </c>
      <c r="H15" s="10" t="str">
        <f ca="1">VLOOKUP($F15,OFFSET([1]characters!$A$2,0,0,COUNTA([1]characters!$A:$A),MATCH(H$1,[1]characters!$2:$2,0)-MATCH($F$1,[1]characters!$2:$2,0)+1),MATCH(H$1,[1]characters!$2:$2,0)-MATCH($F$1,[1]characters!$2:$2,0)+1,FALSE)</f>
        <v>PremiumW</v>
      </c>
      <c r="I15" s="10">
        <f ca="1">VLOOKUP($F15,OFFSET([1]characters!$A$2,0,0,COUNTA([1]characters!$A:$A),MATCH(I$1,[1]characters!$2:$2,0)-MATCH($F$1,[1]characters!$2:$2,0)+1),MATCH(I$1,[1]characters!$2:$2,0)-MATCH($F$1,[1]characters!$2:$2,0)+1,FALSE)</f>
        <v>4</v>
      </c>
      <c r="J15" s="10" t="str">
        <f ca="1">VLOOKUP($F15,OFFSET([1]characters!$A$2,0,0,COUNTA([1]characters!$A:$A),MATCH(J$1,[1]characters!$2:$2,0)-MATCH($F$1,[1]characters!$2:$2,0)+1),MATCH(J$1,[1]characters!$2:$2,0)-MATCH($F$1,[1]characters!$2:$2,0)+1,FALSE)</f>
        <v>green</v>
      </c>
      <c r="K15" s="10" t="str">
        <f ca="1">VLOOKUP($F15,OFFSET([1]characters!$A$2,0,0,COUNTA([1]characters!$A:$A),MATCH("タイプ",[1]characters!$1:$1,0)-MATCH($F$1,[1]characters!$2:$2,0)+2),MATCH("タイプ",[1]characters!$1:$1,0)-MATCH($F$1,[1]characters!$2:$2,0)+2,FALSE)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" s="10" t="str">
        <f ca="1">VLOOKUP($F15,OFFSET([1]characters!$A$2,0,0,COUNTA([1]characters!$A:$A),MATCH($L$1,[1]characters!$1:$1,0)-MATCH($F$1,[1]characters!$2:$2,0)+2),MATCH($L$1,[1]characters!$1:$1,0)-MATCH($F$1,[1]characters!$2:$2,0)+2,FALSE)</f>
        <v>ヒューマン</v>
      </c>
      <c r="M15" s="6">
        <v>1</v>
      </c>
      <c r="N15" s="40">
        <f ca="1">VLOOKUP(D15,gacha_133_base!A:B,2,FALSE)</f>
        <v>2100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134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VLOOKUP($F16,OFFSET([1]characters!$A$2,0,0,COUNTA([1]characters!$A:$A),MATCH(G$1,[1]characters!$2:$2,0)-MATCH($F$1,[1]characters!$2:$2,0)+1),MATCH(G$1,[1]characters!$2:$2,0)-MATCH($F$1,[1]characters!$2:$2,0)+1,FALSE)</f>
        <v>隻眼の掃除屋 ハンナ</v>
      </c>
      <c r="H16" s="10" t="str">
        <f ca="1">VLOOKUP($F16,OFFSET([1]characters!$A$2,0,0,COUNTA([1]characters!$A:$A),MATCH(H$1,[1]characters!$2:$2,0)-MATCH($F$1,[1]characters!$2:$2,0)+1),MATCH(H$1,[1]characters!$2:$2,0)-MATCH($F$1,[1]characters!$2:$2,0)+1,FALSE)</f>
        <v>PremiumW</v>
      </c>
      <c r="I16" s="10">
        <f ca="1">VLOOKUP($F16,OFFSET([1]characters!$A$2,0,0,COUNTA([1]characters!$A:$A),MATCH(I$1,[1]characters!$2:$2,0)-MATCH($F$1,[1]characters!$2:$2,0)+1),MATCH(I$1,[1]characters!$2:$2,0)-MATCH($F$1,[1]characters!$2:$2,0)+1,FALSE)</f>
        <v>4</v>
      </c>
      <c r="J16" s="10" t="str">
        <f ca="1">VLOOKUP($F16,OFFSET([1]characters!$A$2,0,0,COUNTA([1]characters!$A:$A),MATCH(J$1,[1]characters!$2:$2,0)-MATCH($F$1,[1]characters!$2:$2,0)+1),MATCH(J$1,[1]characters!$2:$2,0)-MATCH($F$1,[1]characters!$2:$2,0)+1,FALSE)</f>
        <v>blue</v>
      </c>
      <c r="K16" s="10" t="str">
        <f ca="1">VLOOKUP($F16,OFFSET([1]characters!$A$2,0,0,COUNTA([1]characters!$A:$A),MATCH("タイプ",[1]characters!$1:$1,0)-MATCH($F$1,[1]characters!$2:$2,0)+2),MATCH("タイプ",[1]characters!$1:$1,0)-MATCH($F$1,[1]characters!$2:$2,0)+2,FALSE)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" s="10" t="str">
        <f ca="1">VLOOKUP($F16,OFFSET([1]characters!$A$2,0,0,COUNTA([1]characters!$A:$A),MATCH($L$1,[1]characters!$1:$1,0)-MATCH($F$1,[1]characters!$2:$2,0)+2),MATCH($L$1,[1]characters!$1:$1,0)-MATCH($F$1,[1]characters!$2:$2,0)+2,FALSE)</f>
        <v>ヒューマン</v>
      </c>
      <c r="M16" s="6">
        <v>1</v>
      </c>
      <c r="N16" s="40">
        <f ca="1">VLOOKUP(D16,gacha_133_base!A:B,2,FALSE)</f>
        <v>2100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134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VLOOKUP($F17,OFFSET([1]characters!$A$2,0,0,COUNTA([1]characters!$A:$A),MATCH(G$1,[1]characters!$2:$2,0)-MATCH($F$1,[1]characters!$2:$2,0)+1),MATCH(G$1,[1]characters!$2:$2,0)-MATCH($F$1,[1]characters!$2:$2,0)+1,FALSE)</f>
        <v>雷光舞姫 エレナ</v>
      </c>
      <c r="H17" s="10" t="str">
        <f ca="1">VLOOKUP($F17,OFFSET([1]characters!$A$2,0,0,COUNTA([1]characters!$A:$A),MATCH(H$1,[1]characters!$2:$2,0)-MATCH($F$1,[1]characters!$2:$2,0)+1),MATCH(H$1,[1]characters!$2:$2,0)-MATCH($F$1,[1]characters!$2:$2,0)+1,FALSE)</f>
        <v>PremiumW</v>
      </c>
      <c r="I17" s="10">
        <f ca="1">VLOOKUP($F17,OFFSET([1]characters!$A$2,0,0,COUNTA([1]characters!$A:$A),MATCH(I$1,[1]characters!$2:$2,0)-MATCH($F$1,[1]characters!$2:$2,0)+1),MATCH(I$1,[1]characters!$2:$2,0)-MATCH($F$1,[1]characters!$2:$2,0)+1,FALSE)</f>
        <v>4</v>
      </c>
      <c r="J17" s="10" t="str">
        <f ca="1">VLOOKUP($F17,OFFSET([1]characters!$A$2,0,0,COUNTA([1]characters!$A:$A),MATCH(J$1,[1]characters!$2:$2,0)-MATCH($F$1,[1]characters!$2:$2,0)+1),MATCH(J$1,[1]characters!$2:$2,0)-MATCH($F$1,[1]characters!$2:$2,0)+1,FALSE)</f>
        <v>yellow</v>
      </c>
      <c r="K17" s="10" t="str">
        <f ca="1">VLOOKUP($F17,OFFSET([1]characters!$A$2,0,0,COUNTA([1]characters!$A:$A),MATCH("タイプ",[1]characters!$1:$1,0)-MATCH($F$1,[1]characters!$2:$2,0)+2),MATCH("タイプ",[1]characters!$1:$1,0)-MATCH($F$1,[1]characters!$2:$2,0)+2,FALSE)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" s="10" t="str">
        <f ca="1">VLOOKUP($F17,OFFSET([1]characters!$A$2,0,0,COUNTA([1]characters!$A:$A),MATCH($L$1,[1]characters!$1:$1,0)-MATCH($F$1,[1]characters!$2:$2,0)+2),MATCH($L$1,[1]characters!$1:$1,0)-MATCH($F$1,[1]characters!$2:$2,0)+2,FALSE)</f>
        <v>ヒューマン</v>
      </c>
      <c r="M17" s="6">
        <v>1</v>
      </c>
      <c r="N17" s="40">
        <f ca="1">VLOOKUP(D17,gacha_133_base!A:B,2,FALSE)</f>
        <v>2100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134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8" s="10" t="str">
        <f ca="1">VLOOKUP($F18,OFFSET([1]characters!$A$2,0,0,COUNTA([1]characters!$A:$A),MATCH(H$1,[1]characters!$2:$2,0)-MATCH($F$1,[1]characters!$2:$2,0)+1),MATCH(H$1,[1]characters!$2:$2,0)-MATCH($F$1,[1]characters!$2:$2,0)+1,FALSE)</f>
        <v>PremiumW</v>
      </c>
      <c r="I18" s="10">
        <f ca="1">VLOOKUP($F18,OFFSET([1]characters!$A$2,0,0,COUNTA([1]characters!$A:$A),MATCH(I$1,[1]characters!$2:$2,0)-MATCH($F$1,[1]characters!$2:$2,0)+1),MATCH(I$1,[1]characters!$2:$2,0)-MATCH($F$1,[1]characters!$2:$2,0)+1,FALSE)</f>
        <v>4</v>
      </c>
      <c r="J18" s="10" t="str">
        <f ca="1">VLOOKUP($F18,OFFSET([1]characters!$A$2,0,0,COUNTA([1]characters!$A:$A),MATCH(J$1,[1]characters!$2:$2,0)-MATCH($F$1,[1]characters!$2:$2,0)+1),MATCH(J$1,[1]characters!$2:$2,0)-MATCH($F$1,[1]characters!$2:$2,0)+1,FALSE)</f>
        <v>red</v>
      </c>
      <c r="K18" s="10" t="str">
        <f ca="1">VLOOKUP($F18,OFFSET([1]characters!$A$2,0,0,COUNTA([1]characters!$A:$A),MATCH("タイプ",[1]characters!$1:$1,0)-MATCH($F$1,[1]characters!$2:$2,0)+2),MATCH("タイプ",[1]characters!$1:$1,0)-MATCH($F$1,[1]characters!$2:$2,0)+2,FALSE)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" s="10" t="str">
        <f ca="1">VLOOKUP($F18,OFFSET([1]characters!$A$2,0,0,COUNTA([1]characters!$A:$A),MATCH($L$1,[1]characters!$1:$1,0)-MATCH($F$1,[1]characters!$2:$2,0)+2),MATCH($L$1,[1]characters!$1:$1,0)-MATCH($F$1,[1]characters!$2:$2,0)+2,FALSE)</f>
        <v>ヒューマン</v>
      </c>
      <c r="M18" s="6">
        <v>1</v>
      </c>
      <c r="N18" s="40">
        <f ca="1">VLOOKUP(D18,gacha_133_base!A:B,2,FALSE)</f>
        <v>2100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134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VLOOKUP($F19,OFFSET([1]characters!$A$2,0,0,COUNTA([1]characters!$A:$A),MATCH(G$1,[1]characters!$2:$2,0)-MATCH($F$1,[1]characters!$2:$2,0)+1),MATCH(G$1,[1]characters!$2:$2,0)-MATCH($F$1,[1]characters!$2:$2,0)+1,FALSE)</f>
        <v>咆哮の先導者 クリエ</v>
      </c>
      <c r="H19" s="10" t="str">
        <f ca="1">VLOOKUP($F19,OFFSET([1]characters!$A$2,0,0,COUNTA([1]characters!$A:$A),MATCH(H$1,[1]characters!$2:$2,0)-MATCH($F$1,[1]characters!$2:$2,0)+1),MATCH(H$1,[1]characters!$2:$2,0)-MATCH($F$1,[1]characters!$2:$2,0)+1,FALSE)</f>
        <v>PremiumW</v>
      </c>
      <c r="I19" s="10">
        <f ca="1">VLOOKUP($F19,OFFSET([1]characters!$A$2,0,0,COUNTA([1]characters!$A:$A),MATCH(I$1,[1]characters!$2:$2,0)-MATCH($F$1,[1]characters!$2:$2,0)+1),MATCH(I$1,[1]characters!$2:$2,0)-MATCH($F$1,[1]characters!$2:$2,0)+1,FALSE)</f>
        <v>4</v>
      </c>
      <c r="J19" s="10" t="str">
        <f ca="1">VLOOKUP($F19,OFFSET([1]characters!$A$2,0,0,COUNTA([1]characters!$A:$A),MATCH(J$1,[1]characters!$2:$2,0)-MATCH($F$1,[1]characters!$2:$2,0)+1),MATCH(J$1,[1]characters!$2:$2,0)-MATCH($F$1,[1]characters!$2:$2,0)+1,FALSE)</f>
        <v>green</v>
      </c>
      <c r="K19" s="10" t="str">
        <f ca="1">VLOOKUP($F19,OFFSET([1]characters!$A$2,0,0,COUNTA([1]characters!$A:$A),MATCH("タイプ",[1]characters!$1:$1,0)-MATCH($F$1,[1]characters!$2:$2,0)+2),MATCH("タイプ",[1]characters!$1:$1,0)-MATCH($F$1,[1]characters!$2:$2,0)+2,FALSE)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" s="10" t="str">
        <f ca="1">VLOOKUP($F19,OFFSET([1]characters!$A$2,0,0,COUNTA([1]characters!$A:$A),MATCH($L$1,[1]characters!$1:$1,0)-MATCH($F$1,[1]characters!$2:$2,0)+2),MATCH($L$1,[1]characters!$1:$1,0)-MATCH($F$1,[1]characters!$2:$2,0)+2,FALSE)</f>
        <v>ヒューマン</v>
      </c>
      <c r="M19" s="6">
        <v>1</v>
      </c>
      <c r="N19" s="40">
        <f ca="1">VLOOKUP(D19,gacha_133_base!A:B,2,FALSE)</f>
        <v>2100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134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VLOOKUP($F20,OFFSET([1]characters!$A$2,0,0,COUNTA([1]characters!$A:$A),MATCH(G$1,[1]characters!$2:$2,0)-MATCH($F$1,[1]characters!$2:$2,0)+1),MATCH(G$1,[1]characters!$2:$2,0)-MATCH($F$1,[1]characters!$2:$2,0)+1,FALSE)</f>
        <v>冷酷な狂嬢 クララ</v>
      </c>
      <c r="H20" s="10" t="str">
        <f ca="1">VLOOKUP($F20,OFFSET([1]characters!$A$2,0,0,COUNTA([1]characters!$A:$A),MATCH(H$1,[1]characters!$2:$2,0)-MATCH($F$1,[1]characters!$2:$2,0)+1),MATCH(H$1,[1]characters!$2:$2,0)-MATCH($F$1,[1]characters!$2:$2,0)+1,FALSE)</f>
        <v>PremiumW</v>
      </c>
      <c r="I20" s="10">
        <f ca="1">VLOOKUP($F20,OFFSET([1]characters!$A$2,0,0,COUNTA([1]characters!$A:$A),MATCH(I$1,[1]characters!$2:$2,0)-MATCH($F$1,[1]characters!$2:$2,0)+1),MATCH(I$1,[1]characters!$2:$2,0)-MATCH($F$1,[1]characters!$2:$2,0)+1,FALSE)</f>
        <v>4</v>
      </c>
      <c r="J20" s="10" t="str">
        <f ca="1">VLOOKUP($F20,OFFSET([1]characters!$A$2,0,0,COUNTA([1]characters!$A:$A),MATCH(J$1,[1]characters!$2:$2,0)-MATCH($F$1,[1]characters!$2:$2,0)+1),MATCH(J$1,[1]characters!$2:$2,0)-MATCH($F$1,[1]characters!$2:$2,0)+1,FALSE)</f>
        <v>blue</v>
      </c>
      <c r="K20" s="10" t="str">
        <f ca="1">VLOOKUP($F20,OFFSET([1]characters!$A$2,0,0,COUNTA([1]characters!$A:$A),MATCH("タイプ",[1]characters!$1:$1,0)-MATCH($F$1,[1]characters!$2:$2,0)+2),MATCH("タイプ",[1]characters!$1:$1,0)-MATCH($F$1,[1]characters!$2:$2,0)+2,FALSE)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" s="10" t="str">
        <f ca="1">VLOOKUP($F20,OFFSET([1]characters!$A$2,0,0,COUNTA([1]characters!$A:$A),MATCH($L$1,[1]characters!$1:$1,0)-MATCH($F$1,[1]characters!$2:$2,0)+2),MATCH($L$1,[1]characters!$1:$1,0)-MATCH($F$1,[1]characters!$2:$2,0)+2,FALSE)</f>
        <v>ヒューマン</v>
      </c>
      <c r="M20" s="6">
        <v>1</v>
      </c>
      <c r="N20" s="40">
        <f ca="1">VLOOKUP(D20,gacha_133_base!A:B,2,FALSE)</f>
        <v>2100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134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21" s="10" t="str">
        <f ca="1">VLOOKUP($F21,OFFSET([1]characters!$A$2,0,0,COUNTA([1]characters!$A:$A),MATCH(H$1,[1]characters!$2:$2,0)-MATCH($F$1,[1]characters!$2:$2,0)+1),MATCH(H$1,[1]characters!$2:$2,0)-MATCH($F$1,[1]characters!$2:$2,0)+1,FALSE)</f>
        <v>PremiumW</v>
      </c>
      <c r="I21" s="10">
        <f ca="1">VLOOKUP($F21,OFFSET([1]characters!$A$2,0,0,COUNTA([1]characters!$A:$A),MATCH(I$1,[1]characters!$2:$2,0)-MATCH($F$1,[1]characters!$2:$2,0)+1),MATCH(I$1,[1]characters!$2:$2,0)-MATCH($F$1,[1]characters!$2:$2,0)+1,FALSE)</f>
        <v>4</v>
      </c>
      <c r="J21" s="10" t="str">
        <f ca="1">VLOOKUP($F21,OFFSET([1]characters!$A$2,0,0,COUNTA([1]characters!$A:$A),MATCH(J$1,[1]characters!$2:$2,0)-MATCH($F$1,[1]characters!$2:$2,0)+1),MATCH(J$1,[1]characters!$2:$2,0)-MATCH($F$1,[1]characters!$2:$2,0)+1,FALSE)</f>
        <v>yellow</v>
      </c>
      <c r="K21" s="10" t="str">
        <f ca="1">VLOOKUP($F21,OFFSET([1]characters!$A$2,0,0,COUNTA([1]characters!$A:$A),MATCH("タイプ",[1]characters!$1:$1,0)-MATCH($F$1,[1]characters!$2:$2,0)+2),MATCH("タイプ",[1]characters!$1:$1,0)-MATCH($F$1,[1]characters!$2:$2,0)+2,FALSE)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" s="10" t="str">
        <f ca="1">VLOOKUP($F21,OFFSET([1]characters!$A$2,0,0,COUNTA([1]characters!$A:$A),MATCH($L$1,[1]characters!$1:$1,0)-MATCH($F$1,[1]characters!$2:$2,0)+2),MATCH($L$1,[1]characters!$1:$1,0)-MATCH($F$1,[1]characters!$2:$2,0)+2,FALSE)</f>
        <v>ヒューマン</v>
      </c>
      <c r="M21" s="6">
        <v>1</v>
      </c>
      <c r="N21" s="40">
        <f ca="1">VLOOKUP(D21,gacha_133_base!A:B,2,FALSE)</f>
        <v>2100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134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VLOOKUP($F22,OFFSET([1]characters!$A$2,0,0,COUNTA([1]characters!$A:$A),MATCH(G$1,[1]characters!$2:$2,0)-MATCH($F$1,[1]characters!$2:$2,0)+1),MATCH(G$1,[1]characters!$2:$2,0)-MATCH($F$1,[1]characters!$2:$2,0)+1,FALSE)</f>
        <v>逆徒 ベリアル</v>
      </c>
      <c r="H22" s="10" t="str">
        <f ca="1">VLOOKUP($F22,OFFSET([1]characters!$A$2,0,0,COUNTA([1]characters!$A:$A),MATCH(H$1,[1]characters!$2:$2,0)-MATCH($F$1,[1]characters!$2:$2,0)+1),MATCH(H$1,[1]characters!$2:$2,0)-MATCH($F$1,[1]characters!$2:$2,0)+1,FALSE)</f>
        <v>PremiumN</v>
      </c>
      <c r="I22" s="10">
        <f ca="1">VLOOKUP($F22,OFFSET([1]characters!$A$2,0,0,COUNTA([1]characters!$A:$A),MATCH(I$1,[1]characters!$2:$2,0)-MATCH($F$1,[1]characters!$2:$2,0)+1),MATCH(I$1,[1]characters!$2:$2,0)-MATCH($F$1,[1]characters!$2:$2,0)+1,FALSE)</f>
        <v>4</v>
      </c>
      <c r="J22" s="10" t="str">
        <f ca="1">VLOOKUP($F22,OFFSET([1]characters!$A$2,0,0,COUNTA([1]characters!$A:$A),MATCH(J$1,[1]characters!$2:$2,0)-MATCH($F$1,[1]characters!$2:$2,0)+1),MATCH(J$1,[1]characters!$2:$2,0)-MATCH($F$1,[1]characters!$2:$2,0)+1,FALSE)</f>
        <v>red</v>
      </c>
      <c r="K22" s="10" t="str">
        <f ca="1">VLOOKUP($F22,OFFSET([1]characters!$A$2,0,0,COUNTA([1]characters!$A:$A),MATCH("タイプ",[1]characters!$1:$1,0)-MATCH($F$1,[1]characters!$2:$2,0)+2),MATCH("タイプ",[1]characters!$1:$1,0)-MATCH($F$1,[1]characters!$2:$2,0)+2,FALSE)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" s="10" t="str">
        <f ca="1">VLOOKUP($F22,OFFSET([1]characters!$A$2,0,0,COUNTA([1]characters!$A:$A),MATCH($L$1,[1]characters!$1:$1,0)-MATCH($F$1,[1]characters!$2:$2,0)+2),MATCH($L$1,[1]characters!$1:$1,0)-MATCH($F$1,[1]characters!$2:$2,0)+2,FALSE)</f>
        <v>ゴッド</v>
      </c>
      <c r="M22" s="6">
        <v>1</v>
      </c>
      <c r="N22" s="40">
        <f ca="1">VLOOKUP(D22,gacha_133_base!A:B,2,FALSE)</f>
        <v>2076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134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VLOOKUP($F23,OFFSET([1]characters!$A$2,0,0,COUNTA([1]characters!$A:$A),MATCH(G$1,[1]characters!$2:$2,0)-MATCH($F$1,[1]characters!$2:$2,0)+1),MATCH(G$1,[1]characters!$2:$2,0)-MATCH($F$1,[1]characters!$2:$2,0)+1,FALSE)</f>
        <v>識徒 オセ</v>
      </c>
      <c r="H23" s="10" t="str">
        <f ca="1">VLOOKUP($F23,OFFSET([1]characters!$A$2,0,0,COUNTA([1]characters!$A:$A),MATCH(H$1,[1]characters!$2:$2,0)-MATCH($F$1,[1]characters!$2:$2,0)+1),MATCH(H$1,[1]characters!$2:$2,0)-MATCH($F$1,[1]characters!$2:$2,0)+1,FALSE)</f>
        <v>PremiumN</v>
      </c>
      <c r="I23" s="10">
        <f ca="1">VLOOKUP($F23,OFFSET([1]characters!$A$2,0,0,COUNTA([1]characters!$A:$A),MATCH(I$1,[1]characters!$2:$2,0)-MATCH($F$1,[1]characters!$2:$2,0)+1),MATCH(I$1,[1]characters!$2:$2,0)-MATCH($F$1,[1]characters!$2:$2,0)+1,FALSE)</f>
        <v>4</v>
      </c>
      <c r="J23" s="10" t="str">
        <f ca="1">VLOOKUP($F23,OFFSET([1]characters!$A$2,0,0,COUNTA([1]characters!$A:$A),MATCH(J$1,[1]characters!$2:$2,0)-MATCH($F$1,[1]characters!$2:$2,0)+1),MATCH(J$1,[1]characters!$2:$2,0)-MATCH($F$1,[1]characters!$2:$2,0)+1,FALSE)</f>
        <v>green</v>
      </c>
      <c r="K23" s="10" t="str">
        <f ca="1">VLOOKUP($F23,OFFSET([1]characters!$A$2,0,0,COUNTA([1]characters!$A:$A),MATCH("タイプ",[1]characters!$1:$1,0)-MATCH($F$1,[1]characters!$2:$2,0)+2),MATCH("タイプ",[1]characters!$1:$1,0)-MATCH($F$1,[1]characters!$2:$2,0)+2,FALSE)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" s="10" t="str">
        <f ca="1">VLOOKUP($F23,OFFSET([1]characters!$A$2,0,0,COUNTA([1]characters!$A:$A),MATCH($L$1,[1]characters!$1:$1,0)-MATCH($F$1,[1]characters!$2:$2,0)+2),MATCH($L$1,[1]characters!$1:$1,0)-MATCH($F$1,[1]characters!$2:$2,0)+2,FALSE)</f>
        <v>ゴッド</v>
      </c>
      <c r="M23" s="6">
        <v>1</v>
      </c>
      <c r="N23" s="40">
        <f ca="1">VLOOKUP(D23,gacha_133_base!A:B,2,FALSE)</f>
        <v>2076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134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VLOOKUP($F24,OFFSET([1]characters!$A$2,0,0,COUNTA([1]characters!$A:$A),MATCH(G$1,[1]characters!$2:$2,0)-MATCH($F$1,[1]characters!$2:$2,0)+1),MATCH(G$1,[1]characters!$2:$2,0)-MATCH($F$1,[1]characters!$2:$2,0)+1,FALSE)</f>
        <v>公爵 フォルネウス</v>
      </c>
      <c r="H24" s="10" t="str">
        <f ca="1">VLOOKUP($F24,OFFSET([1]characters!$A$2,0,0,COUNTA([1]characters!$A:$A),MATCH(H$1,[1]characters!$2:$2,0)-MATCH($F$1,[1]characters!$2:$2,0)+1),MATCH(H$1,[1]characters!$2:$2,0)-MATCH($F$1,[1]characters!$2:$2,0)+1,FALSE)</f>
        <v>PremiumN</v>
      </c>
      <c r="I24" s="10">
        <f ca="1">VLOOKUP($F24,OFFSET([1]characters!$A$2,0,0,COUNTA([1]characters!$A:$A),MATCH(I$1,[1]characters!$2:$2,0)-MATCH($F$1,[1]characters!$2:$2,0)+1),MATCH(I$1,[1]characters!$2:$2,0)-MATCH($F$1,[1]characters!$2:$2,0)+1,FALSE)</f>
        <v>4</v>
      </c>
      <c r="J24" s="10" t="str">
        <f ca="1">VLOOKUP($F24,OFFSET([1]characters!$A$2,0,0,COUNTA([1]characters!$A:$A),MATCH(J$1,[1]characters!$2:$2,0)-MATCH($F$1,[1]characters!$2:$2,0)+1),MATCH(J$1,[1]characters!$2:$2,0)-MATCH($F$1,[1]characters!$2:$2,0)+1,FALSE)</f>
        <v>blue</v>
      </c>
      <c r="K24" s="10" t="str">
        <f ca="1">VLOOKUP($F24,OFFSET([1]characters!$A$2,0,0,COUNTA([1]characters!$A:$A),MATCH("タイプ",[1]characters!$1:$1,0)-MATCH($F$1,[1]characters!$2:$2,0)+2),MATCH("タイプ",[1]characters!$1:$1,0)-MATCH($F$1,[1]characters!$2:$2,0)+2,FALSE)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" s="10" t="str">
        <f ca="1">VLOOKUP($F24,OFFSET([1]characters!$A$2,0,0,COUNTA([1]characters!$A:$A),MATCH($L$1,[1]characters!$1:$1,0)-MATCH($F$1,[1]characters!$2:$2,0)+2),MATCH($L$1,[1]characters!$1:$1,0)-MATCH($F$1,[1]characters!$2:$2,0)+2,FALSE)</f>
        <v>ゴッド</v>
      </c>
      <c r="M24" s="6">
        <v>1</v>
      </c>
      <c r="N24" s="40">
        <f ca="1">VLOOKUP(D24,gacha_133_base!A:B,2,FALSE)</f>
        <v>2076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134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VLOOKUP($F25,OFFSET([1]characters!$A$2,0,0,COUNTA([1]characters!$A:$A),MATCH(G$1,[1]characters!$2:$2,0)-MATCH($F$1,[1]characters!$2:$2,0)+1),MATCH(G$1,[1]characters!$2:$2,0)-MATCH($F$1,[1]characters!$2:$2,0)+1,FALSE)</f>
        <v>異教徒 バフォメット</v>
      </c>
      <c r="H25" s="10" t="str">
        <f ca="1">VLOOKUP($F25,OFFSET([1]characters!$A$2,0,0,COUNTA([1]characters!$A:$A),MATCH(H$1,[1]characters!$2:$2,0)-MATCH($F$1,[1]characters!$2:$2,0)+1),MATCH(H$1,[1]characters!$2:$2,0)-MATCH($F$1,[1]characters!$2:$2,0)+1,FALSE)</f>
        <v>PremiumN</v>
      </c>
      <c r="I25" s="10">
        <f ca="1">VLOOKUP($F25,OFFSET([1]characters!$A$2,0,0,COUNTA([1]characters!$A:$A),MATCH(I$1,[1]characters!$2:$2,0)-MATCH($F$1,[1]characters!$2:$2,0)+1),MATCH(I$1,[1]characters!$2:$2,0)-MATCH($F$1,[1]characters!$2:$2,0)+1,FALSE)</f>
        <v>4</v>
      </c>
      <c r="J25" s="10" t="str">
        <f ca="1">VLOOKUP($F25,OFFSET([1]characters!$A$2,0,0,COUNTA([1]characters!$A:$A),MATCH(J$1,[1]characters!$2:$2,0)-MATCH($F$1,[1]characters!$2:$2,0)+1),MATCH(J$1,[1]characters!$2:$2,0)-MATCH($F$1,[1]characters!$2:$2,0)+1,FALSE)</f>
        <v>yellow</v>
      </c>
      <c r="K25" s="10" t="str">
        <f ca="1">VLOOKUP($F25,OFFSET([1]characters!$A$2,0,0,COUNTA([1]characters!$A:$A),MATCH("タイプ",[1]characters!$1:$1,0)-MATCH($F$1,[1]characters!$2:$2,0)+2),MATCH("タイプ",[1]characters!$1:$1,0)-MATCH($F$1,[1]characters!$2:$2,0)+2,FALSE)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5" s="10" t="str">
        <f ca="1">VLOOKUP($F25,OFFSET([1]characters!$A$2,0,0,COUNTA([1]characters!$A:$A),MATCH($L$1,[1]characters!$1:$1,0)-MATCH($F$1,[1]characters!$2:$2,0)+2),MATCH($L$1,[1]characters!$1:$1,0)-MATCH($F$1,[1]characters!$2:$2,0)+2,FALSE)</f>
        <v>ゴッド</v>
      </c>
      <c r="M25" s="6">
        <v>1</v>
      </c>
      <c r="N25" s="40">
        <f ca="1">VLOOKUP(D25,gacha_133_base!A:B,2,FALSE)</f>
        <v>2076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134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VLOOKUP($F26,OFFSET([1]characters!$A$2,0,0,COUNTA([1]characters!$A:$A),MATCH(G$1,[1]characters!$2:$2,0)-MATCH($F$1,[1]characters!$2:$2,0)+1),MATCH(G$1,[1]characters!$2:$2,0)-MATCH($F$1,[1]characters!$2:$2,0)+1,FALSE)</f>
        <v>番犬 ケルベロス</v>
      </c>
      <c r="H26" s="10" t="str">
        <f ca="1">VLOOKUP($F26,OFFSET([1]characters!$A$2,0,0,COUNTA([1]characters!$A:$A),MATCH(H$1,[1]characters!$2:$2,0)-MATCH($F$1,[1]characters!$2:$2,0)+1),MATCH(H$1,[1]characters!$2:$2,0)-MATCH($F$1,[1]characters!$2:$2,0)+1,FALSE)</f>
        <v>PremiumN</v>
      </c>
      <c r="I26" s="10">
        <f ca="1">VLOOKUP($F26,OFFSET([1]characters!$A$2,0,0,COUNTA([1]characters!$A:$A),MATCH(I$1,[1]characters!$2:$2,0)-MATCH($F$1,[1]characters!$2:$2,0)+1),MATCH(I$1,[1]characters!$2:$2,0)-MATCH($F$1,[1]characters!$2:$2,0)+1,FALSE)</f>
        <v>4</v>
      </c>
      <c r="J26" s="10" t="str">
        <f ca="1">VLOOKUP($F26,OFFSET([1]characters!$A$2,0,0,COUNTA([1]characters!$A:$A),MATCH(J$1,[1]characters!$2:$2,0)-MATCH($F$1,[1]characters!$2:$2,0)+1),MATCH(J$1,[1]characters!$2:$2,0)-MATCH($F$1,[1]characters!$2:$2,0)+1,FALSE)</f>
        <v>red</v>
      </c>
      <c r="K26" s="10" t="str">
        <f ca="1">VLOOKUP($F26,OFFSET([1]characters!$A$2,0,0,COUNTA([1]characters!$A:$A),MATCH("タイプ",[1]characters!$1:$1,0)-MATCH($F$1,[1]characters!$2:$2,0)+2),MATCH("タイプ",[1]characters!$1:$1,0)-MATCH($F$1,[1]characters!$2:$2,0)+2,FALSE)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" s="10" t="str">
        <f ca="1">VLOOKUP($F26,OFFSET([1]characters!$A$2,0,0,COUNTA([1]characters!$A:$A),MATCH($L$1,[1]characters!$1:$1,0)-MATCH($F$1,[1]characters!$2:$2,0)+2),MATCH($L$1,[1]characters!$1:$1,0)-MATCH($F$1,[1]characters!$2:$2,0)+2,FALSE)</f>
        <v>アニマル</v>
      </c>
      <c r="M26" s="6">
        <v>1</v>
      </c>
      <c r="N26" s="40">
        <f ca="1">VLOOKUP(D26,gacha_133_base!A:B,2,FALSE)</f>
        <v>2076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134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VLOOKUP($F27,OFFSET([1]characters!$A$2,0,0,COUNTA([1]characters!$A:$A),MATCH(G$1,[1]characters!$2:$2,0)-MATCH($F$1,[1]characters!$2:$2,0)+1),MATCH(G$1,[1]characters!$2:$2,0)-MATCH($F$1,[1]characters!$2:$2,0)+1,FALSE)</f>
        <v>放蕩者 ベヒモス</v>
      </c>
      <c r="H27" s="10" t="str">
        <f ca="1">VLOOKUP($F27,OFFSET([1]characters!$A$2,0,0,COUNTA([1]characters!$A:$A),MATCH(H$1,[1]characters!$2:$2,0)-MATCH($F$1,[1]characters!$2:$2,0)+1),MATCH(H$1,[1]characters!$2:$2,0)-MATCH($F$1,[1]characters!$2:$2,0)+1,FALSE)</f>
        <v>PremiumN</v>
      </c>
      <c r="I27" s="10">
        <f ca="1">VLOOKUP($F27,OFFSET([1]characters!$A$2,0,0,COUNTA([1]characters!$A:$A),MATCH(I$1,[1]characters!$2:$2,0)-MATCH($F$1,[1]characters!$2:$2,0)+1),MATCH(I$1,[1]characters!$2:$2,0)-MATCH($F$1,[1]characters!$2:$2,0)+1,FALSE)</f>
        <v>4</v>
      </c>
      <c r="J27" s="10" t="str">
        <f ca="1">VLOOKUP($F27,OFFSET([1]characters!$A$2,0,0,COUNTA([1]characters!$A:$A),MATCH(J$1,[1]characters!$2:$2,0)-MATCH($F$1,[1]characters!$2:$2,0)+1),MATCH(J$1,[1]characters!$2:$2,0)-MATCH($F$1,[1]characters!$2:$2,0)+1,FALSE)</f>
        <v>green</v>
      </c>
      <c r="K27" s="10" t="str">
        <f ca="1">VLOOKUP($F27,OFFSET([1]characters!$A$2,0,0,COUNTA([1]characters!$A:$A),MATCH("タイプ",[1]characters!$1:$1,0)-MATCH($F$1,[1]characters!$2:$2,0)+2),MATCH("タイプ",[1]characters!$1:$1,0)-MATCH($F$1,[1]characters!$2:$2,0)+2,FALSE)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" s="10" t="str">
        <f ca="1">VLOOKUP($F27,OFFSET([1]characters!$A$2,0,0,COUNTA([1]characters!$A:$A),MATCH($L$1,[1]characters!$1:$1,0)-MATCH($F$1,[1]characters!$2:$2,0)+2),MATCH($L$1,[1]characters!$1:$1,0)-MATCH($F$1,[1]characters!$2:$2,0)+2,FALSE)</f>
        <v>アニマル</v>
      </c>
      <c r="M27" s="6">
        <v>1</v>
      </c>
      <c r="N27" s="40">
        <f ca="1">VLOOKUP(D27,gacha_133_base!A:B,2,FALSE)</f>
        <v>2076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134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VLOOKUP($F28,OFFSET([1]characters!$A$2,0,0,COUNTA([1]characters!$A:$A),MATCH(G$1,[1]characters!$2:$2,0)-MATCH($F$1,[1]characters!$2:$2,0)+1),MATCH(G$1,[1]characters!$2:$2,0)-MATCH($F$1,[1]characters!$2:$2,0)+1,FALSE)</f>
        <v>海姫 クラーケン</v>
      </c>
      <c r="H28" s="10" t="str">
        <f ca="1">VLOOKUP($F28,OFFSET([1]characters!$A$2,0,0,COUNTA([1]characters!$A:$A),MATCH(H$1,[1]characters!$2:$2,0)-MATCH($F$1,[1]characters!$2:$2,0)+1),MATCH(H$1,[1]characters!$2:$2,0)-MATCH($F$1,[1]characters!$2:$2,0)+1,FALSE)</f>
        <v>PremiumN</v>
      </c>
      <c r="I28" s="10">
        <f ca="1">VLOOKUP($F28,OFFSET([1]characters!$A$2,0,0,COUNTA([1]characters!$A:$A),MATCH(I$1,[1]characters!$2:$2,0)-MATCH($F$1,[1]characters!$2:$2,0)+1),MATCH(I$1,[1]characters!$2:$2,0)-MATCH($F$1,[1]characters!$2:$2,0)+1,FALSE)</f>
        <v>4</v>
      </c>
      <c r="J28" s="10" t="str">
        <f ca="1">VLOOKUP($F28,OFFSET([1]characters!$A$2,0,0,COUNTA([1]characters!$A:$A),MATCH(J$1,[1]characters!$2:$2,0)-MATCH($F$1,[1]characters!$2:$2,0)+1),MATCH(J$1,[1]characters!$2:$2,0)-MATCH($F$1,[1]characters!$2:$2,0)+1,FALSE)</f>
        <v>blue</v>
      </c>
      <c r="K28" s="10" t="str">
        <f ca="1">VLOOKUP($F28,OFFSET([1]characters!$A$2,0,0,COUNTA([1]characters!$A:$A),MATCH("タイプ",[1]characters!$1:$1,0)-MATCH($F$1,[1]characters!$2:$2,0)+2),MATCH("タイプ",[1]characters!$1:$1,0)-MATCH($F$1,[1]characters!$2:$2,0)+2,FALSE)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8" s="10" t="str">
        <f ca="1">VLOOKUP($F28,OFFSET([1]characters!$A$2,0,0,COUNTA([1]characters!$A:$A),MATCH($L$1,[1]characters!$1:$1,0)-MATCH($F$1,[1]characters!$2:$2,0)+2),MATCH($L$1,[1]characters!$1:$1,0)-MATCH($F$1,[1]characters!$2:$2,0)+2,FALSE)</f>
        <v>アニマル</v>
      </c>
      <c r="M28" s="6">
        <v>1</v>
      </c>
      <c r="N28" s="40">
        <f ca="1">VLOOKUP(D28,gacha_133_base!A:B,2,FALSE)</f>
        <v>2076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134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VLOOKUP($F29,OFFSET([1]characters!$A$2,0,0,COUNTA([1]characters!$A:$A),MATCH(G$1,[1]characters!$2:$2,0)-MATCH($F$1,[1]characters!$2:$2,0)+1),MATCH(G$1,[1]characters!$2:$2,0)-MATCH($F$1,[1]characters!$2:$2,0)+1,FALSE)</f>
        <v>猛禽 ホルス</v>
      </c>
      <c r="H29" s="10" t="str">
        <f ca="1">VLOOKUP($F29,OFFSET([1]characters!$A$2,0,0,COUNTA([1]characters!$A:$A),MATCH(H$1,[1]characters!$2:$2,0)-MATCH($F$1,[1]characters!$2:$2,0)+1),MATCH(H$1,[1]characters!$2:$2,0)-MATCH($F$1,[1]characters!$2:$2,0)+1,FALSE)</f>
        <v>PremiumN</v>
      </c>
      <c r="I29" s="10">
        <f ca="1">VLOOKUP($F29,OFFSET([1]characters!$A$2,0,0,COUNTA([1]characters!$A:$A),MATCH(I$1,[1]characters!$2:$2,0)-MATCH($F$1,[1]characters!$2:$2,0)+1),MATCH(I$1,[1]characters!$2:$2,0)-MATCH($F$1,[1]characters!$2:$2,0)+1,FALSE)</f>
        <v>4</v>
      </c>
      <c r="J29" s="10" t="str">
        <f ca="1">VLOOKUP($F29,OFFSET([1]characters!$A$2,0,0,COUNTA([1]characters!$A:$A),MATCH(J$1,[1]characters!$2:$2,0)-MATCH($F$1,[1]characters!$2:$2,0)+1),MATCH(J$1,[1]characters!$2:$2,0)-MATCH($F$1,[1]characters!$2:$2,0)+1,FALSE)</f>
        <v>yellow</v>
      </c>
      <c r="K29" s="10" t="str">
        <f ca="1">VLOOKUP($F29,OFFSET([1]characters!$A$2,0,0,COUNTA([1]characters!$A:$A),MATCH("タイプ",[1]characters!$1:$1,0)-MATCH($F$1,[1]characters!$2:$2,0)+2),MATCH("タイプ",[1]characters!$1:$1,0)-MATCH($F$1,[1]characters!$2:$2,0)+2,FALSE)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9" s="10" t="str">
        <f ca="1">VLOOKUP($F29,OFFSET([1]characters!$A$2,0,0,COUNTA([1]characters!$A:$A),MATCH($L$1,[1]characters!$1:$1,0)-MATCH($F$1,[1]characters!$2:$2,0)+2),MATCH($L$1,[1]characters!$1:$1,0)-MATCH($F$1,[1]characters!$2:$2,0)+2,FALSE)</f>
        <v>アニマル</v>
      </c>
      <c r="M29" s="6">
        <v>1</v>
      </c>
      <c r="N29" s="40">
        <f ca="1">VLOOKUP(D29,gacha_133_base!A:B,2,FALSE)</f>
        <v>2076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134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VLOOKUP($F30,OFFSET([1]characters!$A$2,0,0,COUNTA([1]characters!$A:$A),MATCH(G$1,[1]characters!$2:$2,0)-MATCH($F$1,[1]characters!$2:$2,0)+1),MATCH(G$1,[1]characters!$2:$2,0)-MATCH($F$1,[1]characters!$2:$2,0)+1,FALSE)</f>
        <v>始祖 卑弥呼</v>
      </c>
      <c r="H30" s="10" t="str">
        <f ca="1">VLOOKUP($F30,OFFSET([1]characters!$A$2,0,0,COUNTA([1]characters!$A:$A),MATCH(H$1,[1]characters!$2:$2,0)-MATCH($F$1,[1]characters!$2:$2,0)+1),MATCH(H$1,[1]characters!$2:$2,0)-MATCH($F$1,[1]characters!$2:$2,0)+1,FALSE)</f>
        <v>PremiumN</v>
      </c>
      <c r="I30" s="10">
        <f ca="1">VLOOKUP($F30,OFFSET([1]characters!$A$2,0,0,COUNTA([1]characters!$A:$A),MATCH(I$1,[1]characters!$2:$2,0)-MATCH($F$1,[1]characters!$2:$2,0)+1),MATCH(I$1,[1]characters!$2:$2,0)-MATCH($F$1,[1]characters!$2:$2,0)+1,FALSE)</f>
        <v>4</v>
      </c>
      <c r="J30" s="10" t="str">
        <f ca="1">VLOOKUP($F30,OFFSET([1]characters!$A$2,0,0,COUNTA([1]characters!$A:$A),MATCH(J$1,[1]characters!$2:$2,0)-MATCH($F$1,[1]characters!$2:$2,0)+1),MATCH(J$1,[1]characters!$2:$2,0)-MATCH($F$1,[1]characters!$2:$2,0)+1,FALSE)</f>
        <v>red</v>
      </c>
      <c r="K30" s="10" t="str">
        <f ca="1">VLOOKUP($F30,OFFSET([1]characters!$A$2,0,0,COUNTA([1]characters!$A:$A),MATCH("タイプ",[1]characters!$1:$1,0)-MATCH($F$1,[1]characters!$2:$2,0)+2),MATCH("タイプ",[1]characters!$1:$1,0)-MATCH($F$1,[1]characters!$2:$2,0)+2,FALSE)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0" s="10" t="str">
        <f ca="1">VLOOKUP($F30,OFFSET([1]characters!$A$2,0,0,COUNTA([1]characters!$A:$A),MATCH($L$1,[1]characters!$1:$1,0)-MATCH($F$1,[1]characters!$2:$2,0)+2),MATCH($L$1,[1]characters!$1:$1,0)-MATCH($F$1,[1]characters!$2:$2,0)+2,FALSE)</f>
        <v>ヒューマン</v>
      </c>
      <c r="M30" s="6">
        <v>1</v>
      </c>
      <c r="N30" s="40">
        <f ca="1">VLOOKUP(D30,gacha_133_base!A:B,2,FALSE)</f>
        <v>2076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134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31" s="10" t="str">
        <f ca="1">VLOOKUP($F31,OFFSET([1]characters!$A$2,0,0,COUNTA([1]characters!$A:$A),MATCH(H$1,[1]characters!$2:$2,0)-MATCH($F$1,[1]characters!$2:$2,0)+1),MATCH(H$1,[1]characters!$2:$2,0)-MATCH($F$1,[1]characters!$2:$2,0)+1,FALSE)</f>
        <v>PremiumN</v>
      </c>
      <c r="I31" s="10">
        <f ca="1">VLOOKUP($F31,OFFSET([1]characters!$A$2,0,0,COUNTA([1]characters!$A:$A),MATCH(I$1,[1]characters!$2:$2,0)-MATCH($F$1,[1]characters!$2:$2,0)+1),MATCH(I$1,[1]characters!$2:$2,0)-MATCH($F$1,[1]characters!$2:$2,0)+1,FALSE)</f>
        <v>4</v>
      </c>
      <c r="J31" s="10" t="str">
        <f ca="1">VLOOKUP($F31,OFFSET([1]characters!$A$2,0,0,COUNTA([1]characters!$A:$A),MATCH(J$1,[1]characters!$2:$2,0)-MATCH($F$1,[1]characters!$2:$2,0)+1),MATCH(J$1,[1]characters!$2:$2,0)-MATCH($F$1,[1]characters!$2:$2,0)+1,FALSE)</f>
        <v>green</v>
      </c>
      <c r="K31" s="10" t="str">
        <f ca="1">VLOOKUP($F31,OFFSET([1]characters!$A$2,0,0,COUNTA([1]characters!$A:$A),MATCH("タイプ",[1]characters!$1:$1,0)-MATCH($F$1,[1]characters!$2:$2,0)+2),MATCH("タイプ",[1]characters!$1:$1,0)-MATCH($F$1,[1]characters!$2:$2,0)+2,FALSE)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1" s="10" t="str">
        <f ca="1">VLOOKUP($F31,OFFSET([1]characters!$A$2,0,0,COUNTA([1]characters!$A:$A),MATCH($L$1,[1]characters!$1:$1,0)-MATCH($F$1,[1]characters!$2:$2,0)+2),MATCH($L$1,[1]characters!$1:$1,0)-MATCH($F$1,[1]characters!$2:$2,0)+2,FALSE)</f>
        <v>ヒューマン</v>
      </c>
      <c r="M31" s="6">
        <v>1</v>
      </c>
      <c r="N31" s="40">
        <f ca="1">VLOOKUP(D31,gacha_133_base!A:B,2,FALSE)</f>
        <v>2076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134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VLOOKUP($F32,OFFSET([1]characters!$A$2,0,0,COUNTA([1]characters!$A:$A),MATCH(G$1,[1]characters!$2:$2,0)-MATCH($F$1,[1]characters!$2:$2,0)+1),MATCH(G$1,[1]characters!$2:$2,0)-MATCH($F$1,[1]characters!$2:$2,0)+1,FALSE)</f>
        <v>鉄腕 アキレス</v>
      </c>
      <c r="H32" s="10" t="str">
        <f ca="1">VLOOKUP($F32,OFFSET([1]characters!$A$2,0,0,COUNTA([1]characters!$A:$A),MATCH(H$1,[1]characters!$2:$2,0)-MATCH($F$1,[1]characters!$2:$2,0)+1),MATCH(H$1,[1]characters!$2:$2,0)-MATCH($F$1,[1]characters!$2:$2,0)+1,FALSE)</f>
        <v>PremiumN</v>
      </c>
      <c r="I32" s="10">
        <f ca="1">VLOOKUP($F32,OFFSET([1]characters!$A$2,0,0,COUNTA([1]characters!$A:$A),MATCH(I$1,[1]characters!$2:$2,0)-MATCH($F$1,[1]characters!$2:$2,0)+1),MATCH(I$1,[1]characters!$2:$2,0)-MATCH($F$1,[1]characters!$2:$2,0)+1,FALSE)</f>
        <v>4</v>
      </c>
      <c r="J32" s="10" t="str">
        <f ca="1">VLOOKUP($F32,OFFSET([1]characters!$A$2,0,0,COUNTA([1]characters!$A:$A),MATCH(J$1,[1]characters!$2:$2,0)-MATCH($F$1,[1]characters!$2:$2,0)+1),MATCH(J$1,[1]characters!$2:$2,0)-MATCH($F$1,[1]characters!$2:$2,0)+1,FALSE)</f>
        <v>yellow</v>
      </c>
      <c r="K32" s="10" t="str">
        <f ca="1">VLOOKUP($F32,OFFSET([1]characters!$A$2,0,0,COUNTA([1]characters!$A:$A),MATCH("タイプ",[1]characters!$1:$1,0)-MATCH($F$1,[1]characters!$2:$2,0)+2),MATCH("タイプ",[1]characters!$1:$1,0)-MATCH($F$1,[1]characters!$2:$2,0)+2,FALSE)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2" s="10" t="str">
        <f ca="1">VLOOKUP($F32,OFFSET([1]characters!$A$2,0,0,COUNTA([1]characters!$A:$A),MATCH($L$1,[1]characters!$1:$1,0)-MATCH($F$1,[1]characters!$2:$2,0)+2),MATCH($L$1,[1]characters!$1:$1,0)-MATCH($F$1,[1]characters!$2:$2,0)+2,FALSE)</f>
        <v>ヒューマン</v>
      </c>
      <c r="M32" s="6">
        <v>1</v>
      </c>
      <c r="N32" s="40">
        <f ca="1">VLOOKUP(D32,gacha_133_base!A:B,2,FALSE)</f>
        <v>2076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134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33" s="10" t="str">
        <f ca="1">VLOOKUP($F33,OFFSET([1]characters!$A$2,0,0,COUNTA([1]characters!$A:$A),MATCH(H$1,[1]characters!$2:$2,0)-MATCH($F$1,[1]characters!$2:$2,0)+1),MATCH(H$1,[1]characters!$2:$2,0)-MATCH($F$1,[1]characters!$2:$2,0)+1,FALSE)</f>
        <v>PremiumN</v>
      </c>
      <c r="I33" s="10">
        <f ca="1">VLOOKUP($F33,OFFSET([1]characters!$A$2,0,0,COUNTA([1]characters!$A:$A),MATCH(I$1,[1]characters!$2:$2,0)-MATCH($F$1,[1]characters!$2:$2,0)+1),MATCH(I$1,[1]characters!$2:$2,0)-MATCH($F$1,[1]characters!$2:$2,0)+1,FALSE)</f>
        <v>4</v>
      </c>
      <c r="J33" s="10" t="str">
        <f ca="1">VLOOKUP($F33,OFFSET([1]characters!$A$2,0,0,COUNTA([1]characters!$A:$A),MATCH(J$1,[1]characters!$2:$2,0)-MATCH($F$1,[1]characters!$2:$2,0)+1),MATCH(J$1,[1]characters!$2:$2,0)-MATCH($F$1,[1]characters!$2:$2,0)+1,FALSE)</f>
        <v>blue</v>
      </c>
      <c r="K33" s="10" t="str">
        <f ca="1">VLOOKUP($F33,OFFSET([1]characters!$A$2,0,0,COUNTA([1]characters!$A:$A),MATCH("タイプ",[1]characters!$1:$1,0)-MATCH($F$1,[1]characters!$2:$2,0)+2),MATCH("タイプ",[1]characters!$1:$1,0)-MATCH($F$1,[1]characters!$2:$2,0)+2,FALSE)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3" s="10" t="str">
        <f ca="1">VLOOKUP($F33,OFFSET([1]characters!$A$2,0,0,COUNTA([1]characters!$A:$A),MATCH($L$1,[1]characters!$1:$1,0)-MATCH($F$1,[1]characters!$2:$2,0)+2),MATCH($L$1,[1]characters!$1:$1,0)-MATCH($F$1,[1]characters!$2:$2,0)+2,FALSE)</f>
        <v>ヒューマン</v>
      </c>
      <c r="M33" s="6">
        <v>1</v>
      </c>
      <c r="N33" s="40">
        <f ca="1">VLOOKUP(D33,gacha_133_base!A:B,2,FALSE)</f>
        <v>2076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134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VLOOKUP($F34,OFFSET([1]characters!$A$2,0,0,COUNTA([1]characters!$A:$A),MATCH(G$1,[1]characters!$2:$2,0)-MATCH($F$1,[1]characters!$2:$2,0)+1),MATCH(G$1,[1]characters!$2:$2,0)-MATCH($F$1,[1]characters!$2:$2,0)+1,FALSE)</f>
        <v>焔神 プロメテウス</v>
      </c>
      <c r="H34" s="10" t="str">
        <f ca="1">VLOOKUP($F34,OFFSET([1]characters!$A$2,0,0,COUNTA([1]characters!$A:$A),MATCH(H$1,[1]characters!$2:$2,0)-MATCH($F$1,[1]characters!$2:$2,0)+1),MATCH(H$1,[1]characters!$2:$2,0)-MATCH($F$1,[1]characters!$2:$2,0)+1,FALSE)</f>
        <v>PremiumN</v>
      </c>
      <c r="I34" s="10">
        <f ca="1">VLOOKUP($F34,OFFSET([1]characters!$A$2,0,0,COUNTA([1]characters!$A:$A),MATCH(I$1,[1]characters!$2:$2,0)-MATCH($F$1,[1]characters!$2:$2,0)+1),MATCH(I$1,[1]characters!$2:$2,0)-MATCH($F$1,[1]characters!$2:$2,0)+1,FALSE)</f>
        <v>4</v>
      </c>
      <c r="J34" s="10" t="str">
        <f ca="1">VLOOKUP($F34,OFFSET([1]characters!$A$2,0,0,COUNTA([1]characters!$A:$A),MATCH(J$1,[1]characters!$2:$2,0)-MATCH($F$1,[1]characters!$2:$2,0)+1),MATCH(J$1,[1]characters!$2:$2,0)-MATCH($F$1,[1]characters!$2:$2,0)+1,FALSE)</f>
        <v>red</v>
      </c>
      <c r="K34" s="10" t="str">
        <f ca="1">VLOOKUP($F34,OFFSET([1]characters!$A$2,0,0,COUNTA([1]characters!$A:$A),MATCH("タイプ",[1]characters!$1:$1,0)-MATCH($F$1,[1]characters!$2:$2,0)+2),MATCH("タイプ",[1]characters!$1:$1,0)-MATCH($F$1,[1]characters!$2:$2,0)+2,FALSE)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4" s="10" t="str">
        <f ca="1">VLOOKUP($F34,OFFSET([1]characters!$A$2,0,0,COUNTA([1]characters!$A:$A),MATCH($L$1,[1]characters!$1:$1,0)-MATCH($F$1,[1]characters!$2:$2,0)+2),MATCH($L$1,[1]characters!$1:$1,0)-MATCH($F$1,[1]characters!$2:$2,0)+2,FALSE)</f>
        <v>ゴッド</v>
      </c>
      <c r="M34" s="6">
        <v>1</v>
      </c>
      <c r="N34" s="40">
        <f ca="1">VLOOKUP(D34,gacha_133_base!A:B,2,FALSE)</f>
        <v>2076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134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VLOOKUP($F35,OFFSET([1]characters!$A$2,0,0,COUNTA([1]characters!$A:$A),MATCH(G$1,[1]characters!$2:$2,0)-MATCH($F$1,[1]characters!$2:$2,0)+1),MATCH(G$1,[1]characters!$2:$2,0)-MATCH($F$1,[1]characters!$2:$2,0)+1,FALSE)</f>
        <v>美神 アフロディーテ</v>
      </c>
      <c r="H35" s="10" t="str">
        <f ca="1">VLOOKUP($F35,OFFSET([1]characters!$A$2,0,0,COUNTA([1]characters!$A:$A),MATCH(H$1,[1]characters!$2:$2,0)-MATCH($F$1,[1]characters!$2:$2,0)+1),MATCH(H$1,[1]characters!$2:$2,0)-MATCH($F$1,[1]characters!$2:$2,0)+1,FALSE)</f>
        <v>PremiumN</v>
      </c>
      <c r="I35" s="10">
        <f ca="1">VLOOKUP($F35,OFFSET([1]characters!$A$2,0,0,COUNTA([1]characters!$A:$A),MATCH(I$1,[1]characters!$2:$2,0)-MATCH($F$1,[1]characters!$2:$2,0)+1),MATCH(I$1,[1]characters!$2:$2,0)-MATCH($F$1,[1]characters!$2:$2,0)+1,FALSE)</f>
        <v>4</v>
      </c>
      <c r="J35" s="10" t="str">
        <f ca="1">VLOOKUP($F35,OFFSET([1]characters!$A$2,0,0,COUNTA([1]characters!$A:$A),MATCH(J$1,[1]characters!$2:$2,0)-MATCH($F$1,[1]characters!$2:$2,0)+1),MATCH(J$1,[1]characters!$2:$2,0)-MATCH($F$1,[1]characters!$2:$2,0)+1,FALSE)</f>
        <v>green</v>
      </c>
      <c r="K35" s="10" t="str">
        <f ca="1">VLOOKUP($F35,OFFSET([1]characters!$A$2,0,0,COUNTA([1]characters!$A:$A),MATCH("タイプ",[1]characters!$1:$1,0)-MATCH($F$1,[1]characters!$2:$2,0)+2),MATCH("タイプ",[1]characters!$1:$1,0)-MATCH($F$1,[1]characters!$2:$2,0)+2,FALSE)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5" s="10" t="str">
        <f ca="1">VLOOKUP($F35,OFFSET([1]characters!$A$2,0,0,COUNTA([1]characters!$A:$A),MATCH($L$1,[1]characters!$1:$1,0)-MATCH($F$1,[1]characters!$2:$2,0)+2),MATCH($L$1,[1]characters!$1:$1,0)-MATCH($F$1,[1]characters!$2:$2,0)+2,FALSE)</f>
        <v>ゴッド</v>
      </c>
      <c r="M35" s="6">
        <v>1</v>
      </c>
      <c r="N35" s="40">
        <f ca="1">VLOOKUP(D35,gacha_133_base!A:B,2,FALSE)</f>
        <v>2076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134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VLOOKUP($F36,OFFSET([1]characters!$A$2,0,0,COUNTA([1]characters!$A:$A),MATCH(G$1,[1]characters!$2:$2,0)-MATCH($F$1,[1]characters!$2:$2,0)+1),MATCH(G$1,[1]characters!$2:$2,0)-MATCH($F$1,[1]characters!$2:$2,0)+1,FALSE)</f>
        <v>孤神 テティス</v>
      </c>
      <c r="H36" s="10" t="str">
        <f ca="1">VLOOKUP($F36,OFFSET([1]characters!$A$2,0,0,COUNTA([1]characters!$A:$A),MATCH(H$1,[1]characters!$2:$2,0)-MATCH($F$1,[1]characters!$2:$2,0)+1),MATCH(H$1,[1]characters!$2:$2,0)-MATCH($F$1,[1]characters!$2:$2,0)+1,FALSE)</f>
        <v>PremiumN</v>
      </c>
      <c r="I36" s="10">
        <f ca="1">VLOOKUP($F36,OFFSET([1]characters!$A$2,0,0,COUNTA([1]characters!$A:$A),MATCH(I$1,[1]characters!$2:$2,0)-MATCH($F$1,[1]characters!$2:$2,0)+1),MATCH(I$1,[1]characters!$2:$2,0)-MATCH($F$1,[1]characters!$2:$2,0)+1,FALSE)</f>
        <v>4</v>
      </c>
      <c r="J36" s="10" t="str">
        <f ca="1">VLOOKUP($F36,OFFSET([1]characters!$A$2,0,0,COUNTA([1]characters!$A:$A),MATCH(J$1,[1]characters!$2:$2,0)-MATCH($F$1,[1]characters!$2:$2,0)+1),MATCH(J$1,[1]characters!$2:$2,0)-MATCH($F$1,[1]characters!$2:$2,0)+1,FALSE)</f>
        <v>blue</v>
      </c>
      <c r="K36" s="10" t="str">
        <f ca="1">VLOOKUP($F36,OFFSET([1]characters!$A$2,0,0,COUNTA([1]characters!$A:$A),MATCH("タイプ",[1]characters!$1:$1,0)-MATCH($F$1,[1]characters!$2:$2,0)+2),MATCH("タイプ",[1]characters!$1:$1,0)-MATCH($F$1,[1]characters!$2:$2,0)+2,FALSE)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6" s="10" t="str">
        <f ca="1">VLOOKUP($F36,OFFSET([1]characters!$A$2,0,0,COUNTA([1]characters!$A:$A),MATCH($L$1,[1]characters!$1:$1,0)-MATCH($F$1,[1]characters!$2:$2,0)+2),MATCH($L$1,[1]characters!$1:$1,0)-MATCH($F$1,[1]characters!$2:$2,0)+2,FALSE)</f>
        <v>ゴッド</v>
      </c>
      <c r="M36" s="6">
        <v>1</v>
      </c>
      <c r="N36" s="40">
        <f ca="1">VLOOKUP(D36,gacha_133_base!A:B,2,FALSE)</f>
        <v>2076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134</v>
      </c>
      <c r="C37" s="10" t="str">
        <f t="shared" ca="1" si="1"/>
        <v>1PremiumN4</v>
      </c>
      <c r="D37" s="10" t="str">
        <f t="shared" ca="1" si="2"/>
        <v>1PremiumN4</v>
      </c>
      <c r="E37" s="6">
        <v>1</v>
      </c>
      <c r="F37" s="7">
        <v>212</v>
      </c>
      <c r="G37" s="10" t="str">
        <f ca="1">VLOOKUP($F37,OFFSET([1]characters!$A$2,0,0,COUNTA([1]characters!$A:$A),MATCH(G$1,[1]characters!$2:$2,0)-MATCH($F$1,[1]characters!$2:$2,0)+1),MATCH(G$1,[1]characters!$2:$2,0)-MATCH($F$1,[1]characters!$2:$2,0)+1,FALSE)</f>
        <v>星神 アストライアー</v>
      </c>
      <c r="H37" s="10" t="str">
        <f ca="1">VLOOKUP($F37,OFFSET([1]characters!$A$2,0,0,COUNTA([1]characters!$A:$A),MATCH(H$1,[1]characters!$2:$2,0)-MATCH($F$1,[1]characters!$2:$2,0)+1),MATCH(H$1,[1]characters!$2:$2,0)-MATCH($F$1,[1]characters!$2:$2,0)+1,FALSE)</f>
        <v>PremiumN</v>
      </c>
      <c r="I37" s="10">
        <f ca="1">VLOOKUP($F37,OFFSET([1]characters!$A$2,0,0,COUNTA([1]characters!$A:$A),MATCH(I$1,[1]characters!$2:$2,0)-MATCH($F$1,[1]characters!$2:$2,0)+1),MATCH(I$1,[1]characters!$2:$2,0)-MATCH($F$1,[1]characters!$2:$2,0)+1,FALSE)</f>
        <v>4</v>
      </c>
      <c r="J37" s="10" t="str">
        <f ca="1">VLOOKUP($F37,OFFSET([1]characters!$A$2,0,0,COUNTA([1]characters!$A:$A),MATCH(J$1,[1]characters!$2:$2,0)-MATCH($F$1,[1]characters!$2:$2,0)+1),MATCH(J$1,[1]characters!$2:$2,0)-MATCH($F$1,[1]characters!$2:$2,0)+1,FALSE)</f>
        <v>yellow</v>
      </c>
      <c r="K37" s="10" t="str">
        <f ca="1">VLOOKUP($F37,OFFSET([1]characters!$A$2,0,0,COUNTA([1]characters!$A:$A),MATCH("タイプ",[1]characters!$1:$1,0)-MATCH($F$1,[1]characters!$2:$2,0)+2),MATCH("タイプ",[1]characters!$1:$1,0)-MATCH($F$1,[1]characters!$2:$2,0)+2,FALSE)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7" s="10" t="str">
        <f ca="1">VLOOKUP($F37,OFFSET([1]characters!$A$2,0,0,COUNTA([1]characters!$A:$A),MATCH($L$1,[1]characters!$1:$1,0)-MATCH($F$1,[1]characters!$2:$2,0)+2),MATCH($L$1,[1]characters!$1:$1,0)-MATCH($F$1,[1]characters!$2:$2,0)+2,FALSE)</f>
        <v>ゴッド</v>
      </c>
      <c r="M37" s="6">
        <v>1</v>
      </c>
      <c r="N37" s="40">
        <f ca="1">VLOOKUP(D37,gacha_133_base!A:B,2,FALSE)</f>
        <v>2076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134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VLOOKUP($F38,OFFSET([1]characters!$A$2,0,0,COUNTA([1]characters!$A:$A),MATCH(G$1,[1]characters!$2:$2,0)-MATCH($F$1,[1]characters!$2:$2,0)+1),MATCH(G$1,[1]characters!$2:$2,0)-MATCH($F$1,[1]characters!$2:$2,0)+1,FALSE)</f>
        <v>死導者 アズラエル</v>
      </c>
      <c r="H38" s="10" t="str">
        <f ca="1">VLOOKUP($F38,OFFSET([1]characters!$A$2,0,0,COUNTA([1]characters!$A:$A),MATCH(H$1,[1]characters!$2:$2,0)-MATCH($F$1,[1]characters!$2:$2,0)+1),MATCH(H$1,[1]characters!$2:$2,0)-MATCH($F$1,[1]characters!$2:$2,0)+1,FALSE)</f>
        <v>PremiumN</v>
      </c>
      <c r="I38" s="10">
        <f ca="1">VLOOKUP($F38,OFFSET([1]characters!$A$2,0,0,COUNTA([1]characters!$A:$A),MATCH(I$1,[1]characters!$2:$2,0)-MATCH($F$1,[1]characters!$2:$2,0)+1),MATCH(I$1,[1]characters!$2:$2,0)-MATCH($F$1,[1]characters!$2:$2,0)+1,FALSE)</f>
        <v>4</v>
      </c>
      <c r="J38" s="10" t="str">
        <f ca="1">VLOOKUP($F38,OFFSET([1]characters!$A$2,0,0,COUNTA([1]characters!$A:$A),MATCH(J$1,[1]characters!$2:$2,0)-MATCH($F$1,[1]characters!$2:$2,0)+1),MATCH(J$1,[1]characters!$2:$2,0)-MATCH($F$1,[1]characters!$2:$2,0)+1,FALSE)</f>
        <v>red</v>
      </c>
      <c r="K38" s="10" t="str">
        <f ca="1">VLOOKUP($F38,OFFSET([1]characters!$A$2,0,0,COUNTA([1]characters!$A:$A),MATCH("タイプ",[1]characters!$1:$1,0)-MATCH($F$1,[1]characters!$2:$2,0)+2),MATCH("タイプ",[1]characters!$1:$1,0)-MATCH($F$1,[1]characters!$2:$2,0)+2,FALSE)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8" s="10" t="str">
        <f ca="1">VLOOKUP($F38,OFFSET([1]characters!$A$2,0,0,COUNTA([1]characters!$A:$A),MATCH($L$1,[1]characters!$1:$1,0)-MATCH($F$1,[1]characters!$2:$2,0)+2),MATCH($L$1,[1]characters!$1:$1,0)-MATCH($F$1,[1]characters!$2:$2,0)+2,FALSE)</f>
        <v>ゴッド</v>
      </c>
      <c r="M38" s="6">
        <v>1</v>
      </c>
      <c r="N38" s="40">
        <f ca="1">VLOOKUP(D38,gacha_133_base!A:B,2,FALSE)</f>
        <v>2076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134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VLOOKUP($F39,OFFSET([1]characters!$A$2,0,0,COUNTA([1]characters!$A:$A),MATCH(G$1,[1]characters!$2:$2,0)-MATCH($F$1,[1]characters!$2:$2,0)+1),MATCH(G$1,[1]characters!$2:$2,0)-MATCH($F$1,[1]characters!$2:$2,0)+1,FALSE)</f>
        <v>聖蛇 ケツァクアトル</v>
      </c>
      <c r="H39" s="10" t="str">
        <f ca="1">VLOOKUP($F39,OFFSET([1]characters!$A$2,0,0,COUNTA([1]characters!$A:$A),MATCH(H$1,[1]characters!$2:$2,0)-MATCH($F$1,[1]characters!$2:$2,0)+1),MATCH(H$1,[1]characters!$2:$2,0)-MATCH($F$1,[1]characters!$2:$2,0)+1,FALSE)</f>
        <v>PremiumN</v>
      </c>
      <c r="I39" s="10">
        <f ca="1">VLOOKUP($F39,OFFSET([1]characters!$A$2,0,0,COUNTA([1]characters!$A:$A),MATCH(I$1,[1]characters!$2:$2,0)-MATCH($F$1,[1]characters!$2:$2,0)+1),MATCH(I$1,[1]characters!$2:$2,0)-MATCH($F$1,[1]characters!$2:$2,0)+1,FALSE)</f>
        <v>4</v>
      </c>
      <c r="J39" s="10" t="str">
        <f ca="1">VLOOKUP($F39,OFFSET([1]characters!$A$2,0,0,COUNTA([1]characters!$A:$A),MATCH(J$1,[1]characters!$2:$2,0)-MATCH($F$1,[1]characters!$2:$2,0)+1),MATCH(J$1,[1]characters!$2:$2,0)-MATCH($F$1,[1]characters!$2:$2,0)+1,FALSE)</f>
        <v>green</v>
      </c>
      <c r="K39" s="10" t="str">
        <f ca="1">VLOOKUP($F39,OFFSET([1]characters!$A$2,0,0,COUNTA([1]characters!$A:$A),MATCH("タイプ",[1]characters!$1:$1,0)-MATCH($F$1,[1]characters!$2:$2,0)+2),MATCH("タイプ",[1]characters!$1:$1,0)-MATCH($F$1,[1]characters!$2:$2,0)+2,FALSE)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9" s="10" t="str">
        <f ca="1">VLOOKUP($F39,OFFSET([1]characters!$A$2,0,0,COUNTA([1]characters!$A:$A),MATCH($L$1,[1]characters!$1:$1,0)-MATCH($F$1,[1]characters!$2:$2,0)+2),MATCH($L$1,[1]characters!$1:$1,0)-MATCH($F$1,[1]characters!$2:$2,0)+2,FALSE)</f>
        <v>ドラゴン</v>
      </c>
      <c r="M39" s="6">
        <v>1</v>
      </c>
      <c r="N39" s="40">
        <f ca="1">VLOOKUP(D39,gacha_133_base!A:B,2,FALSE)</f>
        <v>2076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134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VLOOKUP($F40,OFFSET([1]characters!$A$2,0,0,COUNTA([1]characters!$A:$A),MATCH(G$1,[1]characters!$2:$2,0)-MATCH($F$1,[1]characters!$2:$2,0)+1),MATCH(G$1,[1]characters!$2:$2,0)-MATCH($F$1,[1]characters!$2:$2,0)+1,FALSE)</f>
        <v>宰相 ルキフグス</v>
      </c>
      <c r="H40" s="10" t="str">
        <f ca="1">VLOOKUP($F40,OFFSET([1]characters!$A$2,0,0,COUNTA([1]characters!$A:$A),MATCH(H$1,[1]characters!$2:$2,0)-MATCH($F$1,[1]characters!$2:$2,0)+1),MATCH(H$1,[1]characters!$2:$2,0)-MATCH($F$1,[1]characters!$2:$2,0)+1,FALSE)</f>
        <v>PremiumN</v>
      </c>
      <c r="I40" s="10">
        <f ca="1">VLOOKUP($F40,OFFSET([1]characters!$A$2,0,0,COUNTA([1]characters!$A:$A),MATCH(I$1,[1]characters!$2:$2,0)-MATCH($F$1,[1]characters!$2:$2,0)+1),MATCH(I$1,[1]characters!$2:$2,0)-MATCH($F$1,[1]characters!$2:$2,0)+1,FALSE)</f>
        <v>4</v>
      </c>
      <c r="J40" s="10" t="str">
        <f ca="1">VLOOKUP($F40,OFFSET([1]characters!$A$2,0,0,COUNTA([1]characters!$A:$A),MATCH(J$1,[1]characters!$2:$2,0)-MATCH($F$1,[1]characters!$2:$2,0)+1),MATCH(J$1,[1]characters!$2:$2,0)-MATCH($F$1,[1]characters!$2:$2,0)+1,FALSE)</f>
        <v>blue</v>
      </c>
      <c r="K40" s="10" t="str">
        <f ca="1">VLOOKUP($F40,OFFSET([1]characters!$A$2,0,0,COUNTA([1]characters!$A:$A),MATCH("タイプ",[1]characters!$1:$1,0)-MATCH($F$1,[1]characters!$2:$2,0)+2),MATCH("タイプ",[1]characters!$1:$1,0)-MATCH($F$1,[1]characters!$2:$2,0)+2,FALSE)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0" s="10" t="str">
        <f ca="1">VLOOKUP($F40,OFFSET([1]characters!$A$2,0,0,COUNTA([1]characters!$A:$A),MATCH($L$1,[1]characters!$1:$1,0)-MATCH($F$1,[1]characters!$2:$2,0)+2),MATCH($L$1,[1]characters!$1:$1,0)-MATCH($F$1,[1]characters!$2:$2,0)+2,FALSE)</f>
        <v>ゴッド</v>
      </c>
      <c r="M40" s="6">
        <v>1</v>
      </c>
      <c r="N40" s="40">
        <f ca="1">VLOOKUP(D40,gacha_133_base!A:B,2,FALSE)</f>
        <v>2076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134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VLOOKUP($F41,OFFSET([1]characters!$A$2,0,0,COUNTA([1]characters!$A:$A),MATCH(G$1,[1]characters!$2:$2,0)-MATCH($F$1,[1]characters!$2:$2,0)+1),MATCH(G$1,[1]characters!$2:$2,0)-MATCH($F$1,[1]characters!$2:$2,0)+1,FALSE)</f>
        <v>巨腕 ヘラクレス</v>
      </c>
      <c r="H41" s="10" t="str">
        <f ca="1">VLOOKUP($F41,OFFSET([1]characters!$A$2,0,0,COUNTA([1]characters!$A:$A),MATCH(H$1,[1]characters!$2:$2,0)-MATCH($F$1,[1]characters!$2:$2,0)+1),MATCH(H$1,[1]characters!$2:$2,0)-MATCH($F$1,[1]characters!$2:$2,0)+1,FALSE)</f>
        <v>PremiumN</v>
      </c>
      <c r="I41" s="10">
        <f ca="1">VLOOKUP($F41,OFFSET([1]characters!$A$2,0,0,COUNTA([1]characters!$A:$A),MATCH(I$1,[1]characters!$2:$2,0)-MATCH($F$1,[1]characters!$2:$2,0)+1),MATCH(I$1,[1]characters!$2:$2,0)-MATCH($F$1,[1]characters!$2:$2,0)+1,FALSE)</f>
        <v>4</v>
      </c>
      <c r="J41" s="10" t="str">
        <f ca="1">VLOOKUP($F41,OFFSET([1]characters!$A$2,0,0,COUNTA([1]characters!$A:$A),MATCH(J$1,[1]characters!$2:$2,0)-MATCH($F$1,[1]characters!$2:$2,0)+1),MATCH(J$1,[1]characters!$2:$2,0)-MATCH($F$1,[1]characters!$2:$2,0)+1,FALSE)</f>
        <v>yellow</v>
      </c>
      <c r="K41" s="10" t="str">
        <f ca="1">VLOOKUP($F41,OFFSET([1]characters!$A$2,0,0,COUNTA([1]characters!$A:$A),MATCH("タイプ",[1]characters!$1:$1,0)-MATCH($F$1,[1]characters!$2:$2,0)+2),MATCH("タイプ",[1]characters!$1:$1,0)-MATCH($F$1,[1]characters!$2:$2,0)+2,FALSE)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1" s="10" t="str">
        <f ca="1">VLOOKUP($F41,OFFSET([1]characters!$A$2,0,0,COUNTA([1]characters!$A:$A),MATCH($L$1,[1]characters!$1:$1,0)-MATCH($F$1,[1]characters!$2:$2,0)+2),MATCH($L$1,[1]characters!$1:$1,0)-MATCH($F$1,[1]characters!$2:$2,0)+2,FALSE)</f>
        <v>ヒューマン</v>
      </c>
      <c r="M41" s="6">
        <v>1</v>
      </c>
      <c r="N41" s="40">
        <f ca="1">VLOOKUP(D41,gacha_133_base!A:B,2,FALSE)</f>
        <v>2076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134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VLOOKUP($F42,OFFSET([1]characters!$A$2,0,0,COUNTA([1]characters!$A:$A),MATCH(G$1,[1]characters!$2:$2,0)-MATCH($F$1,[1]characters!$2:$2,0)+1),MATCH(G$1,[1]characters!$2:$2,0)-MATCH($F$1,[1]characters!$2:$2,0)+1,FALSE)</f>
        <v>滅弾 アレス</v>
      </c>
      <c r="H42" s="10" t="str">
        <f ca="1">VLOOKUP($F42,OFFSET([1]characters!$A$2,0,0,COUNTA([1]characters!$A:$A),MATCH(H$1,[1]characters!$2:$2,0)-MATCH($F$1,[1]characters!$2:$2,0)+1),MATCH(H$1,[1]characters!$2:$2,0)-MATCH($F$1,[1]characters!$2:$2,0)+1,FALSE)</f>
        <v>PremiumS</v>
      </c>
      <c r="I42" s="10">
        <f ca="1">VLOOKUP($F42,OFFSET([1]characters!$A$2,0,0,COUNTA([1]characters!$A:$A),MATCH(I$1,[1]characters!$2:$2,0)-MATCH($F$1,[1]characters!$2:$2,0)+1),MATCH(I$1,[1]characters!$2:$2,0)-MATCH($F$1,[1]characters!$2:$2,0)+1,FALSE)</f>
        <v>4</v>
      </c>
      <c r="J42" s="10" t="str">
        <f ca="1">VLOOKUP($F42,OFFSET([1]characters!$A$2,0,0,COUNTA([1]characters!$A:$A),MATCH(J$1,[1]characters!$2:$2,0)-MATCH($F$1,[1]characters!$2:$2,0)+1),MATCH(J$1,[1]characters!$2:$2,0)-MATCH($F$1,[1]characters!$2:$2,0)+1,FALSE)</f>
        <v>red</v>
      </c>
      <c r="K42" s="10" t="str">
        <f ca="1">VLOOKUP($F42,OFFSET([1]characters!$A$2,0,0,COUNTA([1]characters!$A:$A),MATCH("タイプ",[1]characters!$1:$1,0)-MATCH($F$1,[1]characters!$2:$2,0)+2),MATCH("タイプ",[1]characters!$1:$1,0)-MATCH($F$1,[1]characters!$2:$2,0)+2,FALSE)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2" s="10" t="str">
        <f ca="1">VLOOKUP($F42,OFFSET([1]characters!$A$2,0,0,COUNTA([1]characters!$A:$A),MATCH($L$1,[1]characters!$1:$1,0)-MATCH($F$1,[1]characters!$2:$2,0)+2),MATCH($L$1,[1]characters!$1:$1,0)-MATCH($F$1,[1]characters!$2:$2,0)+2,FALSE)</f>
        <v>ゴッド</v>
      </c>
      <c r="M42" s="6">
        <v>1</v>
      </c>
      <c r="N42" s="40">
        <f ca="1">VLOOKUP(D42,gacha_133_base!A:B,2,FALSE)</f>
        <v>200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134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VLOOKUP($F43,OFFSET([1]characters!$A$2,0,0,COUNTA([1]characters!$A:$A),MATCH(G$1,[1]characters!$2:$2,0)-MATCH($F$1,[1]characters!$2:$2,0)+1),MATCH(G$1,[1]characters!$2:$2,0)-MATCH($F$1,[1]characters!$2:$2,0)+1,FALSE)</f>
        <v>毒銃 ヨルムンガンド</v>
      </c>
      <c r="H43" s="10" t="str">
        <f ca="1">VLOOKUP($F43,OFFSET([1]characters!$A$2,0,0,COUNTA([1]characters!$A:$A),MATCH(H$1,[1]characters!$2:$2,0)-MATCH($F$1,[1]characters!$2:$2,0)+1),MATCH(H$1,[1]characters!$2:$2,0)-MATCH($F$1,[1]characters!$2:$2,0)+1,FALSE)</f>
        <v>PremiumS</v>
      </c>
      <c r="I43" s="10">
        <f ca="1">VLOOKUP($F43,OFFSET([1]characters!$A$2,0,0,COUNTA([1]characters!$A:$A),MATCH(I$1,[1]characters!$2:$2,0)-MATCH($F$1,[1]characters!$2:$2,0)+1),MATCH(I$1,[1]characters!$2:$2,0)-MATCH($F$1,[1]characters!$2:$2,0)+1,FALSE)</f>
        <v>4</v>
      </c>
      <c r="J43" s="10" t="str">
        <f ca="1">VLOOKUP($F43,OFFSET([1]characters!$A$2,0,0,COUNTA([1]characters!$A:$A),MATCH(J$1,[1]characters!$2:$2,0)-MATCH($F$1,[1]characters!$2:$2,0)+1),MATCH(J$1,[1]characters!$2:$2,0)-MATCH($F$1,[1]characters!$2:$2,0)+1,FALSE)</f>
        <v>green</v>
      </c>
      <c r="K43" s="10" t="str">
        <f ca="1">VLOOKUP($F43,OFFSET([1]characters!$A$2,0,0,COUNTA([1]characters!$A:$A),MATCH("タイプ",[1]characters!$1:$1,0)-MATCH($F$1,[1]characters!$2:$2,0)+2),MATCH("タイプ",[1]characters!$1:$1,0)-MATCH($F$1,[1]characters!$2:$2,0)+2,FALSE)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3" s="10" t="str">
        <f ca="1">VLOOKUP($F43,OFFSET([1]characters!$A$2,0,0,COUNTA([1]characters!$A:$A),MATCH($L$1,[1]characters!$1:$1,0)-MATCH($F$1,[1]characters!$2:$2,0)+2),MATCH($L$1,[1]characters!$1:$1,0)-MATCH($F$1,[1]characters!$2:$2,0)+2,FALSE)</f>
        <v>ドラゴン</v>
      </c>
      <c r="M43" s="6">
        <v>1</v>
      </c>
      <c r="N43" s="40">
        <f ca="1">VLOOKUP(D43,gacha_133_base!A:B,2,FALSE)</f>
        <v>200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134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VLOOKUP($F44,OFFSET([1]characters!$A$2,0,0,COUNTA([1]characters!$A:$A),MATCH(G$1,[1]characters!$2:$2,0)-MATCH($F$1,[1]characters!$2:$2,0)+1),MATCH(G$1,[1]characters!$2:$2,0)-MATCH($F$1,[1]characters!$2:$2,0)+1,FALSE)</f>
        <v>遂行 パーシヴァル</v>
      </c>
      <c r="H44" s="10" t="str">
        <f ca="1">VLOOKUP($F44,OFFSET([1]characters!$A$2,0,0,COUNTA([1]characters!$A:$A),MATCH(H$1,[1]characters!$2:$2,0)-MATCH($F$1,[1]characters!$2:$2,0)+1),MATCH(H$1,[1]characters!$2:$2,0)-MATCH($F$1,[1]characters!$2:$2,0)+1,FALSE)</f>
        <v>PremiumS</v>
      </c>
      <c r="I44" s="10">
        <f ca="1">VLOOKUP($F44,OFFSET([1]characters!$A$2,0,0,COUNTA([1]characters!$A:$A),MATCH(I$1,[1]characters!$2:$2,0)-MATCH($F$1,[1]characters!$2:$2,0)+1),MATCH(I$1,[1]characters!$2:$2,0)-MATCH($F$1,[1]characters!$2:$2,0)+1,FALSE)</f>
        <v>4</v>
      </c>
      <c r="J44" s="10" t="str">
        <f ca="1">VLOOKUP($F44,OFFSET([1]characters!$A$2,0,0,COUNTA([1]characters!$A:$A),MATCH(J$1,[1]characters!$2:$2,0)-MATCH($F$1,[1]characters!$2:$2,0)+1),MATCH(J$1,[1]characters!$2:$2,0)-MATCH($F$1,[1]characters!$2:$2,0)+1,FALSE)</f>
        <v>blue</v>
      </c>
      <c r="K44" s="10" t="str">
        <f ca="1">VLOOKUP($F44,OFFSET([1]characters!$A$2,0,0,COUNTA([1]characters!$A:$A),MATCH("タイプ",[1]characters!$1:$1,0)-MATCH($F$1,[1]characters!$2:$2,0)+2),MATCH("タイプ",[1]characters!$1:$1,0)-MATCH($F$1,[1]characters!$2:$2,0)+2,FALSE)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4" s="10" t="str">
        <f ca="1">VLOOKUP($F44,OFFSET([1]characters!$A$2,0,0,COUNTA([1]characters!$A:$A),MATCH($L$1,[1]characters!$1:$1,0)-MATCH($F$1,[1]characters!$2:$2,0)+2),MATCH($L$1,[1]characters!$1:$1,0)-MATCH($F$1,[1]characters!$2:$2,0)+2,FALSE)</f>
        <v>ヒューマン</v>
      </c>
      <c r="M44" s="6">
        <v>1</v>
      </c>
      <c r="N44" s="40">
        <f ca="1">VLOOKUP(D44,gacha_133_base!A:B,2,FALSE)</f>
        <v>200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134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VLOOKUP($F45,OFFSET([1]characters!$A$2,0,0,COUNTA([1]characters!$A:$A),MATCH(G$1,[1]characters!$2:$2,0)-MATCH($F$1,[1]characters!$2:$2,0)+1),MATCH(G$1,[1]characters!$2:$2,0)-MATCH($F$1,[1]characters!$2:$2,0)+1,FALSE)</f>
        <v>神産 イザナミ</v>
      </c>
      <c r="H45" s="10" t="str">
        <f ca="1">VLOOKUP($F45,OFFSET([1]characters!$A$2,0,0,COUNTA([1]characters!$A:$A),MATCH(H$1,[1]characters!$2:$2,0)-MATCH($F$1,[1]characters!$2:$2,0)+1),MATCH(H$1,[1]characters!$2:$2,0)-MATCH($F$1,[1]characters!$2:$2,0)+1,FALSE)</f>
        <v>PremiumS</v>
      </c>
      <c r="I45" s="10">
        <f ca="1">VLOOKUP($F45,OFFSET([1]characters!$A$2,0,0,COUNTA([1]characters!$A:$A),MATCH(I$1,[1]characters!$2:$2,0)-MATCH($F$1,[1]characters!$2:$2,0)+1),MATCH(I$1,[1]characters!$2:$2,0)-MATCH($F$1,[1]characters!$2:$2,0)+1,FALSE)</f>
        <v>4</v>
      </c>
      <c r="J45" s="10" t="str">
        <f ca="1">VLOOKUP($F45,OFFSET([1]characters!$A$2,0,0,COUNTA([1]characters!$A:$A),MATCH(J$1,[1]characters!$2:$2,0)-MATCH($F$1,[1]characters!$2:$2,0)+1),MATCH(J$1,[1]characters!$2:$2,0)-MATCH($F$1,[1]characters!$2:$2,0)+1,FALSE)</f>
        <v>yellow</v>
      </c>
      <c r="K45" s="10" t="str">
        <f ca="1">VLOOKUP($F45,OFFSET([1]characters!$A$2,0,0,COUNTA([1]characters!$A:$A),MATCH("タイプ",[1]characters!$1:$1,0)-MATCH($F$1,[1]characters!$2:$2,0)+2),MATCH("タイプ",[1]characters!$1:$1,0)-MATCH($F$1,[1]characters!$2:$2,0)+2,FALSE)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5" s="10" t="str">
        <f ca="1">VLOOKUP($F45,OFFSET([1]characters!$A$2,0,0,COUNTA([1]characters!$A:$A),MATCH($L$1,[1]characters!$1:$1,0)-MATCH($F$1,[1]characters!$2:$2,0)+2),MATCH($L$1,[1]characters!$1:$1,0)-MATCH($F$1,[1]characters!$2:$2,0)+2,FALSE)</f>
        <v>ゴッド</v>
      </c>
      <c r="M45" s="6">
        <v>1</v>
      </c>
      <c r="N45" s="40">
        <f ca="1">VLOOKUP(D45,gacha_133_base!A:B,2,FALSE)</f>
        <v>200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11681</v>
      </c>
      <c r="B46" s="2">
        <f t="shared" si="3"/>
        <v>134</v>
      </c>
      <c r="C46" s="10" t="str">
        <f t="shared" ca="1" si="1"/>
        <v>1PremiumN5</v>
      </c>
      <c r="D46" s="10" t="str">
        <f t="shared" ca="1" si="2"/>
        <v>1PremiumN5</v>
      </c>
      <c r="E46" s="6">
        <v>1</v>
      </c>
      <c r="F46" s="7">
        <v>168</v>
      </c>
      <c r="G46" s="10" t="str">
        <f ca="1">VLOOKUP($F46,OFFSET([1]characters!$A$2,0,0,COUNTA([1]characters!$A:$A),MATCH(G$1,[1]characters!$2:$2,0)-MATCH($F$1,[1]characters!$2:$2,0)+1),MATCH(G$1,[1]characters!$2:$2,0)-MATCH($F$1,[1]characters!$2:$2,0)+1,FALSE)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46" s="10" t="str">
        <f ca="1">VLOOKUP($F46,OFFSET([1]characters!$A$2,0,0,COUNTA([1]characters!$A:$A),MATCH(H$1,[1]characters!$2:$2,0)-MATCH($F$1,[1]characters!$2:$2,0)+1),MATCH(H$1,[1]characters!$2:$2,0)-MATCH($F$1,[1]characters!$2:$2,0)+1,FALSE)</f>
        <v>PremiumN</v>
      </c>
      <c r="I46" s="10">
        <f ca="1">VLOOKUP($F46,OFFSET([1]characters!$A$2,0,0,COUNTA([1]characters!$A:$A),MATCH(I$1,[1]characters!$2:$2,0)-MATCH($F$1,[1]characters!$2:$2,0)+1),MATCH(I$1,[1]characters!$2:$2,0)-MATCH($F$1,[1]characters!$2:$2,0)+1,FALSE)</f>
        <v>5</v>
      </c>
      <c r="J46" s="10" t="str">
        <f ca="1">VLOOKUP($F46,OFFSET([1]characters!$A$2,0,0,COUNTA([1]characters!$A:$A),MATCH(J$1,[1]characters!$2:$2,0)-MATCH($F$1,[1]characters!$2:$2,0)+1),MATCH(J$1,[1]characters!$2:$2,0)-MATCH($F$1,[1]characters!$2:$2,0)+1,FALSE)</f>
        <v>red</v>
      </c>
      <c r="K46" s="10" t="str">
        <f ca="1">VLOOKUP($F46,OFFSET([1]characters!$A$2,0,0,COUNTA([1]characters!$A:$A),MATCH("タイプ",[1]characters!$1:$1,0)-MATCH($F$1,[1]characters!$2:$2,0)+2),MATCH("タイプ",[1]characters!$1:$1,0)-MATCH($F$1,[1]characters!$2:$2,0)+2,FALSE)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6" s="10" t="str">
        <f ca="1">VLOOKUP($F46,OFFSET([1]characters!$A$2,0,0,COUNTA([1]characters!$A:$A),MATCH($L$1,[1]characters!$1:$1,0)-MATCH($F$1,[1]characters!$2:$2,0)+2),MATCH($L$1,[1]characters!$1:$1,0)-MATCH($F$1,[1]characters!$2:$2,0)+2,FALSE)</f>
        <v>ゴッド</v>
      </c>
      <c r="M46" s="6">
        <v>1</v>
      </c>
      <c r="N46" s="40">
        <f ca="1">VLOOKUP(D46,gacha_133_base!A:B,2,FALSE)</f>
        <v>174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si="0"/>
        <v>11711</v>
      </c>
      <c r="B47" s="2">
        <f t="shared" si="3"/>
        <v>134</v>
      </c>
      <c r="C47" s="10" t="str">
        <f t="shared" ca="1" si="1"/>
        <v>1PremiumN5</v>
      </c>
      <c r="D47" s="10" t="str">
        <f t="shared" ca="1" si="2"/>
        <v>1PremiumN5</v>
      </c>
      <c r="E47" s="6">
        <v>1</v>
      </c>
      <c r="F47" s="7">
        <v>171</v>
      </c>
      <c r="G47" s="10" t="str">
        <f ca="1">VLOOKUP($F47,OFFSET([1]characters!$A$2,0,0,COUNTA([1]characters!$A:$A),MATCH(G$1,[1]characters!$2:$2,0)-MATCH($F$1,[1]characters!$2:$2,0)+1),MATCH(G$1,[1]characters!$2:$2,0)-MATCH($F$1,[1]characters!$2:$2,0)+1,FALSE)</f>
        <v>精解の預知者 オセ</v>
      </c>
      <c r="H47" s="10" t="str">
        <f ca="1">VLOOKUP($F47,OFFSET([1]characters!$A$2,0,0,COUNTA([1]characters!$A:$A),MATCH(H$1,[1]characters!$2:$2,0)-MATCH($F$1,[1]characters!$2:$2,0)+1),MATCH(H$1,[1]characters!$2:$2,0)-MATCH($F$1,[1]characters!$2:$2,0)+1,FALSE)</f>
        <v>PremiumN</v>
      </c>
      <c r="I47" s="10">
        <f ca="1">VLOOKUP($F47,OFFSET([1]characters!$A$2,0,0,COUNTA([1]characters!$A:$A),MATCH(I$1,[1]characters!$2:$2,0)-MATCH($F$1,[1]characters!$2:$2,0)+1),MATCH(I$1,[1]characters!$2:$2,0)-MATCH($F$1,[1]characters!$2:$2,0)+1,FALSE)</f>
        <v>5</v>
      </c>
      <c r="J47" s="10" t="str">
        <f ca="1">VLOOKUP($F47,OFFSET([1]characters!$A$2,0,0,COUNTA([1]characters!$A:$A),MATCH(J$1,[1]characters!$2:$2,0)-MATCH($F$1,[1]characters!$2:$2,0)+1),MATCH(J$1,[1]characters!$2:$2,0)-MATCH($F$1,[1]characters!$2:$2,0)+1,FALSE)</f>
        <v>green</v>
      </c>
      <c r="K47" s="10" t="str">
        <f ca="1">VLOOKUP($F47,OFFSET([1]characters!$A$2,0,0,COUNTA([1]characters!$A:$A),MATCH("タイプ",[1]characters!$1:$1,0)-MATCH($F$1,[1]characters!$2:$2,0)+2),MATCH("タイプ",[1]characters!$1:$1,0)-MATCH($F$1,[1]characters!$2:$2,0)+2,FALSE)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7" s="10" t="str">
        <f ca="1">VLOOKUP($F47,OFFSET([1]characters!$A$2,0,0,COUNTA([1]characters!$A:$A),MATCH($L$1,[1]characters!$1:$1,0)-MATCH($F$1,[1]characters!$2:$2,0)+2),MATCH($L$1,[1]characters!$1:$1,0)-MATCH($F$1,[1]characters!$2:$2,0)+2,FALSE)</f>
        <v>ゴッド</v>
      </c>
      <c r="M47" s="6">
        <v>1</v>
      </c>
      <c r="N47" s="40">
        <f ca="1">VLOOKUP(D47,gacha_133_base!A:B,2,FALSE)</f>
        <v>174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0"/>
        <v>11741</v>
      </c>
      <c r="B48" s="2">
        <f t="shared" si="3"/>
        <v>134</v>
      </c>
      <c r="C48" s="10" t="str">
        <f t="shared" ca="1" si="1"/>
        <v>1PremiumN5</v>
      </c>
      <c r="D48" s="10" t="str">
        <f t="shared" ca="1" si="2"/>
        <v>1PremiumN5</v>
      </c>
      <c r="E48" s="6">
        <v>1</v>
      </c>
      <c r="F48" s="7">
        <v>174</v>
      </c>
      <c r="G48" s="10" t="str">
        <f ca="1">VLOOKUP($F48,OFFSET([1]characters!$A$2,0,0,COUNTA([1]characters!$A:$A),MATCH(G$1,[1]characters!$2:$2,0)-MATCH($F$1,[1]characters!$2:$2,0)+1),MATCH(G$1,[1]characters!$2:$2,0)-MATCH($F$1,[1]characters!$2:$2,0)+1,FALSE)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48" s="10" t="str">
        <f ca="1">VLOOKUP($F48,OFFSET([1]characters!$A$2,0,0,COUNTA([1]characters!$A:$A),MATCH(H$1,[1]characters!$2:$2,0)-MATCH($F$1,[1]characters!$2:$2,0)+1),MATCH(H$1,[1]characters!$2:$2,0)-MATCH($F$1,[1]characters!$2:$2,0)+1,FALSE)</f>
        <v>PremiumN</v>
      </c>
      <c r="I48" s="10">
        <f ca="1">VLOOKUP($F48,OFFSET([1]characters!$A$2,0,0,COUNTA([1]characters!$A:$A),MATCH(I$1,[1]characters!$2:$2,0)-MATCH($F$1,[1]characters!$2:$2,0)+1),MATCH(I$1,[1]characters!$2:$2,0)-MATCH($F$1,[1]characters!$2:$2,0)+1,FALSE)</f>
        <v>5</v>
      </c>
      <c r="J48" s="10" t="str">
        <f ca="1">VLOOKUP($F48,OFFSET([1]characters!$A$2,0,0,COUNTA([1]characters!$A:$A),MATCH(J$1,[1]characters!$2:$2,0)-MATCH($F$1,[1]characters!$2:$2,0)+1),MATCH(J$1,[1]characters!$2:$2,0)-MATCH($F$1,[1]characters!$2:$2,0)+1,FALSE)</f>
        <v>blue</v>
      </c>
      <c r="K48" s="10" t="str">
        <f ca="1">VLOOKUP($F48,OFFSET([1]characters!$A$2,0,0,COUNTA([1]characters!$A:$A),MATCH("タイプ",[1]characters!$1:$1,0)-MATCH($F$1,[1]characters!$2:$2,0)+2),MATCH("タイプ",[1]characters!$1:$1,0)-MATCH($F$1,[1]characters!$2:$2,0)+2,FALSE)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8" s="10" t="str">
        <f ca="1">VLOOKUP($F48,OFFSET([1]characters!$A$2,0,0,COUNTA([1]characters!$A:$A),MATCH($L$1,[1]characters!$1:$1,0)-MATCH($F$1,[1]characters!$2:$2,0)+2),MATCH($L$1,[1]characters!$1:$1,0)-MATCH($F$1,[1]characters!$2:$2,0)+2,FALSE)</f>
        <v>ゴッド</v>
      </c>
      <c r="M48" s="6">
        <v>1</v>
      </c>
      <c r="N48" s="40">
        <f ca="1">VLOOKUP(D48,gacha_133_base!A:B,2,FALSE)</f>
        <v>174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0"/>
        <v>11771</v>
      </c>
      <c r="B49" s="2">
        <f t="shared" si="3"/>
        <v>134</v>
      </c>
      <c r="C49" s="10" t="str">
        <f t="shared" ca="1" si="1"/>
        <v>1PremiumN5</v>
      </c>
      <c r="D49" s="10" t="str">
        <f t="shared" ca="1" si="2"/>
        <v>1PremiumN5</v>
      </c>
      <c r="E49" s="6">
        <v>1</v>
      </c>
      <c r="F49" s="7">
        <v>177</v>
      </c>
      <c r="G49" s="10" t="str">
        <f ca="1">VLOOKUP($F49,OFFSET([1]characters!$A$2,0,0,COUNTA([1]characters!$A:$A),MATCH(G$1,[1]characters!$2:$2,0)-MATCH($F$1,[1]characters!$2:$2,0)+1),MATCH(G$1,[1]characters!$2:$2,0)-MATCH($F$1,[1]characters!$2:$2,0)+1,FALSE)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49" s="10" t="str">
        <f ca="1">VLOOKUP($F49,OFFSET([1]characters!$A$2,0,0,COUNTA([1]characters!$A:$A),MATCH(H$1,[1]characters!$2:$2,0)-MATCH($F$1,[1]characters!$2:$2,0)+1),MATCH(H$1,[1]characters!$2:$2,0)-MATCH($F$1,[1]characters!$2:$2,0)+1,FALSE)</f>
        <v>PremiumN</v>
      </c>
      <c r="I49" s="10">
        <f ca="1">VLOOKUP($F49,OFFSET([1]characters!$A$2,0,0,COUNTA([1]characters!$A:$A),MATCH(I$1,[1]characters!$2:$2,0)-MATCH($F$1,[1]characters!$2:$2,0)+1),MATCH(I$1,[1]characters!$2:$2,0)-MATCH($F$1,[1]characters!$2:$2,0)+1,FALSE)</f>
        <v>5</v>
      </c>
      <c r="J49" s="10" t="str">
        <f ca="1">VLOOKUP($F49,OFFSET([1]characters!$A$2,0,0,COUNTA([1]characters!$A:$A),MATCH(J$1,[1]characters!$2:$2,0)-MATCH($F$1,[1]characters!$2:$2,0)+1),MATCH(J$1,[1]characters!$2:$2,0)-MATCH($F$1,[1]characters!$2:$2,0)+1,FALSE)</f>
        <v>yellow</v>
      </c>
      <c r="K49" s="10" t="str">
        <f ca="1">VLOOKUP($F49,OFFSET([1]characters!$A$2,0,0,COUNTA([1]characters!$A:$A),MATCH("タイプ",[1]characters!$1:$1,0)-MATCH($F$1,[1]characters!$2:$2,0)+2),MATCH("タイプ",[1]characters!$1:$1,0)-MATCH($F$1,[1]characters!$2:$2,0)+2,FALSE)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9" s="10" t="str">
        <f ca="1">VLOOKUP($F49,OFFSET([1]characters!$A$2,0,0,COUNTA([1]characters!$A:$A),MATCH($L$1,[1]characters!$1:$1,0)-MATCH($F$1,[1]characters!$2:$2,0)+2),MATCH($L$1,[1]characters!$1:$1,0)-MATCH($F$1,[1]characters!$2:$2,0)+2,FALSE)</f>
        <v>ゴッド</v>
      </c>
      <c r="M49" s="6">
        <v>1</v>
      </c>
      <c r="N49" s="40">
        <f ca="1">VLOOKUP(D49,gacha_133_base!A:B,2,FALSE)</f>
        <v>174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0"/>
        <v>11801</v>
      </c>
      <c r="B50" s="2">
        <f t="shared" si="3"/>
        <v>134</v>
      </c>
      <c r="C50" s="10" t="str">
        <f t="shared" ca="1" si="1"/>
        <v>1PremiumN5</v>
      </c>
      <c r="D50" s="10" t="str">
        <f t="shared" ca="1" si="2"/>
        <v>1PremiumN5</v>
      </c>
      <c r="E50" s="6">
        <v>1</v>
      </c>
      <c r="F50" s="7">
        <v>180</v>
      </c>
      <c r="G50" s="10" t="str">
        <f ca="1">VLOOKUP($F50,OFFSET([1]characters!$A$2,0,0,COUNTA([1]characters!$A:$A),MATCH(G$1,[1]characters!$2:$2,0)-MATCH($F$1,[1]characters!$2:$2,0)+1),MATCH(G$1,[1]characters!$2:$2,0)-MATCH($F$1,[1]characters!$2:$2,0)+1,FALSE)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50" s="10" t="str">
        <f ca="1">VLOOKUP($F50,OFFSET([1]characters!$A$2,0,0,COUNTA([1]characters!$A:$A),MATCH(H$1,[1]characters!$2:$2,0)-MATCH($F$1,[1]characters!$2:$2,0)+1),MATCH(H$1,[1]characters!$2:$2,0)-MATCH($F$1,[1]characters!$2:$2,0)+1,FALSE)</f>
        <v>PremiumN</v>
      </c>
      <c r="I50" s="10">
        <f ca="1">VLOOKUP($F50,OFFSET([1]characters!$A$2,0,0,COUNTA([1]characters!$A:$A),MATCH(I$1,[1]characters!$2:$2,0)-MATCH($F$1,[1]characters!$2:$2,0)+1),MATCH(I$1,[1]characters!$2:$2,0)-MATCH($F$1,[1]characters!$2:$2,0)+1,FALSE)</f>
        <v>5</v>
      </c>
      <c r="J50" s="10" t="str">
        <f ca="1">VLOOKUP($F50,OFFSET([1]characters!$A$2,0,0,COUNTA([1]characters!$A:$A),MATCH(J$1,[1]characters!$2:$2,0)-MATCH($F$1,[1]characters!$2:$2,0)+1),MATCH(J$1,[1]characters!$2:$2,0)-MATCH($F$1,[1]characters!$2:$2,0)+1,FALSE)</f>
        <v>red</v>
      </c>
      <c r="K50" s="10" t="str">
        <f ca="1">VLOOKUP($F50,OFFSET([1]characters!$A$2,0,0,COUNTA([1]characters!$A:$A),MATCH("タイプ",[1]characters!$1:$1,0)-MATCH($F$1,[1]characters!$2:$2,0)+2),MATCH("タイプ",[1]characters!$1:$1,0)-MATCH($F$1,[1]characters!$2:$2,0)+2,FALSE)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0" s="10" t="str">
        <f ca="1">VLOOKUP($F50,OFFSET([1]characters!$A$2,0,0,COUNTA([1]characters!$A:$A),MATCH($L$1,[1]characters!$1:$1,0)-MATCH($F$1,[1]characters!$2:$2,0)+2),MATCH($L$1,[1]characters!$1:$1,0)-MATCH($F$1,[1]characters!$2:$2,0)+2,FALSE)</f>
        <v>アニマル</v>
      </c>
      <c r="M50" s="6">
        <v>1</v>
      </c>
      <c r="N50" s="40">
        <f ca="1">VLOOKUP(D50,gacha_133_base!A:B,2,FALSE)</f>
        <v>174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ht="21" customHeight="1">
      <c r="A51" s="8" t="str">
        <f t="shared" si="0"/>
        <v>11831</v>
      </c>
      <c r="B51" s="2">
        <f t="shared" si="3"/>
        <v>134</v>
      </c>
      <c r="C51" s="10" t="str">
        <f t="shared" ca="1" si="1"/>
        <v>1PremiumN5</v>
      </c>
      <c r="D51" s="10" t="str">
        <f t="shared" ca="1" si="2"/>
        <v>1PremiumN5</v>
      </c>
      <c r="E51" s="6">
        <v>1</v>
      </c>
      <c r="F51" s="7">
        <v>183</v>
      </c>
      <c r="G51" s="10" t="str">
        <f ca="1">VLOOKUP($F51,OFFSET([1]characters!$A$2,0,0,COUNTA([1]characters!$A:$A),MATCH(G$1,[1]characters!$2:$2,0)-MATCH($F$1,[1]characters!$2:$2,0)+1),MATCH(G$1,[1]characters!$2:$2,0)-MATCH($F$1,[1]characters!$2:$2,0)+1,FALSE)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51" s="10" t="str">
        <f ca="1">VLOOKUP($F51,OFFSET([1]characters!$A$2,0,0,COUNTA([1]characters!$A:$A),MATCH(H$1,[1]characters!$2:$2,0)-MATCH($F$1,[1]characters!$2:$2,0)+1),MATCH(H$1,[1]characters!$2:$2,0)-MATCH($F$1,[1]characters!$2:$2,0)+1,FALSE)</f>
        <v>PremiumN</v>
      </c>
      <c r="I51" s="10">
        <f ca="1">VLOOKUP($F51,OFFSET([1]characters!$A$2,0,0,COUNTA([1]characters!$A:$A),MATCH(I$1,[1]characters!$2:$2,0)-MATCH($F$1,[1]characters!$2:$2,0)+1),MATCH(I$1,[1]characters!$2:$2,0)-MATCH($F$1,[1]characters!$2:$2,0)+1,FALSE)</f>
        <v>5</v>
      </c>
      <c r="J51" s="10" t="str">
        <f ca="1">VLOOKUP($F51,OFFSET([1]characters!$A$2,0,0,COUNTA([1]characters!$A:$A),MATCH(J$1,[1]characters!$2:$2,0)-MATCH($F$1,[1]characters!$2:$2,0)+1),MATCH(J$1,[1]characters!$2:$2,0)-MATCH($F$1,[1]characters!$2:$2,0)+1,FALSE)</f>
        <v>green</v>
      </c>
      <c r="K51" s="10" t="str">
        <f ca="1">VLOOKUP($F51,OFFSET([1]characters!$A$2,0,0,COUNTA([1]characters!$A:$A),MATCH("タイプ",[1]characters!$1:$1,0)-MATCH($F$1,[1]characters!$2:$2,0)+2),MATCH("タイプ",[1]characters!$1:$1,0)-MATCH($F$1,[1]characters!$2:$2,0)+2,FALSE)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1" s="10" t="str">
        <f ca="1">VLOOKUP($F51,OFFSET([1]characters!$A$2,0,0,COUNTA([1]characters!$A:$A),MATCH($L$1,[1]characters!$1:$1,0)-MATCH($F$1,[1]characters!$2:$2,0)+2),MATCH($L$1,[1]characters!$1:$1,0)-MATCH($F$1,[1]characters!$2:$2,0)+2,FALSE)</f>
        <v>アニマル</v>
      </c>
      <c r="M51" s="6">
        <v>1</v>
      </c>
      <c r="N51" s="40">
        <f ca="1">VLOOKUP(D51,gacha_133_base!A:B,2,FALSE)</f>
        <v>174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>
      <c r="A52" s="8" t="str">
        <f t="shared" si="0"/>
        <v>11861</v>
      </c>
      <c r="B52" s="2">
        <f t="shared" si="3"/>
        <v>134</v>
      </c>
      <c r="C52" s="10" t="str">
        <f t="shared" ca="1" si="1"/>
        <v>1PremiumN5</v>
      </c>
      <c r="D52" s="10" t="str">
        <f t="shared" ca="1" si="2"/>
        <v>1PremiumN5</v>
      </c>
      <c r="E52" s="6">
        <v>1</v>
      </c>
      <c r="F52" s="7">
        <v>186</v>
      </c>
      <c r="G52" s="10" t="str">
        <f ca="1">VLOOKUP($F52,OFFSET([1]characters!$A$2,0,0,COUNTA([1]characters!$A:$A),MATCH(G$1,[1]characters!$2:$2,0)-MATCH($F$1,[1]characters!$2:$2,0)+1),MATCH(G$1,[1]characters!$2:$2,0)-MATCH($F$1,[1]characters!$2:$2,0)+1,FALSE)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52" s="10" t="str">
        <f ca="1">VLOOKUP($F52,OFFSET([1]characters!$A$2,0,0,COUNTA([1]characters!$A:$A),MATCH(H$1,[1]characters!$2:$2,0)-MATCH($F$1,[1]characters!$2:$2,0)+1),MATCH(H$1,[1]characters!$2:$2,0)-MATCH($F$1,[1]characters!$2:$2,0)+1,FALSE)</f>
        <v>PremiumN</v>
      </c>
      <c r="I52" s="10">
        <f ca="1">VLOOKUP($F52,OFFSET([1]characters!$A$2,0,0,COUNTA([1]characters!$A:$A),MATCH(I$1,[1]characters!$2:$2,0)-MATCH($F$1,[1]characters!$2:$2,0)+1),MATCH(I$1,[1]characters!$2:$2,0)-MATCH($F$1,[1]characters!$2:$2,0)+1,FALSE)</f>
        <v>5</v>
      </c>
      <c r="J52" s="10" t="str">
        <f ca="1">VLOOKUP($F52,OFFSET([1]characters!$A$2,0,0,COUNTA([1]characters!$A:$A),MATCH(J$1,[1]characters!$2:$2,0)-MATCH($F$1,[1]characters!$2:$2,0)+1),MATCH(J$1,[1]characters!$2:$2,0)-MATCH($F$1,[1]characters!$2:$2,0)+1,FALSE)</f>
        <v>blue</v>
      </c>
      <c r="K52" s="10" t="str">
        <f ca="1">VLOOKUP($F52,OFFSET([1]characters!$A$2,0,0,COUNTA([1]characters!$A:$A),MATCH("タイプ",[1]characters!$1:$1,0)-MATCH($F$1,[1]characters!$2:$2,0)+2),MATCH("タイプ",[1]characters!$1:$1,0)-MATCH($F$1,[1]characters!$2:$2,0)+2,FALSE)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52" s="10" t="str">
        <f ca="1">VLOOKUP($F52,OFFSET([1]characters!$A$2,0,0,COUNTA([1]characters!$A:$A),MATCH($L$1,[1]characters!$1:$1,0)-MATCH($F$1,[1]characters!$2:$2,0)+2),MATCH($L$1,[1]characters!$1:$1,0)-MATCH($F$1,[1]characters!$2:$2,0)+2,FALSE)</f>
        <v>アニマル</v>
      </c>
      <c r="M52" s="6">
        <v>1</v>
      </c>
      <c r="N52" s="40">
        <f ca="1">VLOOKUP(D52,gacha_133_base!A:B,2,FALSE)</f>
        <v>174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>
      <c r="A53" s="8" t="str">
        <f t="shared" si="0"/>
        <v>11891</v>
      </c>
      <c r="B53" s="2">
        <f t="shared" si="3"/>
        <v>134</v>
      </c>
      <c r="C53" s="10" t="str">
        <f t="shared" ca="1" si="1"/>
        <v>1PremiumN5</v>
      </c>
      <c r="D53" s="10" t="str">
        <f t="shared" ca="1" si="2"/>
        <v>1PremiumN5</v>
      </c>
      <c r="E53" s="6">
        <v>1</v>
      </c>
      <c r="F53" s="7">
        <v>189</v>
      </c>
      <c r="G53" s="10" t="str">
        <f ca="1">VLOOKUP($F53,OFFSET([1]characters!$A$2,0,0,COUNTA([1]characters!$A:$A),MATCH(G$1,[1]characters!$2:$2,0)-MATCH($F$1,[1]characters!$2:$2,0)+1),MATCH(G$1,[1]characters!$2:$2,0)-MATCH($F$1,[1]characters!$2:$2,0)+1,FALSE)</f>
        <v>迅雷の王禽 ホルス</v>
      </c>
      <c r="H53" s="10" t="str">
        <f ca="1">VLOOKUP($F53,OFFSET([1]characters!$A$2,0,0,COUNTA([1]characters!$A:$A),MATCH(H$1,[1]characters!$2:$2,0)-MATCH($F$1,[1]characters!$2:$2,0)+1),MATCH(H$1,[1]characters!$2:$2,0)-MATCH($F$1,[1]characters!$2:$2,0)+1,FALSE)</f>
        <v>PremiumN</v>
      </c>
      <c r="I53" s="10">
        <f ca="1">VLOOKUP($F53,OFFSET([1]characters!$A$2,0,0,COUNTA([1]characters!$A:$A),MATCH(I$1,[1]characters!$2:$2,0)-MATCH($F$1,[1]characters!$2:$2,0)+1),MATCH(I$1,[1]characters!$2:$2,0)-MATCH($F$1,[1]characters!$2:$2,0)+1,FALSE)</f>
        <v>5</v>
      </c>
      <c r="J53" s="10" t="str">
        <f ca="1">VLOOKUP($F53,OFFSET([1]characters!$A$2,0,0,COUNTA([1]characters!$A:$A),MATCH(J$1,[1]characters!$2:$2,0)-MATCH($F$1,[1]characters!$2:$2,0)+1),MATCH(J$1,[1]characters!$2:$2,0)-MATCH($F$1,[1]characters!$2:$2,0)+1,FALSE)</f>
        <v>yellow</v>
      </c>
      <c r="K53" s="10" t="str">
        <f ca="1">VLOOKUP($F53,OFFSET([1]characters!$A$2,0,0,COUNTA([1]characters!$A:$A),MATCH("タイプ",[1]characters!$1:$1,0)-MATCH($F$1,[1]characters!$2:$2,0)+2),MATCH("タイプ",[1]characters!$1:$1,0)-MATCH($F$1,[1]characters!$2:$2,0)+2,FALSE)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3" s="10" t="str">
        <f ca="1">VLOOKUP($F53,OFFSET([1]characters!$A$2,0,0,COUNTA([1]characters!$A:$A),MATCH($L$1,[1]characters!$1:$1,0)-MATCH($F$1,[1]characters!$2:$2,0)+2),MATCH($L$1,[1]characters!$1:$1,0)-MATCH($F$1,[1]characters!$2:$2,0)+2,FALSE)</f>
        <v>アニマル</v>
      </c>
      <c r="M53" s="6">
        <v>1</v>
      </c>
      <c r="N53" s="40">
        <f ca="1">VLOOKUP(D53,gacha_133_base!A:B,2,FALSE)</f>
        <v>174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>
      <c r="A54" s="8" t="str">
        <f t="shared" si="0"/>
        <v>11921</v>
      </c>
      <c r="B54" s="2">
        <f t="shared" si="3"/>
        <v>134</v>
      </c>
      <c r="C54" s="10" t="str">
        <f t="shared" ca="1" si="1"/>
        <v>1PremiumN5</v>
      </c>
      <c r="D54" s="10" t="str">
        <f t="shared" ca="1" si="2"/>
        <v>1PremiumN5</v>
      </c>
      <c r="E54" s="6">
        <v>1</v>
      </c>
      <c r="F54" s="7">
        <v>192</v>
      </c>
      <c r="G54" s="10" t="str">
        <f ca="1">VLOOKUP($F54,OFFSET([1]characters!$A$2,0,0,COUNTA([1]characters!$A:$A),MATCH(G$1,[1]characters!$2:$2,0)-MATCH($F$1,[1]characters!$2:$2,0)+1),MATCH(G$1,[1]characters!$2:$2,0)-MATCH($F$1,[1]characters!$2:$2,0)+1,FALSE)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54" s="10" t="str">
        <f ca="1">VLOOKUP($F54,OFFSET([1]characters!$A$2,0,0,COUNTA([1]characters!$A:$A),MATCH(H$1,[1]characters!$2:$2,0)-MATCH($F$1,[1]characters!$2:$2,0)+1),MATCH(H$1,[1]characters!$2:$2,0)-MATCH($F$1,[1]characters!$2:$2,0)+1,FALSE)</f>
        <v>PremiumN</v>
      </c>
      <c r="I54" s="10">
        <f ca="1">VLOOKUP($F54,OFFSET([1]characters!$A$2,0,0,COUNTA([1]characters!$A:$A),MATCH(I$1,[1]characters!$2:$2,0)-MATCH($F$1,[1]characters!$2:$2,0)+1),MATCH(I$1,[1]characters!$2:$2,0)-MATCH($F$1,[1]characters!$2:$2,0)+1,FALSE)</f>
        <v>5</v>
      </c>
      <c r="J54" s="10" t="str">
        <f ca="1">VLOOKUP($F54,OFFSET([1]characters!$A$2,0,0,COUNTA([1]characters!$A:$A),MATCH(J$1,[1]characters!$2:$2,0)-MATCH($F$1,[1]characters!$2:$2,0)+1),MATCH(J$1,[1]characters!$2:$2,0)-MATCH($F$1,[1]characters!$2:$2,0)+1,FALSE)</f>
        <v>red</v>
      </c>
      <c r="K54" s="10" t="str">
        <f ca="1">VLOOKUP($F54,OFFSET([1]characters!$A$2,0,0,COUNTA([1]characters!$A:$A),MATCH("タイプ",[1]characters!$1:$1,0)-MATCH($F$1,[1]characters!$2:$2,0)+2),MATCH("タイプ",[1]characters!$1:$1,0)-MATCH($F$1,[1]characters!$2:$2,0)+2,FALSE)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4" s="10" t="str">
        <f ca="1">VLOOKUP($F54,OFFSET([1]characters!$A$2,0,0,COUNTA([1]characters!$A:$A),MATCH($L$1,[1]characters!$1:$1,0)-MATCH($F$1,[1]characters!$2:$2,0)+2),MATCH($L$1,[1]characters!$1:$1,0)-MATCH($F$1,[1]characters!$2:$2,0)+2,FALSE)</f>
        <v>ヒューマン</v>
      </c>
      <c r="M54" s="6">
        <v>1</v>
      </c>
      <c r="N54" s="40">
        <f ca="1">VLOOKUP(D54,gacha_133_base!A:B,2,FALSE)</f>
        <v>174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>
      <c r="A55" s="8" t="str">
        <f t="shared" si="0"/>
        <v>11951</v>
      </c>
      <c r="B55" s="2">
        <f t="shared" si="3"/>
        <v>134</v>
      </c>
      <c r="C55" s="10" t="str">
        <f t="shared" ca="1" si="1"/>
        <v>1PremiumN5</v>
      </c>
      <c r="D55" s="10" t="str">
        <f t="shared" ca="1" si="2"/>
        <v>1PremiumN5</v>
      </c>
      <c r="E55" s="6">
        <v>1</v>
      </c>
      <c r="F55" s="7">
        <v>195</v>
      </c>
      <c r="G55" s="10" t="str">
        <f ca="1">VLOOKUP($F55,OFFSET([1]characters!$A$2,0,0,COUNTA([1]characters!$A:$A),MATCH(G$1,[1]characters!$2:$2,0)-MATCH($F$1,[1]characters!$2:$2,0)+1),MATCH(G$1,[1]characters!$2:$2,0)-MATCH($F$1,[1]characters!$2:$2,0)+1,FALSE)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55" s="10" t="str">
        <f ca="1">VLOOKUP($F55,OFFSET([1]characters!$A$2,0,0,COUNTA([1]characters!$A:$A),MATCH(H$1,[1]characters!$2:$2,0)-MATCH($F$1,[1]characters!$2:$2,0)+1),MATCH(H$1,[1]characters!$2:$2,0)-MATCH($F$1,[1]characters!$2:$2,0)+1,FALSE)</f>
        <v>PremiumN</v>
      </c>
      <c r="I55" s="10">
        <f ca="1">VLOOKUP($F55,OFFSET([1]characters!$A$2,0,0,COUNTA([1]characters!$A:$A),MATCH(I$1,[1]characters!$2:$2,0)-MATCH($F$1,[1]characters!$2:$2,0)+1),MATCH(I$1,[1]characters!$2:$2,0)-MATCH($F$1,[1]characters!$2:$2,0)+1,FALSE)</f>
        <v>5</v>
      </c>
      <c r="J55" s="10" t="str">
        <f ca="1">VLOOKUP($F55,OFFSET([1]characters!$A$2,0,0,COUNTA([1]characters!$A:$A),MATCH(J$1,[1]characters!$2:$2,0)-MATCH($F$1,[1]characters!$2:$2,0)+1),MATCH(J$1,[1]characters!$2:$2,0)-MATCH($F$1,[1]characters!$2:$2,0)+1,FALSE)</f>
        <v>green</v>
      </c>
      <c r="K55" s="10" t="str">
        <f ca="1">VLOOKUP($F55,OFFSET([1]characters!$A$2,0,0,COUNTA([1]characters!$A:$A),MATCH("タイプ",[1]characters!$1:$1,0)-MATCH($F$1,[1]characters!$2:$2,0)+2),MATCH("タイプ",[1]characters!$1:$1,0)-MATCH($F$1,[1]characters!$2:$2,0)+2,FALSE)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5" s="10" t="str">
        <f ca="1">VLOOKUP($F55,OFFSET([1]characters!$A$2,0,0,COUNTA([1]characters!$A:$A),MATCH($L$1,[1]characters!$1:$1,0)-MATCH($F$1,[1]characters!$2:$2,0)+2),MATCH($L$1,[1]characters!$1:$1,0)-MATCH($F$1,[1]characters!$2:$2,0)+2,FALSE)</f>
        <v>ヒューマン</v>
      </c>
      <c r="M55" s="6">
        <v>1</v>
      </c>
      <c r="N55" s="40">
        <f ca="1">VLOOKUP(D55,gacha_133_base!A:B,2,FALSE)</f>
        <v>174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>
      <c r="A56" s="8" t="str">
        <f t="shared" si="0"/>
        <v>11981</v>
      </c>
      <c r="B56" s="2">
        <f t="shared" si="3"/>
        <v>134</v>
      </c>
      <c r="C56" s="10" t="str">
        <f t="shared" ca="1" si="1"/>
        <v>1PremiumN5</v>
      </c>
      <c r="D56" s="10" t="str">
        <f t="shared" ca="1" si="2"/>
        <v>1PremiumN5</v>
      </c>
      <c r="E56" s="6">
        <v>1</v>
      </c>
      <c r="F56" s="7">
        <v>198</v>
      </c>
      <c r="G56" s="10" t="str">
        <f ca="1">VLOOKUP($F56,OFFSET([1]characters!$A$2,0,0,COUNTA([1]characters!$A:$A),MATCH(G$1,[1]characters!$2:$2,0)-MATCH($F$1,[1]characters!$2:$2,0)+1),MATCH(G$1,[1]characters!$2:$2,0)-MATCH($F$1,[1]characters!$2:$2,0)+1,FALSE)</f>
        <v>砕骨の剛腕 アキレス</v>
      </c>
      <c r="H56" s="10" t="str">
        <f ca="1">VLOOKUP($F56,OFFSET([1]characters!$A$2,0,0,COUNTA([1]characters!$A:$A),MATCH(H$1,[1]characters!$2:$2,0)-MATCH($F$1,[1]characters!$2:$2,0)+1),MATCH(H$1,[1]characters!$2:$2,0)-MATCH($F$1,[1]characters!$2:$2,0)+1,FALSE)</f>
        <v>PremiumN</v>
      </c>
      <c r="I56" s="10">
        <f ca="1">VLOOKUP($F56,OFFSET([1]characters!$A$2,0,0,COUNTA([1]characters!$A:$A),MATCH(I$1,[1]characters!$2:$2,0)-MATCH($F$1,[1]characters!$2:$2,0)+1),MATCH(I$1,[1]characters!$2:$2,0)-MATCH($F$1,[1]characters!$2:$2,0)+1,FALSE)</f>
        <v>5</v>
      </c>
      <c r="J56" s="10" t="str">
        <f ca="1">VLOOKUP($F56,OFFSET([1]characters!$A$2,0,0,COUNTA([1]characters!$A:$A),MATCH(J$1,[1]characters!$2:$2,0)-MATCH($F$1,[1]characters!$2:$2,0)+1),MATCH(J$1,[1]characters!$2:$2,0)-MATCH($F$1,[1]characters!$2:$2,0)+1,FALSE)</f>
        <v>yellow</v>
      </c>
      <c r="K56" s="10" t="str">
        <f ca="1">VLOOKUP($F56,OFFSET([1]characters!$A$2,0,0,COUNTA([1]characters!$A:$A),MATCH("タイプ",[1]characters!$1:$1,0)-MATCH($F$1,[1]characters!$2:$2,0)+2),MATCH("タイプ",[1]characters!$1:$1,0)-MATCH($F$1,[1]characters!$2:$2,0)+2,FALSE)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6" s="10" t="str">
        <f ca="1">VLOOKUP($F56,OFFSET([1]characters!$A$2,0,0,COUNTA([1]characters!$A:$A),MATCH($L$1,[1]characters!$1:$1,0)-MATCH($F$1,[1]characters!$2:$2,0)+2),MATCH($L$1,[1]characters!$1:$1,0)-MATCH($F$1,[1]characters!$2:$2,0)+2,FALSE)</f>
        <v>ヒューマン</v>
      </c>
      <c r="M56" s="6">
        <v>1</v>
      </c>
      <c r="N56" s="40">
        <f ca="1">VLOOKUP(D56,gacha_133_base!A:B,2,FALSE)</f>
        <v>174</v>
      </c>
      <c r="O56" s="28">
        <v>0</v>
      </c>
      <c r="P56" s="28">
        <v>0</v>
      </c>
      <c r="Q56" s="28">
        <v>0</v>
      </c>
      <c r="R56" s="28">
        <v>0</v>
      </c>
      <c r="S56" s="28">
        <v>1</v>
      </c>
    </row>
    <row r="57" spans="1:19" ht="21" customHeight="1">
      <c r="A57" s="8" t="str">
        <f t="shared" si="0"/>
        <v>12011</v>
      </c>
      <c r="B57" s="2">
        <f t="shared" si="3"/>
        <v>134</v>
      </c>
      <c r="C57" s="10" t="str">
        <f t="shared" ca="1" si="1"/>
        <v>1PremiumN5</v>
      </c>
      <c r="D57" s="10" t="str">
        <f t="shared" ca="1" si="2"/>
        <v>1PremiumN5</v>
      </c>
      <c r="E57" s="6">
        <v>1</v>
      </c>
      <c r="F57" s="7">
        <v>201</v>
      </c>
      <c r="G57" s="10" t="str">
        <f ca="1">VLOOKUP($F57,OFFSET([1]characters!$A$2,0,0,COUNTA([1]characters!$A:$A),MATCH(G$1,[1]characters!$2:$2,0)-MATCH($F$1,[1]characters!$2:$2,0)+1),MATCH(G$1,[1]characters!$2:$2,0)-MATCH($F$1,[1]characters!$2:$2,0)+1,FALSE)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57" s="10" t="str">
        <f ca="1">VLOOKUP($F57,OFFSET([1]characters!$A$2,0,0,COUNTA([1]characters!$A:$A),MATCH(H$1,[1]characters!$2:$2,0)-MATCH($F$1,[1]characters!$2:$2,0)+1),MATCH(H$1,[1]characters!$2:$2,0)-MATCH($F$1,[1]characters!$2:$2,0)+1,FALSE)</f>
        <v>PremiumN</v>
      </c>
      <c r="I57" s="10">
        <f ca="1">VLOOKUP($F57,OFFSET([1]characters!$A$2,0,0,COUNTA([1]characters!$A:$A),MATCH(I$1,[1]characters!$2:$2,0)-MATCH($F$1,[1]characters!$2:$2,0)+1),MATCH(I$1,[1]characters!$2:$2,0)-MATCH($F$1,[1]characters!$2:$2,0)+1,FALSE)</f>
        <v>5</v>
      </c>
      <c r="J57" s="10" t="str">
        <f ca="1">VLOOKUP($F57,OFFSET([1]characters!$A$2,0,0,COUNTA([1]characters!$A:$A),MATCH(J$1,[1]characters!$2:$2,0)-MATCH($F$1,[1]characters!$2:$2,0)+1),MATCH(J$1,[1]characters!$2:$2,0)-MATCH($F$1,[1]characters!$2:$2,0)+1,FALSE)</f>
        <v>blue</v>
      </c>
      <c r="K57" s="10" t="str">
        <f ca="1">VLOOKUP($F57,OFFSET([1]characters!$A$2,0,0,COUNTA([1]characters!$A:$A),MATCH("タイプ",[1]characters!$1:$1,0)-MATCH($F$1,[1]characters!$2:$2,0)+2),MATCH("タイプ",[1]characters!$1:$1,0)-MATCH($F$1,[1]characters!$2:$2,0)+2,FALSE)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7" s="10" t="str">
        <f ca="1">VLOOKUP($F57,OFFSET([1]characters!$A$2,0,0,COUNTA([1]characters!$A:$A),MATCH($L$1,[1]characters!$1:$1,0)-MATCH($F$1,[1]characters!$2:$2,0)+2),MATCH($L$1,[1]characters!$1:$1,0)-MATCH($F$1,[1]characters!$2:$2,0)+2,FALSE)</f>
        <v>ヒューマン</v>
      </c>
      <c r="M57" s="6">
        <v>1</v>
      </c>
      <c r="N57" s="40">
        <f ca="1">VLOOKUP(D57,gacha_133_base!A:B,2,FALSE)</f>
        <v>174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>
      <c r="A58" s="8" t="str">
        <f t="shared" si="0"/>
        <v>12041</v>
      </c>
      <c r="B58" s="2">
        <f t="shared" si="3"/>
        <v>134</v>
      </c>
      <c r="C58" s="10" t="str">
        <f t="shared" ca="1" si="1"/>
        <v>1PremiumN5</v>
      </c>
      <c r="D58" s="10" t="str">
        <f t="shared" ca="1" si="2"/>
        <v>1PremiumN5</v>
      </c>
      <c r="E58" s="6">
        <v>1</v>
      </c>
      <c r="F58" s="7">
        <v>204</v>
      </c>
      <c r="G58" s="10" t="str">
        <f ca="1">VLOOKUP($F58,OFFSET([1]characters!$A$2,0,0,COUNTA([1]characters!$A:$A),MATCH(G$1,[1]characters!$2:$2,0)-MATCH($F$1,[1]characters!$2:$2,0)+1),MATCH(G$1,[1]characters!$2:$2,0)-MATCH($F$1,[1]characters!$2:$2,0)+1,FALSE)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58" s="10" t="str">
        <f ca="1">VLOOKUP($F58,OFFSET([1]characters!$A$2,0,0,COUNTA([1]characters!$A:$A),MATCH(H$1,[1]characters!$2:$2,0)-MATCH($F$1,[1]characters!$2:$2,0)+1),MATCH(H$1,[1]characters!$2:$2,0)-MATCH($F$1,[1]characters!$2:$2,0)+1,FALSE)</f>
        <v>PremiumN</v>
      </c>
      <c r="I58" s="10">
        <f ca="1">VLOOKUP($F58,OFFSET([1]characters!$A$2,0,0,COUNTA([1]characters!$A:$A),MATCH(I$1,[1]characters!$2:$2,0)-MATCH($F$1,[1]characters!$2:$2,0)+1),MATCH(I$1,[1]characters!$2:$2,0)-MATCH($F$1,[1]characters!$2:$2,0)+1,FALSE)</f>
        <v>5</v>
      </c>
      <c r="J58" s="10" t="str">
        <f ca="1">VLOOKUP($F58,OFFSET([1]characters!$A$2,0,0,COUNTA([1]characters!$A:$A),MATCH(J$1,[1]characters!$2:$2,0)-MATCH($F$1,[1]characters!$2:$2,0)+1),MATCH(J$1,[1]characters!$2:$2,0)-MATCH($F$1,[1]characters!$2:$2,0)+1,FALSE)</f>
        <v>red</v>
      </c>
      <c r="K58" s="10" t="str">
        <f ca="1">VLOOKUP($F58,OFFSET([1]characters!$A$2,0,0,COUNTA([1]characters!$A:$A),MATCH("タイプ",[1]characters!$1:$1,0)-MATCH($F$1,[1]characters!$2:$2,0)+2),MATCH("タイプ",[1]characters!$1:$1,0)-MATCH($F$1,[1]characters!$2:$2,0)+2,FALSE)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8" s="10" t="str">
        <f ca="1">VLOOKUP($F58,OFFSET([1]characters!$A$2,0,0,COUNTA([1]characters!$A:$A),MATCH($L$1,[1]characters!$1:$1,0)-MATCH($F$1,[1]characters!$2:$2,0)+2),MATCH($L$1,[1]characters!$1:$1,0)-MATCH($F$1,[1]characters!$2:$2,0)+2,FALSE)</f>
        <v>ゴッド</v>
      </c>
      <c r="M58" s="6">
        <v>1</v>
      </c>
      <c r="N58" s="40">
        <f ca="1">VLOOKUP(D58,gacha_133_base!A:B,2,FALSE)</f>
        <v>174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>
      <c r="A59" s="8" t="str">
        <f t="shared" si="0"/>
        <v>12071</v>
      </c>
      <c r="B59" s="2">
        <f t="shared" si="3"/>
        <v>134</v>
      </c>
      <c r="C59" s="10" t="str">
        <f t="shared" ca="1" si="1"/>
        <v>1PremiumN5</v>
      </c>
      <c r="D59" s="10" t="str">
        <f t="shared" ca="1" si="2"/>
        <v>1PremiumN5</v>
      </c>
      <c r="E59" s="6">
        <v>1</v>
      </c>
      <c r="F59" s="7">
        <v>207</v>
      </c>
      <c r="G59" s="10" t="str">
        <f ca="1">VLOOKUP($F59,OFFSET([1]characters!$A$2,0,0,COUNTA([1]characters!$A:$A),MATCH(G$1,[1]characters!$2:$2,0)-MATCH($F$1,[1]characters!$2:$2,0)+1),MATCH(G$1,[1]characters!$2:$2,0)-MATCH($F$1,[1]characters!$2:$2,0)+1,FALSE)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59" s="10" t="str">
        <f ca="1">VLOOKUP($F59,OFFSET([1]characters!$A$2,0,0,COUNTA([1]characters!$A:$A),MATCH(H$1,[1]characters!$2:$2,0)-MATCH($F$1,[1]characters!$2:$2,0)+1),MATCH(H$1,[1]characters!$2:$2,0)-MATCH($F$1,[1]characters!$2:$2,0)+1,FALSE)</f>
        <v>PremiumN</v>
      </c>
      <c r="I59" s="10">
        <f ca="1">VLOOKUP($F59,OFFSET([1]characters!$A$2,0,0,COUNTA([1]characters!$A:$A),MATCH(I$1,[1]characters!$2:$2,0)-MATCH($F$1,[1]characters!$2:$2,0)+1),MATCH(I$1,[1]characters!$2:$2,0)-MATCH($F$1,[1]characters!$2:$2,0)+1,FALSE)</f>
        <v>5</v>
      </c>
      <c r="J59" s="10" t="str">
        <f ca="1">VLOOKUP($F59,OFFSET([1]characters!$A$2,0,0,COUNTA([1]characters!$A:$A),MATCH(J$1,[1]characters!$2:$2,0)-MATCH($F$1,[1]characters!$2:$2,0)+1),MATCH(J$1,[1]characters!$2:$2,0)-MATCH($F$1,[1]characters!$2:$2,0)+1,FALSE)</f>
        <v>green</v>
      </c>
      <c r="K59" s="10" t="str">
        <f ca="1">VLOOKUP($F59,OFFSET([1]characters!$A$2,0,0,COUNTA([1]characters!$A:$A),MATCH("タイプ",[1]characters!$1:$1,0)-MATCH($F$1,[1]characters!$2:$2,0)+2),MATCH("タイプ",[1]characters!$1:$1,0)-MATCH($F$1,[1]characters!$2:$2,0)+2,FALSE)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9" s="10" t="str">
        <f ca="1">VLOOKUP($F59,OFFSET([1]characters!$A$2,0,0,COUNTA([1]characters!$A:$A),MATCH($L$1,[1]characters!$1:$1,0)-MATCH($F$1,[1]characters!$2:$2,0)+2),MATCH($L$1,[1]characters!$1:$1,0)-MATCH($F$1,[1]characters!$2:$2,0)+2,FALSE)</f>
        <v>ゴッド</v>
      </c>
      <c r="M59" s="6">
        <v>1</v>
      </c>
      <c r="N59" s="40">
        <f ca="1">VLOOKUP(D59,gacha_133_base!A:B,2,FALSE)</f>
        <v>174</v>
      </c>
      <c r="O59" s="28">
        <v>0</v>
      </c>
      <c r="P59" s="28">
        <v>0</v>
      </c>
      <c r="Q59" s="28">
        <v>0</v>
      </c>
      <c r="R59" s="28">
        <v>0</v>
      </c>
      <c r="S59" s="28">
        <v>1</v>
      </c>
    </row>
    <row r="60" spans="1:19" ht="21" customHeight="1">
      <c r="A60" s="8" t="str">
        <f t="shared" si="0"/>
        <v>12101</v>
      </c>
      <c r="B60" s="2">
        <f t="shared" si="3"/>
        <v>134</v>
      </c>
      <c r="C60" s="10" t="str">
        <f t="shared" ca="1" si="1"/>
        <v>1PremiumN5</v>
      </c>
      <c r="D60" s="10" t="str">
        <f t="shared" ca="1" si="2"/>
        <v>1PremiumN5</v>
      </c>
      <c r="E60" s="6">
        <v>1</v>
      </c>
      <c r="F60" s="7">
        <v>210</v>
      </c>
      <c r="G60" s="10" t="str">
        <f ca="1">VLOOKUP($F60,OFFSET([1]characters!$A$2,0,0,COUNTA([1]characters!$A:$A),MATCH(G$1,[1]characters!$2:$2,0)-MATCH($F$1,[1]characters!$2:$2,0)+1),MATCH(G$1,[1]characters!$2:$2,0)-MATCH($F$1,[1]characters!$2:$2,0)+1,FALSE)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60" s="10" t="str">
        <f ca="1">VLOOKUP($F60,OFFSET([1]characters!$A$2,0,0,COUNTA([1]characters!$A:$A),MATCH(H$1,[1]characters!$2:$2,0)-MATCH($F$1,[1]characters!$2:$2,0)+1),MATCH(H$1,[1]characters!$2:$2,0)-MATCH($F$1,[1]characters!$2:$2,0)+1,FALSE)</f>
        <v>PremiumN</v>
      </c>
      <c r="I60" s="10">
        <f ca="1">VLOOKUP($F60,OFFSET([1]characters!$A$2,0,0,COUNTA([1]characters!$A:$A),MATCH(I$1,[1]characters!$2:$2,0)-MATCH($F$1,[1]characters!$2:$2,0)+1),MATCH(I$1,[1]characters!$2:$2,0)-MATCH($F$1,[1]characters!$2:$2,0)+1,FALSE)</f>
        <v>5</v>
      </c>
      <c r="J60" s="10" t="str">
        <f ca="1">VLOOKUP($F60,OFFSET([1]characters!$A$2,0,0,COUNTA([1]characters!$A:$A),MATCH(J$1,[1]characters!$2:$2,0)-MATCH($F$1,[1]characters!$2:$2,0)+1),MATCH(J$1,[1]characters!$2:$2,0)-MATCH($F$1,[1]characters!$2:$2,0)+1,FALSE)</f>
        <v>blue</v>
      </c>
      <c r="K60" s="10" t="str">
        <f ca="1">VLOOKUP($F60,OFFSET([1]characters!$A$2,0,0,COUNTA([1]characters!$A:$A),MATCH("タイプ",[1]characters!$1:$1,0)-MATCH($F$1,[1]characters!$2:$2,0)+2),MATCH("タイプ",[1]characters!$1:$1,0)-MATCH($F$1,[1]characters!$2:$2,0)+2,FALSE)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0" s="10" t="str">
        <f ca="1">VLOOKUP($F60,OFFSET([1]characters!$A$2,0,0,COUNTA([1]characters!$A:$A),MATCH($L$1,[1]characters!$1:$1,0)-MATCH($F$1,[1]characters!$2:$2,0)+2),MATCH($L$1,[1]characters!$1:$1,0)-MATCH($F$1,[1]characters!$2:$2,0)+2,FALSE)</f>
        <v>ゴッド</v>
      </c>
      <c r="M60" s="6">
        <v>1</v>
      </c>
      <c r="N60" s="40">
        <f ca="1">VLOOKUP(D60,gacha_133_base!A:B,2,FALSE)</f>
        <v>174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>
      <c r="A61" s="8" t="str">
        <f t="shared" si="0"/>
        <v>12131</v>
      </c>
      <c r="B61" s="2">
        <f t="shared" si="3"/>
        <v>134</v>
      </c>
      <c r="C61" s="10" t="str">
        <f t="shared" ca="1" si="1"/>
        <v>1PremiumN5</v>
      </c>
      <c r="D61" s="10" t="str">
        <f t="shared" ca="1" si="2"/>
        <v>1PremiumN5</v>
      </c>
      <c r="E61" s="6">
        <v>1</v>
      </c>
      <c r="F61" s="7">
        <v>213</v>
      </c>
      <c r="G61" s="10" t="str">
        <f ca="1">VLOOKUP($F61,OFFSET([1]characters!$A$2,0,0,COUNTA([1]characters!$A:$A),MATCH(G$1,[1]characters!$2:$2,0)-MATCH($F$1,[1]characters!$2:$2,0)+1),MATCH(G$1,[1]characters!$2:$2,0)-MATCH($F$1,[1]characters!$2:$2,0)+1,FALSE)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61" s="10" t="str">
        <f ca="1">VLOOKUP($F61,OFFSET([1]characters!$A$2,0,0,COUNTA([1]characters!$A:$A),MATCH(H$1,[1]characters!$2:$2,0)-MATCH($F$1,[1]characters!$2:$2,0)+1),MATCH(H$1,[1]characters!$2:$2,0)-MATCH($F$1,[1]characters!$2:$2,0)+1,FALSE)</f>
        <v>PremiumN</v>
      </c>
      <c r="I61" s="10">
        <f ca="1">VLOOKUP($F61,OFFSET([1]characters!$A$2,0,0,COUNTA([1]characters!$A:$A),MATCH(I$1,[1]characters!$2:$2,0)-MATCH($F$1,[1]characters!$2:$2,0)+1),MATCH(I$1,[1]characters!$2:$2,0)-MATCH($F$1,[1]characters!$2:$2,0)+1,FALSE)</f>
        <v>5</v>
      </c>
      <c r="J61" s="10" t="str">
        <f ca="1">VLOOKUP($F61,OFFSET([1]characters!$A$2,0,0,COUNTA([1]characters!$A:$A),MATCH(J$1,[1]characters!$2:$2,0)-MATCH($F$1,[1]characters!$2:$2,0)+1),MATCH(J$1,[1]characters!$2:$2,0)-MATCH($F$1,[1]characters!$2:$2,0)+1,FALSE)</f>
        <v>yellow</v>
      </c>
      <c r="K61" s="10" t="str">
        <f ca="1">VLOOKUP($F61,OFFSET([1]characters!$A$2,0,0,COUNTA([1]characters!$A:$A),MATCH("タイプ",[1]characters!$1:$1,0)-MATCH($F$1,[1]characters!$2:$2,0)+2),MATCH("タイプ",[1]characters!$1:$1,0)-MATCH($F$1,[1]characters!$2:$2,0)+2,FALSE)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1" s="10" t="str">
        <f ca="1">VLOOKUP($F61,OFFSET([1]characters!$A$2,0,0,COUNTA([1]characters!$A:$A),MATCH($L$1,[1]characters!$1:$1,0)-MATCH($F$1,[1]characters!$2:$2,0)+2),MATCH($L$1,[1]characters!$1:$1,0)-MATCH($F$1,[1]characters!$2:$2,0)+2,FALSE)</f>
        <v>ゴッド</v>
      </c>
      <c r="M61" s="6">
        <v>1</v>
      </c>
      <c r="N61" s="40">
        <f ca="1">VLOOKUP(D61,gacha_133_base!A:B,2,FALSE)</f>
        <v>174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>
      <c r="A62" s="8" t="str">
        <f t="shared" si="0"/>
        <v>12161</v>
      </c>
      <c r="B62" s="2">
        <f t="shared" si="3"/>
        <v>134</v>
      </c>
      <c r="C62" s="10" t="str">
        <f t="shared" ca="1" si="1"/>
        <v>1PremiumN5</v>
      </c>
      <c r="D62" s="10" t="str">
        <f t="shared" ca="1" si="2"/>
        <v>1PremiumN5</v>
      </c>
      <c r="E62" s="6">
        <v>1</v>
      </c>
      <c r="F62" s="7">
        <v>216</v>
      </c>
      <c r="G62" s="10" t="str">
        <f ca="1">VLOOKUP($F62,OFFSET([1]characters!$A$2,0,0,COUNTA([1]characters!$A:$A),MATCH(G$1,[1]characters!$2:$2,0)-MATCH($F$1,[1]characters!$2:$2,0)+1),MATCH(G$1,[1]characters!$2:$2,0)-MATCH($F$1,[1]characters!$2:$2,0)+1,FALSE)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62" s="10" t="str">
        <f ca="1">VLOOKUP($F62,OFFSET([1]characters!$A$2,0,0,COUNTA([1]characters!$A:$A),MATCH(H$1,[1]characters!$2:$2,0)-MATCH($F$1,[1]characters!$2:$2,0)+1),MATCH(H$1,[1]characters!$2:$2,0)-MATCH($F$1,[1]characters!$2:$2,0)+1,FALSE)</f>
        <v>PremiumN</v>
      </c>
      <c r="I62" s="10">
        <f ca="1">VLOOKUP($F62,OFFSET([1]characters!$A$2,0,0,COUNTA([1]characters!$A:$A),MATCH(I$1,[1]characters!$2:$2,0)-MATCH($F$1,[1]characters!$2:$2,0)+1),MATCH(I$1,[1]characters!$2:$2,0)-MATCH($F$1,[1]characters!$2:$2,0)+1,FALSE)</f>
        <v>5</v>
      </c>
      <c r="J62" s="10" t="str">
        <f ca="1">VLOOKUP($F62,OFFSET([1]characters!$A$2,0,0,COUNTA([1]characters!$A:$A),MATCH(J$1,[1]characters!$2:$2,0)-MATCH($F$1,[1]characters!$2:$2,0)+1),MATCH(J$1,[1]characters!$2:$2,0)-MATCH($F$1,[1]characters!$2:$2,0)+1,FALSE)</f>
        <v>red</v>
      </c>
      <c r="K62" s="10" t="str">
        <f ca="1">VLOOKUP($F62,OFFSET([1]characters!$A$2,0,0,COUNTA([1]characters!$A:$A),MATCH("タイプ",[1]characters!$1:$1,0)-MATCH($F$1,[1]characters!$2:$2,0)+2),MATCH("タイプ",[1]characters!$1:$1,0)-MATCH($F$1,[1]characters!$2:$2,0)+2,FALSE)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2" s="10" t="str">
        <f ca="1">VLOOKUP($F62,OFFSET([1]characters!$A$2,0,0,COUNTA([1]characters!$A:$A),MATCH($L$1,[1]characters!$1:$1,0)-MATCH($F$1,[1]characters!$2:$2,0)+2),MATCH($L$1,[1]characters!$1:$1,0)-MATCH($F$1,[1]characters!$2:$2,0)+2,FALSE)</f>
        <v>ゴッド</v>
      </c>
      <c r="M62" s="6">
        <v>1</v>
      </c>
      <c r="N62" s="40">
        <f ca="1">VLOOKUP(D62,gacha_133_base!A:B,2,FALSE)</f>
        <v>174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>
      <c r="A63" s="8" t="str">
        <f t="shared" si="0"/>
        <v>12191</v>
      </c>
      <c r="B63" s="2">
        <f t="shared" si="3"/>
        <v>134</v>
      </c>
      <c r="C63" s="10" t="str">
        <f t="shared" ca="1" si="1"/>
        <v>1PremiumN5</v>
      </c>
      <c r="D63" s="10" t="str">
        <f t="shared" ca="1" si="2"/>
        <v>1PremiumN5</v>
      </c>
      <c r="E63" s="6">
        <v>1</v>
      </c>
      <c r="F63" s="7">
        <v>219</v>
      </c>
      <c r="G63" s="10" t="str">
        <f ca="1">VLOOKUP($F63,OFFSET([1]characters!$A$2,0,0,COUNTA([1]characters!$A:$A),MATCH(G$1,[1]characters!$2:$2,0)-MATCH($F$1,[1]characters!$2:$2,0)+1),MATCH(G$1,[1]characters!$2:$2,0)-MATCH($F$1,[1]characters!$2:$2,0)+1,FALSE)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63" s="10" t="str">
        <f ca="1">VLOOKUP($F63,OFFSET([1]characters!$A$2,0,0,COUNTA([1]characters!$A:$A),MATCH(H$1,[1]characters!$2:$2,0)-MATCH($F$1,[1]characters!$2:$2,0)+1),MATCH(H$1,[1]characters!$2:$2,0)-MATCH($F$1,[1]characters!$2:$2,0)+1,FALSE)</f>
        <v>PremiumN</v>
      </c>
      <c r="I63" s="10">
        <f ca="1">VLOOKUP($F63,OFFSET([1]characters!$A$2,0,0,COUNTA([1]characters!$A:$A),MATCH(I$1,[1]characters!$2:$2,0)-MATCH($F$1,[1]characters!$2:$2,0)+1),MATCH(I$1,[1]characters!$2:$2,0)-MATCH($F$1,[1]characters!$2:$2,0)+1,FALSE)</f>
        <v>5</v>
      </c>
      <c r="J63" s="10" t="str">
        <f ca="1">VLOOKUP($F63,OFFSET([1]characters!$A$2,0,0,COUNTA([1]characters!$A:$A),MATCH(J$1,[1]characters!$2:$2,0)-MATCH($F$1,[1]characters!$2:$2,0)+1),MATCH(J$1,[1]characters!$2:$2,0)-MATCH($F$1,[1]characters!$2:$2,0)+1,FALSE)</f>
        <v>green</v>
      </c>
      <c r="K63" s="10" t="str">
        <f ca="1">VLOOKUP($F63,OFFSET([1]characters!$A$2,0,0,COUNTA([1]characters!$A:$A),MATCH("タイプ",[1]characters!$1:$1,0)-MATCH($F$1,[1]characters!$2:$2,0)+2),MATCH("タイプ",[1]characters!$1:$1,0)-MATCH($F$1,[1]characters!$2:$2,0)+2,FALSE)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3" s="10" t="str">
        <f ca="1">VLOOKUP($F63,OFFSET([1]characters!$A$2,0,0,COUNTA([1]characters!$A:$A),MATCH($L$1,[1]characters!$1:$1,0)-MATCH($F$1,[1]characters!$2:$2,0)+2),MATCH($L$1,[1]characters!$1:$1,0)-MATCH($F$1,[1]characters!$2:$2,0)+2,FALSE)</f>
        <v>ドラゴン</v>
      </c>
      <c r="M63" s="6">
        <v>1</v>
      </c>
      <c r="N63" s="40">
        <f ca="1">VLOOKUP(D63,gacha_133_base!A:B,2,FALSE)</f>
        <v>174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8" t="str">
        <f t="shared" si="0"/>
        <v>12221</v>
      </c>
      <c r="B64" s="2">
        <f t="shared" si="3"/>
        <v>134</v>
      </c>
      <c r="C64" s="10" t="str">
        <f t="shared" ca="1" si="1"/>
        <v>1PremiumN5</v>
      </c>
      <c r="D64" s="10" t="str">
        <f t="shared" ca="1" si="2"/>
        <v>1PremiumN5</v>
      </c>
      <c r="E64" s="6">
        <v>1</v>
      </c>
      <c r="F64" s="7">
        <v>222</v>
      </c>
      <c r="G64" s="10" t="str">
        <f ca="1">VLOOKUP($F64,OFFSET([1]characters!$A$2,0,0,COUNTA([1]characters!$A:$A),MATCH(G$1,[1]characters!$2:$2,0)-MATCH($F$1,[1]characters!$2:$2,0)+1),MATCH(G$1,[1]characters!$2:$2,0)-MATCH($F$1,[1]characters!$2:$2,0)+1,FALSE)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64" s="10" t="str">
        <f ca="1">VLOOKUP($F64,OFFSET([1]characters!$A$2,0,0,COUNTA([1]characters!$A:$A),MATCH(H$1,[1]characters!$2:$2,0)-MATCH($F$1,[1]characters!$2:$2,0)+1),MATCH(H$1,[1]characters!$2:$2,0)-MATCH($F$1,[1]characters!$2:$2,0)+1,FALSE)</f>
        <v>PremiumN</v>
      </c>
      <c r="I64" s="10">
        <f ca="1">VLOOKUP($F64,OFFSET([1]characters!$A$2,0,0,COUNTA([1]characters!$A:$A),MATCH(I$1,[1]characters!$2:$2,0)-MATCH($F$1,[1]characters!$2:$2,0)+1),MATCH(I$1,[1]characters!$2:$2,0)-MATCH($F$1,[1]characters!$2:$2,0)+1,FALSE)</f>
        <v>5</v>
      </c>
      <c r="J64" s="10" t="str">
        <f ca="1">VLOOKUP($F64,OFFSET([1]characters!$A$2,0,0,COUNTA([1]characters!$A:$A),MATCH(J$1,[1]characters!$2:$2,0)-MATCH($F$1,[1]characters!$2:$2,0)+1),MATCH(J$1,[1]characters!$2:$2,0)-MATCH($F$1,[1]characters!$2:$2,0)+1,FALSE)</f>
        <v>blue</v>
      </c>
      <c r="K64" s="10" t="str">
        <f ca="1">VLOOKUP($F64,OFFSET([1]characters!$A$2,0,0,COUNTA([1]characters!$A:$A),MATCH("タイプ",[1]characters!$1:$1,0)-MATCH($F$1,[1]characters!$2:$2,0)+2),MATCH("タイプ",[1]characters!$1:$1,0)-MATCH($F$1,[1]characters!$2:$2,0)+2,FALSE)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4" s="10" t="str">
        <f ca="1">VLOOKUP($F64,OFFSET([1]characters!$A$2,0,0,COUNTA([1]characters!$A:$A),MATCH($L$1,[1]characters!$1:$1,0)-MATCH($F$1,[1]characters!$2:$2,0)+2),MATCH($L$1,[1]characters!$1:$1,0)-MATCH($F$1,[1]characters!$2:$2,0)+2,FALSE)</f>
        <v>ゴッド</v>
      </c>
      <c r="M64" s="6">
        <v>1</v>
      </c>
      <c r="N64" s="40">
        <f ca="1">VLOOKUP(D64,gacha_133_base!A:B,2,FALSE)</f>
        <v>174</v>
      </c>
      <c r="O64" s="28">
        <v>0</v>
      </c>
      <c r="P64" s="28">
        <v>0</v>
      </c>
      <c r="Q64" s="28">
        <v>0</v>
      </c>
      <c r="R64" s="28">
        <v>0</v>
      </c>
      <c r="S64" s="28">
        <v>1</v>
      </c>
    </row>
    <row r="65" spans="1:19" ht="21" customHeight="1">
      <c r="A65" s="8" t="str">
        <f t="shared" si="0"/>
        <v>12251</v>
      </c>
      <c r="B65" s="2">
        <f t="shared" si="3"/>
        <v>134</v>
      </c>
      <c r="C65" s="10" t="str">
        <f t="shared" ca="1" si="1"/>
        <v>1PremiumN5</v>
      </c>
      <c r="D65" s="10" t="str">
        <f t="shared" ca="1" si="2"/>
        <v>1PremiumN5</v>
      </c>
      <c r="E65" s="6">
        <v>1</v>
      </c>
      <c r="F65" s="7">
        <v>225</v>
      </c>
      <c r="G65" s="10" t="str">
        <f ca="1">VLOOKUP($F65,OFFSET([1]characters!$A$2,0,0,COUNTA([1]characters!$A:$A),MATCH(G$1,[1]characters!$2:$2,0)-MATCH($F$1,[1]characters!$2:$2,0)+1),MATCH(G$1,[1]characters!$2:$2,0)-MATCH($F$1,[1]characters!$2:$2,0)+1,FALSE)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65" s="10" t="str">
        <f ca="1">VLOOKUP($F65,OFFSET([1]characters!$A$2,0,0,COUNTA([1]characters!$A:$A),MATCH(H$1,[1]characters!$2:$2,0)-MATCH($F$1,[1]characters!$2:$2,0)+1),MATCH(H$1,[1]characters!$2:$2,0)-MATCH($F$1,[1]characters!$2:$2,0)+1,FALSE)</f>
        <v>PremiumN</v>
      </c>
      <c r="I65" s="10">
        <f ca="1">VLOOKUP($F65,OFFSET([1]characters!$A$2,0,0,COUNTA([1]characters!$A:$A),MATCH(I$1,[1]characters!$2:$2,0)-MATCH($F$1,[1]characters!$2:$2,0)+1),MATCH(I$1,[1]characters!$2:$2,0)-MATCH($F$1,[1]characters!$2:$2,0)+1,FALSE)</f>
        <v>5</v>
      </c>
      <c r="J65" s="10" t="str">
        <f ca="1">VLOOKUP($F65,OFFSET([1]characters!$A$2,0,0,COUNTA([1]characters!$A:$A),MATCH(J$1,[1]characters!$2:$2,0)-MATCH($F$1,[1]characters!$2:$2,0)+1),MATCH(J$1,[1]characters!$2:$2,0)-MATCH($F$1,[1]characters!$2:$2,0)+1,FALSE)</f>
        <v>yellow</v>
      </c>
      <c r="K65" s="10" t="str">
        <f ca="1">VLOOKUP($F65,OFFSET([1]characters!$A$2,0,0,COUNTA([1]characters!$A:$A),MATCH("タイプ",[1]characters!$1:$1,0)-MATCH($F$1,[1]characters!$2:$2,0)+2),MATCH("タイプ",[1]characters!$1:$1,0)-MATCH($F$1,[1]characters!$2:$2,0)+2,FALSE)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5" s="10" t="str">
        <f ca="1">VLOOKUP($F65,OFFSET([1]characters!$A$2,0,0,COUNTA([1]characters!$A:$A),MATCH($L$1,[1]characters!$1:$1,0)-MATCH($F$1,[1]characters!$2:$2,0)+2),MATCH($L$1,[1]characters!$1:$1,0)-MATCH($F$1,[1]characters!$2:$2,0)+2,FALSE)</f>
        <v>ヒューマン</v>
      </c>
      <c r="M65" s="6">
        <v>1</v>
      </c>
      <c r="N65" s="40">
        <f ca="1">VLOOKUP(D65,gacha_133_base!A:B,2,FALSE)</f>
        <v>174</v>
      </c>
      <c r="O65" s="28">
        <v>0</v>
      </c>
      <c r="P65" s="28">
        <v>0</v>
      </c>
      <c r="Q65" s="28">
        <v>0</v>
      </c>
      <c r="R65" s="28">
        <v>0</v>
      </c>
      <c r="S65" s="28">
        <v>1</v>
      </c>
    </row>
    <row r="66" spans="1:19" ht="21" customHeight="1">
      <c r="A66" s="8" t="str">
        <f t="shared" ref="A66:A162" si="4">E66&amp;F66&amp;M66</f>
        <v>12281</v>
      </c>
      <c r="B66" s="2">
        <f t="shared" si="3"/>
        <v>134</v>
      </c>
      <c r="C66" s="10" t="str">
        <f ca="1">E66&amp;H66&amp;I66</f>
        <v>1PremiumS5</v>
      </c>
      <c r="D66" s="10" t="str">
        <f t="shared" ca="1" si="2"/>
        <v>1PremiumS5</v>
      </c>
      <c r="E66" s="6">
        <v>1</v>
      </c>
      <c r="F66" s="7">
        <v>228</v>
      </c>
      <c r="G66" s="10" t="str">
        <f ca="1">VLOOKUP($F66,OFFSET([1]characters!$A$2,0,0,COUNTA([1]characters!$A:$A),MATCH(G$1,[1]characters!$2:$2,0)-MATCH($F$1,[1]characters!$2:$2,0)+1),MATCH(G$1,[1]characters!$2:$2,0)-MATCH($F$1,[1]characters!$2:$2,0)+1,FALSE)</f>
        <v>殲滅の掃射砲 アレス</v>
      </c>
      <c r="H66" s="10" t="str">
        <f ca="1">VLOOKUP($F66,OFFSET([1]characters!$A$2,0,0,COUNTA([1]characters!$A:$A),MATCH(H$1,[1]characters!$2:$2,0)-MATCH($F$1,[1]characters!$2:$2,0)+1),MATCH(H$1,[1]characters!$2:$2,0)-MATCH($F$1,[1]characters!$2:$2,0)+1,FALSE)</f>
        <v>PremiumS</v>
      </c>
      <c r="I66" s="10">
        <f ca="1">VLOOKUP($F66,OFFSET([1]characters!$A$2,0,0,COUNTA([1]characters!$A:$A),MATCH(I$1,[1]characters!$2:$2,0)-MATCH($F$1,[1]characters!$2:$2,0)+1),MATCH(I$1,[1]characters!$2:$2,0)-MATCH($F$1,[1]characters!$2:$2,0)+1,FALSE)</f>
        <v>5</v>
      </c>
      <c r="J66" s="10" t="str">
        <f ca="1">VLOOKUP($F66,OFFSET([1]characters!$A$2,0,0,COUNTA([1]characters!$A:$A),MATCH(J$1,[1]characters!$2:$2,0)-MATCH($F$1,[1]characters!$2:$2,0)+1),MATCH(J$1,[1]characters!$2:$2,0)-MATCH($F$1,[1]characters!$2:$2,0)+1,FALSE)</f>
        <v>red</v>
      </c>
      <c r="K66" s="10" t="str">
        <f ca="1">VLOOKUP($F66,OFFSET([1]characters!$A$2,0,0,COUNTA([1]characters!$A:$A),MATCH("タイプ",[1]characters!$1:$1,0)-MATCH($F$1,[1]characters!$2:$2,0)+2),MATCH("タイプ",[1]characters!$1:$1,0)-MATCH($F$1,[1]characters!$2:$2,0)+2,FALSE)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6" s="10" t="str">
        <f ca="1">VLOOKUP($F66,OFFSET([1]characters!$A$2,0,0,COUNTA([1]characters!$A:$A),MATCH($L$1,[1]characters!$1:$1,0)-MATCH($F$1,[1]characters!$2:$2,0)+2),MATCH($L$1,[1]characters!$1:$1,0)-MATCH($F$1,[1]characters!$2:$2,0)+2,FALSE)</f>
        <v>ゴッド</v>
      </c>
      <c r="M66" s="6">
        <v>1</v>
      </c>
      <c r="N66" s="40">
        <f ca="1">VLOOKUP(D66,gacha_133_base!A:B,2,FALSE)</f>
        <v>8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8" t="str">
        <f t="shared" si="4"/>
        <v>12311</v>
      </c>
      <c r="B67" s="2">
        <f t="shared" si="3"/>
        <v>134</v>
      </c>
      <c r="C67" s="10" t="str">
        <f t="shared" ref="C67:C138" ca="1" si="5">E67&amp;H67&amp;I67</f>
        <v>1PremiumS5</v>
      </c>
      <c r="D67" s="10" t="str">
        <f t="shared" ref="D67:D138" ca="1" si="6">E67&amp;H67&amp;I67</f>
        <v>1PremiumS5</v>
      </c>
      <c r="E67" s="6">
        <v>1</v>
      </c>
      <c r="F67" s="7">
        <v>231</v>
      </c>
      <c r="G67" s="10" t="str">
        <f ca="1">VLOOKUP($F67,OFFSET([1]characters!$A$2,0,0,COUNTA([1]characters!$A:$A),MATCH(G$1,[1]characters!$2:$2,0)-MATCH($F$1,[1]characters!$2:$2,0)+1),MATCH(G$1,[1]characters!$2:$2,0)-MATCH($F$1,[1]characters!$2:$2,0)+1,FALSE)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67" s="10" t="str">
        <f ca="1">VLOOKUP($F67,OFFSET([1]characters!$A$2,0,0,COUNTA([1]characters!$A:$A),MATCH(H$1,[1]characters!$2:$2,0)-MATCH($F$1,[1]characters!$2:$2,0)+1),MATCH(H$1,[1]characters!$2:$2,0)-MATCH($F$1,[1]characters!$2:$2,0)+1,FALSE)</f>
        <v>PremiumS</v>
      </c>
      <c r="I67" s="10">
        <f ca="1">VLOOKUP($F67,OFFSET([1]characters!$A$2,0,0,COUNTA([1]characters!$A:$A),MATCH(I$1,[1]characters!$2:$2,0)-MATCH($F$1,[1]characters!$2:$2,0)+1),MATCH(I$1,[1]characters!$2:$2,0)-MATCH($F$1,[1]characters!$2:$2,0)+1,FALSE)</f>
        <v>5</v>
      </c>
      <c r="J67" s="10" t="str">
        <f ca="1">VLOOKUP($F67,OFFSET([1]characters!$A$2,0,0,COUNTA([1]characters!$A:$A),MATCH(J$1,[1]characters!$2:$2,0)-MATCH($F$1,[1]characters!$2:$2,0)+1),MATCH(J$1,[1]characters!$2:$2,0)-MATCH($F$1,[1]characters!$2:$2,0)+1,FALSE)</f>
        <v>green</v>
      </c>
      <c r="K67" s="10" t="str">
        <f ca="1">VLOOKUP($F67,OFFSET([1]characters!$A$2,0,0,COUNTA([1]characters!$A:$A),MATCH("タイプ",[1]characters!$1:$1,0)-MATCH($F$1,[1]characters!$2:$2,0)+2),MATCH("タイプ",[1]characters!$1:$1,0)-MATCH($F$1,[1]characters!$2:$2,0)+2,FALSE)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7" s="10" t="str">
        <f ca="1">VLOOKUP($F67,OFFSET([1]characters!$A$2,0,0,COUNTA([1]characters!$A:$A),MATCH($L$1,[1]characters!$1:$1,0)-MATCH($F$1,[1]characters!$2:$2,0)+2),MATCH($L$1,[1]characters!$1:$1,0)-MATCH($F$1,[1]characters!$2:$2,0)+2,FALSE)</f>
        <v>ドラゴン</v>
      </c>
      <c r="M67" s="6">
        <v>1</v>
      </c>
      <c r="N67" s="40">
        <f ca="1">VLOOKUP(D67,gacha_133_base!A:B,2,FALSE)</f>
        <v>8</v>
      </c>
      <c r="O67" s="28">
        <v>0</v>
      </c>
      <c r="P67" s="28">
        <v>0</v>
      </c>
      <c r="Q67" s="28">
        <v>0</v>
      </c>
      <c r="R67" s="28">
        <v>0</v>
      </c>
      <c r="S67" s="28">
        <v>1</v>
      </c>
    </row>
    <row r="68" spans="1:19" ht="21" customHeight="1">
      <c r="A68" s="8" t="str">
        <f t="shared" si="4"/>
        <v>12341</v>
      </c>
      <c r="B68" s="2">
        <f t="shared" ref="B68:B139" si="7">$B$2</f>
        <v>134</v>
      </c>
      <c r="C68" s="10" t="str">
        <f t="shared" ca="1" si="5"/>
        <v>1PremiumS5</v>
      </c>
      <c r="D68" s="10" t="str">
        <f t="shared" ca="1" si="6"/>
        <v>1PremiumS5</v>
      </c>
      <c r="E68" s="6">
        <v>1</v>
      </c>
      <c r="F68" s="7">
        <v>234</v>
      </c>
      <c r="G68" s="10" t="str">
        <f ca="1">VLOOKUP($F68,OFFSET([1]characters!$A$2,0,0,COUNTA([1]characters!$A:$A),MATCH(G$1,[1]characters!$2:$2,0)-MATCH($F$1,[1]characters!$2:$2,0)+1),MATCH(G$1,[1]characters!$2:$2,0)-MATCH($F$1,[1]characters!$2:$2,0)+1,FALSE)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68" s="10" t="str">
        <f ca="1">VLOOKUP($F68,OFFSET([1]characters!$A$2,0,0,COUNTA([1]characters!$A:$A),MATCH(H$1,[1]characters!$2:$2,0)-MATCH($F$1,[1]characters!$2:$2,0)+1),MATCH(H$1,[1]characters!$2:$2,0)-MATCH($F$1,[1]characters!$2:$2,0)+1,FALSE)</f>
        <v>PremiumS</v>
      </c>
      <c r="I68" s="10">
        <f ca="1">VLOOKUP($F68,OFFSET([1]characters!$A$2,0,0,COUNTA([1]characters!$A:$A),MATCH(I$1,[1]characters!$2:$2,0)-MATCH($F$1,[1]characters!$2:$2,0)+1),MATCH(I$1,[1]characters!$2:$2,0)-MATCH($F$1,[1]characters!$2:$2,0)+1,FALSE)</f>
        <v>5</v>
      </c>
      <c r="J68" s="10" t="str">
        <f ca="1">VLOOKUP($F68,OFFSET([1]characters!$A$2,0,0,COUNTA([1]characters!$A:$A),MATCH(J$1,[1]characters!$2:$2,0)-MATCH($F$1,[1]characters!$2:$2,0)+1),MATCH(J$1,[1]characters!$2:$2,0)-MATCH($F$1,[1]characters!$2:$2,0)+1,FALSE)</f>
        <v>blue</v>
      </c>
      <c r="K68" s="10" t="str">
        <f ca="1">VLOOKUP($F68,OFFSET([1]characters!$A$2,0,0,COUNTA([1]characters!$A:$A),MATCH("タイプ",[1]characters!$1:$1,0)-MATCH($F$1,[1]characters!$2:$2,0)+2),MATCH("タイプ",[1]characters!$1:$1,0)-MATCH($F$1,[1]characters!$2:$2,0)+2,FALSE)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8" s="10" t="str">
        <f ca="1">VLOOKUP($F68,OFFSET([1]characters!$A$2,0,0,COUNTA([1]characters!$A:$A),MATCH($L$1,[1]characters!$1:$1,0)-MATCH($F$1,[1]characters!$2:$2,0)+2),MATCH($L$1,[1]characters!$1:$1,0)-MATCH($F$1,[1]characters!$2:$2,0)+2,FALSE)</f>
        <v>ヒューマン</v>
      </c>
      <c r="M68" s="6">
        <v>1</v>
      </c>
      <c r="N68" s="40">
        <f ca="1">VLOOKUP(D68,gacha_133_base!A:B,2,FALSE)</f>
        <v>8</v>
      </c>
      <c r="O68" s="28">
        <v>0</v>
      </c>
      <c r="P68" s="28">
        <v>0</v>
      </c>
      <c r="Q68" s="28">
        <v>0</v>
      </c>
      <c r="R68" s="28">
        <v>0</v>
      </c>
      <c r="S68" s="28">
        <v>1</v>
      </c>
    </row>
    <row r="69" spans="1:19" s="26" customFormat="1" ht="21" customHeight="1" thickBot="1">
      <c r="A69" s="22" t="str">
        <f t="shared" si="4"/>
        <v>12371</v>
      </c>
      <c r="B69" s="2">
        <f t="shared" si="7"/>
        <v>134</v>
      </c>
      <c r="C69" s="10" t="str">
        <f t="shared" ca="1" si="5"/>
        <v>1PremiumS5</v>
      </c>
      <c r="D69" s="10" t="str">
        <f t="shared" ca="1" si="6"/>
        <v>1PremiumS5</v>
      </c>
      <c r="E69" s="6">
        <v>1</v>
      </c>
      <c r="F69" s="7">
        <v>237</v>
      </c>
      <c r="G69" s="10" t="str">
        <f ca="1">VLOOKUP($F69,OFFSET([1]characters!$A$2,0,0,COUNTA([1]characters!$A:$A),MATCH(G$1,[1]characters!$2:$2,0)-MATCH($F$1,[1]characters!$2:$2,0)+1),MATCH(G$1,[1]characters!$2:$2,0)-MATCH($F$1,[1]characters!$2:$2,0)+1,FALSE)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69" s="10" t="str">
        <f ca="1">VLOOKUP($F69,OFFSET([1]characters!$A$2,0,0,COUNTA([1]characters!$A:$A),MATCH(H$1,[1]characters!$2:$2,0)-MATCH($F$1,[1]characters!$2:$2,0)+1),MATCH(H$1,[1]characters!$2:$2,0)-MATCH($F$1,[1]characters!$2:$2,0)+1,FALSE)</f>
        <v>PremiumS</v>
      </c>
      <c r="I69" s="10">
        <f ca="1">VLOOKUP($F69,OFFSET([1]characters!$A$2,0,0,COUNTA([1]characters!$A:$A),MATCH(I$1,[1]characters!$2:$2,0)-MATCH($F$1,[1]characters!$2:$2,0)+1),MATCH(I$1,[1]characters!$2:$2,0)-MATCH($F$1,[1]characters!$2:$2,0)+1,FALSE)</f>
        <v>5</v>
      </c>
      <c r="J69" s="10" t="str">
        <f ca="1">VLOOKUP($F69,OFFSET([1]characters!$A$2,0,0,COUNTA([1]characters!$A:$A),MATCH(J$1,[1]characters!$2:$2,0)-MATCH($F$1,[1]characters!$2:$2,0)+1),MATCH(J$1,[1]characters!$2:$2,0)-MATCH($F$1,[1]characters!$2:$2,0)+1,FALSE)</f>
        <v>yellow</v>
      </c>
      <c r="K69" s="10" t="str">
        <f ca="1">VLOOKUP($F69,OFFSET([1]characters!$A$2,0,0,COUNTA([1]characters!$A:$A),MATCH("タイプ",[1]characters!$1:$1,0)-MATCH($F$1,[1]characters!$2:$2,0)+2),MATCH("タイプ",[1]characters!$1:$1,0)-MATCH($F$1,[1]characters!$2:$2,0)+2,FALSE)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9" s="10" t="str">
        <f ca="1">VLOOKUP($F69,OFFSET([1]characters!$A$2,0,0,COUNTA([1]characters!$A:$A),MATCH($L$1,[1]characters!$1:$1,0)-MATCH($F$1,[1]characters!$2:$2,0)+2),MATCH($L$1,[1]characters!$1:$1,0)-MATCH($F$1,[1]characters!$2:$2,0)+2,FALSE)</f>
        <v>ゴッド</v>
      </c>
      <c r="M69" s="6">
        <v>1</v>
      </c>
      <c r="N69" s="40">
        <f ca="1">VLOOKUP(D69,gacha_133_base!A:B,2,FALSE)</f>
        <v>8</v>
      </c>
      <c r="O69" s="28">
        <v>0</v>
      </c>
      <c r="P69" s="28">
        <v>0</v>
      </c>
      <c r="Q69" s="28">
        <v>0</v>
      </c>
      <c r="R69" s="28">
        <v>0</v>
      </c>
      <c r="S69" s="28">
        <v>1</v>
      </c>
    </row>
    <row r="70" spans="1:19" ht="21" customHeight="1">
      <c r="A70" s="8" t="str">
        <f t="shared" si="4"/>
        <v>12391</v>
      </c>
      <c r="B70" s="2">
        <f t="shared" si="7"/>
        <v>134</v>
      </c>
      <c r="C70" s="10" t="str">
        <f t="shared" ca="1" si="5"/>
        <v>1PremiumS4</v>
      </c>
      <c r="D70" s="10" t="str">
        <f t="shared" ca="1" si="6"/>
        <v>1PremiumS4</v>
      </c>
      <c r="E70" s="6">
        <v>1</v>
      </c>
      <c r="F70" s="19">
        <v>239</v>
      </c>
      <c r="G70" s="10" t="str">
        <f ca="1">VLOOKUP($F70,OFFSET([1]characters!$A$2,0,0,COUNTA([1]characters!$A:$A),MATCH(G$1,[1]characters!$2:$2,0)-MATCH($F$1,[1]characters!$2:$2,0)+1),MATCH(G$1,[1]characters!$2:$2,0)-MATCH($F$1,[1]characters!$2:$2,0)+1,FALSE)</f>
        <v>豪炎の天使 ウリエル</v>
      </c>
      <c r="H70" s="10" t="str">
        <f ca="1">VLOOKUP($F70,OFFSET([1]characters!$A$2,0,0,COUNTA([1]characters!$A:$A),MATCH(H$1,[1]characters!$2:$2,0)-MATCH($F$1,[1]characters!$2:$2,0)+1),MATCH(H$1,[1]characters!$2:$2,0)-MATCH($F$1,[1]characters!$2:$2,0)+1,FALSE)</f>
        <v>PremiumS</v>
      </c>
      <c r="I70" s="10">
        <f ca="1">VLOOKUP($F70,OFFSET([1]characters!$A$2,0,0,COUNTA([1]characters!$A:$A),MATCH(I$1,[1]characters!$2:$2,0)-MATCH($F$1,[1]characters!$2:$2,0)+1),MATCH(I$1,[1]characters!$2:$2,0)-MATCH($F$1,[1]characters!$2:$2,0)+1,FALSE)</f>
        <v>4</v>
      </c>
      <c r="J70" s="10" t="str">
        <f ca="1">VLOOKUP($F70,OFFSET([1]characters!$A$2,0,0,COUNTA([1]characters!$A:$A),MATCH(J$1,[1]characters!$2:$2,0)-MATCH($F$1,[1]characters!$2:$2,0)+1),MATCH(J$1,[1]characters!$2:$2,0)-MATCH($F$1,[1]characters!$2:$2,0)+1,FALSE)</f>
        <v>red</v>
      </c>
      <c r="K70" s="10" t="str">
        <f ca="1">VLOOKUP($F70,OFFSET([1]characters!$A$2,0,0,COUNTA([1]characters!$A:$A),MATCH("タイプ",[1]characters!$1:$1,0)-MATCH($F$1,[1]characters!$2:$2,0)+2),MATCH("タイプ",[1]characters!$1:$1,0)-MATCH($F$1,[1]characters!$2:$2,0)+2,FALSE)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0" s="10" t="str">
        <f ca="1">VLOOKUP($F70,OFFSET([1]characters!$A$2,0,0,COUNTA([1]characters!$A:$A),MATCH($L$1,[1]characters!$1:$1,0)-MATCH($F$1,[1]characters!$2:$2,0)+2),MATCH($L$1,[1]characters!$1:$1,0)-MATCH($F$1,[1]characters!$2:$2,0)+2,FALSE)</f>
        <v>マシン</v>
      </c>
      <c r="M70" s="6">
        <v>1</v>
      </c>
      <c r="N70" s="40">
        <f ca="1">VLOOKUP(D70,gacha_133_base!A:B,2,FALSE)</f>
        <v>200</v>
      </c>
      <c r="O70" s="28">
        <v>0</v>
      </c>
      <c r="P70" s="28">
        <v>0</v>
      </c>
      <c r="Q70" s="28">
        <v>0</v>
      </c>
      <c r="R70" s="28">
        <v>0</v>
      </c>
      <c r="S70" s="28">
        <v>1</v>
      </c>
    </row>
    <row r="71" spans="1:19" ht="21" customHeight="1">
      <c r="A71" s="8" t="str">
        <f t="shared" si="4"/>
        <v>12401</v>
      </c>
      <c r="B71" s="2">
        <f t="shared" si="7"/>
        <v>134</v>
      </c>
      <c r="C71" s="10" t="str">
        <f t="shared" ca="1" si="5"/>
        <v>1PremiumS5</v>
      </c>
      <c r="D71" s="10" t="str">
        <f t="shared" ca="1" si="6"/>
        <v>1PremiumS5</v>
      </c>
      <c r="E71" s="6">
        <v>1</v>
      </c>
      <c r="F71" s="19">
        <v>240</v>
      </c>
      <c r="G71" s="10" t="str">
        <f ca="1">VLOOKUP($F71,OFFSET([1]characters!$A$2,0,0,COUNTA([1]characters!$A:$A),MATCH(G$1,[1]characters!$2:$2,0)-MATCH($F$1,[1]characters!$2:$2,0)+1),MATCH(G$1,[1]characters!$2:$2,0)-MATCH($F$1,[1]characters!$2:$2,0)+1,FALSE)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71" s="10" t="str">
        <f ca="1">VLOOKUP($F71,OFFSET([1]characters!$A$2,0,0,COUNTA([1]characters!$A:$A),MATCH(H$1,[1]characters!$2:$2,0)-MATCH($F$1,[1]characters!$2:$2,0)+1),MATCH(H$1,[1]characters!$2:$2,0)-MATCH($F$1,[1]characters!$2:$2,0)+1,FALSE)</f>
        <v>PremiumS</v>
      </c>
      <c r="I71" s="10">
        <f ca="1">VLOOKUP($F71,OFFSET([1]characters!$A$2,0,0,COUNTA([1]characters!$A:$A),MATCH(I$1,[1]characters!$2:$2,0)-MATCH($F$1,[1]characters!$2:$2,0)+1),MATCH(I$1,[1]characters!$2:$2,0)-MATCH($F$1,[1]characters!$2:$2,0)+1,FALSE)</f>
        <v>5</v>
      </c>
      <c r="J71" s="10" t="str">
        <f ca="1">VLOOKUP($F71,OFFSET([1]characters!$A$2,0,0,COUNTA([1]characters!$A:$A),MATCH(J$1,[1]characters!$2:$2,0)-MATCH($F$1,[1]characters!$2:$2,0)+1),MATCH(J$1,[1]characters!$2:$2,0)-MATCH($F$1,[1]characters!$2:$2,0)+1,FALSE)</f>
        <v>red</v>
      </c>
      <c r="K71" s="10" t="str">
        <f ca="1">VLOOKUP($F71,OFFSET([1]characters!$A$2,0,0,COUNTA([1]characters!$A:$A),MATCH("タイプ",[1]characters!$1:$1,0)-MATCH($F$1,[1]characters!$2:$2,0)+2),MATCH("タイプ",[1]characters!$1:$1,0)-MATCH($F$1,[1]characters!$2:$2,0)+2,FALSE)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1" s="10" t="str">
        <f ca="1">VLOOKUP($F71,OFFSET([1]characters!$A$2,0,0,COUNTA([1]characters!$A:$A),MATCH($L$1,[1]characters!$1:$1,0)-MATCH($F$1,[1]characters!$2:$2,0)+2),MATCH($L$1,[1]characters!$1:$1,0)-MATCH($F$1,[1]characters!$2:$2,0)+2,FALSE)</f>
        <v>マシン</v>
      </c>
      <c r="M71" s="6">
        <v>1</v>
      </c>
      <c r="N71" s="40">
        <f ca="1">VLOOKUP(D71,gacha_133_base!A:B,2,FALSE)</f>
        <v>8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4"/>
        <v>12421</v>
      </c>
      <c r="B72" s="2">
        <f t="shared" si="7"/>
        <v>134</v>
      </c>
      <c r="C72" s="10" t="str">
        <f t="shared" ca="1" si="5"/>
        <v>1PremiumS4</v>
      </c>
      <c r="D72" s="10" t="str">
        <f t="shared" ca="1" si="6"/>
        <v>1PremiumS4</v>
      </c>
      <c r="E72" s="6">
        <v>1</v>
      </c>
      <c r="F72" s="19">
        <v>242</v>
      </c>
      <c r="G72" s="10" t="str">
        <f ca="1">VLOOKUP($F72,OFFSET([1]characters!$A$2,0,0,COUNTA([1]characters!$A:$A),MATCH(G$1,[1]characters!$2:$2,0)-MATCH($F$1,[1]characters!$2:$2,0)+1),MATCH(G$1,[1]characters!$2:$2,0)-MATCH($F$1,[1]characters!$2:$2,0)+1,FALSE)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72" s="10" t="str">
        <f ca="1">VLOOKUP($F72,OFFSET([1]characters!$A$2,0,0,COUNTA([1]characters!$A:$A),MATCH(H$1,[1]characters!$2:$2,0)-MATCH($F$1,[1]characters!$2:$2,0)+1),MATCH(H$1,[1]characters!$2:$2,0)-MATCH($F$1,[1]characters!$2:$2,0)+1,FALSE)</f>
        <v>PremiumS</v>
      </c>
      <c r="I72" s="10">
        <f ca="1">VLOOKUP($F72,OFFSET([1]characters!$A$2,0,0,COUNTA([1]characters!$A:$A),MATCH(I$1,[1]characters!$2:$2,0)-MATCH($F$1,[1]characters!$2:$2,0)+1),MATCH(I$1,[1]characters!$2:$2,0)-MATCH($F$1,[1]characters!$2:$2,0)+1,FALSE)</f>
        <v>4</v>
      </c>
      <c r="J72" s="10" t="str">
        <f ca="1">VLOOKUP($F72,OFFSET([1]characters!$A$2,0,0,COUNTA([1]characters!$A:$A),MATCH(J$1,[1]characters!$2:$2,0)-MATCH($F$1,[1]characters!$2:$2,0)+1),MATCH(J$1,[1]characters!$2:$2,0)-MATCH($F$1,[1]characters!$2:$2,0)+1,FALSE)</f>
        <v>green</v>
      </c>
      <c r="K72" s="10" t="str">
        <f ca="1">VLOOKUP($F72,OFFSET([1]characters!$A$2,0,0,COUNTA([1]characters!$A:$A),MATCH("タイプ",[1]characters!$1:$1,0)-MATCH($F$1,[1]characters!$2:$2,0)+2),MATCH("タイプ",[1]characters!$1:$1,0)-MATCH($F$1,[1]characters!$2:$2,0)+2,FALSE)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2" s="10" t="str">
        <f ca="1">VLOOKUP($F72,OFFSET([1]characters!$A$2,0,0,COUNTA([1]characters!$A:$A),MATCH($L$1,[1]characters!$1:$1,0)-MATCH($F$1,[1]characters!$2:$2,0)+2),MATCH($L$1,[1]characters!$1:$1,0)-MATCH($F$1,[1]characters!$2:$2,0)+2,FALSE)</f>
        <v>マシン</v>
      </c>
      <c r="M72" s="6">
        <v>1</v>
      </c>
      <c r="N72" s="40">
        <f ca="1">VLOOKUP(D72,gacha_133_base!A:B,2,FALSE)</f>
        <v>200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4"/>
        <v>12431</v>
      </c>
      <c r="B73" s="2">
        <f t="shared" si="7"/>
        <v>134</v>
      </c>
      <c r="C73" s="10" t="str">
        <f t="shared" ca="1" si="5"/>
        <v>1PremiumS5</v>
      </c>
      <c r="D73" s="10" t="str">
        <f t="shared" ca="1" si="6"/>
        <v>1PremiumS5</v>
      </c>
      <c r="E73" s="6">
        <v>1</v>
      </c>
      <c r="F73" s="19">
        <v>243</v>
      </c>
      <c r="G73" s="10" t="str">
        <f ca="1">VLOOKUP($F73,OFFSET([1]characters!$A$2,0,0,COUNTA([1]characters!$A:$A),MATCH(G$1,[1]characters!$2:$2,0)-MATCH($F$1,[1]characters!$2:$2,0)+1),MATCH(G$1,[1]characters!$2:$2,0)-MATCH($F$1,[1]characters!$2:$2,0)+1,FALSE)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73" s="10" t="str">
        <f ca="1">VLOOKUP($F73,OFFSET([1]characters!$A$2,0,0,COUNTA([1]characters!$A:$A),MATCH(H$1,[1]characters!$2:$2,0)-MATCH($F$1,[1]characters!$2:$2,0)+1),MATCH(H$1,[1]characters!$2:$2,0)-MATCH($F$1,[1]characters!$2:$2,0)+1,FALSE)</f>
        <v>PremiumS</v>
      </c>
      <c r="I73" s="10">
        <f ca="1">VLOOKUP($F73,OFFSET([1]characters!$A$2,0,0,COUNTA([1]characters!$A:$A),MATCH(I$1,[1]characters!$2:$2,0)-MATCH($F$1,[1]characters!$2:$2,0)+1),MATCH(I$1,[1]characters!$2:$2,0)-MATCH($F$1,[1]characters!$2:$2,0)+1,FALSE)</f>
        <v>5</v>
      </c>
      <c r="J73" s="10" t="str">
        <f ca="1">VLOOKUP($F73,OFFSET([1]characters!$A$2,0,0,COUNTA([1]characters!$A:$A),MATCH(J$1,[1]characters!$2:$2,0)-MATCH($F$1,[1]characters!$2:$2,0)+1),MATCH(J$1,[1]characters!$2:$2,0)-MATCH($F$1,[1]characters!$2:$2,0)+1,FALSE)</f>
        <v>green</v>
      </c>
      <c r="K73" s="10" t="str">
        <f ca="1">VLOOKUP($F73,OFFSET([1]characters!$A$2,0,0,COUNTA([1]characters!$A:$A),MATCH("タイプ",[1]characters!$1:$1,0)-MATCH($F$1,[1]characters!$2:$2,0)+2),MATCH("タイプ",[1]characters!$1:$1,0)-MATCH($F$1,[1]characters!$2:$2,0)+2,FALSE)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3" s="10" t="str">
        <f ca="1">VLOOKUP($F73,OFFSET([1]characters!$A$2,0,0,COUNTA([1]characters!$A:$A),MATCH($L$1,[1]characters!$1:$1,0)-MATCH($F$1,[1]characters!$2:$2,0)+2),MATCH($L$1,[1]characters!$1:$1,0)-MATCH($F$1,[1]characters!$2:$2,0)+2,FALSE)</f>
        <v>マシン</v>
      </c>
      <c r="M73" s="6">
        <v>1</v>
      </c>
      <c r="N73" s="40">
        <f ca="1">VLOOKUP(D73,gacha_133_base!A:B,2,FALSE)</f>
        <v>8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4"/>
        <v>12451</v>
      </c>
      <c r="B74" s="2">
        <f t="shared" si="7"/>
        <v>134</v>
      </c>
      <c r="C74" s="10" t="str">
        <f t="shared" ca="1" si="5"/>
        <v>1PremiumS4</v>
      </c>
      <c r="D74" s="10" t="str">
        <f t="shared" ca="1" si="6"/>
        <v>1PremiumS4</v>
      </c>
      <c r="E74" s="6">
        <v>1</v>
      </c>
      <c r="F74" s="19">
        <v>245</v>
      </c>
      <c r="G74" s="10" t="str">
        <f ca="1">VLOOKUP($F74,OFFSET([1]characters!$A$2,0,0,COUNTA([1]characters!$A:$A),MATCH(G$1,[1]characters!$2:$2,0)-MATCH($F$1,[1]characters!$2:$2,0)+1),MATCH(G$1,[1]characters!$2:$2,0)-MATCH($F$1,[1]characters!$2:$2,0)+1,FALSE)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74" s="10" t="str">
        <f ca="1">VLOOKUP($F74,OFFSET([1]characters!$A$2,0,0,COUNTA([1]characters!$A:$A),MATCH(H$1,[1]characters!$2:$2,0)-MATCH($F$1,[1]characters!$2:$2,0)+1),MATCH(H$1,[1]characters!$2:$2,0)-MATCH($F$1,[1]characters!$2:$2,0)+1,FALSE)</f>
        <v>PremiumS</v>
      </c>
      <c r="I74" s="10">
        <f ca="1">VLOOKUP($F74,OFFSET([1]characters!$A$2,0,0,COUNTA([1]characters!$A:$A),MATCH(I$1,[1]characters!$2:$2,0)-MATCH($F$1,[1]characters!$2:$2,0)+1),MATCH(I$1,[1]characters!$2:$2,0)-MATCH($F$1,[1]characters!$2:$2,0)+1,FALSE)</f>
        <v>4</v>
      </c>
      <c r="J74" s="10" t="str">
        <f ca="1">VLOOKUP($F74,OFFSET([1]characters!$A$2,0,0,COUNTA([1]characters!$A:$A),MATCH(J$1,[1]characters!$2:$2,0)-MATCH($F$1,[1]characters!$2:$2,0)+1),MATCH(J$1,[1]characters!$2:$2,0)-MATCH($F$1,[1]characters!$2:$2,0)+1,FALSE)</f>
        <v>blue</v>
      </c>
      <c r="K74" s="10" t="str">
        <f ca="1">VLOOKUP($F74,OFFSET([1]characters!$A$2,0,0,COUNTA([1]characters!$A:$A),MATCH("タイプ",[1]characters!$1:$1,0)-MATCH($F$1,[1]characters!$2:$2,0)+2),MATCH("タイプ",[1]characters!$1:$1,0)-MATCH($F$1,[1]characters!$2:$2,0)+2,FALSE)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4" s="10" t="str">
        <f ca="1">VLOOKUP($F74,OFFSET([1]characters!$A$2,0,0,COUNTA([1]characters!$A:$A),MATCH($L$1,[1]characters!$1:$1,0)-MATCH($F$1,[1]characters!$2:$2,0)+2),MATCH($L$1,[1]characters!$1:$1,0)-MATCH($F$1,[1]characters!$2:$2,0)+2,FALSE)</f>
        <v>マシン</v>
      </c>
      <c r="M74" s="6">
        <v>1</v>
      </c>
      <c r="N74" s="40">
        <f ca="1">VLOOKUP(D74,gacha_133_base!A:B,2,FALSE)</f>
        <v>200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4"/>
        <v>12461</v>
      </c>
      <c r="B75" s="2">
        <f t="shared" si="7"/>
        <v>134</v>
      </c>
      <c r="C75" s="10" t="str">
        <f t="shared" ca="1" si="5"/>
        <v>1PremiumS5</v>
      </c>
      <c r="D75" s="10" t="str">
        <f t="shared" ca="1" si="6"/>
        <v>1PremiumS5</v>
      </c>
      <c r="E75" s="6">
        <v>1</v>
      </c>
      <c r="F75" s="19">
        <v>246</v>
      </c>
      <c r="G75" s="10" t="str">
        <f ca="1">VLOOKUP($F75,OFFSET([1]characters!$A$2,0,0,COUNTA([1]characters!$A:$A),MATCH(G$1,[1]characters!$2:$2,0)-MATCH($F$1,[1]characters!$2:$2,0)+1),MATCH(G$1,[1]characters!$2:$2,0)-MATCH($F$1,[1]characters!$2:$2,0)+1,FALSE)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75" s="10" t="str">
        <f ca="1">VLOOKUP($F75,OFFSET([1]characters!$A$2,0,0,COUNTA([1]characters!$A:$A),MATCH(H$1,[1]characters!$2:$2,0)-MATCH($F$1,[1]characters!$2:$2,0)+1),MATCH(H$1,[1]characters!$2:$2,0)-MATCH($F$1,[1]characters!$2:$2,0)+1,FALSE)</f>
        <v>PremiumS</v>
      </c>
      <c r="I75" s="10">
        <f ca="1">VLOOKUP($F75,OFFSET([1]characters!$A$2,0,0,COUNTA([1]characters!$A:$A),MATCH(I$1,[1]characters!$2:$2,0)-MATCH($F$1,[1]characters!$2:$2,0)+1),MATCH(I$1,[1]characters!$2:$2,0)-MATCH($F$1,[1]characters!$2:$2,0)+1,FALSE)</f>
        <v>5</v>
      </c>
      <c r="J75" s="10" t="str">
        <f ca="1">VLOOKUP($F75,OFFSET([1]characters!$A$2,0,0,COUNTA([1]characters!$A:$A),MATCH(J$1,[1]characters!$2:$2,0)-MATCH($F$1,[1]characters!$2:$2,0)+1),MATCH(J$1,[1]characters!$2:$2,0)-MATCH($F$1,[1]characters!$2:$2,0)+1,FALSE)</f>
        <v>blue</v>
      </c>
      <c r="K75" s="10" t="str">
        <f ca="1">VLOOKUP($F75,OFFSET([1]characters!$A$2,0,0,COUNTA([1]characters!$A:$A),MATCH("タイプ",[1]characters!$1:$1,0)-MATCH($F$1,[1]characters!$2:$2,0)+2),MATCH("タイプ",[1]characters!$1:$1,0)-MATCH($F$1,[1]characters!$2:$2,0)+2,FALSE)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5" s="10" t="str">
        <f ca="1">VLOOKUP($F75,OFFSET([1]characters!$A$2,0,0,COUNTA([1]characters!$A:$A),MATCH($L$1,[1]characters!$1:$1,0)-MATCH($F$1,[1]characters!$2:$2,0)+2),MATCH($L$1,[1]characters!$1:$1,0)-MATCH($F$1,[1]characters!$2:$2,0)+2,FALSE)</f>
        <v>マシン</v>
      </c>
      <c r="M75" s="6">
        <v>1</v>
      </c>
      <c r="N75" s="40">
        <f ca="1">VLOOKUP(D75,gacha_133_base!A:B,2,FALSE)</f>
        <v>8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4"/>
        <v>12481</v>
      </c>
      <c r="B76" s="2">
        <f t="shared" si="7"/>
        <v>134</v>
      </c>
      <c r="C76" s="10" t="str">
        <f t="shared" ca="1" si="5"/>
        <v>1PremiumS4</v>
      </c>
      <c r="D76" s="10" t="str">
        <f t="shared" ca="1" si="6"/>
        <v>1PremiumS4</v>
      </c>
      <c r="E76" s="6">
        <v>1</v>
      </c>
      <c r="F76" s="19">
        <v>248</v>
      </c>
      <c r="G76" s="10" t="str">
        <f ca="1">VLOOKUP($F76,OFFSET([1]characters!$A$2,0,0,COUNTA([1]characters!$A:$A),MATCH(G$1,[1]characters!$2:$2,0)-MATCH($F$1,[1]characters!$2:$2,0)+1),MATCH(G$1,[1]characters!$2:$2,0)-MATCH($F$1,[1]characters!$2:$2,0)+1,FALSE)</f>
        <v>彩電の天使 ミカエル</v>
      </c>
      <c r="H76" s="10" t="str">
        <f ca="1">VLOOKUP($F76,OFFSET([1]characters!$A$2,0,0,COUNTA([1]characters!$A:$A),MATCH(H$1,[1]characters!$2:$2,0)-MATCH($F$1,[1]characters!$2:$2,0)+1),MATCH(H$1,[1]characters!$2:$2,0)-MATCH($F$1,[1]characters!$2:$2,0)+1,FALSE)</f>
        <v>PremiumS</v>
      </c>
      <c r="I76" s="10">
        <f ca="1">VLOOKUP($F76,OFFSET([1]characters!$A$2,0,0,COUNTA([1]characters!$A:$A),MATCH(I$1,[1]characters!$2:$2,0)-MATCH($F$1,[1]characters!$2:$2,0)+1),MATCH(I$1,[1]characters!$2:$2,0)-MATCH($F$1,[1]characters!$2:$2,0)+1,FALSE)</f>
        <v>4</v>
      </c>
      <c r="J76" s="10" t="str">
        <f ca="1">VLOOKUP($F76,OFFSET([1]characters!$A$2,0,0,COUNTA([1]characters!$A:$A),MATCH(J$1,[1]characters!$2:$2,0)-MATCH($F$1,[1]characters!$2:$2,0)+1),MATCH(J$1,[1]characters!$2:$2,0)-MATCH($F$1,[1]characters!$2:$2,0)+1,FALSE)</f>
        <v>yellow</v>
      </c>
      <c r="K76" s="10" t="str">
        <f ca="1">VLOOKUP($F76,OFFSET([1]characters!$A$2,0,0,COUNTA([1]characters!$A:$A),MATCH("タイプ",[1]characters!$1:$1,0)-MATCH($F$1,[1]characters!$2:$2,0)+2),MATCH("タイプ",[1]characters!$1:$1,0)-MATCH($F$1,[1]characters!$2:$2,0)+2,FALSE)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6" s="10" t="str">
        <f ca="1">VLOOKUP($F76,OFFSET([1]characters!$A$2,0,0,COUNTA([1]characters!$A:$A),MATCH($L$1,[1]characters!$1:$1,0)-MATCH($F$1,[1]characters!$2:$2,0)+2),MATCH($L$1,[1]characters!$1:$1,0)-MATCH($F$1,[1]characters!$2:$2,0)+2,FALSE)</f>
        <v>マシン</v>
      </c>
      <c r="M76" s="6">
        <v>1</v>
      </c>
      <c r="N76" s="40">
        <f ca="1">VLOOKUP(D76,gacha_133_base!A:B,2,FALSE)</f>
        <v>200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s="26" customFormat="1" ht="21" customHeight="1" thickBot="1">
      <c r="A77" s="22" t="str">
        <f t="shared" si="4"/>
        <v>12491</v>
      </c>
      <c r="B77" s="2">
        <f t="shared" si="7"/>
        <v>134</v>
      </c>
      <c r="C77" s="10" t="str">
        <f t="shared" ca="1" si="5"/>
        <v>1PremiumS5</v>
      </c>
      <c r="D77" s="10" t="str">
        <f t="shared" ca="1" si="6"/>
        <v>1PremiumS5</v>
      </c>
      <c r="E77" s="6">
        <v>1</v>
      </c>
      <c r="F77" s="19">
        <v>249</v>
      </c>
      <c r="G77" s="10" t="str">
        <f ca="1">VLOOKUP($F77,OFFSET([1]characters!$A$2,0,0,COUNTA([1]characters!$A:$A),MATCH(G$1,[1]characters!$2:$2,0)-MATCH($F$1,[1]characters!$2:$2,0)+1),MATCH(G$1,[1]characters!$2:$2,0)-MATCH($F$1,[1]characters!$2:$2,0)+1,FALSE)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77" s="10" t="str">
        <f ca="1">VLOOKUP($F77,OFFSET([1]characters!$A$2,0,0,COUNTA([1]characters!$A:$A),MATCH(H$1,[1]characters!$2:$2,0)-MATCH($F$1,[1]characters!$2:$2,0)+1),MATCH(H$1,[1]characters!$2:$2,0)-MATCH($F$1,[1]characters!$2:$2,0)+1,FALSE)</f>
        <v>PremiumS</v>
      </c>
      <c r="I77" s="10">
        <f ca="1">VLOOKUP($F77,OFFSET([1]characters!$A$2,0,0,COUNTA([1]characters!$A:$A),MATCH(I$1,[1]characters!$2:$2,0)-MATCH($F$1,[1]characters!$2:$2,0)+1),MATCH(I$1,[1]characters!$2:$2,0)-MATCH($F$1,[1]characters!$2:$2,0)+1,FALSE)</f>
        <v>5</v>
      </c>
      <c r="J77" s="10" t="str">
        <f ca="1">VLOOKUP($F77,OFFSET([1]characters!$A$2,0,0,COUNTA([1]characters!$A:$A),MATCH(J$1,[1]characters!$2:$2,0)-MATCH($F$1,[1]characters!$2:$2,0)+1),MATCH(J$1,[1]characters!$2:$2,0)-MATCH($F$1,[1]characters!$2:$2,0)+1,FALSE)</f>
        <v>yellow</v>
      </c>
      <c r="K77" s="10" t="str">
        <f ca="1">VLOOKUP($F77,OFFSET([1]characters!$A$2,0,0,COUNTA([1]characters!$A:$A),MATCH("タイプ",[1]characters!$1:$1,0)-MATCH($F$1,[1]characters!$2:$2,0)+2),MATCH("タイプ",[1]characters!$1:$1,0)-MATCH($F$1,[1]characters!$2:$2,0)+2,FALSE)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7" s="10" t="str">
        <f ca="1">VLOOKUP($F77,OFFSET([1]characters!$A$2,0,0,COUNTA([1]characters!$A:$A),MATCH($L$1,[1]characters!$1:$1,0)-MATCH($F$1,[1]characters!$2:$2,0)+2),MATCH($L$1,[1]characters!$1:$1,0)-MATCH($F$1,[1]characters!$2:$2,0)+2,FALSE)</f>
        <v>マシン</v>
      </c>
      <c r="M77" s="6">
        <v>1</v>
      </c>
      <c r="N77" s="40">
        <f ca="1">VLOOKUP(D77,gacha_133_base!A:B,2,FALSE)</f>
        <v>8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 thickBot="1">
      <c r="A78" s="22" t="str">
        <f t="shared" si="4"/>
        <v>12511</v>
      </c>
      <c r="B78" s="2">
        <f t="shared" si="7"/>
        <v>134</v>
      </c>
      <c r="C78" s="10" t="str">
        <f t="shared" ca="1" si="5"/>
        <v>1PremiumS4</v>
      </c>
      <c r="D78" s="10" t="str">
        <f t="shared" ca="1" si="6"/>
        <v>1PremiumS4</v>
      </c>
      <c r="E78" s="6">
        <v>1</v>
      </c>
      <c r="F78" s="7">
        <v>251</v>
      </c>
      <c r="G78" s="10" t="str">
        <f ca="1">VLOOKUP($F78,OFFSET([1]characters!$A$2,0,0,COUNTA([1]characters!$A:$A),MATCH(G$1,[1]characters!$2:$2,0)-MATCH($F$1,[1]characters!$2:$2,0)+1),MATCH(G$1,[1]characters!$2:$2,0)-MATCH($F$1,[1]characters!$2:$2,0)+1,FALSE)</f>
        <v>強欲 マンモン</v>
      </c>
      <c r="H78" s="10" t="str">
        <f ca="1">VLOOKUP($F78,OFFSET([1]characters!$A$2,0,0,COUNTA([1]characters!$A:$A),MATCH(H$1,[1]characters!$2:$2,0)-MATCH($F$1,[1]characters!$2:$2,0)+1),MATCH(H$1,[1]characters!$2:$2,0)-MATCH($F$1,[1]characters!$2:$2,0)+1,FALSE)</f>
        <v>PremiumS</v>
      </c>
      <c r="I78" s="10">
        <f ca="1">VLOOKUP($F78,OFFSET([1]characters!$A$2,0,0,COUNTA([1]characters!$A:$A),MATCH(I$1,[1]characters!$2:$2,0)-MATCH($F$1,[1]characters!$2:$2,0)+1),MATCH(I$1,[1]characters!$2:$2,0)-MATCH($F$1,[1]characters!$2:$2,0)+1,FALSE)</f>
        <v>4</v>
      </c>
      <c r="J78" s="10" t="str">
        <f ca="1">VLOOKUP($F78,OFFSET([1]characters!$A$2,0,0,COUNTA([1]characters!$A:$A),MATCH(J$1,[1]characters!$2:$2,0)-MATCH($F$1,[1]characters!$2:$2,0)+1),MATCH(J$1,[1]characters!$2:$2,0)-MATCH($F$1,[1]characters!$2:$2,0)+1,FALSE)</f>
        <v>red</v>
      </c>
      <c r="K78" s="10" t="str">
        <f ca="1">VLOOKUP($F78,OFFSET([1]characters!$A$2,0,0,COUNTA([1]characters!$A:$A),MATCH("タイプ",[1]characters!$1:$1,0)-MATCH($F$1,[1]characters!$2:$2,0)+2),MATCH("タイプ",[1]characters!$1:$1,0)-MATCH($F$1,[1]characters!$2:$2,0)+2,FALSE)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8" s="10" t="str">
        <f ca="1">VLOOKUP($F78,OFFSET([1]characters!$A$2,0,0,COUNTA([1]characters!$A:$A),MATCH($L$1,[1]characters!$1:$1,0)-MATCH($F$1,[1]characters!$2:$2,0)+2),MATCH($L$1,[1]characters!$1:$1,0)-MATCH($F$1,[1]characters!$2:$2,0)+2,FALSE)</f>
        <v>ゴッド</v>
      </c>
      <c r="M78" s="6">
        <v>1</v>
      </c>
      <c r="N78" s="40">
        <f ca="1">VLOOKUP(D78,gacha_133_base!A:B,2,FALSE)</f>
        <v>200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 thickBot="1">
      <c r="A79" s="22" t="str">
        <f t="shared" si="4"/>
        <v>12521</v>
      </c>
      <c r="B79" s="2">
        <f t="shared" si="7"/>
        <v>134</v>
      </c>
      <c r="C79" s="10" t="str">
        <f t="shared" ca="1" si="5"/>
        <v>1PremiumS5</v>
      </c>
      <c r="D79" s="10" t="str">
        <f t="shared" ca="1" si="6"/>
        <v>1PremiumS5</v>
      </c>
      <c r="E79" s="6">
        <v>1</v>
      </c>
      <c r="F79" s="7">
        <v>252</v>
      </c>
      <c r="G79" s="10" t="str">
        <f ca="1">VLOOKUP($F79,OFFSET([1]characters!$A$2,0,0,COUNTA([1]characters!$A:$A),MATCH(G$1,[1]characters!$2:$2,0)-MATCH($F$1,[1]characters!$2:$2,0)+1),MATCH(G$1,[1]characters!$2:$2,0)-MATCH($F$1,[1]characters!$2:$2,0)+1,FALSE)</f>
        <v>強欲の沸騰 マンモン</v>
      </c>
      <c r="H79" s="10" t="str">
        <f ca="1">VLOOKUP($F79,OFFSET([1]characters!$A$2,0,0,COUNTA([1]characters!$A:$A),MATCH(H$1,[1]characters!$2:$2,0)-MATCH($F$1,[1]characters!$2:$2,0)+1),MATCH(H$1,[1]characters!$2:$2,0)-MATCH($F$1,[1]characters!$2:$2,0)+1,FALSE)</f>
        <v>PremiumS</v>
      </c>
      <c r="I79" s="10">
        <f ca="1">VLOOKUP($F79,OFFSET([1]characters!$A$2,0,0,COUNTA([1]characters!$A:$A),MATCH(I$1,[1]characters!$2:$2,0)-MATCH($F$1,[1]characters!$2:$2,0)+1),MATCH(I$1,[1]characters!$2:$2,0)-MATCH($F$1,[1]characters!$2:$2,0)+1,FALSE)</f>
        <v>5</v>
      </c>
      <c r="J79" s="10" t="str">
        <f ca="1">VLOOKUP($F79,OFFSET([1]characters!$A$2,0,0,COUNTA([1]characters!$A:$A),MATCH(J$1,[1]characters!$2:$2,0)-MATCH($F$1,[1]characters!$2:$2,0)+1),MATCH(J$1,[1]characters!$2:$2,0)-MATCH($F$1,[1]characters!$2:$2,0)+1,FALSE)</f>
        <v>red</v>
      </c>
      <c r="K79" s="10" t="str">
        <f ca="1">VLOOKUP($F79,OFFSET([1]characters!$A$2,0,0,COUNTA([1]characters!$A:$A),MATCH("タイプ",[1]characters!$1:$1,0)-MATCH($F$1,[1]characters!$2:$2,0)+2),MATCH("タイプ",[1]characters!$1:$1,0)-MATCH($F$1,[1]characters!$2:$2,0)+2,FALSE)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9" s="10" t="str">
        <f ca="1">VLOOKUP($F79,OFFSET([1]characters!$A$2,0,0,COUNTA([1]characters!$A:$A),MATCH($L$1,[1]characters!$1:$1,0)-MATCH($F$1,[1]characters!$2:$2,0)+2),MATCH($L$1,[1]characters!$1:$1,0)-MATCH($F$1,[1]characters!$2:$2,0)+2,FALSE)</f>
        <v>ゴッド</v>
      </c>
      <c r="M79" s="6">
        <v>1</v>
      </c>
      <c r="N79" s="40">
        <f ca="1">VLOOKUP(D79,gacha_133_base!A:B,2,FALSE)</f>
        <v>8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 thickBot="1">
      <c r="A80" s="22" t="str">
        <f t="shared" si="4"/>
        <v>12541</v>
      </c>
      <c r="B80" s="2">
        <f t="shared" si="7"/>
        <v>134</v>
      </c>
      <c r="C80" s="10" t="str">
        <f t="shared" ca="1" si="5"/>
        <v>1PremiumS4</v>
      </c>
      <c r="D80" s="10" t="str">
        <f t="shared" ca="1" si="6"/>
        <v>1PremiumS4</v>
      </c>
      <c r="E80" s="6">
        <v>1</v>
      </c>
      <c r="F80" s="7">
        <v>254</v>
      </c>
      <c r="G80" s="10" t="str">
        <f ca="1">VLOOKUP($F80,OFFSET([1]characters!$A$2,0,0,COUNTA([1]characters!$A:$A),MATCH(G$1,[1]characters!$2:$2,0)-MATCH($F$1,[1]characters!$2:$2,0)+1),MATCH(G$1,[1]characters!$2:$2,0)-MATCH($F$1,[1]characters!$2:$2,0)+1,FALSE)</f>
        <v>怠惰 ベルフェゴール</v>
      </c>
      <c r="H80" s="10" t="str">
        <f ca="1">VLOOKUP($F80,OFFSET([1]characters!$A$2,0,0,COUNTA([1]characters!$A:$A),MATCH(H$1,[1]characters!$2:$2,0)-MATCH($F$1,[1]characters!$2:$2,0)+1),MATCH(H$1,[1]characters!$2:$2,0)-MATCH($F$1,[1]characters!$2:$2,0)+1,FALSE)</f>
        <v>PremiumS</v>
      </c>
      <c r="I80" s="10">
        <f ca="1">VLOOKUP($F80,OFFSET([1]characters!$A$2,0,0,COUNTA([1]characters!$A:$A),MATCH(I$1,[1]characters!$2:$2,0)-MATCH($F$1,[1]characters!$2:$2,0)+1),MATCH(I$1,[1]characters!$2:$2,0)-MATCH($F$1,[1]characters!$2:$2,0)+1,FALSE)</f>
        <v>4</v>
      </c>
      <c r="J80" s="10" t="str">
        <f ca="1">VLOOKUP($F80,OFFSET([1]characters!$A$2,0,0,COUNTA([1]characters!$A:$A),MATCH(J$1,[1]characters!$2:$2,0)-MATCH($F$1,[1]characters!$2:$2,0)+1),MATCH(J$1,[1]characters!$2:$2,0)-MATCH($F$1,[1]characters!$2:$2,0)+1,FALSE)</f>
        <v>green</v>
      </c>
      <c r="K80" s="10" t="str">
        <f ca="1">VLOOKUP($F80,OFFSET([1]characters!$A$2,0,0,COUNTA([1]characters!$A:$A),MATCH("タイプ",[1]characters!$1:$1,0)-MATCH($F$1,[1]characters!$2:$2,0)+2),MATCH("タイプ",[1]characters!$1:$1,0)-MATCH($F$1,[1]characters!$2:$2,0)+2,FALSE)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0" s="10" t="str">
        <f ca="1">VLOOKUP($F80,OFFSET([1]characters!$A$2,0,0,COUNTA([1]characters!$A:$A),MATCH($L$1,[1]characters!$1:$1,0)-MATCH($F$1,[1]characters!$2:$2,0)+2),MATCH($L$1,[1]characters!$1:$1,0)-MATCH($F$1,[1]characters!$2:$2,0)+2,FALSE)</f>
        <v>ゴッド</v>
      </c>
      <c r="M80" s="6">
        <v>1</v>
      </c>
      <c r="N80" s="40">
        <f ca="1">VLOOKUP(D80,gacha_133_base!A:B,2,FALSE)</f>
        <v>200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 thickBot="1">
      <c r="A81" s="22" t="str">
        <f t="shared" si="4"/>
        <v>12551</v>
      </c>
      <c r="B81" s="2">
        <f t="shared" si="7"/>
        <v>134</v>
      </c>
      <c r="C81" s="10" t="str">
        <f t="shared" ca="1" si="5"/>
        <v>1PremiumS5</v>
      </c>
      <c r="D81" s="10" t="str">
        <f t="shared" ca="1" si="6"/>
        <v>1PremiumS5</v>
      </c>
      <c r="E81" s="6">
        <v>1</v>
      </c>
      <c r="F81" s="7">
        <v>255</v>
      </c>
      <c r="G81" s="10" t="str">
        <f ca="1">VLOOKUP($F81,OFFSET([1]characters!$A$2,0,0,COUNTA([1]characters!$A:$A),MATCH(G$1,[1]characters!$2:$2,0)-MATCH($F$1,[1]characters!$2:$2,0)+1),MATCH(G$1,[1]characters!$2:$2,0)-MATCH($F$1,[1]characters!$2:$2,0)+1,FALSE)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81" s="10" t="str">
        <f ca="1">VLOOKUP($F81,OFFSET([1]characters!$A$2,0,0,COUNTA([1]characters!$A:$A),MATCH(H$1,[1]characters!$2:$2,0)-MATCH($F$1,[1]characters!$2:$2,0)+1),MATCH(H$1,[1]characters!$2:$2,0)-MATCH($F$1,[1]characters!$2:$2,0)+1,FALSE)</f>
        <v>PremiumS</v>
      </c>
      <c r="I81" s="10">
        <f ca="1">VLOOKUP($F81,OFFSET([1]characters!$A$2,0,0,COUNTA([1]characters!$A:$A),MATCH(I$1,[1]characters!$2:$2,0)-MATCH($F$1,[1]characters!$2:$2,0)+1),MATCH(I$1,[1]characters!$2:$2,0)-MATCH($F$1,[1]characters!$2:$2,0)+1,FALSE)</f>
        <v>5</v>
      </c>
      <c r="J81" s="10" t="str">
        <f ca="1">VLOOKUP($F81,OFFSET([1]characters!$A$2,0,0,COUNTA([1]characters!$A:$A),MATCH(J$1,[1]characters!$2:$2,0)-MATCH($F$1,[1]characters!$2:$2,0)+1),MATCH(J$1,[1]characters!$2:$2,0)-MATCH($F$1,[1]characters!$2:$2,0)+1,FALSE)</f>
        <v>green</v>
      </c>
      <c r="K81" s="10" t="str">
        <f ca="1">VLOOKUP($F81,OFFSET([1]characters!$A$2,0,0,COUNTA([1]characters!$A:$A),MATCH("タイプ",[1]characters!$1:$1,0)-MATCH($F$1,[1]characters!$2:$2,0)+2),MATCH("タイプ",[1]characters!$1:$1,0)-MATCH($F$1,[1]characters!$2:$2,0)+2,FALSE)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1" s="10" t="str">
        <f ca="1">VLOOKUP($F81,OFFSET([1]characters!$A$2,0,0,COUNTA([1]characters!$A:$A),MATCH($L$1,[1]characters!$1:$1,0)-MATCH($F$1,[1]characters!$2:$2,0)+2),MATCH($L$1,[1]characters!$1:$1,0)-MATCH($F$1,[1]characters!$2:$2,0)+2,FALSE)</f>
        <v>ゴッド</v>
      </c>
      <c r="M81" s="6">
        <v>1</v>
      </c>
      <c r="N81" s="40">
        <f ca="1">VLOOKUP(D81,gacha_133_base!A:B,2,FALSE)</f>
        <v>8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 thickBot="1">
      <c r="A82" s="22" t="str">
        <f t="shared" si="4"/>
        <v>12571</v>
      </c>
      <c r="B82" s="2">
        <f t="shared" si="7"/>
        <v>134</v>
      </c>
      <c r="C82" s="10" t="str">
        <f t="shared" ca="1" si="5"/>
        <v>1PremiumS4</v>
      </c>
      <c r="D82" s="10" t="str">
        <f t="shared" ca="1" si="6"/>
        <v>1PremiumS4</v>
      </c>
      <c r="E82" s="6">
        <v>1</v>
      </c>
      <c r="F82" s="7">
        <v>257</v>
      </c>
      <c r="G82" s="10" t="str">
        <f ca="1">VLOOKUP($F82,OFFSET([1]characters!$A$2,0,0,COUNTA([1]characters!$A:$A),MATCH(G$1,[1]characters!$2:$2,0)-MATCH($F$1,[1]characters!$2:$2,0)+1),MATCH(G$1,[1]characters!$2:$2,0)-MATCH($F$1,[1]characters!$2:$2,0)+1,FALSE)</f>
        <v>色欲 アスモデウス</v>
      </c>
      <c r="H82" s="10" t="str">
        <f ca="1">VLOOKUP($F82,OFFSET([1]characters!$A$2,0,0,COUNTA([1]characters!$A:$A),MATCH(H$1,[1]characters!$2:$2,0)-MATCH($F$1,[1]characters!$2:$2,0)+1),MATCH(H$1,[1]characters!$2:$2,0)-MATCH($F$1,[1]characters!$2:$2,0)+1,FALSE)</f>
        <v>PremiumS</v>
      </c>
      <c r="I82" s="10">
        <f ca="1">VLOOKUP($F82,OFFSET([1]characters!$A$2,0,0,COUNTA([1]characters!$A:$A),MATCH(I$1,[1]characters!$2:$2,0)-MATCH($F$1,[1]characters!$2:$2,0)+1),MATCH(I$1,[1]characters!$2:$2,0)-MATCH($F$1,[1]characters!$2:$2,0)+1,FALSE)</f>
        <v>4</v>
      </c>
      <c r="J82" s="10" t="str">
        <f ca="1">VLOOKUP($F82,OFFSET([1]characters!$A$2,0,0,COUNTA([1]characters!$A:$A),MATCH(J$1,[1]characters!$2:$2,0)-MATCH($F$1,[1]characters!$2:$2,0)+1),MATCH(J$1,[1]characters!$2:$2,0)-MATCH($F$1,[1]characters!$2:$2,0)+1,FALSE)</f>
        <v>blue</v>
      </c>
      <c r="K82" s="10" t="str">
        <f ca="1">VLOOKUP($F82,OFFSET([1]characters!$A$2,0,0,COUNTA([1]characters!$A:$A),MATCH("タイプ",[1]characters!$1:$1,0)-MATCH($F$1,[1]characters!$2:$2,0)+2),MATCH("タイプ",[1]characters!$1:$1,0)-MATCH($F$1,[1]characters!$2:$2,0)+2,FALSE)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2" s="10" t="str">
        <f ca="1">VLOOKUP($F82,OFFSET([1]characters!$A$2,0,0,COUNTA([1]characters!$A:$A),MATCH($L$1,[1]characters!$1:$1,0)-MATCH($F$1,[1]characters!$2:$2,0)+2),MATCH($L$1,[1]characters!$1:$1,0)-MATCH($F$1,[1]characters!$2:$2,0)+2,FALSE)</f>
        <v>ゴッド</v>
      </c>
      <c r="M82" s="6">
        <v>1</v>
      </c>
      <c r="N82" s="40">
        <f ca="1">VLOOKUP(D82,gacha_133_base!A:B,2,FALSE)</f>
        <v>200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 thickBot="1">
      <c r="A83" s="22" t="str">
        <f t="shared" si="4"/>
        <v>12581</v>
      </c>
      <c r="B83" s="2">
        <f t="shared" si="7"/>
        <v>134</v>
      </c>
      <c r="C83" s="10" t="str">
        <f t="shared" ca="1" si="5"/>
        <v>1PremiumS5</v>
      </c>
      <c r="D83" s="10" t="str">
        <f t="shared" ca="1" si="6"/>
        <v>1PremiumS5</v>
      </c>
      <c r="E83" s="6">
        <v>1</v>
      </c>
      <c r="F83" s="7">
        <v>258</v>
      </c>
      <c r="G83" s="10" t="str">
        <f ca="1">VLOOKUP($F83,OFFSET([1]characters!$A$2,0,0,COUNTA([1]characters!$A:$A),MATCH(G$1,[1]characters!$2:$2,0)-MATCH($F$1,[1]characters!$2:$2,0)+1),MATCH(G$1,[1]characters!$2:$2,0)-MATCH($F$1,[1]characters!$2:$2,0)+1,FALSE)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83" s="10" t="str">
        <f ca="1">VLOOKUP($F83,OFFSET([1]characters!$A$2,0,0,COUNTA([1]characters!$A:$A),MATCH(H$1,[1]characters!$2:$2,0)-MATCH($F$1,[1]characters!$2:$2,0)+1),MATCH(H$1,[1]characters!$2:$2,0)-MATCH($F$1,[1]characters!$2:$2,0)+1,FALSE)</f>
        <v>PremiumS</v>
      </c>
      <c r="I83" s="10">
        <f ca="1">VLOOKUP($F83,OFFSET([1]characters!$A$2,0,0,COUNTA([1]characters!$A:$A),MATCH(I$1,[1]characters!$2:$2,0)-MATCH($F$1,[1]characters!$2:$2,0)+1),MATCH(I$1,[1]characters!$2:$2,0)-MATCH($F$1,[1]characters!$2:$2,0)+1,FALSE)</f>
        <v>5</v>
      </c>
      <c r="J83" s="10" t="str">
        <f ca="1">VLOOKUP($F83,OFFSET([1]characters!$A$2,0,0,COUNTA([1]characters!$A:$A),MATCH(J$1,[1]characters!$2:$2,0)-MATCH($F$1,[1]characters!$2:$2,0)+1),MATCH(J$1,[1]characters!$2:$2,0)-MATCH($F$1,[1]characters!$2:$2,0)+1,FALSE)</f>
        <v>blue</v>
      </c>
      <c r="K83" s="10" t="str">
        <f ca="1">VLOOKUP($F83,OFFSET([1]characters!$A$2,0,0,COUNTA([1]characters!$A:$A),MATCH("タイプ",[1]characters!$1:$1,0)-MATCH($F$1,[1]characters!$2:$2,0)+2),MATCH("タイプ",[1]characters!$1:$1,0)-MATCH($F$1,[1]characters!$2:$2,0)+2,FALSE)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3" s="10" t="str">
        <f ca="1">VLOOKUP($F83,OFFSET([1]characters!$A$2,0,0,COUNTA([1]characters!$A:$A),MATCH($L$1,[1]characters!$1:$1,0)-MATCH($F$1,[1]characters!$2:$2,0)+2),MATCH($L$1,[1]characters!$1:$1,0)-MATCH($F$1,[1]characters!$2:$2,0)+2,FALSE)</f>
        <v>ゴッド</v>
      </c>
      <c r="M83" s="6">
        <v>1</v>
      </c>
      <c r="N83" s="40">
        <f ca="1">VLOOKUP(D83,gacha_133_base!A:B,2,FALSE)</f>
        <v>8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 thickBot="1">
      <c r="A84" s="22" t="str">
        <f t="shared" si="4"/>
        <v>12601</v>
      </c>
      <c r="B84" s="2">
        <f t="shared" si="7"/>
        <v>134</v>
      </c>
      <c r="C84" s="10" t="str">
        <f t="shared" ca="1" si="5"/>
        <v>1PremiumS4</v>
      </c>
      <c r="D84" s="10" t="str">
        <f t="shared" ca="1" si="6"/>
        <v>1PremiumS4</v>
      </c>
      <c r="E84" s="6">
        <v>1</v>
      </c>
      <c r="F84" s="7">
        <v>260</v>
      </c>
      <c r="G84" s="10" t="str">
        <f ca="1">VLOOKUP($F84,OFFSET([1]characters!$A$2,0,0,COUNTA([1]characters!$A:$A),MATCH(G$1,[1]characters!$2:$2,0)-MATCH($F$1,[1]characters!$2:$2,0)+1),MATCH(G$1,[1]characters!$2:$2,0)-MATCH($F$1,[1]characters!$2:$2,0)+1,FALSE)</f>
        <v>輪廻 ウロボロス</v>
      </c>
      <c r="H84" s="10" t="str">
        <f ca="1">VLOOKUP($F84,OFFSET([1]characters!$A$2,0,0,COUNTA([1]characters!$A:$A),MATCH(H$1,[1]characters!$2:$2,0)-MATCH($F$1,[1]characters!$2:$2,0)+1),MATCH(H$1,[1]characters!$2:$2,0)-MATCH($F$1,[1]characters!$2:$2,0)+1,FALSE)</f>
        <v>PremiumS</v>
      </c>
      <c r="I84" s="10">
        <f ca="1">VLOOKUP($F84,OFFSET([1]characters!$A$2,0,0,COUNTA([1]characters!$A:$A),MATCH(I$1,[1]characters!$2:$2,0)-MATCH($F$1,[1]characters!$2:$2,0)+1),MATCH(I$1,[1]characters!$2:$2,0)-MATCH($F$1,[1]characters!$2:$2,0)+1,FALSE)</f>
        <v>4</v>
      </c>
      <c r="J84" s="10" t="str">
        <f ca="1">VLOOKUP($F84,OFFSET([1]characters!$A$2,0,0,COUNTA([1]characters!$A:$A),MATCH(J$1,[1]characters!$2:$2,0)-MATCH($F$1,[1]characters!$2:$2,0)+1),MATCH(J$1,[1]characters!$2:$2,0)-MATCH($F$1,[1]characters!$2:$2,0)+1,FALSE)</f>
        <v>yellow</v>
      </c>
      <c r="K84" s="10" t="str">
        <f ca="1">VLOOKUP($F84,OFFSET([1]characters!$A$2,0,0,COUNTA([1]characters!$A:$A),MATCH("タイプ",[1]characters!$1:$1,0)-MATCH($F$1,[1]characters!$2:$2,0)+2),MATCH("タイプ",[1]characters!$1:$1,0)-MATCH($F$1,[1]characters!$2:$2,0)+2,FALSE)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4" s="10" t="str">
        <f ca="1">VLOOKUP($F84,OFFSET([1]characters!$A$2,0,0,COUNTA([1]characters!$A:$A),MATCH($L$1,[1]characters!$1:$1,0)-MATCH($F$1,[1]characters!$2:$2,0)+2),MATCH($L$1,[1]characters!$1:$1,0)-MATCH($F$1,[1]characters!$2:$2,0)+2,FALSE)</f>
        <v>ドラゴン</v>
      </c>
      <c r="M84" s="6">
        <v>1</v>
      </c>
      <c r="N84" s="40">
        <f ca="1">VLOOKUP(D84,gacha_133_base!A:B,2,FALSE)</f>
        <v>200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 thickBot="1">
      <c r="A85" s="22" t="str">
        <f t="shared" si="4"/>
        <v>12611</v>
      </c>
      <c r="B85" s="2">
        <f t="shared" si="7"/>
        <v>134</v>
      </c>
      <c r="C85" s="10" t="str">
        <f t="shared" ca="1" si="5"/>
        <v>1PremiumS5</v>
      </c>
      <c r="D85" s="10" t="str">
        <f t="shared" ca="1" si="6"/>
        <v>1PremiumS5</v>
      </c>
      <c r="E85" s="6">
        <v>1</v>
      </c>
      <c r="F85" s="7">
        <v>261</v>
      </c>
      <c r="G85" s="10" t="str">
        <f ca="1">VLOOKUP($F85,OFFSET([1]characters!$A$2,0,0,COUNTA([1]characters!$A:$A),MATCH(G$1,[1]characters!$2:$2,0)-MATCH($F$1,[1]characters!$2:$2,0)+1),MATCH(G$1,[1]characters!$2:$2,0)-MATCH($F$1,[1]characters!$2:$2,0)+1,FALSE)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85" s="10" t="str">
        <f ca="1">VLOOKUP($F85,OFFSET([1]characters!$A$2,0,0,COUNTA([1]characters!$A:$A),MATCH(H$1,[1]characters!$2:$2,0)-MATCH($F$1,[1]characters!$2:$2,0)+1),MATCH(H$1,[1]characters!$2:$2,0)-MATCH($F$1,[1]characters!$2:$2,0)+1,FALSE)</f>
        <v>PremiumS</v>
      </c>
      <c r="I85" s="10">
        <f ca="1">VLOOKUP($F85,OFFSET([1]characters!$A$2,0,0,COUNTA([1]characters!$A:$A),MATCH(I$1,[1]characters!$2:$2,0)-MATCH($F$1,[1]characters!$2:$2,0)+1),MATCH(I$1,[1]characters!$2:$2,0)-MATCH($F$1,[1]characters!$2:$2,0)+1,FALSE)</f>
        <v>5</v>
      </c>
      <c r="J85" s="10" t="str">
        <f ca="1">VLOOKUP($F85,OFFSET([1]characters!$A$2,0,0,COUNTA([1]characters!$A:$A),MATCH(J$1,[1]characters!$2:$2,0)-MATCH($F$1,[1]characters!$2:$2,0)+1),MATCH(J$1,[1]characters!$2:$2,0)-MATCH($F$1,[1]characters!$2:$2,0)+1,FALSE)</f>
        <v>yellow</v>
      </c>
      <c r="K85" s="10" t="str">
        <f ca="1">VLOOKUP($F85,OFFSET([1]characters!$A$2,0,0,COUNTA([1]characters!$A:$A),MATCH("タイプ",[1]characters!$1:$1,0)-MATCH($F$1,[1]characters!$2:$2,0)+2),MATCH("タイプ",[1]characters!$1:$1,0)-MATCH($F$1,[1]characters!$2:$2,0)+2,FALSE)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5" s="10" t="str">
        <f ca="1">VLOOKUP($F85,OFFSET([1]characters!$A$2,0,0,COUNTA([1]characters!$A:$A),MATCH($L$1,[1]characters!$1:$1,0)-MATCH($F$1,[1]characters!$2:$2,0)+2),MATCH($L$1,[1]characters!$1:$1,0)-MATCH($F$1,[1]characters!$2:$2,0)+2,FALSE)</f>
        <v>ドラゴン</v>
      </c>
      <c r="M85" s="6">
        <v>1</v>
      </c>
      <c r="N85" s="40">
        <f ca="1">VLOOKUP(D85,gacha_133_base!A:B,2,FALSE)</f>
        <v>8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 thickBot="1">
      <c r="A86" s="22" t="str">
        <f t="shared" si="4"/>
        <v>13201</v>
      </c>
      <c r="B86" s="2">
        <f t="shared" si="7"/>
        <v>134</v>
      </c>
      <c r="C86" s="10" t="str">
        <f t="shared" ca="1" si="5"/>
        <v>1PremiumSS4</v>
      </c>
      <c r="D86" s="10" t="str">
        <f t="shared" ca="1" si="6"/>
        <v>1PremiumSS4</v>
      </c>
      <c r="E86" s="21">
        <v>1</v>
      </c>
      <c r="F86" s="27">
        <v>320</v>
      </c>
      <c r="G86" s="20" t="str">
        <f ca="1">VLOOKUP($F86,OFFSET([1]characters!$A$2,0,0,COUNTA([1]characters!$A:$A),MATCH(G$1,[1]characters!$2:$2,0)-MATCH($F$1,[1]characters!$2:$2,0)+1),MATCH(G$1,[1]characters!$2:$2,0)-MATCH($F$1,[1]characters!$2:$2,0)+1,FALSE)</f>
        <v>烈志士 近藤勇</v>
      </c>
      <c r="H86" s="20" t="str">
        <f ca="1">VLOOKUP($F86,OFFSET([1]characters!$A$2,0,0,COUNTA([1]characters!$A:$A),MATCH(H$1,[1]characters!$2:$2,0)-MATCH($F$1,[1]characters!$2:$2,0)+1),MATCH(H$1,[1]characters!$2:$2,0)-MATCH($F$1,[1]characters!$2:$2,0)+1,FALSE)</f>
        <v>PremiumSS</v>
      </c>
      <c r="I86" s="20">
        <f ca="1">VLOOKUP($F86,OFFSET([1]characters!$A$2,0,0,COUNTA([1]characters!$A:$A),MATCH(I$1,[1]characters!$2:$2,0)-MATCH($F$1,[1]characters!$2:$2,0)+1),MATCH(I$1,[1]characters!$2:$2,0)-MATCH($F$1,[1]characters!$2:$2,0)+1,FALSE)</f>
        <v>4</v>
      </c>
      <c r="J86" s="20" t="str">
        <f ca="1">VLOOKUP($F86,OFFSET([1]characters!$A$2,0,0,COUNTA([1]characters!$A:$A),MATCH(J$1,[1]characters!$2:$2,0)-MATCH($F$1,[1]characters!$2:$2,0)+1),MATCH(J$1,[1]characters!$2:$2,0)-MATCH($F$1,[1]characters!$2:$2,0)+1,FALSE)</f>
        <v>red</v>
      </c>
      <c r="K86" s="20" t="str">
        <f ca="1">VLOOKUP($F86,OFFSET([1]characters!$A$2,0,0,COUNTA([1]characters!$A:$A),MATCH("タイプ",[1]characters!$1:$1,0)-MATCH($F$1,[1]characters!$2:$2,0)+2),MATCH("タイプ",[1]characters!$1:$1,0)-MATCH($F$1,[1]characters!$2:$2,0)+2,FALSE)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6" s="20" t="str">
        <f ca="1">VLOOKUP($F86,OFFSET([1]characters!$A$2,0,0,COUNTA([1]characters!$A:$A),MATCH($L$1,[1]characters!$1:$1,0)-MATCH($F$1,[1]characters!$2:$2,0)+2),MATCH($L$1,[1]characters!$1:$1,0)-MATCH($F$1,[1]characters!$2:$2,0)+2,FALSE)</f>
        <v>ヒューマン</v>
      </c>
      <c r="M86" s="21">
        <v>1</v>
      </c>
      <c r="N86" s="40">
        <f ca="1">VLOOKUP(D86,gacha_133_base!A:B,2,FALSE)</f>
        <v>120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2" t="str">
        <f t="shared" si="4"/>
        <v>13211</v>
      </c>
      <c r="B87" s="2">
        <f t="shared" si="7"/>
        <v>134</v>
      </c>
      <c r="C87" s="10" t="str">
        <f t="shared" ca="1" si="5"/>
        <v>1PremiumSS5</v>
      </c>
      <c r="D87" s="10" t="str">
        <f t="shared" ca="1" si="6"/>
        <v>1PremiumSS5</v>
      </c>
      <c r="E87" s="6">
        <v>1</v>
      </c>
      <c r="F87" s="7">
        <v>321</v>
      </c>
      <c r="G87" s="10" t="str">
        <f ca="1">VLOOKUP($F87,OFFSET([1]characters!$A$2,0,0,COUNTA([1]characters!$A:$A),MATCH(G$1,[1]characters!$2:$2,0)-MATCH($F$1,[1]characters!$2:$2,0)+1),MATCH(G$1,[1]characters!$2:$2,0)-MATCH($F$1,[1]characters!$2:$2,0)+1,FALSE)</f>
        <v>巌鉄の烈志士 近藤勇</v>
      </c>
      <c r="H87" s="10" t="str">
        <f ca="1">VLOOKUP($F87,OFFSET([1]characters!$A$2,0,0,COUNTA([1]characters!$A:$A),MATCH(H$1,[1]characters!$2:$2,0)-MATCH($F$1,[1]characters!$2:$2,0)+1),MATCH(H$1,[1]characters!$2:$2,0)-MATCH($F$1,[1]characters!$2:$2,0)+1,FALSE)</f>
        <v>PremiumSS</v>
      </c>
      <c r="I87" s="10">
        <f ca="1">VLOOKUP($F87,OFFSET([1]characters!$A$2,0,0,COUNTA([1]characters!$A:$A),MATCH(I$1,[1]characters!$2:$2,0)-MATCH($F$1,[1]characters!$2:$2,0)+1),MATCH(I$1,[1]characters!$2:$2,0)-MATCH($F$1,[1]characters!$2:$2,0)+1,FALSE)</f>
        <v>5</v>
      </c>
      <c r="J87" s="10" t="str">
        <f ca="1">VLOOKUP($F87,OFFSET([1]characters!$A$2,0,0,COUNTA([1]characters!$A:$A),MATCH(J$1,[1]characters!$2:$2,0)-MATCH($F$1,[1]characters!$2:$2,0)+1),MATCH(J$1,[1]characters!$2:$2,0)-MATCH($F$1,[1]characters!$2:$2,0)+1,FALSE)</f>
        <v>red</v>
      </c>
      <c r="K87" s="10" t="str">
        <f ca="1">VLOOKUP($F87,OFFSET([1]characters!$A$2,0,0,COUNTA([1]characters!$A:$A),MATCH("タイプ",[1]characters!$1:$1,0)-MATCH($F$1,[1]characters!$2:$2,0)+2),MATCH("タイプ",[1]characters!$1:$1,0)-MATCH($F$1,[1]characters!$2:$2,0)+2,FALSE)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7" s="10" t="str">
        <f ca="1">VLOOKUP($F87,OFFSET([1]characters!$A$2,0,0,COUNTA([1]characters!$A:$A),MATCH($L$1,[1]characters!$1:$1,0)-MATCH($F$1,[1]characters!$2:$2,0)+2),MATCH($L$1,[1]characters!$1:$1,0)-MATCH($F$1,[1]characters!$2:$2,0)+2,FALSE)</f>
        <v>ヒューマン</v>
      </c>
      <c r="M87" s="6">
        <v>1</v>
      </c>
      <c r="N87" s="40">
        <f ca="1">VLOOKUP(D87,gacha_133_base!A:B,2,FALSE)</f>
        <v>5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 thickBot="1">
      <c r="A88" s="22" t="str">
        <f t="shared" si="4"/>
        <v>13221</v>
      </c>
      <c r="B88" s="2">
        <f t="shared" si="7"/>
        <v>134</v>
      </c>
      <c r="C88" s="10" t="str">
        <f t="shared" ca="1" si="5"/>
        <v>1PremiumSS4</v>
      </c>
      <c r="D88" s="10" t="str">
        <f t="shared" ca="1" si="6"/>
        <v>1PremiumSS4</v>
      </c>
      <c r="E88" s="6">
        <v>1</v>
      </c>
      <c r="F88" s="7">
        <v>322</v>
      </c>
      <c r="G88" s="10" t="str">
        <f ca="1">VLOOKUP($F88,OFFSET([1]characters!$A$2,0,0,COUNTA([1]characters!$A:$A),MATCH(G$1,[1]characters!$2:$2,0)-MATCH($F$1,[1]characters!$2:$2,0)+1),MATCH(G$1,[1]characters!$2:$2,0)-MATCH($F$1,[1]characters!$2:$2,0)+1,FALSE)</f>
        <v>愛志士 土方歳三</v>
      </c>
      <c r="H88" s="10" t="str">
        <f ca="1">VLOOKUP($F88,OFFSET([1]characters!$A$2,0,0,COUNTA([1]characters!$A:$A),MATCH(H$1,[1]characters!$2:$2,0)-MATCH($F$1,[1]characters!$2:$2,0)+1),MATCH(H$1,[1]characters!$2:$2,0)-MATCH($F$1,[1]characters!$2:$2,0)+1,FALSE)</f>
        <v>PremiumSS</v>
      </c>
      <c r="I88" s="10">
        <f ca="1">VLOOKUP($F88,OFFSET([1]characters!$A$2,0,0,COUNTA([1]characters!$A:$A),MATCH(I$1,[1]characters!$2:$2,0)-MATCH($F$1,[1]characters!$2:$2,0)+1),MATCH(I$1,[1]characters!$2:$2,0)-MATCH($F$1,[1]characters!$2:$2,0)+1,FALSE)</f>
        <v>4</v>
      </c>
      <c r="J88" s="10" t="str">
        <f ca="1">VLOOKUP($F88,OFFSET([1]characters!$A$2,0,0,COUNTA([1]characters!$A:$A),MATCH(J$1,[1]characters!$2:$2,0)-MATCH($F$1,[1]characters!$2:$2,0)+1),MATCH(J$1,[1]characters!$2:$2,0)-MATCH($F$1,[1]characters!$2:$2,0)+1,FALSE)</f>
        <v>green</v>
      </c>
      <c r="K88" s="10" t="str">
        <f ca="1">VLOOKUP($F88,OFFSET([1]characters!$A$2,0,0,COUNTA([1]characters!$A:$A),MATCH("タイプ",[1]characters!$1:$1,0)-MATCH($F$1,[1]characters!$2:$2,0)+2),MATCH("タイプ",[1]characters!$1:$1,0)-MATCH($F$1,[1]characters!$2:$2,0)+2,FALSE)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8" s="10" t="str">
        <f ca="1">VLOOKUP($F88,OFFSET([1]characters!$A$2,0,0,COUNTA([1]characters!$A:$A),MATCH($L$1,[1]characters!$1:$1,0)-MATCH($F$1,[1]characters!$2:$2,0)+2),MATCH($L$1,[1]characters!$1:$1,0)-MATCH($F$1,[1]characters!$2:$2,0)+2,FALSE)</f>
        <v>ヒューマン</v>
      </c>
      <c r="M88" s="6">
        <v>1</v>
      </c>
      <c r="N88" s="40">
        <f ca="1">VLOOKUP(D88,gacha_133_base!A:B,2,FALSE)</f>
        <v>120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 thickBot="1">
      <c r="A89" s="22" t="str">
        <f t="shared" si="4"/>
        <v>13231</v>
      </c>
      <c r="B89" s="2">
        <f t="shared" si="7"/>
        <v>134</v>
      </c>
      <c r="C89" s="10" t="str">
        <f t="shared" ca="1" si="5"/>
        <v>1PremiumSS5</v>
      </c>
      <c r="D89" s="10" t="str">
        <f t="shared" ca="1" si="6"/>
        <v>1PremiumSS5</v>
      </c>
      <c r="E89" s="6">
        <v>1</v>
      </c>
      <c r="F89" s="7">
        <v>323</v>
      </c>
      <c r="G89" s="10" t="str">
        <f ca="1">VLOOKUP($F89,OFFSET([1]characters!$A$2,0,0,COUNTA([1]characters!$A:$A),MATCH(G$1,[1]characters!$2:$2,0)-MATCH($F$1,[1]characters!$2:$2,0)+1),MATCH(G$1,[1]characters!$2:$2,0)-MATCH($F$1,[1]characters!$2:$2,0)+1,FALSE)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89" s="10" t="str">
        <f ca="1">VLOOKUP($F89,OFFSET([1]characters!$A$2,0,0,COUNTA([1]characters!$A:$A),MATCH(H$1,[1]characters!$2:$2,0)-MATCH($F$1,[1]characters!$2:$2,0)+1),MATCH(H$1,[1]characters!$2:$2,0)-MATCH($F$1,[1]characters!$2:$2,0)+1,FALSE)</f>
        <v>PremiumSS</v>
      </c>
      <c r="I89" s="10">
        <f ca="1">VLOOKUP($F89,OFFSET([1]characters!$A$2,0,0,COUNTA([1]characters!$A:$A),MATCH(I$1,[1]characters!$2:$2,0)-MATCH($F$1,[1]characters!$2:$2,0)+1),MATCH(I$1,[1]characters!$2:$2,0)-MATCH($F$1,[1]characters!$2:$2,0)+1,FALSE)</f>
        <v>5</v>
      </c>
      <c r="J89" s="10" t="str">
        <f ca="1">VLOOKUP($F89,OFFSET([1]characters!$A$2,0,0,COUNTA([1]characters!$A:$A),MATCH(J$1,[1]characters!$2:$2,0)-MATCH($F$1,[1]characters!$2:$2,0)+1),MATCH(J$1,[1]characters!$2:$2,0)-MATCH($F$1,[1]characters!$2:$2,0)+1,FALSE)</f>
        <v>green</v>
      </c>
      <c r="K89" s="10" t="str">
        <f ca="1">VLOOKUP($F89,OFFSET([1]characters!$A$2,0,0,COUNTA([1]characters!$A:$A),MATCH("タイプ",[1]characters!$1:$1,0)-MATCH($F$1,[1]characters!$2:$2,0)+2),MATCH("タイプ",[1]characters!$1:$1,0)-MATCH($F$1,[1]characters!$2:$2,0)+2,FALSE)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9" s="10" t="str">
        <f ca="1">VLOOKUP($F89,OFFSET([1]characters!$A$2,0,0,COUNTA([1]characters!$A:$A),MATCH($L$1,[1]characters!$1:$1,0)-MATCH($F$1,[1]characters!$2:$2,0)+2),MATCH($L$1,[1]characters!$1:$1,0)-MATCH($F$1,[1]characters!$2:$2,0)+2,FALSE)</f>
        <v>ヒューマン</v>
      </c>
      <c r="M89" s="6">
        <v>1</v>
      </c>
      <c r="N89" s="40">
        <f ca="1">VLOOKUP(D89,gacha_133_base!A:B,2,FALSE)</f>
        <v>5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 thickBot="1">
      <c r="A90" s="22" t="str">
        <f t="shared" si="4"/>
        <v>13241</v>
      </c>
      <c r="B90" s="2">
        <f t="shared" si="7"/>
        <v>134</v>
      </c>
      <c r="C90" s="10" t="str">
        <f t="shared" ca="1" si="5"/>
        <v>1PremiumSS4</v>
      </c>
      <c r="D90" s="10" t="str">
        <f t="shared" ca="1" si="6"/>
        <v>1PremiumSS4</v>
      </c>
      <c r="E90" s="6">
        <v>1</v>
      </c>
      <c r="F90" s="7">
        <v>324</v>
      </c>
      <c r="G90" s="10" t="str">
        <f ca="1">VLOOKUP($F90,OFFSET([1]characters!$A$2,0,0,COUNTA([1]characters!$A:$A),MATCH(G$1,[1]characters!$2:$2,0)-MATCH($F$1,[1]characters!$2:$2,0)+1),MATCH(G$1,[1]characters!$2:$2,0)-MATCH($F$1,[1]characters!$2:$2,0)+1,FALSE)</f>
        <v>凛志士 沖田総司</v>
      </c>
      <c r="H90" s="10" t="str">
        <f ca="1">VLOOKUP($F90,OFFSET([1]characters!$A$2,0,0,COUNTA([1]characters!$A:$A),MATCH(H$1,[1]characters!$2:$2,0)-MATCH($F$1,[1]characters!$2:$2,0)+1),MATCH(H$1,[1]characters!$2:$2,0)-MATCH($F$1,[1]characters!$2:$2,0)+1,FALSE)</f>
        <v>PremiumSS</v>
      </c>
      <c r="I90" s="10">
        <f ca="1">VLOOKUP($F90,OFFSET([1]characters!$A$2,0,0,COUNTA([1]characters!$A:$A),MATCH(I$1,[1]characters!$2:$2,0)-MATCH($F$1,[1]characters!$2:$2,0)+1),MATCH(I$1,[1]characters!$2:$2,0)-MATCH($F$1,[1]characters!$2:$2,0)+1,FALSE)</f>
        <v>4</v>
      </c>
      <c r="J90" s="10" t="str">
        <f ca="1">VLOOKUP($F90,OFFSET([1]characters!$A$2,0,0,COUNTA([1]characters!$A:$A),MATCH(J$1,[1]characters!$2:$2,0)-MATCH($F$1,[1]characters!$2:$2,0)+1),MATCH(J$1,[1]characters!$2:$2,0)-MATCH($F$1,[1]characters!$2:$2,0)+1,FALSE)</f>
        <v>blue</v>
      </c>
      <c r="K90" s="10" t="str">
        <f ca="1">VLOOKUP($F90,OFFSET([1]characters!$A$2,0,0,COUNTA([1]characters!$A:$A),MATCH("タイプ",[1]characters!$1:$1,0)-MATCH($F$1,[1]characters!$2:$2,0)+2),MATCH("タイプ",[1]characters!$1:$1,0)-MATCH($F$1,[1]characters!$2:$2,0)+2,FALSE)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0" s="10" t="str">
        <f ca="1">VLOOKUP($F90,OFFSET([1]characters!$A$2,0,0,COUNTA([1]characters!$A:$A),MATCH($L$1,[1]characters!$1:$1,0)-MATCH($F$1,[1]characters!$2:$2,0)+2),MATCH($L$1,[1]characters!$1:$1,0)-MATCH($F$1,[1]characters!$2:$2,0)+2,FALSE)</f>
        <v>ヒューマン</v>
      </c>
      <c r="M90" s="6">
        <v>1</v>
      </c>
      <c r="N90" s="40">
        <f ca="1">VLOOKUP(D90,gacha_133_base!A:B,2,FALSE)</f>
        <v>120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 thickBot="1">
      <c r="A91" s="22" t="str">
        <f t="shared" si="4"/>
        <v>13251</v>
      </c>
      <c r="B91" s="2">
        <f t="shared" si="7"/>
        <v>134</v>
      </c>
      <c r="C91" s="10" t="str">
        <f t="shared" ca="1" si="5"/>
        <v>1PremiumSS5</v>
      </c>
      <c r="D91" s="10" t="str">
        <f t="shared" ca="1" si="6"/>
        <v>1PremiumSS5</v>
      </c>
      <c r="E91" s="6">
        <v>1</v>
      </c>
      <c r="F91" s="7">
        <v>325</v>
      </c>
      <c r="G91" s="10" t="str">
        <f ca="1">VLOOKUP($F91,OFFSET([1]characters!$A$2,0,0,COUNTA([1]characters!$A:$A),MATCH(G$1,[1]characters!$2:$2,0)-MATCH($F$1,[1]characters!$2:$2,0)+1),MATCH(G$1,[1]characters!$2:$2,0)-MATCH($F$1,[1]characters!$2:$2,0)+1,FALSE)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91" s="10" t="str">
        <f ca="1">VLOOKUP($F91,OFFSET([1]characters!$A$2,0,0,COUNTA([1]characters!$A:$A),MATCH(H$1,[1]characters!$2:$2,0)-MATCH($F$1,[1]characters!$2:$2,0)+1),MATCH(H$1,[1]characters!$2:$2,0)-MATCH($F$1,[1]characters!$2:$2,0)+1,FALSE)</f>
        <v>PremiumSS</v>
      </c>
      <c r="I91" s="10">
        <f ca="1">VLOOKUP($F91,OFFSET([1]characters!$A$2,0,0,COUNTA([1]characters!$A:$A),MATCH(I$1,[1]characters!$2:$2,0)-MATCH($F$1,[1]characters!$2:$2,0)+1),MATCH(I$1,[1]characters!$2:$2,0)-MATCH($F$1,[1]characters!$2:$2,0)+1,FALSE)</f>
        <v>5</v>
      </c>
      <c r="J91" s="10" t="str">
        <f ca="1">VLOOKUP($F91,OFFSET([1]characters!$A$2,0,0,COUNTA([1]characters!$A:$A),MATCH(J$1,[1]characters!$2:$2,0)-MATCH($F$1,[1]characters!$2:$2,0)+1),MATCH(J$1,[1]characters!$2:$2,0)-MATCH($F$1,[1]characters!$2:$2,0)+1,FALSE)</f>
        <v>blue</v>
      </c>
      <c r="K91" s="10" t="str">
        <f ca="1">VLOOKUP($F91,OFFSET([1]characters!$A$2,0,0,COUNTA([1]characters!$A:$A),MATCH("タイプ",[1]characters!$1:$1,0)-MATCH($F$1,[1]characters!$2:$2,0)+2),MATCH("タイプ",[1]characters!$1:$1,0)-MATCH($F$1,[1]characters!$2:$2,0)+2,FALSE)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1" s="10" t="str">
        <f ca="1">VLOOKUP($F91,OFFSET([1]characters!$A$2,0,0,COUNTA([1]characters!$A:$A),MATCH($L$1,[1]characters!$1:$1,0)-MATCH($F$1,[1]characters!$2:$2,0)+2),MATCH($L$1,[1]characters!$1:$1,0)-MATCH($F$1,[1]characters!$2:$2,0)+2,FALSE)</f>
        <v>ヒューマン</v>
      </c>
      <c r="M91" s="6">
        <v>1</v>
      </c>
      <c r="N91" s="40">
        <f ca="1">VLOOKUP(D91,gacha_133_base!A:B,2,FALSE)</f>
        <v>5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 thickBot="1">
      <c r="A92" s="22" t="str">
        <f t="shared" si="4"/>
        <v>13261</v>
      </c>
      <c r="B92" s="2">
        <f t="shared" si="7"/>
        <v>134</v>
      </c>
      <c r="C92" s="10" t="str">
        <f t="shared" ca="1" si="5"/>
        <v>1PremiumSS4</v>
      </c>
      <c r="D92" s="10" t="str">
        <f t="shared" ca="1" si="6"/>
        <v>1PremiumSS4</v>
      </c>
      <c r="E92" s="32">
        <v>1</v>
      </c>
      <c r="F92" s="33">
        <v>326</v>
      </c>
      <c r="G92" s="34" t="str">
        <f ca="1">VLOOKUP($F92,OFFSET([1]characters!$A$2,0,0,COUNTA([1]characters!$A:$A),MATCH(G$1,[1]characters!$2:$2,0)-MATCH($F$1,[1]characters!$2:$2,0)+1),MATCH(G$1,[1]characters!$2:$2,0)-MATCH($F$1,[1]characters!$2:$2,0)+1,FALSE)</f>
        <v>妖志士 斎藤一</v>
      </c>
      <c r="H92" s="34" t="str">
        <f ca="1">VLOOKUP($F92,OFFSET([1]characters!$A$2,0,0,COUNTA([1]characters!$A:$A),MATCH(H$1,[1]characters!$2:$2,0)-MATCH($F$1,[1]characters!$2:$2,0)+1),MATCH(H$1,[1]characters!$2:$2,0)-MATCH($F$1,[1]characters!$2:$2,0)+1,FALSE)</f>
        <v>PremiumSS</v>
      </c>
      <c r="I92" s="34">
        <f ca="1">VLOOKUP($F92,OFFSET([1]characters!$A$2,0,0,COUNTA([1]characters!$A:$A),MATCH(I$1,[1]characters!$2:$2,0)-MATCH($F$1,[1]characters!$2:$2,0)+1),MATCH(I$1,[1]characters!$2:$2,0)-MATCH($F$1,[1]characters!$2:$2,0)+1,FALSE)</f>
        <v>4</v>
      </c>
      <c r="J92" s="34" t="str">
        <f ca="1">VLOOKUP($F92,OFFSET([1]characters!$A$2,0,0,COUNTA([1]characters!$A:$A),MATCH(J$1,[1]characters!$2:$2,0)-MATCH($F$1,[1]characters!$2:$2,0)+1),MATCH(J$1,[1]characters!$2:$2,0)-MATCH($F$1,[1]characters!$2:$2,0)+1,FALSE)</f>
        <v>yellow</v>
      </c>
      <c r="K92" s="34" t="str">
        <f ca="1">VLOOKUP($F92,OFFSET([1]characters!$A$2,0,0,COUNTA([1]characters!$A:$A),MATCH("タイプ",[1]characters!$1:$1,0)-MATCH($F$1,[1]characters!$2:$2,0)+2),MATCH("タイプ",[1]characters!$1:$1,0)-MATCH($F$1,[1]characters!$2:$2,0)+2,FALSE)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2" s="34" t="str">
        <f ca="1">VLOOKUP($F92,OFFSET([1]characters!$A$2,0,0,COUNTA([1]characters!$A:$A),MATCH($L$1,[1]characters!$1:$1,0)-MATCH($F$1,[1]characters!$2:$2,0)+2),MATCH($L$1,[1]characters!$1:$1,0)-MATCH($F$1,[1]characters!$2:$2,0)+2,FALSE)</f>
        <v>ヒューマン</v>
      </c>
      <c r="M92" s="32">
        <v>1</v>
      </c>
      <c r="N92" s="40">
        <f ca="1">VLOOKUP(D92,gacha_133_base!A:B,2,FALSE)</f>
        <v>120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2" t="str">
        <f t="shared" si="4"/>
        <v>13271</v>
      </c>
      <c r="B93" s="2">
        <f t="shared" si="7"/>
        <v>134</v>
      </c>
      <c r="C93" s="10" t="str">
        <f t="shared" ca="1" si="5"/>
        <v>1PremiumSS5</v>
      </c>
      <c r="D93" s="10" t="str">
        <f t="shared" ca="1" si="6"/>
        <v>1PremiumSS5</v>
      </c>
      <c r="E93" s="6">
        <v>1</v>
      </c>
      <c r="F93" s="7">
        <v>327</v>
      </c>
      <c r="G93" s="10" t="str">
        <f ca="1">VLOOKUP($F93,OFFSET([1]characters!$A$2,0,0,COUNTA([1]characters!$A:$A),MATCH(G$1,[1]characters!$2:$2,0)-MATCH($F$1,[1]characters!$2:$2,0)+1),MATCH(G$1,[1]characters!$2:$2,0)-MATCH($F$1,[1]characters!$2:$2,0)+1,FALSE)</f>
        <v>千殺の妖志士 斎藤一</v>
      </c>
      <c r="H93" s="10" t="str">
        <f ca="1">VLOOKUP($F93,OFFSET([1]characters!$A$2,0,0,COUNTA([1]characters!$A:$A),MATCH(H$1,[1]characters!$2:$2,0)-MATCH($F$1,[1]characters!$2:$2,0)+1),MATCH(H$1,[1]characters!$2:$2,0)-MATCH($F$1,[1]characters!$2:$2,0)+1,FALSE)</f>
        <v>PremiumSS</v>
      </c>
      <c r="I93" s="10">
        <f ca="1">VLOOKUP($F93,OFFSET([1]characters!$A$2,0,0,COUNTA([1]characters!$A:$A),MATCH(I$1,[1]characters!$2:$2,0)-MATCH($F$1,[1]characters!$2:$2,0)+1),MATCH(I$1,[1]characters!$2:$2,0)-MATCH($F$1,[1]characters!$2:$2,0)+1,FALSE)</f>
        <v>5</v>
      </c>
      <c r="J93" s="10" t="str">
        <f ca="1">VLOOKUP($F93,OFFSET([1]characters!$A$2,0,0,COUNTA([1]characters!$A:$A),MATCH(J$1,[1]characters!$2:$2,0)-MATCH($F$1,[1]characters!$2:$2,0)+1),MATCH(J$1,[1]characters!$2:$2,0)-MATCH($F$1,[1]characters!$2:$2,0)+1,FALSE)</f>
        <v>yellow</v>
      </c>
      <c r="K93" s="10" t="str">
        <f ca="1">VLOOKUP($F93,OFFSET([1]characters!$A$2,0,0,COUNTA([1]characters!$A:$A),MATCH("タイプ",[1]characters!$1:$1,0)-MATCH($F$1,[1]characters!$2:$2,0)+2),MATCH("タイプ",[1]characters!$1:$1,0)-MATCH($F$1,[1]characters!$2:$2,0)+2,FALSE)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3" s="10" t="str">
        <f ca="1">VLOOKUP($F93,OFFSET([1]characters!$A$2,0,0,COUNTA([1]characters!$A:$A),MATCH($L$1,[1]characters!$1:$1,0)-MATCH($F$1,[1]characters!$2:$2,0)+2),MATCH($L$1,[1]characters!$1:$1,0)-MATCH($F$1,[1]characters!$2:$2,0)+2,FALSE)</f>
        <v>ヒューマン</v>
      </c>
      <c r="M93" s="6">
        <v>1</v>
      </c>
      <c r="N93" s="40">
        <f ca="1">VLOOKUP(D93,gacha_133_base!A:B,2,FALSE)</f>
        <v>5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 thickBot="1">
      <c r="A94" s="22" t="str">
        <f t="shared" si="4"/>
        <v>13811</v>
      </c>
      <c r="B94" s="2">
        <f t="shared" si="7"/>
        <v>134</v>
      </c>
      <c r="C94" s="10" t="str">
        <f t="shared" ca="1" si="5"/>
        <v>1PremiumS4</v>
      </c>
      <c r="D94" s="10" t="str">
        <f t="shared" ca="1" si="6"/>
        <v>1PremiumS4</v>
      </c>
      <c r="E94" s="6">
        <v>1</v>
      </c>
      <c r="F94" s="27">
        <v>381</v>
      </c>
      <c r="G94" s="10" t="str">
        <f ca="1">VLOOKUP($F94,OFFSET([1]characters!$A$2,0,0,COUNTA([1]characters!$A:$A),MATCH(G$1,[1]characters!$2:$2,0)-MATCH($F$1,[1]characters!$2:$2,0)+1),MATCH(G$1,[1]characters!$2:$2,0)-MATCH($F$1,[1]characters!$2:$2,0)+1,FALSE)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94" s="10" t="str">
        <f ca="1">VLOOKUP($F94,OFFSET([1]characters!$A$2,0,0,COUNTA([1]characters!$A:$A),MATCH(H$1,[1]characters!$2:$2,0)-MATCH($F$1,[1]characters!$2:$2,0)+1),MATCH(H$1,[1]characters!$2:$2,0)-MATCH($F$1,[1]characters!$2:$2,0)+1,FALSE)</f>
        <v>PremiumS</v>
      </c>
      <c r="I94" s="10">
        <f ca="1">VLOOKUP($F94,OFFSET([1]characters!$A$2,0,0,COUNTA([1]characters!$A:$A),MATCH(I$1,[1]characters!$2:$2,0)-MATCH($F$1,[1]characters!$2:$2,0)+1),MATCH(I$1,[1]characters!$2:$2,0)-MATCH($F$1,[1]characters!$2:$2,0)+1,FALSE)</f>
        <v>4</v>
      </c>
      <c r="J94" s="10" t="str">
        <f ca="1">VLOOKUP($F94,OFFSET([1]characters!$A$2,0,0,COUNTA([1]characters!$A:$A),MATCH(J$1,[1]characters!$2:$2,0)-MATCH($F$1,[1]characters!$2:$2,0)+1),MATCH(J$1,[1]characters!$2:$2,0)-MATCH($F$1,[1]characters!$2:$2,0)+1,FALSE)</f>
        <v>red</v>
      </c>
      <c r="K94" s="10" t="str">
        <f ca="1">VLOOKUP($F94,OFFSET([1]characters!$A$2,0,0,COUNTA([1]characters!$A:$A),MATCH("タイプ",[1]characters!$1:$1,0)-MATCH($F$1,[1]characters!$2:$2,0)+2),MATCH("タイプ",[1]characters!$1:$1,0)-MATCH($F$1,[1]characters!$2:$2,0)+2,FALSE)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4" s="10" t="str">
        <f ca="1">VLOOKUP($F94,OFFSET([1]characters!$A$2,0,0,COUNTA([1]characters!$A:$A),MATCH($L$1,[1]characters!$1:$1,0)-MATCH($F$1,[1]characters!$2:$2,0)+2),MATCH($L$1,[1]characters!$1:$1,0)-MATCH($F$1,[1]characters!$2:$2,0)+2,FALSE)</f>
        <v>ドラゴン</v>
      </c>
      <c r="M94" s="6">
        <v>1</v>
      </c>
      <c r="N94" s="40">
        <f ca="1">VLOOKUP(D94,gacha_133_base!A:B,2,FALSE)</f>
        <v>200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 thickBot="1">
      <c r="A95" s="22" t="str">
        <f t="shared" si="4"/>
        <v>13821</v>
      </c>
      <c r="B95" s="2">
        <f t="shared" si="7"/>
        <v>134</v>
      </c>
      <c r="C95" s="10" t="str">
        <f t="shared" ca="1" si="5"/>
        <v>1PremiumS5</v>
      </c>
      <c r="D95" s="10" t="str">
        <f t="shared" ca="1" si="6"/>
        <v>1PremiumS5</v>
      </c>
      <c r="E95" s="6">
        <v>1</v>
      </c>
      <c r="F95" s="27">
        <v>382</v>
      </c>
      <c r="G95" s="10" t="str">
        <f ca="1">VLOOKUP($F95,OFFSET([1]characters!$A$2,0,0,COUNTA([1]characters!$A:$A),MATCH(G$1,[1]characters!$2:$2,0)-MATCH($F$1,[1]characters!$2:$2,0)+1),MATCH(G$1,[1]characters!$2:$2,0)-MATCH($F$1,[1]characters!$2:$2,0)+1,FALSE)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95" s="10" t="str">
        <f ca="1">VLOOKUP($F95,OFFSET([1]characters!$A$2,0,0,COUNTA([1]characters!$A:$A),MATCH(H$1,[1]characters!$2:$2,0)-MATCH($F$1,[1]characters!$2:$2,0)+1),MATCH(H$1,[1]characters!$2:$2,0)-MATCH($F$1,[1]characters!$2:$2,0)+1,FALSE)</f>
        <v>PremiumS</v>
      </c>
      <c r="I95" s="10">
        <f ca="1">VLOOKUP($F95,OFFSET([1]characters!$A$2,0,0,COUNTA([1]characters!$A:$A),MATCH(I$1,[1]characters!$2:$2,0)-MATCH($F$1,[1]characters!$2:$2,0)+1),MATCH(I$1,[1]characters!$2:$2,0)-MATCH($F$1,[1]characters!$2:$2,0)+1,FALSE)</f>
        <v>5</v>
      </c>
      <c r="J95" s="10" t="str">
        <f ca="1">VLOOKUP($F95,OFFSET([1]characters!$A$2,0,0,COUNTA([1]characters!$A:$A),MATCH(J$1,[1]characters!$2:$2,0)-MATCH($F$1,[1]characters!$2:$2,0)+1),MATCH(J$1,[1]characters!$2:$2,0)-MATCH($F$1,[1]characters!$2:$2,0)+1,FALSE)</f>
        <v>red</v>
      </c>
      <c r="K95" s="10" t="str">
        <f ca="1">VLOOKUP($F95,OFFSET([1]characters!$A$2,0,0,COUNTA([1]characters!$A:$A),MATCH("タイプ",[1]characters!$1:$1,0)-MATCH($F$1,[1]characters!$2:$2,0)+2),MATCH("タイプ",[1]characters!$1:$1,0)-MATCH($F$1,[1]characters!$2:$2,0)+2,FALSE)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5" s="10" t="str">
        <f ca="1">VLOOKUP($F95,OFFSET([1]characters!$A$2,0,0,COUNTA([1]characters!$A:$A),MATCH($L$1,[1]characters!$1:$1,0)-MATCH($F$1,[1]characters!$2:$2,0)+2),MATCH($L$1,[1]characters!$1:$1,0)-MATCH($F$1,[1]characters!$2:$2,0)+2,FALSE)</f>
        <v>ドラゴン</v>
      </c>
      <c r="M95" s="6">
        <v>1</v>
      </c>
      <c r="N95" s="40">
        <f ca="1">VLOOKUP(D95,gacha_133_base!A:B,2,FALSE)</f>
        <v>8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 thickBot="1">
      <c r="A96" s="22" t="str">
        <f t="shared" si="4"/>
        <v>13831</v>
      </c>
      <c r="B96" s="2">
        <f t="shared" si="7"/>
        <v>134</v>
      </c>
      <c r="C96" s="10" t="str">
        <f t="shared" ca="1" si="5"/>
        <v>1PremiumSS4</v>
      </c>
      <c r="D96" s="10" t="str">
        <f t="shared" ca="1" si="6"/>
        <v>1PremiumSS4</v>
      </c>
      <c r="E96" s="6">
        <v>1</v>
      </c>
      <c r="F96" s="27">
        <v>383</v>
      </c>
      <c r="G96" s="10" t="str">
        <f ca="1">VLOOKUP($F96,OFFSET([1]characters!$A$2,0,0,COUNTA([1]characters!$A:$A),MATCH(G$1,[1]characters!$2:$2,0)-MATCH($F$1,[1]characters!$2:$2,0)+1),MATCH(G$1,[1]characters!$2:$2,0)-MATCH($F$1,[1]characters!$2:$2,0)+1,FALSE)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96" s="10" t="str">
        <f ca="1">VLOOKUP($F96,OFFSET([1]characters!$A$2,0,0,COUNTA([1]characters!$A:$A),MATCH(H$1,[1]characters!$2:$2,0)-MATCH($F$1,[1]characters!$2:$2,0)+1),MATCH(H$1,[1]characters!$2:$2,0)-MATCH($F$1,[1]characters!$2:$2,0)+1,FALSE)</f>
        <v>PremiumSS</v>
      </c>
      <c r="I96" s="10">
        <f ca="1">VLOOKUP($F96,OFFSET([1]characters!$A$2,0,0,COUNTA([1]characters!$A:$A),MATCH(I$1,[1]characters!$2:$2,0)-MATCH($F$1,[1]characters!$2:$2,0)+1),MATCH(I$1,[1]characters!$2:$2,0)-MATCH($F$1,[1]characters!$2:$2,0)+1,FALSE)</f>
        <v>4</v>
      </c>
      <c r="J96" s="10" t="str">
        <f ca="1">VLOOKUP($F96,OFFSET([1]characters!$A$2,0,0,COUNTA([1]characters!$A:$A),MATCH(J$1,[1]characters!$2:$2,0)-MATCH($F$1,[1]characters!$2:$2,0)+1),MATCH(J$1,[1]characters!$2:$2,0)-MATCH($F$1,[1]characters!$2:$2,0)+1,FALSE)</f>
        <v>green</v>
      </c>
      <c r="K96" s="10" t="str">
        <f ca="1">VLOOKUP($F96,OFFSET([1]characters!$A$2,0,0,COUNTA([1]characters!$A:$A),MATCH("タイプ",[1]characters!$1:$1,0)-MATCH($F$1,[1]characters!$2:$2,0)+2),MATCH("タイプ",[1]characters!$1:$1,0)-MATCH($F$1,[1]characters!$2:$2,0)+2,FALSE)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6" s="10" t="str">
        <f ca="1">VLOOKUP($F96,OFFSET([1]characters!$A$2,0,0,COUNTA([1]characters!$A:$A),MATCH($L$1,[1]characters!$1:$1,0)-MATCH($F$1,[1]characters!$2:$2,0)+2),MATCH($L$1,[1]characters!$1:$1,0)-MATCH($F$1,[1]characters!$2:$2,0)+2,FALSE)</f>
        <v>ドラゴン</v>
      </c>
      <c r="M96" s="6">
        <v>1</v>
      </c>
      <c r="N96" s="40">
        <f ca="1">VLOOKUP(D96,gacha_133_base!A:B,2,FALSE)</f>
        <v>120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 thickBot="1">
      <c r="A97" s="22" t="str">
        <f t="shared" si="4"/>
        <v>13841</v>
      </c>
      <c r="B97" s="2">
        <f t="shared" si="7"/>
        <v>134</v>
      </c>
      <c r="C97" s="10" t="str">
        <f t="shared" ca="1" si="5"/>
        <v>1PremiumSS5</v>
      </c>
      <c r="D97" s="10" t="str">
        <f t="shared" ca="1" si="6"/>
        <v>1PremiumSS5</v>
      </c>
      <c r="E97" s="6">
        <v>1</v>
      </c>
      <c r="F97" s="27">
        <v>384</v>
      </c>
      <c r="G97" s="10" t="str">
        <f ca="1">VLOOKUP($F97,OFFSET([1]characters!$A$2,0,0,COUNTA([1]characters!$A:$A),MATCH(G$1,[1]characters!$2:$2,0)-MATCH($F$1,[1]characters!$2:$2,0)+1),MATCH(G$1,[1]characters!$2:$2,0)-MATCH($F$1,[1]characters!$2:$2,0)+1,FALSE)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97" s="10" t="str">
        <f ca="1">VLOOKUP($F97,OFFSET([1]characters!$A$2,0,0,COUNTA([1]characters!$A:$A),MATCH(H$1,[1]characters!$2:$2,0)-MATCH($F$1,[1]characters!$2:$2,0)+1),MATCH(H$1,[1]characters!$2:$2,0)-MATCH($F$1,[1]characters!$2:$2,0)+1,FALSE)</f>
        <v>PremiumSS</v>
      </c>
      <c r="I97" s="10">
        <f ca="1">VLOOKUP($F97,OFFSET([1]characters!$A$2,0,0,COUNTA([1]characters!$A:$A),MATCH(I$1,[1]characters!$2:$2,0)-MATCH($F$1,[1]characters!$2:$2,0)+1),MATCH(I$1,[1]characters!$2:$2,0)-MATCH($F$1,[1]characters!$2:$2,0)+1,FALSE)</f>
        <v>5</v>
      </c>
      <c r="J97" s="10" t="str">
        <f ca="1">VLOOKUP($F97,OFFSET([1]characters!$A$2,0,0,COUNTA([1]characters!$A:$A),MATCH(J$1,[1]characters!$2:$2,0)-MATCH($F$1,[1]characters!$2:$2,0)+1),MATCH(J$1,[1]characters!$2:$2,0)-MATCH($F$1,[1]characters!$2:$2,0)+1,FALSE)</f>
        <v>green</v>
      </c>
      <c r="K97" s="10" t="str">
        <f ca="1">VLOOKUP($F97,OFFSET([1]characters!$A$2,0,0,COUNTA([1]characters!$A:$A),MATCH("タイプ",[1]characters!$1:$1,0)-MATCH($F$1,[1]characters!$2:$2,0)+2),MATCH("タイプ",[1]characters!$1:$1,0)-MATCH($F$1,[1]characters!$2:$2,0)+2,FALSE)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7" s="10" t="str">
        <f ca="1">VLOOKUP($F97,OFFSET([1]characters!$A$2,0,0,COUNTA([1]characters!$A:$A),MATCH($L$1,[1]characters!$1:$1,0)-MATCH($F$1,[1]characters!$2:$2,0)+2),MATCH($L$1,[1]characters!$1:$1,0)-MATCH($F$1,[1]characters!$2:$2,0)+2,FALSE)</f>
        <v>ドラゴン</v>
      </c>
      <c r="M97" s="6">
        <v>1</v>
      </c>
      <c r="N97" s="40">
        <f ca="1">VLOOKUP(D97,gacha_133_base!A:B,2,FALSE)</f>
        <v>5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 thickBot="1">
      <c r="A98" s="22" t="str">
        <f t="shared" si="4"/>
        <v>13851</v>
      </c>
      <c r="B98" s="2">
        <f t="shared" si="7"/>
        <v>134</v>
      </c>
      <c r="C98" s="10" t="str">
        <f t="shared" ca="1" si="5"/>
        <v>1PremiumSS4</v>
      </c>
      <c r="D98" s="10" t="str">
        <f t="shared" ca="1" si="6"/>
        <v>1PremiumSS4</v>
      </c>
      <c r="E98" s="6">
        <v>1</v>
      </c>
      <c r="F98" s="27">
        <v>385</v>
      </c>
      <c r="G98" s="10" t="str">
        <f ca="1">VLOOKUP($F98,OFFSET([1]characters!$A$2,0,0,COUNTA([1]characters!$A:$A),MATCH(G$1,[1]characters!$2:$2,0)-MATCH($F$1,[1]characters!$2:$2,0)+1),MATCH(G$1,[1]characters!$2:$2,0)-MATCH($F$1,[1]characters!$2:$2,0)+1,FALSE)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98" s="10" t="str">
        <f ca="1">VLOOKUP($F98,OFFSET([1]characters!$A$2,0,0,COUNTA([1]characters!$A:$A),MATCH(H$1,[1]characters!$2:$2,0)-MATCH($F$1,[1]characters!$2:$2,0)+1),MATCH(H$1,[1]characters!$2:$2,0)-MATCH($F$1,[1]characters!$2:$2,0)+1,FALSE)</f>
        <v>PremiumSS</v>
      </c>
      <c r="I98" s="10">
        <f ca="1">VLOOKUP($F98,OFFSET([1]characters!$A$2,0,0,COUNTA([1]characters!$A:$A),MATCH(I$1,[1]characters!$2:$2,0)-MATCH($F$1,[1]characters!$2:$2,0)+1),MATCH(I$1,[1]characters!$2:$2,0)-MATCH($F$1,[1]characters!$2:$2,0)+1,FALSE)</f>
        <v>4</v>
      </c>
      <c r="J98" s="10" t="str">
        <f ca="1">VLOOKUP($F98,OFFSET([1]characters!$A$2,0,0,COUNTA([1]characters!$A:$A),MATCH(J$1,[1]characters!$2:$2,0)-MATCH($F$1,[1]characters!$2:$2,0)+1),MATCH(J$1,[1]characters!$2:$2,0)-MATCH($F$1,[1]characters!$2:$2,0)+1,FALSE)</f>
        <v>blue</v>
      </c>
      <c r="K98" s="10" t="str">
        <f ca="1">VLOOKUP($F98,OFFSET([1]characters!$A$2,0,0,COUNTA([1]characters!$A:$A),MATCH("タイプ",[1]characters!$1:$1,0)-MATCH($F$1,[1]characters!$2:$2,0)+2),MATCH("タイプ",[1]characters!$1:$1,0)-MATCH($F$1,[1]characters!$2:$2,0)+2,FALSE)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8" s="10" t="str">
        <f ca="1">VLOOKUP($F98,OFFSET([1]characters!$A$2,0,0,COUNTA([1]characters!$A:$A),MATCH($L$1,[1]characters!$1:$1,0)-MATCH($F$1,[1]characters!$2:$2,0)+2),MATCH($L$1,[1]characters!$1:$1,0)-MATCH($F$1,[1]characters!$2:$2,0)+2,FALSE)</f>
        <v>ドラゴン</v>
      </c>
      <c r="M98" s="6">
        <v>1</v>
      </c>
      <c r="N98" s="40">
        <f ca="1">VLOOKUP(D98,gacha_133_base!A:B,2,FALSE)</f>
        <v>120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 thickBot="1">
      <c r="A99" s="22" t="str">
        <f t="shared" si="4"/>
        <v>13861</v>
      </c>
      <c r="B99" s="2">
        <f t="shared" si="7"/>
        <v>134</v>
      </c>
      <c r="C99" s="10" t="str">
        <f t="shared" ca="1" si="5"/>
        <v>1PremiumSS5</v>
      </c>
      <c r="D99" s="10" t="str">
        <f t="shared" ca="1" si="6"/>
        <v>1PremiumSS5</v>
      </c>
      <c r="E99" s="32">
        <v>1</v>
      </c>
      <c r="F99" s="31">
        <v>386</v>
      </c>
      <c r="G99" s="34" t="str">
        <f ca="1">VLOOKUP($F99,OFFSET([1]characters!$A$2,0,0,COUNTA([1]characters!$A:$A),MATCH(G$1,[1]characters!$2:$2,0)-MATCH($F$1,[1]characters!$2:$2,0)+1),MATCH(G$1,[1]characters!$2:$2,0)-MATCH($F$1,[1]characters!$2:$2,0)+1,FALSE)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99" s="34" t="str">
        <f ca="1">VLOOKUP($F99,OFFSET([1]characters!$A$2,0,0,COUNTA([1]characters!$A:$A),MATCH(H$1,[1]characters!$2:$2,0)-MATCH($F$1,[1]characters!$2:$2,0)+1),MATCH(H$1,[1]characters!$2:$2,0)-MATCH($F$1,[1]characters!$2:$2,0)+1,FALSE)</f>
        <v>PremiumSS</v>
      </c>
      <c r="I99" s="34">
        <f ca="1">VLOOKUP($F99,OFFSET([1]characters!$A$2,0,0,COUNTA([1]characters!$A:$A),MATCH(I$1,[1]characters!$2:$2,0)-MATCH($F$1,[1]characters!$2:$2,0)+1),MATCH(I$1,[1]characters!$2:$2,0)-MATCH($F$1,[1]characters!$2:$2,0)+1,FALSE)</f>
        <v>5</v>
      </c>
      <c r="J99" s="34" t="str">
        <f ca="1">VLOOKUP($F99,OFFSET([1]characters!$A$2,0,0,COUNTA([1]characters!$A:$A),MATCH(J$1,[1]characters!$2:$2,0)-MATCH($F$1,[1]characters!$2:$2,0)+1),MATCH(J$1,[1]characters!$2:$2,0)-MATCH($F$1,[1]characters!$2:$2,0)+1,FALSE)</f>
        <v>blue</v>
      </c>
      <c r="K99" s="34" t="str">
        <f ca="1">VLOOKUP($F99,OFFSET([1]characters!$A$2,0,0,COUNTA([1]characters!$A:$A),MATCH("タイプ",[1]characters!$1:$1,0)-MATCH($F$1,[1]characters!$2:$2,0)+2),MATCH("タイプ",[1]characters!$1:$1,0)-MATCH($F$1,[1]characters!$2:$2,0)+2,FALSE)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9" s="34" t="str">
        <f ca="1">VLOOKUP($F99,OFFSET([1]characters!$A$2,0,0,COUNTA([1]characters!$A:$A),MATCH($L$1,[1]characters!$1:$1,0)-MATCH($F$1,[1]characters!$2:$2,0)+2),MATCH($L$1,[1]characters!$1:$1,0)-MATCH($F$1,[1]characters!$2:$2,0)+2,FALSE)</f>
        <v>ドラゴン</v>
      </c>
      <c r="M99" s="32">
        <v>1</v>
      </c>
      <c r="N99" s="40">
        <f ca="1">VLOOKUP(D99,gacha_133_base!A:B,2,FALSE)</f>
        <v>5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0" t="str">
        <f t="shared" si="4"/>
        <v>13881</v>
      </c>
      <c r="B100" s="41">
        <f t="shared" si="7"/>
        <v>134</v>
      </c>
      <c r="C100" s="10" t="str">
        <f t="shared" ca="1" si="5"/>
        <v>1PremiumS4</v>
      </c>
      <c r="D100" s="34" t="str">
        <f t="shared" ca="1" si="6"/>
        <v>1PremiumS4</v>
      </c>
      <c r="E100" s="32">
        <v>1</v>
      </c>
      <c r="F100" s="33">
        <v>388</v>
      </c>
      <c r="G100" s="34" t="str">
        <f ca="1">VLOOKUP($F100,OFFSET([1]characters!$A$2,0,0,COUNTA([1]characters!$A:$A),MATCH(G$1,[1]characters!$2:$2,0)-MATCH($F$1,[1]characters!$2:$2,0)+1),MATCH(G$1,[1]characters!$2:$2,0)-MATCH($F$1,[1]characters!$2:$2,0)+1,FALSE)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100" s="34" t="str">
        <f ca="1">VLOOKUP($F100,OFFSET([1]characters!$A$2,0,0,COUNTA([1]characters!$A:$A),MATCH(H$1,[1]characters!$2:$2,0)-MATCH($F$1,[1]characters!$2:$2,0)+1),MATCH(H$1,[1]characters!$2:$2,0)-MATCH($F$1,[1]characters!$2:$2,0)+1,FALSE)</f>
        <v>PremiumS</v>
      </c>
      <c r="I100" s="34">
        <f ca="1">VLOOKUP($F100,OFFSET([1]characters!$A$2,0,0,COUNTA([1]characters!$A:$A),MATCH(I$1,[1]characters!$2:$2,0)-MATCH($F$1,[1]characters!$2:$2,0)+1),MATCH(I$1,[1]characters!$2:$2,0)-MATCH($F$1,[1]characters!$2:$2,0)+1,FALSE)</f>
        <v>4</v>
      </c>
      <c r="J100" s="34" t="str">
        <f ca="1">VLOOKUP($F100,OFFSET([1]characters!$A$2,0,0,COUNTA([1]characters!$A:$A),MATCH(J$1,[1]characters!$2:$2,0)-MATCH($F$1,[1]characters!$2:$2,0)+1),MATCH(J$1,[1]characters!$2:$2,0)-MATCH($F$1,[1]characters!$2:$2,0)+1,FALSE)</f>
        <v>yellow</v>
      </c>
      <c r="K100" s="34" t="str">
        <f ca="1">VLOOKUP($F100,OFFSET([1]characters!$A$2,0,0,COUNTA([1]characters!$A:$A),MATCH("タイプ",[1]characters!$1:$1,0)-MATCH($F$1,[1]characters!$2:$2,0)+2),MATCH("タイプ",[1]characters!$1:$1,0)-MATCH($F$1,[1]characters!$2:$2,0)+2,FALSE)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0" s="34" t="str">
        <f ca="1">VLOOKUP($F100,OFFSET([1]characters!$A$2,0,0,COUNTA([1]characters!$A:$A),MATCH($L$1,[1]characters!$1:$1,0)-MATCH($F$1,[1]characters!$2:$2,0)+2),MATCH($L$1,[1]characters!$1:$1,0)-MATCH($F$1,[1]characters!$2:$2,0)+2,FALSE)</f>
        <v>アニマル</v>
      </c>
      <c r="M100" s="32">
        <v>1</v>
      </c>
      <c r="N100" s="42">
        <f ca="1">VLOOKUP(D100,gacha_133_base!A:B,2,FALSE)</f>
        <v>200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45" t="str">
        <f t="shared" si="4"/>
        <v>13891</v>
      </c>
      <c r="B101" s="2">
        <f t="shared" si="7"/>
        <v>134</v>
      </c>
      <c r="C101" s="10" t="str">
        <f t="shared" ca="1" si="5"/>
        <v>1PremiumS5</v>
      </c>
      <c r="D101" s="10" t="str">
        <f t="shared" ca="1" si="6"/>
        <v>1PremiumS5</v>
      </c>
      <c r="E101" s="6">
        <v>1</v>
      </c>
      <c r="F101" s="7">
        <v>389</v>
      </c>
      <c r="G101" s="10" t="str">
        <f ca="1">VLOOKUP($F101,OFFSET([1]characters!$A$2,0,0,COUNTA([1]characters!$A:$A),MATCH(G$1,[1]characters!$2:$2,0)-MATCH($F$1,[1]characters!$2:$2,0)+1),MATCH(G$1,[1]characters!$2:$2,0)-MATCH($F$1,[1]characters!$2:$2,0)+1,FALSE)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101" s="10" t="str">
        <f ca="1">VLOOKUP($F101,OFFSET([1]characters!$A$2,0,0,COUNTA([1]characters!$A:$A),MATCH(H$1,[1]characters!$2:$2,0)-MATCH($F$1,[1]characters!$2:$2,0)+1),MATCH(H$1,[1]characters!$2:$2,0)-MATCH($F$1,[1]characters!$2:$2,0)+1,FALSE)</f>
        <v>PremiumS</v>
      </c>
      <c r="I101" s="10">
        <f ca="1">VLOOKUP($F101,OFFSET([1]characters!$A$2,0,0,COUNTA([1]characters!$A:$A),MATCH(I$1,[1]characters!$2:$2,0)-MATCH($F$1,[1]characters!$2:$2,0)+1),MATCH(I$1,[1]characters!$2:$2,0)-MATCH($F$1,[1]characters!$2:$2,0)+1,FALSE)</f>
        <v>5</v>
      </c>
      <c r="J101" s="10" t="str">
        <f ca="1">VLOOKUP($F101,OFFSET([1]characters!$A$2,0,0,COUNTA([1]characters!$A:$A),MATCH(J$1,[1]characters!$2:$2,0)-MATCH($F$1,[1]characters!$2:$2,0)+1),MATCH(J$1,[1]characters!$2:$2,0)-MATCH($F$1,[1]characters!$2:$2,0)+1,FALSE)</f>
        <v>yellow</v>
      </c>
      <c r="K101" s="10" t="str">
        <f ca="1">VLOOKUP($F101,OFFSET([1]characters!$A$2,0,0,COUNTA([1]characters!$A:$A),MATCH("タイプ",[1]characters!$1:$1,0)-MATCH($F$1,[1]characters!$2:$2,0)+2),MATCH("タイプ",[1]characters!$1:$1,0)-MATCH($F$1,[1]characters!$2:$2,0)+2,FALSE)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1" s="10" t="str">
        <f ca="1">VLOOKUP($F101,OFFSET([1]characters!$A$2,0,0,COUNTA([1]characters!$A:$A),MATCH($L$1,[1]characters!$1:$1,0)-MATCH($F$1,[1]characters!$2:$2,0)+2),MATCH($L$1,[1]characters!$1:$1,0)-MATCH($F$1,[1]characters!$2:$2,0)+2,FALSE)</f>
        <v>アニマル</v>
      </c>
      <c r="M101" s="6">
        <v>1</v>
      </c>
      <c r="N101" s="40">
        <f ca="1">VLOOKUP(D101,gacha_133_base!A:B,2,FALSE)</f>
        <v>8</v>
      </c>
      <c r="O101" s="28">
        <v>0</v>
      </c>
      <c r="P101" s="28">
        <v>0</v>
      </c>
      <c r="Q101" s="28">
        <v>0</v>
      </c>
      <c r="R101" s="28">
        <v>0</v>
      </c>
      <c r="S101" s="28">
        <v>1</v>
      </c>
    </row>
    <row r="102" spans="1:19" ht="21" customHeight="1" thickBot="1">
      <c r="A102" s="22" t="str">
        <f t="shared" si="4"/>
        <v>13901</v>
      </c>
      <c r="B102" s="43">
        <f t="shared" si="7"/>
        <v>134</v>
      </c>
      <c r="C102" s="10" t="str">
        <f t="shared" ca="1" si="5"/>
        <v>1PremiumSS4</v>
      </c>
      <c r="D102" s="20" t="str">
        <f ca="1">E102&amp;H102&amp;I102&amp;"pick"</f>
        <v>1PremiumSS4pick</v>
      </c>
      <c r="E102" s="21">
        <v>1</v>
      </c>
      <c r="F102" s="31">
        <v>390</v>
      </c>
      <c r="G102" s="20" t="str">
        <f ca="1">VLOOKUP($F102,OFFSET([1]characters!$A$2,0,0,COUNTA([1]characters!$A:$A),MATCH(G$1,[1]characters!$2:$2,0)-MATCH($F$1,[1]characters!$2:$2,0)+1),MATCH(G$1,[1]characters!$2:$2,0)-MATCH($F$1,[1]characters!$2:$2,0)+1,FALSE)</f>
        <v>華環の旅客 親指姫</v>
      </c>
      <c r="H102" s="20" t="str">
        <f ca="1">VLOOKUP($F102,OFFSET([1]characters!$A$2,0,0,COUNTA([1]characters!$A:$A),MATCH(H$1,[1]characters!$2:$2,0)-MATCH($F$1,[1]characters!$2:$2,0)+1),MATCH(H$1,[1]characters!$2:$2,0)-MATCH($F$1,[1]characters!$2:$2,0)+1,FALSE)</f>
        <v>PremiumSS</v>
      </c>
      <c r="I102" s="20">
        <f ca="1">VLOOKUP($F102,OFFSET([1]characters!$A$2,0,0,COUNTA([1]characters!$A:$A),MATCH(I$1,[1]characters!$2:$2,0)-MATCH($F$1,[1]characters!$2:$2,0)+1),MATCH(I$1,[1]characters!$2:$2,0)-MATCH($F$1,[1]characters!$2:$2,0)+1,FALSE)</f>
        <v>4</v>
      </c>
      <c r="J102" s="20" t="str">
        <f ca="1">VLOOKUP($F102,OFFSET([1]characters!$A$2,0,0,COUNTA([1]characters!$A:$A),MATCH(J$1,[1]characters!$2:$2,0)-MATCH($F$1,[1]characters!$2:$2,0)+1),MATCH(J$1,[1]characters!$2:$2,0)-MATCH($F$1,[1]characters!$2:$2,0)+1,FALSE)</f>
        <v>red</v>
      </c>
      <c r="K102" s="20" t="str">
        <f ca="1">VLOOKUP($F102,OFFSET([1]characters!$A$2,0,0,COUNTA([1]characters!$A:$A),MATCH("タイプ",[1]characters!$1:$1,0)-MATCH($F$1,[1]characters!$2:$2,0)+2),MATCH("タイプ",[1]characters!$1:$1,0)-MATCH($F$1,[1]characters!$2:$2,0)+2,FALSE)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2" s="20" t="str">
        <f ca="1">VLOOKUP($F102,OFFSET([1]characters!$A$2,0,0,COUNTA([1]characters!$A:$A),MATCH($L$1,[1]characters!$1:$1,0)-MATCH($F$1,[1]characters!$2:$2,0)+2),MATCH($L$1,[1]characters!$1:$1,0)-MATCH($F$1,[1]characters!$2:$2,0)+2,FALSE)</f>
        <v>ヒューマン</v>
      </c>
      <c r="M102" s="21">
        <v>1</v>
      </c>
      <c r="N102" s="44">
        <f ca="1">VLOOKUP(D102,gacha_133_base!A:B,2,FALSE)</f>
        <v>960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 thickBot="1">
      <c r="A103" s="22" t="str">
        <f t="shared" si="4"/>
        <v>13911</v>
      </c>
      <c r="B103" s="2">
        <f t="shared" si="7"/>
        <v>134</v>
      </c>
      <c r="C103" s="10" t="str">
        <f t="shared" ca="1" si="5"/>
        <v>1PremiumSS5</v>
      </c>
      <c r="D103" s="20" t="str">
        <f t="shared" ref="D103:D109" ca="1" si="8">E103&amp;H103&amp;I103&amp;"pick"</f>
        <v>1PremiumSS5pick</v>
      </c>
      <c r="E103" s="6">
        <v>1</v>
      </c>
      <c r="F103" s="7">
        <v>391</v>
      </c>
      <c r="G103" s="10" t="str">
        <f ca="1">VLOOKUP($F103,OFFSET([1]characters!$A$2,0,0,COUNTA([1]characters!$A:$A),MATCH(G$1,[1]characters!$2:$2,0)-MATCH($F$1,[1]characters!$2:$2,0)+1),MATCH(G$1,[1]characters!$2:$2,0)-MATCH($F$1,[1]characters!$2:$2,0)+1,FALSE)</f>
        <v>燕翼の旅人 親指姫</v>
      </c>
      <c r="H103" s="10" t="str">
        <f ca="1">VLOOKUP($F103,OFFSET([1]characters!$A$2,0,0,COUNTA([1]characters!$A:$A),MATCH(H$1,[1]characters!$2:$2,0)-MATCH($F$1,[1]characters!$2:$2,0)+1),MATCH(H$1,[1]characters!$2:$2,0)-MATCH($F$1,[1]characters!$2:$2,0)+1,FALSE)</f>
        <v>PremiumSS</v>
      </c>
      <c r="I103" s="10">
        <f ca="1">VLOOKUP($F103,OFFSET([1]characters!$A$2,0,0,COUNTA([1]characters!$A:$A),MATCH(I$1,[1]characters!$2:$2,0)-MATCH($F$1,[1]characters!$2:$2,0)+1),MATCH(I$1,[1]characters!$2:$2,0)-MATCH($F$1,[1]characters!$2:$2,0)+1,FALSE)</f>
        <v>5</v>
      </c>
      <c r="J103" s="10" t="str">
        <f ca="1">VLOOKUP($F103,OFFSET([1]characters!$A$2,0,0,COUNTA([1]characters!$A:$A),MATCH(J$1,[1]characters!$2:$2,0)-MATCH($F$1,[1]characters!$2:$2,0)+1),MATCH(J$1,[1]characters!$2:$2,0)-MATCH($F$1,[1]characters!$2:$2,0)+1,FALSE)</f>
        <v>red</v>
      </c>
      <c r="K103" s="10" t="str">
        <f ca="1">VLOOKUP($F103,OFFSET([1]characters!$A$2,0,0,COUNTA([1]characters!$A:$A),MATCH("タイプ",[1]characters!$1:$1,0)-MATCH($F$1,[1]characters!$2:$2,0)+2),MATCH("タイプ",[1]characters!$1:$1,0)-MATCH($F$1,[1]characters!$2:$2,0)+2,FALSE)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3" s="10" t="str">
        <f ca="1">VLOOKUP($F103,OFFSET([1]characters!$A$2,0,0,COUNTA([1]characters!$A:$A),MATCH($L$1,[1]characters!$1:$1,0)-MATCH($F$1,[1]characters!$2:$2,0)+2),MATCH($L$1,[1]characters!$1:$1,0)-MATCH($F$1,[1]characters!$2:$2,0)+2,FALSE)</f>
        <v>ヒューマン</v>
      </c>
      <c r="M103" s="6">
        <v>1</v>
      </c>
      <c r="N103" s="40">
        <f ca="1">VLOOKUP(D103,gacha_133_base!A:B,2,FALSE)</f>
        <v>40</v>
      </c>
      <c r="O103" s="28">
        <v>0</v>
      </c>
      <c r="P103" s="28">
        <v>0</v>
      </c>
      <c r="Q103" s="28">
        <v>0</v>
      </c>
      <c r="R103" s="28">
        <v>0</v>
      </c>
      <c r="S103" s="28">
        <v>1</v>
      </c>
    </row>
    <row r="104" spans="1:19" ht="21" customHeight="1" thickBot="1">
      <c r="A104" s="22" t="str">
        <f t="shared" si="4"/>
        <v>13931</v>
      </c>
      <c r="B104" s="2">
        <f t="shared" si="7"/>
        <v>134</v>
      </c>
      <c r="C104" s="10" t="str">
        <f t="shared" ca="1" si="5"/>
        <v>1PremiumS4</v>
      </c>
      <c r="D104" s="20" t="str">
        <f t="shared" ca="1" si="8"/>
        <v>1PremiumS4pick</v>
      </c>
      <c r="E104" s="6">
        <v>1</v>
      </c>
      <c r="F104" s="7">
        <v>393</v>
      </c>
      <c r="G104" s="10" t="str">
        <f ca="1">VLOOKUP($F104,OFFSET([1]characters!$A$2,0,0,COUNTA([1]characters!$A:$A),MATCH(G$1,[1]characters!$2:$2,0)-MATCH($F$1,[1]characters!$2:$2,0)+1),MATCH(G$1,[1]characters!$2:$2,0)-MATCH($F$1,[1]characters!$2:$2,0)+1,FALSE)</f>
        <v>影縫い ピーターパン</v>
      </c>
      <c r="H104" s="10" t="str">
        <f ca="1">VLOOKUP($F104,OFFSET([1]characters!$A$2,0,0,COUNTA([1]characters!$A:$A),MATCH(H$1,[1]characters!$2:$2,0)-MATCH($F$1,[1]characters!$2:$2,0)+1),MATCH(H$1,[1]characters!$2:$2,0)-MATCH($F$1,[1]characters!$2:$2,0)+1,FALSE)</f>
        <v>PremiumS</v>
      </c>
      <c r="I104" s="10">
        <f ca="1">VLOOKUP($F104,OFFSET([1]characters!$A$2,0,0,COUNTA([1]characters!$A:$A),MATCH(I$1,[1]characters!$2:$2,0)-MATCH($F$1,[1]characters!$2:$2,0)+1),MATCH(I$1,[1]characters!$2:$2,0)-MATCH($F$1,[1]characters!$2:$2,0)+1,FALSE)</f>
        <v>4</v>
      </c>
      <c r="J104" s="10" t="str">
        <f ca="1">VLOOKUP($F104,OFFSET([1]characters!$A$2,0,0,COUNTA([1]characters!$A:$A),MATCH(J$1,[1]characters!$2:$2,0)-MATCH($F$1,[1]characters!$2:$2,0)+1),MATCH(J$1,[1]characters!$2:$2,0)-MATCH($F$1,[1]characters!$2:$2,0)+1,FALSE)</f>
        <v>green</v>
      </c>
      <c r="K104" s="10" t="str">
        <f ca="1">VLOOKUP($F104,OFFSET([1]characters!$A$2,0,0,COUNTA([1]characters!$A:$A),MATCH("タイプ",[1]characters!$1:$1,0)-MATCH($F$1,[1]characters!$2:$2,0)+2),MATCH("タイプ",[1]characters!$1:$1,0)-MATCH($F$1,[1]characters!$2:$2,0)+2,FALSE)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4" s="10" t="str">
        <f ca="1">VLOOKUP($F104,OFFSET([1]characters!$A$2,0,0,COUNTA([1]characters!$A:$A),MATCH($L$1,[1]characters!$1:$1,0)-MATCH($F$1,[1]characters!$2:$2,0)+2),MATCH($L$1,[1]characters!$1:$1,0)-MATCH($F$1,[1]characters!$2:$2,0)+2,FALSE)</f>
        <v>ヒューマン</v>
      </c>
      <c r="M104" s="6">
        <v>1</v>
      </c>
      <c r="N104" s="40">
        <f ca="1">VLOOKUP(D104,gacha_133_base!A:B,2,FALSE)</f>
        <v>3840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 thickBot="1">
      <c r="A105" s="22" t="str">
        <f t="shared" si="4"/>
        <v>13941</v>
      </c>
      <c r="B105" s="2">
        <f t="shared" si="7"/>
        <v>134</v>
      </c>
      <c r="C105" s="10" t="str">
        <f t="shared" ca="1" si="5"/>
        <v>1PremiumS5</v>
      </c>
      <c r="D105" s="20" t="str">
        <f t="shared" ca="1" si="8"/>
        <v>1PremiumS5pick</v>
      </c>
      <c r="E105" s="6">
        <v>1</v>
      </c>
      <c r="F105" s="7">
        <v>394</v>
      </c>
      <c r="G105" s="10" t="str">
        <f ca="1">VLOOKUP($F105,OFFSET([1]characters!$A$2,0,0,COUNTA([1]characters!$A:$A),MATCH(G$1,[1]characters!$2:$2,0)-MATCH($F$1,[1]characters!$2:$2,0)+1),MATCH(G$1,[1]characters!$2:$2,0)-MATCH($F$1,[1]characters!$2:$2,0)+1,FALSE)</f>
        <v>影求の悪童 ピーターパン</v>
      </c>
      <c r="H105" s="10" t="str">
        <f ca="1">VLOOKUP($F105,OFFSET([1]characters!$A$2,0,0,COUNTA([1]characters!$A:$A),MATCH(H$1,[1]characters!$2:$2,0)-MATCH($F$1,[1]characters!$2:$2,0)+1),MATCH(H$1,[1]characters!$2:$2,0)-MATCH($F$1,[1]characters!$2:$2,0)+1,FALSE)</f>
        <v>PremiumS</v>
      </c>
      <c r="I105" s="10">
        <f ca="1">VLOOKUP($F105,OFFSET([1]characters!$A$2,0,0,COUNTA([1]characters!$A:$A),MATCH(I$1,[1]characters!$2:$2,0)-MATCH($F$1,[1]characters!$2:$2,0)+1),MATCH(I$1,[1]characters!$2:$2,0)-MATCH($F$1,[1]characters!$2:$2,0)+1,FALSE)</f>
        <v>5</v>
      </c>
      <c r="J105" s="10" t="str">
        <f ca="1">VLOOKUP($F105,OFFSET([1]characters!$A$2,0,0,COUNTA([1]characters!$A:$A),MATCH(J$1,[1]characters!$2:$2,0)-MATCH($F$1,[1]characters!$2:$2,0)+1),MATCH(J$1,[1]characters!$2:$2,0)-MATCH($F$1,[1]characters!$2:$2,0)+1,FALSE)</f>
        <v>green</v>
      </c>
      <c r="K105" s="10" t="str">
        <f ca="1">VLOOKUP($F105,OFFSET([1]characters!$A$2,0,0,COUNTA([1]characters!$A:$A),MATCH("タイプ",[1]characters!$1:$1,0)-MATCH($F$1,[1]characters!$2:$2,0)+2),MATCH("タイプ",[1]characters!$1:$1,0)-MATCH($F$1,[1]characters!$2:$2,0)+2,FALSE)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5" s="10" t="str">
        <f ca="1">VLOOKUP($F105,OFFSET([1]characters!$A$2,0,0,COUNTA([1]characters!$A:$A),MATCH($L$1,[1]characters!$1:$1,0)-MATCH($F$1,[1]characters!$2:$2,0)+2),MATCH($L$1,[1]characters!$1:$1,0)-MATCH($F$1,[1]characters!$2:$2,0)+2,FALSE)</f>
        <v>ヒューマン</v>
      </c>
      <c r="M105" s="6">
        <v>1</v>
      </c>
      <c r="N105" s="40">
        <f ca="1">VLOOKUP(D105,gacha_133_base!A:B,2,FALSE)</f>
        <v>160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30" t="str">
        <f t="shared" si="4"/>
        <v>13961</v>
      </c>
      <c r="B106" s="2">
        <f t="shared" si="7"/>
        <v>134</v>
      </c>
      <c r="C106" s="10" t="str">
        <f t="shared" ca="1" si="5"/>
        <v>1PremiumS4</v>
      </c>
      <c r="D106" s="20" t="str">
        <f t="shared" ca="1" si="8"/>
        <v>1PremiumS4pick</v>
      </c>
      <c r="E106" s="32">
        <v>1</v>
      </c>
      <c r="F106" s="7">
        <v>396</v>
      </c>
      <c r="G106" s="34" t="str">
        <f ca="1">VLOOKUP($F106,OFFSET([1]characters!$A$2,0,0,COUNTA([1]characters!$A:$A),MATCH(G$1,[1]characters!$2:$2,0)-MATCH($F$1,[1]characters!$2:$2,0)+1),MATCH(G$1,[1]characters!$2:$2,0)-MATCH($F$1,[1]characters!$2:$2,0)+1,FALSE)</f>
        <v>竜宮の水雷 乙姫</v>
      </c>
      <c r="H106" s="34" t="str">
        <f ca="1">VLOOKUP($F106,OFFSET([1]characters!$A$2,0,0,COUNTA([1]characters!$A:$A),MATCH(H$1,[1]characters!$2:$2,0)-MATCH($F$1,[1]characters!$2:$2,0)+1),MATCH(H$1,[1]characters!$2:$2,0)-MATCH($F$1,[1]characters!$2:$2,0)+1,FALSE)</f>
        <v>PremiumS</v>
      </c>
      <c r="I106" s="34">
        <f ca="1">VLOOKUP($F106,OFFSET([1]characters!$A$2,0,0,COUNTA([1]characters!$A:$A),MATCH(I$1,[1]characters!$2:$2,0)-MATCH($F$1,[1]characters!$2:$2,0)+1),MATCH(I$1,[1]characters!$2:$2,0)-MATCH($F$1,[1]characters!$2:$2,0)+1,FALSE)</f>
        <v>4</v>
      </c>
      <c r="J106" s="34" t="str">
        <f ca="1">VLOOKUP($F106,OFFSET([1]characters!$A$2,0,0,COUNTA([1]characters!$A:$A),MATCH(J$1,[1]characters!$2:$2,0)-MATCH($F$1,[1]characters!$2:$2,0)+1),MATCH(J$1,[1]characters!$2:$2,0)-MATCH($F$1,[1]characters!$2:$2,0)+1,FALSE)</f>
        <v>blue</v>
      </c>
      <c r="K106" s="34" t="str">
        <f ca="1">VLOOKUP($F106,OFFSET([1]characters!$A$2,0,0,COUNTA([1]characters!$A:$A),MATCH("タイプ",[1]characters!$1:$1,0)-MATCH($F$1,[1]characters!$2:$2,0)+2),MATCH("タイプ",[1]characters!$1:$1,0)-MATCH($F$1,[1]characters!$2:$2,0)+2,FALSE)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06" s="34" t="str">
        <f ca="1">VLOOKUP($F106,OFFSET([1]characters!$A$2,0,0,COUNTA([1]characters!$A:$A),MATCH($L$1,[1]characters!$1:$1,0)-MATCH($F$1,[1]characters!$2:$2,0)+2),MATCH($L$1,[1]characters!$1:$1,0)-MATCH($F$1,[1]characters!$2:$2,0)+2,FALSE)</f>
        <v>ヒューマン</v>
      </c>
      <c r="M106" s="32">
        <v>1</v>
      </c>
      <c r="N106" s="40">
        <f ca="1">VLOOKUP(D106,gacha_133_base!A:B,2,FALSE)</f>
        <v>3840</v>
      </c>
      <c r="O106" s="35">
        <v>0</v>
      </c>
      <c r="P106" s="35">
        <v>0</v>
      </c>
      <c r="Q106" s="35">
        <v>0</v>
      </c>
      <c r="R106" s="35">
        <v>0</v>
      </c>
      <c r="S106" s="35">
        <v>1</v>
      </c>
    </row>
    <row r="107" spans="1:19" s="37" customFormat="1" ht="21" customHeight="1" thickBot="1">
      <c r="A107" s="36" t="str">
        <f t="shared" si="4"/>
        <v>13971</v>
      </c>
      <c r="B107" s="2">
        <f t="shared" si="7"/>
        <v>134</v>
      </c>
      <c r="C107" s="10" t="str">
        <f t="shared" ca="1" si="5"/>
        <v>1PremiumS5</v>
      </c>
      <c r="D107" s="20" t="str">
        <f t="shared" ca="1" si="8"/>
        <v>1PremiumS5pick</v>
      </c>
      <c r="E107" s="24">
        <v>1</v>
      </c>
      <c r="F107" s="7">
        <v>397</v>
      </c>
      <c r="G107" s="23" t="str">
        <f ca="1">VLOOKUP($F107,OFFSET([1]characters!$A$2,0,0,COUNTA([1]characters!$A:$A),MATCH(G$1,[1]characters!$2:$2,0)-MATCH($F$1,[1]characters!$2:$2,0)+1),MATCH(G$1,[1]characters!$2:$2,0)-MATCH($F$1,[1]characters!$2:$2,0)+1,FALSE)</f>
        <v>禁断の追箱 乙姫</v>
      </c>
      <c r="H107" s="23" t="str">
        <f ca="1">VLOOKUP($F107,OFFSET([1]characters!$A$2,0,0,COUNTA([1]characters!$A:$A),MATCH(H$1,[1]characters!$2:$2,0)-MATCH($F$1,[1]characters!$2:$2,0)+1),MATCH(H$1,[1]characters!$2:$2,0)-MATCH($F$1,[1]characters!$2:$2,0)+1,FALSE)</f>
        <v>PremiumS</v>
      </c>
      <c r="I107" s="23">
        <f ca="1">VLOOKUP($F107,OFFSET([1]characters!$A$2,0,0,COUNTA([1]characters!$A:$A),MATCH(I$1,[1]characters!$2:$2,0)-MATCH($F$1,[1]characters!$2:$2,0)+1),MATCH(I$1,[1]characters!$2:$2,0)-MATCH($F$1,[1]characters!$2:$2,0)+1,FALSE)</f>
        <v>5</v>
      </c>
      <c r="J107" s="23" t="str">
        <f ca="1">VLOOKUP($F107,OFFSET([1]characters!$A$2,0,0,COUNTA([1]characters!$A:$A),MATCH(J$1,[1]characters!$2:$2,0)-MATCH($F$1,[1]characters!$2:$2,0)+1),MATCH(J$1,[1]characters!$2:$2,0)-MATCH($F$1,[1]characters!$2:$2,0)+1,FALSE)</f>
        <v>blue</v>
      </c>
      <c r="K107" s="23" t="str">
        <f ca="1">VLOOKUP($F107,OFFSET([1]characters!$A$2,0,0,COUNTA([1]characters!$A:$A),MATCH("タイプ",[1]characters!$1:$1,0)-MATCH($F$1,[1]characters!$2:$2,0)+2),MATCH("タイプ",[1]characters!$1:$1,0)-MATCH($F$1,[1]characters!$2:$2,0)+2,FALSE)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07" s="23" t="str">
        <f ca="1">VLOOKUP($F107,OFFSET([1]characters!$A$2,0,0,COUNTA([1]characters!$A:$A),MATCH($L$1,[1]characters!$1:$1,0)-MATCH($F$1,[1]characters!$2:$2,0)+2),MATCH($L$1,[1]characters!$1:$1,0)-MATCH($F$1,[1]characters!$2:$2,0)+2,FALSE)</f>
        <v>ヒューマン</v>
      </c>
      <c r="M107" s="24">
        <v>1</v>
      </c>
      <c r="N107" s="40">
        <f ca="1">VLOOKUP(D107,gacha_133_base!A:B,2,FALSE)</f>
        <v>160</v>
      </c>
      <c r="O107" s="29">
        <v>0</v>
      </c>
      <c r="P107" s="29">
        <v>0</v>
      </c>
      <c r="Q107" s="29">
        <v>0</v>
      </c>
      <c r="R107" s="29">
        <v>0</v>
      </c>
      <c r="S107" s="29">
        <v>1</v>
      </c>
    </row>
    <row r="108" spans="1:19" ht="21" customHeight="1">
      <c r="A108" s="30" t="str">
        <f t="shared" si="4"/>
        <v>13981</v>
      </c>
      <c r="B108" s="2">
        <f t="shared" si="7"/>
        <v>134</v>
      </c>
      <c r="C108" s="10" t="str">
        <f t="shared" ca="1" si="5"/>
        <v>1PremiumSS4</v>
      </c>
      <c r="D108" s="20" t="str">
        <f t="shared" ca="1" si="8"/>
        <v>1PremiumSS4pick</v>
      </c>
      <c r="E108" s="32">
        <v>1</v>
      </c>
      <c r="F108" s="7">
        <v>398</v>
      </c>
      <c r="G108" s="34" t="str">
        <f ca="1">VLOOKUP($F108,OFFSET([1]characters!$A$2,0,0,COUNTA([1]characters!$A:$A),MATCH(G$1,[1]characters!$2:$2,0)-MATCH($F$1,[1]characters!$2:$2,0)+1),MATCH(G$1,[1]characters!$2:$2,0)-MATCH($F$1,[1]characters!$2:$2,0)+1,FALSE)</f>
        <v>ヘンゼル＆グレーテル</v>
      </c>
      <c r="H108" s="34" t="str">
        <f ca="1">VLOOKUP($F108,OFFSET([1]characters!$A$2,0,0,COUNTA([1]characters!$A:$A),MATCH(H$1,[1]characters!$2:$2,0)-MATCH($F$1,[1]characters!$2:$2,0)+1),MATCH(H$1,[1]characters!$2:$2,0)-MATCH($F$1,[1]characters!$2:$2,0)+1,FALSE)</f>
        <v>PremiumSS</v>
      </c>
      <c r="I108" s="34">
        <f ca="1">VLOOKUP($F108,OFFSET([1]characters!$A$2,0,0,COUNTA([1]characters!$A:$A),MATCH(I$1,[1]characters!$2:$2,0)-MATCH($F$1,[1]characters!$2:$2,0)+1),MATCH(I$1,[1]characters!$2:$2,0)-MATCH($F$1,[1]characters!$2:$2,0)+1,FALSE)</f>
        <v>4</v>
      </c>
      <c r="J108" s="34" t="str">
        <f ca="1">VLOOKUP($F108,OFFSET([1]characters!$A$2,0,0,COUNTA([1]characters!$A:$A),MATCH(J$1,[1]characters!$2:$2,0)-MATCH($F$1,[1]characters!$2:$2,0)+1),MATCH(J$1,[1]characters!$2:$2,0)-MATCH($F$1,[1]characters!$2:$2,0)+1,FALSE)</f>
        <v>yellow</v>
      </c>
      <c r="K108" s="34" t="str">
        <f ca="1">VLOOKUP($F108,OFFSET([1]characters!$A$2,0,0,COUNTA([1]characters!$A:$A),MATCH("タイプ",[1]characters!$1:$1,0)-MATCH($F$1,[1]characters!$2:$2,0)+2),MATCH("タイプ",[1]characters!$1:$1,0)-MATCH($F$1,[1]characters!$2:$2,0)+2,FALSE)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8" s="34" t="str">
        <f ca="1">VLOOKUP($F108,OFFSET([1]characters!$A$2,0,0,COUNTA([1]characters!$A:$A),MATCH($L$1,[1]characters!$1:$1,0)-MATCH($F$1,[1]characters!$2:$2,0)+2),MATCH($L$1,[1]characters!$1:$1,0)-MATCH($F$1,[1]characters!$2:$2,0)+2,FALSE)</f>
        <v>ヒューマン</v>
      </c>
      <c r="M108" s="32">
        <v>1</v>
      </c>
      <c r="N108" s="40">
        <f ca="1">VLOOKUP(D108,gacha_133_base!A:B,2,FALSE)</f>
        <v>960</v>
      </c>
      <c r="O108" s="35">
        <v>0</v>
      </c>
      <c r="P108" s="35">
        <v>0</v>
      </c>
      <c r="Q108" s="35">
        <v>0</v>
      </c>
      <c r="R108" s="35">
        <v>0</v>
      </c>
      <c r="S108" s="35">
        <v>1</v>
      </c>
    </row>
    <row r="109" spans="1:19" s="37" customFormat="1" ht="21" customHeight="1" thickBot="1">
      <c r="A109" s="36" t="str">
        <f t="shared" si="4"/>
        <v>13991</v>
      </c>
      <c r="B109" s="2">
        <f t="shared" si="7"/>
        <v>134</v>
      </c>
      <c r="C109" s="10" t="str">
        <f t="shared" ca="1" si="5"/>
        <v>1PremiumSS5</v>
      </c>
      <c r="D109" s="20" t="str">
        <f t="shared" ca="1" si="8"/>
        <v>1PremiumSS5pick</v>
      </c>
      <c r="E109" s="24">
        <v>1</v>
      </c>
      <c r="F109" s="7">
        <v>399</v>
      </c>
      <c r="G109" s="23" t="str">
        <f ca="1">VLOOKUP($F109,OFFSET([1]characters!$A$2,0,0,COUNTA([1]characters!$A:$A),MATCH(G$1,[1]characters!$2:$2,0)-MATCH($F$1,[1]characters!$2:$2,0)+1),MATCH(G$1,[1]characters!$2:$2,0)-MATCH($F$1,[1]characters!$2:$2,0)+1,FALSE)</f>
        <v>信愛の兄妹 ヘンゼル＆グレーテル</v>
      </c>
      <c r="H109" s="23" t="str">
        <f ca="1">VLOOKUP($F109,OFFSET([1]characters!$A$2,0,0,COUNTA([1]characters!$A:$A),MATCH(H$1,[1]characters!$2:$2,0)-MATCH($F$1,[1]characters!$2:$2,0)+1),MATCH(H$1,[1]characters!$2:$2,0)-MATCH($F$1,[1]characters!$2:$2,0)+1,FALSE)</f>
        <v>PremiumSS</v>
      </c>
      <c r="I109" s="23">
        <f ca="1">VLOOKUP($F109,OFFSET([1]characters!$A$2,0,0,COUNTA([1]characters!$A:$A),MATCH(I$1,[1]characters!$2:$2,0)-MATCH($F$1,[1]characters!$2:$2,0)+1),MATCH(I$1,[1]characters!$2:$2,0)-MATCH($F$1,[1]characters!$2:$2,0)+1,FALSE)</f>
        <v>5</v>
      </c>
      <c r="J109" s="23" t="str">
        <f ca="1">VLOOKUP($F109,OFFSET([1]characters!$A$2,0,0,COUNTA([1]characters!$A:$A),MATCH(J$1,[1]characters!$2:$2,0)-MATCH($F$1,[1]characters!$2:$2,0)+1),MATCH(J$1,[1]characters!$2:$2,0)-MATCH($F$1,[1]characters!$2:$2,0)+1,FALSE)</f>
        <v>yellow</v>
      </c>
      <c r="K109" s="23" t="str">
        <f ca="1">VLOOKUP($F109,OFFSET([1]characters!$A$2,0,0,COUNTA([1]characters!$A:$A),MATCH("タイプ",[1]characters!$1:$1,0)-MATCH($F$1,[1]characters!$2:$2,0)+2),MATCH("タイプ",[1]characters!$1:$1,0)-MATCH($F$1,[1]characters!$2:$2,0)+2,FALSE)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9" s="23" t="str">
        <f ca="1">VLOOKUP($F109,OFFSET([1]characters!$A$2,0,0,COUNTA([1]characters!$A:$A),MATCH($L$1,[1]characters!$1:$1,0)-MATCH($F$1,[1]characters!$2:$2,0)+2),MATCH($L$1,[1]characters!$1:$1,0)-MATCH($F$1,[1]characters!$2:$2,0)+2,FALSE)</f>
        <v>ヒューマン</v>
      </c>
      <c r="M109" s="24">
        <v>1</v>
      </c>
      <c r="N109" s="40">
        <f ca="1">VLOOKUP(D109,gacha_133_base!A:B,2,FALSE)</f>
        <v>40</v>
      </c>
      <c r="O109" s="29">
        <v>0</v>
      </c>
      <c r="P109" s="29">
        <v>0</v>
      </c>
      <c r="Q109" s="29">
        <v>0</v>
      </c>
      <c r="R109" s="29">
        <v>0</v>
      </c>
      <c r="S109" s="29">
        <v>1</v>
      </c>
    </row>
    <row r="110" spans="1:19" ht="21" customHeight="1">
      <c r="A110" s="8" t="str">
        <f t="shared" si="4"/>
        <v>01261</v>
      </c>
      <c r="B110" s="2">
        <f t="shared" si="7"/>
        <v>134</v>
      </c>
      <c r="C110" s="10" t="str">
        <f t="shared" ca="1" si="5"/>
        <v>0PremiumW3</v>
      </c>
      <c r="D110" s="10" t="str">
        <f t="shared" ca="1" si="6"/>
        <v>0PremiumW3</v>
      </c>
      <c r="E110" s="21">
        <v>0</v>
      </c>
      <c r="F110" s="27">
        <v>126</v>
      </c>
      <c r="G110" s="20" t="str">
        <f ca="1">VLOOKUP($F110,OFFSET([1]characters!$A$2,0,0,COUNTA([1]characters!$A:$A),MATCH(G$1,[1]characters!$2:$2,0)-MATCH($F$1,[1]characters!$2:$2,0)+1),MATCH(G$1,[1]characters!$2:$2,0)-MATCH($F$1,[1]characters!$2:$2,0)+1,FALSE)</f>
        <v>骨器使い ユノ</v>
      </c>
      <c r="H110" s="20" t="str">
        <f ca="1">VLOOKUP($F110,OFFSET([1]characters!$A$2,0,0,COUNTA([1]characters!$A:$A),MATCH(H$1,[1]characters!$2:$2,0)-MATCH($F$1,[1]characters!$2:$2,0)+1),MATCH(H$1,[1]characters!$2:$2,0)-MATCH($F$1,[1]characters!$2:$2,0)+1,FALSE)</f>
        <v>PremiumW</v>
      </c>
      <c r="I110" s="20">
        <f ca="1">VLOOKUP($F110,OFFSET([1]characters!$A$2,0,0,COUNTA([1]characters!$A:$A),MATCH(I$1,[1]characters!$2:$2,0)-MATCH($F$1,[1]characters!$2:$2,0)+1),MATCH(I$1,[1]characters!$2:$2,0)-MATCH($F$1,[1]characters!$2:$2,0)+1,FALSE)</f>
        <v>3</v>
      </c>
      <c r="J110" s="20" t="str">
        <f ca="1">VLOOKUP($F110,OFFSET([1]characters!$A$2,0,0,COUNTA([1]characters!$A:$A),MATCH(J$1,[1]characters!$2:$2,0)-MATCH($F$1,[1]characters!$2:$2,0)+1),MATCH(J$1,[1]characters!$2:$2,0)-MATCH($F$1,[1]characters!$2:$2,0)+1,FALSE)</f>
        <v>red</v>
      </c>
      <c r="K110" s="20" t="str">
        <f ca="1">VLOOKUP($F110,OFFSET([1]characters!$A$2,0,0,COUNTA([1]characters!$A:$A),MATCH("タイプ",[1]characters!$1:$1,0)-MATCH($F$1,[1]characters!$2:$2,0)+2),MATCH("タイプ",[1]characters!$1:$1,0)-MATCH($F$1,[1]characters!$2:$2,0)+2,FALSE)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0" s="20" t="str">
        <f ca="1">VLOOKUP($F110,OFFSET([1]characters!$A$2,0,0,COUNTA([1]characters!$A:$A),MATCH($L$1,[1]characters!$1:$1,0)-MATCH($F$1,[1]characters!$2:$2,0)+2),MATCH($L$1,[1]characters!$1:$1,0)-MATCH($F$1,[1]characters!$2:$2,0)+2,FALSE)</f>
        <v>ヒューマン</v>
      </c>
      <c r="M110" s="21">
        <v>1</v>
      </c>
      <c r="N110" s="40">
        <f ca="1">VLOOKUP(D110,gacha_133_base!A:B,2,FALSE)</f>
        <v>2433</v>
      </c>
      <c r="O110" s="18">
        <v>0</v>
      </c>
      <c r="P110" s="18">
        <v>0</v>
      </c>
      <c r="Q110" s="18">
        <v>0</v>
      </c>
      <c r="R110" s="18">
        <v>0</v>
      </c>
      <c r="S110" s="18">
        <v>1</v>
      </c>
    </row>
    <row r="111" spans="1:19" ht="21" customHeight="1">
      <c r="A111" s="8" t="str">
        <f t="shared" si="4"/>
        <v>01281</v>
      </c>
      <c r="B111" s="2">
        <f t="shared" si="7"/>
        <v>134</v>
      </c>
      <c r="C111" s="10" t="str">
        <f t="shared" ca="1" si="5"/>
        <v>0PremiumW3</v>
      </c>
      <c r="D111" s="10" t="str">
        <f t="shared" ca="1" si="6"/>
        <v>0PremiumW3</v>
      </c>
      <c r="E111" s="21">
        <v>0</v>
      </c>
      <c r="F111" s="27">
        <v>128</v>
      </c>
      <c r="G111" s="20" t="str">
        <f ca="1">VLOOKUP($F111,OFFSET([1]characters!$A$2,0,0,COUNTA([1]characters!$A:$A),MATCH(G$1,[1]characters!$2:$2,0)-MATCH($F$1,[1]characters!$2:$2,0)+1),MATCH(G$1,[1]characters!$2:$2,0)-MATCH($F$1,[1]characters!$2:$2,0)+1,FALSE)</f>
        <v>野生児 アマラ</v>
      </c>
      <c r="H111" s="20" t="str">
        <f ca="1">VLOOKUP($F111,OFFSET([1]characters!$A$2,0,0,COUNTA([1]characters!$A:$A),MATCH(H$1,[1]characters!$2:$2,0)-MATCH($F$1,[1]characters!$2:$2,0)+1),MATCH(H$1,[1]characters!$2:$2,0)-MATCH($F$1,[1]characters!$2:$2,0)+1,FALSE)</f>
        <v>PremiumW</v>
      </c>
      <c r="I111" s="20">
        <f ca="1">VLOOKUP($F111,OFFSET([1]characters!$A$2,0,0,COUNTA([1]characters!$A:$A),MATCH(I$1,[1]characters!$2:$2,0)-MATCH($F$1,[1]characters!$2:$2,0)+1),MATCH(I$1,[1]characters!$2:$2,0)-MATCH($F$1,[1]characters!$2:$2,0)+1,FALSE)</f>
        <v>3</v>
      </c>
      <c r="J111" s="20" t="str">
        <f ca="1">VLOOKUP($F111,OFFSET([1]characters!$A$2,0,0,COUNTA([1]characters!$A:$A),MATCH(J$1,[1]characters!$2:$2,0)-MATCH($F$1,[1]characters!$2:$2,0)+1),MATCH(J$1,[1]characters!$2:$2,0)-MATCH($F$1,[1]characters!$2:$2,0)+1,FALSE)</f>
        <v>green</v>
      </c>
      <c r="K111" s="20" t="str">
        <f ca="1">VLOOKUP($F111,OFFSET([1]characters!$A$2,0,0,COUNTA([1]characters!$A:$A),MATCH("タイプ",[1]characters!$1:$1,0)-MATCH($F$1,[1]characters!$2:$2,0)+2),MATCH("タイプ",[1]characters!$1:$1,0)-MATCH($F$1,[1]characters!$2:$2,0)+2,FALSE)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1" s="20" t="str">
        <f ca="1">VLOOKUP($F111,OFFSET([1]characters!$A$2,0,0,COUNTA([1]characters!$A:$A),MATCH($L$1,[1]characters!$1:$1,0)-MATCH($F$1,[1]characters!$2:$2,0)+2),MATCH($L$1,[1]characters!$1:$1,0)-MATCH($F$1,[1]characters!$2:$2,0)+2,FALSE)</f>
        <v>ヒューマン</v>
      </c>
      <c r="M111" s="21">
        <v>1</v>
      </c>
      <c r="N111" s="40">
        <f ca="1">VLOOKUP(D111,gacha_133_base!A:B,2,FALSE)</f>
        <v>2433</v>
      </c>
      <c r="O111" s="18">
        <v>0</v>
      </c>
      <c r="P111" s="18">
        <v>0</v>
      </c>
      <c r="Q111" s="18">
        <v>0</v>
      </c>
      <c r="R111" s="18">
        <v>0</v>
      </c>
      <c r="S111" s="18">
        <v>1</v>
      </c>
    </row>
    <row r="112" spans="1:19" ht="21" customHeight="1">
      <c r="A112" s="8" t="str">
        <f t="shared" si="4"/>
        <v>01301</v>
      </c>
      <c r="B112" s="2">
        <f t="shared" si="7"/>
        <v>134</v>
      </c>
      <c r="C112" s="10" t="str">
        <f t="shared" ca="1" si="5"/>
        <v>0PremiumW3</v>
      </c>
      <c r="D112" s="10" t="str">
        <f t="shared" ca="1" si="6"/>
        <v>0PremiumW3</v>
      </c>
      <c r="E112" s="6">
        <v>0</v>
      </c>
      <c r="F112" s="7">
        <v>130</v>
      </c>
      <c r="G112" s="10" t="str">
        <f ca="1">VLOOKUP($F112,OFFSET([1]characters!$A$2,0,0,COUNTA([1]characters!$A:$A),MATCH(G$1,[1]characters!$2:$2,0)-MATCH($F$1,[1]characters!$2:$2,0)+1),MATCH(G$1,[1]characters!$2:$2,0)-MATCH($F$1,[1]characters!$2:$2,0)+1,FALSE)</f>
        <v>狼男 ローレンス</v>
      </c>
      <c r="H112" s="10" t="str">
        <f ca="1">VLOOKUP($F112,OFFSET([1]characters!$A$2,0,0,COUNTA([1]characters!$A:$A),MATCH(H$1,[1]characters!$2:$2,0)-MATCH($F$1,[1]characters!$2:$2,0)+1),MATCH(H$1,[1]characters!$2:$2,0)-MATCH($F$1,[1]characters!$2:$2,0)+1,FALSE)</f>
        <v>PremiumW</v>
      </c>
      <c r="I112" s="10">
        <f ca="1">VLOOKUP($F112,OFFSET([1]characters!$A$2,0,0,COUNTA([1]characters!$A:$A),MATCH(I$1,[1]characters!$2:$2,0)-MATCH($F$1,[1]characters!$2:$2,0)+1),MATCH(I$1,[1]characters!$2:$2,0)-MATCH($F$1,[1]characters!$2:$2,0)+1,FALSE)</f>
        <v>3</v>
      </c>
      <c r="J112" s="10" t="str">
        <f ca="1">VLOOKUP($F112,OFFSET([1]characters!$A$2,0,0,COUNTA([1]characters!$A:$A),MATCH(J$1,[1]characters!$2:$2,0)-MATCH($F$1,[1]characters!$2:$2,0)+1),MATCH(J$1,[1]characters!$2:$2,0)-MATCH($F$1,[1]characters!$2:$2,0)+1,FALSE)</f>
        <v>blue</v>
      </c>
      <c r="K112" s="10" t="str">
        <f ca="1">VLOOKUP($F112,OFFSET([1]characters!$A$2,0,0,COUNTA([1]characters!$A:$A),MATCH("タイプ",[1]characters!$1:$1,0)-MATCH($F$1,[1]characters!$2:$2,0)+2),MATCH("タイプ",[1]characters!$1:$1,0)-MATCH($F$1,[1]characters!$2:$2,0)+2,FALSE)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2" s="10" t="str">
        <f ca="1">VLOOKUP($F112,OFFSET([1]characters!$A$2,0,0,COUNTA([1]characters!$A:$A),MATCH($L$1,[1]characters!$1:$1,0)-MATCH($F$1,[1]characters!$2:$2,0)+2),MATCH($L$1,[1]characters!$1:$1,0)-MATCH($F$1,[1]characters!$2:$2,0)+2,FALSE)</f>
        <v>アニマル</v>
      </c>
      <c r="M112" s="6">
        <v>1</v>
      </c>
      <c r="N112" s="40">
        <f ca="1">VLOOKUP(D112,gacha_133_base!A:B,2,FALSE)</f>
        <v>2433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4"/>
        <v>01321</v>
      </c>
      <c r="B113" s="2">
        <f t="shared" si="7"/>
        <v>134</v>
      </c>
      <c r="C113" s="10" t="str">
        <f t="shared" ca="1" si="5"/>
        <v>0PremiumW3</v>
      </c>
      <c r="D113" s="10" t="str">
        <f t="shared" ca="1" si="6"/>
        <v>0PremiumW3</v>
      </c>
      <c r="E113" s="6">
        <v>0</v>
      </c>
      <c r="F113" s="7">
        <v>132</v>
      </c>
      <c r="G113" s="10" t="str">
        <f ca="1">VLOOKUP($F113,OFFSET([1]characters!$A$2,0,0,COUNTA([1]characters!$A:$A),MATCH(G$1,[1]characters!$2:$2,0)-MATCH($F$1,[1]characters!$2:$2,0)+1),MATCH(G$1,[1]characters!$2:$2,0)-MATCH($F$1,[1]characters!$2:$2,0)+1,FALSE)</f>
        <v>鳥人ハヤト</v>
      </c>
      <c r="H113" s="10" t="str">
        <f ca="1">VLOOKUP($F113,OFFSET([1]characters!$A$2,0,0,COUNTA([1]characters!$A:$A),MATCH(H$1,[1]characters!$2:$2,0)-MATCH($F$1,[1]characters!$2:$2,0)+1),MATCH(H$1,[1]characters!$2:$2,0)-MATCH($F$1,[1]characters!$2:$2,0)+1,FALSE)</f>
        <v>PremiumW</v>
      </c>
      <c r="I113" s="10">
        <f ca="1">VLOOKUP($F113,OFFSET([1]characters!$A$2,0,0,COUNTA([1]characters!$A:$A),MATCH(I$1,[1]characters!$2:$2,0)-MATCH($F$1,[1]characters!$2:$2,0)+1),MATCH(I$1,[1]characters!$2:$2,0)-MATCH($F$1,[1]characters!$2:$2,0)+1,FALSE)</f>
        <v>3</v>
      </c>
      <c r="J113" s="10" t="str">
        <f ca="1">VLOOKUP($F113,OFFSET([1]characters!$A$2,0,0,COUNTA([1]characters!$A:$A),MATCH(J$1,[1]characters!$2:$2,0)-MATCH($F$1,[1]characters!$2:$2,0)+1),MATCH(J$1,[1]characters!$2:$2,0)-MATCH($F$1,[1]characters!$2:$2,0)+1,FALSE)</f>
        <v>yellow</v>
      </c>
      <c r="K113" s="10" t="str">
        <f ca="1">VLOOKUP($F113,OFFSET([1]characters!$A$2,0,0,COUNTA([1]characters!$A:$A),MATCH("タイプ",[1]characters!$1:$1,0)-MATCH($F$1,[1]characters!$2:$2,0)+2),MATCH("タイプ",[1]characters!$1:$1,0)-MATCH($F$1,[1]characters!$2:$2,0)+2,FALSE)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3" s="10" t="str">
        <f ca="1">VLOOKUP($F113,OFFSET([1]characters!$A$2,0,0,COUNTA([1]characters!$A:$A),MATCH($L$1,[1]characters!$1:$1,0)-MATCH($F$1,[1]characters!$2:$2,0)+2),MATCH($L$1,[1]characters!$1:$1,0)-MATCH($F$1,[1]characters!$2:$2,0)+2,FALSE)</f>
        <v>ヒューマン</v>
      </c>
      <c r="M113" s="6">
        <v>1</v>
      </c>
      <c r="N113" s="40">
        <f ca="1">VLOOKUP(D113,gacha_133_base!A:B,2,FALSE)</f>
        <v>2433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4"/>
        <v>01341</v>
      </c>
      <c r="B114" s="2">
        <f t="shared" si="7"/>
        <v>134</v>
      </c>
      <c r="C114" s="10" t="str">
        <f t="shared" ca="1" si="5"/>
        <v>0PremiumW3</v>
      </c>
      <c r="D114" s="10" t="str">
        <f t="shared" ca="1" si="6"/>
        <v>0PremiumW3</v>
      </c>
      <c r="E114" s="6">
        <v>0</v>
      </c>
      <c r="F114" s="7">
        <v>134</v>
      </c>
      <c r="G114" s="10" t="str">
        <f ca="1">VLOOKUP($F114,OFFSET([1]characters!$A$2,0,0,COUNTA([1]characters!$A:$A),MATCH(G$1,[1]characters!$2:$2,0)-MATCH($F$1,[1]characters!$2:$2,0)+1),MATCH(G$1,[1]characters!$2:$2,0)-MATCH($F$1,[1]characters!$2:$2,0)+1,FALSE)</f>
        <v>妖炎の夕霧</v>
      </c>
      <c r="H114" s="10" t="str">
        <f ca="1">VLOOKUP($F114,OFFSET([1]characters!$A$2,0,0,COUNTA([1]characters!$A:$A),MATCH(H$1,[1]characters!$2:$2,0)-MATCH($F$1,[1]characters!$2:$2,0)+1),MATCH(H$1,[1]characters!$2:$2,0)-MATCH($F$1,[1]characters!$2:$2,0)+1,FALSE)</f>
        <v>PremiumW</v>
      </c>
      <c r="I114" s="10">
        <f ca="1">VLOOKUP($F114,OFFSET([1]characters!$A$2,0,0,COUNTA([1]characters!$A:$A),MATCH(I$1,[1]characters!$2:$2,0)-MATCH($F$1,[1]characters!$2:$2,0)+1),MATCH(I$1,[1]characters!$2:$2,0)-MATCH($F$1,[1]characters!$2:$2,0)+1,FALSE)</f>
        <v>3</v>
      </c>
      <c r="J114" s="10" t="str">
        <f ca="1">VLOOKUP($F114,OFFSET([1]characters!$A$2,0,0,COUNTA([1]characters!$A:$A),MATCH(J$1,[1]characters!$2:$2,0)-MATCH($F$1,[1]characters!$2:$2,0)+1),MATCH(J$1,[1]characters!$2:$2,0)-MATCH($F$1,[1]characters!$2:$2,0)+1,FALSE)</f>
        <v>red</v>
      </c>
      <c r="K114" s="10" t="str">
        <f ca="1">VLOOKUP($F114,OFFSET([1]characters!$A$2,0,0,COUNTA([1]characters!$A:$A),MATCH("タイプ",[1]characters!$1:$1,0)-MATCH($F$1,[1]characters!$2:$2,0)+2),MATCH("タイプ",[1]characters!$1:$1,0)-MATCH($F$1,[1]characters!$2:$2,0)+2,FALSE)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4" s="10" t="str">
        <f ca="1">VLOOKUP($F114,OFFSET([1]characters!$A$2,0,0,COUNTA([1]characters!$A:$A),MATCH($L$1,[1]characters!$1:$1,0)-MATCH($F$1,[1]characters!$2:$2,0)+2),MATCH($L$1,[1]characters!$1:$1,0)-MATCH($F$1,[1]characters!$2:$2,0)+2,FALSE)</f>
        <v>ヒューマン</v>
      </c>
      <c r="M114" s="6">
        <v>1</v>
      </c>
      <c r="N114" s="40">
        <f ca="1">VLOOKUP(D114,gacha_133_base!A:B,2,FALSE)</f>
        <v>2433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4"/>
        <v>01361</v>
      </c>
      <c r="B115" s="2">
        <f t="shared" si="7"/>
        <v>134</v>
      </c>
      <c r="C115" s="10" t="str">
        <f t="shared" ca="1" si="5"/>
        <v>0PremiumW3</v>
      </c>
      <c r="D115" s="10" t="str">
        <f t="shared" ca="1" si="6"/>
        <v>0PremiumW3</v>
      </c>
      <c r="E115" s="6">
        <v>0</v>
      </c>
      <c r="F115" s="7">
        <v>136</v>
      </c>
      <c r="G115" s="10" t="str">
        <f ca="1">VLOOKUP($F115,OFFSET([1]characters!$A$2,0,0,COUNTA([1]characters!$A:$A),MATCH(G$1,[1]characters!$2:$2,0)-MATCH($F$1,[1]characters!$2:$2,0)+1),MATCH(G$1,[1]characters!$2:$2,0)-MATCH($F$1,[1]characters!$2:$2,0)+1,FALSE)</f>
        <v>お針子チハヤ</v>
      </c>
      <c r="H115" s="10" t="str">
        <f ca="1">VLOOKUP($F115,OFFSET([1]characters!$A$2,0,0,COUNTA([1]characters!$A:$A),MATCH(H$1,[1]characters!$2:$2,0)-MATCH($F$1,[1]characters!$2:$2,0)+1),MATCH(H$1,[1]characters!$2:$2,0)-MATCH($F$1,[1]characters!$2:$2,0)+1,FALSE)</f>
        <v>PremiumW</v>
      </c>
      <c r="I115" s="10">
        <f ca="1">VLOOKUP($F115,OFFSET([1]characters!$A$2,0,0,COUNTA([1]characters!$A:$A),MATCH(I$1,[1]characters!$2:$2,0)-MATCH($F$1,[1]characters!$2:$2,0)+1),MATCH(I$1,[1]characters!$2:$2,0)-MATCH($F$1,[1]characters!$2:$2,0)+1,FALSE)</f>
        <v>3</v>
      </c>
      <c r="J115" s="10" t="str">
        <f ca="1">VLOOKUP($F115,OFFSET([1]characters!$A$2,0,0,COUNTA([1]characters!$A:$A),MATCH(J$1,[1]characters!$2:$2,0)-MATCH($F$1,[1]characters!$2:$2,0)+1),MATCH(J$1,[1]characters!$2:$2,0)-MATCH($F$1,[1]characters!$2:$2,0)+1,FALSE)</f>
        <v>green</v>
      </c>
      <c r="K115" s="10" t="str">
        <f ca="1">VLOOKUP($F115,OFFSET([1]characters!$A$2,0,0,COUNTA([1]characters!$A:$A),MATCH("タイプ",[1]characters!$1:$1,0)-MATCH($F$1,[1]characters!$2:$2,0)+2),MATCH("タイプ",[1]characters!$1:$1,0)-MATCH($F$1,[1]characters!$2:$2,0)+2,FALSE)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5" s="10" t="str">
        <f ca="1">VLOOKUP($F115,OFFSET([1]characters!$A$2,0,0,COUNTA([1]characters!$A:$A),MATCH($L$1,[1]characters!$1:$1,0)-MATCH($F$1,[1]characters!$2:$2,0)+2),MATCH($L$1,[1]characters!$1:$1,0)-MATCH($F$1,[1]characters!$2:$2,0)+2,FALSE)</f>
        <v>ヒューマン</v>
      </c>
      <c r="M115" s="6">
        <v>1</v>
      </c>
      <c r="N115" s="40">
        <f ca="1">VLOOKUP(D115,gacha_133_base!A:B,2,FALSE)</f>
        <v>2433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4"/>
        <v>01381</v>
      </c>
      <c r="B116" s="2">
        <f t="shared" si="7"/>
        <v>134</v>
      </c>
      <c r="C116" s="10" t="str">
        <f t="shared" ca="1" si="5"/>
        <v>0PremiumW3</v>
      </c>
      <c r="D116" s="10" t="str">
        <f t="shared" ca="1" si="6"/>
        <v>0PremiumW3</v>
      </c>
      <c r="E116" s="6">
        <v>0</v>
      </c>
      <c r="F116" s="7">
        <v>138</v>
      </c>
      <c r="G116" s="10" t="str">
        <f ca="1">VLOOKUP($F116,OFFSET([1]characters!$A$2,0,0,COUNTA([1]characters!$A:$A),MATCH(G$1,[1]characters!$2:$2,0)-MATCH($F$1,[1]characters!$2:$2,0)+1),MATCH(G$1,[1]characters!$2:$2,0)-MATCH($F$1,[1]characters!$2:$2,0)+1,FALSE)</f>
        <v>蒼薙のトモエ</v>
      </c>
      <c r="H116" s="10" t="str">
        <f ca="1">VLOOKUP($F116,OFFSET([1]characters!$A$2,0,0,COUNTA([1]characters!$A:$A),MATCH(H$1,[1]characters!$2:$2,0)-MATCH($F$1,[1]characters!$2:$2,0)+1),MATCH(H$1,[1]characters!$2:$2,0)-MATCH($F$1,[1]characters!$2:$2,0)+1,FALSE)</f>
        <v>PremiumW</v>
      </c>
      <c r="I116" s="10">
        <f ca="1">VLOOKUP($F116,OFFSET([1]characters!$A$2,0,0,COUNTA([1]characters!$A:$A),MATCH(I$1,[1]characters!$2:$2,0)-MATCH($F$1,[1]characters!$2:$2,0)+1),MATCH(I$1,[1]characters!$2:$2,0)-MATCH($F$1,[1]characters!$2:$2,0)+1,FALSE)</f>
        <v>3</v>
      </c>
      <c r="J116" s="10" t="str">
        <f ca="1">VLOOKUP($F116,OFFSET([1]characters!$A$2,0,0,COUNTA([1]characters!$A:$A),MATCH(J$1,[1]characters!$2:$2,0)-MATCH($F$1,[1]characters!$2:$2,0)+1),MATCH(J$1,[1]characters!$2:$2,0)-MATCH($F$1,[1]characters!$2:$2,0)+1,FALSE)</f>
        <v>blue</v>
      </c>
      <c r="K116" s="10" t="str">
        <f ca="1">VLOOKUP($F116,OFFSET([1]characters!$A$2,0,0,COUNTA([1]characters!$A:$A),MATCH("タイプ",[1]characters!$1:$1,0)-MATCH($F$1,[1]characters!$2:$2,0)+2),MATCH("タイプ",[1]characters!$1:$1,0)-MATCH($F$1,[1]characters!$2:$2,0)+2,FALSE)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6" s="10" t="str">
        <f ca="1">VLOOKUP($F116,OFFSET([1]characters!$A$2,0,0,COUNTA([1]characters!$A:$A),MATCH($L$1,[1]characters!$1:$1,0)-MATCH($F$1,[1]characters!$2:$2,0)+2),MATCH($L$1,[1]characters!$1:$1,0)-MATCH($F$1,[1]characters!$2:$2,0)+2,FALSE)</f>
        <v>ヒューマン</v>
      </c>
      <c r="M116" s="6">
        <v>1</v>
      </c>
      <c r="N116" s="40">
        <f ca="1">VLOOKUP(D116,gacha_133_base!A:B,2,FALSE)</f>
        <v>2433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4"/>
        <v>01401</v>
      </c>
      <c r="B117" s="2">
        <f t="shared" si="7"/>
        <v>134</v>
      </c>
      <c r="C117" s="10" t="str">
        <f t="shared" ca="1" si="5"/>
        <v>0PremiumW3</v>
      </c>
      <c r="D117" s="10" t="str">
        <f t="shared" ca="1" si="6"/>
        <v>0PremiumW3</v>
      </c>
      <c r="E117" s="6">
        <v>0</v>
      </c>
      <c r="F117" s="7">
        <v>140</v>
      </c>
      <c r="G117" s="10" t="str">
        <f ca="1">VLOOKUP($F117,OFFSET([1]characters!$A$2,0,0,COUNTA([1]characters!$A:$A),MATCH(G$1,[1]characters!$2:$2,0)-MATCH($F$1,[1]characters!$2:$2,0)+1),MATCH(G$1,[1]characters!$2:$2,0)-MATCH($F$1,[1]characters!$2:$2,0)+1,FALSE)</f>
        <v>秋祭のタマモ</v>
      </c>
      <c r="H117" s="10" t="str">
        <f ca="1">VLOOKUP($F117,OFFSET([1]characters!$A$2,0,0,COUNTA([1]characters!$A:$A),MATCH(H$1,[1]characters!$2:$2,0)-MATCH($F$1,[1]characters!$2:$2,0)+1),MATCH(H$1,[1]characters!$2:$2,0)-MATCH($F$1,[1]characters!$2:$2,0)+1,FALSE)</f>
        <v>PremiumW</v>
      </c>
      <c r="I117" s="10">
        <f ca="1">VLOOKUP($F117,OFFSET([1]characters!$A$2,0,0,COUNTA([1]characters!$A:$A),MATCH(I$1,[1]characters!$2:$2,0)-MATCH($F$1,[1]characters!$2:$2,0)+1),MATCH(I$1,[1]characters!$2:$2,0)-MATCH($F$1,[1]characters!$2:$2,0)+1,FALSE)</f>
        <v>3</v>
      </c>
      <c r="J117" s="10" t="str">
        <f ca="1">VLOOKUP($F117,OFFSET([1]characters!$A$2,0,0,COUNTA([1]characters!$A:$A),MATCH(J$1,[1]characters!$2:$2,0)-MATCH($F$1,[1]characters!$2:$2,0)+1),MATCH(J$1,[1]characters!$2:$2,0)-MATCH($F$1,[1]characters!$2:$2,0)+1,FALSE)</f>
        <v>yellow</v>
      </c>
      <c r="K117" s="10" t="str">
        <f ca="1">VLOOKUP($F117,OFFSET([1]characters!$A$2,0,0,COUNTA([1]characters!$A:$A),MATCH("タイプ",[1]characters!$1:$1,0)-MATCH($F$1,[1]characters!$2:$2,0)+2),MATCH("タイプ",[1]characters!$1:$1,0)-MATCH($F$1,[1]characters!$2:$2,0)+2,FALSE)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7" s="10" t="str">
        <f ca="1">VLOOKUP($F117,OFFSET([1]characters!$A$2,0,0,COUNTA([1]characters!$A:$A),MATCH($L$1,[1]characters!$1:$1,0)-MATCH($F$1,[1]characters!$2:$2,0)+2),MATCH($L$1,[1]characters!$1:$1,0)-MATCH($F$1,[1]characters!$2:$2,0)+2,FALSE)</f>
        <v>アニマル</v>
      </c>
      <c r="M117" s="6">
        <v>1</v>
      </c>
      <c r="N117" s="40">
        <f ca="1">VLOOKUP(D117,gacha_133_base!A:B,2,FALSE)</f>
        <v>2433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4"/>
        <v>01421</v>
      </c>
      <c r="B118" s="2">
        <f t="shared" si="7"/>
        <v>134</v>
      </c>
      <c r="C118" s="10" t="str">
        <f t="shared" ca="1" si="5"/>
        <v>0PremiumW3</v>
      </c>
      <c r="D118" s="10" t="str">
        <f t="shared" ca="1" si="6"/>
        <v>0PremiumW3</v>
      </c>
      <c r="E118" s="6">
        <v>0</v>
      </c>
      <c r="F118" s="7">
        <v>142</v>
      </c>
      <c r="G118" s="10" t="str">
        <f ca="1">VLOOKUP($F118,OFFSET([1]characters!$A$2,0,0,COUNTA([1]characters!$A:$A),MATCH(G$1,[1]characters!$2:$2,0)-MATCH($F$1,[1]characters!$2:$2,0)+1),MATCH(G$1,[1]characters!$2:$2,0)-MATCH($F$1,[1]characters!$2:$2,0)+1,FALSE)</f>
        <v>赤ずきん</v>
      </c>
      <c r="H118" s="10" t="str">
        <f ca="1">VLOOKUP($F118,OFFSET([1]characters!$A$2,0,0,COUNTA([1]characters!$A:$A),MATCH(H$1,[1]characters!$2:$2,0)-MATCH($F$1,[1]characters!$2:$2,0)+1),MATCH(H$1,[1]characters!$2:$2,0)-MATCH($F$1,[1]characters!$2:$2,0)+1,FALSE)</f>
        <v>PremiumW</v>
      </c>
      <c r="I118" s="10">
        <f ca="1">VLOOKUP($F118,OFFSET([1]characters!$A$2,0,0,COUNTA([1]characters!$A:$A),MATCH(I$1,[1]characters!$2:$2,0)-MATCH($F$1,[1]characters!$2:$2,0)+1),MATCH(I$1,[1]characters!$2:$2,0)-MATCH($F$1,[1]characters!$2:$2,0)+1,FALSE)</f>
        <v>3</v>
      </c>
      <c r="J118" s="10" t="str">
        <f ca="1">VLOOKUP($F118,OFFSET([1]characters!$A$2,0,0,COUNTA([1]characters!$A:$A),MATCH(J$1,[1]characters!$2:$2,0)-MATCH($F$1,[1]characters!$2:$2,0)+1),MATCH(J$1,[1]characters!$2:$2,0)-MATCH($F$1,[1]characters!$2:$2,0)+1,FALSE)</f>
        <v>red</v>
      </c>
      <c r="K118" s="10" t="str">
        <f ca="1">VLOOKUP($F118,OFFSET([1]characters!$A$2,0,0,COUNTA([1]characters!$A:$A),MATCH("タイプ",[1]characters!$1:$1,0)-MATCH($F$1,[1]characters!$2:$2,0)+2),MATCH("タイプ",[1]characters!$1:$1,0)-MATCH($F$1,[1]characters!$2:$2,0)+2,FALSE)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8" s="10" t="str">
        <f ca="1">VLOOKUP($F118,OFFSET([1]characters!$A$2,0,0,COUNTA([1]characters!$A:$A),MATCH($L$1,[1]characters!$1:$1,0)-MATCH($F$1,[1]characters!$2:$2,0)+2),MATCH($L$1,[1]characters!$1:$1,0)-MATCH($F$1,[1]characters!$2:$2,0)+2,FALSE)</f>
        <v>ヒューマン</v>
      </c>
      <c r="M118" s="6">
        <v>1</v>
      </c>
      <c r="N118" s="40">
        <f ca="1">VLOOKUP(D118,gacha_133_base!A:B,2,FALSE)</f>
        <v>2433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4"/>
        <v>01441</v>
      </c>
      <c r="B119" s="2">
        <f t="shared" si="7"/>
        <v>134</v>
      </c>
      <c r="C119" s="10" t="str">
        <f t="shared" ca="1" si="5"/>
        <v>0PremiumW3</v>
      </c>
      <c r="D119" s="10" t="str">
        <f t="shared" ca="1" si="6"/>
        <v>0PremiumW3</v>
      </c>
      <c r="E119" s="6">
        <v>0</v>
      </c>
      <c r="F119" s="7">
        <v>144</v>
      </c>
      <c r="G119" s="10" t="str">
        <f ca="1">VLOOKUP($F119,OFFSET([1]characters!$A$2,0,0,COUNTA([1]characters!$A:$A),MATCH(G$1,[1]characters!$2:$2,0)-MATCH($F$1,[1]characters!$2:$2,0)+1),MATCH(G$1,[1]characters!$2:$2,0)-MATCH($F$1,[1]characters!$2:$2,0)+1,FALSE)</f>
        <v>かぐや</v>
      </c>
      <c r="H119" s="10" t="str">
        <f ca="1">VLOOKUP($F119,OFFSET([1]characters!$A$2,0,0,COUNTA([1]characters!$A:$A),MATCH(H$1,[1]characters!$2:$2,0)-MATCH($F$1,[1]characters!$2:$2,0)+1),MATCH(H$1,[1]characters!$2:$2,0)-MATCH($F$1,[1]characters!$2:$2,0)+1,FALSE)</f>
        <v>PremiumW</v>
      </c>
      <c r="I119" s="10">
        <f ca="1">VLOOKUP($F119,OFFSET([1]characters!$A$2,0,0,COUNTA([1]characters!$A:$A),MATCH(I$1,[1]characters!$2:$2,0)-MATCH($F$1,[1]characters!$2:$2,0)+1),MATCH(I$1,[1]characters!$2:$2,0)-MATCH($F$1,[1]characters!$2:$2,0)+1,FALSE)</f>
        <v>3</v>
      </c>
      <c r="J119" s="10" t="str">
        <f ca="1">VLOOKUP($F119,OFFSET([1]characters!$A$2,0,0,COUNTA([1]characters!$A:$A),MATCH(J$1,[1]characters!$2:$2,0)-MATCH($F$1,[1]characters!$2:$2,0)+1),MATCH(J$1,[1]characters!$2:$2,0)-MATCH($F$1,[1]characters!$2:$2,0)+1,FALSE)</f>
        <v>green</v>
      </c>
      <c r="K119" s="10" t="str">
        <f ca="1">VLOOKUP($F119,OFFSET([1]characters!$A$2,0,0,COUNTA([1]characters!$A:$A),MATCH("タイプ",[1]characters!$1:$1,0)-MATCH($F$1,[1]characters!$2:$2,0)+2),MATCH("タイプ",[1]characters!$1:$1,0)-MATCH($F$1,[1]characters!$2:$2,0)+2,FALSE)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9" s="10" t="str">
        <f ca="1">VLOOKUP($F119,OFFSET([1]characters!$A$2,0,0,COUNTA([1]characters!$A:$A),MATCH($L$1,[1]characters!$1:$1,0)-MATCH($F$1,[1]characters!$2:$2,0)+2),MATCH($L$1,[1]characters!$1:$1,0)-MATCH($F$1,[1]characters!$2:$2,0)+2,FALSE)</f>
        <v>ヒューマン</v>
      </c>
      <c r="M119" s="6">
        <v>1</v>
      </c>
      <c r="N119" s="40">
        <f ca="1">VLOOKUP(D119,gacha_133_base!A:B,2,FALSE)</f>
        <v>2433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4"/>
        <v>01461</v>
      </c>
      <c r="B120" s="2">
        <f t="shared" si="7"/>
        <v>134</v>
      </c>
      <c r="C120" s="10" t="str">
        <f t="shared" ca="1" si="5"/>
        <v>0PremiumW3</v>
      </c>
      <c r="D120" s="10" t="str">
        <f t="shared" ca="1" si="6"/>
        <v>0PremiumW3</v>
      </c>
      <c r="E120" s="6">
        <v>0</v>
      </c>
      <c r="F120" s="7">
        <v>146</v>
      </c>
      <c r="G120" s="10" t="str">
        <f ca="1">VLOOKUP($F120,OFFSET([1]characters!$A$2,0,0,COUNTA([1]characters!$A:$A),MATCH(G$1,[1]characters!$2:$2,0)-MATCH($F$1,[1]characters!$2:$2,0)+1),MATCH(G$1,[1]characters!$2:$2,0)-MATCH($F$1,[1]characters!$2:$2,0)+1,FALSE)</f>
        <v>マーメイド</v>
      </c>
      <c r="H120" s="10" t="str">
        <f ca="1">VLOOKUP($F120,OFFSET([1]characters!$A$2,0,0,COUNTA([1]characters!$A:$A),MATCH(H$1,[1]characters!$2:$2,0)-MATCH($F$1,[1]characters!$2:$2,0)+1),MATCH(H$1,[1]characters!$2:$2,0)-MATCH($F$1,[1]characters!$2:$2,0)+1,FALSE)</f>
        <v>PremiumW</v>
      </c>
      <c r="I120" s="10">
        <f ca="1">VLOOKUP($F120,OFFSET([1]characters!$A$2,0,0,COUNTA([1]characters!$A:$A),MATCH(I$1,[1]characters!$2:$2,0)-MATCH($F$1,[1]characters!$2:$2,0)+1),MATCH(I$1,[1]characters!$2:$2,0)-MATCH($F$1,[1]characters!$2:$2,0)+1,FALSE)</f>
        <v>3</v>
      </c>
      <c r="J120" s="10" t="str">
        <f ca="1">VLOOKUP($F120,OFFSET([1]characters!$A$2,0,0,COUNTA([1]characters!$A:$A),MATCH(J$1,[1]characters!$2:$2,0)-MATCH($F$1,[1]characters!$2:$2,0)+1),MATCH(J$1,[1]characters!$2:$2,0)-MATCH($F$1,[1]characters!$2:$2,0)+1,FALSE)</f>
        <v>blue</v>
      </c>
      <c r="K120" s="10" t="str">
        <f ca="1">VLOOKUP($F120,OFFSET([1]characters!$A$2,0,0,COUNTA([1]characters!$A:$A),MATCH("タイプ",[1]characters!$1:$1,0)-MATCH($F$1,[1]characters!$2:$2,0)+2),MATCH("タイプ",[1]characters!$1:$1,0)-MATCH($F$1,[1]characters!$2:$2,0)+2,FALSE)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0" s="10" t="str">
        <f ca="1">VLOOKUP($F120,OFFSET([1]characters!$A$2,0,0,COUNTA([1]characters!$A:$A),MATCH($L$1,[1]characters!$1:$1,0)-MATCH($F$1,[1]characters!$2:$2,0)+2),MATCH($L$1,[1]characters!$1:$1,0)-MATCH($F$1,[1]characters!$2:$2,0)+2,FALSE)</f>
        <v>ヒューマン</v>
      </c>
      <c r="M120" s="6">
        <v>1</v>
      </c>
      <c r="N120" s="40">
        <f ca="1">VLOOKUP(D120,gacha_133_base!A:B,2,FALSE)</f>
        <v>2433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si="4"/>
        <v>01481</v>
      </c>
      <c r="B121" s="2">
        <f t="shared" si="7"/>
        <v>134</v>
      </c>
      <c r="C121" s="10" t="str">
        <f t="shared" ca="1" si="5"/>
        <v>0PremiumW3</v>
      </c>
      <c r="D121" s="10" t="str">
        <f t="shared" ca="1" si="6"/>
        <v>0PremiumW3</v>
      </c>
      <c r="E121" s="6">
        <v>0</v>
      </c>
      <c r="F121" s="7">
        <v>148</v>
      </c>
      <c r="G121" s="10" t="str">
        <f ca="1">VLOOKUP($F121,OFFSET([1]characters!$A$2,0,0,COUNTA([1]characters!$A:$A),MATCH(G$1,[1]characters!$2:$2,0)-MATCH($F$1,[1]characters!$2:$2,0)+1),MATCH(G$1,[1]characters!$2:$2,0)-MATCH($F$1,[1]characters!$2:$2,0)+1,FALSE)</f>
        <v>シンデレラ</v>
      </c>
      <c r="H121" s="10" t="str">
        <f ca="1">VLOOKUP($F121,OFFSET([1]characters!$A$2,0,0,COUNTA([1]characters!$A:$A),MATCH(H$1,[1]characters!$2:$2,0)-MATCH($F$1,[1]characters!$2:$2,0)+1),MATCH(H$1,[1]characters!$2:$2,0)-MATCH($F$1,[1]characters!$2:$2,0)+1,FALSE)</f>
        <v>PremiumW</v>
      </c>
      <c r="I121" s="10">
        <f ca="1">VLOOKUP($F121,OFFSET([1]characters!$A$2,0,0,COUNTA([1]characters!$A:$A),MATCH(I$1,[1]characters!$2:$2,0)-MATCH($F$1,[1]characters!$2:$2,0)+1),MATCH(I$1,[1]characters!$2:$2,0)-MATCH($F$1,[1]characters!$2:$2,0)+1,FALSE)</f>
        <v>3</v>
      </c>
      <c r="J121" s="10" t="str">
        <f ca="1">VLOOKUP($F121,OFFSET([1]characters!$A$2,0,0,COUNTA([1]characters!$A:$A),MATCH(J$1,[1]characters!$2:$2,0)-MATCH($F$1,[1]characters!$2:$2,0)+1),MATCH(J$1,[1]characters!$2:$2,0)-MATCH($F$1,[1]characters!$2:$2,0)+1,FALSE)</f>
        <v>yellow</v>
      </c>
      <c r="K121" s="10" t="str">
        <f ca="1">VLOOKUP($F121,OFFSET([1]characters!$A$2,0,0,COUNTA([1]characters!$A:$A),MATCH("タイプ",[1]characters!$1:$1,0)-MATCH($F$1,[1]characters!$2:$2,0)+2),MATCH("タイプ",[1]characters!$1:$1,0)-MATCH($F$1,[1]characters!$2:$2,0)+2,FALSE)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1" s="10" t="str">
        <f ca="1">VLOOKUP($F121,OFFSET([1]characters!$A$2,0,0,COUNTA([1]characters!$A:$A),MATCH($L$1,[1]characters!$1:$1,0)-MATCH($F$1,[1]characters!$2:$2,0)+2),MATCH($L$1,[1]characters!$1:$1,0)-MATCH($F$1,[1]characters!$2:$2,0)+2,FALSE)</f>
        <v>ヒューマン</v>
      </c>
      <c r="M121" s="6">
        <v>1</v>
      </c>
      <c r="N121" s="40">
        <f ca="1">VLOOKUP(D121,gacha_133_base!A:B,2,FALSE)</f>
        <v>2433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4"/>
        <v>01501</v>
      </c>
      <c r="B122" s="2">
        <f t="shared" si="7"/>
        <v>134</v>
      </c>
      <c r="C122" s="10" t="str">
        <f t="shared" ca="1" si="5"/>
        <v>0PremiumW3</v>
      </c>
      <c r="D122" s="10" t="str">
        <f t="shared" ca="1" si="6"/>
        <v>0PremiumW3</v>
      </c>
      <c r="E122" s="6">
        <v>0</v>
      </c>
      <c r="F122" s="7">
        <v>150</v>
      </c>
      <c r="G122" s="10" t="str">
        <f ca="1">VLOOKUP($F122,OFFSET([1]characters!$A$2,0,0,COUNTA([1]characters!$A:$A),MATCH(G$1,[1]characters!$2:$2,0)-MATCH($F$1,[1]characters!$2:$2,0)+1),MATCH(G$1,[1]characters!$2:$2,0)-MATCH($F$1,[1]characters!$2:$2,0)+1,FALSE)</f>
        <v>ポイズンマスターサキ</v>
      </c>
      <c r="H122" s="10" t="str">
        <f ca="1">VLOOKUP($F122,OFFSET([1]characters!$A$2,0,0,COUNTA([1]characters!$A:$A),MATCH(H$1,[1]characters!$2:$2,0)-MATCH($F$1,[1]characters!$2:$2,0)+1),MATCH(H$1,[1]characters!$2:$2,0)-MATCH($F$1,[1]characters!$2:$2,0)+1,FALSE)</f>
        <v>PremiumW</v>
      </c>
      <c r="I122" s="10">
        <f ca="1">VLOOKUP($F122,OFFSET([1]characters!$A$2,0,0,COUNTA([1]characters!$A:$A),MATCH(I$1,[1]characters!$2:$2,0)-MATCH($F$1,[1]characters!$2:$2,0)+1),MATCH(I$1,[1]characters!$2:$2,0)-MATCH($F$1,[1]characters!$2:$2,0)+1,FALSE)</f>
        <v>3</v>
      </c>
      <c r="J122" s="10" t="str">
        <f ca="1">VLOOKUP($F122,OFFSET([1]characters!$A$2,0,0,COUNTA([1]characters!$A:$A),MATCH(J$1,[1]characters!$2:$2,0)-MATCH($F$1,[1]characters!$2:$2,0)+1),MATCH(J$1,[1]characters!$2:$2,0)-MATCH($F$1,[1]characters!$2:$2,0)+1,FALSE)</f>
        <v>red</v>
      </c>
      <c r="K122" s="10" t="str">
        <f ca="1">VLOOKUP($F122,OFFSET([1]characters!$A$2,0,0,COUNTA([1]characters!$A:$A),MATCH("タイプ",[1]characters!$1:$1,0)-MATCH($F$1,[1]characters!$2:$2,0)+2),MATCH("タイプ",[1]characters!$1:$1,0)-MATCH($F$1,[1]characters!$2:$2,0)+2,FALSE)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2" s="10" t="str">
        <f ca="1">VLOOKUP($F122,OFFSET([1]characters!$A$2,0,0,COUNTA([1]characters!$A:$A),MATCH($L$1,[1]characters!$1:$1,0)-MATCH($F$1,[1]characters!$2:$2,0)+2),MATCH($L$1,[1]characters!$1:$1,0)-MATCH($F$1,[1]characters!$2:$2,0)+2,FALSE)</f>
        <v>ヒューマン</v>
      </c>
      <c r="M122" s="6">
        <v>1</v>
      </c>
      <c r="N122" s="40">
        <f ca="1">VLOOKUP(D122,gacha_133_base!A:B,2,FALSE)</f>
        <v>2433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4"/>
        <v>01521</v>
      </c>
      <c r="B123" s="2">
        <f t="shared" si="7"/>
        <v>134</v>
      </c>
      <c r="C123" s="10" t="str">
        <f t="shared" ca="1" si="5"/>
        <v>0PremiumW3</v>
      </c>
      <c r="D123" s="10" t="str">
        <f t="shared" ca="1" si="6"/>
        <v>0PremiumW3</v>
      </c>
      <c r="E123" s="6">
        <v>0</v>
      </c>
      <c r="F123" s="7">
        <v>152</v>
      </c>
      <c r="G123" s="10" t="str">
        <f ca="1">VLOOKUP($F123,OFFSET([1]characters!$A$2,0,0,COUNTA([1]characters!$A:$A),MATCH(G$1,[1]characters!$2:$2,0)-MATCH($F$1,[1]characters!$2:$2,0)+1),MATCH(G$1,[1]characters!$2:$2,0)-MATCH($F$1,[1]characters!$2:$2,0)+1,FALSE)</f>
        <v>功夫少女ランラン</v>
      </c>
      <c r="H123" s="10" t="str">
        <f ca="1">VLOOKUP($F123,OFFSET([1]characters!$A$2,0,0,COUNTA([1]characters!$A:$A),MATCH(H$1,[1]characters!$2:$2,0)-MATCH($F$1,[1]characters!$2:$2,0)+1),MATCH(H$1,[1]characters!$2:$2,0)-MATCH($F$1,[1]characters!$2:$2,0)+1,FALSE)</f>
        <v>PremiumW</v>
      </c>
      <c r="I123" s="10">
        <f ca="1">VLOOKUP($F123,OFFSET([1]characters!$A$2,0,0,COUNTA([1]characters!$A:$A),MATCH(I$1,[1]characters!$2:$2,0)-MATCH($F$1,[1]characters!$2:$2,0)+1),MATCH(I$1,[1]characters!$2:$2,0)-MATCH($F$1,[1]characters!$2:$2,0)+1,FALSE)</f>
        <v>3</v>
      </c>
      <c r="J123" s="10" t="str">
        <f ca="1">VLOOKUP($F123,OFFSET([1]characters!$A$2,0,0,COUNTA([1]characters!$A:$A),MATCH(J$1,[1]characters!$2:$2,0)-MATCH($F$1,[1]characters!$2:$2,0)+1),MATCH(J$1,[1]characters!$2:$2,0)-MATCH($F$1,[1]characters!$2:$2,0)+1,FALSE)</f>
        <v>green</v>
      </c>
      <c r="K123" s="10" t="str">
        <f ca="1">VLOOKUP($F123,OFFSET([1]characters!$A$2,0,0,COUNTA([1]characters!$A:$A),MATCH("タイプ",[1]characters!$1:$1,0)-MATCH($F$1,[1]characters!$2:$2,0)+2),MATCH("タイプ",[1]characters!$1:$1,0)-MATCH($F$1,[1]characters!$2:$2,0)+2,FALSE)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3" s="10" t="str">
        <f ca="1">VLOOKUP($F123,OFFSET([1]characters!$A$2,0,0,COUNTA([1]characters!$A:$A),MATCH($L$1,[1]characters!$1:$1,0)-MATCH($F$1,[1]characters!$2:$2,0)+2),MATCH($L$1,[1]characters!$1:$1,0)-MATCH($F$1,[1]characters!$2:$2,0)+2,FALSE)</f>
        <v>ヒューマン</v>
      </c>
      <c r="M123" s="6">
        <v>1</v>
      </c>
      <c r="N123" s="40">
        <f ca="1">VLOOKUP(D123,gacha_133_base!A:B,2,FALSE)</f>
        <v>2433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4"/>
        <v>01541</v>
      </c>
      <c r="B124" s="2">
        <f t="shared" si="7"/>
        <v>134</v>
      </c>
      <c r="C124" s="10" t="str">
        <f t="shared" ca="1" si="5"/>
        <v>0PremiumW3</v>
      </c>
      <c r="D124" s="10" t="str">
        <f t="shared" ca="1" si="6"/>
        <v>0PremiumW3</v>
      </c>
      <c r="E124" s="6">
        <v>0</v>
      </c>
      <c r="F124" s="7">
        <v>154</v>
      </c>
      <c r="G124" s="10" t="str">
        <f ca="1">VLOOKUP($F124,OFFSET([1]characters!$A$2,0,0,COUNTA([1]characters!$A:$A),MATCH(G$1,[1]characters!$2:$2,0)-MATCH($F$1,[1]characters!$2:$2,0)+1),MATCH(G$1,[1]characters!$2:$2,0)-MATCH($F$1,[1]characters!$2:$2,0)+1,FALSE)</f>
        <v>始末屋 ハンナ</v>
      </c>
      <c r="H124" s="10" t="str">
        <f ca="1">VLOOKUP($F124,OFFSET([1]characters!$A$2,0,0,COUNTA([1]characters!$A:$A),MATCH(H$1,[1]characters!$2:$2,0)-MATCH($F$1,[1]characters!$2:$2,0)+1),MATCH(H$1,[1]characters!$2:$2,0)-MATCH($F$1,[1]characters!$2:$2,0)+1,FALSE)</f>
        <v>PremiumW</v>
      </c>
      <c r="I124" s="10">
        <f ca="1">VLOOKUP($F124,OFFSET([1]characters!$A$2,0,0,COUNTA([1]characters!$A:$A),MATCH(I$1,[1]characters!$2:$2,0)-MATCH($F$1,[1]characters!$2:$2,0)+1),MATCH(I$1,[1]characters!$2:$2,0)-MATCH($F$1,[1]characters!$2:$2,0)+1,FALSE)</f>
        <v>3</v>
      </c>
      <c r="J124" s="10" t="str">
        <f ca="1">VLOOKUP($F124,OFFSET([1]characters!$A$2,0,0,COUNTA([1]characters!$A:$A),MATCH(J$1,[1]characters!$2:$2,0)-MATCH($F$1,[1]characters!$2:$2,0)+1),MATCH(J$1,[1]characters!$2:$2,0)-MATCH($F$1,[1]characters!$2:$2,0)+1,FALSE)</f>
        <v>blue</v>
      </c>
      <c r="K124" s="10" t="str">
        <f ca="1">VLOOKUP($F124,OFFSET([1]characters!$A$2,0,0,COUNTA([1]characters!$A:$A),MATCH("タイプ",[1]characters!$1:$1,0)-MATCH($F$1,[1]characters!$2:$2,0)+2),MATCH("タイプ",[1]characters!$1:$1,0)-MATCH($F$1,[1]characters!$2:$2,0)+2,FALSE)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4" s="10" t="str">
        <f ca="1">VLOOKUP($F124,OFFSET([1]characters!$A$2,0,0,COUNTA([1]characters!$A:$A),MATCH($L$1,[1]characters!$1:$1,0)-MATCH($F$1,[1]characters!$2:$2,0)+2),MATCH($L$1,[1]characters!$1:$1,0)-MATCH($F$1,[1]characters!$2:$2,0)+2,FALSE)</f>
        <v>ヒューマン</v>
      </c>
      <c r="M124" s="6">
        <v>1</v>
      </c>
      <c r="N124" s="40">
        <f ca="1">VLOOKUP(D124,gacha_133_base!A:B,2,FALSE)</f>
        <v>2433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4"/>
        <v>01561</v>
      </c>
      <c r="B125" s="2">
        <f t="shared" si="7"/>
        <v>134</v>
      </c>
      <c r="C125" s="10" t="str">
        <f t="shared" ca="1" si="5"/>
        <v>0PremiumW3</v>
      </c>
      <c r="D125" s="10" t="str">
        <f t="shared" ca="1" si="6"/>
        <v>0PremiumW3</v>
      </c>
      <c r="E125" s="6">
        <v>0</v>
      </c>
      <c r="F125" s="7">
        <v>156</v>
      </c>
      <c r="G125" s="10" t="str">
        <f ca="1">VLOOKUP($F125,OFFSET([1]characters!$A$2,0,0,COUNTA([1]characters!$A:$A),MATCH(G$1,[1]characters!$2:$2,0)-MATCH($F$1,[1]characters!$2:$2,0)+1),MATCH(G$1,[1]characters!$2:$2,0)-MATCH($F$1,[1]characters!$2:$2,0)+1,FALSE)</f>
        <v>踊り子 エレナ</v>
      </c>
      <c r="H125" s="10" t="str">
        <f ca="1">VLOOKUP($F125,OFFSET([1]characters!$A$2,0,0,COUNTA([1]characters!$A:$A),MATCH(H$1,[1]characters!$2:$2,0)-MATCH($F$1,[1]characters!$2:$2,0)+1),MATCH(H$1,[1]characters!$2:$2,0)-MATCH($F$1,[1]characters!$2:$2,0)+1,FALSE)</f>
        <v>PremiumW</v>
      </c>
      <c r="I125" s="10">
        <f ca="1">VLOOKUP($F125,OFFSET([1]characters!$A$2,0,0,COUNTA([1]characters!$A:$A),MATCH(I$1,[1]characters!$2:$2,0)-MATCH($F$1,[1]characters!$2:$2,0)+1),MATCH(I$1,[1]characters!$2:$2,0)-MATCH($F$1,[1]characters!$2:$2,0)+1,FALSE)</f>
        <v>3</v>
      </c>
      <c r="J125" s="10" t="str">
        <f ca="1">VLOOKUP($F125,OFFSET([1]characters!$A$2,0,0,COUNTA([1]characters!$A:$A),MATCH(J$1,[1]characters!$2:$2,0)-MATCH($F$1,[1]characters!$2:$2,0)+1),MATCH(J$1,[1]characters!$2:$2,0)-MATCH($F$1,[1]characters!$2:$2,0)+1,FALSE)</f>
        <v>yellow</v>
      </c>
      <c r="K125" s="10" t="str">
        <f ca="1">VLOOKUP($F125,OFFSET([1]characters!$A$2,0,0,COUNTA([1]characters!$A:$A),MATCH("タイプ",[1]characters!$1:$1,0)-MATCH($F$1,[1]characters!$2:$2,0)+2),MATCH("タイプ",[1]characters!$1:$1,0)-MATCH($F$1,[1]characters!$2:$2,0)+2,FALSE)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5" s="10" t="str">
        <f ca="1">VLOOKUP($F125,OFFSET([1]characters!$A$2,0,0,COUNTA([1]characters!$A:$A),MATCH($L$1,[1]characters!$1:$1,0)-MATCH($F$1,[1]characters!$2:$2,0)+2),MATCH($L$1,[1]characters!$1:$1,0)-MATCH($F$1,[1]characters!$2:$2,0)+2,FALSE)</f>
        <v>ヒューマン</v>
      </c>
      <c r="M125" s="6">
        <v>1</v>
      </c>
      <c r="N125" s="40">
        <f ca="1">VLOOKUP(D125,gacha_133_base!A:B,2,FALSE)</f>
        <v>2433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4"/>
        <v>01581</v>
      </c>
      <c r="B126" s="2">
        <f t="shared" si="7"/>
        <v>134</v>
      </c>
      <c r="C126" s="10" t="str">
        <f t="shared" ca="1" si="5"/>
        <v>0PremiumW3</v>
      </c>
      <c r="D126" s="10" t="str">
        <f t="shared" ca="1" si="6"/>
        <v>0PremiumW3</v>
      </c>
      <c r="E126" s="6">
        <v>0</v>
      </c>
      <c r="F126" s="7">
        <v>158</v>
      </c>
      <c r="G126" s="10" t="str">
        <f ca="1">VLOOKUP($F126,OFFSET([1]characters!$A$2,0,0,COUNTA([1]characters!$A:$A),MATCH(G$1,[1]characters!$2:$2,0)-MATCH($F$1,[1]characters!$2:$2,0)+1),MATCH(G$1,[1]characters!$2:$2,0)-MATCH($F$1,[1]characters!$2:$2,0)+1,FALSE)</f>
        <v>シスター シャルロッテ</v>
      </c>
      <c r="H126" s="10" t="str">
        <f ca="1">VLOOKUP($F126,OFFSET([1]characters!$A$2,0,0,COUNTA([1]characters!$A:$A),MATCH(H$1,[1]characters!$2:$2,0)-MATCH($F$1,[1]characters!$2:$2,0)+1),MATCH(H$1,[1]characters!$2:$2,0)-MATCH($F$1,[1]characters!$2:$2,0)+1,FALSE)</f>
        <v>PremiumW</v>
      </c>
      <c r="I126" s="10">
        <f ca="1">VLOOKUP($F126,OFFSET([1]characters!$A$2,0,0,COUNTA([1]characters!$A:$A),MATCH(I$1,[1]characters!$2:$2,0)-MATCH($F$1,[1]characters!$2:$2,0)+1),MATCH(I$1,[1]characters!$2:$2,0)-MATCH($F$1,[1]characters!$2:$2,0)+1,FALSE)</f>
        <v>3</v>
      </c>
      <c r="J126" s="10" t="str">
        <f ca="1">VLOOKUP($F126,OFFSET([1]characters!$A$2,0,0,COUNTA([1]characters!$A:$A),MATCH(J$1,[1]characters!$2:$2,0)-MATCH($F$1,[1]characters!$2:$2,0)+1),MATCH(J$1,[1]characters!$2:$2,0)-MATCH($F$1,[1]characters!$2:$2,0)+1,FALSE)</f>
        <v>red</v>
      </c>
      <c r="K126" s="10" t="str">
        <f ca="1">VLOOKUP($F126,OFFSET([1]characters!$A$2,0,0,COUNTA([1]characters!$A:$A),MATCH("タイプ",[1]characters!$1:$1,0)-MATCH($F$1,[1]characters!$2:$2,0)+2),MATCH("タイプ",[1]characters!$1:$1,0)-MATCH($F$1,[1]characters!$2:$2,0)+2,FALSE)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6" s="10" t="str">
        <f ca="1">VLOOKUP($F126,OFFSET([1]characters!$A$2,0,0,COUNTA([1]characters!$A:$A),MATCH($L$1,[1]characters!$1:$1,0)-MATCH($F$1,[1]characters!$2:$2,0)+2),MATCH($L$1,[1]characters!$1:$1,0)-MATCH($F$1,[1]characters!$2:$2,0)+2,FALSE)</f>
        <v>ヒューマン</v>
      </c>
      <c r="M126" s="6">
        <v>1</v>
      </c>
      <c r="N126" s="40">
        <f ca="1">VLOOKUP(D126,gacha_133_base!A:B,2,FALSE)</f>
        <v>2433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4"/>
        <v>01601</v>
      </c>
      <c r="B127" s="2">
        <f t="shared" si="7"/>
        <v>134</v>
      </c>
      <c r="C127" s="10" t="str">
        <f t="shared" ca="1" si="5"/>
        <v>0PremiumW3</v>
      </c>
      <c r="D127" s="10" t="str">
        <f t="shared" ca="1" si="6"/>
        <v>0PremiumW3</v>
      </c>
      <c r="E127" s="6">
        <v>0</v>
      </c>
      <c r="F127" s="7">
        <v>160</v>
      </c>
      <c r="G127" s="10" t="str">
        <f ca="1">VLOOKUP($F127,OFFSET([1]characters!$A$2,0,0,COUNTA([1]characters!$A:$A),MATCH(G$1,[1]characters!$2:$2,0)-MATCH($F$1,[1]characters!$2:$2,0)+1),MATCH(G$1,[1]characters!$2:$2,0)-MATCH($F$1,[1]characters!$2:$2,0)+1,FALSE)</f>
        <v>反逆者 クリエ</v>
      </c>
      <c r="H127" s="10" t="str">
        <f ca="1">VLOOKUP($F127,OFFSET([1]characters!$A$2,0,0,COUNTA([1]characters!$A:$A),MATCH(H$1,[1]characters!$2:$2,0)-MATCH($F$1,[1]characters!$2:$2,0)+1),MATCH(H$1,[1]characters!$2:$2,0)-MATCH($F$1,[1]characters!$2:$2,0)+1,FALSE)</f>
        <v>PremiumW</v>
      </c>
      <c r="I127" s="10">
        <f ca="1">VLOOKUP($F127,OFFSET([1]characters!$A$2,0,0,COUNTA([1]characters!$A:$A),MATCH(I$1,[1]characters!$2:$2,0)-MATCH($F$1,[1]characters!$2:$2,0)+1),MATCH(I$1,[1]characters!$2:$2,0)-MATCH($F$1,[1]characters!$2:$2,0)+1,FALSE)</f>
        <v>3</v>
      </c>
      <c r="J127" s="10" t="str">
        <f ca="1">VLOOKUP($F127,OFFSET([1]characters!$A$2,0,0,COUNTA([1]characters!$A:$A),MATCH(J$1,[1]characters!$2:$2,0)-MATCH($F$1,[1]characters!$2:$2,0)+1),MATCH(J$1,[1]characters!$2:$2,0)-MATCH($F$1,[1]characters!$2:$2,0)+1,FALSE)</f>
        <v>green</v>
      </c>
      <c r="K127" s="10" t="str">
        <f ca="1">VLOOKUP($F127,OFFSET([1]characters!$A$2,0,0,COUNTA([1]characters!$A:$A),MATCH("タイプ",[1]characters!$1:$1,0)-MATCH($F$1,[1]characters!$2:$2,0)+2),MATCH("タイプ",[1]characters!$1:$1,0)-MATCH($F$1,[1]characters!$2:$2,0)+2,FALSE)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7" s="10" t="str">
        <f ca="1">VLOOKUP($F127,OFFSET([1]characters!$A$2,0,0,COUNTA([1]characters!$A:$A),MATCH($L$1,[1]characters!$1:$1,0)-MATCH($F$1,[1]characters!$2:$2,0)+2),MATCH($L$1,[1]characters!$1:$1,0)-MATCH($F$1,[1]characters!$2:$2,0)+2,FALSE)</f>
        <v>ヒューマン</v>
      </c>
      <c r="M127" s="6">
        <v>1</v>
      </c>
      <c r="N127" s="40">
        <f ca="1">VLOOKUP(D127,gacha_133_base!A:B,2,FALSE)</f>
        <v>2433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4"/>
        <v>01621</v>
      </c>
      <c r="B128" s="2">
        <f t="shared" si="7"/>
        <v>134</v>
      </c>
      <c r="C128" s="10" t="str">
        <f t="shared" ca="1" si="5"/>
        <v>0PremiumW3</v>
      </c>
      <c r="D128" s="10" t="str">
        <f t="shared" ca="1" si="6"/>
        <v>0PremiumW3</v>
      </c>
      <c r="E128" s="6">
        <v>0</v>
      </c>
      <c r="F128" s="7">
        <v>162</v>
      </c>
      <c r="G128" s="10" t="str">
        <f ca="1">VLOOKUP($F128,OFFSET([1]characters!$A$2,0,0,COUNTA([1]characters!$A:$A),MATCH(G$1,[1]characters!$2:$2,0)-MATCH($F$1,[1]characters!$2:$2,0)+1),MATCH(G$1,[1]characters!$2:$2,0)-MATCH($F$1,[1]characters!$2:$2,0)+1,FALSE)</f>
        <v>狂女 クララ</v>
      </c>
      <c r="H128" s="10" t="str">
        <f ca="1">VLOOKUP($F128,OFFSET([1]characters!$A$2,0,0,COUNTA([1]characters!$A:$A),MATCH(H$1,[1]characters!$2:$2,0)-MATCH($F$1,[1]characters!$2:$2,0)+1),MATCH(H$1,[1]characters!$2:$2,0)-MATCH($F$1,[1]characters!$2:$2,0)+1,FALSE)</f>
        <v>PremiumW</v>
      </c>
      <c r="I128" s="10">
        <f ca="1">VLOOKUP($F128,OFFSET([1]characters!$A$2,0,0,COUNTA([1]characters!$A:$A),MATCH(I$1,[1]characters!$2:$2,0)-MATCH($F$1,[1]characters!$2:$2,0)+1),MATCH(I$1,[1]characters!$2:$2,0)-MATCH($F$1,[1]characters!$2:$2,0)+1,FALSE)</f>
        <v>3</v>
      </c>
      <c r="J128" s="10" t="str">
        <f ca="1">VLOOKUP($F128,OFFSET([1]characters!$A$2,0,0,COUNTA([1]characters!$A:$A),MATCH(J$1,[1]characters!$2:$2,0)-MATCH($F$1,[1]characters!$2:$2,0)+1),MATCH(J$1,[1]characters!$2:$2,0)-MATCH($F$1,[1]characters!$2:$2,0)+1,FALSE)</f>
        <v>blue</v>
      </c>
      <c r="K128" s="10" t="str">
        <f ca="1">VLOOKUP($F128,OFFSET([1]characters!$A$2,0,0,COUNTA([1]characters!$A:$A),MATCH("タイプ",[1]characters!$1:$1,0)-MATCH($F$1,[1]characters!$2:$2,0)+2),MATCH("タイプ",[1]characters!$1:$1,0)-MATCH($F$1,[1]characters!$2:$2,0)+2,FALSE)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8" s="10" t="str">
        <f ca="1">VLOOKUP($F128,OFFSET([1]characters!$A$2,0,0,COUNTA([1]characters!$A:$A),MATCH($L$1,[1]characters!$1:$1,0)-MATCH($F$1,[1]characters!$2:$2,0)+2),MATCH($L$1,[1]characters!$1:$1,0)-MATCH($F$1,[1]characters!$2:$2,0)+2,FALSE)</f>
        <v>ヒューマン</v>
      </c>
      <c r="M128" s="6">
        <v>1</v>
      </c>
      <c r="N128" s="40">
        <f ca="1">VLOOKUP(D128,gacha_133_base!A:B,2,FALSE)</f>
        <v>2433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4"/>
        <v>01641</v>
      </c>
      <c r="B129" s="2">
        <f t="shared" si="7"/>
        <v>134</v>
      </c>
      <c r="C129" s="10" t="str">
        <f t="shared" ca="1" si="5"/>
        <v>0PremiumW3</v>
      </c>
      <c r="D129" s="10" t="str">
        <f t="shared" ca="1" si="6"/>
        <v>0PremiumW3</v>
      </c>
      <c r="E129" s="6">
        <v>0</v>
      </c>
      <c r="F129" s="7">
        <v>164</v>
      </c>
      <c r="G129" s="10" t="str">
        <f ca="1">VLOOKUP($F129,OFFSET([1]characters!$A$2,0,0,COUNTA([1]characters!$A:$A),MATCH(G$1,[1]characters!$2:$2,0)-MATCH($F$1,[1]characters!$2:$2,0)+1),MATCH(G$1,[1]characters!$2:$2,0)-MATCH($F$1,[1]characters!$2:$2,0)+1,FALSE)</f>
        <v>イブとトモダチ</v>
      </c>
      <c r="H129" s="10" t="str">
        <f ca="1">VLOOKUP($F129,OFFSET([1]characters!$A$2,0,0,COUNTA([1]characters!$A:$A),MATCH(H$1,[1]characters!$2:$2,0)-MATCH($F$1,[1]characters!$2:$2,0)+1),MATCH(H$1,[1]characters!$2:$2,0)-MATCH($F$1,[1]characters!$2:$2,0)+1,FALSE)</f>
        <v>PremiumW</v>
      </c>
      <c r="I129" s="10">
        <f ca="1">VLOOKUP($F129,OFFSET([1]characters!$A$2,0,0,COUNTA([1]characters!$A:$A),MATCH(I$1,[1]characters!$2:$2,0)-MATCH($F$1,[1]characters!$2:$2,0)+1),MATCH(I$1,[1]characters!$2:$2,0)-MATCH($F$1,[1]characters!$2:$2,0)+1,FALSE)</f>
        <v>3</v>
      </c>
      <c r="J129" s="10" t="str">
        <f ca="1">VLOOKUP($F129,OFFSET([1]characters!$A$2,0,0,COUNTA([1]characters!$A:$A),MATCH(J$1,[1]characters!$2:$2,0)-MATCH($F$1,[1]characters!$2:$2,0)+1),MATCH(J$1,[1]characters!$2:$2,0)-MATCH($F$1,[1]characters!$2:$2,0)+1,FALSE)</f>
        <v>yellow</v>
      </c>
      <c r="K129" s="10" t="str">
        <f ca="1">VLOOKUP($F129,OFFSET([1]characters!$A$2,0,0,COUNTA([1]characters!$A:$A),MATCH("タイプ",[1]characters!$1:$1,0)-MATCH($F$1,[1]characters!$2:$2,0)+2),MATCH("タイプ",[1]characters!$1:$1,0)-MATCH($F$1,[1]characters!$2:$2,0)+2,FALSE)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9" s="10" t="str">
        <f ca="1">VLOOKUP($F129,OFFSET([1]characters!$A$2,0,0,COUNTA([1]characters!$A:$A),MATCH($L$1,[1]characters!$1:$1,0)-MATCH($F$1,[1]characters!$2:$2,0)+2),MATCH($L$1,[1]characters!$1:$1,0)-MATCH($F$1,[1]characters!$2:$2,0)+2,FALSE)</f>
        <v>ヒューマン</v>
      </c>
      <c r="M129" s="6">
        <v>1</v>
      </c>
      <c r="N129" s="40">
        <f ca="1">VLOOKUP(D129,gacha_133_base!A:B,2,FALSE)</f>
        <v>2433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si="4"/>
        <v>01661</v>
      </c>
      <c r="B130" s="2">
        <f t="shared" si="7"/>
        <v>134</v>
      </c>
      <c r="C130" s="10" t="str">
        <f t="shared" ca="1" si="5"/>
        <v>0PremiumN3</v>
      </c>
      <c r="D130" s="10" t="str">
        <f t="shared" ca="1" si="6"/>
        <v>0PremiumN3</v>
      </c>
      <c r="E130" s="6">
        <v>0</v>
      </c>
      <c r="F130" s="7">
        <v>166</v>
      </c>
      <c r="G130" s="10" t="str">
        <f ca="1">VLOOKUP($F130,OFFSET([1]characters!$A$2,0,0,COUNTA([1]characters!$A:$A),MATCH(G$1,[1]characters!$2:$2,0)-MATCH($F$1,[1]characters!$2:$2,0)+1),MATCH(G$1,[1]characters!$2:$2,0)-MATCH($F$1,[1]characters!$2:$2,0)+1,FALSE)</f>
        <v>ベリアル</v>
      </c>
      <c r="H130" s="10" t="str">
        <f ca="1">VLOOKUP($F130,OFFSET([1]characters!$A$2,0,0,COUNTA([1]characters!$A:$A),MATCH(H$1,[1]characters!$2:$2,0)-MATCH($F$1,[1]characters!$2:$2,0)+1),MATCH(H$1,[1]characters!$2:$2,0)-MATCH($F$1,[1]characters!$2:$2,0)+1,FALSE)</f>
        <v>PremiumN</v>
      </c>
      <c r="I130" s="10">
        <f ca="1">VLOOKUP($F130,OFFSET([1]characters!$A$2,0,0,COUNTA([1]characters!$A:$A),MATCH(I$1,[1]characters!$2:$2,0)-MATCH($F$1,[1]characters!$2:$2,0)+1),MATCH(I$1,[1]characters!$2:$2,0)-MATCH($F$1,[1]characters!$2:$2,0)+1,FALSE)</f>
        <v>3</v>
      </c>
      <c r="J130" s="10" t="str">
        <f ca="1">VLOOKUP($F130,OFFSET([1]characters!$A$2,0,0,COUNTA([1]characters!$A:$A),MATCH(J$1,[1]characters!$2:$2,0)-MATCH($F$1,[1]characters!$2:$2,0)+1),MATCH(J$1,[1]characters!$2:$2,0)-MATCH($F$1,[1]characters!$2:$2,0)+1,FALSE)</f>
        <v>red</v>
      </c>
      <c r="K130" s="10" t="str">
        <f ca="1">VLOOKUP($F130,OFFSET([1]characters!$A$2,0,0,COUNTA([1]characters!$A:$A),MATCH("タイプ",[1]characters!$1:$1,0)-MATCH($F$1,[1]characters!$2:$2,0)+2),MATCH("タイプ",[1]characters!$1:$1,0)-MATCH($F$1,[1]characters!$2:$2,0)+2,FALSE)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0" s="10" t="str">
        <f ca="1">VLOOKUP($F130,OFFSET([1]characters!$A$2,0,0,COUNTA([1]characters!$A:$A),MATCH($L$1,[1]characters!$1:$1,0)-MATCH($F$1,[1]characters!$2:$2,0)+2),MATCH($L$1,[1]characters!$1:$1,0)-MATCH($F$1,[1]characters!$2:$2,0)+2,FALSE)</f>
        <v>ゴッド</v>
      </c>
      <c r="M130" s="6">
        <v>1</v>
      </c>
      <c r="N130" s="40">
        <f ca="1">VLOOKUP(D130,gacha_133_base!A:B,2,FALSE)</f>
        <v>2460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4"/>
        <v>01691</v>
      </c>
      <c r="B131" s="2">
        <f t="shared" si="7"/>
        <v>134</v>
      </c>
      <c r="C131" s="10" t="str">
        <f t="shared" ca="1" si="5"/>
        <v>0PremiumN3</v>
      </c>
      <c r="D131" s="10" t="str">
        <f t="shared" ca="1" si="6"/>
        <v>0PremiumN3</v>
      </c>
      <c r="E131" s="6">
        <v>0</v>
      </c>
      <c r="F131" s="7">
        <v>169</v>
      </c>
      <c r="G131" s="10" t="str">
        <f ca="1">VLOOKUP($F131,OFFSET([1]characters!$A$2,0,0,COUNTA([1]characters!$A:$A),MATCH(G$1,[1]characters!$2:$2,0)-MATCH($F$1,[1]characters!$2:$2,0)+1),MATCH(G$1,[1]characters!$2:$2,0)-MATCH($F$1,[1]characters!$2:$2,0)+1,FALSE)</f>
        <v>オセ</v>
      </c>
      <c r="H131" s="10" t="str">
        <f ca="1">VLOOKUP($F131,OFFSET([1]characters!$A$2,0,0,COUNTA([1]characters!$A:$A),MATCH(H$1,[1]characters!$2:$2,0)-MATCH($F$1,[1]characters!$2:$2,0)+1),MATCH(H$1,[1]characters!$2:$2,0)-MATCH($F$1,[1]characters!$2:$2,0)+1,FALSE)</f>
        <v>PremiumN</v>
      </c>
      <c r="I131" s="10">
        <f ca="1">VLOOKUP($F131,OFFSET([1]characters!$A$2,0,0,COUNTA([1]characters!$A:$A),MATCH(I$1,[1]characters!$2:$2,0)-MATCH($F$1,[1]characters!$2:$2,0)+1),MATCH(I$1,[1]characters!$2:$2,0)-MATCH($F$1,[1]characters!$2:$2,0)+1,FALSE)</f>
        <v>3</v>
      </c>
      <c r="J131" s="10" t="str">
        <f ca="1">VLOOKUP($F131,OFFSET([1]characters!$A$2,0,0,COUNTA([1]characters!$A:$A),MATCH(J$1,[1]characters!$2:$2,0)-MATCH($F$1,[1]characters!$2:$2,0)+1),MATCH(J$1,[1]characters!$2:$2,0)-MATCH($F$1,[1]characters!$2:$2,0)+1,FALSE)</f>
        <v>green</v>
      </c>
      <c r="K131" s="10" t="str">
        <f ca="1">VLOOKUP($F131,OFFSET([1]characters!$A$2,0,0,COUNTA([1]characters!$A:$A),MATCH("タイプ",[1]characters!$1:$1,0)-MATCH($F$1,[1]characters!$2:$2,0)+2),MATCH("タイプ",[1]characters!$1:$1,0)-MATCH($F$1,[1]characters!$2:$2,0)+2,FALSE)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1" s="10" t="str">
        <f ca="1">VLOOKUP($F131,OFFSET([1]characters!$A$2,0,0,COUNTA([1]characters!$A:$A),MATCH($L$1,[1]characters!$1:$1,0)-MATCH($F$1,[1]characters!$2:$2,0)+2),MATCH($L$1,[1]characters!$1:$1,0)-MATCH($F$1,[1]characters!$2:$2,0)+2,FALSE)</f>
        <v>ゴッド</v>
      </c>
      <c r="M131" s="6">
        <v>1</v>
      </c>
      <c r="N131" s="40">
        <f ca="1">VLOOKUP(D131,gacha_133_base!A:B,2,FALSE)</f>
        <v>2460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4"/>
        <v>01721</v>
      </c>
      <c r="B132" s="2">
        <f t="shared" si="7"/>
        <v>134</v>
      </c>
      <c r="C132" s="10" t="str">
        <f t="shared" ca="1" si="5"/>
        <v>0PremiumN3</v>
      </c>
      <c r="D132" s="10" t="str">
        <f t="shared" ca="1" si="6"/>
        <v>0PremiumN3</v>
      </c>
      <c r="E132" s="6">
        <v>0</v>
      </c>
      <c r="F132" s="7">
        <v>172</v>
      </c>
      <c r="G132" s="10" t="str">
        <f ca="1">VLOOKUP($F132,OFFSET([1]characters!$A$2,0,0,COUNTA([1]characters!$A:$A),MATCH(G$1,[1]characters!$2:$2,0)-MATCH($F$1,[1]characters!$2:$2,0)+1),MATCH(G$1,[1]characters!$2:$2,0)-MATCH($F$1,[1]characters!$2:$2,0)+1,FALSE)</f>
        <v>フォルネウス</v>
      </c>
      <c r="H132" s="10" t="str">
        <f ca="1">VLOOKUP($F132,OFFSET([1]characters!$A$2,0,0,COUNTA([1]characters!$A:$A),MATCH(H$1,[1]characters!$2:$2,0)-MATCH($F$1,[1]characters!$2:$2,0)+1),MATCH(H$1,[1]characters!$2:$2,0)-MATCH($F$1,[1]characters!$2:$2,0)+1,FALSE)</f>
        <v>PremiumN</v>
      </c>
      <c r="I132" s="10">
        <f ca="1">VLOOKUP($F132,OFFSET([1]characters!$A$2,0,0,COUNTA([1]characters!$A:$A),MATCH(I$1,[1]characters!$2:$2,0)-MATCH($F$1,[1]characters!$2:$2,0)+1),MATCH(I$1,[1]characters!$2:$2,0)-MATCH($F$1,[1]characters!$2:$2,0)+1,FALSE)</f>
        <v>3</v>
      </c>
      <c r="J132" s="10" t="str">
        <f ca="1">VLOOKUP($F132,OFFSET([1]characters!$A$2,0,0,COUNTA([1]characters!$A:$A),MATCH(J$1,[1]characters!$2:$2,0)-MATCH($F$1,[1]characters!$2:$2,0)+1),MATCH(J$1,[1]characters!$2:$2,0)-MATCH($F$1,[1]characters!$2:$2,0)+1,FALSE)</f>
        <v>blue</v>
      </c>
      <c r="K132" s="10" t="str">
        <f ca="1">VLOOKUP($F132,OFFSET([1]characters!$A$2,0,0,COUNTA([1]characters!$A:$A),MATCH("タイプ",[1]characters!$1:$1,0)-MATCH($F$1,[1]characters!$2:$2,0)+2),MATCH("タイプ",[1]characters!$1:$1,0)-MATCH($F$1,[1]characters!$2:$2,0)+2,FALSE)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2" s="10" t="str">
        <f ca="1">VLOOKUP($F132,OFFSET([1]characters!$A$2,0,0,COUNTA([1]characters!$A:$A),MATCH($L$1,[1]characters!$1:$1,0)-MATCH($F$1,[1]characters!$2:$2,0)+2),MATCH($L$1,[1]characters!$1:$1,0)-MATCH($F$1,[1]characters!$2:$2,0)+2,FALSE)</f>
        <v>ゴッド</v>
      </c>
      <c r="M132" s="6">
        <v>1</v>
      </c>
      <c r="N132" s="40">
        <f ca="1">VLOOKUP(D132,gacha_133_base!A:B,2,FALSE)</f>
        <v>2460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4"/>
        <v>01751</v>
      </c>
      <c r="B133" s="2">
        <f t="shared" si="7"/>
        <v>134</v>
      </c>
      <c r="C133" s="10" t="str">
        <f t="shared" ca="1" si="5"/>
        <v>0PremiumN3</v>
      </c>
      <c r="D133" s="10" t="str">
        <f t="shared" ca="1" si="6"/>
        <v>0PremiumN3</v>
      </c>
      <c r="E133" s="6">
        <v>0</v>
      </c>
      <c r="F133" s="7">
        <v>175</v>
      </c>
      <c r="G133" s="10" t="str">
        <f ca="1">VLOOKUP($F133,OFFSET([1]characters!$A$2,0,0,COUNTA([1]characters!$A:$A),MATCH(G$1,[1]characters!$2:$2,0)-MATCH($F$1,[1]characters!$2:$2,0)+1),MATCH(G$1,[1]characters!$2:$2,0)-MATCH($F$1,[1]characters!$2:$2,0)+1,FALSE)</f>
        <v>バフォメット</v>
      </c>
      <c r="H133" s="10" t="str">
        <f ca="1">VLOOKUP($F133,OFFSET([1]characters!$A$2,0,0,COUNTA([1]characters!$A:$A),MATCH(H$1,[1]characters!$2:$2,0)-MATCH($F$1,[1]characters!$2:$2,0)+1),MATCH(H$1,[1]characters!$2:$2,0)-MATCH($F$1,[1]characters!$2:$2,0)+1,FALSE)</f>
        <v>PremiumN</v>
      </c>
      <c r="I133" s="10">
        <f ca="1">VLOOKUP($F133,OFFSET([1]characters!$A$2,0,0,COUNTA([1]characters!$A:$A),MATCH(I$1,[1]characters!$2:$2,0)-MATCH($F$1,[1]characters!$2:$2,0)+1),MATCH(I$1,[1]characters!$2:$2,0)-MATCH($F$1,[1]characters!$2:$2,0)+1,FALSE)</f>
        <v>3</v>
      </c>
      <c r="J133" s="10" t="str">
        <f ca="1">VLOOKUP($F133,OFFSET([1]characters!$A$2,0,0,COUNTA([1]characters!$A:$A),MATCH(J$1,[1]characters!$2:$2,0)-MATCH($F$1,[1]characters!$2:$2,0)+1),MATCH(J$1,[1]characters!$2:$2,0)-MATCH($F$1,[1]characters!$2:$2,0)+1,FALSE)</f>
        <v>yellow</v>
      </c>
      <c r="K133" s="10" t="str">
        <f ca="1">VLOOKUP($F133,OFFSET([1]characters!$A$2,0,0,COUNTA([1]characters!$A:$A),MATCH("タイプ",[1]characters!$1:$1,0)-MATCH($F$1,[1]characters!$2:$2,0)+2),MATCH("タイプ",[1]characters!$1:$1,0)-MATCH($F$1,[1]characters!$2:$2,0)+2,FALSE)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3" s="10" t="str">
        <f ca="1">VLOOKUP($F133,OFFSET([1]characters!$A$2,0,0,COUNTA([1]characters!$A:$A),MATCH($L$1,[1]characters!$1:$1,0)-MATCH($F$1,[1]characters!$2:$2,0)+2),MATCH($L$1,[1]characters!$1:$1,0)-MATCH($F$1,[1]characters!$2:$2,0)+2,FALSE)</f>
        <v>ゴッド</v>
      </c>
      <c r="M133" s="6">
        <v>1</v>
      </c>
      <c r="N133" s="40">
        <f ca="1">VLOOKUP(D133,gacha_133_base!A:B,2,FALSE)</f>
        <v>2460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4"/>
        <v>01781</v>
      </c>
      <c r="B134" s="2">
        <f t="shared" si="7"/>
        <v>134</v>
      </c>
      <c r="C134" s="10" t="str">
        <f t="shared" ca="1" si="5"/>
        <v>0PremiumN3</v>
      </c>
      <c r="D134" s="10" t="str">
        <f t="shared" ca="1" si="6"/>
        <v>0PremiumN3</v>
      </c>
      <c r="E134" s="6">
        <v>0</v>
      </c>
      <c r="F134" s="7">
        <v>178</v>
      </c>
      <c r="G134" s="10" t="str">
        <f ca="1">VLOOKUP($F134,OFFSET([1]characters!$A$2,0,0,COUNTA([1]characters!$A:$A),MATCH(G$1,[1]characters!$2:$2,0)-MATCH($F$1,[1]characters!$2:$2,0)+1),MATCH(G$1,[1]characters!$2:$2,0)-MATCH($F$1,[1]characters!$2:$2,0)+1,FALSE)</f>
        <v>ケルベロス</v>
      </c>
      <c r="H134" s="10" t="str">
        <f ca="1">VLOOKUP($F134,OFFSET([1]characters!$A$2,0,0,COUNTA([1]characters!$A:$A),MATCH(H$1,[1]characters!$2:$2,0)-MATCH($F$1,[1]characters!$2:$2,0)+1),MATCH(H$1,[1]characters!$2:$2,0)-MATCH($F$1,[1]characters!$2:$2,0)+1,FALSE)</f>
        <v>PremiumN</v>
      </c>
      <c r="I134" s="10">
        <f ca="1">VLOOKUP($F134,OFFSET([1]characters!$A$2,0,0,COUNTA([1]characters!$A:$A),MATCH(I$1,[1]characters!$2:$2,0)-MATCH($F$1,[1]characters!$2:$2,0)+1),MATCH(I$1,[1]characters!$2:$2,0)-MATCH($F$1,[1]characters!$2:$2,0)+1,FALSE)</f>
        <v>3</v>
      </c>
      <c r="J134" s="10" t="str">
        <f ca="1">VLOOKUP($F134,OFFSET([1]characters!$A$2,0,0,COUNTA([1]characters!$A:$A),MATCH(J$1,[1]characters!$2:$2,0)-MATCH($F$1,[1]characters!$2:$2,0)+1),MATCH(J$1,[1]characters!$2:$2,0)-MATCH($F$1,[1]characters!$2:$2,0)+1,FALSE)</f>
        <v>red</v>
      </c>
      <c r="K134" s="10" t="str">
        <f ca="1">VLOOKUP($F134,OFFSET([1]characters!$A$2,0,0,COUNTA([1]characters!$A:$A),MATCH("タイプ",[1]characters!$1:$1,0)-MATCH($F$1,[1]characters!$2:$2,0)+2),MATCH("タイプ",[1]characters!$1:$1,0)-MATCH($F$1,[1]characters!$2:$2,0)+2,FALSE)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4" s="10" t="str">
        <f ca="1">VLOOKUP($F134,OFFSET([1]characters!$A$2,0,0,COUNTA([1]characters!$A:$A),MATCH($L$1,[1]characters!$1:$1,0)-MATCH($F$1,[1]characters!$2:$2,0)+2),MATCH($L$1,[1]characters!$1:$1,0)-MATCH($F$1,[1]characters!$2:$2,0)+2,FALSE)</f>
        <v>アニマル</v>
      </c>
      <c r="M134" s="6">
        <v>1</v>
      </c>
      <c r="N134" s="40">
        <f ca="1">VLOOKUP(D134,gacha_133_base!A:B,2,FALSE)</f>
        <v>2460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4"/>
        <v>01811</v>
      </c>
      <c r="B135" s="2">
        <f t="shared" si="7"/>
        <v>134</v>
      </c>
      <c r="C135" s="10" t="str">
        <f t="shared" ca="1" si="5"/>
        <v>0PremiumN3</v>
      </c>
      <c r="D135" s="10" t="str">
        <f t="shared" ca="1" si="6"/>
        <v>0PremiumN3</v>
      </c>
      <c r="E135" s="6">
        <v>0</v>
      </c>
      <c r="F135" s="7">
        <v>181</v>
      </c>
      <c r="G135" s="10" t="str">
        <f ca="1">VLOOKUP($F135,OFFSET([1]characters!$A$2,0,0,COUNTA([1]characters!$A:$A),MATCH(G$1,[1]characters!$2:$2,0)-MATCH($F$1,[1]characters!$2:$2,0)+1),MATCH(G$1,[1]characters!$2:$2,0)-MATCH($F$1,[1]characters!$2:$2,0)+1,FALSE)</f>
        <v>ベヒモス</v>
      </c>
      <c r="H135" s="10" t="str">
        <f ca="1">VLOOKUP($F135,OFFSET([1]characters!$A$2,0,0,COUNTA([1]characters!$A:$A),MATCH(H$1,[1]characters!$2:$2,0)-MATCH($F$1,[1]characters!$2:$2,0)+1),MATCH(H$1,[1]characters!$2:$2,0)-MATCH($F$1,[1]characters!$2:$2,0)+1,FALSE)</f>
        <v>PremiumN</v>
      </c>
      <c r="I135" s="10">
        <f ca="1">VLOOKUP($F135,OFFSET([1]characters!$A$2,0,0,COUNTA([1]characters!$A:$A),MATCH(I$1,[1]characters!$2:$2,0)-MATCH($F$1,[1]characters!$2:$2,0)+1),MATCH(I$1,[1]characters!$2:$2,0)-MATCH($F$1,[1]characters!$2:$2,0)+1,FALSE)</f>
        <v>3</v>
      </c>
      <c r="J135" s="10" t="str">
        <f ca="1">VLOOKUP($F135,OFFSET([1]characters!$A$2,0,0,COUNTA([1]characters!$A:$A),MATCH(J$1,[1]characters!$2:$2,0)-MATCH($F$1,[1]characters!$2:$2,0)+1),MATCH(J$1,[1]characters!$2:$2,0)-MATCH($F$1,[1]characters!$2:$2,0)+1,FALSE)</f>
        <v>green</v>
      </c>
      <c r="K135" s="10" t="str">
        <f ca="1">VLOOKUP($F135,OFFSET([1]characters!$A$2,0,0,COUNTA([1]characters!$A:$A),MATCH("タイプ",[1]characters!$1:$1,0)-MATCH($F$1,[1]characters!$2:$2,0)+2),MATCH("タイプ",[1]characters!$1:$1,0)-MATCH($F$1,[1]characters!$2:$2,0)+2,FALSE)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5" s="10" t="str">
        <f ca="1">VLOOKUP($F135,OFFSET([1]characters!$A$2,0,0,COUNTA([1]characters!$A:$A),MATCH($L$1,[1]characters!$1:$1,0)-MATCH($F$1,[1]characters!$2:$2,0)+2),MATCH($L$1,[1]characters!$1:$1,0)-MATCH($F$1,[1]characters!$2:$2,0)+2,FALSE)</f>
        <v>アニマル</v>
      </c>
      <c r="M135" s="6">
        <v>1</v>
      </c>
      <c r="N135" s="40">
        <f ca="1">VLOOKUP(D135,gacha_133_base!A:B,2,FALSE)</f>
        <v>2460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4"/>
        <v>01841</v>
      </c>
      <c r="B136" s="2">
        <f t="shared" si="7"/>
        <v>134</v>
      </c>
      <c r="C136" s="10" t="str">
        <f t="shared" ca="1" si="5"/>
        <v>0PremiumN3</v>
      </c>
      <c r="D136" s="10" t="str">
        <f t="shared" ca="1" si="6"/>
        <v>0PremiumN3</v>
      </c>
      <c r="E136" s="6">
        <v>0</v>
      </c>
      <c r="F136" s="7">
        <v>184</v>
      </c>
      <c r="G136" s="10" t="str">
        <f ca="1">VLOOKUP($F136,OFFSET([1]characters!$A$2,0,0,COUNTA([1]characters!$A:$A),MATCH(G$1,[1]characters!$2:$2,0)-MATCH($F$1,[1]characters!$2:$2,0)+1),MATCH(G$1,[1]characters!$2:$2,0)-MATCH($F$1,[1]characters!$2:$2,0)+1,FALSE)</f>
        <v>クラーケン</v>
      </c>
      <c r="H136" s="10" t="str">
        <f ca="1">VLOOKUP($F136,OFFSET([1]characters!$A$2,0,0,COUNTA([1]characters!$A:$A),MATCH(H$1,[1]characters!$2:$2,0)-MATCH($F$1,[1]characters!$2:$2,0)+1),MATCH(H$1,[1]characters!$2:$2,0)-MATCH($F$1,[1]characters!$2:$2,0)+1,FALSE)</f>
        <v>PremiumN</v>
      </c>
      <c r="I136" s="10">
        <f ca="1">VLOOKUP($F136,OFFSET([1]characters!$A$2,0,0,COUNTA([1]characters!$A:$A),MATCH(I$1,[1]characters!$2:$2,0)-MATCH($F$1,[1]characters!$2:$2,0)+1),MATCH(I$1,[1]characters!$2:$2,0)-MATCH($F$1,[1]characters!$2:$2,0)+1,FALSE)</f>
        <v>3</v>
      </c>
      <c r="J136" s="10" t="str">
        <f ca="1">VLOOKUP($F136,OFFSET([1]characters!$A$2,0,0,COUNTA([1]characters!$A:$A),MATCH(J$1,[1]characters!$2:$2,0)-MATCH($F$1,[1]characters!$2:$2,0)+1),MATCH(J$1,[1]characters!$2:$2,0)-MATCH($F$1,[1]characters!$2:$2,0)+1,FALSE)</f>
        <v>blue</v>
      </c>
      <c r="K136" s="10" t="str">
        <f ca="1">VLOOKUP($F136,OFFSET([1]characters!$A$2,0,0,COUNTA([1]characters!$A:$A),MATCH("タイプ",[1]characters!$1:$1,0)-MATCH($F$1,[1]characters!$2:$2,0)+2),MATCH("タイプ",[1]characters!$1:$1,0)-MATCH($F$1,[1]characters!$2:$2,0)+2,FALSE)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36" s="10" t="str">
        <f ca="1">VLOOKUP($F136,OFFSET([1]characters!$A$2,0,0,COUNTA([1]characters!$A:$A),MATCH($L$1,[1]characters!$1:$1,0)-MATCH($F$1,[1]characters!$2:$2,0)+2),MATCH($L$1,[1]characters!$1:$1,0)-MATCH($F$1,[1]characters!$2:$2,0)+2,FALSE)</f>
        <v>アニマル</v>
      </c>
      <c r="M136" s="6">
        <v>1</v>
      </c>
      <c r="N136" s="40">
        <f ca="1">VLOOKUP(D136,gacha_133_base!A:B,2,FALSE)</f>
        <v>2460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4"/>
        <v>01871</v>
      </c>
      <c r="B137" s="2">
        <f t="shared" si="7"/>
        <v>134</v>
      </c>
      <c r="C137" s="10" t="str">
        <f t="shared" ca="1" si="5"/>
        <v>0PremiumN3</v>
      </c>
      <c r="D137" s="10" t="str">
        <f t="shared" ca="1" si="6"/>
        <v>0PremiumN3</v>
      </c>
      <c r="E137" s="6">
        <v>0</v>
      </c>
      <c r="F137" s="7">
        <v>187</v>
      </c>
      <c r="G137" s="10" t="str">
        <f ca="1">VLOOKUP($F137,OFFSET([1]characters!$A$2,0,0,COUNTA([1]characters!$A:$A),MATCH(G$1,[1]characters!$2:$2,0)-MATCH($F$1,[1]characters!$2:$2,0)+1),MATCH(G$1,[1]characters!$2:$2,0)-MATCH($F$1,[1]characters!$2:$2,0)+1,FALSE)</f>
        <v>ホルス</v>
      </c>
      <c r="H137" s="10" t="str">
        <f ca="1">VLOOKUP($F137,OFFSET([1]characters!$A$2,0,0,COUNTA([1]characters!$A:$A),MATCH(H$1,[1]characters!$2:$2,0)-MATCH($F$1,[1]characters!$2:$2,0)+1),MATCH(H$1,[1]characters!$2:$2,0)-MATCH($F$1,[1]characters!$2:$2,0)+1,FALSE)</f>
        <v>PremiumN</v>
      </c>
      <c r="I137" s="10">
        <f ca="1">VLOOKUP($F137,OFFSET([1]characters!$A$2,0,0,COUNTA([1]characters!$A:$A),MATCH(I$1,[1]characters!$2:$2,0)-MATCH($F$1,[1]characters!$2:$2,0)+1),MATCH(I$1,[1]characters!$2:$2,0)-MATCH($F$1,[1]characters!$2:$2,0)+1,FALSE)</f>
        <v>3</v>
      </c>
      <c r="J137" s="10" t="str">
        <f ca="1">VLOOKUP($F137,OFFSET([1]characters!$A$2,0,0,COUNTA([1]characters!$A:$A),MATCH(J$1,[1]characters!$2:$2,0)-MATCH($F$1,[1]characters!$2:$2,0)+1),MATCH(J$1,[1]characters!$2:$2,0)-MATCH($F$1,[1]characters!$2:$2,0)+1,FALSE)</f>
        <v>yellow</v>
      </c>
      <c r="K137" s="10" t="str">
        <f ca="1">VLOOKUP($F137,OFFSET([1]characters!$A$2,0,0,COUNTA([1]characters!$A:$A),MATCH("タイプ",[1]characters!$1:$1,0)-MATCH($F$1,[1]characters!$2:$2,0)+2),MATCH("タイプ",[1]characters!$1:$1,0)-MATCH($F$1,[1]characters!$2:$2,0)+2,FALSE)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7" s="10" t="str">
        <f ca="1">VLOOKUP($F137,OFFSET([1]characters!$A$2,0,0,COUNTA([1]characters!$A:$A),MATCH($L$1,[1]characters!$1:$1,0)-MATCH($F$1,[1]characters!$2:$2,0)+2),MATCH($L$1,[1]characters!$1:$1,0)-MATCH($F$1,[1]characters!$2:$2,0)+2,FALSE)</f>
        <v>アニマル</v>
      </c>
      <c r="M137" s="6">
        <v>1</v>
      </c>
      <c r="N137" s="40">
        <f ca="1">VLOOKUP(D137,gacha_133_base!A:B,2,FALSE)</f>
        <v>2460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4"/>
        <v>01901</v>
      </c>
      <c r="B138" s="2">
        <f t="shared" si="7"/>
        <v>134</v>
      </c>
      <c r="C138" s="10" t="str">
        <f t="shared" ca="1" si="5"/>
        <v>0PremiumN3</v>
      </c>
      <c r="D138" s="10" t="str">
        <f t="shared" ca="1" si="6"/>
        <v>0PremiumN3</v>
      </c>
      <c r="E138" s="6">
        <v>0</v>
      </c>
      <c r="F138" s="7">
        <v>190</v>
      </c>
      <c r="G138" s="10" t="str">
        <f ca="1">VLOOKUP($F138,OFFSET([1]characters!$A$2,0,0,COUNTA([1]characters!$A:$A),MATCH(G$1,[1]characters!$2:$2,0)-MATCH($F$1,[1]characters!$2:$2,0)+1),MATCH(G$1,[1]characters!$2:$2,0)-MATCH($F$1,[1]characters!$2:$2,0)+1,FALSE)</f>
        <v>卑弥呼</v>
      </c>
      <c r="H138" s="10" t="str">
        <f ca="1">VLOOKUP($F138,OFFSET([1]characters!$A$2,0,0,COUNTA([1]characters!$A:$A),MATCH(H$1,[1]characters!$2:$2,0)-MATCH($F$1,[1]characters!$2:$2,0)+1),MATCH(H$1,[1]characters!$2:$2,0)-MATCH($F$1,[1]characters!$2:$2,0)+1,FALSE)</f>
        <v>PremiumN</v>
      </c>
      <c r="I138" s="10">
        <f ca="1">VLOOKUP($F138,OFFSET([1]characters!$A$2,0,0,COUNTA([1]characters!$A:$A),MATCH(I$1,[1]characters!$2:$2,0)-MATCH($F$1,[1]characters!$2:$2,0)+1),MATCH(I$1,[1]characters!$2:$2,0)-MATCH($F$1,[1]characters!$2:$2,0)+1,FALSE)</f>
        <v>3</v>
      </c>
      <c r="J138" s="10" t="str">
        <f ca="1">VLOOKUP($F138,OFFSET([1]characters!$A$2,0,0,COUNTA([1]characters!$A:$A),MATCH(J$1,[1]characters!$2:$2,0)-MATCH($F$1,[1]characters!$2:$2,0)+1),MATCH(J$1,[1]characters!$2:$2,0)-MATCH($F$1,[1]characters!$2:$2,0)+1,FALSE)</f>
        <v>red</v>
      </c>
      <c r="K138" s="10" t="str">
        <f ca="1">VLOOKUP($F138,OFFSET([1]characters!$A$2,0,0,COUNTA([1]characters!$A:$A),MATCH("タイプ",[1]characters!$1:$1,0)-MATCH($F$1,[1]characters!$2:$2,0)+2),MATCH("タイプ",[1]characters!$1:$1,0)-MATCH($F$1,[1]characters!$2:$2,0)+2,FALSE)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8" s="10" t="str">
        <f ca="1">VLOOKUP($F138,OFFSET([1]characters!$A$2,0,0,COUNTA([1]characters!$A:$A),MATCH($L$1,[1]characters!$1:$1,0)-MATCH($F$1,[1]characters!$2:$2,0)+2),MATCH($L$1,[1]characters!$1:$1,0)-MATCH($F$1,[1]characters!$2:$2,0)+2,FALSE)</f>
        <v>ヒューマン</v>
      </c>
      <c r="M138" s="6">
        <v>1</v>
      </c>
      <c r="N138" s="40">
        <f ca="1">VLOOKUP(D138,gacha_133_base!A:B,2,FALSE)</f>
        <v>2460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4"/>
        <v>01931</v>
      </c>
      <c r="B139" s="2">
        <f t="shared" si="7"/>
        <v>134</v>
      </c>
      <c r="C139" s="10" t="str">
        <f t="shared" ref="C139:C202" ca="1" si="9">E139&amp;H139&amp;I139</f>
        <v>0PremiumN3</v>
      </c>
      <c r="D139" s="10" t="str">
        <f t="shared" ref="D139:D202" ca="1" si="10">E139&amp;H139&amp;I139</f>
        <v>0PremiumN3</v>
      </c>
      <c r="E139" s="6">
        <v>0</v>
      </c>
      <c r="F139" s="7">
        <v>193</v>
      </c>
      <c r="G139" s="10" t="str">
        <f ca="1">VLOOKUP($F139,OFFSET([1]characters!$A$2,0,0,COUNTA([1]characters!$A:$A),MATCH(G$1,[1]characters!$2:$2,0)-MATCH($F$1,[1]characters!$2:$2,0)+1),MATCH(G$1,[1]characters!$2:$2,0)-MATCH($F$1,[1]characters!$2:$2,0)+1,FALSE)</f>
        <v>ロビンフッド</v>
      </c>
      <c r="H139" s="10" t="str">
        <f ca="1">VLOOKUP($F139,OFFSET([1]characters!$A$2,0,0,COUNTA([1]characters!$A:$A),MATCH(H$1,[1]characters!$2:$2,0)-MATCH($F$1,[1]characters!$2:$2,0)+1),MATCH(H$1,[1]characters!$2:$2,0)-MATCH($F$1,[1]characters!$2:$2,0)+1,FALSE)</f>
        <v>PremiumN</v>
      </c>
      <c r="I139" s="10">
        <f ca="1">VLOOKUP($F139,OFFSET([1]characters!$A$2,0,0,COUNTA([1]characters!$A:$A),MATCH(I$1,[1]characters!$2:$2,0)-MATCH($F$1,[1]characters!$2:$2,0)+1),MATCH(I$1,[1]characters!$2:$2,0)-MATCH($F$1,[1]characters!$2:$2,0)+1,FALSE)</f>
        <v>3</v>
      </c>
      <c r="J139" s="10" t="str">
        <f ca="1">VLOOKUP($F139,OFFSET([1]characters!$A$2,0,0,COUNTA([1]characters!$A:$A),MATCH(J$1,[1]characters!$2:$2,0)-MATCH($F$1,[1]characters!$2:$2,0)+1),MATCH(J$1,[1]characters!$2:$2,0)-MATCH($F$1,[1]characters!$2:$2,0)+1,FALSE)</f>
        <v>green</v>
      </c>
      <c r="K139" s="10" t="str">
        <f ca="1">VLOOKUP($F139,OFFSET([1]characters!$A$2,0,0,COUNTA([1]characters!$A:$A),MATCH("タイプ",[1]characters!$1:$1,0)-MATCH($F$1,[1]characters!$2:$2,0)+2),MATCH("タイプ",[1]characters!$1:$1,0)-MATCH($F$1,[1]characters!$2:$2,0)+2,FALSE)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9" s="10" t="str">
        <f ca="1">VLOOKUP($F139,OFFSET([1]characters!$A$2,0,0,COUNTA([1]characters!$A:$A),MATCH($L$1,[1]characters!$1:$1,0)-MATCH($F$1,[1]characters!$2:$2,0)+2),MATCH($L$1,[1]characters!$1:$1,0)-MATCH($F$1,[1]characters!$2:$2,0)+2,FALSE)</f>
        <v>ヒューマン</v>
      </c>
      <c r="M139" s="6">
        <v>1</v>
      </c>
      <c r="N139" s="40">
        <f ca="1">VLOOKUP(D139,gacha_133_base!A:B,2,FALSE)</f>
        <v>2460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4"/>
        <v>01961</v>
      </c>
      <c r="B140" s="2">
        <f t="shared" ref="B140:B203" si="11">$B$2</f>
        <v>134</v>
      </c>
      <c r="C140" s="10" t="str">
        <f t="shared" ca="1" si="9"/>
        <v>0PremiumN3</v>
      </c>
      <c r="D140" s="10" t="str">
        <f t="shared" ca="1" si="10"/>
        <v>0PremiumN3</v>
      </c>
      <c r="E140" s="6">
        <v>0</v>
      </c>
      <c r="F140" s="7">
        <v>196</v>
      </c>
      <c r="G140" s="10" t="str">
        <f ca="1">VLOOKUP($F140,OFFSET([1]characters!$A$2,0,0,COUNTA([1]characters!$A:$A),MATCH(G$1,[1]characters!$2:$2,0)-MATCH($F$1,[1]characters!$2:$2,0)+1),MATCH(G$1,[1]characters!$2:$2,0)-MATCH($F$1,[1]characters!$2:$2,0)+1,FALSE)</f>
        <v>アキレス</v>
      </c>
      <c r="H140" s="10" t="str">
        <f ca="1">VLOOKUP($F140,OFFSET([1]characters!$A$2,0,0,COUNTA([1]characters!$A:$A),MATCH(H$1,[1]characters!$2:$2,0)-MATCH($F$1,[1]characters!$2:$2,0)+1),MATCH(H$1,[1]characters!$2:$2,0)-MATCH($F$1,[1]characters!$2:$2,0)+1,FALSE)</f>
        <v>PremiumN</v>
      </c>
      <c r="I140" s="10">
        <f ca="1">VLOOKUP($F140,OFFSET([1]characters!$A$2,0,0,COUNTA([1]characters!$A:$A),MATCH(I$1,[1]characters!$2:$2,0)-MATCH($F$1,[1]characters!$2:$2,0)+1),MATCH(I$1,[1]characters!$2:$2,0)-MATCH($F$1,[1]characters!$2:$2,0)+1,FALSE)</f>
        <v>3</v>
      </c>
      <c r="J140" s="10" t="str">
        <f ca="1">VLOOKUP($F140,OFFSET([1]characters!$A$2,0,0,COUNTA([1]characters!$A:$A),MATCH(J$1,[1]characters!$2:$2,0)-MATCH($F$1,[1]characters!$2:$2,0)+1),MATCH(J$1,[1]characters!$2:$2,0)-MATCH($F$1,[1]characters!$2:$2,0)+1,FALSE)</f>
        <v>yellow</v>
      </c>
      <c r="K140" s="10" t="str">
        <f ca="1">VLOOKUP($F140,OFFSET([1]characters!$A$2,0,0,COUNTA([1]characters!$A:$A),MATCH("タイプ",[1]characters!$1:$1,0)-MATCH($F$1,[1]characters!$2:$2,0)+2),MATCH("タイプ",[1]characters!$1:$1,0)-MATCH($F$1,[1]characters!$2:$2,0)+2,FALSE)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0" s="10" t="str">
        <f ca="1">VLOOKUP($F140,OFFSET([1]characters!$A$2,0,0,COUNTA([1]characters!$A:$A),MATCH($L$1,[1]characters!$1:$1,0)-MATCH($F$1,[1]characters!$2:$2,0)+2),MATCH($L$1,[1]characters!$1:$1,0)-MATCH($F$1,[1]characters!$2:$2,0)+2,FALSE)</f>
        <v>ヒューマン</v>
      </c>
      <c r="M140" s="6">
        <v>1</v>
      </c>
      <c r="N140" s="40">
        <f ca="1">VLOOKUP(D140,gacha_133_base!A:B,2,FALSE)</f>
        <v>2460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4"/>
        <v>01991</v>
      </c>
      <c r="B141" s="2">
        <f t="shared" si="11"/>
        <v>134</v>
      </c>
      <c r="C141" s="10" t="str">
        <f t="shared" ca="1" si="9"/>
        <v>0PremiumN3</v>
      </c>
      <c r="D141" s="10" t="str">
        <f t="shared" ca="1" si="10"/>
        <v>0PremiumN3</v>
      </c>
      <c r="E141" s="6">
        <v>0</v>
      </c>
      <c r="F141" s="7">
        <v>199</v>
      </c>
      <c r="G141" s="10" t="str">
        <f ca="1">VLOOKUP($F141,OFFSET([1]characters!$A$2,0,0,COUNTA([1]characters!$A:$A),MATCH(G$1,[1]characters!$2:$2,0)-MATCH($F$1,[1]characters!$2:$2,0)+1),MATCH(G$1,[1]characters!$2:$2,0)-MATCH($F$1,[1]characters!$2:$2,0)+1,FALSE)</f>
        <v>ジークフリート</v>
      </c>
      <c r="H141" s="10" t="str">
        <f ca="1">VLOOKUP($F141,OFFSET([1]characters!$A$2,0,0,COUNTA([1]characters!$A:$A),MATCH(H$1,[1]characters!$2:$2,0)-MATCH($F$1,[1]characters!$2:$2,0)+1),MATCH(H$1,[1]characters!$2:$2,0)-MATCH($F$1,[1]characters!$2:$2,0)+1,FALSE)</f>
        <v>PremiumN</v>
      </c>
      <c r="I141" s="10">
        <f ca="1">VLOOKUP($F141,OFFSET([1]characters!$A$2,0,0,COUNTA([1]characters!$A:$A),MATCH(I$1,[1]characters!$2:$2,0)-MATCH($F$1,[1]characters!$2:$2,0)+1),MATCH(I$1,[1]characters!$2:$2,0)-MATCH($F$1,[1]characters!$2:$2,0)+1,FALSE)</f>
        <v>3</v>
      </c>
      <c r="J141" s="10" t="str">
        <f ca="1">VLOOKUP($F141,OFFSET([1]characters!$A$2,0,0,COUNTA([1]characters!$A:$A),MATCH(J$1,[1]characters!$2:$2,0)-MATCH($F$1,[1]characters!$2:$2,0)+1),MATCH(J$1,[1]characters!$2:$2,0)-MATCH($F$1,[1]characters!$2:$2,0)+1,FALSE)</f>
        <v>blue</v>
      </c>
      <c r="K141" s="10" t="str">
        <f ca="1">VLOOKUP($F141,OFFSET([1]characters!$A$2,0,0,COUNTA([1]characters!$A:$A),MATCH("タイプ",[1]characters!$1:$1,0)-MATCH($F$1,[1]characters!$2:$2,0)+2),MATCH("タイプ",[1]characters!$1:$1,0)-MATCH($F$1,[1]characters!$2:$2,0)+2,FALSE)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1" s="10" t="str">
        <f ca="1">VLOOKUP($F141,OFFSET([1]characters!$A$2,0,0,COUNTA([1]characters!$A:$A),MATCH($L$1,[1]characters!$1:$1,0)-MATCH($F$1,[1]characters!$2:$2,0)+2),MATCH($L$1,[1]characters!$1:$1,0)-MATCH($F$1,[1]characters!$2:$2,0)+2,FALSE)</f>
        <v>ヒューマン</v>
      </c>
      <c r="M141" s="6">
        <v>1</v>
      </c>
      <c r="N141" s="40">
        <f ca="1">VLOOKUP(D141,gacha_133_base!A:B,2,FALSE)</f>
        <v>2460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4"/>
        <v>02021</v>
      </c>
      <c r="B142" s="2">
        <f t="shared" si="11"/>
        <v>134</v>
      </c>
      <c r="C142" s="10" t="str">
        <f t="shared" ca="1" si="9"/>
        <v>0PremiumN3</v>
      </c>
      <c r="D142" s="10" t="str">
        <f t="shared" ca="1" si="10"/>
        <v>0PremiumN3</v>
      </c>
      <c r="E142" s="6">
        <v>0</v>
      </c>
      <c r="F142" s="7">
        <v>202</v>
      </c>
      <c r="G142" s="10" t="str">
        <f ca="1">VLOOKUP($F142,OFFSET([1]characters!$A$2,0,0,COUNTA([1]characters!$A:$A),MATCH(G$1,[1]characters!$2:$2,0)-MATCH($F$1,[1]characters!$2:$2,0)+1),MATCH(G$1,[1]characters!$2:$2,0)-MATCH($F$1,[1]characters!$2:$2,0)+1,FALSE)</f>
        <v>プロメテウス</v>
      </c>
      <c r="H142" s="10" t="str">
        <f ca="1">VLOOKUP($F142,OFFSET([1]characters!$A$2,0,0,COUNTA([1]characters!$A:$A),MATCH(H$1,[1]characters!$2:$2,0)-MATCH($F$1,[1]characters!$2:$2,0)+1),MATCH(H$1,[1]characters!$2:$2,0)-MATCH($F$1,[1]characters!$2:$2,0)+1,FALSE)</f>
        <v>PremiumN</v>
      </c>
      <c r="I142" s="10">
        <f ca="1">VLOOKUP($F142,OFFSET([1]characters!$A$2,0,0,COUNTA([1]characters!$A:$A),MATCH(I$1,[1]characters!$2:$2,0)-MATCH($F$1,[1]characters!$2:$2,0)+1),MATCH(I$1,[1]characters!$2:$2,0)-MATCH($F$1,[1]characters!$2:$2,0)+1,FALSE)</f>
        <v>3</v>
      </c>
      <c r="J142" s="10" t="str">
        <f ca="1">VLOOKUP($F142,OFFSET([1]characters!$A$2,0,0,COUNTA([1]characters!$A:$A),MATCH(J$1,[1]characters!$2:$2,0)-MATCH($F$1,[1]characters!$2:$2,0)+1),MATCH(J$1,[1]characters!$2:$2,0)-MATCH($F$1,[1]characters!$2:$2,0)+1,FALSE)</f>
        <v>red</v>
      </c>
      <c r="K142" s="10" t="str">
        <f ca="1">VLOOKUP($F142,OFFSET([1]characters!$A$2,0,0,COUNTA([1]characters!$A:$A),MATCH("タイプ",[1]characters!$1:$1,0)-MATCH($F$1,[1]characters!$2:$2,0)+2),MATCH("タイプ",[1]characters!$1:$1,0)-MATCH($F$1,[1]characters!$2:$2,0)+2,FALSE)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2" s="10" t="str">
        <f ca="1">VLOOKUP($F142,OFFSET([1]characters!$A$2,0,0,COUNTA([1]characters!$A:$A),MATCH($L$1,[1]characters!$1:$1,0)-MATCH($F$1,[1]characters!$2:$2,0)+2),MATCH($L$1,[1]characters!$1:$1,0)-MATCH($F$1,[1]characters!$2:$2,0)+2,FALSE)</f>
        <v>ゴッド</v>
      </c>
      <c r="M142" s="6">
        <v>1</v>
      </c>
      <c r="N142" s="40">
        <f ca="1">VLOOKUP(D142,gacha_133_base!A:B,2,FALSE)</f>
        <v>2460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4"/>
        <v>02051</v>
      </c>
      <c r="B143" s="2">
        <f t="shared" si="11"/>
        <v>134</v>
      </c>
      <c r="C143" s="10" t="str">
        <f t="shared" ca="1" si="9"/>
        <v>0PremiumN3</v>
      </c>
      <c r="D143" s="10" t="str">
        <f t="shared" ca="1" si="10"/>
        <v>0PremiumN3</v>
      </c>
      <c r="E143" s="6">
        <v>0</v>
      </c>
      <c r="F143" s="7">
        <v>205</v>
      </c>
      <c r="G143" s="10" t="str">
        <f ca="1">VLOOKUP($F143,OFFSET([1]characters!$A$2,0,0,COUNTA([1]characters!$A:$A),MATCH(G$1,[1]characters!$2:$2,0)-MATCH($F$1,[1]characters!$2:$2,0)+1),MATCH(G$1,[1]characters!$2:$2,0)-MATCH($F$1,[1]characters!$2:$2,0)+1,FALSE)</f>
        <v>アフロディーテ</v>
      </c>
      <c r="H143" s="10" t="str">
        <f ca="1">VLOOKUP($F143,OFFSET([1]characters!$A$2,0,0,COUNTA([1]characters!$A:$A),MATCH(H$1,[1]characters!$2:$2,0)-MATCH($F$1,[1]characters!$2:$2,0)+1),MATCH(H$1,[1]characters!$2:$2,0)-MATCH($F$1,[1]characters!$2:$2,0)+1,FALSE)</f>
        <v>PremiumN</v>
      </c>
      <c r="I143" s="10">
        <f ca="1">VLOOKUP($F143,OFFSET([1]characters!$A$2,0,0,COUNTA([1]characters!$A:$A),MATCH(I$1,[1]characters!$2:$2,0)-MATCH($F$1,[1]characters!$2:$2,0)+1),MATCH(I$1,[1]characters!$2:$2,0)-MATCH($F$1,[1]characters!$2:$2,0)+1,FALSE)</f>
        <v>3</v>
      </c>
      <c r="J143" s="10" t="str">
        <f ca="1">VLOOKUP($F143,OFFSET([1]characters!$A$2,0,0,COUNTA([1]characters!$A:$A),MATCH(J$1,[1]characters!$2:$2,0)-MATCH($F$1,[1]characters!$2:$2,0)+1),MATCH(J$1,[1]characters!$2:$2,0)-MATCH($F$1,[1]characters!$2:$2,0)+1,FALSE)</f>
        <v>green</v>
      </c>
      <c r="K143" s="10" t="str">
        <f ca="1">VLOOKUP($F143,OFFSET([1]characters!$A$2,0,0,COUNTA([1]characters!$A:$A),MATCH("タイプ",[1]characters!$1:$1,0)-MATCH($F$1,[1]characters!$2:$2,0)+2),MATCH("タイプ",[1]characters!$1:$1,0)-MATCH($F$1,[1]characters!$2:$2,0)+2,FALSE)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3" s="10" t="str">
        <f ca="1">VLOOKUP($F143,OFFSET([1]characters!$A$2,0,0,COUNTA([1]characters!$A:$A),MATCH($L$1,[1]characters!$1:$1,0)-MATCH($F$1,[1]characters!$2:$2,0)+2),MATCH($L$1,[1]characters!$1:$1,0)-MATCH($F$1,[1]characters!$2:$2,0)+2,FALSE)</f>
        <v>ゴッド</v>
      </c>
      <c r="M143" s="6">
        <v>1</v>
      </c>
      <c r="N143" s="40">
        <f ca="1">VLOOKUP(D143,gacha_133_base!A:B,2,FALSE)</f>
        <v>2460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4"/>
        <v>02081</v>
      </c>
      <c r="B144" s="2">
        <f t="shared" si="11"/>
        <v>134</v>
      </c>
      <c r="C144" s="10" t="str">
        <f t="shared" ca="1" si="9"/>
        <v>0PremiumN3</v>
      </c>
      <c r="D144" s="10" t="str">
        <f t="shared" ca="1" si="10"/>
        <v>0PremiumN3</v>
      </c>
      <c r="E144" s="6">
        <v>0</v>
      </c>
      <c r="F144" s="7">
        <v>208</v>
      </c>
      <c r="G144" s="10" t="str">
        <f ca="1">VLOOKUP($F144,OFFSET([1]characters!$A$2,0,0,COUNTA([1]characters!$A:$A),MATCH(G$1,[1]characters!$2:$2,0)-MATCH($F$1,[1]characters!$2:$2,0)+1),MATCH(G$1,[1]characters!$2:$2,0)-MATCH($F$1,[1]characters!$2:$2,0)+1,FALSE)</f>
        <v>テティス</v>
      </c>
      <c r="H144" s="10" t="str">
        <f ca="1">VLOOKUP($F144,OFFSET([1]characters!$A$2,0,0,COUNTA([1]characters!$A:$A),MATCH(H$1,[1]characters!$2:$2,0)-MATCH($F$1,[1]characters!$2:$2,0)+1),MATCH(H$1,[1]characters!$2:$2,0)-MATCH($F$1,[1]characters!$2:$2,0)+1,FALSE)</f>
        <v>PremiumN</v>
      </c>
      <c r="I144" s="10">
        <f ca="1">VLOOKUP($F144,OFFSET([1]characters!$A$2,0,0,COUNTA([1]characters!$A:$A),MATCH(I$1,[1]characters!$2:$2,0)-MATCH($F$1,[1]characters!$2:$2,0)+1),MATCH(I$1,[1]characters!$2:$2,0)-MATCH($F$1,[1]characters!$2:$2,0)+1,FALSE)</f>
        <v>3</v>
      </c>
      <c r="J144" s="10" t="str">
        <f ca="1">VLOOKUP($F144,OFFSET([1]characters!$A$2,0,0,COUNTA([1]characters!$A:$A),MATCH(J$1,[1]characters!$2:$2,0)-MATCH($F$1,[1]characters!$2:$2,0)+1),MATCH(J$1,[1]characters!$2:$2,0)-MATCH($F$1,[1]characters!$2:$2,0)+1,FALSE)</f>
        <v>blue</v>
      </c>
      <c r="K144" s="10" t="str">
        <f ca="1">VLOOKUP($F144,OFFSET([1]characters!$A$2,0,0,COUNTA([1]characters!$A:$A),MATCH("タイプ",[1]characters!$1:$1,0)-MATCH($F$1,[1]characters!$2:$2,0)+2),MATCH("タイプ",[1]characters!$1:$1,0)-MATCH($F$1,[1]characters!$2:$2,0)+2,FALSE)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4" s="10" t="str">
        <f ca="1">VLOOKUP($F144,OFFSET([1]characters!$A$2,0,0,COUNTA([1]characters!$A:$A),MATCH($L$1,[1]characters!$1:$1,0)-MATCH($F$1,[1]characters!$2:$2,0)+2),MATCH($L$1,[1]characters!$1:$1,0)-MATCH($F$1,[1]characters!$2:$2,0)+2,FALSE)</f>
        <v>ゴッド</v>
      </c>
      <c r="M144" s="6">
        <v>1</v>
      </c>
      <c r="N144" s="40">
        <f ca="1">VLOOKUP(D144,gacha_133_base!A:B,2,FALSE)</f>
        <v>2460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4"/>
        <v>02111</v>
      </c>
      <c r="B145" s="2">
        <f t="shared" si="11"/>
        <v>134</v>
      </c>
      <c r="C145" s="10" t="str">
        <f t="shared" ca="1" si="9"/>
        <v>0PremiumN3</v>
      </c>
      <c r="D145" s="10" t="str">
        <f t="shared" ca="1" si="10"/>
        <v>0PremiumN3</v>
      </c>
      <c r="E145" s="6">
        <v>0</v>
      </c>
      <c r="F145" s="7">
        <v>211</v>
      </c>
      <c r="G145" s="10" t="str">
        <f ca="1">VLOOKUP($F145,OFFSET([1]characters!$A$2,0,0,COUNTA([1]characters!$A:$A),MATCH(G$1,[1]characters!$2:$2,0)-MATCH($F$1,[1]characters!$2:$2,0)+1),MATCH(G$1,[1]characters!$2:$2,0)-MATCH($F$1,[1]characters!$2:$2,0)+1,FALSE)</f>
        <v>アストライアー</v>
      </c>
      <c r="H145" s="10" t="str">
        <f ca="1">VLOOKUP($F145,OFFSET([1]characters!$A$2,0,0,COUNTA([1]characters!$A:$A),MATCH(H$1,[1]characters!$2:$2,0)-MATCH($F$1,[1]characters!$2:$2,0)+1),MATCH(H$1,[1]characters!$2:$2,0)-MATCH($F$1,[1]characters!$2:$2,0)+1,FALSE)</f>
        <v>PremiumN</v>
      </c>
      <c r="I145" s="10">
        <f ca="1">VLOOKUP($F145,OFFSET([1]characters!$A$2,0,0,COUNTA([1]characters!$A:$A),MATCH(I$1,[1]characters!$2:$2,0)-MATCH($F$1,[1]characters!$2:$2,0)+1),MATCH(I$1,[1]characters!$2:$2,0)-MATCH($F$1,[1]characters!$2:$2,0)+1,FALSE)</f>
        <v>3</v>
      </c>
      <c r="J145" s="10" t="str">
        <f ca="1">VLOOKUP($F145,OFFSET([1]characters!$A$2,0,0,COUNTA([1]characters!$A:$A),MATCH(J$1,[1]characters!$2:$2,0)-MATCH($F$1,[1]characters!$2:$2,0)+1),MATCH(J$1,[1]characters!$2:$2,0)-MATCH($F$1,[1]characters!$2:$2,0)+1,FALSE)</f>
        <v>yellow</v>
      </c>
      <c r="K145" s="10" t="str">
        <f ca="1">VLOOKUP($F145,OFFSET([1]characters!$A$2,0,0,COUNTA([1]characters!$A:$A),MATCH("タイプ",[1]characters!$1:$1,0)-MATCH($F$1,[1]characters!$2:$2,0)+2),MATCH("タイプ",[1]characters!$1:$1,0)-MATCH($F$1,[1]characters!$2:$2,0)+2,FALSE)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5" s="10" t="str">
        <f ca="1">VLOOKUP($F145,OFFSET([1]characters!$A$2,0,0,COUNTA([1]characters!$A:$A),MATCH($L$1,[1]characters!$1:$1,0)-MATCH($F$1,[1]characters!$2:$2,0)+2),MATCH($L$1,[1]characters!$1:$1,0)-MATCH($F$1,[1]characters!$2:$2,0)+2,FALSE)</f>
        <v>ゴッド</v>
      </c>
      <c r="M145" s="6">
        <v>1</v>
      </c>
      <c r="N145" s="40">
        <f ca="1">VLOOKUP(D145,gacha_133_base!A:B,2,FALSE)</f>
        <v>2460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4"/>
        <v>02141</v>
      </c>
      <c r="B146" s="2">
        <f t="shared" si="11"/>
        <v>134</v>
      </c>
      <c r="C146" s="10" t="str">
        <f t="shared" ca="1" si="9"/>
        <v>0PremiumN3</v>
      </c>
      <c r="D146" s="10" t="str">
        <f t="shared" ca="1" si="10"/>
        <v>0PremiumN3</v>
      </c>
      <c r="E146" s="6">
        <v>0</v>
      </c>
      <c r="F146" s="7">
        <v>214</v>
      </c>
      <c r="G146" s="10" t="str">
        <f ca="1">VLOOKUP($F146,OFFSET([1]characters!$A$2,0,0,COUNTA([1]characters!$A:$A),MATCH(G$1,[1]characters!$2:$2,0)-MATCH($F$1,[1]characters!$2:$2,0)+1),MATCH(G$1,[1]characters!$2:$2,0)-MATCH($F$1,[1]characters!$2:$2,0)+1,FALSE)</f>
        <v>アズラエル</v>
      </c>
      <c r="H146" s="10" t="str">
        <f ca="1">VLOOKUP($F146,OFFSET([1]characters!$A$2,0,0,COUNTA([1]characters!$A:$A),MATCH(H$1,[1]characters!$2:$2,0)-MATCH($F$1,[1]characters!$2:$2,0)+1),MATCH(H$1,[1]characters!$2:$2,0)-MATCH($F$1,[1]characters!$2:$2,0)+1,FALSE)</f>
        <v>PremiumN</v>
      </c>
      <c r="I146" s="10">
        <f ca="1">VLOOKUP($F146,OFFSET([1]characters!$A$2,0,0,COUNTA([1]characters!$A:$A),MATCH(I$1,[1]characters!$2:$2,0)-MATCH($F$1,[1]characters!$2:$2,0)+1),MATCH(I$1,[1]characters!$2:$2,0)-MATCH($F$1,[1]characters!$2:$2,0)+1,FALSE)</f>
        <v>3</v>
      </c>
      <c r="J146" s="10" t="str">
        <f ca="1">VLOOKUP($F146,OFFSET([1]characters!$A$2,0,0,COUNTA([1]characters!$A:$A),MATCH(J$1,[1]characters!$2:$2,0)-MATCH($F$1,[1]characters!$2:$2,0)+1),MATCH(J$1,[1]characters!$2:$2,0)-MATCH($F$1,[1]characters!$2:$2,0)+1,FALSE)</f>
        <v>red</v>
      </c>
      <c r="K146" s="10" t="str">
        <f ca="1">VLOOKUP($F146,OFFSET([1]characters!$A$2,0,0,COUNTA([1]characters!$A:$A),MATCH("タイプ",[1]characters!$1:$1,0)-MATCH($F$1,[1]characters!$2:$2,0)+2),MATCH("タイプ",[1]characters!$1:$1,0)-MATCH($F$1,[1]characters!$2:$2,0)+2,FALSE)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6" s="10" t="str">
        <f ca="1">VLOOKUP($F146,OFFSET([1]characters!$A$2,0,0,COUNTA([1]characters!$A:$A),MATCH($L$1,[1]characters!$1:$1,0)-MATCH($F$1,[1]characters!$2:$2,0)+2),MATCH($L$1,[1]characters!$1:$1,0)-MATCH($F$1,[1]characters!$2:$2,0)+2,FALSE)</f>
        <v>ゴッド</v>
      </c>
      <c r="M146" s="6">
        <v>1</v>
      </c>
      <c r="N146" s="40">
        <f ca="1">VLOOKUP(D146,gacha_133_base!A:B,2,FALSE)</f>
        <v>2460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4"/>
        <v>02171</v>
      </c>
      <c r="B147" s="2">
        <f t="shared" si="11"/>
        <v>134</v>
      </c>
      <c r="C147" s="10" t="str">
        <f t="shared" ca="1" si="9"/>
        <v>0PremiumN3</v>
      </c>
      <c r="D147" s="10" t="str">
        <f t="shared" ca="1" si="10"/>
        <v>0PremiumN3</v>
      </c>
      <c r="E147" s="6">
        <v>0</v>
      </c>
      <c r="F147" s="7">
        <v>217</v>
      </c>
      <c r="G147" s="10" t="str">
        <f ca="1">VLOOKUP($F147,OFFSET([1]characters!$A$2,0,0,COUNTA([1]characters!$A:$A),MATCH(G$1,[1]characters!$2:$2,0)-MATCH($F$1,[1]characters!$2:$2,0)+1),MATCH(G$1,[1]characters!$2:$2,0)-MATCH($F$1,[1]characters!$2:$2,0)+1,FALSE)</f>
        <v>ケツァクアトル</v>
      </c>
      <c r="H147" s="10" t="str">
        <f ca="1">VLOOKUP($F147,OFFSET([1]characters!$A$2,0,0,COUNTA([1]characters!$A:$A),MATCH(H$1,[1]characters!$2:$2,0)-MATCH($F$1,[1]characters!$2:$2,0)+1),MATCH(H$1,[1]characters!$2:$2,0)-MATCH($F$1,[1]characters!$2:$2,0)+1,FALSE)</f>
        <v>PremiumN</v>
      </c>
      <c r="I147" s="10">
        <f ca="1">VLOOKUP($F147,OFFSET([1]characters!$A$2,0,0,COUNTA([1]characters!$A:$A),MATCH(I$1,[1]characters!$2:$2,0)-MATCH($F$1,[1]characters!$2:$2,0)+1),MATCH(I$1,[1]characters!$2:$2,0)-MATCH($F$1,[1]characters!$2:$2,0)+1,FALSE)</f>
        <v>3</v>
      </c>
      <c r="J147" s="10" t="str">
        <f ca="1">VLOOKUP($F147,OFFSET([1]characters!$A$2,0,0,COUNTA([1]characters!$A:$A),MATCH(J$1,[1]characters!$2:$2,0)-MATCH($F$1,[1]characters!$2:$2,0)+1),MATCH(J$1,[1]characters!$2:$2,0)-MATCH($F$1,[1]characters!$2:$2,0)+1,FALSE)</f>
        <v>green</v>
      </c>
      <c r="K147" s="10" t="str">
        <f ca="1">VLOOKUP($F147,OFFSET([1]characters!$A$2,0,0,COUNTA([1]characters!$A:$A),MATCH("タイプ",[1]characters!$1:$1,0)-MATCH($F$1,[1]characters!$2:$2,0)+2),MATCH("タイプ",[1]characters!$1:$1,0)-MATCH($F$1,[1]characters!$2:$2,0)+2,FALSE)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7" s="10" t="str">
        <f ca="1">VLOOKUP($F147,OFFSET([1]characters!$A$2,0,0,COUNTA([1]characters!$A:$A),MATCH($L$1,[1]characters!$1:$1,0)-MATCH($F$1,[1]characters!$2:$2,0)+2),MATCH($L$1,[1]characters!$1:$1,0)-MATCH($F$1,[1]characters!$2:$2,0)+2,FALSE)</f>
        <v>ドラゴン</v>
      </c>
      <c r="M147" s="6">
        <v>1</v>
      </c>
      <c r="N147" s="40">
        <f ca="1">VLOOKUP(D147,gacha_133_base!A:B,2,FALSE)</f>
        <v>2460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4"/>
        <v>02201</v>
      </c>
      <c r="B148" s="2">
        <f t="shared" si="11"/>
        <v>134</v>
      </c>
      <c r="C148" s="10" t="str">
        <f t="shared" ca="1" si="9"/>
        <v>0PremiumN3</v>
      </c>
      <c r="D148" s="10" t="str">
        <f t="shared" ca="1" si="10"/>
        <v>0PremiumN3</v>
      </c>
      <c r="E148" s="6">
        <v>0</v>
      </c>
      <c r="F148" s="7">
        <v>220</v>
      </c>
      <c r="G148" s="10" t="str">
        <f ca="1">VLOOKUP($F148,OFFSET([1]characters!$A$2,0,0,COUNTA([1]characters!$A:$A),MATCH(G$1,[1]characters!$2:$2,0)-MATCH($F$1,[1]characters!$2:$2,0)+1),MATCH(G$1,[1]characters!$2:$2,0)-MATCH($F$1,[1]characters!$2:$2,0)+1,FALSE)</f>
        <v>ルキフグス</v>
      </c>
      <c r="H148" s="10" t="str">
        <f ca="1">VLOOKUP($F148,OFFSET([1]characters!$A$2,0,0,COUNTA([1]characters!$A:$A),MATCH(H$1,[1]characters!$2:$2,0)-MATCH($F$1,[1]characters!$2:$2,0)+1),MATCH(H$1,[1]characters!$2:$2,0)-MATCH($F$1,[1]characters!$2:$2,0)+1,FALSE)</f>
        <v>PremiumN</v>
      </c>
      <c r="I148" s="10">
        <f ca="1">VLOOKUP($F148,OFFSET([1]characters!$A$2,0,0,COUNTA([1]characters!$A:$A),MATCH(I$1,[1]characters!$2:$2,0)-MATCH($F$1,[1]characters!$2:$2,0)+1),MATCH(I$1,[1]characters!$2:$2,0)-MATCH($F$1,[1]characters!$2:$2,0)+1,FALSE)</f>
        <v>3</v>
      </c>
      <c r="J148" s="10" t="str">
        <f ca="1">VLOOKUP($F148,OFFSET([1]characters!$A$2,0,0,COUNTA([1]characters!$A:$A),MATCH(J$1,[1]characters!$2:$2,0)-MATCH($F$1,[1]characters!$2:$2,0)+1),MATCH(J$1,[1]characters!$2:$2,0)-MATCH($F$1,[1]characters!$2:$2,0)+1,FALSE)</f>
        <v>blue</v>
      </c>
      <c r="K148" s="10" t="str">
        <f ca="1">VLOOKUP($F148,OFFSET([1]characters!$A$2,0,0,COUNTA([1]characters!$A:$A),MATCH("タイプ",[1]characters!$1:$1,0)-MATCH($F$1,[1]characters!$2:$2,0)+2),MATCH("タイプ",[1]characters!$1:$1,0)-MATCH($F$1,[1]characters!$2:$2,0)+2,FALSE)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8" s="10" t="str">
        <f ca="1">VLOOKUP($F148,OFFSET([1]characters!$A$2,0,0,COUNTA([1]characters!$A:$A),MATCH($L$1,[1]characters!$1:$1,0)-MATCH($F$1,[1]characters!$2:$2,0)+2),MATCH($L$1,[1]characters!$1:$1,0)-MATCH($F$1,[1]characters!$2:$2,0)+2,FALSE)</f>
        <v>ゴッド</v>
      </c>
      <c r="M148" s="6">
        <v>1</v>
      </c>
      <c r="N148" s="40">
        <f ca="1">VLOOKUP(D148,gacha_133_base!A:B,2,FALSE)</f>
        <v>2460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4"/>
        <v>02231</v>
      </c>
      <c r="B149" s="2">
        <f t="shared" si="11"/>
        <v>134</v>
      </c>
      <c r="C149" s="10" t="str">
        <f t="shared" ca="1" si="9"/>
        <v>0PremiumN3</v>
      </c>
      <c r="D149" s="10" t="str">
        <f t="shared" ca="1" si="10"/>
        <v>0PremiumN3</v>
      </c>
      <c r="E149" s="6">
        <v>0</v>
      </c>
      <c r="F149" s="7">
        <v>223</v>
      </c>
      <c r="G149" s="10" t="str">
        <f ca="1">VLOOKUP($F149,OFFSET([1]characters!$A$2,0,0,COUNTA([1]characters!$A:$A),MATCH(G$1,[1]characters!$2:$2,0)-MATCH($F$1,[1]characters!$2:$2,0)+1),MATCH(G$1,[1]characters!$2:$2,0)-MATCH($F$1,[1]characters!$2:$2,0)+1,FALSE)</f>
        <v>ヘラクレス</v>
      </c>
      <c r="H149" s="10" t="str">
        <f ca="1">VLOOKUP($F149,OFFSET([1]characters!$A$2,0,0,COUNTA([1]characters!$A:$A),MATCH(H$1,[1]characters!$2:$2,0)-MATCH($F$1,[1]characters!$2:$2,0)+1),MATCH(H$1,[1]characters!$2:$2,0)-MATCH($F$1,[1]characters!$2:$2,0)+1,FALSE)</f>
        <v>PremiumN</v>
      </c>
      <c r="I149" s="10">
        <f ca="1">VLOOKUP($F149,OFFSET([1]characters!$A$2,0,0,COUNTA([1]characters!$A:$A),MATCH(I$1,[1]characters!$2:$2,0)-MATCH($F$1,[1]characters!$2:$2,0)+1),MATCH(I$1,[1]characters!$2:$2,0)-MATCH($F$1,[1]characters!$2:$2,0)+1,FALSE)</f>
        <v>3</v>
      </c>
      <c r="J149" s="10" t="str">
        <f ca="1">VLOOKUP($F149,OFFSET([1]characters!$A$2,0,0,COUNTA([1]characters!$A:$A),MATCH(J$1,[1]characters!$2:$2,0)-MATCH($F$1,[1]characters!$2:$2,0)+1),MATCH(J$1,[1]characters!$2:$2,0)-MATCH($F$1,[1]characters!$2:$2,0)+1,FALSE)</f>
        <v>yellow</v>
      </c>
      <c r="K149" s="10" t="str">
        <f ca="1">VLOOKUP($F149,OFFSET([1]characters!$A$2,0,0,COUNTA([1]characters!$A:$A),MATCH("タイプ",[1]characters!$1:$1,0)-MATCH($F$1,[1]characters!$2:$2,0)+2),MATCH("タイプ",[1]characters!$1:$1,0)-MATCH($F$1,[1]characters!$2:$2,0)+2,FALSE)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9" s="10" t="str">
        <f ca="1">VLOOKUP($F149,OFFSET([1]characters!$A$2,0,0,COUNTA([1]characters!$A:$A),MATCH($L$1,[1]characters!$1:$1,0)-MATCH($F$1,[1]characters!$2:$2,0)+2),MATCH($L$1,[1]characters!$1:$1,0)-MATCH($F$1,[1]characters!$2:$2,0)+2,FALSE)</f>
        <v>ヒューマン</v>
      </c>
      <c r="M149" s="6">
        <v>1</v>
      </c>
      <c r="N149" s="40">
        <f ca="1">VLOOKUP(D149,gacha_133_base!A:B,2,FALSE)</f>
        <v>2460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4"/>
        <v>02261</v>
      </c>
      <c r="B150" s="2">
        <f t="shared" si="11"/>
        <v>134</v>
      </c>
      <c r="C150" s="10" t="str">
        <f t="shared" ca="1" si="9"/>
        <v>0PremiumS3</v>
      </c>
      <c r="D150" s="10" t="str">
        <f t="shared" ca="1" si="10"/>
        <v>0PremiumS3</v>
      </c>
      <c r="E150" s="6">
        <v>0</v>
      </c>
      <c r="F150" s="7">
        <v>226</v>
      </c>
      <c r="G150" s="10" t="str">
        <f ca="1">VLOOKUP($F150,OFFSET([1]characters!$A$2,0,0,COUNTA([1]characters!$A:$A),MATCH(G$1,[1]characters!$2:$2,0)-MATCH($F$1,[1]characters!$2:$2,0)+1),MATCH(G$1,[1]characters!$2:$2,0)-MATCH($F$1,[1]characters!$2:$2,0)+1,FALSE)</f>
        <v>アレス</v>
      </c>
      <c r="H150" s="10" t="str">
        <f ca="1">VLOOKUP($F150,OFFSET([1]characters!$A$2,0,0,COUNTA([1]characters!$A:$A),MATCH(H$1,[1]characters!$2:$2,0)-MATCH($F$1,[1]characters!$2:$2,0)+1),MATCH(H$1,[1]characters!$2:$2,0)-MATCH($F$1,[1]characters!$2:$2,0)+1,FALSE)</f>
        <v>PremiumS</v>
      </c>
      <c r="I150" s="10">
        <f ca="1">VLOOKUP($F150,OFFSET([1]characters!$A$2,0,0,COUNTA([1]characters!$A:$A),MATCH(I$1,[1]characters!$2:$2,0)-MATCH($F$1,[1]characters!$2:$2,0)+1),MATCH(I$1,[1]characters!$2:$2,0)-MATCH($F$1,[1]characters!$2:$2,0)+1,FALSE)</f>
        <v>3</v>
      </c>
      <c r="J150" s="10" t="str">
        <f ca="1">VLOOKUP($F150,OFFSET([1]characters!$A$2,0,0,COUNTA([1]characters!$A:$A),MATCH(J$1,[1]characters!$2:$2,0)-MATCH($F$1,[1]characters!$2:$2,0)+1),MATCH(J$1,[1]characters!$2:$2,0)-MATCH($F$1,[1]characters!$2:$2,0)+1,FALSE)</f>
        <v>red</v>
      </c>
      <c r="K150" s="10" t="str">
        <f ca="1">VLOOKUP($F150,OFFSET([1]characters!$A$2,0,0,COUNTA([1]characters!$A:$A),MATCH("タイプ",[1]characters!$1:$1,0)-MATCH($F$1,[1]characters!$2:$2,0)+2),MATCH("タイプ",[1]characters!$1:$1,0)-MATCH($F$1,[1]characters!$2:$2,0)+2,FALSE)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0" s="10" t="str">
        <f ca="1">VLOOKUP($F150,OFFSET([1]characters!$A$2,0,0,COUNTA([1]characters!$A:$A),MATCH($L$1,[1]characters!$1:$1,0)-MATCH($F$1,[1]characters!$2:$2,0)+2),MATCH($L$1,[1]characters!$1:$1,0)-MATCH($F$1,[1]characters!$2:$2,0)+2,FALSE)</f>
        <v>ゴッド</v>
      </c>
      <c r="M150" s="6">
        <v>1</v>
      </c>
      <c r="N150" s="40">
        <f ca="1">VLOOKUP(D150,gacha_133_base!A:B,2,FALSE)</f>
        <v>228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4"/>
        <v>02291</v>
      </c>
      <c r="B151" s="2">
        <f t="shared" si="11"/>
        <v>134</v>
      </c>
      <c r="C151" s="10" t="str">
        <f t="shared" ca="1" si="9"/>
        <v>0PremiumS3</v>
      </c>
      <c r="D151" s="10" t="str">
        <f t="shared" ca="1" si="10"/>
        <v>0PremiumS3</v>
      </c>
      <c r="E151" s="6">
        <v>0</v>
      </c>
      <c r="F151" s="7">
        <v>229</v>
      </c>
      <c r="G151" s="10" t="str">
        <f ca="1">VLOOKUP($F151,OFFSET([1]characters!$A$2,0,0,COUNTA([1]characters!$A:$A),MATCH(G$1,[1]characters!$2:$2,0)-MATCH($F$1,[1]characters!$2:$2,0)+1),MATCH(G$1,[1]characters!$2:$2,0)-MATCH($F$1,[1]characters!$2:$2,0)+1,FALSE)</f>
        <v>ヨルムンガンド</v>
      </c>
      <c r="H151" s="10" t="str">
        <f ca="1">VLOOKUP($F151,OFFSET([1]characters!$A$2,0,0,COUNTA([1]characters!$A:$A),MATCH(H$1,[1]characters!$2:$2,0)-MATCH($F$1,[1]characters!$2:$2,0)+1),MATCH(H$1,[1]characters!$2:$2,0)-MATCH($F$1,[1]characters!$2:$2,0)+1,FALSE)</f>
        <v>PremiumS</v>
      </c>
      <c r="I151" s="10">
        <f ca="1">VLOOKUP($F151,OFFSET([1]characters!$A$2,0,0,COUNTA([1]characters!$A:$A),MATCH(I$1,[1]characters!$2:$2,0)-MATCH($F$1,[1]characters!$2:$2,0)+1),MATCH(I$1,[1]characters!$2:$2,0)-MATCH($F$1,[1]characters!$2:$2,0)+1,FALSE)</f>
        <v>3</v>
      </c>
      <c r="J151" s="10" t="str">
        <f ca="1">VLOOKUP($F151,OFFSET([1]characters!$A$2,0,0,COUNTA([1]characters!$A:$A),MATCH(J$1,[1]characters!$2:$2,0)-MATCH($F$1,[1]characters!$2:$2,0)+1),MATCH(J$1,[1]characters!$2:$2,0)-MATCH($F$1,[1]characters!$2:$2,0)+1,FALSE)</f>
        <v>green</v>
      </c>
      <c r="K151" s="10" t="str">
        <f ca="1">VLOOKUP($F151,OFFSET([1]characters!$A$2,0,0,COUNTA([1]characters!$A:$A),MATCH("タイプ",[1]characters!$1:$1,0)-MATCH($F$1,[1]characters!$2:$2,0)+2),MATCH("タイプ",[1]characters!$1:$1,0)-MATCH($F$1,[1]characters!$2:$2,0)+2,FALSE)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1" s="10" t="str">
        <f ca="1">VLOOKUP($F151,OFFSET([1]characters!$A$2,0,0,COUNTA([1]characters!$A:$A),MATCH($L$1,[1]characters!$1:$1,0)-MATCH($F$1,[1]characters!$2:$2,0)+2),MATCH($L$1,[1]characters!$1:$1,0)-MATCH($F$1,[1]characters!$2:$2,0)+2,FALSE)</f>
        <v>ドラゴン</v>
      </c>
      <c r="M151" s="6">
        <v>1</v>
      </c>
      <c r="N151" s="40">
        <f ca="1">VLOOKUP(D151,gacha_133_base!A:B,2,FALSE)</f>
        <v>228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4"/>
        <v>02321</v>
      </c>
      <c r="B152" s="2">
        <f t="shared" si="11"/>
        <v>134</v>
      </c>
      <c r="C152" s="10" t="str">
        <f t="shared" ca="1" si="9"/>
        <v>0PremiumS3</v>
      </c>
      <c r="D152" s="10" t="str">
        <f t="shared" ca="1" si="10"/>
        <v>0PremiumS3</v>
      </c>
      <c r="E152" s="6">
        <v>0</v>
      </c>
      <c r="F152" s="7">
        <v>232</v>
      </c>
      <c r="G152" s="10" t="str">
        <f ca="1">VLOOKUP($F152,OFFSET([1]characters!$A$2,0,0,COUNTA([1]characters!$A:$A),MATCH(G$1,[1]characters!$2:$2,0)-MATCH($F$1,[1]characters!$2:$2,0)+1),MATCH(G$1,[1]characters!$2:$2,0)-MATCH($F$1,[1]characters!$2:$2,0)+1,FALSE)</f>
        <v>パーシヴァル</v>
      </c>
      <c r="H152" s="10" t="str">
        <f ca="1">VLOOKUP($F152,OFFSET([1]characters!$A$2,0,0,COUNTA([1]characters!$A:$A),MATCH(H$1,[1]characters!$2:$2,0)-MATCH($F$1,[1]characters!$2:$2,0)+1),MATCH(H$1,[1]characters!$2:$2,0)-MATCH($F$1,[1]characters!$2:$2,0)+1,FALSE)</f>
        <v>PremiumS</v>
      </c>
      <c r="I152" s="10">
        <f ca="1">VLOOKUP($F152,OFFSET([1]characters!$A$2,0,0,COUNTA([1]characters!$A:$A),MATCH(I$1,[1]characters!$2:$2,0)-MATCH($F$1,[1]characters!$2:$2,0)+1),MATCH(I$1,[1]characters!$2:$2,0)-MATCH($F$1,[1]characters!$2:$2,0)+1,FALSE)</f>
        <v>3</v>
      </c>
      <c r="J152" s="10" t="str">
        <f ca="1">VLOOKUP($F152,OFFSET([1]characters!$A$2,0,0,COUNTA([1]characters!$A:$A),MATCH(J$1,[1]characters!$2:$2,0)-MATCH($F$1,[1]characters!$2:$2,0)+1),MATCH(J$1,[1]characters!$2:$2,0)-MATCH($F$1,[1]characters!$2:$2,0)+1,FALSE)</f>
        <v>blue</v>
      </c>
      <c r="K152" s="10" t="str">
        <f ca="1">VLOOKUP($F152,OFFSET([1]characters!$A$2,0,0,COUNTA([1]characters!$A:$A),MATCH("タイプ",[1]characters!$1:$1,0)-MATCH($F$1,[1]characters!$2:$2,0)+2),MATCH("タイプ",[1]characters!$1:$1,0)-MATCH($F$1,[1]characters!$2:$2,0)+2,FALSE)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2" s="10" t="str">
        <f ca="1">VLOOKUP($F152,OFFSET([1]characters!$A$2,0,0,COUNTA([1]characters!$A:$A),MATCH($L$1,[1]characters!$1:$1,0)-MATCH($F$1,[1]characters!$2:$2,0)+2),MATCH($L$1,[1]characters!$1:$1,0)-MATCH($F$1,[1]characters!$2:$2,0)+2,FALSE)</f>
        <v>ヒューマン</v>
      </c>
      <c r="M152" s="6">
        <v>1</v>
      </c>
      <c r="N152" s="40">
        <f ca="1">VLOOKUP(D152,gacha_133_base!A:B,2,FALSE)</f>
        <v>228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4"/>
        <v>02351</v>
      </c>
      <c r="B153" s="2">
        <f t="shared" si="11"/>
        <v>134</v>
      </c>
      <c r="C153" s="10" t="str">
        <f t="shared" ca="1" si="9"/>
        <v>0PremiumS3</v>
      </c>
      <c r="D153" s="10" t="str">
        <f t="shared" ca="1" si="10"/>
        <v>0PremiumS3</v>
      </c>
      <c r="E153" s="6">
        <v>0</v>
      </c>
      <c r="F153" s="7">
        <v>235</v>
      </c>
      <c r="G153" s="10" t="str">
        <f ca="1">VLOOKUP($F153,OFFSET([1]characters!$A$2,0,0,COUNTA([1]characters!$A:$A),MATCH(G$1,[1]characters!$2:$2,0)-MATCH($F$1,[1]characters!$2:$2,0)+1),MATCH(G$1,[1]characters!$2:$2,0)-MATCH($F$1,[1]characters!$2:$2,0)+1,FALSE)</f>
        <v>イザナミ</v>
      </c>
      <c r="H153" s="10" t="str">
        <f ca="1">VLOOKUP($F153,OFFSET([1]characters!$A$2,0,0,COUNTA([1]characters!$A:$A),MATCH(H$1,[1]characters!$2:$2,0)-MATCH($F$1,[1]characters!$2:$2,0)+1),MATCH(H$1,[1]characters!$2:$2,0)-MATCH($F$1,[1]characters!$2:$2,0)+1,FALSE)</f>
        <v>PremiumS</v>
      </c>
      <c r="I153" s="10">
        <f ca="1">VLOOKUP($F153,OFFSET([1]characters!$A$2,0,0,COUNTA([1]characters!$A:$A),MATCH(I$1,[1]characters!$2:$2,0)-MATCH($F$1,[1]characters!$2:$2,0)+1),MATCH(I$1,[1]characters!$2:$2,0)-MATCH($F$1,[1]characters!$2:$2,0)+1,FALSE)</f>
        <v>3</v>
      </c>
      <c r="J153" s="10" t="str">
        <f ca="1">VLOOKUP($F153,OFFSET([1]characters!$A$2,0,0,COUNTA([1]characters!$A:$A),MATCH(J$1,[1]characters!$2:$2,0)-MATCH($F$1,[1]characters!$2:$2,0)+1),MATCH(J$1,[1]characters!$2:$2,0)-MATCH($F$1,[1]characters!$2:$2,0)+1,FALSE)</f>
        <v>yellow</v>
      </c>
      <c r="K153" s="10" t="str">
        <f ca="1">VLOOKUP($F153,OFFSET([1]characters!$A$2,0,0,COUNTA([1]characters!$A:$A),MATCH("タイプ",[1]characters!$1:$1,0)-MATCH($F$1,[1]characters!$2:$2,0)+2),MATCH("タイプ",[1]characters!$1:$1,0)-MATCH($F$1,[1]characters!$2:$2,0)+2,FALSE)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3" s="10" t="str">
        <f ca="1">VLOOKUP($F153,OFFSET([1]characters!$A$2,0,0,COUNTA([1]characters!$A:$A),MATCH($L$1,[1]characters!$1:$1,0)-MATCH($F$1,[1]characters!$2:$2,0)+2),MATCH($L$1,[1]characters!$1:$1,0)-MATCH($F$1,[1]characters!$2:$2,0)+2,FALSE)</f>
        <v>ゴッド</v>
      </c>
      <c r="M153" s="6">
        <v>1</v>
      </c>
      <c r="N153" s="40">
        <f ca="1">VLOOKUP(D153,gacha_133_base!A:B,2,FALSE)</f>
        <v>228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4"/>
        <v>01271</v>
      </c>
      <c r="B154" s="2">
        <f t="shared" si="11"/>
        <v>134</v>
      </c>
      <c r="C154" s="10" t="str">
        <f t="shared" ca="1" si="9"/>
        <v>0PremiumW4</v>
      </c>
      <c r="D154" s="10" t="str">
        <f t="shared" ca="1" si="10"/>
        <v>0PremiumW4</v>
      </c>
      <c r="E154" s="6">
        <v>0</v>
      </c>
      <c r="F154" s="7">
        <v>127</v>
      </c>
      <c r="G154" s="10" t="str">
        <f ca="1">VLOOKUP($F154,OFFSET([1]characters!$A$2,0,0,COUNTA([1]characters!$A:$A),MATCH(G$1,[1]characters!$2:$2,0)-MATCH($F$1,[1]characters!$2:$2,0)+1),MATCH(G$1,[1]characters!$2:$2,0)-MATCH($F$1,[1]characters!$2:$2,0)+1,FALSE)</f>
        <v>狂喜の賢者 ユノ</v>
      </c>
      <c r="H154" s="10" t="str">
        <f ca="1">VLOOKUP($F154,OFFSET([1]characters!$A$2,0,0,COUNTA([1]characters!$A:$A),MATCH(H$1,[1]characters!$2:$2,0)-MATCH($F$1,[1]characters!$2:$2,0)+1),MATCH(H$1,[1]characters!$2:$2,0)-MATCH($F$1,[1]characters!$2:$2,0)+1,FALSE)</f>
        <v>PremiumW</v>
      </c>
      <c r="I154" s="10">
        <f ca="1">VLOOKUP($F154,OFFSET([1]characters!$A$2,0,0,COUNTA([1]characters!$A:$A),MATCH(I$1,[1]characters!$2:$2,0)-MATCH($F$1,[1]characters!$2:$2,0)+1),MATCH(I$1,[1]characters!$2:$2,0)-MATCH($F$1,[1]characters!$2:$2,0)+1,FALSE)</f>
        <v>4</v>
      </c>
      <c r="J154" s="10" t="str">
        <f ca="1">VLOOKUP($F154,OFFSET([1]characters!$A$2,0,0,COUNTA([1]characters!$A:$A),MATCH(J$1,[1]characters!$2:$2,0)-MATCH($F$1,[1]characters!$2:$2,0)+1),MATCH(J$1,[1]characters!$2:$2,0)-MATCH($F$1,[1]characters!$2:$2,0)+1,FALSE)</f>
        <v>red</v>
      </c>
      <c r="K154" s="10" t="str">
        <f ca="1">VLOOKUP($F154,OFFSET([1]characters!$A$2,0,0,COUNTA([1]characters!$A:$A),MATCH("タイプ",[1]characters!$1:$1,0)-MATCH($F$1,[1]characters!$2:$2,0)+2),MATCH("タイプ",[1]characters!$1:$1,0)-MATCH($F$1,[1]characters!$2:$2,0)+2,FALSE)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4" s="10" t="str">
        <f ca="1">VLOOKUP($F154,OFFSET([1]characters!$A$2,0,0,COUNTA([1]characters!$A:$A),MATCH($L$1,[1]characters!$1:$1,0)-MATCH($F$1,[1]characters!$2:$2,0)+2),MATCH($L$1,[1]characters!$1:$1,0)-MATCH($F$1,[1]characters!$2:$2,0)+2,FALSE)</f>
        <v>ヒューマン</v>
      </c>
      <c r="M154" s="6">
        <v>1</v>
      </c>
      <c r="N154" s="40">
        <f ca="1">VLOOKUP(D154,gacha_133_base!A:B,2,FALSE)</f>
        <v>801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si="4"/>
        <v>01291</v>
      </c>
      <c r="B155" s="2">
        <f t="shared" si="11"/>
        <v>134</v>
      </c>
      <c r="C155" s="10" t="str">
        <f t="shared" ca="1" si="9"/>
        <v>0PremiumW4</v>
      </c>
      <c r="D155" s="10" t="str">
        <f t="shared" ca="1" si="10"/>
        <v>0PremiumW4</v>
      </c>
      <c r="E155" s="6">
        <v>0</v>
      </c>
      <c r="F155" s="7">
        <v>129</v>
      </c>
      <c r="G155" s="10" t="str">
        <f ca="1">VLOOKUP($F155,OFFSET([1]characters!$A$2,0,0,COUNTA([1]characters!$A:$A),MATCH(G$1,[1]characters!$2:$2,0)-MATCH($F$1,[1]characters!$2:$2,0)+1),MATCH(G$1,[1]characters!$2:$2,0)-MATCH($F$1,[1]characters!$2:$2,0)+1,FALSE)</f>
        <v>孤高の狼憑き アマラ</v>
      </c>
      <c r="H155" s="10" t="str">
        <f ca="1">VLOOKUP($F155,OFFSET([1]characters!$A$2,0,0,COUNTA([1]characters!$A:$A),MATCH(H$1,[1]characters!$2:$2,0)-MATCH($F$1,[1]characters!$2:$2,0)+1),MATCH(H$1,[1]characters!$2:$2,0)-MATCH($F$1,[1]characters!$2:$2,0)+1,FALSE)</f>
        <v>PremiumW</v>
      </c>
      <c r="I155" s="10">
        <f ca="1">VLOOKUP($F155,OFFSET([1]characters!$A$2,0,0,COUNTA([1]characters!$A:$A),MATCH(I$1,[1]characters!$2:$2,0)-MATCH($F$1,[1]characters!$2:$2,0)+1),MATCH(I$1,[1]characters!$2:$2,0)-MATCH($F$1,[1]characters!$2:$2,0)+1,FALSE)</f>
        <v>4</v>
      </c>
      <c r="J155" s="10" t="str">
        <f ca="1">VLOOKUP($F155,OFFSET([1]characters!$A$2,0,0,COUNTA([1]characters!$A:$A),MATCH(J$1,[1]characters!$2:$2,0)-MATCH($F$1,[1]characters!$2:$2,0)+1),MATCH(J$1,[1]characters!$2:$2,0)-MATCH($F$1,[1]characters!$2:$2,0)+1,FALSE)</f>
        <v>green</v>
      </c>
      <c r="K155" s="10" t="str">
        <f ca="1">VLOOKUP($F155,OFFSET([1]characters!$A$2,0,0,COUNTA([1]characters!$A:$A),MATCH("タイプ",[1]characters!$1:$1,0)-MATCH($F$1,[1]characters!$2:$2,0)+2),MATCH("タイプ",[1]characters!$1:$1,0)-MATCH($F$1,[1]characters!$2:$2,0)+2,FALSE)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5" s="10" t="str">
        <f ca="1">VLOOKUP($F155,OFFSET([1]characters!$A$2,0,0,COUNTA([1]characters!$A:$A),MATCH($L$1,[1]characters!$1:$1,0)-MATCH($F$1,[1]characters!$2:$2,0)+2),MATCH($L$1,[1]characters!$1:$1,0)-MATCH($F$1,[1]characters!$2:$2,0)+2,FALSE)</f>
        <v>ヒューマン</v>
      </c>
      <c r="M155" s="6">
        <v>1</v>
      </c>
      <c r="N155" s="40">
        <f ca="1">VLOOKUP(D155,gacha_133_base!A:B,2,FALSE)</f>
        <v>801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4"/>
        <v>01311</v>
      </c>
      <c r="B156" s="2">
        <f t="shared" si="11"/>
        <v>134</v>
      </c>
      <c r="C156" s="10" t="str">
        <f t="shared" ca="1" si="9"/>
        <v>0PremiumW4</v>
      </c>
      <c r="D156" s="10" t="str">
        <f t="shared" ca="1" si="10"/>
        <v>0PremiumW4</v>
      </c>
      <c r="E156" s="6">
        <v>0</v>
      </c>
      <c r="F156" s="7">
        <v>131</v>
      </c>
      <c r="G156" s="10" t="str">
        <f ca="1">VLOOKUP($F156,OFFSET([1]characters!$A$2,0,0,COUNTA([1]characters!$A:$A),MATCH(G$1,[1]characters!$2:$2,0)-MATCH($F$1,[1]characters!$2:$2,0)+1),MATCH(G$1,[1]characters!$2:$2,0)-MATCH($F$1,[1]characters!$2:$2,0)+1,FALSE)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156" s="10" t="str">
        <f ca="1">VLOOKUP($F156,OFFSET([1]characters!$A$2,0,0,COUNTA([1]characters!$A:$A),MATCH(H$1,[1]characters!$2:$2,0)-MATCH($F$1,[1]characters!$2:$2,0)+1),MATCH(H$1,[1]characters!$2:$2,0)-MATCH($F$1,[1]characters!$2:$2,0)+1,FALSE)</f>
        <v>PremiumW</v>
      </c>
      <c r="I156" s="10">
        <f ca="1">VLOOKUP($F156,OFFSET([1]characters!$A$2,0,0,COUNTA([1]characters!$A:$A),MATCH(I$1,[1]characters!$2:$2,0)-MATCH($F$1,[1]characters!$2:$2,0)+1),MATCH(I$1,[1]characters!$2:$2,0)-MATCH($F$1,[1]characters!$2:$2,0)+1,FALSE)</f>
        <v>4</v>
      </c>
      <c r="J156" s="10" t="str">
        <f ca="1">VLOOKUP($F156,OFFSET([1]characters!$A$2,0,0,COUNTA([1]characters!$A:$A),MATCH(J$1,[1]characters!$2:$2,0)-MATCH($F$1,[1]characters!$2:$2,0)+1),MATCH(J$1,[1]characters!$2:$2,0)-MATCH($F$1,[1]characters!$2:$2,0)+1,FALSE)</f>
        <v>blue</v>
      </c>
      <c r="K156" s="10" t="str">
        <f ca="1">VLOOKUP($F156,OFFSET([1]characters!$A$2,0,0,COUNTA([1]characters!$A:$A),MATCH("タイプ",[1]characters!$1:$1,0)-MATCH($F$1,[1]characters!$2:$2,0)+2),MATCH("タイプ",[1]characters!$1:$1,0)-MATCH($F$1,[1]characters!$2:$2,0)+2,FALSE)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6" s="10" t="str">
        <f ca="1">VLOOKUP($F156,OFFSET([1]characters!$A$2,0,0,COUNTA([1]characters!$A:$A),MATCH($L$1,[1]characters!$1:$1,0)-MATCH($F$1,[1]characters!$2:$2,0)+2),MATCH($L$1,[1]characters!$1:$1,0)-MATCH($F$1,[1]characters!$2:$2,0)+2,FALSE)</f>
        <v>アニマル</v>
      </c>
      <c r="M156" s="6">
        <v>1</v>
      </c>
      <c r="N156" s="40">
        <f ca="1">VLOOKUP(D156,gacha_133_base!A:B,2,FALSE)</f>
        <v>801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4"/>
        <v>01331</v>
      </c>
      <c r="B157" s="2">
        <f t="shared" si="11"/>
        <v>134</v>
      </c>
      <c r="C157" s="10" t="str">
        <f t="shared" ca="1" si="9"/>
        <v>0PremiumW4</v>
      </c>
      <c r="D157" s="10" t="str">
        <f t="shared" ca="1" si="10"/>
        <v>0PremiumW4</v>
      </c>
      <c r="E157" s="6">
        <v>0</v>
      </c>
      <c r="F157" s="7">
        <v>133</v>
      </c>
      <c r="G157" s="10" t="str">
        <f ca="1">VLOOKUP($F157,OFFSET([1]characters!$A$2,0,0,COUNTA([1]characters!$A:$A),MATCH(G$1,[1]characters!$2:$2,0)-MATCH($F$1,[1]characters!$2:$2,0)+1),MATCH(G$1,[1]characters!$2:$2,0)-MATCH($F$1,[1]characters!$2:$2,0)+1,FALSE)</f>
        <v>迅雷の刀剣 ハヤト</v>
      </c>
      <c r="H157" s="10" t="str">
        <f ca="1">VLOOKUP($F157,OFFSET([1]characters!$A$2,0,0,COUNTA([1]characters!$A:$A),MATCH(H$1,[1]characters!$2:$2,0)-MATCH($F$1,[1]characters!$2:$2,0)+1),MATCH(H$1,[1]characters!$2:$2,0)-MATCH($F$1,[1]characters!$2:$2,0)+1,FALSE)</f>
        <v>PremiumW</v>
      </c>
      <c r="I157" s="10">
        <f ca="1">VLOOKUP($F157,OFFSET([1]characters!$A$2,0,0,COUNTA([1]characters!$A:$A),MATCH(I$1,[1]characters!$2:$2,0)-MATCH($F$1,[1]characters!$2:$2,0)+1),MATCH(I$1,[1]characters!$2:$2,0)-MATCH($F$1,[1]characters!$2:$2,0)+1,FALSE)</f>
        <v>4</v>
      </c>
      <c r="J157" s="10" t="str">
        <f ca="1">VLOOKUP($F157,OFFSET([1]characters!$A$2,0,0,COUNTA([1]characters!$A:$A),MATCH(J$1,[1]characters!$2:$2,0)-MATCH($F$1,[1]characters!$2:$2,0)+1),MATCH(J$1,[1]characters!$2:$2,0)-MATCH($F$1,[1]characters!$2:$2,0)+1,FALSE)</f>
        <v>yellow</v>
      </c>
      <c r="K157" s="10" t="str">
        <f ca="1">VLOOKUP($F157,OFFSET([1]characters!$A$2,0,0,COUNTA([1]characters!$A:$A),MATCH("タイプ",[1]characters!$1:$1,0)-MATCH($F$1,[1]characters!$2:$2,0)+2),MATCH("タイプ",[1]characters!$1:$1,0)-MATCH($F$1,[1]characters!$2:$2,0)+2,FALSE)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7" s="10" t="str">
        <f ca="1">VLOOKUP($F157,OFFSET([1]characters!$A$2,0,0,COUNTA([1]characters!$A:$A),MATCH($L$1,[1]characters!$1:$1,0)-MATCH($F$1,[1]characters!$2:$2,0)+2),MATCH($L$1,[1]characters!$1:$1,0)-MATCH($F$1,[1]characters!$2:$2,0)+2,FALSE)</f>
        <v>ヒューマン</v>
      </c>
      <c r="M157" s="6">
        <v>1</v>
      </c>
      <c r="N157" s="40">
        <f ca="1">VLOOKUP(D157,gacha_133_base!A:B,2,FALSE)</f>
        <v>801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4"/>
        <v>01351</v>
      </c>
      <c r="B158" s="2">
        <f t="shared" si="11"/>
        <v>134</v>
      </c>
      <c r="C158" s="10" t="str">
        <f t="shared" ca="1" si="9"/>
        <v>0PremiumW4</v>
      </c>
      <c r="D158" s="10" t="str">
        <f t="shared" ca="1" si="10"/>
        <v>0PremiumW4</v>
      </c>
      <c r="E158" s="6">
        <v>0</v>
      </c>
      <c r="F158" s="7">
        <v>135</v>
      </c>
      <c r="G158" s="10" t="str">
        <f ca="1">VLOOKUP($F158,OFFSET([1]characters!$A$2,0,0,COUNTA([1]characters!$A:$A),MATCH(G$1,[1]characters!$2:$2,0)-MATCH($F$1,[1]characters!$2:$2,0)+1),MATCH(G$1,[1]characters!$2:$2,0)-MATCH($F$1,[1]characters!$2:$2,0)+1,FALSE)</f>
        <v>京の炎華夕霧</v>
      </c>
      <c r="H158" s="10" t="str">
        <f ca="1">VLOOKUP($F158,OFFSET([1]characters!$A$2,0,0,COUNTA([1]characters!$A:$A),MATCH(H$1,[1]characters!$2:$2,0)-MATCH($F$1,[1]characters!$2:$2,0)+1),MATCH(H$1,[1]characters!$2:$2,0)-MATCH($F$1,[1]characters!$2:$2,0)+1,FALSE)</f>
        <v>PremiumW</v>
      </c>
      <c r="I158" s="10">
        <f ca="1">VLOOKUP($F158,OFFSET([1]characters!$A$2,0,0,COUNTA([1]characters!$A:$A),MATCH(I$1,[1]characters!$2:$2,0)-MATCH($F$1,[1]characters!$2:$2,0)+1),MATCH(I$1,[1]characters!$2:$2,0)-MATCH($F$1,[1]characters!$2:$2,0)+1,FALSE)</f>
        <v>4</v>
      </c>
      <c r="J158" s="10" t="str">
        <f ca="1">VLOOKUP($F158,OFFSET([1]characters!$A$2,0,0,COUNTA([1]characters!$A:$A),MATCH(J$1,[1]characters!$2:$2,0)-MATCH($F$1,[1]characters!$2:$2,0)+1),MATCH(J$1,[1]characters!$2:$2,0)-MATCH($F$1,[1]characters!$2:$2,0)+1,FALSE)</f>
        <v>red</v>
      </c>
      <c r="K158" s="10" t="str">
        <f ca="1">VLOOKUP($F158,OFFSET([1]characters!$A$2,0,0,COUNTA([1]characters!$A:$A),MATCH("タイプ",[1]characters!$1:$1,0)-MATCH($F$1,[1]characters!$2:$2,0)+2),MATCH("タイプ",[1]characters!$1:$1,0)-MATCH($F$1,[1]characters!$2:$2,0)+2,FALSE)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8" s="10" t="str">
        <f ca="1">VLOOKUP($F158,OFFSET([1]characters!$A$2,0,0,COUNTA([1]characters!$A:$A),MATCH($L$1,[1]characters!$1:$1,0)-MATCH($F$1,[1]characters!$2:$2,0)+2),MATCH($L$1,[1]characters!$1:$1,0)-MATCH($F$1,[1]characters!$2:$2,0)+2,FALSE)</f>
        <v>ヒューマン</v>
      </c>
      <c r="M158" s="6">
        <v>1</v>
      </c>
      <c r="N158" s="40">
        <f ca="1">VLOOKUP(D158,gacha_133_base!A:B,2,FALSE)</f>
        <v>801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4"/>
        <v>01371</v>
      </c>
      <c r="B159" s="2">
        <f t="shared" si="11"/>
        <v>134</v>
      </c>
      <c r="C159" s="10" t="str">
        <f t="shared" ca="1" si="9"/>
        <v>0PremiumW4</v>
      </c>
      <c r="D159" s="10" t="str">
        <f t="shared" ca="1" si="10"/>
        <v>0PremiumW4</v>
      </c>
      <c r="E159" s="6">
        <v>0</v>
      </c>
      <c r="F159" s="7">
        <v>137</v>
      </c>
      <c r="G159" s="10" t="str">
        <f ca="1">VLOOKUP($F159,OFFSET([1]characters!$A$2,0,0,COUNTA([1]characters!$A:$A),MATCH(G$1,[1]characters!$2:$2,0)-MATCH($F$1,[1]characters!$2:$2,0)+1),MATCH(G$1,[1]characters!$2:$2,0)-MATCH($F$1,[1]characters!$2:$2,0)+1,FALSE)</f>
        <v>清福の仕立屋 チハヤ</v>
      </c>
      <c r="H159" s="10" t="str">
        <f ca="1">VLOOKUP($F159,OFFSET([1]characters!$A$2,0,0,COUNTA([1]characters!$A:$A),MATCH(H$1,[1]characters!$2:$2,0)-MATCH($F$1,[1]characters!$2:$2,0)+1),MATCH(H$1,[1]characters!$2:$2,0)-MATCH($F$1,[1]characters!$2:$2,0)+1,FALSE)</f>
        <v>PremiumW</v>
      </c>
      <c r="I159" s="10">
        <f ca="1">VLOOKUP($F159,OFFSET([1]characters!$A$2,0,0,COUNTA([1]characters!$A:$A),MATCH(I$1,[1]characters!$2:$2,0)-MATCH($F$1,[1]characters!$2:$2,0)+1),MATCH(I$1,[1]characters!$2:$2,0)-MATCH($F$1,[1]characters!$2:$2,0)+1,FALSE)</f>
        <v>4</v>
      </c>
      <c r="J159" s="10" t="str">
        <f ca="1">VLOOKUP($F159,OFFSET([1]characters!$A$2,0,0,COUNTA([1]characters!$A:$A),MATCH(J$1,[1]characters!$2:$2,0)-MATCH($F$1,[1]characters!$2:$2,0)+1),MATCH(J$1,[1]characters!$2:$2,0)-MATCH($F$1,[1]characters!$2:$2,0)+1,FALSE)</f>
        <v>green</v>
      </c>
      <c r="K159" s="10" t="str">
        <f ca="1">VLOOKUP($F159,OFFSET([1]characters!$A$2,0,0,COUNTA([1]characters!$A:$A),MATCH("タイプ",[1]characters!$1:$1,0)-MATCH($F$1,[1]characters!$2:$2,0)+2),MATCH("タイプ",[1]characters!$1:$1,0)-MATCH($F$1,[1]characters!$2:$2,0)+2,FALSE)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9" s="10" t="str">
        <f ca="1">VLOOKUP($F159,OFFSET([1]characters!$A$2,0,0,COUNTA([1]characters!$A:$A),MATCH($L$1,[1]characters!$1:$1,0)-MATCH($F$1,[1]characters!$2:$2,0)+2),MATCH($L$1,[1]characters!$1:$1,0)-MATCH($F$1,[1]characters!$2:$2,0)+2,FALSE)</f>
        <v>ヒューマン</v>
      </c>
      <c r="M159" s="6">
        <v>1</v>
      </c>
      <c r="N159" s="40">
        <f ca="1">VLOOKUP(D159,gacha_133_base!A:B,2,FALSE)</f>
        <v>801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4"/>
        <v>01391</v>
      </c>
      <c r="B160" s="2">
        <f t="shared" si="11"/>
        <v>134</v>
      </c>
      <c r="C160" s="10" t="str">
        <f t="shared" ca="1" si="9"/>
        <v>0PremiumW4</v>
      </c>
      <c r="D160" s="10" t="str">
        <f t="shared" ca="1" si="10"/>
        <v>0PremiumW4</v>
      </c>
      <c r="E160" s="6">
        <v>0</v>
      </c>
      <c r="F160" s="7">
        <v>139</v>
      </c>
      <c r="G160" s="10" t="str">
        <f ca="1">VLOOKUP($F160,OFFSET([1]characters!$A$2,0,0,COUNTA([1]characters!$A:$A),MATCH(G$1,[1]characters!$2:$2,0)-MATCH($F$1,[1]characters!$2:$2,0)+1),MATCH(G$1,[1]characters!$2:$2,0)-MATCH($F$1,[1]characters!$2:$2,0)+1,FALSE)</f>
        <v>蒼昇刃姫 トモエ</v>
      </c>
      <c r="H160" s="10" t="str">
        <f ca="1">VLOOKUP($F160,OFFSET([1]characters!$A$2,0,0,COUNTA([1]characters!$A:$A),MATCH(H$1,[1]characters!$2:$2,0)-MATCH($F$1,[1]characters!$2:$2,0)+1),MATCH(H$1,[1]characters!$2:$2,0)-MATCH($F$1,[1]characters!$2:$2,0)+1,FALSE)</f>
        <v>PremiumW</v>
      </c>
      <c r="I160" s="10">
        <f ca="1">VLOOKUP($F160,OFFSET([1]characters!$A$2,0,0,COUNTA([1]characters!$A:$A),MATCH(I$1,[1]characters!$2:$2,0)-MATCH($F$1,[1]characters!$2:$2,0)+1),MATCH(I$1,[1]characters!$2:$2,0)-MATCH($F$1,[1]characters!$2:$2,0)+1,FALSE)</f>
        <v>4</v>
      </c>
      <c r="J160" s="10" t="str">
        <f ca="1">VLOOKUP($F160,OFFSET([1]characters!$A$2,0,0,COUNTA([1]characters!$A:$A),MATCH(J$1,[1]characters!$2:$2,0)-MATCH($F$1,[1]characters!$2:$2,0)+1),MATCH(J$1,[1]characters!$2:$2,0)-MATCH($F$1,[1]characters!$2:$2,0)+1,FALSE)</f>
        <v>blue</v>
      </c>
      <c r="K160" s="10" t="str">
        <f ca="1">VLOOKUP($F160,OFFSET([1]characters!$A$2,0,0,COUNTA([1]characters!$A:$A),MATCH("タイプ",[1]characters!$1:$1,0)-MATCH($F$1,[1]characters!$2:$2,0)+2),MATCH("タイプ",[1]characters!$1:$1,0)-MATCH($F$1,[1]characters!$2:$2,0)+2,FALSE)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0" s="10" t="str">
        <f ca="1">VLOOKUP($F160,OFFSET([1]characters!$A$2,0,0,COUNTA([1]characters!$A:$A),MATCH($L$1,[1]characters!$1:$1,0)-MATCH($F$1,[1]characters!$2:$2,0)+2),MATCH($L$1,[1]characters!$1:$1,0)-MATCH($F$1,[1]characters!$2:$2,0)+2,FALSE)</f>
        <v>ヒューマン</v>
      </c>
      <c r="M160" s="6">
        <v>1</v>
      </c>
      <c r="N160" s="40">
        <f ca="1">VLOOKUP(D160,gacha_133_base!A:B,2,FALSE)</f>
        <v>801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si="4"/>
        <v>01411</v>
      </c>
      <c r="B161" s="2">
        <f t="shared" si="11"/>
        <v>134</v>
      </c>
      <c r="C161" s="10" t="str">
        <f t="shared" ca="1" si="9"/>
        <v>0PremiumW4</v>
      </c>
      <c r="D161" s="10" t="str">
        <f t="shared" ca="1" si="10"/>
        <v>0PremiumW4</v>
      </c>
      <c r="E161" s="6">
        <v>0</v>
      </c>
      <c r="F161" s="7">
        <v>141</v>
      </c>
      <c r="G161" s="10" t="str">
        <f ca="1">VLOOKUP($F161,OFFSET([1]characters!$A$2,0,0,COUNTA([1]characters!$A:$A),MATCH(G$1,[1]characters!$2:$2,0)-MATCH($F$1,[1]characters!$2:$2,0)+1),MATCH(G$1,[1]characters!$2:$2,0)-MATCH($F$1,[1]characters!$2:$2,0)+1,FALSE)</f>
        <v>妖狐演舞 タマモ</v>
      </c>
      <c r="H161" s="10" t="str">
        <f ca="1">VLOOKUP($F161,OFFSET([1]characters!$A$2,0,0,COUNTA([1]characters!$A:$A),MATCH(H$1,[1]characters!$2:$2,0)-MATCH($F$1,[1]characters!$2:$2,0)+1),MATCH(H$1,[1]characters!$2:$2,0)-MATCH($F$1,[1]characters!$2:$2,0)+1,FALSE)</f>
        <v>PremiumW</v>
      </c>
      <c r="I161" s="10">
        <f ca="1">VLOOKUP($F161,OFFSET([1]characters!$A$2,0,0,COUNTA([1]characters!$A:$A),MATCH(I$1,[1]characters!$2:$2,0)-MATCH($F$1,[1]characters!$2:$2,0)+1),MATCH(I$1,[1]characters!$2:$2,0)-MATCH($F$1,[1]characters!$2:$2,0)+1,FALSE)</f>
        <v>4</v>
      </c>
      <c r="J161" s="10" t="str">
        <f ca="1">VLOOKUP($F161,OFFSET([1]characters!$A$2,0,0,COUNTA([1]characters!$A:$A),MATCH(J$1,[1]characters!$2:$2,0)-MATCH($F$1,[1]characters!$2:$2,0)+1),MATCH(J$1,[1]characters!$2:$2,0)-MATCH($F$1,[1]characters!$2:$2,0)+1,FALSE)</f>
        <v>yellow</v>
      </c>
      <c r="K161" s="10" t="str">
        <f ca="1">VLOOKUP($F161,OFFSET([1]characters!$A$2,0,0,COUNTA([1]characters!$A:$A),MATCH("タイプ",[1]characters!$1:$1,0)-MATCH($F$1,[1]characters!$2:$2,0)+2),MATCH("タイプ",[1]characters!$1:$1,0)-MATCH($F$1,[1]characters!$2:$2,0)+2,FALSE)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1" s="10" t="str">
        <f ca="1">VLOOKUP($F161,OFFSET([1]characters!$A$2,0,0,COUNTA([1]characters!$A:$A),MATCH($L$1,[1]characters!$1:$1,0)-MATCH($F$1,[1]characters!$2:$2,0)+2),MATCH($L$1,[1]characters!$1:$1,0)-MATCH($F$1,[1]characters!$2:$2,0)+2,FALSE)</f>
        <v>アニマル</v>
      </c>
      <c r="M161" s="6">
        <v>1</v>
      </c>
      <c r="N161" s="40">
        <f ca="1">VLOOKUP(D161,gacha_133_base!A:B,2,FALSE)</f>
        <v>801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4"/>
        <v>01431</v>
      </c>
      <c r="B162" s="2">
        <f t="shared" si="11"/>
        <v>134</v>
      </c>
      <c r="C162" s="10" t="str">
        <f t="shared" ca="1" si="9"/>
        <v>0PremiumW4</v>
      </c>
      <c r="D162" s="10" t="str">
        <f t="shared" ca="1" si="10"/>
        <v>0PremiumW4</v>
      </c>
      <c r="E162" s="6">
        <v>0</v>
      </c>
      <c r="F162" s="7">
        <v>143</v>
      </c>
      <c r="G162" s="10" t="str">
        <f ca="1">VLOOKUP($F162,OFFSET([1]characters!$A$2,0,0,COUNTA([1]characters!$A:$A),MATCH(G$1,[1]characters!$2:$2,0)-MATCH($F$1,[1]characters!$2:$2,0)+1),MATCH(G$1,[1]characters!$2:$2,0)-MATCH($F$1,[1]characters!$2:$2,0)+1,FALSE)</f>
        <v>深紅の死神 赤ずきん</v>
      </c>
      <c r="H162" s="10" t="str">
        <f ca="1">VLOOKUP($F162,OFFSET([1]characters!$A$2,0,0,COUNTA([1]characters!$A:$A),MATCH(H$1,[1]characters!$2:$2,0)-MATCH($F$1,[1]characters!$2:$2,0)+1),MATCH(H$1,[1]characters!$2:$2,0)-MATCH($F$1,[1]characters!$2:$2,0)+1,FALSE)</f>
        <v>PremiumW</v>
      </c>
      <c r="I162" s="10">
        <f ca="1">VLOOKUP($F162,OFFSET([1]characters!$A$2,0,0,COUNTA([1]characters!$A:$A),MATCH(I$1,[1]characters!$2:$2,0)-MATCH($F$1,[1]characters!$2:$2,0)+1),MATCH(I$1,[1]characters!$2:$2,0)-MATCH($F$1,[1]characters!$2:$2,0)+1,FALSE)</f>
        <v>4</v>
      </c>
      <c r="J162" s="10" t="str">
        <f ca="1">VLOOKUP($F162,OFFSET([1]characters!$A$2,0,0,COUNTA([1]characters!$A:$A),MATCH(J$1,[1]characters!$2:$2,0)-MATCH($F$1,[1]characters!$2:$2,0)+1),MATCH(J$1,[1]characters!$2:$2,0)-MATCH($F$1,[1]characters!$2:$2,0)+1,FALSE)</f>
        <v>red</v>
      </c>
      <c r="K162" s="10" t="str">
        <f ca="1">VLOOKUP($F162,OFFSET([1]characters!$A$2,0,0,COUNTA([1]characters!$A:$A),MATCH("タイプ",[1]characters!$1:$1,0)-MATCH($F$1,[1]characters!$2:$2,0)+2),MATCH("タイプ",[1]characters!$1:$1,0)-MATCH($F$1,[1]characters!$2:$2,0)+2,FALSE)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2" s="10" t="str">
        <f ca="1">VLOOKUP($F162,OFFSET([1]characters!$A$2,0,0,COUNTA([1]characters!$A:$A),MATCH($L$1,[1]characters!$1:$1,0)-MATCH($F$1,[1]characters!$2:$2,0)+2),MATCH($L$1,[1]characters!$1:$1,0)-MATCH($F$1,[1]characters!$2:$2,0)+2,FALSE)</f>
        <v>ヒューマン</v>
      </c>
      <c r="M162" s="6">
        <v>1</v>
      </c>
      <c r="N162" s="40">
        <f ca="1">VLOOKUP(D162,gacha_133_base!A:B,2,FALSE)</f>
        <v>801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ref="A163:A226" si="12">E163&amp;F163&amp;M163</f>
        <v>01451</v>
      </c>
      <c r="B163" s="2">
        <f t="shared" si="11"/>
        <v>134</v>
      </c>
      <c r="C163" s="10" t="str">
        <f t="shared" ca="1" si="9"/>
        <v>0PremiumW4</v>
      </c>
      <c r="D163" s="10" t="str">
        <f t="shared" ca="1" si="10"/>
        <v>0PremiumW4</v>
      </c>
      <c r="E163" s="6">
        <v>0</v>
      </c>
      <c r="F163" s="7">
        <v>145</v>
      </c>
      <c r="G163" s="10" t="str">
        <f ca="1">VLOOKUP($F163,OFFSET([1]characters!$A$2,0,0,COUNTA([1]characters!$A:$A),MATCH(G$1,[1]characters!$2:$2,0)-MATCH($F$1,[1]characters!$2:$2,0)+1),MATCH(G$1,[1]characters!$2:$2,0)-MATCH($F$1,[1]characters!$2:$2,0)+1,FALSE)</f>
        <v>魔性妖艶 かぐや</v>
      </c>
      <c r="H163" s="10" t="str">
        <f ca="1">VLOOKUP($F163,OFFSET([1]characters!$A$2,0,0,COUNTA([1]characters!$A:$A),MATCH(H$1,[1]characters!$2:$2,0)-MATCH($F$1,[1]characters!$2:$2,0)+1),MATCH(H$1,[1]characters!$2:$2,0)-MATCH($F$1,[1]characters!$2:$2,0)+1,FALSE)</f>
        <v>PremiumW</v>
      </c>
      <c r="I163" s="10">
        <f ca="1">VLOOKUP($F163,OFFSET([1]characters!$A$2,0,0,COUNTA([1]characters!$A:$A),MATCH(I$1,[1]characters!$2:$2,0)-MATCH($F$1,[1]characters!$2:$2,0)+1),MATCH(I$1,[1]characters!$2:$2,0)-MATCH($F$1,[1]characters!$2:$2,0)+1,FALSE)</f>
        <v>4</v>
      </c>
      <c r="J163" s="10" t="str">
        <f ca="1">VLOOKUP($F163,OFFSET([1]characters!$A$2,0,0,COUNTA([1]characters!$A:$A),MATCH(J$1,[1]characters!$2:$2,0)-MATCH($F$1,[1]characters!$2:$2,0)+1),MATCH(J$1,[1]characters!$2:$2,0)-MATCH($F$1,[1]characters!$2:$2,0)+1,FALSE)</f>
        <v>green</v>
      </c>
      <c r="K163" s="10" t="str">
        <f ca="1">VLOOKUP($F163,OFFSET([1]characters!$A$2,0,0,COUNTA([1]characters!$A:$A),MATCH("タイプ",[1]characters!$1:$1,0)-MATCH($F$1,[1]characters!$2:$2,0)+2),MATCH("タイプ",[1]characters!$1:$1,0)-MATCH($F$1,[1]characters!$2:$2,0)+2,FALSE)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63" s="10" t="str">
        <f ca="1">VLOOKUP($F163,OFFSET([1]characters!$A$2,0,0,COUNTA([1]characters!$A:$A),MATCH($L$1,[1]characters!$1:$1,0)-MATCH($F$1,[1]characters!$2:$2,0)+2),MATCH($L$1,[1]characters!$1:$1,0)-MATCH($F$1,[1]characters!$2:$2,0)+2,FALSE)</f>
        <v>ヒューマン</v>
      </c>
      <c r="M163" s="6">
        <v>1</v>
      </c>
      <c r="N163" s="40">
        <f ca="1">VLOOKUP(D163,gacha_133_base!A:B,2,FALSE)</f>
        <v>801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ht="21" customHeight="1">
      <c r="A164" s="8" t="str">
        <f t="shared" si="12"/>
        <v>01471</v>
      </c>
      <c r="B164" s="2">
        <f t="shared" si="11"/>
        <v>134</v>
      </c>
      <c r="C164" s="10" t="str">
        <f t="shared" ca="1" si="9"/>
        <v>0PremiumW4</v>
      </c>
      <c r="D164" s="10" t="str">
        <f t="shared" ca="1" si="10"/>
        <v>0PremiumW4</v>
      </c>
      <c r="E164" s="6">
        <v>0</v>
      </c>
      <c r="F164" s="7">
        <v>147</v>
      </c>
      <c r="G164" s="10" t="str">
        <f ca="1">VLOOKUP($F164,OFFSET([1]characters!$A$2,0,0,COUNTA([1]characters!$A:$A),MATCH(G$1,[1]characters!$2:$2,0)-MATCH($F$1,[1]characters!$2:$2,0)+1),MATCH(G$1,[1]characters!$2:$2,0)-MATCH($F$1,[1]characters!$2:$2,0)+1,FALSE)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64" s="10" t="str">
        <f ca="1">VLOOKUP($F164,OFFSET([1]characters!$A$2,0,0,COUNTA([1]characters!$A:$A),MATCH(H$1,[1]characters!$2:$2,0)-MATCH($F$1,[1]characters!$2:$2,0)+1),MATCH(H$1,[1]characters!$2:$2,0)-MATCH($F$1,[1]characters!$2:$2,0)+1,FALSE)</f>
        <v>PremiumW</v>
      </c>
      <c r="I164" s="10">
        <f ca="1">VLOOKUP($F164,OFFSET([1]characters!$A$2,0,0,COUNTA([1]characters!$A:$A),MATCH(I$1,[1]characters!$2:$2,0)-MATCH($F$1,[1]characters!$2:$2,0)+1),MATCH(I$1,[1]characters!$2:$2,0)-MATCH($F$1,[1]characters!$2:$2,0)+1,FALSE)</f>
        <v>4</v>
      </c>
      <c r="J164" s="10" t="str">
        <f ca="1">VLOOKUP($F164,OFFSET([1]characters!$A$2,0,0,COUNTA([1]characters!$A:$A),MATCH(J$1,[1]characters!$2:$2,0)-MATCH($F$1,[1]characters!$2:$2,0)+1),MATCH(J$1,[1]characters!$2:$2,0)-MATCH($F$1,[1]characters!$2:$2,0)+1,FALSE)</f>
        <v>blue</v>
      </c>
      <c r="K164" s="10" t="str">
        <f ca="1">VLOOKUP($F164,OFFSET([1]characters!$A$2,0,0,COUNTA([1]characters!$A:$A),MATCH("タイプ",[1]characters!$1:$1,0)-MATCH($F$1,[1]characters!$2:$2,0)+2),MATCH("タイプ",[1]characters!$1:$1,0)-MATCH($F$1,[1]characters!$2:$2,0)+2,FALSE)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64" s="10" t="str">
        <f ca="1">VLOOKUP($F164,OFFSET([1]characters!$A$2,0,0,COUNTA([1]characters!$A:$A),MATCH($L$1,[1]characters!$1:$1,0)-MATCH($F$1,[1]characters!$2:$2,0)+2),MATCH($L$1,[1]characters!$1:$1,0)-MATCH($F$1,[1]characters!$2:$2,0)+2,FALSE)</f>
        <v>ヒューマン</v>
      </c>
      <c r="M164" s="6">
        <v>1</v>
      </c>
      <c r="N164" s="40">
        <f ca="1">VLOOKUP(D164,gacha_133_base!A:B,2,FALSE)</f>
        <v>801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ht="21" customHeight="1">
      <c r="A165" s="8" t="str">
        <f t="shared" si="12"/>
        <v>01491</v>
      </c>
      <c r="B165" s="2">
        <f t="shared" si="11"/>
        <v>134</v>
      </c>
      <c r="C165" s="10" t="str">
        <f t="shared" ca="1" si="9"/>
        <v>0PremiumW4</v>
      </c>
      <c r="D165" s="10" t="str">
        <f t="shared" ca="1" si="10"/>
        <v>0PremiumW4</v>
      </c>
      <c r="E165" s="6">
        <v>0</v>
      </c>
      <c r="F165" s="7">
        <v>149</v>
      </c>
      <c r="G165" s="10" t="str">
        <f ca="1">VLOOKUP($F165,OFFSET([1]characters!$A$2,0,0,COUNTA([1]characters!$A:$A),MATCH(G$1,[1]characters!$2:$2,0)-MATCH($F$1,[1]characters!$2:$2,0)+1),MATCH(G$1,[1]characters!$2:$2,0)-MATCH($F$1,[1]characters!$2:$2,0)+1,FALSE)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65" s="10" t="str">
        <f ca="1">VLOOKUP($F165,OFFSET([1]characters!$A$2,0,0,COUNTA([1]characters!$A:$A),MATCH(H$1,[1]characters!$2:$2,0)-MATCH($F$1,[1]characters!$2:$2,0)+1),MATCH(H$1,[1]characters!$2:$2,0)-MATCH($F$1,[1]characters!$2:$2,0)+1,FALSE)</f>
        <v>PremiumW</v>
      </c>
      <c r="I165" s="10">
        <f ca="1">VLOOKUP($F165,OFFSET([1]characters!$A$2,0,0,COUNTA([1]characters!$A:$A),MATCH(I$1,[1]characters!$2:$2,0)-MATCH($F$1,[1]characters!$2:$2,0)+1),MATCH(I$1,[1]characters!$2:$2,0)-MATCH($F$1,[1]characters!$2:$2,0)+1,FALSE)</f>
        <v>4</v>
      </c>
      <c r="J165" s="10" t="str">
        <f ca="1">VLOOKUP($F165,OFFSET([1]characters!$A$2,0,0,COUNTA([1]characters!$A:$A),MATCH(J$1,[1]characters!$2:$2,0)-MATCH($F$1,[1]characters!$2:$2,0)+1),MATCH(J$1,[1]characters!$2:$2,0)-MATCH($F$1,[1]characters!$2:$2,0)+1,FALSE)</f>
        <v>yellow</v>
      </c>
      <c r="K165" s="10" t="str">
        <f ca="1">VLOOKUP($F165,OFFSET([1]characters!$A$2,0,0,COUNTA([1]characters!$A:$A),MATCH("タイプ",[1]characters!$1:$1,0)-MATCH($F$1,[1]characters!$2:$2,0)+2),MATCH("タイプ",[1]characters!$1:$1,0)-MATCH($F$1,[1]characters!$2:$2,0)+2,FALSE)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5" s="10" t="str">
        <f ca="1">VLOOKUP($F165,OFFSET([1]characters!$A$2,0,0,COUNTA([1]characters!$A:$A),MATCH($L$1,[1]characters!$1:$1,0)-MATCH($F$1,[1]characters!$2:$2,0)+2),MATCH($L$1,[1]characters!$1:$1,0)-MATCH($F$1,[1]characters!$2:$2,0)+2,FALSE)</f>
        <v>ヒューマン</v>
      </c>
      <c r="M165" s="6">
        <v>1</v>
      </c>
      <c r="N165" s="40">
        <f ca="1">VLOOKUP(D165,gacha_133_base!A:B,2,FALSE)</f>
        <v>801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>
      <c r="A166" s="8" t="str">
        <f t="shared" si="12"/>
        <v>01511</v>
      </c>
      <c r="B166" s="2">
        <f t="shared" si="11"/>
        <v>134</v>
      </c>
      <c r="C166" s="10" t="str">
        <f t="shared" ca="1" si="9"/>
        <v>0PremiumW4</v>
      </c>
      <c r="D166" s="10" t="str">
        <f t="shared" ca="1" si="10"/>
        <v>0PremiumW4</v>
      </c>
      <c r="E166" s="6">
        <v>0</v>
      </c>
      <c r="F166" s="7">
        <v>151</v>
      </c>
      <c r="G166" s="10" t="str">
        <f ca="1">VLOOKUP($F166,OFFSET([1]characters!$A$2,0,0,COUNTA([1]characters!$A:$A),MATCH(G$1,[1]characters!$2:$2,0)-MATCH($F$1,[1]characters!$2:$2,0)+1),MATCH(G$1,[1]characters!$2:$2,0)-MATCH($F$1,[1]characters!$2:$2,0)+1,FALSE)</f>
        <v>毒煙の処刑人サキ</v>
      </c>
      <c r="H166" s="10" t="str">
        <f ca="1">VLOOKUP($F166,OFFSET([1]characters!$A$2,0,0,COUNTA([1]characters!$A:$A),MATCH(H$1,[1]characters!$2:$2,0)-MATCH($F$1,[1]characters!$2:$2,0)+1),MATCH(H$1,[1]characters!$2:$2,0)-MATCH($F$1,[1]characters!$2:$2,0)+1,FALSE)</f>
        <v>PremiumW</v>
      </c>
      <c r="I166" s="10">
        <f ca="1">VLOOKUP($F166,OFFSET([1]characters!$A$2,0,0,COUNTA([1]characters!$A:$A),MATCH(I$1,[1]characters!$2:$2,0)-MATCH($F$1,[1]characters!$2:$2,0)+1),MATCH(I$1,[1]characters!$2:$2,0)-MATCH($F$1,[1]characters!$2:$2,0)+1,FALSE)</f>
        <v>4</v>
      </c>
      <c r="J166" s="10" t="str">
        <f ca="1">VLOOKUP($F166,OFFSET([1]characters!$A$2,0,0,COUNTA([1]characters!$A:$A),MATCH(J$1,[1]characters!$2:$2,0)-MATCH($F$1,[1]characters!$2:$2,0)+1),MATCH(J$1,[1]characters!$2:$2,0)-MATCH($F$1,[1]characters!$2:$2,0)+1,FALSE)</f>
        <v>red</v>
      </c>
      <c r="K166" s="10" t="str">
        <f ca="1">VLOOKUP($F166,OFFSET([1]characters!$A$2,0,0,COUNTA([1]characters!$A:$A),MATCH("タイプ",[1]characters!$1:$1,0)-MATCH($F$1,[1]characters!$2:$2,0)+2),MATCH("タイプ",[1]characters!$1:$1,0)-MATCH($F$1,[1]characters!$2:$2,0)+2,FALSE)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66" s="10" t="str">
        <f ca="1">VLOOKUP($F166,OFFSET([1]characters!$A$2,0,0,COUNTA([1]characters!$A:$A),MATCH($L$1,[1]characters!$1:$1,0)-MATCH($F$1,[1]characters!$2:$2,0)+2),MATCH($L$1,[1]characters!$1:$1,0)-MATCH($F$1,[1]characters!$2:$2,0)+2,FALSE)</f>
        <v>ヒューマン</v>
      </c>
      <c r="M166" s="6">
        <v>1</v>
      </c>
      <c r="N166" s="40">
        <f ca="1">VLOOKUP(D166,gacha_133_base!A:B,2,FALSE)</f>
        <v>801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>
      <c r="A167" s="8" t="str">
        <f t="shared" si="12"/>
        <v>01531</v>
      </c>
      <c r="B167" s="2">
        <f t="shared" si="11"/>
        <v>134</v>
      </c>
      <c r="C167" s="10" t="str">
        <f t="shared" ca="1" si="9"/>
        <v>0PremiumW4</v>
      </c>
      <c r="D167" s="10" t="str">
        <f t="shared" ca="1" si="10"/>
        <v>0PremiumW4</v>
      </c>
      <c r="E167" s="6">
        <v>0</v>
      </c>
      <c r="F167" s="7">
        <v>153</v>
      </c>
      <c r="G167" s="10" t="str">
        <f ca="1">VLOOKUP($F167,OFFSET([1]characters!$A$2,0,0,COUNTA([1]characters!$A:$A),MATCH(G$1,[1]characters!$2:$2,0)-MATCH($F$1,[1]characters!$2:$2,0)+1),MATCH(G$1,[1]characters!$2:$2,0)-MATCH($F$1,[1]characters!$2:$2,0)+1,FALSE)</f>
        <v>拳聖ランラン</v>
      </c>
      <c r="H167" s="10" t="str">
        <f ca="1">VLOOKUP($F167,OFFSET([1]characters!$A$2,0,0,COUNTA([1]characters!$A:$A),MATCH(H$1,[1]characters!$2:$2,0)-MATCH($F$1,[1]characters!$2:$2,0)+1),MATCH(H$1,[1]characters!$2:$2,0)-MATCH($F$1,[1]characters!$2:$2,0)+1,FALSE)</f>
        <v>PremiumW</v>
      </c>
      <c r="I167" s="10">
        <f ca="1">VLOOKUP($F167,OFFSET([1]characters!$A$2,0,0,COUNTA([1]characters!$A:$A),MATCH(I$1,[1]characters!$2:$2,0)-MATCH($F$1,[1]characters!$2:$2,0)+1),MATCH(I$1,[1]characters!$2:$2,0)-MATCH($F$1,[1]characters!$2:$2,0)+1,FALSE)</f>
        <v>4</v>
      </c>
      <c r="J167" s="10" t="str">
        <f ca="1">VLOOKUP($F167,OFFSET([1]characters!$A$2,0,0,COUNTA([1]characters!$A:$A),MATCH(J$1,[1]characters!$2:$2,0)-MATCH($F$1,[1]characters!$2:$2,0)+1),MATCH(J$1,[1]characters!$2:$2,0)-MATCH($F$1,[1]characters!$2:$2,0)+1,FALSE)</f>
        <v>green</v>
      </c>
      <c r="K167" s="10" t="str">
        <f ca="1">VLOOKUP($F167,OFFSET([1]characters!$A$2,0,0,COUNTA([1]characters!$A:$A),MATCH("タイプ",[1]characters!$1:$1,0)-MATCH($F$1,[1]characters!$2:$2,0)+2),MATCH("タイプ",[1]characters!$1:$1,0)-MATCH($F$1,[1]characters!$2:$2,0)+2,FALSE)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7" s="10" t="str">
        <f ca="1">VLOOKUP($F167,OFFSET([1]characters!$A$2,0,0,COUNTA([1]characters!$A:$A),MATCH($L$1,[1]characters!$1:$1,0)-MATCH($F$1,[1]characters!$2:$2,0)+2),MATCH($L$1,[1]characters!$1:$1,0)-MATCH($F$1,[1]characters!$2:$2,0)+2,FALSE)</f>
        <v>ヒューマン</v>
      </c>
      <c r="M167" s="6">
        <v>1</v>
      </c>
      <c r="N167" s="40">
        <f ca="1">VLOOKUP(D167,gacha_133_base!A:B,2,FALSE)</f>
        <v>801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>
      <c r="A168" s="8" t="str">
        <f t="shared" si="12"/>
        <v>01551</v>
      </c>
      <c r="B168" s="2">
        <f t="shared" si="11"/>
        <v>134</v>
      </c>
      <c r="C168" s="10" t="str">
        <f t="shared" ca="1" si="9"/>
        <v>0PremiumW4</v>
      </c>
      <c r="D168" s="10" t="str">
        <f t="shared" ca="1" si="10"/>
        <v>0PremiumW4</v>
      </c>
      <c r="E168" s="6">
        <v>0</v>
      </c>
      <c r="F168" s="7">
        <v>155</v>
      </c>
      <c r="G168" s="10" t="str">
        <f ca="1">VLOOKUP($F168,OFFSET([1]characters!$A$2,0,0,COUNTA([1]characters!$A:$A),MATCH(G$1,[1]characters!$2:$2,0)-MATCH($F$1,[1]characters!$2:$2,0)+1),MATCH(G$1,[1]characters!$2:$2,0)-MATCH($F$1,[1]characters!$2:$2,0)+1,FALSE)</f>
        <v>隻眼の掃除屋 ハンナ</v>
      </c>
      <c r="H168" s="10" t="str">
        <f ca="1">VLOOKUP($F168,OFFSET([1]characters!$A$2,0,0,COUNTA([1]characters!$A:$A),MATCH(H$1,[1]characters!$2:$2,0)-MATCH($F$1,[1]characters!$2:$2,0)+1),MATCH(H$1,[1]characters!$2:$2,0)-MATCH($F$1,[1]characters!$2:$2,0)+1,FALSE)</f>
        <v>PremiumW</v>
      </c>
      <c r="I168" s="10">
        <f ca="1">VLOOKUP($F168,OFFSET([1]characters!$A$2,0,0,COUNTA([1]characters!$A:$A),MATCH(I$1,[1]characters!$2:$2,0)-MATCH($F$1,[1]characters!$2:$2,0)+1),MATCH(I$1,[1]characters!$2:$2,0)-MATCH($F$1,[1]characters!$2:$2,0)+1,FALSE)</f>
        <v>4</v>
      </c>
      <c r="J168" s="10" t="str">
        <f ca="1">VLOOKUP($F168,OFFSET([1]characters!$A$2,0,0,COUNTA([1]characters!$A:$A),MATCH(J$1,[1]characters!$2:$2,0)-MATCH($F$1,[1]characters!$2:$2,0)+1),MATCH(J$1,[1]characters!$2:$2,0)-MATCH($F$1,[1]characters!$2:$2,0)+1,FALSE)</f>
        <v>blue</v>
      </c>
      <c r="K168" s="10" t="str">
        <f ca="1">VLOOKUP($F168,OFFSET([1]characters!$A$2,0,0,COUNTA([1]characters!$A:$A),MATCH("タイプ",[1]characters!$1:$1,0)-MATCH($F$1,[1]characters!$2:$2,0)+2),MATCH("タイプ",[1]characters!$1:$1,0)-MATCH($F$1,[1]characters!$2:$2,0)+2,FALSE)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8" s="10" t="str">
        <f ca="1">VLOOKUP($F168,OFFSET([1]characters!$A$2,0,0,COUNTA([1]characters!$A:$A),MATCH($L$1,[1]characters!$1:$1,0)-MATCH($F$1,[1]characters!$2:$2,0)+2),MATCH($L$1,[1]characters!$1:$1,0)-MATCH($F$1,[1]characters!$2:$2,0)+2,FALSE)</f>
        <v>ヒューマン</v>
      </c>
      <c r="M168" s="6">
        <v>1</v>
      </c>
      <c r="N168" s="40">
        <f ca="1">VLOOKUP(D168,gacha_133_base!A:B,2,FALSE)</f>
        <v>801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>
      <c r="A169" s="8" t="str">
        <f t="shared" si="12"/>
        <v>01571</v>
      </c>
      <c r="B169" s="2">
        <f t="shared" si="11"/>
        <v>134</v>
      </c>
      <c r="C169" s="10" t="str">
        <f t="shared" ca="1" si="9"/>
        <v>0PremiumW4</v>
      </c>
      <c r="D169" s="10" t="str">
        <f t="shared" ca="1" si="10"/>
        <v>0PremiumW4</v>
      </c>
      <c r="E169" s="6">
        <v>0</v>
      </c>
      <c r="F169" s="7">
        <v>157</v>
      </c>
      <c r="G169" s="10" t="str">
        <f ca="1">VLOOKUP($F169,OFFSET([1]characters!$A$2,0,0,COUNTA([1]characters!$A:$A),MATCH(G$1,[1]characters!$2:$2,0)-MATCH($F$1,[1]characters!$2:$2,0)+1),MATCH(G$1,[1]characters!$2:$2,0)-MATCH($F$1,[1]characters!$2:$2,0)+1,FALSE)</f>
        <v>雷光舞姫 エレナ</v>
      </c>
      <c r="H169" s="10" t="str">
        <f ca="1">VLOOKUP($F169,OFFSET([1]characters!$A$2,0,0,COUNTA([1]characters!$A:$A),MATCH(H$1,[1]characters!$2:$2,0)-MATCH($F$1,[1]characters!$2:$2,0)+1),MATCH(H$1,[1]characters!$2:$2,0)-MATCH($F$1,[1]characters!$2:$2,0)+1,FALSE)</f>
        <v>PremiumW</v>
      </c>
      <c r="I169" s="10">
        <f ca="1">VLOOKUP($F169,OFFSET([1]characters!$A$2,0,0,COUNTA([1]characters!$A:$A),MATCH(I$1,[1]characters!$2:$2,0)-MATCH($F$1,[1]characters!$2:$2,0)+1),MATCH(I$1,[1]characters!$2:$2,0)-MATCH($F$1,[1]characters!$2:$2,0)+1,FALSE)</f>
        <v>4</v>
      </c>
      <c r="J169" s="10" t="str">
        <f ca="1">VLOOKUP($F169,OFFSET([1]characters!$A$2,0,0,COUNTA([1]characters!$A:$A),MATCH(J$1,[1]characters!$2:$2,0)-MATCH($F$1,[1]characters!$2:$2,0)+1),MATCH(J$1,[1]characters!$2:$2,0)-MATCH($F$1,[1]characters!$2:$2,0)+1,FALSE)</f>
        <v>yellow</v>
      </c>
      <c r="K169" s="10" t="str">
        <f ca="1">VLOOKUP($F169,OFFSET([1]characters!$A$2,0,0,COUNTA([1]characters!$A:$A),MATCH("タイプ",[1]characters!$1:$1,0)-MATCH($F$1,[1]characters!$2:$2,0)+2),MATCH("タイプ",[1]characters!$1:$1,0)-MATCH($F$1,[1]characters!$2:$2,0)+2,FALSE)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9" s="10" t="str">
        <f ca="1">VLOOKUP($F169,OFFSET([1]characters!$A$2,0,0,COUNTA([1]characters!$A:$A),MATCH($L$1,[1]characters!$1:$1,0)-MATCH($F$1,[1]characters!$2:$2,0)+2),MATCH($L$1,[1]characters!$1:$1,0)-MATCH($F$1,[1]characters!$2:$2,0)+2,FALSE)</f>
        <v>ヒューマン</v>
      </c>
      <c r="M169" s="6">
        <v>1</v>
      </c>
      <c r="N169" s="40">
        <f ca="1">VLOOKUP(D169,gacha_133_base!A:B,2,FALSE)</f>
        <v>801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>
      <c r="A170" s="8" t="str">
        <f t="shared" si="12"/>
        <v>01591</v>
      </c>
      <c r="B170" s="2">
        <f t="shared" si="11"/>
        <v>134</v>
      </c>
      <c r="C170" s="10" t="str">
        <f t="shared" ca="1" si="9"/>
        <v>0PremiumW4</v>
      </c>
      <c r="D170" s="10" t="str">
        <f t="shared" ca="1" si="10"/>
        <v>0PremiumW4</v>
      </c>
      <c r="E170" s="6">
        <v>0</v>
      </c>
      <c r="F170" s="7">
        <v>159</v>
      </c>
      <c r="G170" s="10" t="str">
        <f ca="1">VLOOKUP($F170,OFFSET([1]characters!$A$2,0,0,COUNTA([1]characters!$A:$A),MATCH(G$1,[1]characters!$2:$2,0)-MATCH($F$1,[1]characters!$2:$2,0)+1),MATCH(G$1,[1]characters!$2:$2,0)-MATCH($F$1,[1]characters!$2:$2,0)+1,FALSE)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70" s="10" t="str">
        <f ca="1">VLOOKUP($F170,OFFSET([1]characters!$A$2,0,0,COUNTA([1]characters!$A:$A),MATCH(H$1,[1]characters!$2:$2,0)-MATCH($F$1,[1]characters!$2:$2,0)+1),MATCH(H$1,[1]characters!$2:$2,0)-MATCH($F$1,[1]characters!$2:$2,0)+1,FALSE)</f>
        <v>PremiumW</v>
      </c>
      <c r="I170" s="10">
        <f ca="1">VLOOKUP($F170,OFFSET([1]characters!$A$2,0,0,COUNTA([1]characters!$A:$A),MATCH(I$1,[1]characters!$2:$2,0)-MATCH($F$1,[1]characters!$2:$2,0)+1),MATCH(I$1,[1]characters!$2:$2,0)-MATCH($F$1,[1]characters!$2:$2,0)+1,FALSE)</f>
        <v>4</v>
      </c>
      <c r="J170" s="10" t="str">
        <f ca="1">VLOOKUP($F170,OFFSET([1]characters!$A$2,0,0,COUNTA([1]characters!$A:$A),MATCH(J$1,[1]characters!$2:$2,0)-MATCH($F$1,[1]characters!$2:$2,0)+1),MATCH(J$1,[1]characters!$2:$2,0)-MATCH($F$1,[1]characters!$2:$2,0)+1,FALSE)</f>
        <v>red</v>
      </c>
      <c r="K170" s="10" t="str">
        <f ca="1">VLOOKUP($F170,OFFSET([1]characters!$A$2,0,0,COUNTA([1]characters!$A:$A),MATCH("タイプ",[1]characters!$1:$1,0)-MATCH($F$1,[1]characters!$2:$2,0)+2),MATCH("タイプ",[1]characters!$1:$1,0)-MATCH($F$1,[1]characters!$2:$2,0)+2,FALSE)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0" s="10" t="str">
        <f ca="1">VLOOKUP($F170,OFFSET([1]characters!$A$2,0,0,COUNTA([1]characters!$A:$A),MATCH($L$1,[1]characters!$1:$1,0)-MATCH($F$1,[1]characters!$2:$2,0)+2),MATCH($L$1,[1]characters!$1:$1,0)-MATCH($F$1,[1]characters!$2:$2,0)+2,FALSE)</f>
        <v>ヒューマン</v>
      </c>
      <c r="M170" s="6">
        <v>1</v>
      </c>
      <c r="N170" s="40">
        <f ca="1">VLOOKUP(D170,gacha_133_base!A:B,2,FALSE)</f>
        <v>801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>
      <c r="A171" s="8" t="str">
        <f t="shared" si="12"/>
        <v>01611</v>
      </c>
      <c r="B171" s="2">
        <f t="shared" si="11"/>
        <v>134</v>
      </c>
      <c r="C171" s="10" t="str">
        <f t="shared" ca="1" si="9"/>
        <v>0PremiumW4</v>
      </c>
      <c r="D171" s="10" t="str">
        <f t="shared" ca="1" si="10"/>
        <v>0PremiumW4</v>
      </c>
      <c r="E171" s="6">
        <v>0</v>
      </c>
      <c r="F171" s="7">
        <v>161</v>
      </c>
      <c r="G171" s="10" t="str">
        <f ca="1">VLOOKUP($F171,OFFSET([1]characters!$A$2,0,0,COUNTA([1]characters!$A:$A),MATCH(G$1,[1]characters!$2:$2,0)-MATCH($F$1,[1]characters!$2:$2,0)+1),MATCH(G$1,[1]characters!$2:$2,0)-MATCH($F$1,[1]characters!$2:$2,0)+1,FALSE)</f>
        <v>咆哮の先導者 クリエ</v>
      </c>
      <c r="H171" s="10" t="str">
        <f ca="1">VLOOKUP($F171,OFFSET([1]characters!$A$2,0,0,COUNTA([1]characters!$A:$A),MATCH(H$1,[1]characters!$2:$2,0)-MATCH($F$1,[1]characters!$2:$2,0)+1),MATCH(H$1,[1]characters!$2:$2,0)-MATCH($F$1,[1]characters!$2:$2,0)+1,FALSE)</f>
        <v>PremiumW</v>
      </c>
      <c r="I171" s="10">
        <f ca="1">VLOOKUP($F171,OFFSET([1]characters!$A$2,0,0,COUNTA([1]characters!$A:$A),MATCH(I$1,[1]characters!$2:$2,0)-MATCH($F$1,[1]characters!$2:$2,0)+1),MATCH(I$1,[1]characters!$2:$2,0)-MATCH($F$1,[1]characters!$2:$2,0)+1,FALSE)</f>
        <v>4</v>
      </c>
      <c r="J171" s="10" t="str">
        <f ca="1">VLOOKUP($F171,OFFSET([1]characters!$A$2,0,0,COUNTA([1]characters!$A:$A),MATCH(J$1,[1]characters!$2:$2,0)-MATCH($F$1,[1]characters!$2:$2,0)+1),MATCH(J$1,[1]characters!$2:$2,0)-MATCH($F$1,[1]characters!$2:$2,0)+1,FALSE)</f>
        <v>green</v>
      </c>
      <c r="K171" s="10" t="str">
        <f ca="1">VLOOKUP($F171,OFFSET([1]characters!$A$2,0,0,COUNTA([1]characters!$A:$A),MATCH("タイプ",[1]characters!$1:$1,0)-MATCH($F$1,[1]characters!$2:$2,0)+2),MATCH("タイプ",[1]characters!$1:$1,0)-MATCH($F$1,[1]characters!$2:$2,0)+2,FALSE)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1" s="10" t="str">
        <f ca="1">VLOOKUP($F171,OFFSET([1]characters!$A$2,0,0,COUNTA([1]characters!$A:$A),MATCH($L$1,[1]characters!$1:$1,0)-MATCH($F$1,[1]characters!$2:$2,0)+2),MATCH($L$1,[1]characters!$1:$1,0)-MATCH($F$1,[1]characters!$2:$2,0)+2,FALSE)</f>
        <v>ヒューマン</v>
      </c>
      <c r="M171" s="6">
        <v>1</v>
      </c>
      <c r="N171" s="40">
        <f ca="1">VLOOKUP(D171,gacha_133_base!A:B,2,FALSE)</f>
        <v>801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>
      <c r="A172" s="8" t="str">
        <f t="shared" si="12"/>
        <v>01631</v>
      </c>
      <c r="B172" s="2">
        <f t="shared" si="11"/>
        <v>134</v>
      </c>
      <c r="C172" s="10" t="str">
        <f t="shared" ca="1" si="9"/>
        <v>0PremiumW4</v>
      </c>
      <c r="D172" s="10" t="str">
        <f t="shared" ca="1" si="10"/>
        <v>0PremiumW4</v>
      </c>
      <c r="E172" s="6">
        <v>0</v>
      </c>
      <c r="F172" s="7">
        <v>163</v>
      </c>
      <c r="G172" s="10" t="str">
        <f ca="1">VLOOKUP($F172,OFFSET([1]characters!$A$2,0,0,COUNTA([1]characters!$A:$A),MATCH(G$1,[1]characters!$2:$2,0)-MATCH($F$1,[1]characters!$2:$2,0)+1),MATCH(G$1,[1]characters!$2:$2,0)-MATCH($F$1,[1]characters!$2:$2,0)+1,FALSE)</f>
        <v>冷酷な狂嬢 クララ</v>
      </c>
      <c r="H172" s="10" t="str">
        <f ca="1">VLOOKUP($F172,OFFSET([1]characters!$A$2,0,0,COUNTA([1]characters!$A:$A),MATCH(H$1,[1]characters!$2:$2,0)-MATCH($F$1,[1]characters!$2:$2,0)+1),MATCH(H$1,[1]characters!$2:$2,0)-MATCH($F$1,[1]characters!$2:$2,0)+1,FALSE)</f>
        <v>PremiumW</v>
      </c>
      <c r="I172" s="10">
        <f ca="1">VLOOKUP($F172,OFFSET([1]characters!$A$2,0,0,COUNTA([1]characters!$A:$A),MATCH(I$1,[1]characters!$2:$2,0)-MATCH($F$1,[1]characters!$2:$2,0)+1),MATCH(I$1,[1]characters!$2:$2,0)-MATCH($F$1,[1]characters!$2:$2,0)+1,FALSE)</f>
        <v>4</v>
      </c>
      <c r="J172" s="10" t="str">
        <f ca="1">VLOOKUP($F172,OFFSET([1]characters!$A$2,0,0,COUNTA([1]characters!$A:$A),MATCH(J$1,[1]characters!$2:$2,0)-MATCH($F$1,[1]characters!$2:$2,0)+1),MATCH(J$1,[1]characters!$2:$2,0)-MATCH($F$1,[1]characters!$2:$2,0)+1,FALSE)</f>
        <v>blue</v>
      </c>
      <c r="K172" s="10" t="str">
        <f ca="1">VLOOKUP($F172,OFFSET([1]characters!$A$2,0,0,COUNTA([1]characters!$A:$A),MATCH("タイプ",[1]characters!$1:$1,0)-MATCH($F$1,[1]characters!$2:$2,0)+2),MATCH("タイプ",[1]characters!$1:$1,0)-MATCH($F$1,[1]characters!$2:$2,0)+2,FALSE)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2" s="10" t="str">
        <f ca="1">VLOOKUP($F172,OFFSET([1]characters!$A$2,0,0,COUNTA([1]characters!$A:$A),MATCH($L$1,[1]characters!$1:$1,0)-MATCH($F$1,[1]characters!$2:$2,0)+2),MATCH($L$1,[1]characters!$1:$1,0)-MATCH($F$1,[1]characters!$2:$2,0)+2,FALSE)</f>
        <v>ヒューマン</v>
      </c>
      <c r="M172" s="6">
        <v>1</v>
      </c>
      <c r="N172" s="40">
        <f ca="1">VLOOKUP(D172,gacha_133_base!A:B,2,FALSE)</f>
        <v>801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>
      <c r="A173" s="8" t="str">
        <f t="shared" si="12"/>
        <v>01651</v>
      </c>
      <c r="B173" s="2">
        <f t="shared" si="11"/>
        <v>134</v>
      </c>
      <c r="C173" s="10" t="str">
        <f t="shared" ca="1" si="9"/>
        <v>0PremiumW4</v>
      </c>
      <c r="D173" s="10" t="str">
        <f t="shared" ca="1" si="10"/>
        <v>0PremiumW4</v>
      </c>
      <c r="E173" s="6">
        <v>0</v>
      </c>
      <c r="F173" s="7">
        <v>165</v>
      </c>
      <c r="G173" s="10" t="str">
        <f ca="1">VLOOKUP($F173,OFFSET([1]characters!$A$2,0,0,COUNTA([1]characters!$A:$A),MATCH(G$1,[1]characters!$2:$2,0)-MATCH($F$1,[1]characters!$2:$2,0)+1),MATCH(G$1,[1]characters!$2:$2,0)-MATCH($F$1,[1]characters!$2:$2,0)+1,FALSE)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173" s="10" t="str">
        <f ca="1">VLOOKUP($F173,OFFSET([1]characters!$A$2,0,0,COUNTA([1]characters!$A:$A),MATCH(H$1,[1]characters!$2:$2,0)-MATCH($F$1,[1]characters!$2:$2,0)+1),MATCH(H$1,[1]characters!$2:$2,0)-MATCH($F$1,[1]characters!$2:$2,0)+1,FALSE)</f>
        <v>PremiumW</v>
      </c>
      <c r="I173" s="10">
        <f ca="1">VLOOKUP($F173,OFFSET([1]characters!$A$2,0,0,COUNTA([1]characters!$A:$A),MATCH(I$1,[1]characters!$2:$2,0)-MATCH($F$1,[1]characters!$2:$2,0)+1),MATCH(I$1,[1]characters!$2:$2,0)-MATCH($F$1,[1]characters!$2:$2,0)+1,FALSE)</f>
        <v>4</v>
      </c>
      <c r="J173" s="10" t="str">
        <f ca="1">VLOOKUP($F173,OFFSET([1]characters!$A$2,0,0,COUNTA([1]characters!$A:$A),MATCH(J$1,[1]characters!$2:$2,0)-MATCH($F$1,[1]characters!$2:$2,0)+1),MATCH(J$1,[1]characters!$2:$2,0)-MATCH($F$1,[1]characters!$2:$2,0)+1,FALSE)</f>
        <v>yellow</v>
      </c>
      <c r="K173" s="10" t="str">
        <f ca="1">VLOOKUP($F173,OFFSET([1]characters!$A$2,0,0,COUNTA([1]characters!$A:$A),MATCH("タイプ",[1]characters!$1:$1,0)-MATCH($F$1,[1]characters!$2:$2,0)+2),MATCH("タイプ",[1]characters!$1:$1,0)-MATCH($F$1,[1]characters!$2:$2,0)+2,FALSE)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73" s="10" t="str">
        <f ca="1">VLOOKUP($F173,OFFSET([1]characters!$A$2,0,0,COUNTA([1]characters!$A:$A),MATCH($L$1,[1]characters!$1:$1,0)-MATCH($F$1,[1]characters!$2:$2,0)+2),MATCH($L$1,[1]characters!$1:$1,0)-MATCH($F$1,[1]characters!$2:$2,0)+2,FALSE)</f>
        <v>ヒューマン</v>
      </c>
      <c r="M173" s="6">
        <v>1</v>
      </c>
      <c r="N173" s="40">
        <f ca="1">VLOOKUP(D173,gacha_133_base!A:B,2,FALSE)</f>
        <v>801</v>
      </c>
      <c r="O173" s="28">
        <v>0</v>
      </c>
      <c r="P173" s="28">
        <v>0</v>
      </c>
      <c r="Q173" s="28">
        <v>0</v>
      </c>
      <c r="R173" s="28">
        <v>0</v>
      </c>
      <c r="S173" s="28">
        <v>1</v>
      </c>
    </row>
    <row r="174" spans="1:19" ht="21" customHeight="1">
      <c r="A174" s="8" t="str">
        <f t="shared" si="12"/>
        <v>01671</v>
      </c>
      <c r="B174" s="2">
        <f t="shared" si="11"/>
        <v>134</v>
      </c>
      <c r="C174" s="10" t="str">
        <f t="shared" ca="1" si="9"/>
        <v>0PremiumN4</v>
      </c>
      <c r="D174" s="10" t="str">
        <f t="shared" ca="1" si="10"/>
        <v>0PremiumN4</v>
      </c>
      <c r="E174" s="6">
        <v>0</v>
      </c>
      <c r="F174" s="7">
        <v>167</v>
      </c>
      <c r="G174" s="10" t="str">
        <f ca="1">VLOOKUP($F174,OFFSET([1]characters!$A$2,0,0,COUNTA([1]characters!$A:$A),MATCH(G$1,[1]characters!$2:$2,0)-MATCH($F$1,[1]characters!$2:$2,0)+1),MATCH(G$1,[1]characters!$2:$2,0)-MATCH($F$1,[1]characters!$2:$2,0)+1,FALSE)</f>
        <v>逆徒 ベリアル</v>
      </c>
      <c r="H174" s="10" t="str">
        <f ca="1">VLOOKUP($F174,OFFSET([1]characters!$A$2,0,0,COUNTA([1]characters!$A:$A),MATCH(H$1,[1]characters!$2:$2,0)-MATCH($F$1,[1]characters!$2:$2,0)+1),MATCH(H$1,[1]characters!$2:$2,0)-MATCH($F$1,[1]characters!$2:$2,0)+1,FALSE)</f>
        <v>PremiumN</v>
      </c>
      <c r="I174" s="10">
        <f ca="1">VLOOKUP($F174,OFFSET([1]characters!$A$2,0,0,COUNTA([1]characters!$A:$A),MATCH(I$1,[1]characters!$2:$2,0)-MATCH($F$1,[1]characters!$2:$2,0)+1),MATCH(I$1,[1]characters!$2:$2,0)-MATCH($F$1,[1]characters!$2:$2,0)+1,FALSE)</f>
        <v>4</v>
      </c>
      <c r="J174" s="10" t="str">
        <f ca="1">VLOOKUP($F174,OFFSET([1]characters!$A$2,0,0,COUNTA([1]characters!$A:$A),MATCH(J$1,[1]characters!$2:$2,0)-MATCH($F$1,[1]characters!$2:$2,0)+1),MATCH(J$1,[1]characters!$2:$2,0)-MATCH($F$1,[1]characters!$2:$2,0)+1,FALSE)</f>
        <v>red</v>
      </c>
      <c r="K174" s="10" t="str">
        <f ca="1">VLOOKUP($F174,OFFSET([1]characters!$A$2,0,0,COUNTA([1]characters!$A:$A),MATCH("タイプ",[1]characters!$1:$1,0)-MATCH($F$1,[1]characters!$2:$2,0)+2),MATCH("タイプ",[1]characters!$1:$1,0)-MATCH($F$1,[1]characters!$2:$2,0)+2,FALSE)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4" s="10" t="str">
        <f ca="1">VLOOKUP($F174,OFFSET([1]characters!$A$2,0,0,COUNTA([1]characters!$A:$A),MATCH($L$1,[1]characters!$1:$1,0)-MATCH($F$1,[1]characters!$2:$2,0)+2),MATCH($L$1,[1]characters!$1:$1,0)-MATCH($F$1,[1]characters!$2:$2,0)+2,FALSE)</f>
        <v>ゴッド</v>
      </c>
      <c r="M174" s="6">
        <v>1</v>
      </c>
      <c r="N174" s="40">
        <f ca="1">VLOOKUP(D174,gacha_133_base!A:B,2,FALSE)</f>
        <v>758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>
      <c r="A175" s="8" t="str">
        <f t="shared" si="12"/>
        <v>01701</v>
      </c>
      <c r="B175" s="2">
        <f t="shared" si="11"/>
        <v>134</v>
      </c>
      <c r="C175" s="10" t="str">
        <f t="shared" ca="1" si="9"/>
        <v>0PremiumN4</v>
      </c>
      <c r="D175" s="10" t="str">
        <f t="shared" ca="1" si="10"/>
        <v>0PremiumN4</v>
      </c>
      <c r="E175" s="6">
        <v>0</v>
      </c>
      <c r="F175" s="7">
        <v>170</v>
      </c>
      <c r="G175" s="10" t="str">
        <f ca="1">VLOOKUP($F175,OFFSET([1]characters!$A$2,0,0,COUNTA([1]characters!$A:$A),MATCH(G$1,[1]characters!$2:$2,0)-MATCH($F$1,[1]characters!$2:$2,0)+1),MATCH(G$1,[1]characters!$2:$2,0)-MATCH($F$1,[1]characters!$2:$2,0)+1,FALSE)</f>
        <v>識徒 オセ</v>
      </c>
      <c r="H175" s="10" t="str">
        <f ca="1">VLOOKUP($F175,OFFSET([1]characters!$A$2,0,0,COUNTA([1]characters!$A:$A),MATCH(H$1,[1]characters!$2:$2,0)-MATCH($F$1,[1]characters!$2:$2,0)+1),MATCH(H$1,[1]characters!$2:$2,0)-MATCH($F$1,[1]characters!$2:$2,0)+1,FALSE)</f>
        <v>PremiumN</v>
      </c>
      <c r="I175" s="10">
        <f ca="1">VLOOKUP($F175,OFFSET([1]characters!$A$2,0,0,COUNTA([1]characters!$A:$A),MATCH(I$1,[1]characters!$2:$2,0)-MATCH($F$1,[1]characters!$2:$2,0)+1),MATCH(I$1,[1]characters!$2:$2,0)-MATCH($F$1,[1]characters!$2:$2,0)+1,FALSE)</f>
        <v>4</v>
      </c>
      <c r="J175" s="10" t="str">
        <f ca="1">VLOOKUP($F175,OFFSET([1]characters!$A$2,0,0,COUNTA([1]characters!$A:$A),MATCH(J$1,[1]characters!$2:$2,0)-MATCH($F$1,[1]characters!$2:$2,0)+1),MATCH(J$1,[1]characters!$2:$2,0)-MATCH($F$1,[1]characters!$2:$2,0)+1,FALSE)</f>
        <v>green</v>
      </c>
      <c r="K175" s="10" t="str">
        <f ca="1">VLOOKUP($F175,OFFSET([1]characters!$A$2,0,0,COUNTA([1]characters!$A:$A),MATCH("タイプ",[1]characters!$1:$1,0)-MATCH($F$1,[1]characters!$2:$2,0)+2),MATCH("タイプ",[1]characters!$1:$1,0)-MATCH($F$1,[1]characters!$2:$2,0)+2,FALSE)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5" s="10" t="str">
        <f ca="1">VLOOKUP($F175,OFFSET([1]characters!$A$2,0,0,COUNTA([1]characters!$A:$A),MATCH($L$1,[1]characters!$1:$1,0)-MATCH($F$1,[1]characters!$2:$2,0)+2),MATCH($L$1,[1]characters!$1:$1,0)-MATCH($F$1,[1]characters!$2:$2,0)+2,FALSE)</f>
        <v>ゴッド</v>
      </c>
      <c r="M175" s="6">
        <v>1</v>
      </c>
      <c r="N175" s="40">
        <f ca="1">VLOOKUP(D175,gacha_133_base!A:B,2,FALSE)</f>
        <v>758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>
      <c r="A176" s="8" t="str">
        <f t="shared" si="12"/>
        <v>01731</v>
      </c>
      <c r="B176" s="2">
        <f t="shared" si="11"/>
        <v>134</v>
      </c>
      <c r="C176" s="10" t="str">
        <f t="shared" ca="1" si="9"/>
        <v>0PremiumN4</v>
      </c>
      <c r="D176" s="10" t="str">
        <f t="shared" ca="1" si="10"/>
        <v>0PremiumN4</v>
      </c>
      <c r="E176" s="6">
        <v>0</v>
      </c>
      <c r="F176" s="7">
        <v>173</v>
      </c>
      <c r="G176" s="10" t="str">
        <f ca="1">VLOOKUP($F176,OFFSET([1]characters!$A$2,0,0,COUNTA([1]characters!$A:$A),MATCH(G$1,[1]characters!$2:$2,0)-MATCH($F$1,[1]characters!$2:$2,0)+1),MATCH(G$1,[1]characters!$2:$2,0)-MATCH($F$1,[1]characters!$2:$2,0)+1,FALSE)</f>
        <v>公爵 フォルネウス</v>
      </c>
      <c r="H176" s="10" t="str">
        <f ca="1">VLOOKUP($F176,OFFSET([1]characters!$A$2,0,0,COUNTA([1]characters!$A:$A),MATCH(H$1,[1]characters!$2:$2,0)-MATCH($F$1,[1]characters!$2:$2,0)+1),MATCH(H$1,[1]characters!$2:$2,0)-MATCH($F$1,[1]characters!$2:$2,0)+1,FALSE)</f>
        <v>PremiumN</v>
      </c>
      <c r="I176" s="10">
        <f ca="1">VLOOKUP($F176,OFFSET([1]characters!$A$2,0,0,COUNTA([1]characters!$A:$A),MATCH(I$1,[1]characters!$2:$2,0)-MATCH($F$1,[1]characters!$2:$2,0)+1),MATCH(I$1,[1]characters!$2:$2,0)-MATCH($F$1,[1]characters!$2:$2,0)+1,FALSE)</f>
        <v>4</v>
      </c>
      <c r="J176" s="10" t="str">
        <f ca="1">VLOOKUP($F176,OFFSET([1]characters!$A$2,0,0,COUNTA([1]characters!$A:$A),MATCH(J$1,[1]characters!$2:$2,0)-MATCH($F$1,[1]characters!$2:$2,0)+1),MATCH(J$1,[1]characters!$2:$2,0)-MATCH($F$1,[1]characters!$2:$2,0)+1,FALSE)</f>
        <v>blue</v>
      </c>
      <c r="K176" s="10" t="str">
        <f ca="1">VLOOKUP($F176,OFFSET([1]characters!$A$2,0,0,COUNTA([1]characters!$A:$A),MATCH("タイプ",[1]characters!$1:$1,0)-MATCH($F$1,[1]characters!$2:$2,0)+2),MATCH("タイプ",[1]characters!$1:$1,0)-MATCH($F$1,[1]characters!$2:$2,0)+2,FALSE)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6" s="10" t="str">
        <f ca="1">VLOOKUP($F176,OFFSET([1]characters!$A$2,0,0,COUNTA([1]characters!$A:$A),MATCH($L$1,[1]characters!$1:$1,0)-MATCH($F$1,[1]characters!$2:$2,0)+2),MATCH($L$1,[1]characters!$1:$1,0)-MATCH($F$1,[1]characters!$2:$2,0)+2,FALSE)</f>
        <v>ゴッド</v>
      </c>
      <c r="M176" s="6">
        <v>1</v>
      </c>
      <c r="N176" s="40">
        <f ca="1">VLOOKUP(D176,gacha_133_base!A:B,2,FALSE)</f>
        <v>758</v>
      </c>
      <c r="O176" s="28">
        <v>0</v>
      </c>
      <c r="P176" s="28">
        <v>0</v>
      </c>
      <c r="Q176" s="28">
        <v>0</v>
      </c>
      <c r="R176" s="28">
        <v>0</v>
      </c>
      <c r="S176" s="28">
        <v>1</v>
      </c>
    </row>
    <row r="177" spans="1:19" ht="21" customHeight="1">
      <c r="A177" s="8" t="str">
        <f t="shared" si="12"/>
        <v>01761</v>
      </c>
      <c r="B177" s="2">
        <f t="shared" si="11"/>
        <v>134</v>
      </c>
      <c r="C177" s="10" t="str">
        <f t="shared" ca="1" si="9"/>
        <v>0PremiumN4</v>
      </c>
      <c r="D177" s="10" t="str">
        <f t="shared" ca="1" si="10"/>
        <v>0PremiumN4</v>
      </c>
      <c r="E177" s="6">
        <v>0</v>
      </c>
      <c r="F177" s="7">
        <v>176</v>
      </c>
      <c r="G177" s="10" t="str">
        <f ca="1">VLOOKUP($F177,OFFSET([1]characters!$A$2,0,0,COUNTA([1]characters!$A:$A),MATCH(G$1,[1]characters!$2:$2,0)-MATCH($F$1,[1]characters!$2:$2,0)+1),MATCH(G$1,[1]characters!$2:$2,0)-MATCH($F$1,[1]characters!$2:$2,0)+1,FALSE)</f>
        <v>異教徒 バフォメット</v>
      </c>
      <c r="H177" s="10" t="str">
        <f ca="1">VLOOKUP($F177,OFFSET([1]characters!$A$2,0,0,COUNTA([1]characters!$A:$A),MATCH(H$1,[1]characters!$2:$2,0)-MATCH($F$1,[1]characters!$2:$2,0)+1),MATCH(H$1,[1]characters!$2:$2,0)-MATCH($F$1,[1]characters!$2:$2,0)+1,FALSE)</f>
        <v>PremiumN</v>
      </c>
      <c r="I177" s="10">
        <f ca="1">VLOOKUP($F177,OFFSET([1]characters!$A$2,0,0,COUNTA([1]characters!$A:$A),MATCH(I$1,[1]characters!$2:$2,0)-MATCH($F$1,[1]characters!$2:$2,0)+1),MATCH(I$1,[1]characters!$2:$2,0)-MATCH($F$1,[1]characters!$2:$2,0)+1,FALSE)</f>
        <v>4</v>
      </c>
      <c r="J177" s="10" t="str">
        <f ca="1">VLOOKUP($F177,OFFSET([1]characters!$A$2,0,0,COUNTA([1]characters!$A:$A),MATCH(J$1,[1]characters!$2:$2,0)-MATCH($F$1,[1]characters!$2:$2,0)+1),MATCH(J$1,[1]characters!$2:$2,0)-MATCH($F$1,[1]characters!$2:$2,0)+1,FALSE)</f>
        <v>yellow</v>
      </c>
      <c r="K177" s="10" t="str">
        <f ca="1">VLOOKUP($F177,OFFSET([1]characters!$A$2,0,0,COUNTA([1]characters!$A:$A),MATCH("タイプ",[1]characters!$1:$1,0)-MATCH($F$1,[1]characters!$2:$2,0)+2),MATCH("タイプ",[1]characters!$1:$1,0)-MATCH($F$1,[1]characters!$2:$2,0)+2,FALSE)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7" s="10" t="str">
        <f ca="1">VLOOKUP($F177,OFFSET([1]characters!$A$2,0,0,COUNTA([1]characters!$A:$A),MATCH($L$1,[1]characters!$1:$1,0)-MATCH($F$1,[1]characters!$2:$2,0)+2),MATCH($L$1,[1]characters!$1:$1,0)-MATCH($F$1,[1]characters!$2:$2,0)+2,FALSE)</f>
        <v>ゴッド</v>
      </c>
      <c r="M177" s="6">
        <v>1</v>
      </c>
      <c r="N177" s="40">
        <f ca="1">VLOOKUP(D177,gacha_133_base!A:B,2,FALSE)</f>
        <v>758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>
      <c r="A178" s="8" t="str">
        <f t="shared" si="12"/>
        <v>01791</v>
      </c>
      <c r="B178" s="2">
        <f t="shared" si="11"/>
        <v>134</v>
      </c>
      <c r="C178" s="10" t="str">
        <f t="shared" ca="1" si="9"/>
        <v>0PremiumN4</v>
      </c>
      <c r="D178" s="10" t="str">
        <f t="shared" ca="1" si="10"/>
        <v>0PremiumN4</v>
      </c>
      <c r="E178" s="6">
        <v>0</v>
      </c>
      <c r="F178" s="7">
        <v>179</v>
      </c>
      <c r="G178" s="10" t="str">
        <f ca="1">VLOOKUP($F178,OFFSET([1]characters!$A$2,0,0,COUNTA([1]characters!$A:$A),MATCH(G$1,[1]characters!$2:$2,0)-MATCH($F$1,[1]characters!$2:$2,0)+1),MATCH(G$1,[1]characters!$2:$2,0)-MATCH($F$1,[1]characters!$2:$2,0)+1,FALSE)</f>
        <v>番犬 ケルベロス</v>
      </c>
      <c r="H178" s="10" t="str">
        <f ca="1">VLOOKUP($F178,OFFSET([1]characters!$A$2,0,0,COUNTA([1]characters!$A:$A),MATCH(H$1,[1]characters!$2:$2,0)-MATCH($F$1,[1]characters!$2:$2,0)+1),MATCH(H$1,[1]characters!$2:$2,0)-MATCH($F$1,[1]characters!$2:$2,0)+1,FALSE)</f>
        <v>PremiumN</v>
      </c>
      <c r="I178" s="10">
        <f ca="1">VLOOKUP($F178,OFFSET([1]characters!$A$2,0,0,COUNTA([1]characters!$A:$A),MATCH(I$1,[1]characters!$2:$2,0)-MATCH($F$1,[1]characters!$2:$2,0)+1),MATCH(I$1,[1]characters!$2:$2,0)-MATCH($F$1,[1]characters!$2:$2,0)+1,FALSE)</f>
        <v>4</v>
      </c>
      <c r="J178" s="10" t="str">
        <f ca="1">VLOOKUP($F178,OFFSET([1]characters!$A$2,0,0,COUNTA([1]characters!$A:$A),MATCH(J$1,[1]characters!$2:$2,0)-MATCH($F$1,[1]characters!$2:$2,0)+1),MATCH(J$1,[1]characters!$2:$2,0)-MATCH($F$1,[1]characters!$2:$2,0)+1,FALSE)</f>
        <v>red</v>
      </c>
      <c r="K178" s="10" t="str">
        <f ca="1">VLOOKUP($F178,OFFSET([1]characters!$A$2,0,0,COUNTA([1]characters!$A:$A),MATCH("タイプ",[1]characters!$1:$1,0)-MATCH($F$1,[1]characters!$2:$2,0)+2),MATCH("タイプ",[1]characters!$1:$1,0)-MATCH($F$1,[1]characters!$2:$2,0)+2,FALSE)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8" s="10" t="str">
        <f ca="1">VLOOKUP($F178,OFFSET([1]characters!$A$2,0,0,COUNTA([1]characters!$A:$A),MATCH($L$1,[1]characters!$1:$1,0)-MATCH($F$1,[1]characters!$2:$2,0)+2),MATCH($L$1,[1]characters!$1:$1,0)-MATCH($F$1,[1]characters!$2:$2,0)+2,FALSE)</f>
        <v>アニマル</v>
      </c>
      <c r="M178" s="6">
        <v>1</v>
      </c>
      <c r="N178" s="40">
        <f ca="1">VLOOKUP(D178,gacha_133_base!A:B,2,FALSE)</f>
        <v>758</v>
      </c>
      <c r="O178" s="28">
        <v>0</v>
      </c>
      <c r="P178" s="28">
        <v>0</v>
      </c>
      <c r="Q178" s="28">
        <v>0</v>
      </c>
      <c r="R178" s="28">
        <v>0</v>
      </c>
      <c r="S178" s="28">
        <v>1</v>
      </c>
    </row>
    <row r="179" spans="1:19" ht="21" customHeight="1">
      <c r="A179" s="8" t="str">
        <f t="shared" si="12"/>
        <v>01821</v>
      </c>
      <c r="B179" s="2">
        <f t="shared" si="11"/>
        <v>134</v>
      </c>
      <c r="C179" s="10" t="str">
        <f t="shared" ca="1" si="9"/>
        <v>0PremiumN4</v>
      </c>
      <c r="D179" s="10" t="str">
        <f t="shared" ca="1" si="10"/>
        <v>0PremiumN4</v>
      </c>
      <c r="E179" s="6">
        <v>0</v>
      </c>
      <c r="F179" s="7">
        <v>182</v>
      </c>
      <c r="G179" s="10" t="str">
        <f ca="1">VLOOKUP($F179,OFFSET([1]characters!$A$2,0,0,COUNTA([1]characters!$A:$A),MATCH(G$1,[1]characters!$2:$2,0)-MATCH($F$1,[1]characters!$2:$2,0)+1),MATCH(G$1,[1]characters!$2:$2,0)-MATCH($F$1,[1]characters!$2:$2,0)+1,FALSE)</f>
        <v>放蕩者 ベヒモス</v>
      </c>
      <c r="H179" s="10" t="str">
        <f ca="1">VLOOKUP($F179,OFFSET([1]characters!$A$2,0,0,COUNTA([1]characters!$A:$A),MATCH(H$1,[1]characters!$2:$2,0)-MATCH($F$1,[1]characters!$2:$2,0)+1),MATCH(H$1,[1]characters!$2:$2,0)-MATCH($F$1,[1]characters!$2:$2,0)+1,FALSE)</f>
        <v>PremiumN</v>
      </c>
      <c r="I179" s="10">
        <f ca="1">VLOOKUP($F179,OFFSET([1]characters!$A$2,0,0,COUNTA([1]characters!$A:$A),MATCH(I$1,[1]characters!$2:$2,0)-MATCH($F$1,[1]characters!$2:$2,0)+1),MATCH(I$1,[1]characters!$2:$2,0)-MATCH($F$1,[1]characters!$2:$2,0)+1,FALSE)</f>
        <v>4</v>
      </c>
      <c r="J179" s="10" t="str">
        <f ca="1">VLOOKUP($F179,OFFSET([1]characters!$A$2,0,0,COUNTA([1]characters!$A:$A),MATCH(J$1,[1]characters!$2:$2,0)-MATCH($F$1,[1]characters!$2:$2,0)+1),MATCH(J$1,[1]characters!$2:$2,0)-MATCH($F$1,[1]characters!$2:$2,0)+1,FALSE)</f>
        <v>green</v>
      </c>
      <c r="K179" s="10" t="str">
        <f ca="1">VLOOKUP($F179,OFFSET([1]characters!$A$2,0,0,COUNTA([1]characters!$A:$A),MATCH("タイプ",[1]characters!$1:$1,0)-MATCH($F$1,[1]characters!$2:$2,0)+2),MATCH("タイプ",[1]characters!$1:$1,0)-MATCH($F$1,[1]characters!$2:$2,0)+2,FALSE)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9" s="10" t="str">
        <f ca="1">VLOOKUP($F179,OFFSET([1]characters!$A$2,0,0,COUNTA([1]characters!$A:$A),MATCH($L$1,[1]characters!$1:$1,0)-MATCH($F$1,[1]characters!$2:$2,0)+2),MATCH($L$1,[1]characters!$1:$1,0)-MATCH($F$1,[1]characters!$2:$2,0)+2,FALSE)</f>
        <v>アニマル</v>
      </c>
      <c r="M179" s="6">
        <v>1</v>
      </c>
      <c r="N179" s="40">
        <f ca="1">VLOOKUP(D179,gacha_133_base!A:B,2,FALSE)</f>
        <v>758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>
      <c r="A180" s="8" t="str">
        <f t="shared" si="12"/>
        <v>01851</v>
      </c>
      <c r="B180" s="2">
        <f t="shared" si="11"/>
        <v>134</v>
      </c>
      <c r="C180" s="10" t="str">
        <f t="shared" ca="1" si="9"/>
        <v>0PremiumN4</v>
      </c>
      <c r="D180" s="10" t="str">
        <f t="shared" ca="1" si="10"/>
        <v>0PremiumN4</v>
      </c>
      <c r="E180" s="6">
        <v>0</v>
      </c>
      <c r="F180" s="7">
        <v>185</v>
      </c>
      <c r="G180" s="10" t="str">
        <f ca="1">VLOOKUP($F180,OFFSET([1]characters!$A$2,0,0,COUNTA([1]characters!$A:$A),MATCH(G$1,[1]characters!$2:$2,0)-MATCH($F$1,[1]characters!$2:$2,0)+1),MATCH(G$1,[1]characters!$2:$2,0)-MATCH($F$1,[1]characters!$2:$2,0)+1,FALSE)</f>
        <v>海姫 クラーケン</v>
      </c>
      <c r="H180" s="10" t="str">
        <f ca="1">VLOOKUP($F180,OFFSET([1]characters!$A$2,0,0,COUNTA([1]characters!$A:$A),MATCH(H$1,[1]characters!$2:$2,0)-MATCH($F$1,[1]characters!$2:$2,0)+1),MATCH(H$1,[1]characters!$2:$2,0)-MATCH($F$1,[1]characters!$2:$2,0)+1,FALSE)</f>
        <v>PremiumN</v>
      </c>
      <c r="I180" s="10">
        <f ca="1">VLOOKUP($F180,OFFSET([1]characters!$A$2,0,0,COUNTA([1]characters!$A:$A),MATCH(I$1,[1]characters!$2:$2,0)-MATCH($F$1,[1]characters!$2:$2,0)+1),MATCH(I$1,[1]characters!$2:$2,0)-MATCH($F$1,[1]characters!$2:$2,0)+1,FALSE)</f>
        <v>4</v>
      </c>
      <c r="J180" s="10" t="str">
        <f ca="1">VLOOKUP($F180,OFFSET([1]characters!$A$2,0,0,COUNTA([1]characters!$A:$A),MATCH(J$1,[1]characters!$2:$2,0)-MATCH($F$1,[1]characters!$2:$2,0)+1),MATCH(J$1,[1]characters!$2:$2,0)-MATCH($F$1,[1]characters!$2:$2,0)+1,FALSE)</f>
        <v>blue</v>
      </c>
      <c r="K180" s="10" t="str">
        <f ca="1">VLOOKUP($F180,OFFSET([1]characters!$A$2,0,0,COUNTA([1]characters!$A:$A),MATCH("タイプ",[1]characters!$1:$1,0)-MATCH($F$1,[1]characters!$2:$2,0)+2),MATCH("タイプ",[1]characters!$1:$1,0)-MATCH($F$1,[1]characters!$2:$2,0)+2,FALSE)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0" s="10" t="str">
        <f ca="1">VLOOKUP($F180,OFFSET([1]characters!$A$2,0,0,COUNTA([1]characters!$A:$A),MATCH($L$1,[1]characters!$1:$1,0)-MATCH($F$1,[1]characters!$2:$2,0)+2),MATCH($L$1,[1]characters!$1:$1,0)-MATCH($F$1,[1]characters!$2:$2,0)+2,FALSE)</f>
        <v>アニマル</v>
      </c>
      <c r="M180" s="6">
        <v>1</v>
      </c>
      <c r="N180" s="40">
        <f ca="1">VLOOKUP(D180,gacha_133_base!A:B,2,FALSE)</f>
        <v>758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>
      <c r="A181" s="8" t="str">
        <f t="shared" si="12"/>
        <v>01881</v>
      </c>
      <c r="B181" s="2">
        <f t="shared" si="11"/>
        <v>134</v>
      </c>
      <c r="C181" s="10" t="str">
        <f t="shared" ca="1" si="9"/>
        <v>0PremiumN4</v>
      </c>
      <c r="D181" s="10" t="str">
        <f t="shared" ca="1" si="10"/>
        <v>0PremiumN4</v>
      </c>
      <c r="E181" s="6">
        <v>0</v>
      </c>
      <c r="F181" s="7">
        <v>188</v>
      </c>
      <c r="G181" s="10" t="str">
        <f ca="1">VLOOKUP($F181,OFFSET([1]characters!$A$2,0,0,COUNTA([1]characters!$A:$A),MATCH(G$1,[1]characters!$2:$2,0)-MATCH($F$1,[1]characters!$2:$2,0)+1),MATCH(G$1,[1]characters!$2:$2,0)-MATCH($F$1,[1]characters!$2:$2,0)+1,FALSE)</f>
        <v>猛禽 ホルス</v>
      </c>
      <c r="H181" s="10" t="str">
        <f ca="1">VLOOKUP($F181,OFFSET([1]characters!$A$2,0,0,COUNTA([1]characters!$A:$A),MATCH(H$1,[1]characters!$2:$2,0)-MATCH($F$1,[1]characters!$2:$2,0)+1),MATCH(H$1,[1]characters!$2:$2,0)-MATCH($F$1,[1]characters!$2:$2,0)+1,FALSE)</f>
        <v>PremiumN</v>
      </c>
      <c r="I181" s="10">
        <f ca="1">VLOOKUP($F181,OFFSET([1]characters!$A$2,0,0,COUNTA([1]characters!$A:$A),MATCH(I$1,[1]characters!$2:$2,0)-MATCH($F$1,[1]characters!$2:$2,0)+1),MATCH(I$1,[1]characters!$2:$2,0)-MATCH($F$1,[1]characters!$2:$2,0)+1,FALSE)</f>
        <v>4</v>
      </c>
      <c r="J181" s="10" t="str">
        <f ca="1">VLOOKUP($F181,OFFSET([1]characters!$A$2,0,0,COUNTA([1]characters!$A:$A),MATCH(J$1,[1]characters!$2:$2,0)-MATCH($F$1,[1]characters!$2:$2,0)+1),MATCH(J$1,[1]characters!$2:$2,0)-MATCH($F$1,[1]characters!$2:$2,0)+1,FALSE)</f>
        <v>yellow</v>
      </c>
      <c r="K181" s="10" t="str">
        <f ca="1">VLOOKUP($F181,OFFSET([1]characters!$A$2,0,0,COUNTA([1]characters!$A:$A),MATCH("タイプ",[1]characters!$1:$1,0)-MATCH($F$1,[1]characters!$2:$2,0)+2),MATCH("タイプ",[1]characters!$1:$1,0)-MATCH($F$1,[1]characters!$2:$2,0)+2,FALSE)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1" s="10" t="str">
        <f ca="1">VLOOKUP($F181,OFFSET([1]characters!$A$2,0,0,COUNTA([1]characters!$A:$A),MATCH($L$1,[1]characters!$1:$1,0)-MATCH($F$1,[1]characters!$2:$2,0)+2),MATCH($L$1,[1]characters!$1:$1,0)-MATCH($F$1,[1]characters!$2:$2,0)+2,FALSE)</f>
        <v>アニマル</v>
      </c>
      <c r="M181" s="6">
        <v>1</v>
      </c>
      <c r="N181" s="40">
        <f ca="1">VLOOKUP(D181,gacha_133_base!A:B,2,FALSE)</f>
        <v>758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>
      <c r="A182" s="8" t="str">
        <f t="shared" si="12"/>
        <v>01911</v>
      </c>
      <c r="B182" s="2">
        <f t="shared" si="11"/>
        <v>134</v>
      </c>
      <c r="C182" s="10" t="str">
        <f t="shared" ca="1" si="9"/>
        <v>0PremiumN4</v>
      </c>
      <c r="D182" s="10" t="str">
        <f t="shared" ca="1" si="10"/>
        <v>0PremiumN4</v>
      </c>
      <c r="E182" s="6">
        <v>0</v>
      </c>
      <c r="F182" s="7">
        <v>191</v>
      </c>
      <c r="G182" s="10" t="str">
        <f ca="1">VLOOKUP($F182,OFFSET([1]characters!$A$2,0,0,COUNTA([1]characters!$A:$A),MATCH(G$1,[1]characters!$2:$2,0)-MATCH($F$1,[1]characters!$2:$2,0)+1),MATCH(G$1,[1]characters!$2:$2,0)-MATCH($F$1,[1]characters!$2:$2,0)+1,FALSE)</f>
        <v>始祖 卑弥呼</v>
      </c>
      <c r="H182" s="10" t="str">
        <f ca="1">VLOOKUP($F182,OFFSET([1]characters!$A$2,0,0,COUNTA([1]characters!$A:$A),MATCH(H$1,[1]characters!$2:$2,0)-MATCH($F$1,[1]characters!$2:$2,0)+1),MATCH(H$1,[1]characters!$2:$2,0)-MATCH($F$1,[1]characters!$2:$2,0)+1,FALSE)</f>
        <v>PremiumN</v>
      </c>
      <c r="I182" s="10">
        <f ca="1">VLOOKUP($F182,OFFSET([1]characters!$A$2,0,0,COUNTA([1]characters!$A:$A),MATCH(I$1,[1]characters!$2:$2,0)-MATCH($F$1,[1]characters!$2:$2,0)+1),MATCH(I$1,[1]characters!$2:$2,0)-MATCH($F$1,[1]characters!$2:$2,0)+1,FALSE)</f>
        <v>4</v>
      </c>
      <c r="J182" s="10" t="str">
        <f ca="1">VLOOKUP($F182,OFFSET([1]characters!$A$2,0,0,COUNTA([1]characters!$A:$A),MATCH(J$1,[1]characters!$2:$2,0)-MATCH($F$1,[1]characters!$2:$2,0)+1),MATCH(J$1,[1]characters!$2:$2,0)-MATCH($F$1,[1]characters!$2:$2,0)+1,FALSE)</f>
        <v>red</v>
      </c>
      <c r="K182" s="10" t="str">
        <f ca="1">VLOOKUP($F182,OFFSET([1]characters!$A$2,0,0,COUNTA([1]characters!$A:$A),MATCH("タイプ",[1]characters!$1:$1,0)-MATCH($F$1,[1]characters!$2:$2,0)+2),MATCH("タイプ",[1]characters!$1:$1,0)-MATCH($F$1,[1]characters!$2:$2,0)+2,FALSE)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2" s="10" t="str">
        <f ca="1">VLOOKUP($F182,OFFSET([1]characters!$A$2,0,0,COUNTA([1]characters!$A:$A),MATCH($L$1,[1]characters!$1:$1,0)-MATCH($F$1,[1]characters!$2:$2,0)+2),MATCH($L$1,[1]characters!$1:$1,0)-MATCH($F$1,[1]characters!$2:$2,0)+2,FALSE)</f>
        <v>ヒューマン</v>
      </c>
      <c r="M182" s="6">
        <v>1</v>
      </c>
      <c r="N182" s="40">
        <f ca="1">VLOOKUP(D182,gacha_133_base!A:B,2,FALSE)</f>
        <v>758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8" t="str">
        <f t="shared" si="12"/>
        <v>01941</v>
      </c>
      <c r="B183" s="2">
        <f t="shared" si="11"/>
        <v>134</v>
      </c>
      <c r="C183" s="10" t="str">
        <f t="shared" ca="1" si="9"/>
        <v>0PremiumN4</v>
      </c>
      <c r="D183" s="10" t="str">
        <f t="shared" ca="1" si="10"/>
        <v>0PremiumN4</v>
      </c>
      <c r="E183" s="6">
        <v>0</v>
      </c>
      <c r="F183" s="7">
        <v>194</v>
      </c>
      <c r="G183" s="10" t="str">
        <f ca="1">VLOOKUP($F183,OFFSET([1]characters!$A$2,0,0,COUNTA([1]characters!$A:$A),MATCH(G$1,[1]characters!$2:$2,0)-MATCH($F$1,[1]characters!$2:$2,0)+1),MATCH(G$1,[1]characters!$2:$2,0)-MATCH($F$1,[1]characters!$2:$2,0)+1,FALSE)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183" s="10" t="str">
        <f ca="1">VLOOKUP($F183,OFFSET([1]characters!$A$2,0,0,COUNTA([1]characters!$A:$A),MATCH(H$1,[1]characters!$2:$2,0)-MATCH($F$1,[1]characters!$2:$2,0)+1),MATCH(H$1,[1]characters!$2:$2,0)-MATCH($F$1,[1]characters!$2:$2,0)+1,FALSE)</f>
        <v>PremiumN</v>
      </c>
      <c r="I183" s="10">
        <f ca="1">VLOOKUP($F183,OFFSET([1]characters!$A$2,0,0,COUNTA([1]characters!$A:$A),MATCH(I$1,[1]characters!$2:$2,0)-MATCH($F$1,[1]characters!$2:$2,0)+1),MATCH(I$1,[1]characters!$2:$2,0)-MATCH($F$1,[1]characters!$2:$2,0)+1,FALSE)</f>
        <v>4</v>
      </c>
      <c r="J183" s="10" t="str">
        <f ca="1">VLOOKUP($F183,OFFSET([1]characters!$A$2,0,0,COUNTA([1]characters!$A:$A),MATCH(J$1,[1]characters!$2:$2,0)-MATCH($F$1,[1]characters!$2:$2,0)+1),MATCH(J$1,[1]characters!$2:$2,0)-MATCH($F$1,[1]characters!$2:$2,0)+1,FALSE)</f>
        <v>green</v>
      </c>
      <c r="K183" s="10" t="str">
        <f ca="1">VLOOKUP($F183,OFFSET([1]characters!$A$2,0,0,COUNTA([1]characters!$A:$A),MATCH("タイプ",[1]characters!$1:$1,0)-MATCH($F$1,[1]characters!$2:$2,0)+2),MATCH("タイプ",[1]characters!$1:$1,0)-MATCH($F$1,[1]characters!$2:$2,0)+2,FALSE)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3" s="10" t="str">
        <f ca="1">VLOOKUP($F183,OFFSET([1]characters!$A$2,0,0,COUNTA([1]characters!$A:$A),MATCH($L$1,[1]characters!$1:$1,0)-MATCH($F$1,[1]characters!$2:$2,0)+2),MATCH($L$1,[1]characters!$1:$1,0)-MATCH($F$1,[1]characters!$2:$2,0)+2,FALSE)</f>
        <v>ヒューマン</v>
      </c>
      <c r="M183" s="6">
        <v>1</v>
      </c>
      <c r="N183" s="40">
        <f ca="1">VLOOKUP(D183,gacha_133_base!A:B,2,FALSE)</f>
        <v>758</v>
      </c>
      <c r="O183" s="28">
        <v>0</v>
      </c>
      <c r="P183" s="28">
        <v>0</v>
      </c>
      <c r="Q183" s="28">
        <v>0</v>
      </c>
      <c r="R183" s="28">
        <v>0</v>
      </c>
      <c r="S183" s="28">
        <v>1</v>
      </c>
    </row>
    <row r="184" spans="1:19" ht="21" customHeight="1">
      <c r="A184" s="8" t="str">
        <f t="shared" si="12"/>
        <v>01971</v>
      </c>
      <c r="B184" s="2">
        <f t="shared" si="11"/>
        <v>134</v>
      </c>
      <c r="C184" s="10" t="str">
        <f t="shared" ca="1" si="9"/>
        <v>0PremiumN4</v>
      </c>
      <c r="D184" s="10" t="str">
        <f t="shared" ca="1" si="10"/>
        <v>0PremiumN4</v>
      </c>
      <c r="E184" s="6">
        <v>0</v>
      </c>
      <c r="F184" s="7">
        <v>197</v>
      </c>
      <c r="G184" s="10" t="str">
        <f ca="1">VLOOKUP($F184,OFFSET([1]characters!$A$2,0,0,COUNTA([1]characters!$A:$A),MATCH(G$1,[1]characters!$2:$2,0)-MATCH($F$1,[1]characters!$2:$2,0)+1),MATCH(G$1,[1]characters!$2:$2,0)-MATCH($F$1,[1]characters!$2:$2,0)+1,FALSE)</f>
        <v>鉄腕 アキレス</v>
      </c>
      <c r="H184" s="10" t="str">
        <f ca="1">VLOOKUP($F184,OFFSET([1]characters!$A$2,0,0,COUNTA([1]characters!$A:$A),MATCH(H$1,[1]characters!$2:$2,0)-MATCH($F$1,[1]characters!$2:$2,0)+1),MATCH(H$1,[1]characters!$2:$2,0)-MATCH($F$1,[1]characters!$2:$2,0)+1,FALSE)</f>
        <v>PremiumN</v>
      </c>
      <c r="I184" s="10">
        <f ca="1">VLOOKUP($F184,OFFSET([1]characters!$A$2,0,0,COUNTA([1]characters!$A:$A),MATCH(I$1,[1]characters!$2:$2,0)-MATCH($F$1,[1]characters!$2:$2,0)+1),MATCH(I$1,[1]characters!$2:$2,0)-MATCH($F$1,[1]characters!$2:$2,0)+1,FALSE)</f>
        <v>4</v>
      </c>
      <c r="J184" s="10" t="str">
        <f ca="1">VLOOKUP($F184,OFFSET([1]characters!$A$2,0,0,COUNTA([1]characters!$A:$A),MATCH(J$1,[1]characters!$2:$2,0)-MATCH($F$1,[1]characters!$2:$2,0)+1),MATCH(J$1,[1]characters!$2:$2,0)-MATCH($F$1,[1]characters!$2:$2,0)+1,FALSE)</f>
        <v>yellow</v>
      </c>
      <c r="K184" s="10" t="str">
        <f ca="1">VLOOKUP($F184,OFFSET([1]characters!$A$2,0,0,COUNTA([1]characters!$A:$A),MATCH("タイプ",[1]characters!$1:$1,0)-MATCH($F$1,[1]characters!$2:$2,0)+2),MATCH("タイプ",[1]characters!$1:$1,0)-MATCH($F$1,[1]characters!$2:$2,0)+2,FALSE)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4" s="10" t="str">
        <f ca="1">VLOOKUP($F184,OFFSET([1]characters!$A$2,0,0,COUNTA([1]characters!$A:$A),MATCH($L$1,[1]characters!$1:$1,0)-MATCH($F$1,[1]characters!$2:$2,0)+2),MATCH($L$1,[1]characters!$1:$1,0)-MATCH($F$1,[1]characters!$2:$2,0)+2,FALSE)</f>
        <v>ヒューマン</v>
      </c>
      <c r="M184" s="6">
        <v>1</v>
      </c>
      <c r="N184" s="40">
        <f ca="1">VLOOKUP(D184,gacha_133_base!A:B,2,FALSE)</f>
        <v>758</v>
      </c>
      <c r="O184" s="28">
        <v>0</v>
      </c>
      <c r="P184" s="28">
        <v>0</v>
      </c>
      <c r="Q184" s="28">
        <v>0</v>
      </c>
      <c r="R184" s="28">
        <v>0</v>
      </c>
      <c r="S184" s="28">
        <v>1</v>
      </c>
    </row>
    <row r="185" spans="1:19" ht="21" customHeight="1">
      <c r="A185" s="8" t="str">
        <f t="shared" si="12"/>
        <v>02001</v>
      </c>
      <c r="B185" s="2">
        <f t="shared" si="11"/>
        <v>134</v>
      </c>
      <c r="C185" s="10" t="str">
        <f t="shared" ca="1" si="9"/>
        <v>0PremiumN4</v>
      </c>
      <c r="D185" s="10" t="str">
        <f t="shared" ca="1" si="10"/>
        <v>0PremiumN4</v>
      </c>
      <c r="E185" s="6">
        <v>0</v>
      </c>
      <c r="F185" s="7">
        <v>200</v>
      </c>
      <c r="G185" s="10" t="str">
        <f ca="1">VLOOKUP($F185,OFFSET([1]characters!$A$2,0,0,COUNTA([1]characters!$A:$A),MATCH(G$1,[1]characters!$2:$2,0)-MATCH($F$1,[1]characters!$2:$2,0)+1),MATCH(G$1,[1]characters!$2:$2,0)-MATCH($F$1,[1]characters!$2:$2,0)+1,FALSE)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185" s="10" t="str">
        <f ca="1">VLOOKUP($F185,OFFSET([1]characters!$A$2,0,0,COUNTA([1]characters!$A:$A),MATCH(H$1,[1]characters!$2:$2,0)-MATCH($F$1,[1]characters!$2:$2,0)+1),MATCH(H$1,[1]characters!$2:$2,0)-MATCH($F$1,[1]characters!$2:$2,0)+1,FALSE)</f>
        <v>PremiumN</v>
      </c>
      <c r="I185" s="10">
        <f ca="1">VLOOKUP($F185,OFFSET([1]characters!$A$2,0,0,COUNTA([1]characters!$A:$A),MATCH(I$1,[1]characters!$2:$2,0)-MATCH($F$1,[1]characters!$2:$2,0)+1),MATCH(I$1,[1]characters!$2:$2,0)-MATCH($F$1,[1]characters!$2:$2,0)+1,FALSE)</f>
        <v>4</v>
      </c>
      <c r="J185" s="10" t="str">
        <f ca="1">VLOOKUP($F185,OFFSET([1]characters!$A$2,0,0,COUNTA([1]characters!$A:$A),MATCH(J$1,[1]characters!$2:$2,0)-MATCH($F$1,[1]characters!$2:$2,0)+1),MATCH(J$1,[1]characters!$2:$2,0)-MATCH($F$1,[1]characters!$2:$2,0)+1,FALSE)</f>
        <v>blue</v>
      </c>
      <c r="K185" s="10" t="str">
        <f ca="1">VLOOKUP($F185,OFFSET([1]characters!$A$2,0,0,COUNTA([1]characters!$A:$A),MATCH("タイプ",[1]characters!$1:$1,0)-MATCH($F$1,[1]characters!$2:$2,0)+2),MATCH("タイプ",[1]characters!$1:$1,0)-MATCH($F$1,[1]characters!$2:$2,0)+2,FALSE)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5" s="10" t="str">
        <f ca="1">VLOOKUP($F185,OFFSET([1]characters!$A$2,0,0,COUNTA([1]characters!$A:$A),MATCH($L$1,[1]characters!$1:$1,0)-MATCH($F$1,[1]characters!$2:$2,0)+2),MATCH($L$1,[1]characters!$1:$1,0)-MATCH($F$1,[1]characters!$2:$2,0)+2,FALSE)</f>
        <v>ヒューマン</v>
      </c>
      <c r="M185" s="6">
        <v>1</v>
      </c>
      <c r="N185" s="40">
        <f ca="1">VLOOKUP(D185,gacha_133_base!A:B,2,FALSE)</f>
        <v>758</v>
      </c>
      <c r="O185" s="28">
        <v>0</v>
      </c>
      <c r="P185" s="28">
        <v>0</v>
      </c>
      <c r="Q185" s="28">
        <v>0</v>
      </c>
      <c r="R185" s="28">
        <v>0</v>
      </c>
      <c r="S185" s="28">
        <v>1</v>
      </c>
    </row>
    <row r="186" spans="1:19" ht="21" customHeight="1">
      <c r="A186" s="8" t="str">
        <f t="shared" si="12"/>
        <v>02031</v>
      </c>
      <c r="B186" s="2">
        <f t="shared" si="11"/>
        <v>134</v>
      </c>
      <c r="C186" s="10" t="str">
        <f t="shared" ca="1" si="9"/>
        <v>0PremiumN4</v>
      </c>
      <c r="D186" s="10" t="str">
        <f t="shared" ca="1" si="10"/>
        <v>0PremiumN4</v>
      </c>
      <c r="E186" s="6">
        <v>0</v>
      </c>
      <c r="F186" s="7">
        <v>203</v>
      </c>
      <c r="G186" s="10" t="str">
        <f ca="1">VLOOKUP($F186,OFFSET([1]characters!$A$2,0,0,COUNTA([1]characters!$A:$A),MATCH(G$1,[1]characters!$2:$2,0)-MATCH($F$1,[1]characters!$2:$2,0)+1),MATCH(G$1,[1]characters!$2:$2,0)-MATCH($F$1,[1]characters!$2:$2,0)+1,FALSE)</f>
        <v>焔神 プロメテウス</v>
      </c>
      <c r="H186" s="10" t="str">
        <f ca="1">VLOOKUP($F186,OFFSET([1]characters!$A$2,0,0,COUNTA([1]characters!$A:$A),MATCH(H$1,[1]characters!$2:$2,0)-MATCH($F$1,[1]characters!$2:$2,0)+1),MATCH(H$1,[1]characters!$2:$2,0)-MATCH($F$1,[1]characters!$2:$2,0)+1,FALSE)</f>
        <v>PremiumN</v>
      </c>
      <c r="I186" s="10">
        <f ca="1">VLOOKUP($F186,OFFSET([1]characters!$A$2,0,0,COUNTA([1]characters!$A:$A),MATCH(I$1,[1]characters!$2:$2,0)-MATCH($F$1,[1]characters!$2:$2,0)+1),MATCH(I$1,[1]characters!$2:$2,0)-MATCH($F$1,[1]characters!$2:$2,0)+1,FALSE)</f>
        <v>4</v>
      </c>
      <c r="J186" s="10" t="str">
        <f ca="1">VLOOKUP($F186,OFFSET([1]characters!$A$2,0,0,COUNTA([1]characters!$A:$A),MATCH(J$1,[1]characters!$2:$2,0)-MATCH($F$1,[1]characters!$2:$2,0)+1),MATCH(J$1,[1]characters!$2:$2,0)-MATCH($F$1,[1]characters!$2:$2,0)+1,FALSE)</f>
        <v>red</v>
      </c>
      <c r="K186" s="10" t="str">
        <f ca="1">VLOOKUP($F186,OFFSET([1]characters!$A$2,0,0,COUNTA([1]characters!$A:$A),MATCH("タイプ",[1]characters!$1:$1,0)-MATCH($F$1,[1]characters!$2:$2,0)+2),MATCH("タイプ",[1]characters!$1:$1,0)-MATCH($F$1,[1]characters!$2:$2,0)+2,FALSE)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6" s="10" t="str">
        <f ca="1">VLOOKUP($F186,OFFSET([1]characters!$A$2,0,0,COUNTA([1]characters!$A:$A),MATCH($L$1,[1]characters!$1:$1,0)-MATCH($F$1,[1]characters!$2:$2,0)+2),MATCH($L$1,[1]characters!$1:$1,0)-MATCH($F$1,[1]characters!$2:$2,0)+2,FALSE)</f>
        <v>ゴッド</v>
      </c>
      <c r="M186" s="6">
        <v>1</v>
      </c>
      <c r="N186" s="40">
        <f ca="1">VLOOKUP(D186,gacha_133_base!A:B,2,FALSE)</f>
        <v>758</v>
      </c>
      <c r="O186" s="28">
        <v>0</v>
      </c>
      <c r="P186" s="28">
        <v>0</v>
      </c>
      <c r="Q186" s="28">
        <v>0</v>
      </c>
      <c r="R186" s="28">
        <v>0</v>
      </c>
      <c r="S186" s="28">
        <v>1</v>
      </c>
    </row>
    <row r="187" spans="1:19" ht="21" customHeight="1">
      <c r="A187" s="8" t="str">
        <f t="shared" si="12"/>
        <v>02061</v>
      </c>
      <c r="B187" s="2">
        <f t="shared" si="11"/>
        <v>134</v>
      </c>
      <c r="C187" s="10" t="str">
        <f t="shared" ca="1" si="9"/>
        <v>0PremiumN4</v>
      </c>
      <c r="D187" s="10" t="str">
        <f t="shared" ca="1" si="10"/>
        <v>0PremiumN4</v>
      </c>
      <c r="E187" s="6">
        <v>0</v>
      </c>
      <c r="F187" s="7">
        <v>206</v>
      </c>
      <c r="G187" s="10" t="str">
        <f ca="1">VLOOKUP($F187,OFFSET([1]characters!$A$2,0,0,COUNTA([1]characters!$A:$A),MATCH(G$1,[1]characters!$2:$2,0)-MATCH($F$1,[1]characters!$2:$2,0)+1),MATCH(G$1,[1]characters!$2:$2,0)-MATCH($F$1,[1]characters!$2:$2,0)+1,FALSE)</f>
        <v>美神 アフロディーテ</v>
      </c>
      <c r="H187" s="10" t="str">
        <f ca="1">VLOOKUP($F187,OFFSET([1]characters!$A$2,0,0,COUNTA([1]characters!$A:$A),MATCH(H$1,[1]characters!$2:$2,0)-MATCH($F$1,[1]characters!$2:$2,0)+1),MATCH(H$1,[1]characters!$2:$2,0)-MATCH($F$1,[1]characters!$2:$2,0)+1,FALSE)</f>
        <v>PremiumN</v>
      </c>
      <c r="I187" s="10">
        <f ca="1">VLOOKUP($F187,OFFSET([1]characters!$A$2,0,0,COUNTA([1]characters!$A:$A),MATCH(I$1,[1]characters!$2:$2,0)-MATCH($F$1,[1]characters!$2:$2,0)+1),MATCH(I$1,[1]characters!$2:$2,0)-MATCH($F$1,[1]characters!$2:$2,0)+1,FALSE)</f>
        <v>4</v>
      </c>
      <c r="J187" s="10" t="str">
        <f ca="1">VLOOKUP($F187,OFFSET([1]characters!$A$2,0,0,COUNTA([1]characters!$A:$A),MATCH(J$1,[1]characters!$2:$2,0)-MATCH($F$1,[1]characters!$2:$2,0)+1),MATCH(J$1,[1]characters!$2:$2,0)-MATCH($F$1,[1]characters!$2:$2,0)+1,FALSE)</f>
        <v>green</v>
      </c>
      <c r="K187" s="10" t="str">
        <f ca="1">VLOOKUP($F187,OFFSET([1]characters!$A$2,0,0,COUNTA([1]characters!$A:$A),MATCH("タイプ",[1]characters!$1:$1,0)-MATCH($F$1,[1]characters!$2:$2,0)+2),MATCH("タイプ",[1]characters!$1:$1,0)-MATCH($F$1,[1]characters!$2:$2,0)+2,FALSE)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7" s="10" t="str">
        <f ca="1">VLOOKUP($F187,OFFSET([1]characters!$A$2,0,0,COUNTA([1]characters!$A:$A),MATCH($L$1,[1]characters!$1:$1,0)-MATCH($F$1,[1]characters!$2:$2,0)+2),MATCH($L$1,[1]characters!$1:$1,0)-MATCH($F$1,[1]characters!$2:$2,0)+2,FALSE)</f>
        <v>ゴッド</v>
      </c>
      <c r="M187" s="6">
        <v>1</v>
      </c>
      <c r="N187" s="40">
        <f ca="1">VLOOKUP(D187,gacha_133_base!A:B,2,FALSE)</f>
        <v>758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8" t="str">
        <f t="shared" si="12"/>
        <v>02091</v>
      </c>
      <c r="B188" s="2">
        <f t="shared" si="11"/>
        <v>134</v>
      </c>
      <c r="C188" s="10" t="str">
        <f t="shared" ca="1" si="9"/>
        <v>0PremiumN4</v>
      </c>
      <c r="D188" s="10" t="str">
        <f t="shared" ca="1" si="10"/>
        <v>0PremiumN4</v>
      </c>
      <c r="E188" s="6">
        <v>0</v>
      </c>
      <c r="F188" s="7">
        <v>209</v>
      </c>
      <c r="G188" s="10" t="str">
        <f ca="1">VLOOKUP($F188,OFFSET([1]characters!$A$2,0,0,COUNTA([1]characters!$A:$A),MATCH(G$1,[1]characters!$2:$2,0)-MATCH($F$1,[1]characters!$2:$2,0)+1),MATCH(G$1,[1]characters!$2:$2,0)-MATCH($F$1,[1]characters!$2:$2,0)+1,FALSE)</f>
        <v>孤神 テティス</v>
      </c>
      <c r="H188" s="10" t="str">
        <f ca="1">VLOOKUP($F188,OFFSET([1]characters!$A$2,0,0,COUNTA([1]characters!$A:$A),MATCH(H$1,[1]characters!$2:$2,0)-MATCH($F$1,[1]characters!$2:$2,0)+1),MATCH(H$1,[1]characters!$2:$2,0)-MATCH($F$1,[1]characters!$2:$2,0)+1,FALSE)</f>
        <v>PremiumN</v>
      </c>
      <c r="I188" s="10">
        <f ca="1">VLOOKUP($F188,OFFSET([1]characters!$A$2,0,0,COUNTA([1]characters!$A:$A),MATCH(I$1,[1]characters!$2:$2,0)-MATCH($F$1,[1]characters!$2:$2,0)+1),MATCH(I$1,[1]characters!$2:$2,0)-MATCH($F$1,[1]characters!$2:$2,0)+1,FALSE)</f>
        <v>4</v>
      </c>
      <c r="J188" s="10" t="str">
        <f ca="1">VLOOKUP($F188,OFFSET([1]characters!$A$2,0,0,COUNTA([1]characters!$A:$A),MATCH(J$1,[1]characters!$2:$2,0)-MATCH($F$1,[1]characters!$2:$2,0)+1),MATCH(J$1,[1]characters!$2:$2,0)-MATCH($F$1,[1]characters!$2:$2,0)+1,FALSE)</f>
        <v>blue</v>
      </c>
      <c r="K188" s="10" t="str">
        <f ca="1">VLOOKUP($F188,OFFSET([1]characters!$A$2,0,0,COUNTA([1]characters!$A:$A),MATCH("タイプ",[1]characters!$1:$1,0)-MATCH($F$1,[1]characters!$2:$2,0)+2),MATCH("タイプ",[1]characters!$1:$1,0)-MATCH($F$1,[1]characters!$2:$2,0)+2,FALSE)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8" s="10" t="str">
        <f ca="1">VLOOKUP($F188,OFFSET([1]characters!$A$2,0,0,COUNTA([1]characters!$A:$A),MATCH($L$1,[1]characters!$1:$1,0)-MATCH($F$1,[1]characters!$2:$2,0)+2),MATCH($L$1,[1]characters!$1:$1,0)-MATCH($F$1,[1]characters!$2:$2,0)+2,FALSE)</f>
        <v>ゴッド</v>
      </c>
      <c r="M188" s="6">
        <v>1</v>
      </c>
      <c r="N188" s="40">
        <f ca="1">VLOOKUP(D188,gacha_133_base!A:B,2,FALSE)</f>
        <v>758</v>
      </c>
      <c r="O188" s="28">
        <v>0</v>
      </c>
      <c r="P188" s="28">
        <v>0</v>
      </c>
      <c r="Q188" s="28">
        <v>0</v>
      </c>
      <c r="R188" s="28">
        <v>0</v>
      </c>
      <c r="S188" s="28">
        <v>1</v>
      </c>
    </row>
    <row r="189" spans="1:19" ht="21" customHeight="1">
      <c r="A189" s="8" t="str">
        <f t="shared" si="12"/>
        <v>02121</v>
      </c>
      <c r="B189" s="2">
        <f t="shared" si="11"/>
        <v>134</v>
      </c>
      <c r="C189" s="10" t="str">
        <f t="shared" ca="1" si="9"/>
        <v>0PremiumN4</v>
      </c>
      <c r="D189" s="10" t="str">
        <f t="shared" ca="1" si="10"/>
        <v>0PremiumN4</v>
      </c>
      <c r="E189" s="6">
        <v>0</v>
      </c>
      <c r="F189" s="7">
        <v>212</v>
      </c>
      <c r="G189" s="10" t="str">
        <f ca="1">VLOOKUP($F189,OFFSET([1]characters!$A$2,0,0,COUNTA([1]characters!$A:$A),MATCH(G$1,[1]characters!$2:$2,0)-MATCH($F$1,[1]characters!$2:$2,0)+1),MATCH(G$1,[1]characters!$2:$2,0)-MATCH($F$1,[1]characters!$2:$2,0)+1,FALSE)</f>
        <v>星神 アストライアー</v>
      </c>
      <c r="H189" s="10" t="str">
        <f ca="1">VLOOKUP($F189,OFFSET([1]characters!$A$2,0,0,COUNTA([1]characters!$A:$A),MATCH(H$1,[1]characters!$2:$2,0)-MATCH($F$1,[1]characters!$2:$2,0)+1),MATCH(H$1,[1]characters!$2:$2,0)-MATCH($F$1,[1]characters!$2:$2,0)+1,FALSE)</f>
        <v>PremiumN</v>
      </c>
      <c r="I189" s="10">
        <f ca="1">VLOOKUP($F189,OFFSET([1]characters!$A$2,0,0,COUNTA([1]characters!$A:$A),MATCH(I$1,[1]characters!$2:$2,0)-MATCH($F$1,[1]characters!$2:$2,0)+1),MATCH(I$1,[1]characters!$2:$2,0)-MATCH($F$1,[1]characters!$2:$2,0)+1,FALSE)</f>
        <v>4</v>
      </c>
      <c r="J189" s="10" t="str">
        <f ca="1">VLOOKUP($F189,OFFSET([1]characters!$A$2,0,0,COUNTA([1]characters!$A:$A),MATCH(J$1,[1]characters!$2:$2,0)-MATCH($F$1,[1]characters!$2:$2,0)+1),MATCH(J$1,[1]characters!$2:$2,0)-MATCH($F$1,[1]characters!$2:$2,0)+1,FALSE)</f>
        <v>yellow</v>
      </c>
      <c r="K189" s="10" t="str">
        <f ca="1">VLOOKUP($F189,OFFSET([1]characters!$A$2,0,0,COUNTA([1]characters!$A:$A),MATCH("タイプ",[1]characters!$1:$1,0)-MATCH($F$1,[1]characters!$2:$2,0)+2),MATCH("タイプ",[1]characters!$1:$1,0)-MATCH($F$1,[1]characters!$2:$2,0)+2,FALSE)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9" s="10" t="str">
        <f ca="1">VLOOKUP($F189,OFFSET([1]characters!$A$2,0,0,COUNTA([1]characters!$A:$A),MATCH($L$1,[1]characters!$1:$1,0)-MATCH($F$1,[1]characters!$2:$2,0)+2),MATCH($L$1,[1]characters!$1:$1,0)-MATCH($F$1,[1]characters!$2:$2,0)+2,FALSE)</f>
        <v>ゴッド</v>
      </c>
      <c r="M189" s="6">
        <v>1</v>
      </c>
      <c r="N189" s="40">
        <f ca="1">VLOOKUP(D189,gacha_133_base!A:B,2,FALSE)</f>
        <v>758</v>
      </c>
      <c r="O189" s="28">
        <v>0</v>
      </c>
      <c r="P189" s="28">
        <v>0</v>
      </c>
      <c r="Q189" s="28">
        <v>0</v>
      </c>
      <c r="R189" s="28">
        <v>0</v>
      </c>
      <c r="S189" s="28">
        <v>1</v>
      </c>
    </row>
    <row r="190" spans="1:19" ht="21" customHeight="1">
      <c r="A190" s="8" t="str">
        <f t="shared" si="12"/>
        <v>02151</v>
      </c>
      <c r="B190" s="2">
        <f t="shared" si="11"/>
        <v>134</v>
      </c>
      <c r="C190" s="10" t="str">
        <f t="shared" ca="1" si="9"/>
        <v>0PremiumN4</v>
      </c>
      <c r="D190" s="10" t="str">
        <f t="shared" ca="1" si="10"/>
        <v>0PremiumN4</v>
      </c>
      <c r="E190" s="6">
        <v>0</v>
      </c>
      <c r="F190" s="7">
        <v>215</v>
      </c>
      <c r="G190" s="10" t="str">
        <f ca="1">VLOOKUP($F190,OFFSET([1]characters!$A$2,0,0,COUNTA([1]characters!$A:$A),MATCH(G$1,[1]characters!$2:$2,0)-MATCH($F$1,[1]characters!$2:$2,0)+1),MATCH(G$1,[1]characters!$2:$2,0)-MATCH($F$1,[1]characters!$2:$2,0)+1,FALSE)</f>
        <v>死導者 アズラエル</v>
      </c>
      <c r="H190" s="10" t="str">
        <f ca="1">VLOOKUP($F190,OFFSET([1]characters!$A$2,0,0,COUNTA([1]characters!$A:$A),MATCH(H$1,[1]characters!$2:$2,0)-MATCH($F$1,[1]characters!$2:$2,0)+1),MATCH(H$1,[1]characters!$2:$2,0)-MATCH($F$1,[1]characters!$2:$2,0)+1,FALSE)</f>
        <v>PremiumN</v>
      </c>
      <c r="I190" s="10">
        <f ca="1">VLOOKUP($F190,OFFSET([1]characters!$A$2,0,0,COUNTA([1]characters!$A:$A),MATCH(I$1,[1]characters!$2:$2,0)-MATCH($F$1,[1]characters!$2:$2,0)+1),MATCH(I$1,[1]characters!$2:$2,0)-MATCH($F$1,[1]characters!$2:$2,0)+1,FALSE)</f>
        <v>4</v>
      </c>
      <c r="J190" s="10" t="str">
        <f ca="1">VLOOKUP($F190,OFFSET([1]characters!$A$2,0,0,COUNTA([1]characters!$A:$A),MATCH(J$1,[1]characters!$2:$2,0)-MATCH($F$1,[1]characters!$2:$2,0)+1),MATCH(J$1,[1]characters!$2:$2,0)-MATCH($F$1,[1]characters!$2:$2,0)+1,FALSE)</f>
        <v>red</v>
      </c>
      <c r="K190" s="10" t="str">
        <f ca="1">VLOOKUP($F190,OFFSET([1]characters!$A$2,0,0,COUNTA([1]characters!$A:$A),MATCH("タイプ",[1]characters!$1:$1,0)-MATCH($F$1,[1]characters!$2:$2,0)+2),MATCH("タイプ",[1]characters!$1:$1,0)-MATCH($F$1,[1]characters!$2:$2,0)+2,FALSE)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0" s="10" t="str">
        <f ca="1">VLOOKUP($F190,OFFSET([1]characters!$A$2,0,0,COUNTA([1]characters!$A:$A),MATCH($L$1,[1]characters!$1:$1,0)-MATCH($F$1,[1]characters!$2:$2,0)+2),MATCH($L$1,[1]characters!$1:$1,0)-MATCH($F$1,[1]characters!$2:$2,0)+2,FALSE)</f>
        <v>ゴッド</v>
      </c>
      <c r="M190" s="6">
        <v>1</v>
      </c>
      <c r="N190" s="40">
        <f ca="1">VLOOKUP(D190,gacha_133_base!A:B,2,FALSE)</f>
        <v>758</v>
      </c>
      <c r="O190" s="28">
        <v>0</v>
      </c>
      <c r="P190" s="28">
        <v>0</v>
      </c>
      <c r="Q190" s="28">
        <v>0</v>
      </c>
      <c r="R190" s="28">
        <v>0</v>
      </c>
      <c r="S190" s="28">
        <v>1</v>
      </c>
    </row>
    <row r="191" spans="1:19" ht="21" customHeight="1">
      <c r="A191" s="8" t="str">
        <f t="shared" si="12"/>
        <v>02181</v>
      </c>
      <c r="B191" s="2">
        <f t="shared" si="11"/>
        <v>134</v>
      </c>
      <c r="C191" s="10" t="str">
        <f t="shared" ca="1" si="9"/>
        <v>0PremiumN4</v>
      </c>
      <c r="D191" s="10" t="str">
        <f t="shared" ca="1" si="10"/>
        <v>0PremiumN4</v>
      </c>
      <c r="E191" s="6">
        <v>0</v>
      </c>
      <c r="F191" s="7">
        <v>218</v>
      </c>
      <c r="G191" s="10" t="str">
        <f ca="1">VLOOKUP($F191,OFFSET([1]characters!$A$2,0,0,COUNTA([1]characters!$A:$A),MATCH(G$1,[1]characters!$2:$2,0)-MATCH($F$1,[1]characters!$2:$2,0)+1),MATCH(G$1,[1]characters!$2:$2,0)-MATCH($F$1,[1]characters!$2:$2,0)+1,FALSE)</f>
        <v>聖蛇 ケツァクアトル</v>
      </c>
      <c r="H191" s="10" t="str">
        <f ca="1">VLOOKUP($F191,OFFSET([1]characters!$A$2,0,0,COUNTA([1]characters!$A:$A),MATCH(H$1,[1]characters!$2:$2,0)-MATCH($F$1,[1]characters!$2:$2,0)+1),MATCH(H$1,[1]characters!$2:$2,0)-MATCH($F$1,[1]characters!$2:$2,0)+1,FALSE)</f>
        <v>PremiumN</v>
      </c>
      <c r="I191" s="10">
        <f ca="1">VLOOKUP($F191,OFFSET([1]characters!$A$2,0,0,COUNTA([1]characters!$A:$A),MATCH(I$1,[1]characters!$2:$2,0)-MATCH($F$1,[1]characters!$2:$2,0)+1),MATCH(I$1,[1]characters!$2:$2,0)-MATCH($F$1,[1]characters!$2:$2,0)+1,FALSE)</f>
        <v>4</v>
      </c>
      <c r="J191" s="10" t="str">
        <f ca="1">VLOOKUP($F191,OFFSET([1]characters!$A$2,0,0,COUNTA([1]characters!$A:$A),MATCH(J$1,[1]characters!$2:$2,0)-MATCH($F$1,[1]characters!$2:$2,0)+1),MATCH(J$1,[1]characters!$2:$2,0)-MATCH($F$1,[1]characters!$2:$2,0)+1,FALSE)</f>
        <v>green</v>
      </c>
      <c r="K191" s="10" t="str">
        <f ca="1">VLOOKUP($F191,OFFSET([1]characters!$A$2,0,0,COUNTA([1]characters!$A:$A),MATCH("タイプ",[1]characters!$1:$1,0)-MATCH($F$1,[1]characters!$2:$2,0)+2),MATCH("タイプ",[1]characters!$1:$1,0)-MATCH($F$1,[1]characters!$2:$2,0)+2,FALSE)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91" s="10" t="str">
        <f ca="1">VLOOKUP($F191,OFFSET([1]characters!$A$2,0,0,COUNTA([1]characters!$A:$A),MATCH($L$1,[1]characters!$1:$1,0)-MATCH($F$1,[1]characters!$2:$2,0)+2),MATCH($L$1,[1]characters!$1:$1,0)-MATCH($F$1,[1]characters!$2:$2,0)+2,FALSE)</f>
        <v>ドラゴン</v>
      </c>
      <c r="M191" s="6">
        <v>1</v>
      </c>
      <c r="N191" s="40">
        <f ca="1">VLOOKUP(D191,gacha_133_base!A:B,2,FALSE)</f>
        <v>758</v>
      </c>
      <c r="O191" s="28">
        <v>0</v>
      </c>
      <c r="P191" s="28">
        <v>0</v>
      </c>
      <c r="Q191" s="28">
        <v>0</v>
      </c>
      <c r="R191" s="28">
        <v>0</v>
      </c>
      <c r="S191" s="28">
        <v>1</v>
      </c>
    </row>
    <row r="192" spans="1:19" ht="21" customHeight="1">
      <c r="A192" s="8" t="str">
        <f t="shared" si="12"/>
        <v>02211</v>
      </c>
      <c r="B192" s="2">
        <f t="shared" si="11"/>
        <v>134</v>
      </c>
      <c r="C192" s="10" t="str">
        <f t="shared" ca="1" si="9"/>
        <v>0PremiumN4</v>
      </c>
      <c r="D192" s="10" t="str">
        <f t="shared" ca="1" si="10"/>
        <v>0PremiumN4</v>
      </c>
      <c r="E192" s="6">
        <v>0</v>
      </c>
      <c r="F192" s="7">
        <v>221</v>
      </c>
      <c r="G192" s="10" t="str">
        <f ca="1">VLOOKUP($F192,OFFSET([1]characters!$A$2,0,0,COUNTA([1]characters!$A:$A),MATCH(G$1,[1]characters!$2:$2,0)-MATCH($F$1,[1]characters!$2:$2,0)+1),MATCH(G$1,[1]characters!$2:$2,0)-MATCH($F$1,[1]characters!$2:$2,0)+1,FALSE)</f>
        <v>宰相 ルキフグス</v>
      </c>
      <c r="H192" s="10" t="str">
        <f ca="1">VLOOKUP($F192,OFFSET([1]characters!$A$2,0,0,COUNTA([1]characters!$A:$A),MATCH(H$1,[1]characters!$2:$2,0)-MATCH($F$1,[1]characters!$2:$2,0)+1),MATCH(H$1,[1]characters!$2:$2,0)-MATCH($F$1,[1]characters!$2:$2,0)+1,FALSE)</f>
        <v>PremiumN</v>
      </c>
      <c r="I192" s="10">
        <f ca="1">VLOOKUP($F192,OFFSET([1]characters!$A$2,0,0,COUNTA([1]characters!$A:$A),MATCH(I$1,[1]characters!$2:$2,0)-MATCH($F$1,[1]characters!$2:$2,0)+1),MATCH(I$1,[1]characters!$2:$2,0)-MATCH($F$1,[1]characters!$2:$2,0)+1,FALSE)</f>
        <v>4</v>
      </c>
      <c r="J192" s="10" t="str">
        <f ca="1">VLOOKUP($F192,OFFSET([1]characters!$A$2,0,0,COUNTA([1]characters!$A:$A),MATCH(J$1,[1]characters!$2:$2,0)-MATCH($F$1,[1]characters!$2:$2,0)+1),MATCH(J$1,[1]characters!$2:$2,0)-MATCH($F$1,[1]characters!$2:$2,0)+1,FALSE)</f>
        <v>blue</v>
      </c>
      <c r="K192" s="10" t="str">
        <f ca="1">VLOOKUP($F192,OFFSET([1]characters!$A$2,0,0,COUNTA([1]characters!$A:$A),MATCH("タイプ",[1]characters!$1:$1,0)-MATCH($F$1,[1]characters!$2:$2,0)+2),MATCH("タイプ",[1]characters!$1:$1,0)-MATCH($F$1,[1]characters!$2:$2,0)+2,FALSE)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2" s="10" t="str">
        <f ca="1">VLOOKUP($F192,OFFSET([1]characters!$A$2,0,0,COUNTA([1]characters!$A:$A),MATCH($L$1,[1]characters!$1:$1,0)-MATCH($F$1,[1]characters!$2:$2,0)+2),MATCH($L$1,[1]characters!$1:$1,0)-MATCH($F$1,[1]characters!$2:$2,0)+2,FALSE)</f>
        <v>ゴッド</v>
      </c>
      <c r="M192" s="6">
        <v>1</v>
      </c>
      <c r="N192" s="40">
        <f ca="1">VLOOKUP(D192,gacha_133_base!A:B,2,FALSE)</f>
        <v>758</v>
      </c>
      <c r="O192" s="28">
        <v>0</v>
      </c>
      <c r="P192" s="28">
        <v>0</v>
      </c>
      <c r="Q192" s="28">
        <v>0</v>
      </c>
      <c r="R192" s="28">
        <v>0</v>
      </c>
      <c r="S192" s="28">
        <v>1</v>
      </c>
    </row>
    <row r="193" spans="1:19" ht="21" customHeight="1">
      <c r="A193" s="8" t="str">
        <f t="shared" si="12"/>
        <v>02241</v>
      </c>
      <c r="B193" s="2">
        <f t="shared" si="11"/>
        <v>134</v>
      </c>
      <c r="C193" s="10" t="str">
        <f t="shared" ca="1" si="9"/>
        <v>0PremiumN4</v>
      </c>
      <c r="D193" s="10" t="str">
        <f t="shared" ca="1" si="10"/>
        <v>0PremiumN4</v>
      </c>
      <c r="E193" s="6">
        <v>0</v>
      </c>
      <c r="F193" s="7">
        <v>224</v>
      </c>
      <c r="G193" s="10" t="str">
        <f ca="1">VLOOKUP($F193,OFFSET([1]characters!$A$2,0,0,COUNTA([1]characters!$A:$A),MATCH(G$1,[1]characters!$2:$2,0)-MATCH($F$1,[1]characters!$2:$2,0)+1),MATCH(G$1,[1]characters!$2:$2,0)-MATCH($F$1,[1]characters!$2:$2,0)+1,FALSE)</f>
        <v>巨腕 ヘラクレス</v>
      </c>
      <c r="H193" s="10" t="str">
        <f ca="1">VLOOKUP($F193,OFFSET([1]characters!$A$2,0,0,COUNTA([1]characters!$A:$A),MATCH(H$1,[1]characters!$2:$2,0)-MATCH($F$1,[1]characters!$2:$2,0)+1),MATCH(H$1,[1]characters!$2:$2,0)-MATCH($F$1,[1]characters!$2:$2,0)+1,FALSE)</f>
        <v>PremiumN</v>
      </c>
      <c r="I193" s="10">
        <f ca="1">VLOOKUP($F193,OFFSET([1]characters!$A$2,0,0,COUNTA([1]characters!$A:$A),MATCH(I$1,[1]characters!$2:$2,0)-MATCH($F$1,[1]characters!$2:$2,0)+1),MATCH(I$1,[1]characters!$2:$2,0)-MATCH($F$1,[1]characters!$2:$2,0)+1,FALSE)</f>
        <v>4</v>
      </c>
      <c r="J193" s="10" t="str">
        <f ca="1">VLOOKUP($F193,OFFSET([1]characters!$A$2,0,0,COUNTA([1]characters!$A:$A),MATCH(J$1,[1]characters!$2:$2,0)-MATCH($F$1,[1]characters!$2:$2,0)+1),MATCH(J$1,[1]characters!$2:$2,0)-MATCH($F$1,[1]characters!$2:$2,0)+1,FALSE)</f>
        <v>yellow</v>
      </c>
      <c r="K193" s="10" t="str">
        <f ca="1">VLOOKUP($F193,OFFSET([1]characters!$A$2,0,0,COUNTA([1]characters!$A:$A),MATCH("タイプ",[1]characters!$1:$1,0)-MATCH($F$1,[1]characters!$2:$2,0)+2),MATCH("タイプ",[1]characters!$1:$1,0)-MATCH($F$1,[1]characters!$2:$2,0)+2,FALSE)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3" s="10" t="str">
        <f ca="1">VLOOKUP($F193,OFFSET([1]characters!$A$2,0,0,COUNTA([1]characters!$A:$A),MATCH($L$1,[1]characters!$1:$1,0)-MATCH($F$1,[1]characters!$2:$2,0)+2),MATCH($L$1,[1]characters!$1:$1,0)-MATCH($F$1,[1]characters!$2:$2,0)+2,FALSE)</f>
        <v>ヒューマン</v>
      </c>
      <c r="M193" s="6">
        <v>1</v>
      </c>
      <c r="N193" s="40">
        <f ca="1">VLOOKUP(D193,gacha_133_base!A:B,2,FALSE)</f>
        <v>758</v>
      </c>
      <c r="O193" s="28">
        <v>0</v>
      </c>
      <c r="P193" s="28">
        <v>0</v>
      </c>
      <c r="Q193" s="28">
        <v>0</v>
      </c>
      <c r="R193" s="28">
        <v>0</v>
      </c>
      <c r="S193" s="28">
        <v>1</v>
      </c>
    </row>
    <row r="194" spans="1:19" ht="21" customHeight="1">
      <c r="A194" s="8" t="str">
        <f t="shared" si="12"/>
        <v>02271</v>
      </c>
      <c r="B194" s="2">
        <f t="shared" si="11"/>
        <v>134</v>
      </c>
      <c r="C194" s="10" t="str">
        <f t="shared" ca="1" si="9"/>
        <v>0PremiumS4</v>
      </c>
      <c r="D194" s="10" t="str">
        <f t="shared" ca="1" si="10"/>
        <v>0PremiumS4</v>
      </c>
      <c r="E194" s="6">
        <v>0</v>
      </c>
      <c r="F194" s="7">
        <v>227</v>
      </c>
      <c r="G194" s="10" t="str">
        <f ca="1">VLOOKUP($F194,OFFSET([1]characters!$A$2,0,0,COUNTA([1]characters!$A:$A),MATCH(G$1,[1]characters!$2:$2,0)-MATCH($F$1,[1]characters!$2:$2,0)+1),MATCH(G$1,[1]characters!$2:$2,0)-MATCH($F$1,[1]characters!$2:$2,0)+1,FALSE)</f>
        <v>滅弾 アレス</v>
      </c>
      <c r="H194" s="10" t="str">
        <f ca="1">VLOOKUP($F194,OFFSET([1]characters!$A$2,0,0,COUNTA([1]characters!$A:$A),MATCH(H$1,[1]characters!$2:$2,0)-MATCH($F$1,[1]characters!$2:$2,0)+1),MATCH(H$1,[1]characters!$2:$2,0)-MATCH($F$1,[1]characters!$2:$2,0)+1,FALSE)</f>
        <v>PremiumS</v>
      </c>
      <c r="I194" s="10">
        <f ca="1">VLOOKUP($F194,OFFSET([1]characters!$A$2,0,0,COUNTA([1]characters!$A:$A),MATCH(I$1,[1]characters!$2:$2,0)-MATCH($F$1,[1]characters!$2:$2,0)+1),MATCH(I$1,[1]characters!$2:$2,0)-MATCH($F$1,[1]characters!$2:$2,0)+1,FALSE)</f>
        <v>4</v>
      </c>
      <c r="J194" s="10" t="str">
        <f ca="1">VLOOKUP($F194,OFFSET([1]characters!$A$2,0,0,COUNTA([1]characters!$A:$A),MATCH(J$1,[1]characters!$2:$2,0)-MATCH($F$1,[1]characters!$2:$2,0)+1),MATCH(J$1,[1]characters!$2:$2,0)-MATCH($F$1,[1]characters!$2:$2,0)+1,FALSE)</f>
        <v>red</v>
      </c>
      <c r="K194" s="10" t="str">
        <f ca="1">VLOOKUP($F194,OFFSET([1]characters!$A$2,0,0,COUNTA([1]characters!$A:$A),MATCH("タイプ",[1]characters!$1:$1,0)-MATCH($F$1,[1]characters!$2:$2,0)+2),MATCH("タイプ",[1]characters!$1:$1,0)-MATCH($F$1,[1]characters!$2:$2,0)+2,FALSE)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4" s="10" t="str">
        <f ca="1">VLOOKUP($F194,OFFSET([1]characters!$A$2,0,0,COUNTA([1]characters!$A:$A),MATCH($L$1,[1]characters!$1:$1,0)-MATCH($F$1,[1]characters!$2:$2,0)+2),MATCH($L$1,[1]characters!$1:$1,0)-MATCH($F$1,[1]characters!$2:$2,0)+2,FALSE)</f>
        <v>ゴッド</v>
      </c>
      <c r="M194" s="6">
        <v>1</v>
      </c>
      <c r="N194" s="40">
        <f ca="1">VLOOKUP(D194,gacha_133_base!A:B,2,FALSE)</f>
        <v>80</v>
      </c>
      <c r="O194" s="28">
        <v>0</v>
      </c>
      <c r="P194" s="28">
        <v>0</v>
      </c>
      <c r="Q194" s="28">
        <v>0</v>
      </c>
      <c r="R194" s="28">
        <v>0</v>
      </c>
      <c r="S194" s="28">
        <v>1</v>
      </c>
    </row>
    <row r="195" spans="1:19" ht="21" customHeight="1">
      <c r="A195" s="8" t="str">
        <f t="shared" si="12"/>
        <v>02301</v>
      </c>
      <c r="B195" s="2">
        <f t="shared" si="11"/>
        <v>134</v>
      </c>
      <c r="C195" s="10" t="str">
        <f t="shared" ca="1" si="9"/>
        <v>0PremiumS4</v>
      </c>
      <c r="D195" s="10" t="str">
        <f t="shared" ca="1" si="10"/>
        <v>0PremiumS4</v>
      </c>
      <c r="E195" s="6">
        <v>0</v>
      </c>
      <c r="F195" s="7">
        <v>230</v>
      </c>
      <c r="G195" s="10" t="str">
        <f ca="1">VLOOKUP($F195,OFFSET([1]characters!$A$2,0,0,COUNTA([1]characters!$A:$A),MATCH(G$1,[1]characters!$2:$2,0)-MATCH($F$1,[1]characters!$2:$2,0)+1),MATCH(G$1,[1]characters!$2:$2,0)-MATCH($F$1,[1]characters!$2:$2,0)+1,FALSE)</f>
        <v>毒銃 ヨルムンガンド</v>
      </c>
      <c r="H195" s="10" t="str">
        <f ca="1">VLOOKUP($F195,OFFSET([1]characters!$A$2,0,0,COUNTA([1]characters!$A:$A),MATCH(H$1,[1]characters!$2:$2,0)-MATCH($F$1,[1]characters!$2:$2,0)+1),MATCH(H$1,[1]characters!$2:$2,0)-MATCH($F$1,[1]characters!$2:$2,0)+1,FALSE)</f>
        <v>PremiumS</v>
      </c>
      <c r="I195" s="10">
        <f ca="1">VLOOKUP($F195,OFFSET([1]characters!$A$2,0,0,COUNTA([1]characters!$A:$A),MATCH(I$1,[1]characters!$2:$2,0)-MATCH($F$1,[1]characters!$2:$2,0)+1),MATCH(I$1,[1]characters!$2:$2,0)-MATCH($F$1,[1]characters!$2:$2,0)+1,FALSE)</f>
        <v>4</v>
      </c>
      <c r="J195" s="10" t="str">
        <f ca="1">VLOOKUP($F195,OFFSET([1]characters!$A$2,0,0,COUNTA([1]characters!$A:$A),MATCH(J$1,[1]characters!$2:$2,0)-MATCH($F$1,[1]characters!$2:$2,0)+1),MATCH(J$1,[1]characters!$2:$2,0)-MATCH($F$1,[1]characters!$2:$2,0)+1,FALSE)</f>
        <v>green</v>
      </c>
      <c r="K195" s="10" t="str">
        <f ca="1">VLOOKUP($F195,OFFSET([1]characters!$A$2,0,0,COUNTA([1]characters!$A:$A),MATCH("タイプ",[1]characters!$1:$1,0)-MATCH($F$1,[1]characters!$2:$2,0)+2),MATCH("タイプ",[1]characters!$1:$1,0)-MATCH($F$1,[1]characters!$2:$2,0)+2,FALSE)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95" s="10" t="str">
        <f ca="1">VLOOKUP($F195,OFFSET([1]characters!$A$2,0,0,COUNTA([1]characters!$A:$A),MATCH($L$1,[1]characters!$1:$1,0)-MATCH($F$1,[1]characters!$2:$2,0)+2),MATCH($L$1,[1]characters!$1:$1,0)-MATCH($F$1,[1]characters!$2:$2,0)+2,FALSE)</f>
        <v>ドラゴン</v>
      </c>
      <c r="M195" s="6">
        <v>1</v>
      </c>
      <c r="N195" s="40">
        <f ca="1">VLOOKUP(D195,gacha_133_base!A:B,2,FALSE)</f>
        <v>80</v>
      </c>
      <c r="O195" s="28">
        <v>0</v>
      </c>
      <c r="P195" s="28">
        <v>0</v>
      </c>
      <c r="Q195" s="28">
        <v>0</v>
      </c>
      <c r="R195" s="28">
        <v>0</v>
      </c>
      <c r="S195" s="28">
        <v>1</v>
      </c>
    </row>
    <row r="196" spans="1:19" ht="21" customHeight="1">
      <c r="A196" s="8" t="str">
        <f t="shared" si="12"/>
        <v>02331</v>
      </c>
      <c r="B196" s="2">
        <f t="shared" si="11"/>
        <v>134</v>
      </c>
      <c r="C196" s="10" t="str">
        <f t="shared" ca="1" si="9"/>
        <v>0PremiumS4</v>
      </c>
      <c r="D196" s="10" t="str">
        <f t="shared" ca="1" si="10"/>
        <v>0PremiumS4</v>
      </c>
      <c r="E196" s="6">
        <v>0</v>
      </c>
      <c r="F196" s="7">
        <v>233</v>
      </c>
      <c r="G196" s="10" t="str">
        <f ca="1">VLOOKUP($F196,OFFSET([1]characters!$A$2,0,0,COUNTA([1]characters!$A:$A),MATCH(G$1,[1]characters!$2:$2,0)-MATCH($F$1,[1]characters!$2:$2,0)+1),MATCH(G$1,[1]characters!$2:$2,0)-MATCH($F$1,[1]characters!$2:$2,0)+1,FALSE)</f>
        <v>遂行 パーシヴァル</v>
      </c>
      <c r="H196" s="10" t="str">
        <f ca="1">VLOOKUP($F196,OFFSET([1]characters!$A$2,0,0,COUNTA([1]characters!$A:$A),MATCH(H$1,[1]characters!$2:$2,0)-MATCH($F$1,[1]characters!$2:$2,0)+1),MATCH(H$1,[1]characters!$2:$2,0)-MATCH($F$1,[1]characters!$2:$2,0)+1,FALSE)</f>
        <v>PremiumS</v>
      </c>
      <c r="I196" s="10">
        <f ca="1">VLOOKUP($F196,OFFSET([1]characters!$A$2,0,0,COUNTA([1]characters!$A:$A),MATCH(I$1,[1]characters!$2:$2,0)-MATCH($F$1,[1]characters!$2:$2,0)+1),MATCH(I$1,[1]characters!$2:$2,0)-MATCH($F$1,[1]characters!$2:$2,0)+1,FALSE)</f>
        <v>4</v>
      </c>
      <c r="J196" s="10" t="str">
        <f ca="1">VLOOKUP($F196,OFFSET([1]characters!$A$2,0,0,COUNTA([1]characters!$A:$A),MATCH(J$1,[1]characters!$2:$2,0)-MATCH($F$1,[1]characters!$2:$2,0)+1),MATCH(J$1,[1]characters!$2:$2,0)-MATCH($F$1,[1]characters!$2:$2,0)+1,FALSE)</f>
        <v>blue</v>
      </c>
      <c r="K196" s="10" t="str">
        <f ca="1">VLOOKUP($F196,OFFSET([1]characters!$A$2,0,0,COUNTA([1]characters!$A:$A),MATCH("タイプ",[1]characters!$1:$1,0)-MATCH($F$1,[1]characters!$2:$2,0)+2),MATCH("タイプ",[1]characters!$1:$1,0)-MATCH($F$1,[1]characters!$2:$2,0)+2,FALSE)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96" s="10" t="str">
        <f ca="1">VLOOKUP($F196,OFFSET([1]characters!$A$2,0,0,COUNTA([1]characters!$A:$A),MATCH($L$1,[1]characters!$1:$1,0)-MATCH($F$1,[1]characters!$2:$2,0)+2),MATCH($L$1,[1]characters!$1:$1,0)-MATCH($F$1,[1]characters!$2:$2,0)+2,FALSE)</f>
        <v>ヒューマン</v>
      </c>
      <c r="M196" s="6">
        <v>1</v>
      </c>
      <c r="N196" s="40">
        <f ca="1">VLOOKUP(D196,gacha_133_base!A:B,2,FALSE)</f>
        <v>80</v>
      </c>
      <c r="O196" s="28">
        <v>0</v>
      </c>
      <c r="P196" s="28">
        <v>0</v>
      </c>
      <c r="Q196" s="28">
        <v>0</v>
      </c>
      <c r="R196" s="28">
        <v>0</v>
      </c>
      <c r="S196" s="28">
        <v>1</v>
      </c>
    </row>
    <row r="197" spans="1:19" ht="21" customHeight="1">
      <c r="A197" s="8" t="str">
        <f t="shared" si="12"/>
        <v>02361</v>
      </c>
      <c r="B197" s="2">
        <f t="shared" si="11"/>
        <v>134</v>
      </c>
      <c r="C197" s="10" t="str">
        <f t="shared" ca="1" si="9"/>
        <v>0PremiumS4</v>
      </c>
      <c r="D197" s="10" t="str">
        <f t="shared" ca="1" si="10"/>
        <v>0PremiumS4</v>
      </c>
      <c r="E197" s="6">
        <v>0</v>
      </c>
      <c r="F197" s="7">
        <v>236</v>
      </c>
      <c r="G197" s="10" t="str">
        <f ca="1">VLOOKUP($F197,OFFSET([1]characters!$A$2,0,0,COUNTA([1]characters!$A:$A),MATCH(G$1,[1]characters!$2:$2,0)-MATCH($F$1,[1]characters!$2:$2,0)+1),MATCH(G$1,[1]characters!$2:$2,0)-MATCH($F$1,[1]characters!$2:$2,0)+1,FALSE)</f>
        <v>神産 イザナミ</v>
      </c>
      <c r="H197" s="10" t="str">
        <f ca="1">VLOOKUP($F197,OFFSET([1]characters!$A$2,0,0,COUNTA([1]characters!$A:$A),MATCH(H$1,[1]characters!$2:$2,0)-MATCH($F$1,[1]characters!$2:$2,0)+1),MATCH(H$1,[1]characters!$2:$2,0)-MATCH($F$1,[1]characters!$2:$2,0)+1,FALSE)</f>
        <v>PremiumS</v>
      </c>
      <c r="I197" s="10">
        <f ca="1">VLOOKUP($F197,OFFSET([1]characters!$A$2,0,0,COUNTA([1]characters!$A:$A),MATCH(I$1,[1]characters!$2:$2,0)-MATCH($F$1,[1]characters!$2:$2,0)+1),MATCH(I$1,[1]characters!$2:$2,0)-MATCH($F$1,[1]characters!$2:$2,0)+1,FALSE)</f>
        <v>4</v>
      </c>
      <c r="J197" s="10" t="str">
        <f ca="1">VLOOKUP($F197,OFFSET([1]characters!$A$2,0,0,COUNTA([1]characters!$A:$A),MATCH(J$1,[1]characters!$2:$2,0)-MATCH($F$1,[1]characters!$2:$2,0)+1),MATCH(J$1,[1]characters!$2:$2,0)-MATCH($F$1,[1]characters!$2:$2,0)+1,FALSE)</f>
        <v>yellow</v>
      </c>
      <c r="K197" s="10" t="str">
        <f ca="1">VLOOKUP($F197,OFFSET([1]characters!$A$2,0,0,COUNTA([1]characters!$A:$A),MATCH("タイプ",[1]characters!$1:$1,0)-MATCH($F$1,[1]characters!$2:$2,0)+2),MATCH("タイプ",[1]characters!$1:$1,0)-MATCH($F$1,[1]characters!$2:$2,0)+2,FALSE)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7" s="10" t="str">
        <f ca="1">VLOOKUP($F197,OFFSET([1]characters!$A$2,0,0,COUNTA([1]characters!$A:$A),MATCH($L$1,[1]characters!$1:$1,0)-MATCH($F$1,[1]characters!$2:$2,0)+2),MATCH($L$1,[1]characters!$1:$1,0)-MATCH($F$1,[1]characters!$2:$2,0)+2,FALSE)</f>
        <v>ゴッド</v>
      </c>
      <c r="M197" s="6">
        <v>1</v>
      </c>
      <c r="N197" s="40">
        <f ca="1">VLOOKUP(D197,gacha_133_base!A:B,2,FALSE)</f>
        <v>80</v>
      </c>
      <c r="O197" s="28">
        <v>0</v>
      </c>
      <c r="P197" s="28">
        <v>0</v>
      </c>
      <c r="Q197" s="28">
        <v>0</v>
      </c>
      <c r="R197" s="28">
        <v>0</v>
      </c>
      <c r="S197" s="28">
        <v>1</v>
      </c>
    </row>
    <row r="198" spans="1:19" ht="21" customHeight="1">
      <c r="A198" s="8" t="str">
        <f t="shared" si="12"/>
        <v>01681</v>
      </c>
      <c r="B198" s="2">
        <f t="shared" si="11"/>
        <v>134</v>
      </c>
      <c r="C198" s="10" t="str">
        <f t="shared" ca="1" si="9"/>
        <v>0PremiumN5</v>
      </c>
      <c r="D198" s="10" t="str">
        <f t="shared" ca="1" si="10"/>
        <v>0PremiumN5</v>
      </c>
      <c r="E198" s="6">
        <v>0</v>
      </c>
      <c r="F198" s="7">
        <v>168</v>
      </c>
      <c r="G198" s="10" t="str">
        <f ca="1">VLOOKUP($F198,OFFSET([1]characters!$A$2,0,0,COUNTA([1]characters!$A:$A),MATCH(G$1,[1]characters!$2:$2,0)-MATCH($F$1,[1]characters!$2:$2,0)+1),MATCH(G$1,[1]characters!$2:$2,0)-MATCH($F$1,[1]characters!$2:$2,0)+1,FALSE)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198" s="10" t="str">
        <f ca="1">VLOOKUP($F198,OFFSET([1]characters!$A$2,0,0,COUNTA([1]characters!$A:$A),MATCH(H$1,[1]characters!$2:$2,0)-MATCH($F$1,[1]characters!$2:$2,0)+1),MATCH(H$1,[1]characters!$2:$2,0)-MATCH($F$1,[1]characters!$2:$2,0)+1,FALSE)</f>
        <v>PremiumN</v>
      </c>
      <c r="I198" s="10">
        <f ca="1">VLOOKUP($F198,OFFSET([1]characters!$A$2,0,0,COUNTA([1]characters!$A:$A),MATCH(I$1,[1]characters!$2:$2,0)-MATCH($F$1,[1]characters!$2:$2,0)+1),MATCH(I$1,[1]characters!$2:$2,0)-MATCH($F$1,[1]characters!$2:$2,0)+1,FALSE)</f>
        <v>5</v>
      </c>
      <c r="J198" s="10" t="str">
        <f ca="1">VLOOKUP($F198,OFFSET([1]characters!$A$2,0,0,COUNTA([1]characters!$A:$A),MATCH(J$1,[1]characters!$2:$2,0)-MATCH($F$1,[1]characters!$2:$2,0)+1),MATCH(J$1,[1]characters!$2:$2,0)-MATCH($F$1,[1]characters!$2:$2,0)+1,FALSE)</f>
        <v>red</v>
      </c>
      <c r="K198" s="10" t="str">
        <f ca="1">VLOOKUP($F198,OFFSET([1]characters!$A$2,0,0,COUNTA([1]characters!$A:$A),MATCH("タイプ",[1]characters!$1:$1,0)-MATCH($F$1,[1]characters!$2:$2,0)+2),MATCH("タイプ",[1]characters!$1:$1,0)-MATCH($F$1,[1]characters!$2:$2,0)+2,FALSE)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8" s="10" t="str">
        <f ca="1">VLOOKUP($F198,OFFSET([1]characters!$A$2,0,0,COUNTA([1]characters!$A:$A),MATCH($L$1,[1]characters!$1:$1,0)-MATCH($F$1,[1]characters!$2:$2,0)+2),MATCH($L$1,[1]characters!$1:$1,0)-MATCH($F$1,[1]characters!$2:$2,0)+2,FALSE)</f>
        <v>ゴッド</v>
      </c>
      <c r="M198" s="6">
        <v>1</v>
      </c>
      <c r="N198" s="40">
        <f ca="1">VLOOKUP(D198,gacha_133_base!A:B,2,FALSE)</f>
        <v>247</v>
      </c>
      <c r="O198" s="28">
        <v>0</v>
      </c>
      <c r="P198" s="28">
        <v>0</v>
      </c>
      <c r="Q198" s="28">
        <v>0</v>
      </c>
      <c r="R198" s="28">
        <v>0</v>
      </c>
      <c r="S198" s="28">
        <v>1</v>
      </c>
    </row>
    <row r="199" spans="1:19" ht="21" customHeight="1">
      <c r="A199" s="8" t="str">
        <f t="shared" si="12"/>
        <v>01711</v>
      </c>
      <c r="B199" s="2">
        <f t="shared" si="11"/>
        <v>134</v>
      </c>
      <c r="C199" s="10" t="str">
        <f t="shared" ca="1" si="9"/>
        <v>0PremiumN5</v>
      </c>
      <c r="D199" s="10" t="str">
        <f t="shared" ca="1" si="10"/>
        <v>0PremiumN5</v>
      </c>
      <c r="E199" s="6">
        <v>0</v>
      </c>
      <c r="F199" s="7">
        <v>171</v>
      </c>
      <c r="G199" s="10" t="str">
        <f ca="1">VLOOKUP($F199,OFFSET([1]characters!$A$2,0,0,COUNTA([1]characters!$A:$A),MATCH(G$1,[1]characters!$2:$2,0)-MATCH($F$1,[1]characters!$2:$2,0)+1),MATCH(G$1,[1]characters!$2:$2,0)-MATCH($F$1,[1]characters!$2:$2,0)+1,FALSE)</f>
        <v>精解の預知者 オセ</v>
      </c>
      <c r="H199" s="10" t="str">
        <f ca="1">VLOOKUP($F199,OFFSET([1]characters!$A$2,0,0,COUNTA([1]characters!$A:$A),MATCH(H$1,[1]characters!$2:$2,0)-MATCH($F$1,[1]characters!$2:$2,0)+1),MATCH(H$1,[1]characters!$2:$2,0)-MATCH($F$1,[1]characters!$2:$2,0)+1,FALSE)</f>
        <v>PremiumN</v>
      </c>
      <c r="I199" s="10">
        <f ca="1">VLOOKUP($F199,OFFSET([1]characters!$A$2,0,0,COUNTA([1]characters!$A:$A),MATCH(I$1,[1]characters!$2:$2,0)-MATCH($F$1,[1]characters!$2:$2,0)+1),MATCH(I$1,[1]characters!$2:$2,0)-MATCH($F$1,[1]characters!$2:$2,0)+1,FALSE)</f>
        <v>5</v>
      </c>
      <c r="J199" s="10" t="str">
        <f ca="1">VLOOKUP($F199,OFFSET([1]characters!$A$2,0,0,COUNTA([1]characters!$A:$A),MATCH(J$1,[1]characters!$2:$2,0)-MATCH($F$1,[1]characters!$2:$2,0)+1),MATCH(J$1,[1]characters!$2:$2,0)-MATCH($F$1,[1]characters!$2:$2,0)+1,FALSE)</f>
        <v>green</v>
      </c>
      <c r="K199" s="10" t="str">
        <f ca="1">VLOOKUP($F199,OFFSET([1]characters!$A$2,0,0,COUNTA([1]characters!$A:$A),MATCH("タイプ",[1]characters!$1:$1,0)-MATCH($F$1,[1]characters!$2:$2,0)+2),MATCH("タイプ",[1]characters!$1:$1,0)-MATCH($F$1,[1]characters!$2:$2,0)+2,FALSE)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9" s="10" t="str">
        <f ca="1">VLOOKUP($F199,OFFSET([1]characters!$A$2,0,0,COUNTA([1]characters!$A:$A),MATCH($L$1,[1]characters!$1:$1,0)-MATCH($F$1,[1]characters!$2:$2,0)+2),MATCH($L$1,[1]characters!$1:$1,0)-MATCH($F$1,[1]characters!$2:$2,0)+2,FALSE)</f>
        <v>ゴッド</v>
      </c>
      <c r="M199" s="6">
        <v>1</v>
      </c>
      <c r="N199" s="40">
        <f ca="1">VLOOKUP(D199,gacha_133_base!A:B,2,FALSE)</f>
        <v>247</v>
      </c>
      <c r="O199" s="28">
        <v>0</v>
      </c>
      <c r="P199" s="28">
        <v>0</v>
      </c>
      <c r="Q199" s="28">
        <v>0</v>
      </c>
      <c r="R199" s="28">
        <v>0</v>
      </c>
      <c r="S199" s="28">
        <v>1</v>
      </c>
    </row>
    <row r="200" spans="1:19" ht="21" customHeight="1">
      <c r="A200" s="8" t="str">
        <f t="shared" si="12"/>
        <v>01741</v>
      </c>
      <c r="B200" s="2">
        <f t="shared" si="11"/>
        <v>134</v>
      </c>
      <c r="C200" s="10" t="str">
        <f t="shared" ca="1" si="9"/>
        <v>0PremiumN5</v>
      </c>
      <c r="D200" s="10" t="str">
        <f t="shared" ca="1" si="10"/>
        <v>0PremiumN5</v>
      </c>
      <c r="E200" s="6">
        <v>0</v>
      </c>
      <c r="F200" s="7">
        <v>174</v>
      </c>
      <c r="G200" s="10" t="str">
        <f ca="1">VLOOKUP($F200,OFFSET([1]characters!$A$2,0,0,COUNTA([1]characters!$A:$A),MATCH(G$1,[1]characters!$2:$2,0)-MATCH($F$1,[1]characters!$2:$2,0)+1),MATCH(G$1,[1]characters!$2:$2,0)-MATCH($F$1,[1]characters!$2:$2,0)+1,FALSE)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200" s="10" t="str">
        <f ca="1">VLOOKUP($F200,OFFSET([1]characters!$A$2,0,0,COUNTA([1]characters!$A:$A),MATCH(H$1,[1]characters!$2:$2,0)-MATCH($F$1,[1]characters!$2:$2,0)+1),MATCH(H$1,[1]characters!$2:$2,0)-MATCH($F$1,[1]characters!$2:$2,0)+1,FALSE)</f>
        <v>PremiumN</v>
      </c>
      <c r="I200" s="10">
        <f ca="1">VLOOKUP($F200,OFFSET([1]characters!$A$2,0,0,COUNTA([1]characters!$A:$A),MATCH(I$1,[1]characters!$2:$2,0)-MATCH($F$1,[1]characters!$2:$2,0)+1),MATCH(I$1,[1]characters!$2:$2,0)-MATCH($F$1,[1]characters!$2:$2,0)+1,FALSE)</f>
        <v>5</v>
      </c>
      <c r="J200" s="10" t="str">
        <f ca="1">VLOOKUP($F200,OFFSET([1]characters!$A$2,0,0,COUNTA([1]characters!$A:$A),MATCH(J$1,[1]characters!$2:$2,0)-MATCH($F$1,[1]characters!$2:$2,0)+1),MATCH(J$1,[1]characters!$2:$2,0)-MATCH($F$1,[1]characters!$2:$2,0)+1,FALSE)</f>
        <v>blue</v>
      </c>
      <c r="K200" s="10" t="str">
        <f ca="1">VLOOKUP($F200,OFFSET([1]characters!$A$2,0,0,COUNTA([1]characters!$A:$A),MATCH("タイプ",[1]characters!$1:$1,0)-MATCH($F$1,[1]characters!$2:$2,0)+2),MATCH("タイプ",[1]characters!$1:$1,0)-MATCH($F$1,[1]characters!$2:$2,0)+2,FALSE)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0" s="10" t="str">
        <f ca="1">VLOOKUP($F200,OFFSET([1]characters!$A$2,0,0,COUNTA([1]characters!$A:$A),MATCH($L$1,[1]characters!$1:$1,0)-MATCH($F$1,[1]characters!$2:$2,0)+2),MATCH($L$1,[1]characters!$1:$1,0)-MATCH($F$1,[1]characters!$2:$2,0)+2,FALSE)</f>
        <v>ゴッド</v>
      </c>
      <c r="M200" s="6">
        <v>1</v>
      </c>
      <c r="N200" s="40">
        <f ca="1">VLOOKUP(D200,gacha_133_base!A:B,2,FALSE)</f>
        <v>247</v>
      </c>
      <c r="O200" s="28">
        <v>0</v>
      </c>
      <c r="P200" s="28">
        <v>0</v>
      </c>
      <c r="Q200" s="28">
        <v>0</v>
      </c>
      <c r="R200" s="28">
        <v>0</v>
      </c>
      <c r="S200" s="28">
        <v>1</v>
      </c>
    </row>
    <row r="201" spans="1:19" ht="21" customHeight="1">
      <c r="A201" s="8" t="str">
        <f t="shared" si="12"/>
        <v>01771</v>
      </c>
      <c r="B201" s="2">
        <f t="shared" si="11"/>
        <v>134</v>
      </c>
      <c r="C201" s="10" t="str">
        <f t="shared" ca="1" si="9"/>
        <v>0PremiumN5</v>
      </c>
      <c r="D201" s="10" t="str">
        <f t="shared" ca="1" si="10"/>
        <v>0PremiumN5</v>
      </c>
      <c r="E201" s="6">
        <v>0</v>
      </c>
      <c r="F201" s="7">
        <v>177</v>
      </c>
      <c r="G201" s="10" t="str">
        <f ca="1">VLOOKUP($F201,OFFSET([1]characters!$A$2,0,0,COUNTA([1]characters!$A:$A),MATCH(G$1,[1]characters!$2:$2,0)-MATCH($F$1,[1]characters!$2:$2,0)+1),MATCH(G$1,[1]characters!$2:$2,0)-MATCH($F$1,[1]characters!$2:$2,0)+1,FALSE)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201" s="10" t="str">
        <f ca="1">VLOOKUP($F201,OFFSET([1]characters!$A$2,0,0,COUNTA([1]characters!$A:$A),MATCH(H$1,[1]characters!$2:$2,0)-MATCH($F$1,[1]characters!$2:$2,0)+1),MATCH(H$1,[1]characters!$2:$2,0)-MATCH($F$1,[1]characters!$2:$2,0)+1,FALSE)</f>
        <v>PremiumN</v>
      </c>
      <c r="I201" s="10">
        <f ca="1">VLOOKUP($F201,OFFSET([1]characters!$A$2,0,0,COUNTA([1]characters!$A:$A),MATCH(I$1,[1]characters!$2:$2,0)-MATCH($F$1,[1]characters!$2:$2,0)+1),MATCH(I$1,[1]characters!$2:$2,0)-MATCH($F$1,[1]characters!$2:$2,0)+1,FALSE)</f>
        <v>5</v>
      </c>
      <c r="J201" s="10" t="str">
        <f ca="1">VLOOKUP($F201,OFFSET([1]characters!$A$2,0,0,COUNTA([1]characters!$A:$A),MATCH(J$1,[1]characters!$2:$2,0)-MATCH($F$1,[1]characters!$2:$2,0)+1),MATCH(J$1,[1]characters!$2:$2,0)-MATCH($F$1,[1]characters!$2:$2,0)+1,FALSE)</f>
        <v>yellow</v>
      </c>
      <c r="K201" s="10" t="str">
        <f ca="1">VLOOKUP($F201,OFFSET([1]characters!$A$2,0,0,COUNTA([1]characters!$A:$A),MATCH("タイプ",[1]characters!$1:$1,0)-MATCH($F$1,[1]characters!$2:$2,0)+2),MATCH("タイプ",[1]characters!$1:$1,0)-MATCH($F$1,[1]characters!$2:$2,0)+2,FALSE)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1" s="10" t="str">
        <f ca="1">VLOOKUP($F201,OFFSET([1]characters!$A$2,0,0,COUNTA([1]characters!$A:$A),MATCH($L$1,[1]characters!$1:$1,0)-MATCH($F$1,[1]characters!$2:$2,0)+2),MATCH($L$1,[1]characters!$1:$1,0)-MATCH($F$1,[1]characters!$2:$2,0)+2,FALSE)</f>
        <v>ゴッド</v>
      </c>
      <c r="M201" s="6">
        <v>1</v>
      </c>
      <c r="N201" s="40">
        <f ca="1">VLOOKUP(D201,gacha_133_base!A:B,2,FALSE)</f>
        <v>247</v>
      </c>
      <c r="O201" s="28">
        <v>0</v>
      </c>
      <c r="P201" s="28">
        <v>0</v>
      </c>
      <c r="Q201" s="28">
        <v>0</v>
      </c>
      <c r="R201" s="28">
        <v>0</v>
      </c>
      <c r="S201" s="28">
        <v>1</v>
      </c>
    </row>
    <row r="202" spans="1:19" ht="21" customHeight="1">
      <c r="A202" s="8" t="str">
        <f t="shared" si="12"/>
        <v>01801</v>
      </c>
      <c r="B202" s="2">
        <f t="shared" si="11"/>
        <v>134</v>
      </c>
      <c r="C202" s="10" t="str">
        <f t="shared" ca="1" si="9"/>
        <v>0PremiumN5</v>
      </c>
      <c r="D202" s="10" t="str">
        <f t="shared" ca="1" si="10"/>
        <v>0PremiumN5</v>
      </c>
      <c r="E202" s="6">
        <v>0</v>
      </c>
      <c r="F202" s="7">
        <v>180</v>
      </c>
      <c r="G202" s="10" t="str">
        <f ca="1">VLOOKUP($F202,OFFSET([1]characters!$A$2,0,0,COUNTA([1]characters!$A:$A),MATCH(G$1,[1]characters!$2:$2,0)-MATCH($F$1,[1]characters!$2:$2,0)+1),MATCH(G$1,[1]characters!$2:$2,0)-MATCH($F$1,[1]characters!$2:$2,0)+1,FALSE)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202" s="10" t="str">
        <f ca="1">VLOOKUP($F202,OFFSET([1]characters!$A$2,0,0,COUNTA([1]characters!$A:$A),MATCH(H$1,[1]characters!$2:$2,0)-MATCH($F$1,[1]characters!$2:$2,0)+1),MATCH(H$1,[1]characters!$2:$2,0)-MATCH($F$1,[1]characters!$2:$2,0)+1,FALSE)</f>
        <v>PremiumN</v>
      </c>
      <c r="I202" s="10">
        <f ca="1">VLOOKUP($F202,OFFSET([1]characters!$A$2,0,0,COUNTA([1]characters!$A:$A),MATCH(I$1,[1]characters!$2:$2,0)-MATCH($F$1,[1]characters!$2:$2,0)+1),MATCH(I$1,[1]characters!$2:$2,0)-MATCH($F$1,[1]characters!$2:$2,0)+1,FALSE)</f>
        <v>5</v>
      </c>
      <c r="J202" s="10" t="str">
        <f ca="1">VLOOKUP($F202,OFFSET([1]characters!$A$2,0,0,COUNTA([1]characters!$A:$A),MATCH(J$1,[1]characters!$2:$2,0)-MATCH($F$1,[1]characters!$2:$2,0)+1),MATCH(J$1,[1]characters!$2:$2,0)-MATCH($F$1,[1]characters!$2:$2,0)+1,FALSE)</f>
        <v>red</v>
      </c>
      <c r="K202" s="10" t="str">
        <f ca="1">VLOOKUP($F202,OFFSET([1]characters!$A$2,0,0,COUNTA([1]characters!$A:$A),MATCH("タイプ",[1]characters!$1:$1,0)-MATCH($F$1,[1]characters!$2:$2,0)+2),MATCH("タイプ",[1]characters!$1:$1,0)-MATCH($F$1,[1]characters!$2:$2,0)+2,FALSE)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2" s="10" t="str">
        <f ca="1">VLOOKUP($F202,OFFSET([1]characters!$A$2,0,0,COUNTA([1]characters!$A:$A),MATCH($L$1,[1]characters!$1:$1,0)-MATCH($F$1,[1]characters!$2:$2,0)+2),MATCH($L$1,[1]characters!$1:$1,0)-MATCH($F$1,[1]characters!$2:$2,0)+2,FALSE)</f>
        <v>アニマル</v>
      </c>
      <c r="M202" s="6">
        <v>1</v>
      </c>
      <c r="N202" s="40">
        <f ca="1">VLOOKUP(D202,gacha_133_base!A:B,2,FALSE)</f>
        <v>247</v>
      </c>
      <c r="O202" s="28">
        <v>0</v>
      </c>
      <c r="P202" s="28">
        <v>0</v>
      </c>
      <c r="Q202" s="28">
        <v>0</v>
      </c>
      <c r="R202" s="28">
        <v>0</v>
      </c>
      <c r="S202" s="28">
        <v>1</v>
      </c>
    </row>
    <row r="203" spans="1:19" ht="21" customHeight="1">
      <c r="A203" s="8" t="str">
        <f t="shared" si="12"/>
        <v>01831</v>
      </c>
      <c r="B203" s="2">
        <f t="shared" si="11"/>
        <v>134</v>
      </c>
      <c r="C203" s="10" t="str">
        <f t="shared" ref="C203:C266" ca="1" si="13">E203&amp;H203&amp;I203</f>
        <v>0PremiumN5</v>
      </c>
      <c r="D203" s="10" t="str">
        <f t="shared" ref="D203:D263" ca="1" si="14">E203&amp;H203&amp;I203</f>
        <v>0PremiumN5</v>
      </c>
      <c r="E203" s="6">
        <v>0</v>
      </c>
      <c r="F203" s="7">
        <v>183</v>
      </c>
      <c r="G203" s="10" t="str">
        <f ca="1">VLOOKUP($F203,OFFSET([1]characters!$A$2,0,0,COUNTA([1]characters!$A:$A),MATCH(G$1,[1]characters!$2:$2,0)-MATCH($F$1,[1]characters!$2:$2,0)+1),MATCH(G$1,[1]characters!$2:$2,0)-MATCH($F$1,[1]characters!$2:$2,0)+1,FALSE)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203" s="10" t="str">
        <f ca="1">VLOOKUP($F203,OFFSET([1]characters!$A$2,0,0,COUNTA([1]characters!$A:$A),MATCH(H$1,[1]characters!$2:$2,0)-MATCH($F$1,[1]characters!$2:$2,0)+1),MATCH(H$1,[1]characters!$2:$2,0)-MATCH($F$1,[1]characters!$2:$2,0)+1,FALSE)</f>
        <v>PremiumN</v>
      </c>
      <c r="I203" s="10">
        <f ca="1">VLOOKUP($F203,OFFSET([1]characters!$A$2,0,0,COUNTA([1]characters!$A:$A),MATCH(I$1,[1]characters!$2:$2,0)-MATCH($F$1,[1]characters!$2:$2,0)+1),MATCH(I$1,[1]characters!$2:$2,0)-MATCH($F$1,[1]characters!$2:$2,0)+1,FALSE)</f>
        <v>5</v>
      </c>
      <c r="J203" s="10" t="str">
        <f ca="1">VLOOKUP($F203,OFFSET([1]characters!$A$2,0,0,COUNTA([1]characters!$A:$A),MATCH(J$1,[1]characters!$2:$2,0)-MATCH($F$1,[1]characters!$2:$2,0)+1),MATCH(J$1,[1]characters!$2:$2,0)-MATCH($F$1,[1]characters!$2:$2,0)+1,FALSE)</f>
        <v>green</v>
      </c>
      <c r="K203" s="10" t="str">
        <f ca="1">VLOOKUP($F203,OFFSET([1]characters!$A$2,0,0,COUNTA([1]characters!$A:$A),MATCH("タイプ",[1]characters!$1:$1,0)-MATCH($F$1,[1]characters!$2:$2,0)+2),MATCH("タイプ",[1]characters!$1:$1,0)-MATCH($F$1,[1]characters!$2:$2,0)+2,FALSE)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3" s="10" t="str">
        <f ca="1">VLOOKUP($F203,OFFSET([1]characters!$A$2,0,0,COUNTA([1]characters!$A:$A),MATCH($L$1,[1]characters!$1:$1,0)-MATCH($F$1,[1]characters!$2:$2,0)+2),MATCH($L$1,[1]characters!$1:$1,0)-MATCH($F$1,[1]characters!$2:$2,0)+2,FALSE)</f>
        <v>アニマル</v>
      </c>
      <c r="M203" s="6">
        <v>1</v>
      </c>
      <c r="N203" s="40">
        <f ca="1">VLOOKUP(D203,gacha_133_base!A:B,2,FALSE)</f>
        <v>247</v>
      </c>
      <c r="O203" s="28">
        <v>0</v>
      </c>
      <c r="P203" s="28">
        <v>0</v>
      </c>
      <c r="Q203" s="28">
        <v>0</v>
      </c>
      <c r="R203" s="28">
        <v>0</v>
      </c>
      <c r="S203" s="28">
        <v>1</v>
      </c>
    </row>
    <row r="204" spans="1:19" ht="21" customHeight="1">
      <c r="A204" s="8" t="str">
        <f t="shared" si="12"/>
        <v>01861</v>
      </c>
      <c r="B204" s="2">
        <f t="shared" ref="B204:B267" si="15">$B$2</f>
        <v>134</v>
      </c>
      <c r="C204" s="10" t="str">
        <f t="shared" ca="1" si="13"/>
        <v>0PremiumN5</v>
      </c>
      <c r="D204" s="10" t="str">
        <f t="shared" ca="1" si="14"/>
        <v>0PremiumN5</v>
      </c>
      <c r="E204" s="6">
        <v>0</v>
      </c>
      <c r="F204" s="7">
        <v>186</v>
      </c>
      <c r="G204" s="10" t="str">
        <f ca="1">VLOOKUP($F204,OFFSET([1]characters!$A$2,0,0,COUNTA([1]characters!$A:$A),MATCH(G$1,[1]characters!$2:$2,0)-MATCH($F$1,[1]characters!$2:$2,0)+1),MATCH(G$1,[1]characters!$2:$2,0)-MATCH($F$1,[1]characters!$2:$2,0)+1,FALSE)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204" s="10" t="str">
        <f ca="1">VLOOKUP($F204,OFFSET([1]characters!$A$2,0,0,COUNTA([1]characters!$A:$A),MATCH(H$1,[1]characters!$2:$2,0)-MATCH($F$1,[1]characters!$2:$2,0)+1),MATCH(H$1,[1]characters!$2:$2,0)-MATCH($F$1,[1]characters!$2:$2,0)+1,FALSE)</f>
        <v>PremiumN</v>
      </c>
      <c r="I204" s="10">
        <f ca="1">VLOOKUP($F204,OFFSET([1]characters!$A$2,0,0,COUNTA([1]characters!$A:$A),MATCH(I$1,[1]characters!$2:$2,0)-MATCH($F$1,[1]characters!$2:$2,0)+1),MATCH(I$1,[1]characters!$2:$2,0)-MATCH($F$1,[1]characters!$2:$2,0)+1,FALSE)</f>
        <v>5</v>
      </c>
      <c r="J204" s="10" t="str">
        <f ca="1">VLOOKUP($F204,OFFSET([1]characters!$A$2,0,0,COUNTA([1]characters!$A:$A),MATCH(J$1,[1]characters!$2:$2,0)-MATCH($F$1,[1]characters!$2:$2,0)+1),MATCH(J$1,[1]characters!$2:$2,0)-MATCH($F$1,[1]characters!$2:$2,0)+1,FALSE)</f>
        <v>blue</v>
      </c>
      <c r="K204" s="10" t="str">
        <f ca="1">VLOOKUP($F204,OFFSET([1]characters!$A$2,0,0,COUNTA([1]characters!$A:$A),MATCH("タイプ",[1]characters!$1:$1,0)-MATCH($F$1,[1]characters!$2:$2,0)+2),MATCH("タイプ",[1]characters!$1:$1,0)-MATCH($F$1,[1]characters!$2:$2,0)+2,FALSE)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04" s="10" t="str">
        <f ca="1">VLOOKUP($F204,OFFSET([1]characters!$A$2,0,0,COUNTA([1]characters!$A:$A),MATCH($L$1,[1]characters!$1:$1,0)-MATCH($F$1,[1]characters!$2:$2,0)+2),MATCH($L$1,[1]characters!$1:$1,0)-MATCH($F$1,[1]characters!$2:$2,0)+2,FALSE)</f>
        <v>アニマル</v>
      </c>
      <c r="M204" s="6">
        <v>1</v>
      </c>
      <c r="N204" s="40">
        <f ca="1">VLOOKUP(D204,gacha_133_base!A:B,2,FALSE)</f>
        <v>247</v>
      </c>
      <c r="O204" s="28">
        <v>0</v>
      </c>
      <c r="P204" s="28">
        <v>0</v>
      </c>
      <c r="Q204" s="28">
        <v>0</v>
      </c>
      <c r="R204" s="28">
        <v>0</v>
      </c>
      <c r="S204" s="28">
        <v>1</v>
      </c>
    </row>
    <row r="205" spans="1:19" ht="21" customHeight="1">
      <c r="A205" s="8" t="str">
        <f t="shared" si="12"/>
        <v>01891</v>
      </c>
      <c r="B205" s="2">
        <f t="shared" si="15"/>
        <v>134</v>
      </c>
      <c r="C205" s="10" t="str">
        <f t="shared" ca="1" si="13"/>
        <v>0PremiumN5</v>
      </c>
      <c r="D205" s="10" t="str">
        <f t="shared" ca="1" si="14"/>
        <v>0PremiumN5</v>
      </c>
      <c r="E205" s="6">
        <v>0</v>
      </c>
      <c r="F205" s="7">
        <v>189</v>
      </c>
      <c r="G205" s="10" t="str">
        <f ca="1">VLOOKUP($F205,OFFSET([1]characters!$A$2,0,0,COUNTA([1]characters!$A:$A),MATCH(G$1,[1]characters!$2:$2,0)-MATCH($F$1,[1]characters!$2:$2,0)+1),MATCH(G$1,[1]characters!$2:$2,0)-MATCH($F$1,[1]characters!$2:$2,0)+1,FALSE)</f>
        <v>迅雷の王禽 ホルス</v>
      </c>
      <c r="H205" s="10" t="str">
        <f ca="1">VLOOKUP($F205,OFFSET([1]characters!$A$2,0,0,COUNTA([1]characters!$A:$A),MATCH(H$1,[1]characters!$2:$2,0)-MATCH($F$1,[1]characters!$2:$2,0)+1),MATCH(H$1,[1]characters!$2:$2,0)-MATCH($F$1,[1]characters!$2:$2,0)+1,FALSE)</f>
        <v>PremiumN</v>
      </c>
      <c r="I205" s="10">
        <f ca="1">VLOOKUP($F205,OFFSET([1]characters!$A$2,0,0,COUNTA([1]characters!$A:$A),MATCH(I$1,[1]characters!$2:$2,0)-MATCH($F$1,[1]characters!$2:$2,0)+1),MATCH(I$1,[1]characters!$2:$2,0)-MATCH($F$1,[1]characters!$2:$2,0)+1,FALSE)</f>
        <v>5</v>
      </c>
      <c r="J205" s="10" t="str">
        <f ca="1">VLOOKUP($F205,OFFSET([1]characters!$A$2,0,0,COUNTA([1]characters!$A:$A),MATCH(J$1,[1]characters!$2:$2,0)-MATCH($F$1,[1]characters!$2:$2,0)+1),MATCH(J$1,[1]characters!$2:$2,0)-MATCH($F$1,[1]characters!$2:$2,0)+1,FALSE)</f>
        <v>yellow</v>
      </c>
      <c r="K205" s="10" t="str">
        <f ca="1">VLOOKUP($F205,OFFSET([1]characters!$A$2,0,0,COUNTA([1]characters!$A:$A),MATCH("タイプ",[1]characters!$1:$1,0)-MATCH($F$1,[1]characters!$2:$2,0)+2),MATCH("タイプ",[1]characters!$1:$1,0)-MATCH($F$1,[1]characters!$2:$2,0)+2,FALSE)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5" s="10" t="str">
        <f ca="1">VLOOKUP($F205,OFFSET([1]characters!$A$2,0,0,COUNTA([1]characters!$A:$A),MATCH($L$1,[1]characters!$1:$1,0)-MATCH($F$1,[1]characters!$2:$2,0)+2),MATCH($L$1,[1]characters!$1:$1,0)-MATCH($F$1,[1]characters!$2:$2,0)+2,FALSE)</f>
        <v>アニマル</v>
      </c>
      <c r="M205" s="6">
        <v>1</v>
      </c>
      <c r="N205" s="40">
        <f ca="1">VLOOKUP(D205,gacha_133_base!A:B,2,FALSE)</f>
        <v>247</v>
      </c>
      <c r="O205" s="28">
        <v>0</v>
      </c>
      <c r="P205" s="28">
        <v>0</v>
      </c>
      <c r="Q205" s="28">
        <v>0</v>
      </c>
      <c r="R205" s="28">
        <v>0</v>
      </c>
      <c r="S205" s="28">
        <v>1</v>
      </c>
    </row>
    <row r="206" spans="1:19" ht="21" customHeight="1">
      <c r="A206" s="8" t="str">
        <f t="shared" si="12"/>
        <v>01921</v>
      </c>
      <c r="B206" s="2">
        <f t="shared" si="15"/>
        <v>134</v>
      </c>
      <c r="C206" s="10" t="str">
        <f t="shared" ca="1" si="13"/>
        <v>0PremiumN5</v>
      </c>
      <c r="D206" s="10" t="str">
        <f t="shared" ca="1" si="14"/>
        <v>0PremiumN5</v>
      </c>
      <c r="E206" s="6">
        <v>0</v>
      </c>
      <c r="F206" s="7">
        <v>192</v>
      </c>
      <c r="G206" s="10" t="str">
        <f ca="1">VLOOKUP($F206,OFFSET([1]characters!$A$2,0,0,COUNTA([1]characters!$A:$A),MATCH(G$1,[1]characters!$2:$2,0)-MATCH($F$1,[1]characters!$2:$2,0)+1),MATCH(G$1,[1]characters!$2:$2,0)-MATCH($F$1,[1]characters!$2:$2,0)+1,FALSE)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206" s="10" t="str">
        <f ca="1">VLOOKUP($F206,OFFSET([1]characters!$A$2,0,0,COUNTA([1]characters!$A:$A),MATCH(H$1,[1]characters!$2:$2,0)-MATCH($F$1,[1]characters!$2:$2,0)+1),MATCH(H$1,[1]characters!$2:$2,0)-MATCH($F$1,[1]characters!$2:$2,0)+1,FALSE)</f>
        <v>PremiumN</v>
      </c>
      <c r="I206" s="10">
        <f ca="1">VLOOKUP($F206,OFFSET([1]characters!$A$2,0,0,COUNTA([1]characters!$A:$A),MATCH(I$1,[1]characters!$2:$2,0)-MATCH($F$1,[1]characters!$2:$2,0)+1),MATCH(I$1,[1]characters!$2:$2,0)-MATCH($F$1,[1]characters!$2:$2,0)+1,FALSE)</f>
        <v>5</v>
      </c>
      <c r="J206" s="10" t="str">
        <f ca="1">VLOOKUP($F206,OFFSET([1]characters!$A$2,0,0,COUNTA([1]characters!$A:$A),MATCH(J$1,[1]characters!$2:$2,0)-MATCH($F$1,[1]characters!$2:$2,0)+1),MATCH(J$1,[1]characters!$2:$2,0)-MATCH($F$1,[1]characters!$2:$2,0)+1,FALSE)</f>
        <v>red</v>
      </c>
      <c r="K206" s="10" t="str">
        <f ca="1">VLOOKUP($F206,OFFSET([1]characters!$A$2,0,0,COUNTA([1]characters!$A:$A),MATCH("タイプ",[1]characters!$1:$1,0)-MATCH($F$1,[1]characters!$2:$2,0)+2),MATCH("タイプ",[1]characters!$1:$1,0)-MATCH($F$1,[1]characters!$2:$2,0)+2,FALSE)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6" s="10" t="str">
        <f ca="1">VLOOKUP($F206,OFFSET([1]characters!$A$2,0,0,COUNTA([1]characters!$A:$A),MATCH($L$1,[1]characters!$1:$1,0)-MATCH($F$1,[1]characters!$2:$2,0)+2),MATCH($L$1,[1]characters!$1:$1,0)-MATCH($F$1,[1]characters!$2:$2,0)+2,FALSE)</f>
        <v>ヒューマン</v>
      </c>
      <c r="M206" s="6">
        <v>1</v>
      </c>
      <c r="N206" s="40">
        <f ca="1">VLOOKUP(D206,gacha_133_base!A:B,2,FALSE)</f>
        <v>247</v>
      </c>
      <c r="O206" s="28">
        <v>0</v>
      </c>
      <c r="P206" s="28">
        <v>0</v>
      </c>
      <c r="Q206" s="28">
        <v>0</v>
      </c>
      <c r="R206" s="28">
        <v>0</v>
      </c>
      <c r="S206" s="28">
        <v>1</v>
      </c>
    </row>
    <row r="207" spans="1:19" ht="21" customHeight="1">
      <c r="A207" s="8" t="str">
        <f t="shared" si="12"/>
        <v>01951</v>
      </c>
      <c r="B207" s="2">
        <f t="shared" si="15"/>
        <v>134</v>
      </c>
      <c r="C207" s="10" t="str">
        <f t="shared" ca="1" si="13"/>
        <v>0PremiumN5</v>
      </c>
      <c r="D207" s="10" t="str">
        <f t="shared" ca="1" si="14"/>
        <v>0PremiumN5</v>
      </c>
      <c r="E207" s="6">
        <v>0</v>
      </c>
      <c r="F207" s="7">
        <v>195</v>
      </c>
      <c r="G207" s="10" t="str">
        <f ca="1">VLOOKUP($F207,OFFSET([1]characters!$A$2,0,0,COUNTA([1]characters!$A:$A),MATCH(G$1,[1]characters!$2:$2,0)-MATCH($F$1,[1]characters!$2:$2,0)+1),MATCH(G$1,[1]characters!$2:$2,0)-MATCH($F$1,[1]characters!$2:$2,0)+1,FALSE)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207" s="10" t="str">
        <f ca="1">VLOOKUP($F207,OFFSET([1]characters!$A$2,0,0,COUNTA([1]characters!$A:$A),MATCH(H$1,[1]characters!$2:$2,0)-MATCH($F$1,[1]characters!$2:$2,0)+1),MATCH(H$1,[1]characters!$2:$2,0)-MATCH($F$1,[1]characters!$2:$2,0)+1,FALSE)</f>
        <v>PremiumN</v>
      </c>
      <c r="I207" s="10">
        <f ca="1">VLOOKUP($F207,OFFSET([1]characters!$A$2,0,0,COUNTA([1]characters!$A:$A),MATCH(I$1,[1]characters!$2:$2,0)-MATCH($F$1,[1]characters!$2:$2,0)+1),MATCH(I$1,[1]characters!$2:$2,0)-MATCH($F$1,[1]characters!$2:$2,0)+1,FALSE)</f>
        <v>5</v>
      </c>
      <c r="J207" s="10" t="str">
        <f ca="1">VLOOKUP($F207,OFFSET([1]characters!$A$2,0,0,COUNTA([1]characters!$A:$A),MATCH(J$1,[1]characters!$2:$2,0)-MATCH($F$1,[1]characters!$2:$2,0)+1),MATCH(J$1,[1]characters!$2:$2,0)-MATCH($F$1,[1]characters!$2:$2,0)+1,FALSE)</f>
        <v>green</v>
      </c>
      <c r="K207" s="10" t="str">
        <f ca="1">VLOOKUP($F207,OFFSET([1]characters!$A$2,0,0,COUNTA([1]characters!$A:$A),MATCH("タイプ",[1]characters!$1:$1,0)-MATCH($F$1,[1]characters!$2:$2,0)+2),MATCH("タイプ",[1]characters!$1:$1,0)-MATCH($F$1,[1]characters!$2:$2,0)+2,FALSE)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7" s="10" t="str">
        <f ca="1">VLOOKUP($F207,OFFSET([1]characters!$A$2,0,0,COUNTA([1]characters!$A:$A),MATCH($L$1,[1]characters!$1:$1,0)-MATCH($F$1,[1]characters!$2:$2,0)+2),MATCH($L$1,[1]characters!$1:$1,0)-MATCH($F$1,[1]characters!$2:$2,0)+2,FALSE)</f>
        <v>ヒューマン</v>
      </c>
      <c r="M207" s="6">
        <v>1</v>
      </c>
      <c r="N207" s="40">
        <f ca="1">VLOOKUP(D207,gacha_133_base!A:B,2,FALSE)</f>
        <v>247</v>
      </c>
      <c r="O207" s="28">
        <v>0</v>
      </c>
      <c r="P207" s="28">
        <v>0</v>
      </c>
      <c r="Q207" s="28">
        <v>0</v>
      </c>
      <c r="R207" s="28">
        <v>0</v>
      </c>
      <c r="S207" s="28">
        <v>1</v>
      </c>
    </row>
    <row r="208" spans="1:19" ht="21" customHeight="1">
      <c r="A208" s="8" t="str">
        <f t="shared" si="12"/>
        <v>01981</v>
      </c>
      <c r="B208" s="2">
        <f t="shared" si="15"/>
        <v>134</v>
      </c>
      <c r="C208" s="10" t="str">
        <f t="shared" ca="1" si="13"/>
        <v>0PremiumN5</v>
      </c>
      <c r="D208" s="10" t="str">
        <f t="shared" ca="1" si="14"/>
        <v>0PremiumN5</v>
      </c>
      <c r="E208" s="6">
        <v>0</v>
      </c>
      <c r="F208" s="7">
        <v>198</v>
      </c>
      <c r="G208" s="10" t="str">
        <f ca="1">VLOOKUP($F208,OFFSET([1]characters!$A$2,0,0,COUNTA([1]characters!$A:$A),MATCH(G$1,[1]characters!$2:$2,0)-MATCH($F$1,[1]characters!$2:$2,0)+1),MATCH(G$1,[1]characters!$2:$2,0)-MATCH($F$1,[1]characters!$2:$2,0)+1,FALSE)</f>
        <v>砕骨の剛腕 アキレス</v>
      </c>
      <c r="H208" s="10" t="str">
        <f ca="1">VLOOKUP($F208,OFFSET([1]characters!$A$2,0,0,COUNTA([1]characters!$A:$A),MATCH(H$1,[1]characters!$2:$2,0)-MATCH($F$1,[1]characters!$2:$2,0)+1),MATCH(H$1,[1]characters!$2:$2,0)-MATCH($F$1,[1]characters!$2:$2,0)+1,FALSE)</f>
        <v>PremiumN</v>
      </c>
      <c r="I208" s="10">
        <f ca="1">VLOOKUP($F208,OFFSET([1]characters!$A$2,0,0,COUNTA([1]characters!$A:$A),MATCH(I$1,[1]characters!$2:$2,0)-MATCH($F$1,[1]characters!$2:$2,0)+1),MATCH(I$1,[1]characters!$2:$2,0)-MATCH($F$1,[1]characters!$2:$2,0)+1,FALSE)</f>
        <v>5</v>
      </c>
      <c r="J208" s="10" t="str">
        <f ca="1">VLOOKUP($F208,OFFSET([1]characters!$A$2,0,0,COUNTA([1]characters!$A:$A),MATCH(J$1,[1]characters!$2:$2,0)-MATCH($F$1,[1]characters!$2:$2,0)+1),MATCH(J$1,[1]characters!$2:$2,0)-MATCH($F$1,[1]characters!$2:$2,0)+1,FALSE)</f>
        <v>yellow</v>
      </c>
      <c r="K208" s="10" t="str">
        <f ca="1">VLOOKUP($F208,OFFSET([1]characters!$A$2,0,0,COUNTA([1]characters!$A:$A),MATCH("タイプ",[1]characters!$1:$1,0)-MATCH($F$1,[1]characters!$2:$2,0)+2),MATCH("タイプ",[1]characters!$1:$1,0)-MATCH($F$1,[1]characters!$2:$2,0)+2,FALSE)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8" s="10" t="str">
        <f ca="1">VLOOKUP($F208,OFFSET([1]characters!$A$2,0,0,COUNTA([1]characters!$A:$A),MATCH($L$1,[1]characters!$1:$1,0)-MATCH($F$1,[1]characters!$2:$2,0)+2),MATCH($L$1,[1]characters!$1:$1,0)-MATCH($F$1,[1]characters!$2:$2,0)+2,FALSE)</f>
        <v>ヒューマン</v>
      </c>
      <c r="M208" s="6">
        <v>1</v>
      </c>
      <c r="N208" s="40">
        <f ca="1">VLOOKUP(D208,gacha_133_base!A:B,2,FALSE)</f>
        <v>247</v>
      </c>
      <c r="O208" s="28">
        <v>0</v>
      </c>
      <c r="P208" s="28">
        <v>0</v>
      </c>
      <c r="Q208" s="28">
        <v>0</v>
      </c>
      <c r="R208" s="28">
        <v>0</v>
      </c>
      <c r="S208" s="28">
        <v>1</v>
      </c>
    </row>
    <row r="209" spans="1:19" ht="21" customHeight="1">
      <c r="A209" s="8" t="str">
        <f t="shared" si="12"/>
        <v>02011</v>
      </c>
      <c r="B209" s="2">
        <f t="shared" si="15"/>
        <v>134</v>
      </c>
      <c r="C209" s="10" t="str">
        <f t="shared" ca="1" si="13"/>
        <v>0PremiumN5</v>
      </c>
      <c r="D209" s="10" t="str">
        <f t="shared" ca="1" si="14"/>
        <v>0PremiumN5</v>
      </c>
      <c r="E209" s="6">
        <v>0</v>
      </c>
      <c r="F209" s="7">
        <v>201</v>
      </c>
      <c r="G209" s="10" t="str">
        <f ca="1">VLOOKUP($F209,OFFSET([1]characters!$A$2,0,0,COUNTA([1]characters!$A:$A),MATCH(G$1,[1]characters!$2:$2,0)-MATCH($F$1,[1]characters!$2:$2,0)+1),MATCH(G$1,[1]characters!$2:$2,0)-MATCH($F$1,[1]characters!$2:$2,0)+1,FALSE)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209" s="10" t="str">
        <f ca="1">VLOOKUP($F209,OFFSET([1]characters!$A$2,0,0,COUNTA([1]characters!$A:$A),MATCH(H$1,[1]characters!$2:$2,0)-MATCH($F$1,[1]characters!$2:$2,0)+1),MATCH(H$1,[1]characters!$2:$2,0)-MATCH($F$1,[1]characters!$2:$2,0)+1,FALSE)</f>
        <v>PremiumN</v>
      </c>
      <c r="I209" s="10">
        <f ca="1">VLOOKUP($F209,OFFSET([1]characters!$A$2,0,0,COUNTA([1]characters!$A:$A),MATCH(I$1,[1]characters!$2:$2,0)-MATCH($F$1,[1]characters!$2:$2,0)+1),MATCH(I$1,[1]characters!$2:$2,0)-MATCH($F$1,[1]characters!$2:$2,0)+1,FALSE)</f>
        <v>5</v>
      </c>
      <c r="J209" s="10" t="str">
        <f ca="1">VLOOKUP($F209,OFFSET([1]characters!$A$2,0,0,COUNTA([1]characters!$A:$A),MATCH(J$1,[1]characters!$2:$2,0)-MATCH($F$1,[1]characters!$2:$2,0)+1),MATCH(J$1,[1]characters!$2:$2,0)-MATCH($F$1,[1]characters!$2:$2,0)+1,FALSE)</f>
        <v>blue</v>
      </c>
      <c r="K209" s="10" t="str">
        <f ca="1">VLOOKUP($F209,OFFSET([1]characters!$A$2,0,0,COUNTA([1]characters!$A:$A),MATCH("タイプ",[1]characters!$1:$1,0)-MATCH($F$1,[1]characters!$2:$2,0)+2),MATCH("タイプ",[1]characters!$1:$1,0)-MATCH($F$1,[1]characters!$2:$2,0)+2,FALSE)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9" s="10" t="str">
        <f ca="1">VLOOKUP($F209,OFFSET([1]characters!$A$2,0,0,COUNTA([1]characters!$A:$A),MATCH($L$1,[1]characters!$1:$1,0)-MATCH($F$1,[1]characters!$2:$2,0)+2),MATCH($L$1,[1]characters!$1:$1,0)-MATCH($F$1,[1]characters!$2:$2,0)+2,FALSE)</f>
        <v>ヒューマン</v>
      </c>
      <c r="M209" s="6">
        <v>1</v>
      </c>
      <c r="N209" s="40">
        <f ca="1">VLOOKUP(D209,gacha_133_base!A:B,2,FALSE)</f>
        <v>247</v>
      </c>
      <c r="O209" s="28">
        <v>0</v>
      </c>
      <c r="P209" s="28">
        <v>0</v>
      </c>
      <c r="Q209" s="28">
        <v>0</v>
      </c>
      <c r="R209" s="28">
        <v>0</v>
      </c>
      <c r="S209" s="28">
        <v>1</v>
      </c>
    </row>
    <row r="210" spans="1:19" ht="21" customHeight="1">
      <c r="A210" s="8" t="str">
        <f t="shared" si="12"/>
        <v>02041</v>
      </c>
      <c r="B210" s="2">
        <f t="shared" si="15"/>
        <v>134</v>
      </c>
      <c r="C210" s="10" t="str">
        <f t="shared" ca="1" si="13"/>
        <v>0PremiumN5</v>
      </c>
      <c r="D210" s="10" t="str">
        <f t="shared" ca="1" si="14"/>
        <v>0PremiumN5</v>
      </c>
      <c r="E210" s="6">
        <v>0</v>
      </c>
      <c r="F210" s="7">
        <v>204</v>
      </c>
      <c r="G210" s="10" t="str">
        <f ca="1">VLOOKUP($F210,OFFSET([1]characters!$A$2,0,0,COUNTA([1]characters!$A:$A),MATCH(G$1,[1]characters!$2:$2,0)-MATCH($F$1,[1]characters!$2:$2,0)+1),MATCH(G$1,[1]characters!$2:$2,0)-MATCH($F$1,[1]characters!$2:$2,0)+1,FALSE)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210" s="10" t="str">
        <f ca="1">VLOOKUP($F210,OFFSET([1]characters!$A$2,0,0,COUNTA([1]characters!$A:$A),MATCH(H$1,[1]characters!$2:$2,0)-MATCH($F$1,[1]characters!$2:$2,0)+1),MATCH(H$1,[1]characters!$2:$2,0)-MATCH($F$1,[1]characters!$2:$2,0)+1,FALSE)</f>
        <v>PremiumN</v>
      </c>
      <c r="I210" s="10">
        <f ca="1">VLOOKUP($F210,OFFSET([1]characters!$A$2,0,0,COUNTA([1]characters!$A:$A),MATCH(I$1,[1]characters!$2:$2,0)-MATCH($F$1,[1]characters!$2:$2,0)+1),MATCH(I$1,[1]characters!$2:$2,0)-MATCH($F$1,[1]characters!$2:$2,0)+1,FALSE)</f>
        <v>5</v>
      </c>
      <c r="J210" s="10" t="str">
        <f ca="1">VLOOKUP($F210,OFFSET([1]characters!$A$2,0,0,COUNTA([1]characters!$A:$A),MATCH(J$1,[1]characters!$2:$2,0)-MATCH($F$1,[1]characters!$2:$2,0)+1),MATCH(J$1,[1]characters!$2:$2,0)-MATCH($F$1,[1]characters!$2:$2,0)+1,FALSE)</f>
        <v>red</v>
      </c>
      <c r="K210" s="10" t="str">
        <f ca="1">VLOOKUP($F210,OFFSET([1]characters!$A$2,0,0,COUNTA([1]characters!$A:$A),MATCH("タイプ",[1]characters!$1:$1,0)-MATCH($F$1,[1]characters!$2:$2,0)+2),MATCH("タイプ",[1]characters!$1:$1,0)-MATCH($F$1,[1]characters!$2:$2,0)+2,FALSE)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0" s="10" t="str">
        <f ca="1">VLOOKUP($F210,OFFSET([1]characters!$A$2,0,0,COUNTA([1]characters!$A:$A),MATCH($L$1,[1]characters!$1:$1,0)-MATCH($F$1,[1]characters!$2:$2,0)+2),MATCH($L$1,[1]characters!$1:$1,0)-MATCH($F$1,[1]characters!$2:$2,0)+2,FALSE)</f>
        <v>ゴッド</v>
      </c>
      <c r="M210" s="6">
        <v>1</v>
      </c>
      <c r="N210" s="40">
        <f ca="1">VLOOKUP(D210,gacha_133_base!A:B,2,FALSE)</f>
        <v>247</v>
      </c>
      <c r="O210" s="28">
        <v>0</v>
      </c>
      <c r="P210" s="28">
        <v>0</v>
      </c>
      <c r="Q210" s="28">
        <v>0</v>
      </c>
      <c r="R210" s="28">
        <v>0</v>
      </c>
      <c r="S210" s="28">
        <v>1</v>
      </c>
    </row>
    <row r="211" spans="1:19" ht="21" customHeight="1">
      <c r="A211" s="8" t="str">
        <f t="shared" si="12"/>
        <v>02071</v>
      </c>
      <c r="B211" s="2">
        <f t="shared" si="15"/>
        <v>134</v>
      </c>
      <c r="C211" s="10" t="str">
        <f t="shared" ca="1" si="13"/>
        <v>0PremiumN5</v>
      </c>
      <c r="D211" s="10" t="str">
        <f t="shared" ca="1" si="14"/>
        <v>0PremiumN5</v>
      </c>
      <c r="E211" s="6">
        <v>0</v>
      </c>
      <c r="F211" s="7">
        <v>207</v>
      </c>
      <c r="G211" s="10" t="str">
        <f ca="1">VLOOKUP($F211,OFFSET([1]characters!$A$2,0,0,COUNTA([1]characters!$A:$A),MATCH(G$1,[1]characters!$2:$2,0)-MATCH($F$1,[1]characters!$2:$2,0)+1),MATCH(G$1,[1]characters!$2:$2,0)-MATCH($F$1,[1]characters!$2:$2,0)+1,FALSE)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211" s="10" t="str">
        <f ca="1">VLOOKUP($F211,OFFSET([1]characters!$A$2,0,0,COUNTA([1]characters!$A:$A),MATCH(H$1,[1]characters!$2:$2,0)-MATCH($F$1,[1]characters!$2:$2,0)+1),MATCH(H$1,[1]characters!$2:$2,0)-MATCH($F$1,[1]characters!$2:$2,0)+1,FALSE)</f>
        <v>PremiumN</v>
      </c>
      <c r="I211" s="10">
        <f ca="1">VLOOKUP($F211,OFFSET([1]characters!$A$2,0,0,COUNTA([1]characters!$A:$A),MATCH(I$1,[1]characters!$2:$2,0)-MATCH($F$1,[1]characters!$2:$2,0)+1),MATCH(I$1,[1]characters!$2:$2,0)-MATCH($F$1,[1]characters!$2:$2,0)+1,FALSE)</f>
        <v>5</v>
      </c>
      <c r="J211" s="10" t="str">
        <f ca="1">VLOOKUP($F211,OFFSET([1]characters!$A$2,0,0,COUNTA([1]characters!$A:$A),MATCH(J$1,[1]characters!$2:$2,0)-MATCH($F$1,[1]characters!$2:$2,0)+1),MATCH(J$1,[1]characters!$2:$2,0)-MATCH($F$1,[1]characters!$2:$2,0)+1,FALSE)</f>
        <v>green</v>
      </c>
      <c r="K211" s="10" t="str">
        <f ca="1">VLOOKUP($F211,OFFSET([1]characters!$A$2,0,0,COUNTA([1]characters!$A:$A),MATCH("タイプ",[1]characters!$1:$1,0)-MATCH($F$1,[1]characters!$2:$2,0)+2),MATCH("タイプ",[1]characters!$1:$1,0)-MATCH($F$1,[1]characters!$2:$2,0)+2,FALSE)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1" s="10" t="str">
        <f ca="1">VLOOKUP($F211,OFFSET([1]characters!$A$2,0,0,COUNTA([1]characters!$A:$A),MATCH($L$1,[1]characters!$1:$1,0)-MATCH($F$1,[1]characters!$2:$2,0)+2),MATCH($L$1,[1]characters!$1:$1,0)-MATCH($F$1,[1]characters!$2:$2,0)+2,FALSE)</f>
        <v>ゴッド</v>
      </c>
      <c r="M211" s="6">
        <v>1</v>
      </c>
      <c r="N211" s="40">
        <f ca="1">VLOOKUP(D211,gacha_133_base!A:B,2,FALSE)</f>
        <v>247</v>
      </c>
      <c r="O211" s="28">
        <v>0</v>
      </c>
      <c r="P211" s="28">
        <v>0</v>
      </c>
      <c r="Q211" s="28">
        <v>0</v>
      </c>
      <c r="R211" s="28">
        <v>0</v>
      </c>
      <c r="S211" s="28">
        <v>1</v>
      </c>
    </row>
    <row r="212" spans="1:19" ht="21" customHeight="1">
      <c r="A212" s="8" t="str">
        <f t="shared" si="12"/>
        <v>02101</v>
      </c>
      <c r="B212" s="2">
        <f t="shared" si="15"/>
        <v>134</v>
      </c>
      <c r="C212" s="10" t="str">
        <f t="shared" ca="1" si="13"/>
        <v>0PremiumN5</v>
      </c>
      <c r="D212" s="10" t="str">
        <f t="shared" ca="1" si="14"/>
        <v>0PremiumN5</v>
      </c>
      <c r="E212" s="6">
        <v>0</v>
      </c>
      <c r="F212" s="7">
        <v>210</v>
      </c>
      <c r="G212" s="10" t="str">
        <f ca="1">VLOOKUP($F212,OFFSET([1]characters!$A$2,0,0,COUNTA([1]characters!$A:$A),MATCH(G$1,[1]characters!$2:$2,0)-MATCH($F$1,[1]characters!$2:$2,0)+1),MATCH(G$1,[1]characters!$2:$2,0)-MATCH($F$1,[1]characters!$2:$2,0)+1,FALSE)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212" s="10" t="str">
        <f ca="1">VLOOKUP($F212,OFFSET([1]characters!$A$2,0,0,COUNTA([1]characters!$A:$A),MATCH(H$1,[1]characters!$2:$2,0)-MATCH($F$1,[1]characters!$2:$2,0)+1),MATCH(H$1,[1]characters!$2:$2,0)-MATCH($F$1,[1]characters!$2:$2,0)+1,FALSE)</f>
        <v>PremiumN</v>
      </c>
      <c r="I212" s="10">
        <f ca="1">VLOOKUP($F212,OFFSET([1]characters!$A$2,0,0,COUNTA([1]characters!$A:$A),MATCH(I$1,[1]characters!$2:$2,0)-MATCH($F$1,[1]characters!$2:$2,0)+1),MATCH(I$1,[1]characters!$2:$2,0)-MATCH($F$1,[1]characters!$2:$2,0)+1,FALSE)</f>
        <v>5</v>
      </c>
      <c r="J212" s="10" t="str">
        <f ca="1">VLOOKUP($F212,OFFSET([1]characters!$A$2,0,0,COUNTA([1]characters!$A:$A),MATCH(J$1,[1]characters!$2:$2,0)-MATCH($F$1,[1]characters!$2:$2,0)+1),MATCH(J$1,[1]characters!$2:$2,0)-MATCH($F$1,[1]characters!$2:$2,0)+1,FALSE)</f>
        <v>blue</v>
      </c>
      <c r="K212" s="10" t="str">
        <f ca="1">VLOOKUP($F212,OFFSET([1]characters!$A$2,0,0,COUNTA([1]characters!$A:$A),MATCH("タイプ",[1]characters!$1:$1,0)-MATCH($F$1,[1]characters!$2:$2,0)+2),MATCH("タイプ",[1]characters!$1:$1,0)-MATCH($F$1,[1]characters!$2:$2,0)+2,FALSE)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2" s="10" t="str">
        <f ca="1">VLOOKUP($F212,OFFSET([1]characters!$A$2,0,0,COUNTA([1]characters!$A:$A),MATCH($L$1,[1]characters!$1:$1,0)-MATCH($F$1,[1]characters!$2:$2,0)+2),MATCH($L$1,[1]characters!$1:$1,0)-MATCH($F$1,[1]characters!$2:$2,0)+2,FALSE)</f>
        <v>ゴッド</v>
      </c>
      <c r="M212" s="6">
        <v>1</v>
      </c>
      <c r="N212" s="40">
        <f ca="1">VLOOKUP(D212,gacha_133_base!A:B,2,FALSE)</f>
        <v>247</v>
      </c>
      <c r="O212" s="28">
        <v>0</v>
      </c>
      <c r="P212" s="28">
        <v>0</v>
      </c>
      <c r="Q212" s="28">
        <v>0</v>
      </c>
      <c r="R212" s="28">
        <v>0</v>
      </c>
      <c r="S212" s="28">
        <v>1</v>
      </c>
    </row>
    <row r="213" spans="1:19" ht="21" customHeight="1">
      <c r="A213" s="8" t="str">
        <f t="shared" si="12"/>
        <v>02131</v>
      </c>
      <c r="B213" s="2">
        <f t="shared" si="15"/>
        <v>134</v>
      </c>
      <c r="C213" s="10" t="str">
        <f t="shared" ca="1" si="13"/>
        <v>0PremiumN5</v>
      </c>
      <c r="D213" s="10" t="str">
        <f t="shared" ca="1" si="14"/>
        <v>0PremiumN5</v>
      </c>
      <c r="E213" s="6">
        <v>0</v>
      </c>
      <c r="F213" s="7">
        <v>213</v>
      </c>
      <c r="G213" s="10" t="str">
        <f ca="1">VLOOKUP($F213,OFFSET([1]characters!$A$2,0,0,COUNTA([1]characters!$A:$A),MATCH(G$1,[1]characters!$2:$2,0)-MATCH($F$1,[1]characters!$2:$2,0)+1),MATCH(G$1,[1]characters!$2:$2,0)-MATCH($F$1,[1]characters!$2:$2,0)+1,FALSE)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213" s="10" t="str">
        <f ca="1">VLOOKUP($F213,OFFSET([1]characters!$A$2,0,0,COUNTA([1]characters!$A:$A),MATCH(H$1,[1]characters!$2:$2,0)-MATCH($F$1,[1]characters!$2:$2,0)+1),MATCH(H$1,[1]characters!$2:$2,0)-MATCH($F$1,[1]characters!$2:$2,0)+1,FALSE)</f>
        <v>PremiumN</v>
      </c>
      <c r="I213" s="10">
        <f ca="1">VLOOKUP($F213,OFFSET([1]characters!$A$2,0,0,COUNTA([1]characters!$A:$A),MATCH(I$1,[1]characters!$2:$2,0)-MATCH($F$1,[1]characters!$2:$2,0)+1),MATCH(I$1,[1]characters!$2:$2,0)-MATCH($F$1,[1]characters!$2:$2,0)+1,FALSE)</f>
        <v>5</v>
      </c>
      <c r="J213" s="10" t="str">
        <f ca="1">VLOOKUP($F213,OFFSET([1]characters!$A$2,0,0,COUNTA([1]characters!$A:$A),MATCH(J$1,[1]characters!$2:$2,0)-MATCH($F$1,[1]characters!$2:$2,0)+1),MATCH(J$1,[1]characters!$2:$2,0)-MATCH($F$1,[1]characters!$2:$2,0)+1,FALSE)</f>
        <v>yellow</v>
      </c>
      <c r="K213" s="10" t="str">
        <f ca="1">VLOOKUP($F213,OFFSET([1]characters!$A$2,0,0,COUNTA([1]characters!$A:$A),MATCH("タイプ",[1]characters!$1:$1,0)-MATCH($F$1,[1]characters!$2:$2,0)+2),MATCH("タイプ",[1]characters!$1:$1,0)-MATCH($F$1,[1]characters!$2:$2,0)+2,FALSE)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3" s="10" t="str">
        <f ca="1">VLOOKUP($F213,OFFSET([1]characters!$A$2,0,0,COUNTA([1]characters!$A:$A),MATCH($L$1,[1]characters!$1:$1,0)-MATCH($F$1,[1]characters!$2:$2,0)+2),MATCH($L$1,[1]characters!$1:$1,0)-MATCH($F$1,[1]characters!$2:$2,0)+2,FALSE)</f>
        <v>ゴッド</v>
      </c>
      <c r="M213" s="6">
        <v>1</v>
      </c>
      <c r="N213" s="40">
        <f ca="1">VLOOKUP(D213,gacha_133_base!A:B,2,FALSE)</f>
        <v>247</v>
      </c>
      <c r="O213" s="28">
        <v>0</v>
      </c>
      <c r="P213" s="28">
        <v>0</v>
      </c>
      <c r="Q213" s="28">
        <v>0</v>
      </c>
      <c r="R213" s="28">
        <v>0</v>
      </c>
      <c r="S213" s="28">
        <v>1</v>
      </c>
    </row>
    <row r="214" spans="1:19" ht="21" customHeight="1">
      <c r="A214" s="8" t="str">
        <f t="shared" si="12"/>
        <v>02161</v>
      </c>
      <c r="B214" s="2">
        <f t="shared" si="15"/>
        <v>134</v>
      </c>
      <c r="C214" s="10" t="str">
        <f t="shared" ca="1" si="13"/>
        <v>0PremiumN5</v>
      </c>
      <c r="D214" s="10" t="str">
        <f t="shared" ca="1" si="14"/>
        <v>0PremiumN5</v>
      </c>
      <c r="E214" s="6">
        <v>0</v>
      </c>
      <c r="F214" s="7">
        <v>216</v>
      </c>
      <c r="G214" s="10" t="str">
        <f ca="1">VLOOKUP($F214,OFFSET([1]characters!$A$2,0,0,COUNTA([1]characters!$A:$A),MATCH(G$1,[1]characters!$2:$2,0)-MATCH($F$1,[1]characters!$2:$2,0)+1),MATCH(G$1,[1]characters!$2:$2,0)-MATCH($F$1,[1]characters!$2:$2,0)+1,FALSE)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214" s="10" t="str">
        <f ca="1">VLOOKUP($F214,OFFSET([1]characters!$A$2,0,0,COUNTA([1]characters!$A:$A),MATCH(H$1,[1]characters!$2:$2,0)-MATCH($F$1,[1]characters!$2:$2,0)+1),MATCH(H$1,[1]characters!$2:$2,0)-MATCH($F$1,[1]characters!$2:$2,0)+1,FALSE)</f>
        <v>PremiumN</v>
      </c>
      <c r="I214" s="10">
        <f ca="1">VLOOKUP($F214,OFFSET([1]characters!$A$2,0,0,COUNTA([1]characters!$A:$A),MATCH(I$1,[1]characters!$2:$2,0)-MATCH($F$1,[1]characters!$2:$2,0)+1),MATCH(I$1,[1]characters!$2:$2,0)-MATCH($F$1,[1]characters!$2:$2,0)+1,FALSE)</f>
        <v>5</v>
      </c>
      <c r="J214" s="10" t="str">
        <f ca="1">VLOOKUP($F214,OFFSET([1]characters!$A$2,0,0,COUNTA([1]characters!$A:$A),MATCH(J$1,[1]characters!$2:$2,0)-MATCH($F$1,[1]characters!$2:$2,0)+1),MATCH(J$1,[1]characters!$2:$2,0)-MATCH($F$1,[1]characters!$2:$2,0)+1,FALSE)</f>
        <v>red</v>
      </c>
      <c r="K214" s="10" t="str">
        <f ca="1">VLOOKUP($F214,OFFSET([1]characters!$A$2,0,0,COUNTA([1]characters!$A:$A),MATCH("タイプ",[1]characters!$1:$1,0)-MATCH($F$1,[1]characters!$2:$2,0)+2),MATCH("タイプ",[1]characters!$1:$1,0)-MATCH($F$1,[1]characters!$2:$2,0)+2,FALSE)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4" s="10" t="str">
        <f ca="1">VLOOKUP($F214,OFFSET([1]characters!$A$2,0,0,COUNTA([1]characters!$A:$A),MATCH($L$1,[1]characters!$1:$1,0)-MATCH($F$1,[1]characters!$2:$2,0)+2),MATCH($L$1,[1]characters!$1:$1,0)-MATCH($F$1,[1]characters!$2:$2,0)+2,FALSE)</f>
        <v>ゴッド</v>
      </c>
      <c r="M214" s="6">
        <v>1</v>
      </c>
      <c r="N214" s="40">
        <f ca="1">VLOOKUP(D214,gacha_133_base!A:B,2,FALSE)</f>
        <v>247</v>
      </c>
      <c r="O214" s="28">
        <v>0</v>
      </c>
      <c r="P214" s="28">
        <v>0</v>
      </c>
      <c r="Q214" s="28">
        <v>0</v>
      </c>
      <c r="R214" s="28">
        <v>0</v>
      </c>
      <c r="S214" s="28">
        <v>1</v>
      </c>
    </row>
    <row r="215" spans="1:19" ht="21" customHeight="1">
      <c r="A215" s="8" t="str">
        <f t="shared" si="12"/>
        <v>02191</v>
      </c>
      <c r="B215" s="2">
        <f t="shared" si="15"/>
        <v>134</v>
      </c>
      <c r="C215" s="10" t="str">
        <f t="shared" ca="1" si="13"/>
        <v>0PremiumN5</v>
      </c>
      <c r="D215" s="10" t="str">
        <f t="shared" ca="1" si="14"/>
        <v>0PremiumN5</v>
      </c>
      <c r="E215" s="6">
        <v>0</v>
      </c>
      <c r="F215" s="7">
        <v>219</v>
      </c>
      <c r="G215" s="10" t="str">
        <f ca="1">VLOOKUP($F215,OFFSET([1]characters!$A$2,0,0,COUNTA([1]characters!$A:$A),MATCH(G$1,[1]characters!$2:$2,0)-MATCH($F$1,[1]characters!$2:$2,0)+1),MATCH(G$1,[1]characters!$2:$2,0)-MATCH($F$1,[1]characters!$2:$2,0)+1,FALSE)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215" s="10" t="str">
        <f ca="1">VLOOKUP($F215,OFFSET([1]characters!$A$2,0,0,COUNTA([1]characters!$A:$A),MATCH(H$1,[1]characters!$2:$2,0)-MATCH($F$1,[1]characters!$2:$2,0)+1),MATCH(H$1,[1]characters!$2:$2,0)-MATCH($F$1,[1]characters!$2:$2,0)+1,FALSE)</f>
        <v>PremiumN</v>
      </c>
      <c r="I215" s="10">
        <f ca="1">VLOOKUP($F215,OFFSET([1]characters!$A$2,0,0,COUNTA([1]characters!$A:$A),MATCH(I$1,[1]characters!$2:$2,0)-MATCH($F$1,[1]characters!$2:$2,0)+1),MATCH(I$1,[1]characters!$2:$2,0)-MATCH($F$1,[1]characters!$2:$2,0)+1,FALSE)</f>
        <v>5</v>
      </c>
      <c r="J215" s="10" t="str">
        <f ca="1">VLOOKUP($F215,OFFSET([1]characters!$A$2,0,0,COUNTA([1]characters!$A:$A),MATCH(J$1,[1]characters!$2:$2,0)-MATCH($F$1,[1]characters!$2:$2,0)+1),MATCH(J$1,[1]characters!$2:$2,0)-MATCH($F$1,[1]characters!$2:$2,0)+1,FALSE)</f>
        <v>green</v>
      </c>
      <c r="K215" s="10" t="str">
        <f ca="1">VLOOKUP($F215,OFFSET([1]characters!$A$2,0,0,COUNTA([1]characters!$A:$A),MATCH("タイプ",[1]characters!$1:$1,0)-MATCH($F$1,[1]characters!$2:$2,0)+2),MATCH("タイプ",[1]characters!$1:$1,0)-MATCH($F$1,[1]characters!$2:$2,0)+2,FALSE)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5" s="10" t="str">
        <f ca="1">VLOOKUP($F215,OFFSET([1]characters!$A$2,0,0,COUNTA([1]characters!$A:$A),MATCH($L$1,[1]characters!$1:$1,0)-MATCH($F$1,[1]characters!$2:$2,0)+2),MATCH($L$1,[1]characters!$1:$1,0)-MATCH($F$1,[1]characters!$2:$2,0)+2,FALSE)</f>
        <v>ドラゴン</v>
      </c>
      <c r="M215" s="6">
        <v>1</v>
      </c>
      <c r="N215" s="40">
        <f ca="1">VLOOKUP(D215,gacha_133_base!A:B,2,FALSE)</f>
        <v>247</v>
      </c>
      <c r="O215" s="28">
        <v>0</v>
      </c>
      <c r="P215" s="28">
        <v>0</v>
      </c>
      <c r="Q215" s="28">
        <v>0</v>
      </c>
      <c r="R215" s="28">
        <v>0</v>
      </c>
      <c r="S215" s="28">
        <v>1</v>
      </c>
    </row>
    <row r="216" spans="1:19" ht="21" customHeight="1">
      <c r="A216" s="8" t="str">
        <f t="shared" si="12"/>
        <v>02221</v>
      </c>
      <c r="B216" s="2">
        <f t="shared" si="15"/>
        <v>134</v>
      </c>
      <c r="C216" s="10" t="str">
        <f t="shared" ca="1" si="13"/>
        <v>0PremiumN5</v>
      </c>
      <c r="D216" s="10" t="str">
        <f t="shared" ca="1" si="14"/>
        <v>0PremiumN5</v>
      </c>
      <c r="E216" s="6">
        <v>0</v>
      </c>
      <c r="F216" s="7">
        <v>222</v>
      </c>
      <c r="G216" s="10" t="str">
        <f ca="1">VLOOKUP($F216,OFFSET([1]characters!$A$2,0,0,COUNTA([1]characters!$A:$A),MATCH(G$1,[1]characters!$2:$2,0)-MATCH($F$1,[1]characters!$2:$2,0)+1),MATCH(G$1,[1]characters!$2:$2,0)-MATCH($F$1,[1]characters!$2:$2,0)+1,FALSE)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216" s="10" t="str">
        <f ca="1">VLOOKUP($F216,OFFSET([1]characters!$A$2,0,0,COUNTA([1]characters!$A:$A),MATCH(H$1,[1]characters!$2:$2,0)-MATCH($F$1,[1]characters!$2:$2,0)+1),MATCH(H$1,[1]characters!$2:$2,0)-MATCH($F$1,[1]characters!$2:$2,0)+1,FALSE)</f>
        <v>PremiumN</v>
      </c>
      <c r="I216" s="10">
        <f ca="1">VLOOKUP($F216,OFFSET([1]characters!$A$2,0,0,COUNTA([1]characters!$A:$A),MATCH(I$1,[1]characters!$2:$2,0)-MATCH($F$1,[1]characters!$2:$2,0)+1),MATCH(I$1,[1]characters!$2:$2,0)-MATCH($F$1,[1]characters!$2:$2,0)+1,FALSE)</f>
        <v>5</v>
      </c>
      <c r="J216" s="10" t="str">
        <f ca="1">VLOOKUP($F216,OFFSET([1]characters!$A$2,0,0,COUNTA([1]characters!$A:$A),MATCH(J$1,[1]characters!$2:$2,0)-MATCH($F$1,[1]characters!$2:$2,0)+1),MATCH(J$1,[1]characters!$2:$2,0)-MATCH($F$1,[1]characters!$2:$2,0)+1,FALSE)</f>
        <v>blue</v>
      </c>
      <c r="K216" s="10" t="str">
        <f ca="1">VLOOKUP($F216,OFFSET([1]characters!$A$2,0,0,COUNTA([1]characters!$A:$A),MATCH("タイプ",[1]characters!$1:$1,0)-MATCH($F$1,[1]characters!$2:$2,0)+2),MATCH("タイプ",[1]characters!$1:$1,0)-MATCH($F$1,[1]characters!$2:$2,0)+2,FALSE)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6" s="10" t="str">
        <f ca="1">VLOOKUP($F216,OFFSET([1]characters!$A$2,0,0,COUNTA([1]characters!$A:$A),MATCH($L$1,[1]characters!$1:$1,0)-MATCH($F$1,[1]characters!$2:$2,0)+2),MATCH($L$1,[1]characters!$1:$1,0)-MATCH($F$1,[1]characters!$2:$2,0)+2,FALSE)</f>
        <v>ゴッド</v>
      </c>
      <c r="M216" s="6">
        <v>1</v>
      </c>
      <c r="N216" s="40">
        <f ca="1">VLOOKUP(D216,gacha_133_base!A:B,2,FALSE)</f>
        <v>247</v>
      </c>
      <c r="O216" s="28">
        <v>0</v>
      </c>
      <c r="P216" s="28">
        <v>0</v>
      </c>
      <c r="Q216" s="28">
        <v>0</v>
      </c>
      <c r="R216" s="28">
        <v>0</v>
      </c>
      <c r="S216" s="28">
        <v>1</v>
      </c>
    </row>
    <row r="217" spans="1:19" ht="21" customHeight="1">
      <c r="A217" s="8" t="str">
        <f t="shared" si="12"/>
        <v>02251</v>
      </c>
      <c r="B217" s="2">
        <f t="shared" si="15"/>
        <v>134</v>
      </c>
      <c r="C217" s="10" t="str">
        <f t="shared" ca="1" si="13"/>
        <v>0PremiumN5</v>
      </c>
      <c r="D217" s="10" t="str">
        <f t="shared" ca="1" si="14"/>
        <v>0PremiumN5</v>
      </c>
      <c r="E217" s="6">
        <v>0</v>
      </c>
      <c r="F217" s="7">
        <v>225</v>
      </c>
      <c r="G217" s="10" t="str">
        <f ca="1">VLOOKUP($F217,OFFSET([1]characters!$A$2,0,0,COUNTA([1]characters!$A:$A),MATCH(G$1,[1]characters!$2:$2,0)-MATCH($F$1,[1]characters!$2:$2,0)+1),MATCH(G$1,[1]characters!$2:$2,0)-MATCH($F$1,[1]characters!$2:$2,0)+1,FALSE)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217" s="10" t="str">
        <f ca="1">VLOOKUP($F217,OFFSET([1]characters!$A$2,0,0,COUNTA([1]characters!$A:$A),MATCH(H$1,[1]characters!$2:$2,0)-MATCH($F$1,[1]characters!$2:$2,0)+1),MATCH(H$1,[1]characters!$2:$2,0)-MATCH($F$1,[1]characters!$2:$2,0)+1,FALSE)</f>
        <v>PremiumN</v>
      </c>
      <c r="I217" s="10">
        <f ca="1">VLOOKUP($F217,OFFSET([1]characters!$A$2,0,0,COUNTA([1]characters!$A:$A),MATCH(I$1,[1]characters!$2:$2,0)-MATCH($F$1,[1]characters!$2:$2,0)+1),MATCH(I$1,[1]characters!$2:$2,0)-MATCH($F$1,[1]characters!$2:$2,0)+1,FALSE)</f>
        <v>5</v>
      </c>
      <c r="J217" s="10" t="str">
        <f ca="1">VLOOKUP($F217,OFFSET([1]characters!$A$2,0,0,COUNTA([1]characters!$A:$A),MATCH(J$1,[1]characters!$2:$2,0)-MATCH($F$1,[1]characters!$2:$2,0)+1),MATCH(J$1,[1]characters!$2:$2,0)-MATCH($F$1,[1]characters!$2:$2,0)+1,FALSE)</f>
        <v>yellow</v>
      </c>
      <c r="K217" s="10" t="str">
        <f ca="1">VLOOKUP($F217,OFFSET([1]characters!$A$2,0,0,COUNTA([1]characters!$A:$A),MATCH("タイプ",[1]characters!$1:$1,0)-MATCH($F$1,[1]characters!$2:$2,0)+2),MATCH("タイプ",[1]characters!$1:$1,0)-MATCH($F$1,[1]characters!$2:$2,0)+2,FALSE)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7" s="10" t="str">
        <f ca="1">VLOOKUP($F217,OFFSET([1]characters!$A$2,0,0,COUNTA([1]characters!$A:$A),MATCH($L$1,[1]characters!$1:$1,0)-MATCH($F$1,[1]characters!$2:$2,0)+2),MATCH($L$1,[1]characters!$1:$1,0)-MATCH($F$1,[1]characters!$2:$2,0)+2,FALSE)</f>
        <v>ヒューマン</v>
      </c>
      <c r="M217" s="6">
        <v>1</v>
      </c>
      <c r="N217" s="40">
        <f ca="1">VLOOKUP(D217,gacha_133_base!A:B,2,FALSE)</f>
        <v>247</v>
      </c>
      <c r="O217" s="28">
        <v>0</v>
      </c>
      <c r="P217" s="28">
        <v>0</v>
      </c>
      <c r="Q217" s="28">
        <v>0</v>
      </c>
      <c r="R217" s="28">
        <v>0</v>
      </c>
      <c r="S217" s="28">
        <v>1</v>
      </c>
    </row>
    <row r="218" spans="1:19" ht="21" customHeight="1">
      <c r="A218" s="8" t="str">
        <f t="shared" si="12"/>
        <v>02281</v>
      </c>
      <c r="B218" s="2">
        <f t="shared" si="15"/>
        <v>134</v>
      </c>
      <c r="C218" s="10" t="str">
        <f t="shared" ca="1" si="13"/>
        <v>0PremiumS5</v>
      </c>
      <c r="D218" s="10" t="str">
        <f t="shared" ca="1" si="14"/>
        <v>0PremiumS5</v>
      </c>
      <c r="E218" s="6">
        <v>0</v>
      </c>
      <c r="F218" s="7">
        <v>228</v>
      </c>
      <c r="G218" s="10" t="str">
        <f ca="1">VLOOKUP($F218,OFFSET([1]characters!$A$2,0,0,COUNTA([1]characters!$A:$A),MATCH(G$1,[1]characters!$2:$2,0)-MATCH($F$1,[1]characters!$2:$2,0)+1),MATCH(G$1,[1]characters!$2:$2,0)-MATCH($F$1,[1]characters!$2:$2,0)+1,FALSE)</f>
        <v>殲滅の掃射砲 アレス</v>
      </c>
      <c r="H218" s="10" t="str">
        <f ca="1">VLOOKUP($F218,OFFSET([1]characters!$A$2,0,0,COUNTA([1]characters!$A:$A),MATCH(H$1,[1]characters!$2:$2,0)-MATCH($F$1,[1]characters!$2:$2,0)+1),MATCH(H$1,[1]characters!$2:$2,0)-MATCH($F$1,[1]characters!$2:$2,0)+1,FALSE)</f>
        <v>PremiumS</v>
      </c>
      <c r="I218" s="10">
        <f ca="1">VLOOKUP($F218,OFFSET([1]characters!$A$2,0,0,COUNTA([1]characters!$A:$A),MATCH(I$1,[1]characters!$2:$2,0)-MATCH($F$1,[1]characters!$2:$2,0)+1),MATCH(I$1,[1]characters!$2:$2,0)-MATCH($F$1,[1]characters!$2:$2,0)+1,FALSE)</f>
        <v>5</v>
      </c>
      <c r="J218" s="10" t="str">
        <f ca="1">VLOOKUP($F218,OFFSET([1]characters!$A$2,0,0,COUNTA([1]characters!$A:$A),MATCH(J$1,[1]characters!$2:$2,0)-MATCH($F$1,[1]characters!$2:$2,0)+1),MATCH(J$1,[1]characters!$2:$2,0)-MATCH($F$1,[1]characters!$2:$2,0)+1,FALSE)</f>
        <v>red</v>
      </c>
      <c r="K218" s="10" t="str">
        <f ca="1">VLOOKUP($F218,OFFSET([1]characters!$A$2,0,0,COUNTA([1]characters!$A:$A),MATCH("タイプ",[1]characters!$1:$1,0)-MATCH($F$1,[1]characters!$2:$2,0)+2),MATCH("タイプ",[1]characters!$1:$1,0)-MATCH($F$1,[1]characters!$2:$2,0)+2,FALSE)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8" s="10" t="str">
        <f ca="1">VLOOKUP($F218,OFFSET([1]characters!$A$2,0,0,COUNTA([1]characters!$A:$A),MATCH($L$1,[1]characters!$1:$1,0)-MATCH($F$1,[1]characters!$2:$2,0)+2),MATCH($L$1,[1]characters!$1:$1,0)-MATCH($F$1,[1]characters!$2:$2,0)+2,FALSE)</f>
        <v>ゴッド</v>
      </c>
      <c r="M218" s="6">
        <v>1</v>
      </c>
      <c r="N218" s="40">
        <f ca="1">VLOOKUP(D218,gacha_133_base!A:B,2,FALSE)</f>
        <v>13</v>
      </c>
      <c r="O218" s="28">
        <v>0</v>
      </c>
      <c r="P218" s="28">
        <v>0</v>
      </c>
      <c r="Q218" s="28">
        <v>0</v>
      </c>
      <c r="R218" s="28">
        <v>0</v>
      </c>
      <c r="S218" s="28">
        <v>1</v>
      </c>
    </row>
    <row r="219" spans="1:19" ht="21" customHeight="1">
      <c r="A219" s="8" t="str">
        <f t="shared" si="12"/>
        <v>02311</v>
      </c>
      <c r="B219" s="2">
        <f t="shared" si="15"/>
        <v>134</v>
      </c>
      <c r="C219" s="10" t="str">
        <f t="shared" ca="1" si="13"/>
        <v>0PremiumS5</v>
      </c>
      <c r="D219" s="10" t="str">
        <f t="shared" ca="1" si="14"/>
        <v>0PremiumS5</v>
      </c>
      <c r="E219" s="6">
        <v>0</v>
      </c>
      <c r="F219" s="7">
        <v>231</v>
      </c>
      <c r="G219" s="10" t="str">
        <f ca="1">VLOOKUP($F219,OFFSET([1]characters!$A$2,0,0,COUNTA([1]characters!$A:$A),MATCH(G$1,[1]characters!$2:$2,0)-MATCH($F$1,[1]characters!$2:$2,0)+1),MATCH(G$1,[1]characters!$2:$2,0)-MATCH($F$1,[1]characters!$2:$2,0)+1,FALSE)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219" s="10" t="str">
        <f ca="1">VLOOKUP($F219,OFFSET([1]characters!$A$2,0,0,COUNTA([1]characters!$A:$A),MATCH(H$1,[1]characters!$2:$2,0)-MATCH($F$1,[1]characters!$2:$2,0)+1),MATCH(H$1,[1]characters!$2:$2,0)-MATCH($F$1,[1]characters!$2:$2,0)+1,FALSE)</f>
        <v>PremiumS</v>
      </c>
      <c r="I219" s="10">
        <f ca="1">VLOOKUP($F219,OFFSET([1]characters!$A$2,0,0,COUNTA([1]characters!$A:$A),MATCH(I$1,[1]characters!$2:$2,0)-MATCH($F$1,[1]characters!$2:$2,0)+1),MATCH(I$1,[1]characters!$2:$2,0)-MATCH($F$1,[1]characters!$2:$2,0)+1,FALSE)</f>
        <v>5</v>
      </c>
      <c r="J219" s="10" t="str">
        <f ca="1">VLOOKUP($F219,OFFSET([1]characters!$A$2,0,0,COUNTA([1]characters!$A:$A),MATCH(J$1,[1]characters!$2:$2,0)-MATCH($F$1,[1]characters!$2:$2,0)+1),MATCH(J$1,[1]characters!$2:$2,0)-MATCH($F$1,[1]characters!$2:$2,0)+1,FALSE)</f>
        <v>green</v>
      </c>
      <c r="K219" s="10" t="str">
        <f ca="1">VLOOKUP($F219,OFFSET([1]characters!$A$2,0,0,COUNTA([1]characters!$A:$A),MATCH("タイプ",[1]characters!$1:$1,0)-MATCH($F$1,[1]characters!$2:$2,0)+2),MATCH("タイプ",[1]characters!$1:$1,0)-MATCH($F$1,[1]characters!$2:$2,0)+2,FALSE)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9" s="10" t="str">
        <f ca="1">VLOOKUP($F219,OFFSET([1]characters!$A$2,0,0,COUNTA([1]characters!$A:$A),MATCH($L$1,[1]characters!$1:$1,0)-MATCH($F$1,[1]characters!$2:$2,0)+2),MATCH($L$1,[1]characters!$1:$1,0)-MATCH($F$1,[1]characters!$2:$2,0)+2,FALSE)</f>
        <v>ドラゴン</v>
      </c>
      <c r="M219" s="6">
        <v>1</v>
      </c>
      <c r="N219" s="40">
        <f ca="1">VLOOKUP(D219,gacha_133_base!A:B,2,FALSE)</f>
        <v>13</v>
      </c>
      <c r="O219" s="28">
        <v>0</v>
      </c>
      <c r="P219" s="28">
        <v>0</v>
      </c>
      <c r="Q219" s="28">
        <v>0</v>
      </c>
      <c r="R219" s="28">
        <v>0</v>
      </c>
      <c r="S219" s="28">
        <v>1</v>
      </c>
    </row>
    <row r="220" spans="1:19" ht="21" customHeight="1">
      <c r="A220" s="8" t="str">
        <f t="shared" si="12"/>
        <v>02341</v>
      </c>
      <c r="B220" s="2">
        <f t="shared" si="15"/>
        <v>134</v>
      </c>
      <c r="C220" s="10" t="str">
        <f t="shared" ca="1" si="13"/>
        <v>0PremiumS5</v>
      </c>
      <c r="D220" s="10" t="str">
        <f t="shared" ca="1" si="14"/>
        <v>0PremiumS5</v>
      </c>
      <c r="E220" s="6">
        <v>0</v>
      </c>
      <c r="F220" s="7">
        <v>234</v>
      </c>
      <c r="G220" s="10" t="str">
        <f ca="1">VLOOKUP($F220,OFFSET([1]characters!$A$2,0,0,COUNTA([1]characters!$A:$A),MATCH(G$1,[1]characters!$2:$2,0)-MATCH($F$1,[1]characters!$2:$2,0)+1),MATCH(G$1,[1]characters!$2:$2,0)-MATCH($F$1,[1]characters!$2:$2,0)+1,FALSE)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220" s="10" t="str">
        <f ca="1">VLOOKUP($F220,OFFSET([1]characters!$A$2,0,0,COUNTA([1]characters!$A:$A),MATCH(H$1,[1]characters!$2:$2,0)-MATCH($F$1,[1]characters!$2:$2,0)+1),MATCH(H$1,[1]characters!$2:$2,0)-MATCH($F$1,[1]characters!$2:$2,0)+1,FALSE)</f>
        <v>PremiumS</v>
      </c>
      <c r="I220" s="10">
        <f ca="1">VLOOKUP($F220,OFFSET([1]characters!$A$2,0,0,COUNTA([1]characters!$A:$A),MATCH(I$1,[1]characters!$2:$2,0)-MATCH($F$1,[1]characters!$2:$2,0)+1),MATCH(I$1,[1]characters!$2:$2,0)-MATCH($F$1,[1]characters!$2:$2,0)+1,FALSE)</f>
        <v>5</v>
      </c>
      <c r="J220" s="10" t="str">
        <f ca="1">VLOOKUP($F220,OFFSET([1]characters!$A$2,0,0,COUNTA([1]characters!$A:$A),MATCH(J$1,[1]characters!$2:$2,0)-MATCH($F$1,[1]characters!$2:$2,0)+1),MATCH(J$1,[1]characters!$2:$2,0)-MATCH($F$1,[1]characters!$2:$2,0)+1,FALSE)</f>
        <v>blue</v>
      </c>
      <c r="K220" s="10" t="str">
        <f ca="1">VLOOKUP($F220,OFFSET([1]characters!$A$2,0,0,COUNTA([1]characters!$A:$A),MATCH("タイプ",[1]characters!$1:$1,0)-MATCH($F$1,[1]characters!$2:$2,0)+2),MATCH("タイプ",[1]characters!$1:$1,0)-MATCH($F$1,[1]characters!$2:$2,0)+2,FALSE)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20" s="10" t="str">
        <f ca="1">VLOOKUP($F220,OFFSET([1]characters!$A$2,0,0,COUNTA([1]characters!$A:$A),MATCH($L$1,[1]characters!$1:$1,0)-MATCH($F$1,[1]characters!$2:$2,0)+2),MATCH($L$1,[1]characters!$1:$1,0)-MATCH($F$1,[1]characters!$2:$2,0)+2,FALSE)</f>
        <v>ヒューマン</v>
      </c>
      <c r="M220" s="6">
        <v>1</v>
      </c>
      <c r="N220" s="40">
        <f ca="1">VLOOKUP(D220,gacha_133_base!A:B,2,FALSE)</f>
        <v>13</v>
      </c>
      <c r="O220" s="28">
        <v>0</v>
      </c>
      <c r="P220" s="28">
        <v>0</v>
      </c>
      <c r="Q220" s="28">
        <v>0</v>
      </c>
      <c r="R220" s="28">
        <v>0</v>
      </c>
      <c r="S220" s="28">
        <v>1</v>
      </c>
    </row>
    <row r="221" spans="1:19" s="26" customFormat="1" ht="21" customHeight="1" thickBot="1">
      <c r="A221" s="22" t="str">
        <f t="shared" si="12"/>
        <v>02371</v>
      </c>
      <c r="B221" s="2">
        <f t="shared" si="15"/>
        <v>134</v>
      </c>
      <c r="C221" s="10" t="str">
        <f t="shared" ca="1" si="13"/>
        <v>0PremiumS5</v>
      </c>
      <c r="D221" s="10" t="str">
        <f t="shared" ca="1" si="14"/>
        <v>0PremiumS5</v>
      </c>
      <c r="E221" s="6">
        <v>0</v>
      </c>
      <c r="F221" s="7">
        <v>237</v>
      </c>
      <c r="G221" s="10" t="str">
        <f ca="1">VLOOKUP($F221,OFFSET([1]characters!$A$2,0,0,COUNTA([1]characters!$A:$A),MATCH(G$1,[1]characters!$2:$2,0)-MATCH($F$1,[1]characters!$2:$2,0)+1),MATCH(G$1,[1]characters!$2:$2,0)-MATCH($F$1,[1]characters!$2:$2,0)+1,FALSE)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221" s="10" t="str">
        <f ca="1">VLOOKUP($F221,OFFSET([1]characters!$A$2,0,0,COUNTA([1]characters!$A:$A),MATCH(H$1,[1]characters!$2:$2,0)-MATCH($F$1,[1]characters!$2:$2,0)+1),MATCH(H$1,[1]characters!$2:$2,0)-MATCH($F$1,[1]characters!$2:$2,0)+1,FALSE)</f>
        <v>PremiumS</v>
      </c>
      <c r="I221" s="10">
        <f ca="1">VLOOKUP($F221,OFFSET([1]characters!$A$2,0,0,COUNTA([1]characters!$A:$A),MATCH(I$1,[1]characters!$2:$2,0)-MATCH($F$1,[1]characters!$2:$2,0)+1),MATCH(I$1,[1]characters!$2:$2,0)-MATCH($F$1,[1]characters!$2:$2,0)+1,FALSE)</f>
        <v>5</v>
      </c>
      <c r="J221" s="10" t="str">
        <f ca="1">VLOOKUP($F221,OFFSET([1]characters!$A$2,0,0,COUNTA([1]characters!$A:$A),MATCH(J$1,[1]characters!$2:$2,0)-MATCH($F$1,[1]characters!$2:$2,0)+1),MATCH(J$1,[1]characters!$2:$2,0)-MATCH($F$1,[1]characters!$2:$2,0)+1,FALSE)</f>
        <v>yellow</v>
      </c>
      <c r="K221" s="10" t="str">
        <f ca="1">VLOOKUP($F221,OFFSET([1]characters!$A$2,0,0,COUNTA([1]characters!$A:$A),MATCH("タイプ",[1]characters!$1:$1,0)-MATCH($F$1,[1]characters!$2:$2,0)+2),MATCH("タイプ",[1]characters!$1:$1,0)-MATCH($F$1,[1]characters!$2:$2,0)+2,FALSE)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1" s="10" t="str">
        <f ca="1">VLOOKUP($F221,OFFSET([1]characters!$A$2,0,0,COUNTA([1]characters!$A:$A),MATCH($L$1,[1]characters!$1:$1,0)-MATCH($F$1,[1]characters!$2:$2,0)+2),MATCH($L$1,[1]characters!$1:$1,0)-MATCH($F$1,[1]characters!$2:$2,0)+2,FALSE)</f>
        <v>ゴッド</v>
      </c>
      <c r="M221" s="6">
        <v>1</v>
      </c>
      <c r="N221" s="40">
        <f ca="1">VLOOKUP(D221,gacha_133_base!A:B,2,FALSE)</f>
        <v>13</v>
      </c>
      <c r="O221" s="28">
        <v>0</v>
      </c>
      <c r="P221" s="28">
        <v>0</v>
      </c>
      <c r="Q221" s="28">
        <v>0</v>
      </c>
      <c r="R221" s="28">
        <v>0</v>
      </c>
      <c r="S221" s="28">
        <v>1</v>
      </c>
    </row>
    <row r="222" spans="1:19" ht="21" customHeight="1">
      <c r="A222" s="8" t="str">
        <f t="shared" si="12"/>
        <v>02381</v>
      </c>
      <c r="B222" s="2">
        <f t="shared" si="15"/>
        <v>134</v>
      </c>
      <c r="C222" s="10" t="str">
        <f t="shared" ca="1" si="13"/>
        <v>0PremiumS3</v>
      </c>
      <c r="D222" s="10" t="str">
        <f t="shared" ca="1" si="14"/>
        <v>0PremiumS3</v>
      </c>
      <c r="E222" s="6">
        <v>0</v>
      </c>
      <c r="F222" s="19">
        <v>238</v>
      </c>
      <c r="G222" s="10" t="str">
        <f ca="1">VLOOKUP($F222,OFFSET([1]characters!$A$2,0,0,COUNTA([1]characters!$A:$A),MATCH(G$1,[1]characters!$2:$2,0)-MATCH($F$1,[1]characters!$2:$2,0)+1),MATCH(G$1,[1]characters!$2:$2,0)-MATCH($F$1,[1]characters!$2:$2,0)+1,FALSE)</f>
        <v>ウリエル</v>
      </c>
      <c r="H222" s="10" t="str">
        <f ca="1">VLOOKUP($F222,OFFSET([1]characters!$A$2,0,0,COUNTA([1]characters!$A:$A),MATCH(H$1,[1]characters!$2:$2,0)-MATCH($F$1,[1]characters!$2:$2,0)+1),MATCH(H$1,[1]characters!$2:$2,0)-MATCH($F$1,[1]characters!$2:$2,0)+1,FALSE)</f>
        <v>PremiumS</v>
      </c>
      <c r="I222" s="10">
        <f ca="1">VLOOKUP($F222,OFFSET([1]characters!$A$2,0,0,COUNTA([1]characters!$A:$A),MATCH(I$1,[1]characters!$2:$2,0)-MATCH($F$1,[1]characters!$2:$2,0)+1),MATCH(I$1,[1]characters!$2:$2,0)-MATCH($F$1,[1]characters!$2:$2,0)+1,FALSE)</f>
        <v>3</v>
      </c>
      <c r="J222" s="10" t="str">
        <f ca="1">VLOOKUP($F222,OFFSET([1]characters!$A$2,0,0,COUNTA([1]characters!$A:$A),MATCH(J$1,[1]characters!$2:$2,0)-MATCH($F$1,[1]characters!$2:$2,0)+1),MATCH(J$1,[1]characters!$2:$2,0)-MATCH($F$1,[1]characters!$2:$2,0)+1,FALSE)</f>
        <v>red</v>
      </c>
      <c r="K222" s="10" t="str">
        <f ca="1">VLOOKUP($F222,OFFSET([1]characters!$A$2,0,0,COUNTA([1]characters!$A:$A),MATCH("タイプ",[1]characters!$1:$1,0)-MATCH($F$1,[1]characters!$2:$2,0)+2),MATCH("タイプ",[1]characters!$1:$1,0)-MATCH($F$1,[1]characters!$2:$2,0)+2,FALSE)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2" s="10" t="str">
        <f ca="1">VLOOKUP($F222,OFFSET([1]characters!$A$2,0,0,COUNTA([1]characters!$A:$A),MATCH($L$1,[1]characters!$1:$1,0)-MATCH($F$1,[1]characters!$2:$2,0)+2),MATCH($L$1,[1]characters!$1:$1,0)-MATCH($F$1,[1]characters!$2:$2,0)+2,FALSE)</f>
        <v>マシン</v>
      </c>
      <c r="M222" s="6">
        <v>1</v>
      </c>
      <c r="N222" s="40">
        <f ca="1">VLOOKUP(D222,gacha_133_base!A:B,2,FALSE)</f>
        <v>228</v>
      </c>
      <c r="O222" s="28">
        <v>0</v>
      </c>
      <c r="P222" s="28">
        <v>0</v>
      </c>
      <c r="Q222" s="28">
        <v>0</v>
      </c>
      <c r="R222" s="28">
        <v>0</v>
      </c>
      <c r="S222" s="28">
        <v>1</v>
      </c>
    </row>
    <row r="223" spans="1:19" ht="21" customHeight="1">
      <c r="A223" s="8" t="str">
        <f t="shared" si="12"/>
        <v>02391</v>
      </c>
      <c r="B223" s="2">
        <f t="shared" si="15"/>
        <v>134</v>
      </c>
      <c r="C223" s="10" t="str">
        <f t="shared" ca="1" si="13"/>
        <v>0PremiumS4</v>
      </c>
      <c r="D223" s="10" t="str">
        <f t="shared" ca="1" si="14"/>
        <v>0PremiumS4</v>
      </c>
      <c r="E223" s="6">
        <v>0</v>
      </c>
      <c r="F223" s="19">
        <v>239</v>
      </c>
      <c r="G223" s="10" t="str">
        <f ca="1">VLOOKUP($F223,OFFSET([1]characters!$A$2,0,0,COUNTA([1]characters!$A:$A),MATCH(G$1,[1]characters!$2:$2,0)-MATCH($F$1,[1]characters!$2:$2,0)+1),MATCH(G$1,[1]characters!$2:$2,0)-MATCH($F$1,[1]characters!$2:$2,0)+1,FALSE)</f>
        <v>豪炎の天使 ウリエル</v>
      </c>
      <c r="H223" s="10" t="str">
        <f ca="1">VLOOKUP($F223,OFFSET([1]characters!$A$2,0,0,COUNTA([1]characters!$A:$A),MATCH(H$1,[1]characters!$2:$2,0)-MATCH($F$1,[1]characters!$2:$2,0)+1),MATCH(H$1,[1]characters!$2:$2,0)-MATCH($F$1,[1]characters!$2:$2,0)+1,FALSE)</f>
        <v>PremiumS</v>
      </c>
      <c r="I223" s="10">
        <f ca="1">VLOOKUP($F223,OFFSET([1]characters!$A$2,0,0,COUNTA([1]characters!$A:$A),MATCH(I$1,[1]characters!$2:$2,0)-MATCH($F$1,[1]characters!$2:$2,0)+1),MATCH(I$1,[1]characters!$2:$2,0)-MATCH($F$1,[1]characters!$2:$2,0)+1,FALSE)</f>
        <v>4</v>
      </c>
      <c r="J223" s="10" t="str">
        <f ca="1">VLOOKUP($F223,OFFSET([1]characters!$A$2,0,0,COUNTA([1]characters!$A:$A),MATCH(J$1,[1]characters!$2:$2,0)-MATCH($F$1,[1]characters!$2:$2,0)+1),MATCH(J$1,[1]characters!$2:$2,0)-MATCH($F$1,[1]characters!$2:$2,0)+1,FALSE)</f>
        <v>red</v>
      </c>
      <c r="K223" s="10" t="str">
        <f ca="1">VLOOKUP($F223,OFFSET([1]characters!$A$2,0,0,COUNTA([1]characters!$A:$A),MATCH("タイプ",[1]characters!$1:$1,0)-MATCH($F$1,[1]characters!$2:$2,0)+2),MATCH("タイプ",[1]characters!$1:$1,0)-MATCH($F$1,[1]characters!$2:$2,0)+2,FALSE)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3" s="10" t="str">
        <f ca="1">VLOOKUP($F223,OFFSET([1]characters!$A$2,0,0,COUNTA([1]characters!$A:$A),MATCH($L$1,[1]characters!$1:$1,0)-MATCH($F$1,[1]characters!$2:$2,0)+2),MATCH($L$1,[1]characters!$1:$1,0)-MATCH($F$1,[1]characters!$2:$2,0)+2,FALSE)</f>
        <v>マシン</v>
      </c>
      <c r="M223" s="6">
        <v>1</v>
      </c>
      <c r="N223" s="40">
        <f ca="1">VLOOKUP(D223,gacha_133_base!A:B,2,FALSE)</f>
        <v>80</v>
      </c>
      <c r="O223" s="28">
        <v>0</v>
      </c>
      <c r="P223" s="28">
        <v>0</v>
      </c>
      <c r="Q223" s="28">
        <v>0</v>
      </c>
      <c r="R223" s="28">
        <v>0</v>
      </c>
      <c r="S223" s="28">
        <v>1</v>
      </c>
    </row>
    <row r="224" spans="1:19" ht="21" customHeight="1">
      <c r="A224" s="8" t="str">
        <f t="shared" si="12"/>
        <v>02401</v>
      </c>
      <c r="B224" s="2">
        <f t="shared" si="15"/>
        <v>134</v>
      </c>
      <c r="C224" s="10" t="str">
        <f t="shared" ca="1" si="13"/>
        <v>0PremiumS5</v>
      </c>
      <c r="D224" s="10" t="str">
        <f t="shared" ca="1" si="14"/>
        <v>0PremiumS5</v>
      </c>
      <c r="E224" s="6">
        <v>0</v>
      </c>
      <c r="F224" s="19">
        <v>240</v>
      </c>
      <c r="G224" s="10" t="str">
        <f ca="1">VLOOKUP($F224,OFFSET([1]characters!$A$2,0,0,COUNTA([1]characters!$A:$A),MATCH(G$1,[1]characters!$2:$2,0)-MATCH($F$1,[1]characters!$2:$2,0)+1),MATCH(G$1,[1]characters!$2:$2,0)-MATCH($F$1,[1]characters!$2:$2,0)+1,FALSE)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224" s="10" t="str">
        <f ca="1">VLOOKUP($F224,OFFSET([1]characters!$A$2,0,0,COUNTA([1]characters!$A:$A),MATCH(H$1,[1]characters!$2:$2,0)-MATCH($F$1,[1]characters!$2:$2,0)+1),MATCH(H$1,[1]characters!$2:$2,0)-MATCH($F$1,[1]characters!$2:$2,0)+1,FALSE)</f>
        <v>PremiumS</v>
      </c>
      <c r="I224" s="10">
        <f ca="1">VLOOKUP($F224,OFFSET([1]characters!$A$2,0,0,COUNTA([1]characters!$A:$A),MATCH(I$1,[1]characters!$2:$2,0)-MATCH($F$1,[1]characters!$2:$2,0)+1),MATCH(I$1,[1]characters!$2:$2,0)-MATCH($F$1,[1]characters!$2:$2,0)+1,FALSE)</f>
        <v>5</v>
      </c>
      <c r="J224" s="10" t="str">
        <f ca="1">VLOOKUP($F224,OFFSET([1]characters!$A$2,0,0,COUNTA([1]characters!$A:$A),MATCH(J$1,[1]characters!$2:$2,0)-MATCH($F$1,[1]characters!$2:$2,0)+1),MATCH(J$1,[1]characters!$2:$2,0)-MATCH($F$1,[1]characters!$2:$2,0)+1,FALSE)</f>
        <v>red</v>
      </c>
      <c r="K224" s="10" t="str">
        <f ca="1">VLOOKUP($F224,OFFSET([1]characters!$A$2,0,0,COUNTA([1]characters!$A:$A),MATCH("タイプ",[1]characters!$1:$1,0)-MATCH($F$1,[1]characters!$2:$2,0)+2),MATCH("タイプ",[1]characters!$1:$1,0)-MATCH($F$1,[1]characters!$2:$2,0)+2,FALSE)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4" s="10" t="str">
        <f ca="1">VLOOKUP($F224,OFFSET([1]characters!$A$2,0,0,COUNTA([1]characters!$A:$A),MATCH($L$1,[1]characters!$1:$1,0)-MATCH($F$1,[1]characters!$2:$2,0)+2),MATCH($L$1,[1]characters!$1:$1,0)-MATCH($F$1,[1]characters!$2:$2,0)+2,FALSE)</f>
        <v>マシン</v>
      </c>
      <c r="M224" s="6">
        <v>1</v>
      </c>
      <c r="N224" s="40">
        <f ca="1">VLOOKUP(D224,gacha_133_base!A:B,2,FALSE)</f>
        <v>13</v>
      </c>
      <c r="O224" s="28">
        <v>0</v>
      </c>
      <c r="P224" s="28">
        <v>0</v>
      </c>
      <c r="Q224" s="28">
        <v>0</v>
      </c>
      <c r="R224" s="28">
        <v>0</v>
      </c>
      <c r="S224" s="28">
        <v>1</v>
      </c>
    </row>
    <row r="225" spans="1:19" ht="21" customHeight="1">
      <c r="A225" s="8" t="str">
        <f t="shared" si="12"/>
        <v>02411</v>
      </c>
      <c r="B225" s="2">
        <f t="shared" si="15"/>
        <v>134</v>
      </c>
      <c r="C225" s="10" t="str">
        <f t="shared" ca="1" si="13"/>
        <v>0PremiumS3</v>
      </c>
      <c r="D225" s="10" t="str">
        <f t="shared" ca="1" si="14"/>
        <v>0PremiumS3</v>
      </c>
      <c r="E225" s="6">
        <v>0</v>
      </c>
      <c r="F225" s="19">
        <v>241</v>
      </c>
      <c r="G225" s="10" t="str">
        <f ca="1">VLOOKUP($F225,OFFSET([1]characters!$A$2,0,0,COUNTA([1]characters!$A:$A),MATCH(G$1,[1]characters!$2:$2,0)-MATCH($F$1,[1]characters!$2:$2,0)+1),MATCH(G$1,[1]characters!$2:$2,0)-MATCH($F$1,[1]characters!$2:$2,0)+1,FALSE)</f>
        <v>ガブリエル</v>
      </c>
      <c r="H225" s="10" t="str">
        <f ca="1">VLOOKUP($F225,OFFSET([1]characters!$A$2,0,0,COUNTA([1]characters!$A:$A),MATCH(H$1,[1]characters!$2:$2,0)-MATCH($F$1,[1]characters!$2:$2,0)+1),MATCH(H$1,[1]characters!$2:$2,0)-MATCH($F$1,[1]characters!$2:$2,0)+1,FALSE)</f>
        <v>PremiumS</v>
      </c>
      <c r="I225" s="10">
        <f ca="1">VLOOKUP($F225,OFFSET([1]characters!$A$2,0,0,COUNTA([1]characters!$A:$A),MATCH(I$1,[1]characters!$2:$2,0)-MATCH($F$1,[1]characters!$2:$2,0)+1),MATCH(I$1,[1]characters!$2:$2,0)-MATCH($F$1,[1]characters!$2:$2,0)+1,FALSE)</f>
        <v>3</v>
      </c>
      <c r="J225" s="10" t="str">
        <f ca="1">VLOOKUP($F225,OFFSET([1]characters!$A$2,0,0,COUNTA([1]characters!$A:$A),MATCH(J$1,[1]characters!$2:$2,0)-MATCH($F$1,[1]characters!$2:$2,0)+1),MATCH(J$1,[1]characters!$2:$2,0)-MATCH($F$1,[1]characters!$2:$2,0)+1,FALSE)</f>
        <v>green</v>
      </c>
      <c r="K225" s="10" t="str">
        <f ca="1">VLOOKUP($F225,OFFSET([1]characters!$A$2,0,0,COUNTA([1]characters!$A:$A),MATCH("タイプ",[1]characters!$1:$1,0)-MATCH($F$1,[1]characters!$2:$2,0)+2),MATCH("タイプ",[1]characters!$1:$1,0)-MATCH($F$1,[1]characters!$2:$2,0)+2,FALSE)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5" s="10" t="str">
        <f ca="1">VLOOKUP($F225,OFFSET([1]characters!$A$2,0,0,COUNTA([1]characters!$A:$A),MATCH($L$1,[1]characters!$1:$1,0)-MATCH($F$1,[1]characters!$2:$2,0)+2),MATCH($L$1,[1]characters!$1:$1,0)-MATCH($F$1,[1]characters!$2:$2,0)+2,FALSE)</f>
        <v>マシン</v>
      </c>
      <c r="M225" s="6">
        <v>1</v>
      </c>
      <c r="N225" s="40">
        <f ca="1">VLOOKUP(D225,gacha_133_base!A:B,2,FALSE)</f>
        <v>228</v>
      </c>
      <c r="O225" s="28">
        <v>0</v>
      </c>
      <c r="P225" s="28">
        <v>0</v>
      </c>
      <c r="Q225" s="28">
        <v>0</v>
      </c>
      <c r="R225" s="28">
        <v>0</v>
      </c>
      <c r="S225" s="28">
        <v>1</v>
      </c>
    </row>
    <row r="226" spans="1:19" ht="21" customHeight="1">
      <c r="A226" s="8" t="str">
        <f t="shared" si="12"/>
        <v>02421</v>
      </c>
      <c r="B226" s="2">
        <f t="shared" si="15"/>
        <v>134</v>
      </c>
      <c r="C226" s="10" t="str">
        <f t="shared" ca="1" si="13"/>
        <v>0PremiumS4</v>
      </c>
      <c r="D226" s="10" t="str">
        <f t="shared" ca="1" si="14"/>
        <v>0PremiumS4</v>
      </c>
      <c r="E226" s="6">
        <v>0</v>
      </c>
      <c r="F226" s="19">
        <v>242</v>
      </c>
      <c r="G226" s="10" t="str">
        <f ca="1">VLOOKUP($F226,OFFSET([1]characters!$A$2,0,0,COUNTA([1]characters!$A:$A),MATCH(G$1,[1]characters!$2:$2,0)-MATCH($F$1,[1]characters!$2:$2,0)+1),MATCH(G$1,[1]characters!$2:$2,0)-MATCH($F$1,[1]characters!$2:$2,0)+1,FALSE)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226" s="10" t="str">
        <f ca="1">VLOOKUP($F226,OFFSET([1]characters!$A$2,0,0,COUNTA([1]characters!$A:$A),MATCH(H$1,[1]characters!$2:$2,0)-MATCH($F$1,[1]characters!$2:$2,0)+1),MATCH(H$1,[1]characters!$2:$2,0)-MATCH($F$1,[1]characters!$2:$2,0)+1,FALSE)</f>
        <v>PremiumS</v>
      </c>
      <c r="I226" s="10">
        <f ca="1">VLOOKUP($F226,OFFSET([1]characters!$A$2,0,0,COUNTA([1]characters!$A:$A),MATCH(I$1,[1]characters!$2:$2,0)-MATCH($F$1,[1]characters!$2:$2,0)+1),MATCH(I$1,[1]characters!$2:$2,0)-MATCH($F$1,[1]characters!$2:$2,0)+1,FALSE)</f>
        <v>4</v>
      </c>
      <c r="J226" s="10" t="str">
        <f ca="1">VLOOKUP($F226,OFFSET([1]characters!$A$2,0,0,COUNTA([1]characters!$A:$A),MATCH(J$1,[1]characters!$2:$2,0)-MATCH($F$1,[1]characters!$2:$2,0)+1),MATCH(J$1,[1]characters!$2:$2,0)-MATCH($F$1,[1]characters!$2:$2,0)+1,FALSE)</f>
        <v>green</v>
      </c>
      <c r="K226" s="10" t="str">
        <f ca="1">VLOOKUP($F226,OFFSET([1]characters!$A$2,0,0,COUNTA([1]characters!$A:$A),MATCH("タイプ",[1]characters!$1:$1,0)-MATCH($F$1,[1]characters!$2:$2,0)+2),MATCH("タイプ",[1]characters!$1:$1,0)-MATCH($F$1,[1]characters!$2:$2,0)+2,FALSE)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6" s="10" t="str">
        <f ca="1">VLOOKUP($F226,OFFSET([1]characters!$A$2,0,0,COUNTA([1]characters!$A:$A),MATCH($L$1,[1]characters!$1:$1,0)-MATCH($F$1,[1]characters!$2:$2,0)+2),MATCH($L$1,[1]characters!$1:$1,0)-MATCH($F$1,[1]characters!$2:$2,0)+2,FALSE)</f>
        <v>マシン</v>
      </c>
      <c r="M226" s="6">
        <v>1</v>
      </c>
      <c r="N226" s="40">
        <f ca="1">VLOOKUP(D226,gacha_133_base!A:B,2,FALSE)</f>
        <v>80</v>
      </c>
      <c r="O226" s="28">
        <v>0</v>
      </c>
      <c r="P226" s="28">
        <v>0</v>
      </c>
      <c r="Q226" s="28">
        <v>0</v>
      </c>
      <c r="R226" s="28">
        <v>0</v>
      </c>
      <c r="S226" s="28">
        <v>1</v>
      </c>
    </row>
    <row r="227" spans="1:19" ht="21" customHeight="1">
      <c r="A227" s="8" t="str">
        <f t="shared" ref="A227:A273" si="16">E227&amp;F227&amp;M227</f>
        <v>02431</v>
      </c>
      <c r="B227" s="2">
        <f t="shared" si="15"/>
        <v>134</v>
      </c>
      <c r="C227" s="10" t="str">
        <f t="shared" ca="1" si="13"/>
        <v>0PremiumS5</v>
      </c>
      <c r="D227" s="10" t="str">
        <f t="shared" ca="1" si="14"/>
        <v>0PremiumS5</v>
      </c>
      <c r="E227" s="6">
        <v>0</v>
      </c>
      <c r="F227" s="19">
        <v>243</v>
      </c>
      <c r="G227" s="10" t="str">
        <f ca="1">VLOOKUP($F227,OFFSET([1]characters!$A$2,0,0,COUNTA([1]characters!$A:$A),MATCH(G$1,[1]characters!$2:$2,0)-MATCH($F$1,[1]characters!$2:$2,0)+1),MATCH(G$1,[1]characters!$2:$2,0)-MATCH($F$1,[1]characters!$2:$2,0)+1,FALSE)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227" s="10" t="str">
        <f ca="1">VLOOKUP($F227,OFFSET([1]characters!$A$2,0,0,COUNTA([1]characters!$A:$A),MATCH(H$1,[1]characters!$2:$2,0)-MATCH($F$1,[1]characters!$2:$2,0)+1),MATCH(H$1,[1]characters!$2:$2,0)-MATCH($F$1,[1]characters!$2:$2,0)+1,FALSE)</f>
        <v>PremiumS</v>
      </c>
      <c r="I227" s="10">
        <f ca="1">VLOOKUP($F227,OFFSET([1]characters!$A$2,0,0,COUNTA([1]characters!$A:$A),MATCH(I$1,[1]characters!$2:$2,0)-MATCH($F$1,[1]characters!$2:$2,0)+1),MATCH(I$1,[1]characters!$2:$2,0)-MATCH($F$1,[1]characters!$2:$2,0)+1,FALSE)</f>
        <v>5</v>
      </c>
      <c r="J227" s="10" t="str">
        <f ca="1">VLOOKUP($F227,OFFSET([1]characters!$A$2,0,0,COUNTA([1]characters!$A:$A),MATCH(J$1,[1]characters!$2:$2,0)-MATCH($F$1,[1]characters!$2:$2,0)+1),MATCH(J$1,[1]characters!$2:$2,0)-MATCH($F$1,[1]characters!$2:$2,0)+1,FALSE)</f>
        <v>green</v>
      </c>
      <c r="K227" s="10" t="str">
        <f ca="1">VLOOKUP($F227,OFFSET([1]characters!$A$2,0,0,COUNTA([1]characters!$A:$A),MATCH("タイプ",[1]characters!$1:$1,0)-MATCH($F$1,[1]characters!$2:$2,0)+2),MATCH("タイプ",[1]characters!$1:$1,0)-MATCH($F$1,[1]characters!$2:$2,0)+2,FALSE)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7" s="10" t="str">
        <f ca="1">VLOOKUP($F227,OFFSET([1]characters!$A$2,0,0,COUNTA([1]characters!$A:$A),MATCH($L$1,[1]characters!$1:$1,0)-MATCH($F$1,[1]characters!$2:$2,0)+2),MATCH($L$1,[1]characters!$1:$1,0)-MATCH($F$1,[1]characters!$2:$2,0)+2,FALSE)</f>
        <v>マシン</v>
      </c>
      <c r="M227" s="6">
        <v>1</v>
      </c>
      <c r="N227" s="40">
        <f ca="1">VLOOKUP(D227,gacha_133_base!A:B,2,FALSE)</f>
        <v>13</v>
      </c>
      <c r="O227" s="28">
        <v>0</v>
      </c>
      <c r="P227" s="28">
        <v>0</v>
      </c>
      <c r="Q227" s="28">
        <v>0</v>
      </c>
      <c r="R227" s="28">
        <v>0</v>
      </c>
      <c r="S227" s="28">
        <v>1</v>
      </c>
    </row>
    <row r="228" spans="1:19" ht="21" customHeight="1">
      <c r="A228" s="8" t="str">
        <f t="shared" si="16"/>
        <v>02441</v>
      </c>
      <c r="B228" s="2">
        <f t="shared" si="15"/>
        <v>134</v>
      </c>
      <c r="C228" s="10" t="str">
        <f t="shared" ca="1" si="13"/>
        <v>0PremiumS3</v>
      </c>
      <c r="D228" s="10" t="str">
        <f t="shared" ca="1" si="14"/>
        <v>0PremiumS3</v>
      </c>
      <c r="E228" s="6">
        <v>0</v>
      </c>
      <c r="F228" s="19">
        <v>244</v>
      </c>
      <c r="G228" s="10" t="str">
        <f ca="1">VLOOKUP($F228,OFFSET([1]characters!$A$2,0,0,COUNTA([1]characters!$A:$A),MATCH(G$1,[1]characters!$2:$2,0)-MATCH($F$1,[1]characters!$2:$2,0)+1),MATCH(G$1,[1]characters!$2:$2,0)-MATCH($F$1,[1]characters!$2:$2,0)+1,FALSE)</f>
        <v>ラファエル</v>
      </c>
      <c r="H228" s="10" t="str">
        <f ca="1">VLOOKUP($F228,OFFSET([1]characters!$A$2,0,0,COUNTA([1]characters!$A:$A),MATCH(H$1,[1]characters!$2:$2,0)-MATCH($F$1,[1]characters!$2:$2,0)+1),MATCH(H$1,[1]characters!$2:$2,0)-MATCH($F$1,[1]characters!$2:$2,0)+1,FALSE)</f>
        <v>PremiumS</v>
      </c>
      <c r="I228" s="10">
        <f ca="1">VLOOKUP($F228,OFFSET([1]characters!$A$2,0,0,COUNTA([1]characters!$A:$A),MATCH(I$1,[1]characters!$2:$2,0)-MATCH($F$1,[1]characters!$2:$2,0)+1),MATCH(I$1,[1]characters!$2:$2,0)-MATCH($F$1,[1]characters!$2:$2,0)+1,FALSE)</f>
        <v>3</v>
      </c>
      <c r="J228" s="10" t="str">
        <f ca="1">VLOOKUP($F228,OFFSET([1]characters!$A$2,0,0,COUNTA([1]characters!$A:$A),MATCH(J$1,[1]characters!$2:$2,0)-MATCH($F$1,[1]characters!$2:$2,0)+1),MATCH(J$1,[1]characters!$2:$2,0)-MATCH($F$1,[1]characters!$2:$2,0)+1,FALSE)</f>
        <v>blue</v>
      </c>
      <c r="K228" s="10" t="str">
        <f ca="1">VLOOKUP($F228,OFFSET([1]characters!$A$2,0,0,COUNTA([1]characters!$A:$A),MATCH("タイプ",[1]characters!$1:$1,0)-MATCH($F$1,[1]characters!$2:$2,0)+2),MATCH("タイプ",[1]characters!$1:$1,0)-MATCH($F$1,[1]characters!$2:$2,0)+2,FALSE)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8" s="10" t="str">
        <f ca="1">VLOOKUP($F228,OFFSET([1]characters!$A$2,0,0,COUNTA([1]characters!$A:$A),MATCH($L$1,[1]characters!$1:$1,0)-MATCH($F$1,[1]characters!$2:$2,0)+2),MATCH($L$1,[1]characters!$1:$1,0)-MATCH($F$1,[1]characters!$2:$2,0)+2,FALSE)</f>
        <v>マシン</v>
      </c>
      <c r="M228" s="6">
        <v>1</v>
      </c>
      <c r="N228" s="40">
        <f ca="1">VLOOKUP(D228,gacha_133_base!A:B,2,FALSE)</f>
        <v>228</v>
      </c>
      <c r="O228" s="28">
        <v>0</v>
      </c>
      <c r="P228" s="28">
        <v>0</v>
      </c>
      <c r="Q228" s="28">
        <v>0</v>
      </c>
      <c r="R228" s="28">
        <v>0</v>
      </c>
      <c r="S228" s="28">
        <v>1</v>
      </c>
    </row>
    <row r="229" spans="1:19" ht="21" customHeight="1">
      <c r="A229" s="8" t="str">
        <f t="shared" si="16"/>
        <v>02451</v>
      </c>
      <c r="B229" s="2">
        <f t="shared" si="15"/>
        <v>134</v>
      </c>
      <c r="C229" s="10" t="str">
        <f t="shared" ca="1" si="13"/>
        <v>0PremiumS4</v>
      </c>
      <c r="D229" s="10" t="str">
        <f t="shared" ca="1" si="14"/>
        <v>0PremiumS4</v>
      </c>
      <c r="E229" s="6">
        <v>0</v>
      </c>
      <c r="F229" s="19">
        <v>245</v>
      </c>
      <c r="G229" s="10" t="str">
        <f ca="1">VLOOKUP($F229,OFFSET([1]characters!$A$2,0,0,COUNTA([1]characters!$A:$A),MATCH(G$1,[1]characters!$2:$2,0)-MATCH($F$1,[1]characters!$2:$2,0)+1),MATCH(G$1,[1]characters!$2:$2,0)-MATCH($F$1,[1]characters!$2:$2,0)+1,FALSE)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229" s="10" t="str">
        <f ca="1">VLOOKUP($F229,OFFSET([1]characters!$A$2,0,0,COUNTA([1]characters!$A:$A),MATCH(H$1,[1]characters!$2:$2,0)-MATCH($F$1,[1]characters!$2:$2,0)+1),MATCH(H$1,[1]characters!$2:$2,0)-MATCH($F$1,[1]characters!$2:$2,0)+1,FALSE)</f>
        <v>PremiumS</v>
      </c>
      <c r="I229" s="10">
        <f ca="1">VLOOKUP($F229,OFFSET([1]characters!$A$2,0,0,COUNTA([1]characters!$A:$A),MATCH(I$1,[1]characters!$2:$2,0)-MATCH($F$1,[1]characters!$2:$2,0)+1),MATCH(I$1,[1]characters!$2:$2,0)-MATCH($F$1,[1]characters!$2:$2,0)+1,FALSE)</f>
        <v>4</v>
      </c>
      <c r="J229" s="10" t="str">
        <f ca="1">VLOOKUP($F229,OFFSET([1]characters!$A$2,0,0,COUNTA([1]characters!$A:$A),MATCH(J$1,[1]characters!$2:$2,0)-MATCH($F$1,[1]characters!$2:$2,0)+1),MATCH(J$1,[1]characters!$2:$2,0)-MATCH($F$1,[1]characters!$2:$2,0)+1,FALSE)</f>
        <v>blue</v>
      </c>
      <c r="K229" s="10" t="str">
        <f ca="1">VLOOKUP($F229,OFFSET([1]characters!$A$2,0,0,COUNTA([1]characters!$A:$A),MATCH("タイプ",[1]characters!$1:$1,0)-MATCH($F$1,[1]characters!$2:$2,0)+2),MATCH("タイプ",[1]characters!$1:$1,0)-MATCH($F$1,[1]characters!$2:$2,0)+2,FALSE)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9" s="10" t="str">
        <f ca="1">VLOOKUP($F229,OFFSET([1]characters!$A$2,0,0,COUNTA([1]characters!$A:$A),MATCH($L$1,[1]characters!$1:$1,0)-MATCH($F$1,[1]characters!$2:$2,0)+2),MATCH($L$1,[1]characters!$1:$1,0)-MATCH($F$1,[1]characters!$2:$2,0)+2,FALSE)</f>
        <v>マシン</v>
      </c>
      <c r="M229" s="6">
        <v>1</v>
      </c>
      <c r="N229" s="40">
        <f ca="1">VLOOKUP(D229,gacha_133_base!A:B,2,FALSE)</f>
        <v>80</v>
      </c>
      <c r="O229" s="28">
        <v>0</v>
      </c>
      <c r="P229" s="28">
        <v>0</v>
      </c>
      <c r="Q229" s="28">
        <v>0</v>
      </c>
      <c r="R229" s="28">
        <v>0</v>
      </c>
      <c r="S229" s="28">
        <v>1</v>
      </c>
    </row>
    <row r="230" spans="1:19" ht="21" customHeight="1">
      <c r="A230" s="8" t="str">
        <f t="shared" si="16"/>
        <v>02461</v>
      </c>
      <c r="B230" s="2">
        <f t="shared" si="15"/>
        <v>134</v>
      </c>
      <c r="C230" s="10" t="str">
        <f t="shared" ca="1" si="13"/>
        <v>0PremiumS5</v>
      </c>
      <c r="D230" s="10" t="str">
        <f t="shared" ca="1" si="14"/>
        <v>0PremiumS5</v>
      </c>
      <c r="E230" s="6">
        <v>0</v>
      </c>
      <c r="F230" s="19">
        <v>246</v>
      </c>
      <c r="G230" s="10" t="str">
        <f ca="1">VLOOKUP($F230,OFFSET([1]characters!$A$2,0,0,COUNTA([1]characters!$A:$A),MATCH(G$1,[1]characters!$2:$2,0)-MATCH($F$1,[1]characters!$2:$2,0)+1),MATCH(G$1,[1]characters!$2:$2,0)-MATCH($F$1,[1]characters!$2:$2,0)+1,FALSE)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230" s="10" t="str">
        <f ca="1">VLOOKUP($F230,OFFSET([1]characters!$A$2,0,0,COUNTA([1]characters!$A:$A),MATCH(H$1,[1]characters!$2:$2,0)-MATCH($F$1,[1]characters!$2:$2,0)+1),MATCH(H$1,[1]characters!$2:$2,0)-MATCH($F$1,[1]characters!$2:$2,0)+1,FALSE)</f>
        <v>PremiumS</v>
      </c>
      <c r="I230" s="10">
        <f ca="1">VLOOKUP($F230,OFFSET([1]characters!$A$2,0,0,COUNTA([1]characters!$A:$A),MATCH(I$1,[1]characters!$2:$2,0)-MATCH($F$1,[1]characters!$2:$2,0)+1),MATCH(I$1,[1]characters!$2:$2,0)-MATCH($F$1,[1]characters!$2:$2,0)+1,FALSE)</f>
        <v>5</v>
      </c>
      <c r="J230" s="10" t="str">
        <f ca="1">VLOOKUP($F230,OFFSET([1]characters!$A$2,0,0,COUNTA([1]characters!$A:$A),MATCH(J$1,[1]characters!$2:$2,0)-MATCH($F$1,[1]characters!$2:$2,0)+1),MATCH(J$1,[1]characters!$2:$2,0)-MATCH($F$1,[1]characters!$2:$2,0)+1,FALSE)</f>
        <v>blue</v>
      </c>
      <c r="K230" s="10" t="str">
        <f ca="1">VLOOKUP($F230,OFFSET([1]characters!$A$2,0,0,COUNTA([1]characters!$A:$A),MATCH("タイプ",[1]characters!$1:$1,0)-MATCH($F$1,[1]characters!$2:$2,0)+2),MATCH("タイプ",[1]characters!$1:$1,0)-MATCH($F$1,[1]characters!$2:$2,0)+2,FALSE)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0" s="10" t="str">
        <f ca="1">VLOOKUP($F230,OFFSET([1]characters!$A$2,0,0,COUNTA([1]characters!$A:$A),MATCH($L$1,[1]characters!$1:$1,0)-MATCH($F$1,[1]characters!$2:$2,0)+2),MATCH($L$1,[1]characters!$1:$1,0)-MATCH($F$1,[1]characters!$2:$2,0)+2,FALSE)</f>
        <v>マシン</v>
      </c>
      <c r="M230" s="6">
        <v>1</v>
      </c>
      <c r="N230" s="40">
        <f ca="1">VLOOKUP(D230,gacha_133_base!A:B,2,FALSE)</f>
        <v>13</v>
      </c>
      <c r="O230" s="28">
        <v>0</v>
      </c>
      <c r="P230" s="28">
        <v>0</v>
      </c>
      <c r="Q230" s="28">
        <v>0</v>
      </c>
      <c r="R230" s="28">
        <v>0</v>
      </c>
      <c r="S230" s="28">
        <v>1</v>
      </c>
    </row>
    <row r="231" spans="1:19" ht="21" customHeight="1">
      <c r="A231" s="8" t="str">
        <f t="shared" si="16"/>
        <v>02471</v>
      </c>
      <c r="B231" s="2">
        <f t="shared" si="15"/>
        <v>134</v>
      </c>
      <c r="C231" s="10" t="str">
        <f t="shared" ca="1" si="13"/>
        <v>0PremiumS3</v>
      </c>
      <c r="D231" s="10" t="str">
        <f t="shared" ca="1" si="14"/>
        <v>0PremiumS3</v>
      </c>
      <c r="E231" s="6">
        <v>0</v>
      </c>
      <c r="F231" s="19">
        <v>247</v>
      </c>
      <c r="G231" s="10" t="str">
        <f ca="1">VLOOKUP($F231,OFFSET([1]characters!$A$2,0,0,COUNTA([1]characters!$A:$A),MATCH(G$1,[1]characters!$2:$2,0)-MATCH($F$1,[1]characters!$2:$2,0)+1),MATCH(G$1,[1]characters!$2:$2,0)-MATCH($F$1,[1]characters!$2:$2,0)+1,FALSE)</f>
        <v>ミカエル</v>
      </c>
      <c r="H231" s="10" t="str">
        <f ca="1">VLOOKUP($F231,OFFSET([1]characters!$A$2,0,0,COUNTA([1]characters!$A:$A),MATCH(H$1,[1]characters!$2:$2,0)-MATCH($F$1,[1]characters!$2:$2,0)+1),MATCH(H$1,[1]characters!$2:$2,0)-MATCH($F$1,[1]characters!$2:$2,0)+1,FALSE)</f>
        <v>PremiumS</v>
      </c>
      <c r="I231" s="10">
        <f ca="1">VLOOKUP($F231,OFFSET([1]characters!$A$2,0,0,COUNTA([1]characters!$A:$A),MATCH(I$1,[1]characters!$2:$2,0)-MATCH($F$1,[1]characters!$2:$2,0)+1),MATCH(I$1,[1]characters!$2:$2,0)-MATCH($F$1,[1]characters!$2:$2,0)+1,FALSE)</f>
        <v>3</v>
      </c>
      <c r="J231" s="10" t="str">
        <f ca="1">VLOOKUP($F231,OFFSET([1]characters!$A$2,0,0,COUNTA([1]characters!$A:$A),MATCH(J$1,[1]characters!$2:$2,0)-MATCH($F$1,[1]characters!$2:$2,0)+1),MATCH(J$1,[1]characters!$2:$2,0)-MATCH($F$1,[1]characters!$2:$2,0)+1,FALSE)</f>
        <v>yellow</v>
      </c>
      <c r="K231" s="10" t="str">
        <f ca="1">VLOOKUP($F231,OFFSET([1]characters!$A$2,0,0,COUNTA([1]characters!$A:$A),MATCH("タイプ",[1]characters!$1:$1,0)-MATCH($F$1,[1]characters!$2:$2,0)+2),MATCH("タイプ",[1]characters!$1:$1,0)-MATCH($F$1,[1]characters!$2:$2,0)+2,FALSE)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1" s="10" t="str">
        <f ca="1">VLOOKUP($F231,OFFSET([1]characters!$A$2,0,0,COUNTA([1]characters!$A:$A),MATCH($L$1,[1]characters!$1:$1,0)-MATCH($F$1,[1]characters!$2:$2,0)+2),MATCH($L$1,[1]characters!$1:$1,0)-MATCH($F$1,[1]characters!$2:$2,0)+2,FALSE)</f>
        <v>マシン</v>
      </c>
      <c r="M231" s="6">
        <v>1</v>
      </c>
      <c r="N231" s="40">
        <f ca="1">VLOOKUP(D231,gacha_133_base!A:B,2,FALSE)</f>
        <v>228</v>
      </c>
      <c r="O231" s="28">
        <v>0</v>
      </c>
      <c r="P231" s="28">
        <v>0</v>
      </c>
      <c r="Q231" s="28">
        <v>0</v>
      </c>
      <c r="R231" s="28">
        <v>0</v>
      </c>
      <c r="S231" s="28">
        <v>1</v>
      </c>
    </row>
    <row r="232" spans="1:19" ht="21" customHeight="1">
      <c r="A232" s="8" t="str">
        <f t="shared" si="16"/>
        <v>02481</v>
      </c>
      <c r="B232" s="2">
        <f t="shared" si="15"/>
        <v>134</v>
      </c>
      <c r="C232" s="10" t="str">
        <f t="shared" ca="1" si="13"/>
        <v>0PremiumS4</v>
      </c>
      <c r="D232" s="10" t="str">
        <f t="shared" ca="1" si="14"/>
        <v>0PremiumS4</v>
      </c>
      <c r="E232" s="6">
        <v>0</v>
      </c>
      <c r="F232" s="19">
        <v>248</v>
      </c>
      <c r="G232" s="10" t="str">
        <f ca="1">VLOOKUP($F232,OFFSET([1]characters!$A$2,0,0,COUNTA([1]characters!$A:$A),MATCH(G$1,[1]characters!$2:$2,0)-MATCH($F$1,[1]characters!$2:$2,0)+1),MATCH(G$1,[1]characters!$2:$2,0)-MATCH($F$1,[1]characters!$2:$2,0)+1,FALSE)</f>
        <v>彩電の天使 ミカエル</v>
      </c>
      <c r="H232" s="10" t="str">
        <f ca="1">VLOOKUP($F232,OFFSET([1]characters!$A$2,0,0,COUNTA([1]characters!$A:$A),MATCH(H$1,[1]characters!$2:$2,0)-MATCH($F$1,[1]characters!$2:$2,0)+1),MATCH(H$1,[1]characters!$2:$2,0)-MATCH($F$1,[1]characters!$2:$2,0)+1,FALSE)</f>
        <v>PremiumS</v>
      </c>
      <c r="I232" s="10">
        <f ca="1">VLOOKUP($F232,OFFSET([1]characters!$A$2,0,0,COUNTA([1]characters!$A:$A),MATCH(I$1,[1]characters!$2:$2,0)-MATCH($F$1,[1]characters!$2:$2,0)+1),MATCH(I$1,[1]characters!$2:$2,0)-MATCH($F$1,[1]characters!$2:$2,0)+1,FALSE)</f>
        <v>4</v>
      </c>
      <c r="J232" s="10" t="str">
        <f ca="1">VLOOKUP($F232,OFFSET([1]characters!$A$2,0,0,COUNTA([1]characters!$A:$A),MATCH(J$1,[1]characters!$2:$2,0)-MATCH($F$1,[1]characters!$2:$2,0)+1),MATCH(J$1,[1]characters!$2:$2,0)-MATCH($F$1,[1]characters!$2:$2,0)+1,FALSE)</f>
        <v>yellow</v>
      </c>
      <c r="K232" s="10" t="str">
        <f ca="1">VLOOKUP($F232,OFFSET([1]characters!$A$2,0,0,COUNTA([1]characters!$A:$A),MATCH("タイプ",[1]characters!$1:$1,0)-MATCH($F$1,[1]characters!$2:$2,0)+2),MATCH("タイプ",[1]characters!$1:$1,0)-MATCH($F$1,[1]characters!$2:$2,0)+2,FALSE)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2" s="10" t="str">
        <f ca="1">VLOOKUP($F232,OFFSET([1]characters!$A$2,0,0,COUNTA([1]characters!$A:$A),MATCH($L$1,[1]characters!$1:$1,0)-MATCH($F$1,[1]characters!$2:$2,0)+2),MATCH($L$1,[1]characters!$1:$1,0)-MATCH($F$1,[1]characters!$2:$2,0)+2,FALSE)</f>
        <v>マシン</v>
      </c>
      <c r="M232" s="6">
        <v>1</v>
      </c>
      <c r="N232" s="40">
        <f ca="1">VLOOKUP(D232,gacha_133_base!A:B,2,FALSE)</f>
        <v>80</v>
      </c>
      <c r="O232" s="28">
        <v>0</v>
      </c>
      <c r="P232" s="28">
        <v>0</v>
      </c>
      <c r="Q232" s="28">
        <v>0</v>
      </c>
      <c r="R232" s="28">
        <v>0</v>
      </c>
      <c r="S232" s="28">
        <v>1</v>
      </c>
    </row>
    <row r="233" spans="1:19" s="26" customFormat="1" ht="21" customHeight="1" thickBot="1">
      <c r="A233" s="22" t="str">
        <f t="shared" si="16"/>
        <v>02491</v>
      </c>
      <c r="B233" s="2">
        <f t="shared" si="15"/>
        <v>134</v>
      </c>
      <c r="C233" s="10" t="str">
        <f t="shared" ca="1" si="13"/>
        <v>0PremiumS5</v>
      </c>
      <c r="D233" s="10" t="str">
        <f t="shared" ca="1" si="14"/>
        <v>0PremiumS5</v>
      </c>
      <c r="E233" s="6">
        <v>0</v>
      </c>
      <c r="F233" s="19">
        <v>249</v>
      </c>
      <c r="G233" s="10" t="str">
        <f ca="1">VLOOKUP($F233,OFFSET([1]characters!$A$2,0,0,COUNTA([1]characters!$A:$A),MATCH(G$1,[1]characters!$2:$2,0)-MATCH($F$1,[1]characters!$2:$2,0)+1),MATCH(G$1,[1]characters!$2:$2,0)-MATCH($F$1,[1]characters!$2:$2,0)+1,FALSE)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233" s="10" t="str">
        <f ca="1">VLOOKUP($F233,OFFSET([1]characters!$A$2,0,0,COUNTA([1]characters!$A:$A),MATCH(H$1,[1]characters!$2:$2,0)-MATCH($F$1,[1]characters!$2:$2,0)+1),MATCH(H$1,[1]characters!$2:$2,0)-MATCH($F$1,[1]characters!$2:$2,0)+1,FALSE)</f>
        <v>PremiumS</v>
      </c>
      <c r="I233" s="10">
        <f ca="1">VLOOKUP($F233,OFFSET([1]characters!$A$2,0,0,COUNTA([1]characters!$A:$A),MATCH(I$1,[1]characters!$2:$2,0)-MATCH($F$1,[1]characters!$2:$2,0)+1),MATCH(I$1,[1]characters!$2:$2,0)-MATCH($F$1,[1]characters!$2:$2,0)+1,FALSE)</f>
        <v>5</v>
      </c>
      <c r="J233" s="10" t="str">
        <f ca="1">VLOOKUP($F233,OFFSET([1]characters!$A$2,0,0,COUNTA([1]characters!$A:$A),MATCH(J$1,[1]characters!$2:$2,0)-MATCH($F$1,[1]characters!$2:$2,0)+1),MATCH(J$1,[1]characters!$2:$2,0)-MATCH($F$1,[1]characters!$2:$2,0)+1,FALSE)</f>
        <v>yellow</v>
      </c>
      <c r="K233" s="10" t="str">
        <f ca="1">VLOOKUP($F233,OFFSET([1]characters!$A$2,0,0,COUNTA([1]characters!$A:$A),MATCH("タイプ",[1]characters!$1:$1,0)-MATCH($F$1,[1]characters!$2:$2,0)+2),MATCH("タイプ",[1]characters!$1:$1,0)-MATCH($F$1,[1]characters!$2:$2,0)+2,FALSE)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3" s="10" t="str">
        <f ca="1">VLOOKUP($F233,OFFSET([1]characters!$A$2,0,0,COUNTA([1]characters!$A:$A),MATCH($L$1,[1]characters!$1:$1,0)-MATCH($F$1,[1]characters!$2:$2,0)+2),MATCH($L$1,[1]characters!$1:$1,0)-MATCH($F$1,[1]characters!$2:$2,0)+2,FALSE)</f>
        <v>マシン</v>
      </c>
      <c r="M233" s="6">
        <v>1</v>
      </c>
      <c r="N233" s="40">
        <f ca="1">VLOOKUP(D233,gacha_133_base!A:B,2,FALSE)</f>
        <v>13</v>
      </c>
      <c r="O233" s="28">
        <v>0</v>
      </c>
      <c r="P233" s="28">
        <v>0</v>
      </c>
      <c r="Q233" s="28">
        <v>0</v>
      </c>
      <c r="R233" s="28">
        <v>0</v>
      </c>
      <c r="S233" s="28">
        <v>1</v>
      </c>
    </row>
    <row r="234" spans="1:19" s="26" customFormat="1" ht="21" customHeight="1" thickBot="1">
      <c r="A234" s="22" t="str">
        <f t="shared" si="16"/>
        <v>02501</v>
      </c>
      <c r="B234" s="2">
        <f t="shared" si="15"/>
        <v>134</v>
      </c>
      <c r="C234" s="10" t="str">
        <f t="shared" ca="1" si="13"/>
        <v>0PremiumS3</v>
      </c>
      <c r="D234" s="10" t="str">
        <f t="shared" ca="1" si="14"/>
        <v>0PremiumS3</v>
      </c>
      <c r="E234" s="6">
        <v>0</v>
      </c>
      <c r="F234" s="7">
        <v>250</v>
      </c>
      <c r="G234" s="10" t="str">
        <f ca="1">VLOOKUP($F234,OFFSET([1]characters!$A$2,0,0,COUNTA([1]characters!$A:$A),MATCH(G$1,[1]characters!$2:$2,0)-MATCH($F$1,[1]characters!$2:$2,0)+1),MATCH(G$1,[1]characters!$2:$2,0)-MATCH($F$1,[1]characters!$2:$2,0)+1,FALSE)</f>
        <v>マンモン</v>
      </c>
      <c r="H234" s="10" t="str">
        <f ca="1">VLOOKUP($F234,OFFSET([1]characters!$A$2,0,0,COUNTA([1]characters!$A:$A),MATCH(H$1,[1]characters!$2:$2,0)-MATCH($F$1,[1]characters!$2:$2,0)+1),MATCH(H$1,[1]characters!$2:$2,0)-MATCH($F$1,[1]characters!$2:$2,0)+1,FALSE)</f>
        <v>PremiumS</v>
      </c>
      <c r="I234" s="10">
        <f ca="1">VLOOKUP($F234,OFFSET([1]characters!$A$2,0,0,COUNTA([1]characters!$A:$A),MATCH(I$1,[1]characters!$2:$2,0)-MATCH($F$1,[1]characters!$2:$2,0)+1),MATCH(I$1,[1]characters!$2:$2,0)-MATCH($F$1,[1]characters!$2:$2,0)+1,FALSE)</f>
        <v>3</v>
      </c>
      <c r="J234" s="10" t="str">
        <f ca="1">VLOOKUP($F234,OFFSET([1]characters!$A$2,0,0,COUNTA([1]characters!$A:$A),MATCH(J$1,[1]characters!$2:$2,0)-MATCH($F$1,[1]characters!$2:$2,0)+1),MATCH(J$1,[1]characters!$2:$2,0)-MATCH($F$1,[1]characters!$2:$2,0)+1,FALSE)</f>
        <v>red</v>
      </c>
      <c r="K234" s="10" t="str">
        <f ca="1">VLOOKUP($F234,OFFSET([1]characters!$A$2,0,0,COUNTA([1]characters!$A:$A),MATCH("タイプ",[1]characters!$1:$1,0)-MATCH($F$1,[1]characters!$2:$2,0)+2),MATCH("タイプ",[1]characters!$1:$1,0)-MATCH($F$1,[1]characters!$2:$2,0)+2,FALSE)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4" s="10" t="str">
        <f ca="1">VLOOKUP($F234,OFFSET([1]characters!$A$2,0,0,COUNTA([1]characters!$A:$A),MATCH($L$1,[1]characters!$1:$1,0)-MATCH($F$1,[1]characters!$2:$2,0)+2),MATCH($L$1,[1]characters!$1:$1,0)-MATCH($F$1,[1]characters!$2:$2,0)+2,FALSE)</f>
        <v>ゴッド</v>
      </c>
      <c r="M234" s="6">
        <v>1</v>
      </c>
      <c r="N234" s="40">
        <f ca="1">VLOOKUP(D234,gacha_133_base!A:B,2,FALSE)</f>
        <v>228</v>
      </c>
      <c r="O234" s="28">
        <v>0</v>
      </c>
      <c r="P234" s="28">
        <v>0</v>
      </c>
      <c r="Q234" s="28">
        <v>0</v>
      </c>
      <c r="R234" s="28">
        <v>0</v>
      </c>
      <c r="S234" s="28">
        <v>1</v>
      </c>
    </row>
    <row r="235" spans="1:19" ht="21" customHeight="1" thickBot="1">
      <c r="A235" s="22" t="str">
        <f t="shared" si="16"/>
        <v>02511</v>
      </c>
      <c r="B235" s="2">
        <f t="shared" si="15"/>
        <v>134</v>
      </c>
      <c r="C235" s="10" t="str">
        <f t="shared" ca="1" si="13"/>
        <v>0PremiumS4</v>
      </c>
      <c r="D235" s="10" t="str">
        <f t="shared" ca="1" si="14"/>
        <v>0PremiumS4</v>
      </c>
      <c r="E235" s="6">
        <v>0</v>
      </c>
      <c r="F235" s="7">
        <v>251</v>
      </c>
      <c r="G235" s="10" t="str">
        <f ca="1">VLOOKUP($F235,OFFSET([1]characters!$A$2,0,0,COUNTA([1]characters!$A:$A),MATCH(G$1,[1]characters!$2:$2,0)-MATCH($F$1,[1]characters!$2:$2,0)+1),MATCH(G$1,[1]characters!$2:$2,0)-MATCH($F$1,[1]characters!$2:$2,0)+1,FALSE)</f>
        <v>強欲 マンモン</v>
      </c>
      <c r="H235" s="10" t="str">
        <f ca="1">VLOOKUP($F235,OFFSET([1]characters!$A$2,0,0,COUNTA([1]characters!$A:$A),MATCH(H$1,[1]characters!$2:$2,0)-MATCH($F$1,[1]characters!$2:$2,0)+1),MATCH(H$1,[1]characters!$2:$2,0)-MATCH($F$1,[1]characters!$2:$2,0)+1,FALSE)</f>
        <v>PremiumS</v>
      </c>
      <c r="I235" s="10">
        <f ca="1">VLOOKUP($F235,OFFSET([1]characters!$A$2,0,0,COUNTA([1]characters!$A:$A),MATCH(I$1,[1]characters!$2:$2,0)-MATCH($F$1,[1]characters!$2:$2,0)+1),MATCH(I$1,[1]characters!$2:$2,0)-MATCH($F$1,[1]characters!$2:$2,0)+1,FALSE)</f>
        <v>4</v>
      </c>
      <c r="J235" s="10" t="str">
        <f ca="1">VLOOKUP($F235,OFFSET([1]characters!$A$2,0,0,COUNTA([1]characters!$A:$A),MATCH(J$1,[1]characters!$2:$2,0)-MATCH($F$1,[1]characters!$2:$2,0)+1),MATCH(J$1,[1]characters!$2:$2,0)-MATCH($F$1,[1]characters!$2:$2,0)+1,FALSE)</f>
        <v>red</v>
      </c>
      <c r="K235" s="10" t="str">
        <f ca="1">VLOOKUP($F235,OFFSET([1]characters!$A$2,0,0,COUNTA([1]characters!$A:$A),MATCH("タイプ",[1]characters!$1:$1,0)-MATCH($F$1,[1]characters!$2:$2,0)+2),MATCH("タイプ",[1]characters!$1:$1,0)-MATCH($F$1,[1]characters!$2:$2,0)+2,FALSE)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5" s="10" t="str">
        <f ca="1">VLOOKUP($F235,OFFSET([1]characters!$A$2,0,0,COUNTA([1]characters!$A:$A),MATCH($L$1,[1]characters!$1:$1,0)-MATCH($F$1,[1]characters!$2:$2,0)+2),MATCH($L$1,[1]characters!$1:$1,0)-MATCH($F$1,[1]characters!$2:$2,0)+2,FALSE)</f>
        <v>ゴッド</v>
      </c>
      <c r="M235" s="6">
        <v>1</v>
      </c>
      <c r="N235" s="40">
        <f ca="1">VLOOKUP(D235,gacha_133_base!A:B,2,FALSE)</f>
        <v>80</v>
      </c>
      <c r="O235" s="28">
        <v>0</v>
      </c>
      <c r="P235" s="28">
        <v>0</v>
      </c>
      <c r="Q235" s="28">
        <v>0</v>
      </c>
      <c r="R235" s="28">
        <v>0</v>
      </c>
      <c r="S235" s="28">
        <v>1</v>
      </c>
    </row>
    <row r="236" spans="1:19" ht="21" customHeight="1" thickBot="1">
      <c r="A236" s="22" t="str">
        <f t="shared" si="16"/>
        <v>02521</v>
      </c>
      <c r="B236" s="2">
        <f t="shared" si="15"/>
        <v>134</v>
      </c>
      <c r="C236" s="10" t="str">
        <f t="shared" ca="1" si="13"/>
        <v>0PremiumS5</v>
      </c>
      <c r="D236" s="10" t="str">
        <f t="shared" ca="1" si="14"/>
        <v>0PremiumS5</v>
      </c>
      <c r="E236" s="6">
        <v>0</v>
      </c>
      <c r="F236" s="7">
        <v>252</v>
      </c>
      <c r="G236" s="10" t="str">
        <f ca="1">VLOOKUP($F236,OFFSET([1]characters!$A$2,0,0,COUNTA([1]characters!$A:$A),MATCH(G$1,[1]characters!$2:$2,0)-MATCH($F$1,[1]characters!$2:$2,0)+1),MATCH(G$1,[1]characters!$2:$2,0)-MATCH($F$1,[1]characters!$2:$2,0)+1,FALSE)</f>
        <v>強欲の沸騰 マンモン</v>
      </c>
      <c r="H236" s="10" t="str">
        <f ca="1">VLOOKUP($F236,OFFSET([1]characters!$A$2,0,0,COUNTA([1]characters!$A:$A),MATCH(H$1,[1]characters!$2:$2,0)-MATCH($F$1,[1]characters!$2:$2,0)+1),MATCH(H$1,[1]characters!$2:$2,0)-MATCH($F$1,[1]characters!$2:$2,0)+1,FALSE)</f>
        <v>PremiumS</v>
      </c>
      <c r="I236" s="10">
        <f ca="1">VLOOKUP($F236,OFFSET([1]characters!$A$2,0,0,COUNTA([1]characters!$A:$A),MATCH(I$1,[1]characters!$2:$2,0)-MATCH($F$1,[1]characters!$2:$2,0)+1),MATCH(I$1,[1]characters!$2:$2,0)-MATCH($F$1,[1]characters!$2:$2,0)+1,FALSE)</f>
        <v>5</v>
      </c>
      <c r="J236" s="10" t="str">
        <f ca="1">VLOOKUP($F236,OFFSET([1]characters!$A$2,0,0,COUNTA([1]characters!$A:$A),MATCH(J$1,[1]characters!$2:$2,0)-MATCH($F$1,[1]characters!$2:$2,0)+1),MATCH(J$1,[1]characters!$2:$2,0)-MATCH($F$1,[1]characters!$2:$2,0)+1,FALSE)</f>
        <v>red</v>
      </c>
      <c r="K236" s="10" t="str">
        <f ca="1">VLOOKUP($F236,OFFSET([1]characters!$A$2,0,0,COUNTA([1]characters!$A:$A),MATCH("タイプ",[1]characters!$1:$1,0)-MATCH($F$1,[1]characters!$2:$2,0)+2),MATCH("タイプ",[1]characters!$1:$1,0)-MATCH($F$1,[1]characters!$2:$2,0)+2,FALSE)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6" s="10" t="str">
        <f ca="1">VLOOKUP($F236,OFFSET([1]characters!$A$2,0,0,COUNTA([1]characters!$A:$A),MATCH($L$1,[1]characters!$1:$1,0)-MATCH($F$1,[1]characters!$2:$2,0)+2),MATCH($L$1,[1]characters!$1:$1,0)-MATCH($F$1,[1]characters!$2:$2,0)+2,FALSE)</f>
        <v>ゴッド</v>
      </c>
      <c r="M236" s="6">
        <v>1</v>
      </c>
      <c r="N236" s="40">
        <f ca="1">VLOOKUP(D236,gacha_133_base!A:B,2,FALSE)</f>
        <v>13</v>
      </c>
      <c r="O236" s="28">
        <v>0</v>
      </c>
      <c r="P236" s="28">
        <v>0</v>
      </c>
      <c r="Q236" s="28">
        <v>0</v>
      </c>
      <c r="R236" s="28">
        <v>0</v>
      </c>
      <c r="S236" s="28">
        <v>1</v>
      </c>
    </row>
    <row r="237" spans="1:19" ht="21" customHeight="1" thickBot="1">
      <c r="A237" s="22" t="str">
        <f t="shared" si="16"/>
        <v>02531</v>
      </c>
      <c r="B237" s="2">
        <f t="shared" si="15"/>
        <v>134</v>
      </c>
      <c r="C237" s="10" t="str">
        <f t="shared" ca="1" si="13"/>
        <v>0PremiumS3</v>
      </c>
      <c r="D237" s="10" t="str">
        <f t="shared" ca="1" si="14"/>
        <v>0PremiumS3</v>
      </c>
      <c r="E237" s="6">
        <v>0</v>
      </c>
      <c r="F237" s="7">
        <v>253</v>
      </c>
      <c r="G237" s="10" t="str">
        <f ca="1">VLOOKUP($F237,OFFSET([1]characters!$A$2,0,0,COUNTA([1]characters!$A:$A),MATCH(G$1,[1]characters!$2:$2,0)-MATCH($F$1,[1]characters!$2:$2,0)+1),MATCH(G$1,[1]characters!$2:$2,0)-MATCH($F$1,[1]characters!$2:$2,0)+1,FALSE)</f>
        <v>ベルフェゴール</v>
      </c>
      <c r="H237" s="10" t="str">
        <f ca="1">VLOOKUP($F237,OFFSET([1]characters!$A$2,0,0,COUNTA([1]characters!$A:$A),MATCH(H$1,[1]characters!$2:$2,0)-MATCH($F$1,[1]characters!$2:$2,0)+1),MATCH(H$1,[1]characters!$2:$2,0)-MATCH($F$1,[1]characters!$2:$2,0)+1,FALSE)</f>
        <v>PremiumS</v>
      </c>
      <c r="I237" s="10">
        <f ca="1">VLOOKUP($F237,OFFSET([1]characters!$A$2,0,0,COUNTA([1]characters!$A:$A),MATCH(I$1,[1]characters!$2:$2,0)-MATCH($F$1,[1]characters!$2:$2,0)+1),MATCH(I$1,[1]characters!$2:$2,0)-MATCH($F$1,[1]characters!$2:$2,0)+1,FALSE)</f>
        <v>3</v>
      </c>
      <c r="J237" s="10" t="str">
        <f ca="1">VLOOKUP($F237,OFFSET([1]characters!$A$2,0,0,COUNTA([1]characters!$A:$A),MATCH(J$1,[1]characters!$2:$2,0)-MATCH($F$1,[1]characters!$2:$2,0)+1),MATCH(J$1,[1]characters!$2:$2,0)-MATCH($F$1,[1]characters!$2:$2,0)+1,FALSE)</f>
        <v>green</v>
      </c>
      <c r="K237" s="10" t="str">
        <f ca="1">VLOOKUP($F237,OFFSET([1]characters!$A$2,0,0,COUNTA([1]characters!$A:$A),MATCH("タイプ",[1]characters!$1:$1,0)-MATCH($F$1,[1]characters!$2:$2,0)+2),MATCH("タイプ",[1]characters!$1:$1,0)-MATCH($F$1,[1]characters!$2:$2,0)+2,FALSE)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7" s="10" t="str">
        <f ca="1">VLOOKUP($F237,OFFSET([1]characters!$A$2,0,0,COUNTA([1]characters!$A:$A),MATCH($L$1,[1]characters!$1:$1,0)-MATCH($F$1,[1]characters!$2:$2,0)+2),MATCH($L$1,[1]characters!$1:$1,0)-MATCH($F$1,[1]characters!$2:$2,0)+2,FALSE)</f>
        <v>ゴッド</v>
      </c>
      <c r="M237" s="6">
        <v>1</v>
      </c>
      <c r="N237" s="40">
        <f ca="1">VLOOKUP(D237,gacha_133_base!A:B,2,FALSE)</f>
        <v>228</v>
      </c>
      <c r="O237" s="28">
        <v>0</v>
      </c>
      <c r="P237" s="28">
        <v>0</v>
      </c>
      <c r="Q237" s="28">
        <v>0</v>
      </c>
      <c r="R237" s="28">
        <v>0</v>
      </c>
      <c r="S237" s="28">
        <v>1</v>
      </c>
    </row>
    <row r="238" spans="1:19" ht="21" customHeight="1" thickBot="1">
      <c r="A238" s="22" t="str">
        <f t="shared" si="16"/>
        <v>02541</v>
      </c>
      <c r="B238" s="2">
        <f t="shared" si="15"/>
        <v>134</v>
      </c>
      <c r="C238" s="10" t="str">
        <f t="shared" ca="1" si="13"/>
        <v>0PremiumS4</v>
      </c>
      <c r="D238" s="10" t="str">
        <f t="shared" ca="1" si="14"/>
        <v>0PremiumS4</v>
      </c>
      <c r="E238" s="6">
        <v>0</v>
      </c>
      <c r="F238" s="7">
        <v>254</v>
      </c>
      <c r="G238" s="10" t="str">
        <f ca="1">VLOOKUP($F238,OFFSET([1]characters!$A$2,0,0,COUNTA([1]characters!$A:$A),MATCH(G$1,[1]characters!$2:$2,0)-MATCH($F$1,[1]characters!$2:$2,0)+1),MATCH(G$1,[1]characters!$2:$2,0)-MATCH($F$1,[1]characters!$2:$2,0)+1,FALSE)</f>
        <v>怠惰 ベルフェゴール</v>
      </c>
      <c r="H238" s="10" t="str">
        <f ca="1">VLOOKUP($F238,OFFSET([1]characters!$A$2,0,0,COUNTA([1]characters!$A:$A),MATCH(H$1,[1]characters!$2:$2,0)-MATCH($F$1,[1]characters!$2:$2,0)+1),MATCH(H$1,[1]characters!$2:$2,0)-MATCH($F$1,[1]characters!$2:$2,0)+1,FALSE)</f>
        <v>PremiumS</v>
      </c>
      <c r="I238" s="10">
        <f ca="1">VLOOKUP($F238,OFFSET([1]characters!$A$2,0,0,COUNTA([1]characters!$A:$A),MATCH(I$1,[1]characters!$2:$2,0)-MATCH($F$1,[1]characters!$2:$2,0)+1),MATCH(I$1,[1]characters!$2:$2,0)-MATCH($F$1,[1]characters!$2:$2,0)+1,FALSE)</f>
        <v>4</v>
      </c>
      <c r="J238" s="10" t="str">
        <f ca="1">VLOOKUP($F238,OFFSET([1]characters!$A$2,0,0,COUNTA([1]characters!$A:$A),MATCH(J$1,[1]characters!$2:$2,0)-MATCH($F$1,[1]characters!$2:$2,0)+1),MATCH(J$1,[1]characters!$2:$2,0)-MATCH($F$1,[1]characters!$2:$2,0)+1,FALSE)</f>
        <v>green</v>
      </c>
      <c r="K238" s="10" t="str">
        <f ca="1">VLOOKUP($F238,OFFSET([1]characters!$A$2,0,0,COUNTA([1]characters!$A:$A),MATCH("タイプ",[1]characters!$1:$1,0)-MATCH($F$1,[1]characters!$2:$2,0)+2),MATCH("タイプ",[1]characters!$1:$1,0)-MATCH($F$1,[1]characters!$2:$2,0)+2,FALSE)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8" s="10" t="str">
        <f ca="1">VLOOKUP($F238,OFFSET([1]characters!$A$2,0,0,COUNTA([1]characters!$A:$A),MATCH($L$1,[1]characters!$1:$1,0)-MATCH($F$1,[1]characters!$2:$2,0)+2),MATCH($L$1,[1]characters!$1:$1,0)-MATCH($F$1,[1]characters!$2:$2,0)+2,FALSE)</f>
        <v>ゴッド</v>
      </c>
      <c r="M238" s="6">
        <v>1</v>
      </c>
      <c r="N238" s="40">
        <f ca="1">VLOOKUP(D238,gacha_133_base!A:B,2,FALSE)</f>
        <v>80</v>
      </c>
      <c r="O238" s="28">
        <v>0</v>
      </c>
      <c r="P238" s="28">
        <v>0</v>
      </c>
      <c r="Q238" s="28">
        <v>0</v>
      </c>
      <c r="R238" s="28">
        <v>0</v>
      </c>
      <c r="S238" s="28">
        <v>1</v>
      </c>
    </row>
    <row r="239" spans="1:19" ht="21" customHeight="1" thickBot="1">
      <c r="A239" s="22" t="str">
        <f t="shared" si="16"/>
        <v>02551</v>
      </c>
      <c r="B239" s="2">
        <f t="shared" si="15"/>
        <v>134</v>
      </c>
      <c r="C239" s="10" t="str">
        <f t="shared" ca="1" si="13"/>
        <v>0PremiumS5</v>
      </c>
      <c r="D239" s="10" t="str">
        <f t="shared" ca="1" si="14"/>
        <v>0PremiumS5</v>
      </c>
      <c r="E239" s="6">
        <v>0</v>
      </c>
      <c r="F239" s="7">
        <v>255</v>
      </c>
      <c r="G239" s="10" t="str">
        <f ca="1">VLOOKUP($F239,OFFSET([1]characters!$A$2,0,0,COUNTA([1]characters!$A:$A),MATCH(G$1,[1]characters!$2:$2,0)-MATCH($F$1,[1]characters!$2:$2,0)+1),MATCH(G$1,[1]characters!$2:$2,0)-MATCH($F$1,[1]characters!$2:$2,0)+1,FALSE)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239" s="10" t="str">
        <f ca="1">VLOOKUP($F239,OFFSET([1]characters!$A$2,0,0,COUNTA([1]characters!$A:$A),MATCH(H$1,[1]characters!$2:$2,0)-MATCH($F$1,[1]characters!$2:$2,0)+1),MATCH(H$1,[1]characters!$2:$2,0)-MATCH($F$1,[1]characters!$2:$2,0)+1,FALSE)</f>
        <v>PremiumS</v>
      </c>
      <c r="I239" s="10">
        <f ca="1">VLOOKUP($F239,OFFSET([1]characters!$A$2,0,0,COUNTA([1]characters!$A:$A),MATCH(I$1,[1]characters!$2:$2,0)-MATCH($F$1,[1]characters!$2:$2,0)+1),MATCH(I$1,[1]characters!$2:$2,0)-MATCH($F$1,[1]characters!$2:$2,0)+1,FALSE)</f>
        <v>5</v>
      </c>
      <c r="J239" s="10" t="str">
        <f ca="1">VLOOKUP($F239,OFFSET([1]characters!$A$2,0,0,COUNTA([1]characters!$A:$A),MATCH(J$1,[1]characters!$2:$2,0)-MATCH($F$1,[1]characters!$2:$2,0)+1),MATCH(J$1,[1]characters!$2:$2,0)-MATCH($F$1,[1]characters!$2:$2,0)+1,FALSE)</f>
        <v>green</v>
      </c>
      <c r="K239" s="10" t="str">
        <f ca="1">VLOOKUP($F239,OFFSET([1]characters!$A$2,0,0,COUNTA([1]characters!$A:$A),MATCH("タイプ",[1]characters!$1:$1,0)-MATCH($F$1,[1]characters!$2:$2,0)+2),MATCH("タイプ",[1]characters!$1:$1,0)-MATCH($F$1,[1]characters!$2:$2,0)+2,FALSE)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9" s="10" t="str">
        <f ca="1">VLOOKUP($F239,OFFSET([1]characters!$A$2,0,0,COUNTA([1]characters!$A:$A),MATCH($L$1,[1]characters!$1:$1,0)-MATCH($F$1,[1]characters!$2:$2,0)+2),MATCH($L$1,[1]characters!$1:$1,0)-MATCH($F$1,[1]characters!$2:$2,0)+2,FALSE)</f>
        <v>ゴッド</v>
      </c>
      <c r="M239" s="6">
        <v>1</v>
      </c>
      <c r="N239" s="40">
        <f ca="1">VLOOKUP(D239,gacha_133_base!A:B,2,FALSE)</f>
        <v>13</v>
      </c>
      <c r="O239" s="28">
        <v>0</v>
      </c>
      <c r="P239" s="28">
        <v>0</v>
      </c>
      <c r="Q239" s="28">
        <v>0</v>
      </c>
      <c r="R239" s="28">
        <v>0</v>
      </c>
      <c r="S239" s="28">
        <v>1</v>
      </c>
    </row>
    <row r="240" spans="1:19" ht="21" customHeight="1" thickBot="1">
      <c r="A240" s="22" t="str">
        <f t="shared" si="16"/>
        <v>02561</v>
      </c>
      <c r="B240" s="2">
        <f t="shared" si="15"/>
        <v>134</v>
      </c>
      <c r="C240" s="10" t="str">
        <f t="shared" ca="1" si="13"/>
        <v>0PremiumS3</v>
      </c>
      <c r="D240" s="10" t="str">
        <f t="shared" ca="1" si="14"/>
        <v>0PremiumS3</v>
      </c>
      <c r="E240" s="6">
        <v>0</v>
      </c>
      <c r="F240" s="7">
        <v>256</v>
      </c>
      <c r="G240" s="10" t="str">
        <f ca="1">VLOOKUP($F240,OFFSET([1]characters!$A$2,0,0,COUNTA([1]characters!$A:$A),MATCH(G$1,[1]characters!$2:$2,0)-MATCH($F$1,[1]characters!$2:$2,0)+1),MATCH(G$1,[1]characters!$2:$2,0)-MATCH($F$1,[1]characters!$2:$2,0)+1,FALSE)</f>
        <v>アスモデウス</v>
      </c>
      <c r="H240" s="10" t="str">
        <f ca="1">VLOOKUP($F240,OFFSET([1]characters!$A$2,0,0,COUNTA([1]characters!$A:$A),MATCH(H$1,[1]characters!$2:$2,0)-MATCH($F$1,[1]characters!$2:$2,0)+1),MATCH(H$1,[1]characters!$2:$2,0)-MATCH($F$1,[1]characters!$2:$2,0)+1,FALSE)</f>
        <v>PremiumS</v>
      </c>
      <c r="I240" s="10">
        <f ca="1">VLOOKUP($F240,OFFSET([1]characters!$A$2,0,0,COUNTA([1]characters!$A:$A),MATCH(I$1,[1]characters!$2:$2,0)-MATCH($F$1,[1]characters!$2:$2,0)+1),MATCH(I$1,[1]characters!$2:$2,0)-MATCH($F$1,[1]characters!$2:$2,0)+1,FALSE)</f>
        <v>3</v>
      </c>
      <c r="J240" s="10" t="str">
        <f ca="1">VLOOKUP($F240,OFFSET([1]characters!$A$2,0,0,COUNTA([1]characters!$A:$A),MATCH(J$1,[1]characters!$2:$2,0)-MATCH($F$1,[1]characters!$2:$2,0)+1),MATCH(J$1,[1]characters!$2:$2,0)-MATCH($F$1,[1]characters!$2:$2,0)+1,FALSE)</f>
        <v>blue</v>
      </c>
      <c r="K240" s="10" t="str">
        <f ca="1">VLOOKUP($F240,OFFSET([1]characters!$A$2,0,0,COUNTA([1]characters!$A:$A),MATCH("タイプ",[1]characters!$1:$1,0)-MATCH($F$1,[1]characters!$2:$2,0)+2),MATCH("タイプ",[1]characters!$1:$1,0)-MATCH($F$1,[1]characters!$2:$2,0)+2,FALSE)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0" s="10" t="str">
        <f ca="1">VLOOKUP($F240,OFFSET([1]characters!$A$2,0,0,COUNTA([1]characters!$A:$A),MATCH($L$1,[1]characters!$1:$1,0)-MATCH($F$1,[1]characters!$2:$2,0)+2),MATCH($L$1,[1]characters!$1:$1,0)-MATCH($F$1,[1]characters!$2:$2,0)+2,FALSE)</f>
        <v>ゴッド</v>
      </c>
      <c r="M240" s="6">
        <v>1</v>
      </c>
      <c r="N240" s="40">
        <f ca="1">VLOOKUP(D240,gacha_133_base!A:B,2,FALSE)</f>
        <v>228</v>
      </c>
      <c r="O240" s="28">
        <v>0</v>
      </c>
      <c r="P240" s="28">
        <v>0</v>
      </c>
      <c r="Q240" s="28">
        <v>0</v>
      </c>
      <c r="R240" s="28">
        <v>0</v>
      </c>
      <c r="S240" s="28">
        <v>1</v>
      </c>
    </row>
    <row r="241" spans="1:19" ht="21" customHeight="1" thickBot="1">
      <c r="A241" s="22" t="str">
        <f t="shared" si="16"/>
        <v>02571</v>
      </c>
      <c r="B241" s="2">
        <f t="shared" si="15"/>
        <v>134</v>
      </c>
      <c r="C241" s="10" t="str">
        <f t="shared" ca="1" si="13"/>
        <v>0PremiumS4</v>
      </c>
      <c r="D241" s="10" t="str">
        <f t="shared" ca="1" si="14"/>
        <v>0PremiumS4</v>
      </c>
      <c r="E241" s="6">
        <v>0</v>
      </c>
      <c r="F241" s="7">
        <v>257</v>
      </c>
      <c r="G241" s="10" t="str">
        <f ca="1">VLOOKUP($F241,OFFSET([1]characters!$A$2,0,0,COUNTA([1]characters!$A:$A),MATCH(G$1,[1]characters!$2:$2,0)-MATCH($F$1,[1]characters!$2:$2,0)+1),MATCH(G$1,[1]characters!$2:$2,0)-MATCH($F$1,[1]characters!$2:$2,0)+1,FALSE)</f>
        <v>色欲 アスモデウス</v>
      </c>
      <c r="H241" s="10" t="str">
        <f ca="1">VLOOKUP($F241,OFFSET([1]characters!$A$2,0,0,COUNTA([1]characters!$A:$A),MATCH(H$1,[1]characters!$2:$2,0)-MATCH($F$1,[1]characters!$2:$2,0)+1),MATCH(H$1,[1]characters!$2:$2,0)-MATCH($F$1,[1]characters!$2:$2,0)+1,FALSE)</f>
        <v>PremiumS</v>
      </c>
      <c r="I241" s="10">
        <f ca="1">VLOOKUP($F241,OFFSET([1]characters!$A$2,0,0,COUNTA([1]characters!$A:$A),MATCH(I$1,[1]characters!$2:$2,0)-MATCH($F$1,[1]characters!$2:$2,0)+1),MATCH(I$1,[1]characters!$2:$2,0)-MATCH($F$1,[1]characters!$2:$2,0)+1,FALSE)</f>
        <v>4</v>
      </c>
      <c r="J241" s="10" t="str">
        <f ca="1">VLOOKUP($F241,OFFSET([1]characters!$A$2,0,0,COUNTA([1]characters!$A:$A),MATCH(J$1,[1]characters!$2:$2,0)-MATCH($F$1,[1]characters!$2:$2,0)+1),MATCH(J$1,[1]characters!$2:$2,0)-MATCH($F$1,[1]characters!$2:$2,0)+1,FALSE)</f>
        <v>blue</v>
      </c>
      <c r="K241" s="10" t="str">
        <f ca="1">VLOOKUP($F241,OFFSET([1]characters!$A$2,0,0,COUNTA([1]characters!$A:$A),MATCH("タイプ",[1]characters!$1:$1,0)-MATCH($F$1,[1]characters!$2:$2,0)+2),MATCH("タイプ",[1]characters!$1:$1,0)-MATCH($F$1,[1]characters!$2:$2,0)+2,FALSE)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1" s="10" t="str">
        <f ca="1">VLOOKUP($F241,OFFSET([1]characters!$A$2,0,0,COUNTA([1]characters!$A:$A),MATCH($L$1,[1]characters!$1:$1,0)-MATCH($F$1,[1]characters!$2:$2,0)+2),MATCH($L$1,[1]characters!$1:$1,0)-MATCH($F$1,[1]characters!$2:$2,0)+2,FALSE)</f>
        <v>ゴッド</v>
      </c>
      <c r="M241" s="6">
        <v>1</v>
      </c>
      <c r="N241" s="40">
        <f ca="1">VLOOKUP(D241,gacha_133_base!A:B,2,FALSE)</f>
        <v>80</v>
      </c>
      <c r="O241" s="28">
        <v>0</v>
      </c>
      <c r="P241" s="28">
        <v>0</v>
      </c>
      <c r="Q241" s="28">
        <v>0</v>
      </c>
      <c r="R241" s="28">
        <v>0</v>
      </c>
      <c r="S241" s="28">
        <v>1</v>
      </c>
    </row>
    <row r="242" spans="1:19" ht="21" customHeight="1" thickBot="1">
      <c r="A242" s="22" t="str">
        <f t="shared" si="16"/>
        <v>02581</v>
      </c>
      <c r="B242" s="2">
        <f t="shared" si="15"/>
        <v>134</v>
      </c>
      <c r="C242" s="10" t="str">
        <f t="shared" ca="1" si="13"/>
        <v>0PremiumS5</v>
      </c>
      <c r="D242" s="10" t="str">
        <f t="shared" ca="1" si="14"/>
        <v>0PremiumS5</v>
      </c>
      <c r="E242" s="6">
        <v>0</v>
      </c>
      <c r="F242" s="7">
        <v>258</v>
      </c>
      <c r="G242" s="10" t="str">
        <f ca="1">VLOOKUP($F242,OFFSET([1]characters!$A$2,0,0,COUNTA([1]characters!$A:$A),MATCH(G$1,[1]characters!$2:$2,0)-MATCH($F$1,[1]characters!$2:$2,0)+1),MATCH(G$1,[1]characters!$2:$2,0)-MATCH($F$1,[1]characters!$2:$2,0)+1,FALSE)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242" s="10" t="str">
        <f ca="1">VLOOKUP($F242,OFFSET([1]characters!$A$2,0,0,COUNTA([1]characters!$A:$A),MATCH(H$1,[1]characters!$2:$2,0)-MATCH($F$1,[1]characters!$2:$2,0)+1),MATCH(H$1,[1]characters!$2:$2,0)-MATCH($F$1,[1]characters!$2:$2,0)+1,FALSE)</f>
        <v>PremiumS</v>
      </c>
      <c r="I242" s="10">
        <f ca="1">VLOOKUP($F242,OFFSET([1]characters!$A$2,0,0,COUNTA([1]characters!$A:$A),MATCH(I$1,[1]characters!$2:$2,0)-MATCH($F$1,[1]characters!$2:$2,0)+1),MATCH(I$1,[1]characters!$2:$2,0)-MATCH($F$1,[1]characters!$2:$2,0)+1,FALSE)</f>
        <v>5</v>
      </c>
      <c r="J242" s="10" t="str">
        <f ca="1">VLOOKUP($F242,OFFSET([1]characters!$A$2,0,0,COUNTA([1]characters!$A:$A),MATCH(J$1,[1]characters!$2:$2,0)-MATCH($F$1,[1]characters!$2:$2,0)+1),MATCH(J$1,[1]characters!$2:$2,0)-MATCH($F$1,[1]characters!$2:$2,0)+1,FALSE)</f>
        <v>blue</v>
      </c>
      <c r="K242" s="10" t="str">
        <f ca="1">VLOOKUP($F242,OFFSET([1]characters!$A$2,0,0,COUNTA([1]characters!$A:$A),MATCH("タイプ",[1]characters!$1:$1,0)-MATCH($F$1,[1]characters!$2:$2,0)+2),MATCH("タイプ",[1]characters!$1:$1,0)-MATCH($F$1,[1]characters!$2:$2,0)+2,FALSE)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2" s="10" t="str">
        <f ca="1">VLOOKUP($F242,OFFSET([1]characters!$A$2,0,0,COUNTA([1]characters!$A:$A),MATCH($L$1,[1]characters!$1:$1,0)-MATCH($F$1,[1]characters!$2:$2,0)+2),MATCH($L$1,[1]characters!$1:$1,0)-MATCH($F$1,[1]characters!$2:$2,0)+2,FALSE)</f>
        <v>ゴッド</v>
      </c>
      <c r="M242" s="6">
        <v>1</v>
      </c>
      <c r="N242" s="40">
        <f ca="1">VLOOKUP(D242,gacha_133_base!A:B,2,FALSE)</f>
        <v>13</v>
      </c>
      <c r="O242" s="28">
        <v>0</v>
      </c>
      <c r="P242" s="28">
        <v>0</v>
      </c>
      <c r="Q242" s="28">
        <v>0</v>
      </c>
      <c r="R242" s="28">
        <v>0</v>
      </c>
      <c r="S242" s="28">
        <v>1</v>
      </c>
    </row>
    <row r="243" spans="1:19" ht="21" customHeight="1" thickBot="1">
      <c r="A243" s="22" t="str">
        <f t="shared" si="16"/>
        <v>02591</v>
      </c>
      <c r="B243" s="2">
        <f t="shared" si="15"/>
        <v>134</v>
      </c>
      <c r="C243" s="10" t="str">
        <f t="shared" ca="1" si="13"/>
        <v>0PremiumS3</v>
      </c>
      <c r="D243" s="10" t="str">
        <f t="shared" ca="1" si="14"/>
        <v>0PremiumS3</v>
      </c>
      <c r="E243" s="6">
        <v>0</v>
      </c>
      <c r="F243" s="7">
        <v>259</v>
      </c>
      <c r="G243" s="10" t="str">
        <f ca="1">VLOOKUP($F243,OFFSET([1]characters!$A$2,0,0,COUNTA([1]characters!$A:$A),MATCH(G$1,[1]characters!$2:$2,0)-MATCH($F$1,[1]characters!$2:$2,0)+1),MATCH(G$1,[1]characters!$2:$2,0)-MATCH($F$1,[1]characters!$2:$2,0)+1,FALSE)</f>
        <v>ウロボロス</v>
      </c>
      <c r="H243" s="10" t="str">
        <f ca="1">VLOOKUP($F243,OFFSET([1]characters!$A$2,0,0,COUNTA([1]characters!$A:$A),MATCH(H$1,[1]characters!$2:$2,0)-MATCH($F$1,[1]characters!$2:$2,0)+1),MATCH(H$1,[1]characters!$2:$2,0)-MATCH($F$1,[1]characters!$2:$2,0)+1,FALSE)</f>
        <v>PremiumS</v>
      </c>
      <c r="I243" s="10">
        <f ca="1">VLOOKUP($F243,OFFSET([1]characters!$A$2,0,0,COUNTA([1]characters!$A:$A),MATCH(I$1,[1]characters!$2:$2,0)-MATCH($F$1,[1]characters!$2:$2,0)+1),MATCH(I$1,[1]characters!$2:$2,0)-MATCH($F$1,[1]characters!$2:$2,0)+1,FALSE)</f>
        <v>3</v>
      </c>
      <c r="J243" s="10" t="str">
        <f ca="1">VLOOKUP($F243,OFFSET([1]characters!$A$2,0,0,COUNTA([1]characters!$A:$A),MATCH(J$1,[1]characters!$2:$2,0)-MATCH($F$1,[1]characters!$2:$2,0)+1),MATCH(J$1,[1]characters!$2:$2,0)-MATCH($F$1,[1]characters!$2:$2,0)+1,FALSE)</f>
        <v>yellow</v>
      </c>
      <c r="K243" s="10" t="str">
        <f ca="1">VLOOKUP($F243,OFFSET([1]characters!$A$2,0,0,COUNTA([1]characters!$A:$A),MATCH("タイプ",[1]characters!$1:$1,0)-MATCH($F$1,[1]characters!$2:$2,0)+2),MATCH("タイプ",[1]characters!$1:$1,0)-MATCH($F$1,[1]characters!$2:$2,0)+2,FALSE)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3" s="10" t="str">
        <f ca="1">VLOOKUP($F243,OFFSET([1]characters!$A$2,0,0,COUNTA([1]characters!$A:$A),MATCH($L$1,[1]characters!$1:$1,0)-MATCH($F$1,[1]characters!$2:$2,0)+2),MATCH($L$1,[1]characters!$1:$1,0)-MATCH($F$1,[1]characters!$2:$2,0)+2,FALSE)</f>
        <v>ドラゴン</v>
      </c>
      <c r="M243" s="6">
        <v>1</v>
      </c>
      <c r="N243" s="40">
        <f ca="1">VLOOKUP(D243,gacha_133_base!A:B,2,FALSE)</f>
        <v>228</v>
      </c>
      <c r="O243" s="28">
        <v>0</v>
      </c>
      <c r="P243" s="28">
        <v>0</v>
      </c>
      <c r="Q243" s="28">
        <v>0</v>
      </c>
      <c r="R243" s="28">
        <v>0</v>
      </c>
      <c r="S243" s="28">
        <v>1</v>
      </c>
    </row>
    <row r="244" spans="1:19" ht="21" customHeight="1" thickBot="1">
      <c r="A244" s="22" t="str">
        <f t="shared" si="16"/>
        <v>02601</v>
      </c>
      <c r="B244" s="2">
        <f t="shared" si="15"/>
        <v>134</v>
      </c>
      <c r="C244" s="10" t="str">
        <f t="shared" ca="1" si="13"/>
        <v>0PremiumS4</v>
      </c>
      <c r="D244" s="10" t="str">
        <f t="shared" ca="1" si="14"/>
        <v>0PremiumS4</v>
      </c>
      <c r="E244" s="6">
        <v>0</v>
      </c>
      <c r="F244" s="7">
        <v>260</v>
      </c>
      <c r="G244" s="10" t="str">
        <f ca="1">VLOOKUP($F244,OFFSET([1]characters!$A$2,0,0,COUNTA([1]characters!$A:$A),MATCH(G$1,[1]characters!$2:$2,0)-MATCH($F$1,[1]characters!$2:$2,0)+1),MATCH(G$1,[1]characters!$2:$2,0)-MATCH($F$1,[1]characters!$2:$2,0)+1,FALSE)</f>
        <v>輪廻 ウロボロス</v>
      </c>
      <c r="H244" s="10" t="str">
        <f ca="1">VLOOKUP($F244,OFFSET([1]characters!$A$2,0,0,COUNTA([1]characters!$A:$A),MATCH(H$1,[1]characters!$2:$2,0)-MATCH($F$1,[1]characters!$2:$2,0)+1),MATCH(H$1,[1]characters!$2:$2,0)-MATCH($F$1,[1]characters!$2:$2,0)+1,FALSE)</f>
        <v>PremiumS</v>
      </c>
      <c r="I244" s="10">
        <f ca="1">VLOOKUP($F244,OFFSET([1]characters!$A$2,0,0,COUNTA([1]characters!$A:$A),MATCH(I$1,[1]characters!$2:$2,0)-MATCH($F$1,[1]characters!$2:$2,0)+1),MATCH(I$1,[1]characters!$2:$2,0)-MATCH($F$1,[1]characters!$2:$2,0)+1,FALSE)</f>
        <v>4</v>
      </c>
      <c r="J244" s="10" t="str">
        <f ca="1">VLOOKUP($F244,OFFSET([1]characters!$A$2,0,0,COUNTA([1]characters!$A:$A),MATCH(J$1,[1]characters!$2:$2,0)-MATCH($F$1,[1]characters!$2:$2,0)+1),MATCH(J$1,[1]characters!$2:$2,0)-MATCH($F$1,[1]characters!$2:$2,0)+1,FALSE)</f>
        <v>yellow</v>
      </c>
      <c r="K244" s="10" t="str">
        <f ca="1">VLOOKUP($F244,OFFSET([1]characters!$A$2,0,0,COUNTA([1]characters!$A:$A),MATCH("タイプ",[1]characters!$1:$1,0)-MATCH($F$1,[1]characters!$2:$2,0)+2),MATCH("タイプ",[1]characters!$1:$1,0)-MATCH($F$1,[1]characters!$2:$2,0)+2,FALSE)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4" s="10" t="str">
        <f ca="1">VLOOKUP($F244,OFFSET([1]characters!$A$2,0,0,COUNTA([1]characters!$A:$A),MATCH($L$1,[1]characters!$1:$1,0)-MATCH($F$1,[1]characters!$2:$2,0)+2),MATCH($L$1,[1]characters!$1:$1,0)-MATCH($F$1,[1]characters!$2:$2,0)+2,FALSE)</f>
        <v>ドラゴン</v>
      </c>
      <c r="M244" s="6">
        <v>1</v>
      </c>
      <c r="N244" s="40">
        <f ca="1">VLOOKUP(D244,gacha_133_base!A:B,2,FALSE)</f>
        <v>80</v>
      </c>
      <c r="O244" s="28">
        <v>0</v>
      </c>
      <c r="P244" s="28">
        <v>0</v>
      </c>
      <c r="Q244" s="28">
        <v>0</v>
      </c>
      <c r="R244" s="28">
        <v>0</v>
      </c>
      <c r="S244" s="28">
        <v>1</v>
      </c>
    </row>
    <row r="245" spans="1:19" ht="21" customHeight="1" thickBot="1">
      <c r="A245" s="22" t="str">
        <f t="shared" si="16"/>
        <v>02611</v>
      </c>
      <c r="B245" s="2">
        <f t="shared" si="15"/>
        <v>134</v>
      </c>
      <c r="C245" s="10" t="str">
        <f t="shared" ca="1" si="13"/>
        <v>0PremiumS5</v>
      </c>
      <c r="D245" s="10" t="str">
        <f t="shared" ca="1" si="14"/>
        <v>0PremiumS5</v>
      </c>
      <c r="E245" s="6">
        <v>0</v>
      </c>
      <c r="F245" s="7">
        <v>261</v>
      </c>
      <c r="G245" s="10" t="str">
        <f ca="1">VLOOKUP($F245,OFFSET([1]characters!$A$2,0,0,COUNTA([1]characters!$A:$A),MATCH(G$1,[1]characters!$2:$2,0)-MATCH($F$1,[1]characters!$2:$2,0)+1),MATCH(G$1,[1]characters!$2:$2,0)-MATCH($F$1,[1]characters!$2:$2,0)+1,FALSE)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245" s="10" t="str">
        <f ca="1">VLOOKUP($F245,OFFSET([1]characters!$A$2,0,0,COUNTA([1]characters!$A:$A),MATCH(H$1,[1]characters!$2:$2,0)-MATCH($F$1,[1]characters!$2:$2,0)+1),MATCH(H$1,[1]characters!$2:$2,0)-MATCH($F$1,[1]characters!$2:$2,0)+1,FALSE)</f>
        <v>PremiumS</v>
      </c>
      <c r="I245" s="10">
        <f ca="1">VLOOKUP($F245,OFFSET([1]characters!$A$2,0,0,COUNTA([1]characters!$A:$A),MATCH(I$1,[1]characters!$2:$2,0)-MATCH($F$1,[1]characters!$2:$2,0)+1),MATCH(I$1,[1]characters!$2:$2,0)-MATCH($F$1,[1]characters!$2:$2,0)+1,FALSE)</f>
        <v>5</v>
      </c>
      <c r="J245" s="10" t="str">
        <f ca="1">VLOOKUP($F245,OFFSET([1]characters!$A$2,0,0,COUNTA([1]characters!$A:$A),MATCH(J$1,[1]characters!$2:$2,0)-MATCH($F$1,[1]characters!$2:$2,0)+1),MATCH(J$1,[1]characters!$2:$2,0)-MATCH($F$1,[1]characters!$2:$2,0)+1,FALSE)</f>
        <v>yellow</v>
      </c>
      <c r="K245" s="10" t="str">
        <f ca="1">VLOOKUP($F245,OFFSET([1]characters!$A$2,0,0,COUNTA([1]characters!$A:$A),MATCH("タイプ",[1]characters!$1:$1,0)-MATCH($F$1,[1]characters!$2:$2,0)+2),MATCH("タイプ",[1]characters!$1:$1,0)-MATCH($F$1,[1]characters!$2:$2,0)+2,FALSE)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5" s="10" t="str">
        <f ca="1">VLOOKUP($F245,OFFSET([1]characters!$A$2,0,0,COUNTA([1]characters!$A:$A),MATCH($L$1,[1]characters!$1:$1,0)-MATCH($F$1,[1]characters!$2:$2,0)+2),MATCH($L$1,[1]characters!$1:$1,0)-MATCH($F$1,[1]characters!$2:$2,0)+2,FALSE)</f>
        <v>ドラゴン</v>
      </c>
      <c r="M245" s="6">
        <v>1</v>
      </c>
      <c r="N245" s="40">
        <f ca="1">VLOOKUP(D245,gacha_133_base!A:B,2,FALSE)</f>
        <v>13</v>
      </c>
      <c r="O245" s="28">
        <v>0</v>
      </c>
      <c r="P245" s="28">
        <v>0</v>
      </c>
      <c r="Q245" s="28">
        <v>0</v>
      </c>
      <c r="R245" s="28">
        <v>0</v>
      </c>
      <c r="S245" s="28">
        <v>1</v>
      </c>
    </row>
    <row r="246" spans="1:19" ht="21" customHeight="1" thickBot="1">
      <c r="A246" s="22" t="str">
        <f t="shared" si="16"/>
        <v>03201</v>
      </c>
      <c r="B246" s="2">
        <f t="shared" si="15"/>
        <v>134</v>
      </c>
      <c r="C246" s="10" t="str">
        <f t="shared" ca="1" si="13"/>
        <v>0PremiumSS4</v>
      </c>
      <c r="D246" s="10" t="str">
        <f t="shared" ca="1" si="14"/>
        <v>0PremiumSS4</v>
      </c>
      <c r="E246" s="21">
        <v>0</v>
      </c>
      <c r="F246" s="27">
        <v>320</v>
      </c>
      <c r="G246" s="20" t="str">
        <f ca="1">VLOOKUP($F246,OFFSET([1]characters!$A$2,0,0,COUNTA([1]characters!$A:$A),MATCH(G$1,[1]characters!$2:$2,0)-MATCH($F$1,[1]characters!$2:$2,0)+1),MATCH(G$1,[1]characters!$2:$2,0)-MATCH($F$1,[1]characters!$2:$2,0)+1,FALSE)</f>
        <v>烈志士 近藤勇</v>
      </c>
      <c r="H246" s="20" t="str">
        <f ca="1">VLOOKUP($F246,OFFSET([1]characters!$A$2,0,0,COUNTA([1]characters!$A:$A),MATCH(H$1,[1]characters!$2:$2,0)-MATCH($F$1,[1]characters!$2:$2,0)+1),MATCH(H$1,[1]characters!$2:$2,0)-MATCH($F$1,[1]characters!$2:$2,0)+1,FALSE)</f>
        <v>PremiumSS</v>
      </c>
      <c r="I246" s="20">
        <f ca="1">VLOOKUP($F246,OFFSET([1]characters!$A$2,0,0,COUNTA([1]characters!$A:$A),MATCH(I$1,[1]characters!$2:$2,0)-MATCH($F$1,[1]characters!$2:$2,0)+1),MATCH(I$1,[1]characters!$2:$2,0)-MATCH($F$1,[1]characters!$2:$2,0)+1,FALSE)</f>
        <v>4</v>
      </c>
      <c r="J246" s="20" t="str">
        <f ca="1">VLOOKUP($F246,OFFSET([1]characters!$A$2,0,0,COUNTA([1]characters!$A:$A),MATCH(J$1,[1]characters!$2:$2,0)-MATCH($F$1,[1]characters!$2:$2,0)+1),MATCH(J$1,[1]characters!$2:$2,0)-MATCH($F$1,[1]characters!$2:$2,0)+1,FALSE)</f>
        <v>red</v>
      </c>
      <c r="K246" s="20" t="str">
        <f ca="1">VLOOKUP($F246,OFFSET([1]characters!$A$2,0,0,COUNTA([1]characters!$A:$A),MATCH("タイプ",[1]characters!$1:$1,0)-MATCH($F$1,[1]characters!$2:$2,0)+2),MATCH("タイプ",[1]characters!$1:$1,0)-MATCH($F$1,[1]characters!$2:$2,0)+2,FALSE)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6" s="20" t="str">
        <f ca="1">VLOOKUP($F246,OFFSET([1]characters!$A$2,0,0,COUNTA([1]characters!$A:$A),MATCH($L$1,[1]characters!$1:$1,0)-MATCH($F$1,[1]characters!$2:$2,0)+2),MATCH($L$1,[1]characters!$1:$1,0)-MATCH($F$1,[1]characters!$2:$2,0)+2,FALSE)</f>
        <v>ヒューマン</v>
      </c>
      <c r="M246" s="21">
        <v>1</v>
      </c>
      <c r="N246" s="40">
        <f ca="1">VLOOKUP(D246,gacha_133_base!A:B,2,FALSE)</f>
        <v>144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2" t="str">
        <f t="shared" si="16"/>
        <v>03211</v>
      </c>
      <c r="B247" s="2">
        <f t="shared" si="15"/>
        <v>134</v>
      </c>
      <c r="C247" s="10" t="str">
        <f t="shared" ca="1" si="13"/>
        <v>0PremiumSS5</v>
      </c>
      <c r="D247" s="10" t="str">
        <f t="shared" ca="1" si="14"/>
        <v>0PremiumSS5</v>
      </c>
      <c r="E247" s="21">
        <v>0</v>
      </c>
      <c r="F247" s="7">
        <v>321</v>
      </c>
      <c r="G247" s="10" t="str">
        <f ca="1">VLOOKUP($F247,OFFSET([1]characters!$A$2,0,0,COUNTA([1]characters!$A:$A),MATCH(G$1,[1]characters!$2:$2,0)-MATCH($F$1,[1]characters!$2:$2,0)+1),MATCH(G$1,[1]characters!$2:$2,0)-MATCH($F$1,[1]characters!$2:$2,0)+1,FALSE)</f>
        <v>巌鉄の烈志士 近藤勇</v>
      </c>
      <c r="H247" s="10" t="str">
        <f ca="1">VLOOKUP($F247,OFFSET([1]characters!$A$2,0,0,COUNTA([1]characters!$A:$A),MATCH(H$1,[1]characters!$2:$2,0)-MATCH($F$1,[1]characters!$2:$2,0)+1),MATCH(H$1,[1]characters!$2:$2,0)-MATCH($F$1,[1]characters!$2:$2,0)+1,FALSE)</f>
        <v>PremiumSS</v>
      </c>
      <c r="I247" s="10">
        <f ca="1">VLOOKUP($F247,OFFSET([1]characters!$A$2,0,0,COUNTA([1]characters!$A:$A),MATCH(I$1,[1]characters!$2:$2,0)-MATCH($F$1,[1]characters!$2:$2,0)+1),MATCH(I$1,[1]characters!$2:$2,0)-MATCH($F$1,[1]characters!$2:$2,0)+1,FALSE)</f>
        <v>5</v>
      </c>
      <c r="J247" s="10" t="str">
        <f ca="1">VLOOKUP($F247,OFFSET([1]characters!$A$2,0,0,COUNTA([1]characters!$A:$A),MATCH(J$1,[1]characters!$2:$2,0)-MATCH($F$1,[1]characters!$2:$2,0)+1),MATCH(J$1,[1]characters!$2:$2,0)-MATCH($F$1,[1]characters!$2:$2,0)+1,FALSE)</f>
        <v>red</v>
      </c>
      <c r="K247" s="10" t="str">
        <f ca="1">VLOOKUP($F247,OFFSET([1]characters!$A$2,0,0,COUNTA([1]characters!$A:$A),MATCH("タイプ",[1]characters!$1:$1,0)-MATCH($F$1,[1]characters!$2:$2,0)+2),MATCH("タイプ",[1]characters!$1:$1,0)-MATCH($F$1,[1]characters!$2:$2,0)+2,FALSE)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7" s="10" t="str">
        <f ca="1">VLOOKUP($F247,OFFSET([1]characters!$A$2,0,0,COUNTA([1]characters!$A:$A),MATCH($L$1,[1]characters!$1:$1,0)-MATCH($F$1,[1]characters!$2:$2,0)+2),MATCH($L$1,[1]characters!$1:$1,0)-MATCH($F$1,[1]characters!$2:$2,0)+2,FALSE)</f>
        <v>ヒューマン</v>
      </c>
      <c r="M247" s="6">
        <v>1</v>
      </c>
      <c r="N247" s="40">
        <f ca="1">VLOOKUP(D247,gacha_133_base!A:B,2,FALSE)</f>
        <v>48</v>
      </c>
      <c r="O247" s="28">
        <v>0</v>
      </c>
      <c r="P247" s="28">
        <v>0</v>
      </c>
      <c r="Q247" s="28">
        <v>0</v>
      </c>
      <c r="R247" s="28">
        <v>0</v>
      </c>
      <c r="S247" s="28">
        <v>1</v>
      </c>
    </row>
    <row r="248" spans="1:19" ht="21" customHeight="1" thickBot="1">
      <c r="A248" s="22" t="str">
        <f t="shared" si="16"/>
        <v>03221</v>
      </c>
      <c r="B248" s="2">
        <f t="shared" si="15"/>
        <v>134</v>
      </c>
      <c r="C248" s="10" t="str">
        <f t="shared" ca="1" si="13"/>
        <v>0PremiumSS4</v>
      </c>
      <c r="D248" s="10" t="str">
        <f t="shared" ca="1" si="14"/>
        <v>0PremiumSS4</v>
      </c>
      <c r="E248" s="21">
        <v>0</v>
      </c>
      <c r="F248" s="7">
        <v>322</v>
      </c>
      <c r="G248" s="10" t="str">
        <f ca="1">VLOOKUP($F248,OFFSET([1]characters!$A$2,0,0,COUNTA([1]characters!$A:$A),MATCH(G$1,[1]characters!$2:$2,0)-MATCH($F$1,[1]characters!$2:$2,0)+1),MATCH(G$1,[1]characters!$2:$2,0)-MATCH($F$1,[1]characters!$2:$2,0)+1,FALSE)</f>
        <v>愛志士 土方歳三</v>
      </c>
      <c r="H248" s="10" t="str">
        <f ca="1">VLOOKUP($F248,OFFSET([1]characters!$A$2,0,0,COUNTA([1]characters!$A:$A),MATCH(H$1,[1]characters!$2:$2,0)-MATCH($F$1,[1]characters!$2:$2,0)+1),MATCH(H$1,[1]characters!$2:$2,0)-MATCH($F$1,[1]characters!$2:$2,0)+1,FALSE)</f>
        <v>PremiumSS</v>
      </c>
      <c r="I248" s="10">
        <f ca="1">VLOOKUP($F248,OFFSET([1]characters!$A$2,0,0,COUNTA([1]characters!$A:$A),MATCH(I$1,[1]characters!$2:$2,0)-MATCH($F$1,[1]characters!$2:$2,0)+1),MATCH(I$1,[1]characters!$2:$2,0)-MATCH($F$1,[1]characters!$2:$2,0)+1,FALSE)</f>
        <v>4</v>
      </c>
      <c r="J248" s="10" t="str">
        <f ca="1">VLOOKUP($F248,OFFSET([1]characters!$A$2,0,0,COUNTA([1]characters!$A:$A),MATCH(J$1,[1]characters!$2:$2,0)-MATCH($F$1,[1]characters!$2:$2,0)+1),MATCH(J$1,[1]characters!$2:$2,0)-MATCH($F$1,[1]characters!$2:$2,0)+1,FALSE)</f>
        <v>green</v>
      </c>
      <c r="K248" s="10" t="str">
        <f ca="1">VLOOKUP($F248,OFFSET([1]characters!$A$2,0,0,COUNTA([1]characters!$A:$A),MATCH("タイプ",[1]characters!$1:$1,0)-MATCH($F$1,[1]characters!$2:$2,0)+2),MATCH("タイプ",[1]characters!$1:$1,0)-MATCH($F$1,[1]characters!$2:$2,0)+2,FALSE)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8" s="10" t="str">
        <f ca="1">VLOOKUP($F248,OFFSET([1]characters!$A$2,0,0,COUNTA([1]characters!$A:$A),MATCH($L$1,[1]characters!$1:$1,0)-MATCH($F$1,[1]characters!$2:$2,0)+2),MATCH($L$1,[1]characters!$1:$1,0)-MATCH($F$1,[1]characters!$2:$2,0)+2,FALSE)</f>
        <v>ヒューマン</v>
      </c>
      <c r="M248" s="6">
        <v>1</v>
      </c>
      <c r="N248" s="40">
        <f ca="1">VLOOKUP(D248,gacha_133_base!A:B,2,FALSE)</f>
        <v>144</v>
      </c>
      <c r="O248" s="28">
        <v>0</v>
      </c>
      <c r="P248" s="28">
        <v>0</v>
      </c>
      <c r="Q248" s="28">
        <v>0</v>
      </c>
      <c r="R248" s="28">
        <v>0</v>
      </c>
      <c r="S248" s="28">
        <v>1</v>
      </c>
    </row>
    <row r="249" spans="1:19" ht="21" customHeight="1" thickBot="1">
      <c r="A249" s="22" t="str">
        <f t="shared" si="16"/>
        <v>03231</v>
      </c>
      <c r="B249" s="2">
        <f t="shared" si="15"/>
        <v>134</v>
      </c>
      <c r="C249" s="10" t="str">
        <f t="shared" ca="1" si="13"/>
        <v>0PremiumSS5</v>
      </c>
      <c r="D249" s="10" t="str">
        <f t="shared" ca="1" si="14"/>
        <v>0PremiumSS5</v>
      </c>
      <c r="E249" s="21">
        <v>0</v>
      </c>
      <c r="F249" s="7">
        <v>323</v>
      </c>
      <c r="G249" s="10" t="str">
        <f ca="1">VLOOKUP($F249,OFFSET([1]characters!$A$2,0,0,COUNTA([1]characters!$A:$A),MATCH(G$1,[1]characters!$2:$2,0)-MATCH($F$1,[1]characters!$2:$2,0)+1),MATCH(G$1,[1]characters!$2:$2,0)-MATCH($F$1,[1]characters!$2:$2,0)+1,FALSE)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249" s="10" t="str">
        <f ca="1">VLOOKUP($F249,OFFSET([1]characters!$A$2,0,0,COUNTA([1]characters!$A:$A),MATCH(H$1,[1]characters!$2:$2,0)-MATCH($F$1,[1]characters!$2:$2,0)+1),MATCH(H$1,[1]characters!$2:$2,0)-MATCH($F$1,[1]characters!$2:$2,0)+1,FALSE)</f>
        <v>PremiumSS</v>
      </c>
      <c r="I249" s="10">
        <f ca="1">VLOOKUP($F249,OFFSET([1]characters!$A$2,0,0,COUNTA([1]characters!$A:$A),MATCH(I$1,[1]characters!$2:$2,0)-MATCH($F$1,[1]characters!$2:$2,0)+1),MATCH(I$1,[1]characters!$2:$2,0)-MATCH($F$1,[1]characters!$2:$2,0)+1,FALSE)</f>
        <v>5</v>
      </c>
      <c r="J249" s="10" t="str">
        <f ca="1">VLOOKUP($F249,OFFSET([1]characters!$A$2,0,0,COUNTA([1]characters!$A:$A),MATCH(J$1,[1]characters!$2:$2,0)-MATCH($F$1,[1]characters!$2:$2,0)+1),MATCH(J$1,[1]characters!$2:$2,0)-MATCH($F$1,[1]characters!$2:$2,0)+1,FALSE)</f>
        <v>green</v>
      </c>
      <c r="K249" s="10" t="str">
        <f ca="1">VLOOKUP($F249,OFFSET([1]characters!$A$2,0,0,COUNTA([1]characters!$A:$A),MATCH("タイプ",[1]characters!$1:$1,0)-MATCH($F$1,[1]characters!$2:$2,0)+2),MATCH("タイプ",[1]characters!$1:$1,0)-MATCH($F$1,[1]characters!$2:$2,0)+2,FALSE)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9" s="10" t="str">
        <f ca="1">VLOOKUP($F249,OFFSET([1]characters!$A$2,0,0,COUNTA([1]characters!$A:$A),MATCH($L$1,[1]characters!$1:$1,0)-MATCH($F$1,[1]characters!$2:$2,0)+2),MATCH($L$1,[1]characters!$1:$1,0)-MATCH($F$1,[1]characters!$2:$2,0)+2,FALSE)</f>
        <v>ヒューマン</v>
      </c>
      <c r="M249" s="6">
        <v>1</v>
      </c>
      <c r="N249" s="40">
        <f ca="1">VLOOKUP(D249,gacha_133_base!A:B,2,FALSE)</f>
        <v>48</v>
      </c>
      <c r="O249" s="28">
        <v>0</v>
      </c>
      <c r="P249" s="28">
        <v>0</v>
      </c>
      <c r="Q249" s="28">
        <v>0</v>
      </c>
      <c r="R249" s="28">
        <v>0</v>
      </c>
      <c r="S249" s="28">
        <v>1</v>
      </c>
    </row>
    <row r="250" spans="1:19" ht="21" customHeight="1" thickBot="1">
      <c r="A250" s="22" t="str">
        <f t="shared" si="16"/>
        <v>03241</v>
      </c>
      <c r="B250" s="2">
        <f t="shared" si="15"/>
        <v>134</v>
      </c>
      <c r="C250" s="10" t="str">
        <f t="shared" ca="1" si="13"/>
        <v>0PremiumSS4</v>
      </c>
      <c r="D250" s="10" t="str">
        <f t="shared" ca="1" si="14"/>
        <v>0PremiumSS4</v>
      </c>
      <c r="E250" s="21">
        <v>0</v>
      </c>
      <c r="F250" s="7">
        <v>324</v>
      </c>
      <c r="G250" s="10" t="str">
        <f ca="1">VLOOKUP($F250,OFFSET([1]characters!$A$2,0,0,COUNTA([1]characters!$A:$A),MATCH(G$1,[1]characters!$2:$2,0)-MATCH($F$1,[1]characters!$2:$2,0)+1),MATCH(G$1,[1]characters!$2:$2,0)-MATCH($F$1,[1]characters!$2:$2,0)+1,FALSE)</f>
        <v>凛志士 沖田総司</v>
      </c>
      <c r="H250" s="10" t="str">
        <f ca="1">VLOOKUP($F250,OFFSET([1]characters!$A$2,0,0,COUNTA([1]characters!$A:$A),MATCH(H$1,[1]characters!$2:$2,0)-MATCH($F$1,[1]characters!$2:$2,0)+1),MATCH(H$1,[1]characters!$2:$2,0)-MATCH($F$1,[1]characters!$2:$2,0)+1,FALSE)</f>
        <v>PremiumSS</v>
      </c>
      <c r="I250" s="10">
        <f ca="1">VLOOKUP($F250,OFFSET([1]characters!$A$2,0,0,COUNTA([1]characters!$A:$A),MATCH(I$1,[1]characters!$2:$2,0)-MATCH($F$1,[1]characters!$2:$2,0)+1),MATCH(I$1,[1]characters!$2:$2,0)-MATCH($F$1,[1]characters!$2:$2,0)+1,FALSE)</f>
        <v>4</v>
      </c>
      <c r="J250" s="10" t="str">
        <f ca="1">VLOOKUP($F250,OFFSET([1]characters!$A$2,0,0,COUNTA([1]characters!$A:$A),MATCH(J$1,[1]characters!$2:$2,0)-MATCH($F$1,[1]characters!$2:$2,0)+1),MATCH(J$1,[1]characters!$2:$2,0)-MATCH($F$1,[1]characters!$2:$2,0)+1,FALSE)</f>
        <v>blue</v>
      </c>
      <c r="K250" s="10" t="str">
        <f ca="1">VLOOKUP($F250,OFFSET([1]characters!$A$2,0,0,COUNTA([1]characters!$A:$A),MATCH("タイプ",[1]characters!$1:$1,0)-MATCH($F$1,[1]characters!$2:$2,0)+2),MATCH("タイプ",[1]characters!$1:$1,0)-MATCH($F$1,[1]characters!$2:$2,0)+2,FALSE)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0" s="10" t="str">
        <f ca="1">VLOOKUP($F250,OFFSET([1]characters!$A$2,0,0,COUNTA([1]characters!$A:$A),MATCH($L$1,[1]characters!$1:$1,0)-MATCH($F$1,[1]characters!$2:$2,0)+2),MATCH($L$1,[1]characters!$1:$1,0)-MATCH($F$1,[1]characters!$2:$2,0)+2,FALSE)</f>
        <v>ヒューマン</v>
      </c>
      <c r="M250" s="6">
        <v>1</v>
      </c>
      <c r="N250" s="40">
        <f ca="1">VLOOKUP(D250,gacha_133_base!A:B,2,FALSE)</f>
        <v>144</v>
      </c>
      <c r="O250" s="28">
        <v>0</v>
      </c>
      <c r="P250" s="28">
        <v>0</v>
      </c>
      <c r="Q250" s="28">
        <v>0</v>
      </c>
      <c r="R250" s="28">
        <v>0</v>
      </c>
      <c r="S250" s="28">
        <v>1</v>
      </c>
    </row>
    <row r="251" spans="1:19" ht="21" customHeight="1" thickBot="1">
      <c r="A251" s="22" t="str">
        <f t="shared" si="16"/>
        <v>03251</v>
      </c>
      <c r="B251" s="2">
        <f t="shared" si="15"/>
        <v>134</v>
      </c>
      <c r="C251" s="10" t="str">
        <f t="shared" ca="1" si="13"/>
        <v>0PremiumSS5</v>
      </c>
      <c r="D251" s="10" t="str">
        <f t="shared" ca="1" si="14"/>
        <v>0PremiumSS5</v>
      </c>
      <c r="E251" s="21">
        <v>0</v>
      </c>
      <c r="F251" s="7">
        <v>325</v>
      </c>
      <c r="G251" s="10" t="str">
        <f ca="1">VLOOKUP($F251,OFFSET([1]characters!$A$2,0,0,COUNTA([1]characters!$A:$A),MATCH(G$1,[1]characters!$2:$2,0)-MATCH($F$1,[1]characters!$2:$2,0)+1),MATCH(G$1,[1]characters!$2:$2,0)-MATCH($F$1,[1]characters!$2:$2,0)+1,FALSE)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251" s="10" t="str">
        <f ca="1">VLOOKUP($F251,OFFSET([1]characters!$A$2,0,0,COUNTA([1]characters!$A:$A),MATCH(H$1,[1]characters!$2:$2,0)-MATCH($F$1,[1]characters!$2:$2,0)+1),MATCH(H$1,[1]characters!$2:$2,0)-MATCH($F$1,[1]characters!$2:$2,0)+1,FALSE)</f>
        <v>PremiumSS</v>
      </c>
      <c r="I251" s="10">
        <f ca="1">VLOOKUP($F251,OFFSET([1]characters!$A$2,0,0,COUNTA([1]characters!$A:$A),MATCH(I$1,[1]characters!$2:$2,0)-MATCH($F$1,[1]characters!$2:$2,0)+1),MATCH(I$1,[1]characters!$2:$2,0)-MATCH($F$1,[1]characters!$2:$2,0)+1,FALSE)</f>
        <v>5</v>
      </c>
      <c r="J251" s="10" t="str">
        <f ca="1">VLOOKUP($F251,OFFSET([1]characters!$A$2,0,0,COUNTA([1]characters!$A:$A),MATCH(J$1,[1]characters!$2:$2,0)-MATCH($F$1,[1]characters!$2:$2,0)+1),MATCH(J$1,[1]characters!$2:$2,0)-MATCH($F$1,[1]characters!$2:$2,0)+1,FALSE)</f>
        <v>blue</v>
      </c>
      <c r="K251" s="10" t="str">
        <f ca="1">VLOOKUP($F251,OFFSET([1]characters!$A$2,0,0,COUNTA([1]characters!$A:$A),MATCH("タイプ",[1]characters!$1:$1,0)-MATCH($F$1,[1]characters!$2:$2,0)+2),MATCH("タイプ",[1]characters!$1:$1,0)-MATCH($F$1,[1]characters!$2:$2,0)+2,FALSE)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1" s="10" t="str">
        <f ca="1">VLOOKUP($F251,OFFSET([1]characters!$A$2,0,0,COUNTA([1]characters!$A:$A),MATCH($L$1,[1]characters!$1:$1,0)-MATCH($F$1,[1]characters!$2:$2,0)+2),MATCH($L$1,[1]characters!$1:$1,0)-MATCH($F$1,[1]characters!$2:$2,0)+2,FALSE)</f>
        <v>ヒューマン</v>
      </c>
      <c r="M251" s="6">
        <v>1</v>
      </c>
      <c r="N251" s="40">
        <f ca="1">VLOOKUP(D251,gacha_133_base!A:B,2,FALSE)</f>
        <v>48</v>
      </c>
      <c r="O251" s="28">
        <v>0</v>
      </c>
      <c r="P251" s="28">
        <v>0</v>
      </c>
      <c r="Q251" s="28">
        <v>0</v>
      </c>
      <c r="R251" s="28">
        <v>0</v>
      </c>
      <c r="S251" s="28">
        <v>1</v>
      </c>
    </row>
    <row r="252" spans="1:19" ht="21" customHeight="1" thickBot="1">
      <c r="A252" s="22" t="str">
        <f t="shared" si="16"/>
        <v>03261</v>
      </c>
      <c r="B252" s="2">
        <f t="shared" si="15"/>
        <v>134</v>
      </c>
      <c r="C252" s="10" t="str">
        <f t="shared" ca="1" si="13"/>
        <v>0PremiumSS4</v>
      </c>
      <c r="D252" s="10" t="str">
        <f t="shared" ca="1" si="14"/>
        <v>0PremiumSS4</v>
      </c>
      <c r="E252" s="21">
        <v>0</v>
      </c>
      <c r="F252" s="33">
        <v>326</v>
      </c>
      <c r="G252" s="34" t="str">
        <f ca="1">VLOOKUP($F252,OFFSET([1]characters!$A$2,0,0,COUNTA([1]characters!$A:$A),MATCH(G$1,[1]characters!$2:$2,0)-MATCH($F$1,[1]characters!$2:$2,0)+1),MATCH(G$1,[1]characters!$2:$2,0)-MATCH($F$1,[1]characters!$2:$2,0)+1,FALSE)</f>
        <v>妖志士 斎藤一</v>
      </c>
      <c r="H252" s="34" t="str">
        <f ca="1">VLOOKUP($F252,OFFSET([1]characters!$A$2,0,0,COUNTA([1]characters!$A:$A),MATCH(H$1,[1]characters!$2:$2,0)-MATCH($F$1,[1]characters!$2:$2,0)+1),MATCH(H$1,[1]characters!$2:$2,0)-MATCH($F$1,[1]characters!$2:$2,0)+1,FALSE)</f>
        <v>PremiumSS</v>
      </c>
      <c r="I252" s="34">
        <f ca="1">VLOOKUP($F252,OFFSET([1]characters!$A$2,0,0,COUNTA([1]characters!$A:$A),MATCH(I$1,[1]characters!$2:$2,0)-MATCH($F$1,[1]characters!$2:$2,0)+1),MATCH(I$1,[1]characters!$2:$2,0)-MATCH($F$1,[1]characters!$2:$2,0)+1,FALSE)</f>
        <v>4</v>
      </c>
      <c r="J252" s="34" t="str">
        <f ca="1">VLOOKUP($F252,OFFSET([1]characters!$A$2,0,0,COUNTA([1]characters!$A:$A),MATCH(J$1,[1]characters!$2:$2,0)-MATCH($F$1,[1]characters!$2:$2,0)+1),MATCH(J$1,[1]characters!$2:$2,0)-MATCH($F$1,[1]characters!$2:$2,0)+1,FALSE)</f>
        <v>yellow</v>
      </c>
      <c r="K252" s="34" t="str">
        <f ca="1">VLOOKUP($F252,OFFSET([1]characters!$A$2,0,0,COUNTA([1]characters!$A:$A),MATCH("タイプ",[1]characters!$1:$1,0)-MATCH($F$1,[1]characters!$2:$2,0)+2),MATCH("タイプ",[1]characters!$1:$1,0)-MATCH($F$1,[1]characters!$2:$2,0)+2,FALSE)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2" s="34" t="str">
        <f ca="1">VLOOKUP($F252,OFFSET([1]characters!$A$2,0,0,COUNTA([1]characters!$A:$A),MATCH($L$1,[1]characters!$1:$1,0)-MATCH($F$1,[1]characters!$2:$2,0)+2),MATCH($L$1,[1]characters!$1:$1,0)-MATCH($F$1,[1]characters!$2:$2,0)+2,FALSE)</f>
        <v>ヒューマン</v>
      </c>
      <c r="M252" s="32">
        <v>1</v>
      </c>
      <c r="N252" s="40">
        <f ca="1">VLOOKUP(D252,gacha_133_base!A:B,2,FALSE)</f>
        <v>144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2" t="str">
        <f t="shared" si="16"/>
        <v>03271</v>
      </c>
      <c r="B253" s="2">
        <f t="shared" si="15"/>
        <v>134</v>
      </c>
      <c r="C253" s="10" t="str">
        <f t="shared" ca="1" si="13"/>
        <v>0PremiumSS5</v>
      </c>
      <c r="D253" s="10" t="str">
        <f t="shared" ca="1" si="14"/>
        <v>0PremiumSS5</v>
      </c>
      <c r="E253" s="38">
        <v>0</v>
      </c>
      <c r="F253" s="7">
        <v>327</v>
      </c>
      <c r="G253" s="10" t="str">
        <f ca="1">VLOOKUP($F253,OFFSET([1]characters!$A$2,0,0,COUNTA([1]characters!$A:$A),MATCH(G$1,[1]characters!$2:$2,0)-MATCH($F$1,[1]characters!$2:$2,0)+1),MATCH(G$1,[1]characters!$2:$2,0)-MATCH($F$1,[1]characters!$2:$2,0)+1,FALSE)</f>
        <v>千殺の妖志士 斎藤一</v>
      </c>
      <c r="H253" s="10" t="str">
        <f ca="1">VLOOKUP($F253,OFFSET([1]characters!$A$2,0,0,COUNTA([1]characters!$A:$A),MATCH(H$1,[1]characters!$2:$2,0)-MATCH($F$1,[1]characters!$2:$2,0)+1),MATCH(H$1,[1]characters!$2:$2,0)-MATCH($F$1,[1]characters!$2:$2,0)+1,FALSE)</f>
        <v>PremiumSS</v>
      </c>
      <c r="I253" s="10">
        <f ca="1">VLOOKUP($F253,OFFSET([1]characters!$A$2,0,0,COUNTA([1]characters!$A:$A),MATCH(I$1,[1]characters!$2:$2,0)-MATCH($F$1,[1]characters!$2:$2,0)+1),MATCH(I$1,[1]characters!$2:$2,0)-MATCH($F$1,[1]characters!$2:$2,0)+1,FALSE)</f>
        <v>5</v>
      </c>
      <c r="J253" s="10" t="str">
        <f ca="1">VLOOKUP($F253,OFFSET([1]characters!$A$2,0,0,COUNTA([1]characters!$A:$A),MATCH(J$1,[1]characters!$2:$2,0)-MATCH($F$1,[1]characters!$2:$2,0)+1),MATCH(J$1,[1]characters!$2:$2,0)-MATCH($F$1,[1]characters!$2:$2,0)+1,FALSE)</f>
        <v>yellow</v>
      </c>
      <c r="K253" s="10" t="str">
        <f ca="1">VLOOKUP($F253,OFFSET([1]characters!$A$2,0,0,COUNTA([1]characters!$A:$A),MATCH("タイプ",[1]characters!$1:$1,0)-MATCH($F$1,[1]characters!$2:$2,0)+2),MATCH("タイプ",[1]characters!$1:$1,0)-MATCH($F$1,[1]characters!$2:$2,0)+2,FALSE)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3" s="10" t="str">
        <f ca="1">VLOOKUP($F253,OFFSET([1]characters!$A$2,0,0,COUNTA([1]characters!$A:$A),MATCH($L$1,[1]characters!$1:$1,0)-MATCH($F$1,[1]characters!$2:$2,0)+2),MATCH($L$1,[1]characters!$1:$1,0)-MATCH($F$1,[1]characters!$2:$2,0)+2,FALSE)</f>
        <v>ヒューマン</v>
      </c>
      <c r="M253" s="6">
        <v>1</v>
      </c>
      <c r="N253" s="40">
        <f ca="1">VLOOKUP(D253,gacha_133_base!A:B,2,FALSE)</f>
        <v>48</v>
      </c>
      <c r="O253" s="28">
        <v>0</v>
      </c>
      <c r="P253" s="28">
        <v>0</v>
      </c>
      <c r="Q253" s="28">
        <v>0</v>
      </c>
      <c r="R253" s="28">
        <v>0</v>
      </c>
      <c r="S253" s="28">
        <v>1</v>
      </c>
    </row>
    <row r="254" spans="1:19" ht="21" customHeight="1" thickBot="1">
      <c r="A254" s="22" t="str">
        <f t="shared" si="16"/>
        <v>03801</v>
      </c>
      <c r="B254" s="2">
        <f t="shared" si="15"/>
        <v>134</v>
      </c>
      <c r="C254" s="10" t="str">
        <f t="shared" ca="1" si="13"/>
        <v>0PremiumS3</v>
      </c>
      <c r="D254" s="10" t="str">
        <f t="shared" ca="1" si="14"/>
        <v>0PremiumS3</v>
      </c>
      <c r="E254" s="38">
        <v>0</v>
      </c>
      <c r="F254" s="27">
        <v>380</v>
      </c>
      <c r="G254" s="20" t="str">
        <f ca="1">VLOOKUP($F254,OFFSET([1]characters!$A$2,0,0,COUNTA([1]characters!$A:$A),MATCH(G$1,[1]characters!$2:$2,0)-MATCH($F$1,[1]characters!$2:$2,0)+1),MATCH(G$1,[1]characters!$2:$2,0)-MATCH($F$1,[1]characters!$2:$2,0)+1,FALSE)</f>
        <v>バハムート</v>
      </c>
      <c r="H254" s="20" t="str">
        <f ca="1">VLOOKUP($F254,OFFSET([1]characters!$A$2,0,0,COUNTA([1]characters!$A:$A),MATCH(H$1,[1]characters!$2:$2,0)-MATCH($F$1,[1]characters!$2:$2,0)+1),MATCH(H$1,[1]characters!$2:$2,0)-MATCH($F$1,[1]characters!$2:$2,0)+1,FALSE)</f>
        <v>PremiumS</v>
      </c>
      <c r="I254" s="20">
        <f ca="1">VLOOKUP($F254,OFFSET([1]characters!$A$2,0,0,COUNTA([1]characters!$A:$A),MATCH(I$1,[1]characters!$2:$2,0)-MATCH($F$1,[1]characters!$2:$2,0)+1),MATCH(I$1,[1]characters!$2:$2,0)-MATCH($F$1,[1]characters!$2:$2,0)+1,FALSE)</f>
        <v>3</v>
      </c>
      <c r="J254" s="20" t="str">
        <f ca="1">VLOOKUP($F254,OFFSET([1]characters!$A$2,0,0,COUNTA([1]characters!$A:$A),MATCH(J$1,[1]characters!$2:$2,0)-MATCH($F$1,[1]characters!$2:$2,0)+1),MATCH(J$1,[1]characters!$2:$2,0)-MATCH($F$1,[1]characters!$2:$2,0)+1,FALSE)</f>
        <v>red</v>
      </c>
      <c r="K254" s="20" t="str">
        <f ca="1">VLOOKUP($F254,OFFSET([1]characters!$A$2,0,0,COUNTA([1]characters!$A:$A),MATCH("タイプ",[1]characters!$1:$1,0)-MATCH($F$1,[1]characters!$2:$2,0)+2),MATCH("タイプ",[1]characters!$1:$1,0)-MATCH($F$1,[1]characters!$2:$2,0)+2,FALSE)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4" s="20" t="str">
        <f ca="1">VLOOKUP($F254,OFFSET([1]characters!$A$2,0,0,COUNTA([1]characters!$A:$A),MATCH($L$1,[1]characters!$1:$1,0)-MATCH($F$1,[1]characters!$2:$2,0)+2),MATCH($L$1,[1]characters!$1:$1,0)-MATCH($F$1,[1]characters!$2:$2,0)+2,FALSE)</f>
        <v>ドラゴン</v>
      </c>
      <c r="M254" s="21">
        <v>1</v>
      </c>
      <c r="N254" s="40">
        <f ca="1">VLOOKUP(D254,gacha_133_base!A:B,2,FALSE)</f>
        <v>228</v>
      </c>
      <c r="O254" s="18">
        <v>0</v>
      </c>
      <c r="P254" s="18">
        <v>0</v>
      </c>
      <c r="Q254" s="18">
        <v>0</v>
      </c>
      <c r="R254" s="18">
        <v>0</v>
      </c>
      <c r="S254" s="18">
        <v>1</v>
      </c>
    </row>
    <row r="255" spans="1:19" ht="21" customHeight="1" thickBot="1">
      <c r="A255" s="22" t="str">
        <f t="shared" si="16"/>
        <v>03811</v>
      </c>
      <c r="B255" s="2">
        <f t="shared" si="15"/>
        <v>134</v>
      </c>
      <c r="C255" s="10" t="str">
        <f t="shared" ca="1" si="13"/>
        <v>0PremiumS4</v>
      </c>
      <c r="D255" s="10" t="str">
        <f t="shared" ca="1" si="14"/>
        <v>0PremiumS4</v>
      </c>
      <c r="E255" s="38">
        <v>0</v>
      </c>
      <c r="F255" s="27">
        <v>381</v>
      </c>
      <c r="G255" s="10" t="str">
        <f ca="1">VLOOKUP($F255,OFFSET([1]characters!$A$2,0,0,COUNTA([1]characters!$A:$A),MATCH(G$1,[1]characters!$2:$2,0)-MATCH($F$1,[1]characters!$2:$2,0)+1),MATCH(G$1,[1]characters!$2:$2,0)-MATCH($F$1,[1]characters!$2:$2,0)+1,FALSE)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255" s="10" t="str">
        <f ca="1">VLOOKUP($F255,OFFSET([1]characters!$A$2,0,0,COUNTA([1]characters!$A:$A),MATCH(H$1,[1]characters!$2:$2,0)-MATCH($F$1,[1]characters!$2:$2,0)+1),MATCH(H$1,[1]characters!$2:$2,0)-MATCH($F$1,[1]characters!$2:$2,0)+1,FALSE)</f>
        <v>PremiumS</v>
      </c>
      <c r="I255" s="10">
        <f ca="1">VLOOKUP($F255,OFFSET([1]characters!$A$2,0,0,COUNTA([1]characters!$A:$A),MATCH(I$1,[1]characters!$2:$2,0)-MATCH($F$1,[1]characters!$2:$2,0)+1),MATCH(I$1,[1]characters!$2:$2,0)-MATCH($F$1,[1]characters!$2:$2,0)+1,FALSE)</f>
        <v>4</v>
      </c>
      <c r="J255" s="10" t="str">
        <f ca="1">VLOOKUP($F255,OFFSET([1]characters!$A$2,0,0,COUNTA([1]characters!$A:$A),MATCH(J$1,[1]characters!$2:$2,0)-MATCH($F$1,[1]characters!$2:$2,0)+1),MATCH(J$1,[1]characters!$2:$2,0)-MATCH($F$1,[1]characters!$2:$2,0)+1,FALSE)</f>
        <v>red</v>
      </c>
      <c r="K255" s="10" t="str">
        <f ca="1">VLOOKUP($F255,OFFSET([1]characters!$A$2,0,0,COUNTA([1]characters!$A:$A),MATCH("タイプ",[1]characters!$1:$1,0)-MATCH($F$1,[1]characters!$2:$2,0)+2),MATCH("タイプ",[1]characters!$1:$1,0)-MATCH($F$1,[1]characters!$2:$2,0)+2,FALSE)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5" s="10" t="str">
        <f ca="1">VLOOKUP($F255,OFFSET([1]characters!$A$2,0,0,COUNTA([1]characters!$A:$A),MATCH($L$1,[1]characters!$1:$1,0)-MATCH($F$1,[1]characters!$2:$2,0)+2),MATCH($L$1,[1]characters!$1:$1,0)-MATCH($F$1,[1]characters!$2:$2,0)+2,FALSE)</f>
        <v>ドラゴン</v>
      </c>
      <c r="M255" s="6">
        <v>1</v>
      </c>
      <c r="N255" s="40">
        <f ca="1">VLOOKUP(D255,gacha_133_base!A:B,2,FALSE)</f>
        <v>80</v>
      </c>
      <c r="O255" s="28">
        <v>0</v>
      </c>
      <c r="P255" s="28">
        <v>0</v>
      </c>
      <c r="Q255" s="28">
        <v>0</v>
      </c>
      <c r="R255" s="28">
        <v>0</v>
      </c>
      <c r="S255" s="28">
        <v>1</v>
      </c>
    </row>
    <row r="256" spans="1:19" ht="21" customHeight="1" thickBot="1">
      <c r="A256" s="22" t="str">
        <f t="shared" si="16"/>
        <v>03821</v>
      </c>
      <c r="B256" s="2">
        <f t="shared" si="15"/>
        <v>134</v>
      </c>
      <c r="C256" s="10" t="str">
        <f t="shared" ca="1" si="13"/>
        <v>0PremiumS5</v>
      </c>
      <c r="D256" s="10" t="str">
        <f t="shared" ca="1" si="14"/>
        <v>0PremiumS5</v>
      </c>
      <c r="E256" s="38">
        <v>0</v>
      </c>
      <c r="F256" s="27">
        <v>382</v>
      </c>
      <c r="G256" s="10" t="str">
        <f ca="1">VLOOKUP($F256,OFFSET([1]characters!$A$2,0,0,COUNTA([1]characters!$A:$A),MATCH(G$1,[1]characters!$2:$2,0)-MATCH($F$1,[1]characters!$2:$2,0)+1),MATCH(G$1,[1]characters!$2:$2,0)-MATCH($F$1,[1]characters!$2:$2,0)+1,FALSE)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256" s="10" t="str">
        <f ca="1">VLOOKUP($F256,OFFSET([1]characters!$A$2,0,0,COUNTA([1]characters!$A:$A),MATCH(H$1,[1]characters!$2:$2,0)-MATCH($F$1,[1]characters!$2:$2,0)+1),MATCH(H$1,[1]characters!$2:$2,0)-MATCH($F$1,[1]characters!$2:$2,0)+1,FALSE)</f>
        <v>PremiumS</v>
      </c>
      <c r="I256" s="10">
        <f ca="1">VLOOKUP($F256,OFFSET([1]characters!$A$2,0,0,COUNTA([1]characters!$A:$A),MATCH(I$1,[1]characters!$2:$2,0)-MATCH($F$1,[1]characters!$2:$2,0)+1),MATCH(I$1,[1]characters!$2:$2,0)-MATCH($F$1,[1]characters!$2:$2,0)+1,FALSE)</f>
        <v>5</v>
      </c>
      <c r="J256" s="10" t="str">
        <f ca="1">VLOOKUP($F256,OFFSET([1]characters!$A$2,0,0,COUNTA([1]characters!$A:$A),MATCH(J$1,[1]characters!$2:$2,0)-MATCH($F$1,[1]characters!$2:$2,0)+1),MATCH(J$1,[1]characters!$2:$2,0)-MATCH($F$1,[1]characters!$2:$2,0)+1,FALSE)</f>
        <v>red</v>
      </c>
      <c r="K256" s="10" t="str">
        <f ca="1">VLOOKUP($F256,OFFSET([1]characters!$A$2,0,0,COUNTA([1]characters!$A:$A),MATCH("タイプ",[1]characters!$1:$1,0)-MATCH($F$1,[1]characters!$2:$2,0)+2),MATCH("タイプ",[1]characters!$1:$1,0)-MATCH($F$1,[1]characters!$2:$2,0)+2,FALSE)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6" s="10" t="str">
        <f ca="1">VLOOKUP($F256,OFFSET([1]characters!$A$2,0,0,COUNTA([1]characters!$A:$A),MATCH($L$1,[1]characters!$1:$1,0)-MATCH($F$1,[1]characters!$2:$2,0)+2),MATCH($L$1,[1]characters!$1:$1,0)-MATCH($F$1,[1]characters!$2:$2,0)+2,FALSE)</f>
        <v>ドラゴン</v>
      </c>
      <c r="M256" s="6">
        <v>1</v>
      </c>
      <c r="N256" s="40">
        <f ca="1">VLOOKUP(D256,gacha_133_base!A:B,2,FALSE)</f>
        <v>13</v>
      </c>
      <c r="O256" s="28">
        <v>0</v>
      </c>
      <c r="P256" s="28">
        <v>0</v>
      </c>
      <c r="Q256" s="28">
        <v>0</v>
      </c>
      <c r="R256" s="28">
        <v>0</v>
      </c>
      <c r="S256" s="28">
        <v>1</v>
      </c>
    </row>
    <row r="257" spans="1:19" ht="21" customHeight="1" thickBot="1">
      <c r="A257" s="22" t="str">
        <f t="shared" si="16"/>
        <v>03831</v>
      </c>
      <c r="B257" s="2">
        <f t="shared" si="15"/>
        <v>134</v>
      </c>
      <c r="C257" s="10" t="str">
        <f t="shared" ca="1" si="13"/>
        <v>0PremiumSS4</v>
      </c>
      <c r="D257" s="10" t="str">
        <f t="shared" ca="1" si="14"/>
        <v>0PremiumSS4</v>
      </c>
      <c r="E257" s="38">
        <v>0</v>
      </c>
      <c r="F257" s="27">
        <v>383</v>
      </c>
      <c r="G257" s="10" t="str">
        <f ca="1">VLOOKUP($F257,OFFSET([1]characters!$A$2,0,0,COUNTA([1]characters!$A:$A),MATCH(G$1,[1]characters!$2:$2,0)-MATCH($F$1,[1]characters!$2:$2,0)+1),MATCH(G$1,[1]characters!$2:$2,0)-MATCH($F$1,[1]characters!$2:$2,0)+1,FALSE)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257" s="10" t="str">
        <f ca="1">VLOOKUP($F257,OFFSET([1]characters!$A$2,0,0,COUNTA([1]characters!$A:$A),MATCH(H$1,[1]characters!$2:$2,0)-MATCH($F$1,[1]characters!$2:$2,0)+1),MATCH(H$1,[1]characters!$2:$2,0)-MATCH($F$1,[1]characters!$2:$2,0)+1,FALSE)</f>
        <v>PremiumSS</v>
      </c>
      <c r="I257" s="10">
        <f ca="1">VLOOKUP($F257,OFFSET([1]characters!$A$2,0,0,COUNTA([1]characters!$A:$A),MATCH(I$1,[1]characters!$2:$2,0)-MATCH($F$1,[1]characters!$2:$2,0)+1),MATCH(I$1,[1]characters!$2:$2,0)-MATCH($F$1,[1]characters!$2:$2,0)+1,FALSE)</f>
        <v>4</v>
      </c>
      <c r="J257" s="10" t="str">
        <f ca="1">VLOOKUP($F257,OFFSET([1]characters!$A$2,0,0,COUNTA([1]characters!$A:$A),MATCH(J$1,[1]characters!$2:$2,0)-MATCH($F$1,[1]characters!$2:$2,0)+1),MATCH(J$1,[1]characters!$2:$2,0)-MATCH($F$1,[1]characters!$2:$2,0)+1,FALSE)</f>
        <v>green</v>
      </c>
      <c r="K257" s="10" t="str">
        <f ca="1">VLOOKUP($F257,OFFSET([1]characters!$A$2,0,0,COUNTA([1]characters!$A:$A),MATCH("タイプ",[1]characters!$1:$1,0)-MATCH($F$1,[1]characters!$2:$2,0)+2),MATCH("タイプ",[1]characters!$1:$1,0)-MATCH($F$1,[1]characters!$2:$2,0)+2,FALSE)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7" s="10" t="str">
        <f ca="1">VLOOKUP($F257,OFFSET([1]characters!$A$2,0,0,COUNTA([1]characters!$A:$A),MATCH($L$1,[1]characters!$1:$1,0)-MATCH($F$1,[1]characters!$2:$2,0)+2),MATCH($L$1,[1]characters!$1:$1,0)-MATCH($F$1,[1]characters!$2:$2,0)+2,FALSE)</f>
        <v>ドラゴン</v>
      </c>
      <c r="M257" s="6">
        <v>1</v>
      </c>
      <c r="N257" s="40">
        <f ca="1">VLOOKUP(D257,gacha_133_base!A:B,2,FALSE)</f>
        <v>144</v>
      </c>
      <c r="O257" s="28">
        <v>0</v>
      </c>
      <c r="P257" s="28">
        <v>0</v>
      </c>
      <c r="Q257" s="28">
        <v>0</v>
      </c>
      <c r="R257" s="28">
        <v>0</v>
      </c>
      <c r="S257" s="28">
        <v>1</v>
      </c>
    </row>
    <row r="258" spans="1:19" ht="21" customHeight="1" thickBot="1">
      <c r="A258" s="22" t="str">
        <f t="shared" si="16"/>
        <v>03841</v>
      </c>
      <c r="B258" s="2">
        <f t="shared" si="15"/>
        <v>134</v>
      </c>
      <c r="C258" s="10" t="str">
        <f t="shared" ca="1" si="13"/>
        <v>0PremiumSS5</v>
      </c>
      <c r="D258" s="10" t="str">
        <f t="shared" ca="1" si="14"/>
        <v>0PremiumSS5</v>
      </c>
      <c r="E258" s="38">
        <v>0</v>
      </c>
      <c r="F258" s="27">
        <v>384</v>
      </c>
      <c r="G258" s="10" t="str">
        <f ca="1">VLOOKUP($F258,OFFSET([1]characters!$A$2,0,0,COUNTA([1]characters!$A:$A),MATCH(G$1,[1]characters!$2:$2,0)-MATCH($F$1,[1]characters!$2:$2,0)+1),MATCH(G$1,[1]characters!$2:$2,0)-MATCH($F$1,[1]characters!$2:$2,0)+1,FALSE)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258" s="10" t="str">
        <f ca="1">VLOOKUP($F258,OFFSET([1]characters!$A$2,0,0,COUNTA([1]characters!$A:$A),MATCH(H$1,[1]characters!$2:$2,0)-MATCH($F$1,[1]characters!$2:$2,0)+1),MATCH(H$1,[1]characters!$2:$2,0)-MATCH($F$1,[1]characters!$2:$2,0)+1,FALSE)</f>
        <v>PremiumSS</v>
      </c>
      <c r="I258" s="10">
        <f ca="1">VLOOKUP($F258,OFFSET([1]characters!$A$2,0,0,COUNTA([1]characters!$A:$A),MATCH(I$1,[1]characters!$2:$2,0)-MATCH($F$1,[1]characters!$2:$2,0)+1),MATCH(I$1,[1]characters!$2:$2,0)-MATCH($F$1,[1]characters!$2:$2,0)+1,FALSE)</f>
        <v>5</v>
      </c>
      <c r="J258" s="10" t="str">
        <f ca="1">VLOOKUP($F258,OFFSET([1]characters!$A$2,0,0,COUNTA([1]characters!$A:$A),MATCH(J$1,[1]characters!$2:$2,0)-MATCH($F$1,[1]characters!$2:$2,0)+1),MATCH(J$1,[1]characters!$2:$2,0)-MATCH($F$1,[1]characters!$2:$2,0)+1,FALSE)</f>
        <v>green</v>
      </c>
      <c r="K258" s="10" t="str">
        <f ca="1">VLOOKUP($F258,OFFSET([1]characters!$A$2,0,0,COUNTA([1]characters!$A:$A),MATCH("タイプ",[1]characters!$1:$1,0)-MATCH($F$1,[1]characters!$2:$2,0)+2),MATCH("タイプ",[1]characters!$1:$1,0)-MATCH($F$1,[1]characters!$2:$2,0)+2,FALSE)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8" s="10" t="str">
        <f ca="1">VLOOKUP($F258,OFFSET([1]characters!$A$2,0,0,COUNTA([1]characters!$A:$A),MATCH($L$1,[1]characters!$1:$1,0)-MATCH($F$1,[1]characters!$2:$2,0)+2),MATCH($L$1,[1]characters!$1:$1,0)-MATCH($F$1,[1]characters!$2:$2,0)+2,FALSE)</f>
        <v>ドラゴン</v>
      </c>
      <c r="M258" s="6">
        <v>1</v>
      </c>
      <c r="N258" s="40">
        <f ca="1">VLOOKUP(D258,gacha_133_base!A:B,2,FALSE)</f>
        <v>48</v>
      </c>
      <c r="O258" s="28">
        <v>0</v>
      </c>
      <c r="P258" s="28">
        <v>0</v>
      </c>
      <c r="Q258" s="28">
        <v>0</v>
      </c>
      <c r="R258" s="28">
        <v>0</v>
      </c>
      <c r="S258" s="28">
        <v>1</v>
      </c>
    </row>
    <row r="259" spans="1:19" ht="21" customHeight="1" thickBot="1">
      <c r="A259" s="22" t="str">
        <f t="shared" si="16"/>
        <v>03851</v>
      </c>
      <c r="B259" s="2">
        <f t="shared" si="15"/>
        <v>134</v>
      </c>
      <c r="C259" s="10" t="str">
        <f t="shared" ca="1" si="13"/>
        <v>0PremiumSS4</v>
      </c>
      <c r="D259" s="10" t="str">
        <f t="shared" ca="1" si="14"/>
        <v>0PremiumSS4</v>
      </c>
      <c r="E259" s="38">
        <v>0</v>
      </c>
      <c r="F259" s="27">
        <v>385</v>
      </c>
      <c r="G259" s="10" t="str">
        <f ca="1">VLOOKUP($F259,OFFSET([1]characters!$A$2,0,0,COUNTA([1]characters!$A:$A),MATCH(G$1,[1]characters!$2:$2,0)-MATCH($F$1,[1]characters!$2:$2,0)+1),MATCH(G$1,[1]characters!$2:$2,0)-MATCH($F$1,[1]characters!$2:$2,0)+1,FALSE)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259" s="10" t="str">
        <f ca="1">VLOOKUP($F259,OFFSET([1]characters!$A$2,0,0,COUNTA([1]characters!$A:$A),MATCH(H$1,[1]characters!$2:$2,0)-MATCH($F$1,[1]characters!$2:$2,0)+1),MATCH(H$1,[1]characters!$2:$2,0)-MATCH($F$1,[1]characters!$2:$2,0)+1,FALSE)</f>
        <v>PremiumSS</v>
      </c>
      <c r="I259" s="10">
        <f ca="1">VLOOKUP($F259,OFFSET([1]characters!$A$2,0,0,COUNTA([1]characters!$A:$A),MATCH(I$1,[1]characters!$2:$2,0)-MATCH($F$1,[1]characters!$2:$2,0)+1),MATCH(I$1,[1]characters!$2:$2,0)-MATCH($F$1,[1]characters!$2:$2,0)+1,FALSE)</f>
        <v>4</v>
      </c>
      <c r="J259" s="10" t="str">
        <f ca="1">VLOOKUP($F259,OFFSET([1]characters!$A$2,0,0,COUNTA([1]characters!$A:$A),MATCH(J$1,[1]characters!$2:$2,0)-MATCH($F$1,[1]characters!$2:$2,0)+1),MATCH(J$1,[1]characters!$2:$2,0)-MATCH($F$1,[1]characters!$2:$2,0)+1,FALSE)</f>
        <v>blue</v>
      </c>
      <c r="K259" s="10" t="str">
        <f ca="1">VLOOKUP($F259,OFFSET([1]characters!$A$2,0,0,COUNTA([1]characters!$A:$A),MATCH("タイプ",[1]characters!$1:$1,0)-MATCH($F$1,[1]characters!$2:$2,0)+2),MATCH("タイプ",[1]characters!$1:$1,0)-MATCH($F$1,[1]characters!$2:$2,0)+2,FALSE)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9" s="10" t="str">
        <f ca="1">VLOOKUP($F259,OFFSET([1]characters!$A$2,0,0,COUNTA([1]characters!$A:$A),MATCH($L$1,[1]characters!$1:$1,0)-MATCH($F$1,[1]characters!$2:$2,0)+2),MATCH($L$1,[1]characters!$1:$1,0)-MATCH($F$1,[1]characters!$2:$2,0)+2,FALSE)</f>
        <v>ドラゴン</v>
      </c>
      <c r="M259" s="6">
        <v>1</v>
      </c>
      <c r="N259" s="40">
        <f ca="1">VLOOKUP(D259,gacha_133_base!A:B,2,FALSE)</f>
        <v>144</v>
      </c>
      <c r="O259" s="28">
        <v>0</v>
      </c>
      <c r="P259" s="28">
        <v>0</v>
      </c>
      <c r="Q259" s="28">
        <v>0</v>
      </c>
      <c r="R259" s="28">
        <v>0</v>
      </c>
      <c r="S259" s="28">
        <v>1</v>
      </c>
    </row>
    <row r="260" spans="1:19" ht="21" customHeight="1" thickBot="1">
      <c r="A260" s="22" t="str">
        <f t="shared" si="16"/>
        <v>03861</v>
      </c>
      <c r="B260" s="2">
        <f t="shared" si="15"/>
        <v>134</v>
      </c>
      <c r="C260" s="10" t="str">
        <f t="shared" ca="1" si="13"/>
        <v>0PremiumSS5</v>
      </c>
      <c r="D260" s="10" t="str">
        <f t="shared" ca="1" si="14"/>
        <v>0PremiumSS5</v>
      </c>
      <c r="E260" s="38">
        <v>0</v>
      </c>
      <c r="F260" s="31">
        <v>386</v>
      </c>
      <c r="G260" s="34" t="str">
        <f ca="1">VLOOKUP($F260,OFFSET([1]characters!$A$2,0,0,COUNTA([1]characters!$A:$A),MATCH(G$1,[1]characters!$2:$2,0)-MATCH($F$1,[1]characters!$2:$2,0)+1),MATCH(G$1,[1]characters!$2:$2,0)-MATCH($F$1,[1]characters!$2:$2,0)+1,FALSE)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260" s="34" t="str">
        <f ca="1">VLOOKUP($F260,OFFSET([1]characters!$A$2,0,0,COUNTA([1]characters!$A:$A),MATCH(H$1,[1]characters!$2:$2,0)-MATCH($F$1,[1]characters!$2:$2,0)+1),MATCH(H$1,[1]characters!$2:$2,0)-MATCH($F$1,[1]characters!$2:$2,0)+1,FALSE)</f>
        <v>PremiumSS</v>
      </c>
      <c r="I260" s="34">
        <f ca="1">VLOOKUP($F260,OFFSET([1]characters!$A$2,0,0,COUNTA([1]characters!$A:$A),MATCH(I$1,[1]characters!$2:$2,0)-MATCH($F$1,[1]characters!$2:$2,0)+1),MATCH(I$1,[1]characters!$2:$2,0)-MATCH($F$1,[1]characters!$2:$2,0)+1,FALSE)</f>
        <v>5</v>
      </c>
      <c r="J260" s="34" t="str">
        <f ca="1">VLOOKUP($F260,OFFSET([1]characters!$A$2,0,0,COUNTA([1]characters!$A:$A),MATCH(J$1,[1]characters!$2:$2,0)-MATCH($F$1,[1]characters!$2:$2,0)+1),MATCH(J$1,[1]characters!$2:$2,0)-MATCH($F$1,[1]characters!$2:$2,0)+1,FALSE)</f>
        <v>blue</v>
      </c>
      <c r="K260" s="34" t="str">
        <f ca="1">VLOOKUP($F260,OFFSET([1]characters!$A$2,0,0,COUNTA([1]characters!$A:$A),MATCH("タイプ",[1]characters!$1:$1,0)-MATCH($F$1,[1]characters!$2:$2,0)+2),MATCH("タイプ",[1]characters!$1:$1,0)-MATCH($F$1,[1]characters!$2:$2,0)+2,FALSE)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0" s="34" t="str">
        <f ca="1">VLOOKUP($F260,OFFSET([1]characters!$A$2,0,0,COUNTA([1]characters!$A:$A),MATCH($L$1,[1]characters!$1:$1,0)-MATCH($F$1,[1]characters!$2:$2,0)+2),MATCH($L$1,[1]characters!$1:$1,0)-MATCH($F$1,[1]characters!$2:$2,0)+2,FALSE)</f>
        <v>ドラゴン</v>
      </c>
      <c r="M260" s="32">
        <v>1</v>
      </c>
      <c r="N260" s="40">
        <f ca="1">VLOOKUP(D260,gacha_133_base!A:B,2,FALSE)</f>
        <v>48</v>
      </c>
      <c r="O260" s="35">
        <v>0</v>
      </c>
      <c r="P260" s="35">
        <v>0</v>
      </c>
      <c r="Q260" s="35">
        <v>0</v>
      </c>
      <c r="R260" s="35">
        <v>0</v>
      </c>
      <c r="S260" s="35">
        <v>1</v>
      </c>
    </row>
    <row r="261" spans="1:19" ht="21" customHeight="1" thickBot="1">
      <c r="A261" s="22" t="str">
        <f t="shared" si="16"/>
        <v>03871</v>
      </c>
      <c r="B261" s="2">
        <f t="shared" si="15"/>
        <v>134</v>
      </c>
      <c r="C261" s="10" t="str">
        <f t="shared" ca="1" si="13"/>
        <v>0PremiumS3</v>
      </c>
      <c r="D261" s="10" t="str">
        <f t="shared" ca="1" si="14"/>
        <v>0PremiumS3</v>
      </c>
      <c r="E261" s="38">
        <v>0</v>
      </c>
      <c r="F261" s="7">
        <v>387</v>
      </c>
      <c r="G261" s="10" t="str">
        <f ca="1">VLOOKUP($F261,OFFSET([1]characters!$A$2,0,0,COUNTA([1]characters!$A:$A),MATCH(G$1,[1]characters!$2:$2,0)-MATCH($F$1,[1]characters!$2:$2,0)+1),MATCH(G$1,[1]characters!$2:$2,0)-MATCH($F$1,[1]characters!$2:$2,0)+1,FALSE)</f>
        <v>スフィンクス</v>
      </c>
      <c r="H261" s="10" t="str">
        <f ca="1">VLOOKUP($F261,OFFSET([1]characters!$A$2,0,0,COUNTA([1]characters!$A:$A),MATCH(H$1,[1]characters!$2:$2,0)-MATCH($F$1,[1]characters!$2:$2,0)+1),MATCH(H$1,[1]characters!$2:$2,0)-MATCH($F$1,[1]characters!$2:$2,0)+1,FALSE)</f>
        <v>PremiumS</v>
      </c>
      <c r="I261" s="10">
        <f ca="1">VLOOKUP($F261,OFFSET([1]characters!$A$2,0,0,COUNTA([1]characters!$A:$A),MATCH(I$1,[1]characters!$2:$2,0)-MATCH($F$1,[1]characters!$2:$2,0)+1),MATCH(I$1,[1]characters!$2:$2,0)-MATCH($F$1,[1]characters!$2:$2,0)+1,FALSE)</f>
        <v>3</v>
      </c>
      <c r="J261" s="10" t="str">
        <f ca="1">VLOOKUP($F261,OFFSET([1]characters!$A$2,0,0,COUNTA([1]characters!$A:$A),MATCH(J$1,[1]characters!$2:$2,0)-MATCH($F$1,[1]characters!$2:$2,0)+1),MATCH(J$1,[1]characters!$2:$2,0)-MATCH($F$1,[1]characters!$2:$2,0)+1,FALSE)</f>
        <v>yellow</v>
      </c>
      <c r="K261" s="10" t="str">
        <f ca="1">VLOOKUP($F261,OFFSET([1]characters!$A$2,0,0,COUNTA([1]characters!$A:$A),MATCH("タイプ",[1]characters!$1:$1,0)-MATCH($F$1,[1]characters!$2:$2,0)+2),MATCH("タイプ",[1]characters!$1:$1,0)-MATCH($F$1,[1]characters!$2:$2,0)+2,FALSE)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1" s="10" t="str">
        <f ca="1">VLOOKUP($F261,OFFSET([1]characters!$A$2,0,0,COUNTA([1]characters!$A:$A),MATCH($L$1,[1]characters!$1:$1,0)-MATCH($F$1,[1]characters!$2:$2,0)+2),MATCH($L$1,[1]characters!$1:$1,0)-MATCH($F$1,[1]characters!$2:$2,0)+2,FALSE)</f>
        <v>アニマル</v>
      </c>
      <c r="M261" s="6">
        <v>1</v>
      </c>
      <c r="N261" s="40">
        <f ca="1">VLOOKUP(D261,gacha_133_base!A:B,2,FALSE)</f>
        <v>228</v>
      </c>
      <c r="O261" s="28">
        <v>0</v>
      </c>
      <c r="P261" s="28">
        <v>0</v>
      </c>
      <c r="Q261" s="28">
        <v>0</v>
      </c>
      <c r="R261" s="28">
        <v>0</v>
      </c>
      <c r="S261" s="28">
        <v>1</v>
      </c>
    </row>
    <row r="262" spans="1:19" ht="21" customHeight="1">
      <c r="A262" s="30" t="str">
        <f t="shared" si="16"/>
        <v>03881</v>
      </c>
      <c r="B262" s="2">
        <f t="shared" si="15"/>
        <v>134</v>
      </c>
      <c r="C262" s="10" t="str">
        <f t="shared" ca="1" si="13"/>
        <v>0PremiumS4</v>
      </c>
      <c r="D262" s="10" t="str">
        <f t="shared" ca="1" si="14"/>
        <v>0PremiumS4</v>
      </c>
      <c r="E262" s="38">
        <v>0</v>
      </c>
      <c r="F262" s="33">
        <v>388</v>
      </c>
      <c r="G262" s="34" t="str">
        <f ca="1">VLOOKUP($F262,OFFSET([1]characters!$A$2,0,0,COUNTA([1]characters!$A:$A),MATCH(G$1,[1]characters!$2:$2,0)-MATCH($F$1,[1]characters!$2:$2,0)+1),MATCH(G$1,[1]characters!$2:$2,0)-MATCH($F$1,[1]characters!$2:$2,0)+1,FALSE)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262" s="34" t="str">
        <f ca="1">VLOOKUP($F262,OFFSET([1]characters!$A$2,0,0,COUNTA([1]characters!$A:$A),MATCH(H$1,[1]characters!$2:$2,0)-MATCH($F$1,[1]characters!$2:$2,0)+1),MATCH(H$1,[1]characters!$2:$2,0)-MATCH($F$1,[1]characters!$2:$2,0)+1,FALSE)</f>
        <v>PremiumS</v>
      </c>
      <c r="I262" s="34">
        <f ca="1">VLOOKUP($F262,OFFSET([1]characters!$A$2,0,0,COUNTA([1]characters!$A:$A),MATCH(I$1,[1]characters!$2:$2,0)-MATCH($F$1,[1]characters!$2:$2,0)+1),MATCH(I$1,[1]characters!$2:$2,0)-MATCH($F$1,[1]characters!$2:$2,0)+1,FALSE)</f>
        <v>4</v>
      </c>
      <c r="J262" s="34" t="str">
        <f ca="1">VLOOKUP($F262,OFFSET([1]characters!$A$2,0,0,COUNTA([1]characters!$A:$A),MATCH(J$1,[1]characters!$2:$2,0)-MATCH($F$1,[1]characters!$2:$2,0)+1),MATCH(J$1,[1]characters!$2:$2,0)-MATCH($F$1,[1]characters!$2:$2,0)+1,FALSE)</f>
        <v>yellow</v>
      </c>
      <c r="K262" s="34" t="str">
        <f ca="1">VLOOKUP($F262,OFFSET([1]characters!$A$2,0,0,COUNTA([1]characters!$A:$A),MATCH("タイプ",[1]characters!$1:$1,0)-MATCH($F$1,[1]characters!$2:$2,0)+2),MATCH("タイプ",[1]characters!$1:$1,0)-MATCH($F$1,[1]characters!$2:$2,0)+2,FALSE)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2" s="34" t="str">
        <f ca="1">VLOOKUP($F262,OFFSET([1]characters!$A$2,0,0,COUNTA([1]characters!$A:$A),MATCH($L$1,[1]characters!$1:$1,0)-MATCH($F$1,[1]characters!$2:$2,0)+2),MATCH($L$1,[1]characters!$1:$1,0)-MATCH($F$1,[1]characters!$2:$2,0)+2,FALSE)</f>
        <v>アニマル</v>
      </c>
      <c r="M262" s="32">
        <v>1</v>
      </c>
      <c r="N262" s="40">
        <f ca="1">VLOOKUP(D262,gacha_133_base!A:B,2,FALSE)</f>
        <v>80</v>
      </c>
      <c r="O262" s="35">
        <v>0</v>
      </c>
      <c r="P262" s="35">
        <v>0</v>
      </c>
      <c r="Q262" s="35">
        <v>0</v>
      </c>
      <c r="R262" s="35">
        <v>0</v>
      </c>
      <c r="S262" s="35">
        <v>1</v>
      </c>
    </row>
    <row r="263" spans="1:19" s="37" customFormat="1" ht="21" customHeight="1" thickBot="1">
      <c r="A263" s="36" t="str">
        <f t="shared" si="16"/>
        <v>03891</v>
      </c>
      <c r="B263" s="2">
        <f t="shared" si="15"/>
        <v>134</v>
      </c>
      <c r="C263" s="10" t="str">
        <f t="shared" ca="1" si="13"/>
        <v>0PremiumS5</v>
      </c>
      <c r="D263" s="10" t="str">
        <f t="shared" ca="1" si="14"/>
        <v>0PremiumS5</v>
      </c>
      <c r="E263" s="38">
        <v>0</v>
      </c>
      <c r="F263" s="25">
        <v>389</v>
      </c>
      <c r="G263" s="23" t="str">
        <f ca="1">VLOOKUP($F263,OFFSET([1]characters!$A$2,0,0,COUNTA([1]characters!$A:$A),MATCH(G$1,[1]characters!$2:$2,0)-MATCH($F$1,[1]characters!$2:$2,0)+1),MATCH(G$1,[1]characters!$2:$2,0)-MATCH($F$1,[1]characters!$2:$2,0)+1,FALSE)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263" s="23" t="str">
        <f ca="1">VLOOKUP($F263,OFFSET([1]characters!$A$2,0,0,COUNTA([1]characters!$A:$A),MATCH(H$1,[1]characters!$2:$2,0)-MATCH($F$1,[1]characters!$2:$2,0)+1),MATCH(H$1,[1]characters!$2:$2,0)-MATCH($F$1,[1]characters!$2:$2,0)+1,FALSE)</f>
        <v>PremiumS</v>
      </c>
      <c r="I263" s="23">
        <f ca="1">VLOOKUP($F263,OFFSET([1]characters!$A$2,0,0,COUNTA([1]characters!$A:$A),MATCH(I$1,[1]characters!$2:$2,0)-MATCH($F$1,[1]characters!$2:$2,0)+1),MATCH(I$1,[1]characters!$2:$2,0)-MATCH($F$1,[1]characters!$2:$2,0)+1,FALSE)</f>
        <v>5</v>
      </c>
      <c r="J263" s="23" t="str">
        <f ca="1">VLOOKUP($F263,OFFSET([1]characters!$A$2,0,0,COUNTA([1]characters!$A:$A),MATCH(J$1,[1]characters!$2:$2,0)-MATCH($F$1,[1]characters!$2:$2,0)+1),MATCH(J$1,[1]characters!$2:$2,0)-MATCH($F$1,[1]characters!$2:$2,0)+1,FALSE)</f>
        <v>yellow</v>
      </c>
      <c r="K263" s="23" t="str">
        <f ca="1">VLOOKUP($F263,OFFSET([1]characters!$A$2,0,0,COUNTA([1]characters!$A:$A),MATCH("タイプ",[1]characters!$1:$1,0)-MATCH($F$1,[1]characters!$2:$2,0)+2),MATCH("タイプ",[1]characters!$1:$1,0)-MATCH($F$1,[1]characters!$2:$2,0)+2,FALSE)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3" s="23" t="str">
        <f ca="1">VLOOKUP($F263,OFFSET([1]characters!$A$2,0,0,COUNTA([1]characters!$A:$A),MATCH($L$1,[1]characters!$1:$1,0)-MATCH($F$1,[1]characters!$2:$2,0)+2),MATCH($L$1,[1]characters!$1:$1,0)-MATCH($F$1,[1]characters!$2:$2,0)+2,FALSE)</f>
        <v>アニマル</v>
      </c>
      <c r="M263" s="24">
        <v>1</v>
      </c>
      <c r="N263" s="40">
        <f ca="1">VLOOKUP(D263,gacha_133_base!A:B,2,FALSE)</f>
        <v>13</v>
      </c>
      <c r="O263" s="29">
        <v>0</v>
      </c>
      <c r="P263" s="29">
        <v>0</v>
      </c>
      <c r="Q263" s="29">
        <v>0</v>
      </c>
      <c r="R263" s="29">
        <v>0</v>
      </c>
      <c r="S263" s="29">
        <v>1</v>
      </c>
    </row>
    <row r="264" spans="1:19" ht="21" customHeight="1" thickBot="1">
      <c r="A264" s="22" t="str">
        <f t="shared" si="16"/>
        <v>03901</v>
      </c>
      <c r="B264" s="2">
        <f t="shared" si="15"/>
        <v>134</v>
      </c>
      <c r="C264" s="10" t="str">
        <f t="shared" ca="1" si="13"/>
        <v>0PremiumSS4</v>
      </c>
      <c r="D264" s="10" t="str">
        <f ca="1">E264&amp;H264&amp;I264&amp;"pick"</f>
        <v>0PremiumSS4pick</v>
      </c>
      <c r="E264" s="38">
        <v>0</v>
      </c>
      <c r="F264" s="31">
        <v>390</v>
      </c>
      <c r="G264" s="34" t="str">
        <f ca="1">VLOOKUP($F264,OFFSET([1]characters!$A$2,0,0,COUNTA([1]characters!$A:$A),MATCH(G$1,[1]characters!$2:$2,0)-MATCH($F$1,[1]characters!$2:$2,0)+1),MATCH(G$1,[1]characters!$2:$2,0)-MATCH($F$1,[1]characters!$2:$2,0)+1,FALSE)</f>
        <v>華環の旅客 親指姫</v>
      </c>
      <c r="H264" s="34" t="str">
        <f ca="1">VLOOKUP($F264,OFFSET([1]characters!$A$2,0,0,COUNTA([1]characters!$A:$A),MATCH(H$1,[1]characters!$2:$2,0)-MATCH($F$1,[1]characters!$2:$2,0)+1),MATCH(H$1,[1]characters!$2:$2,0)-MATCH($F$1,[1]characters!$2:$2,0)+1,FALSE)</f>
        <v>PremiumSS</v>
      </c>
      <c r="I264" s="34">
        <f ca="1">VLOOKUP($F264,OFFSET([1]characters!$A$2,0,0,COUNTA([1]characters!$A:$A),MATCH(I$1,[1]characters!$2:$2,0)-MATCH($F$1,[1]characters!$2:$2,0)+1),MATCH(I$1,[1]characters!$2:$2,0)-MATCH($F$1,[1]characters!$2:$2,0)+1,FALSE)</f>
        <v>4</v>
      </c>
      <c r="J264" s="34" t="str">
        <f ca="1">VLOOKUP($F264,OFFSET([1]characters!$A$2,0,0,COUNTA([1]characters!$A:$A),MATCH(J$1,[1]characters!$2:$2,0)-MATCH($F$1,[1]characters!$2:$2,0)+1),MATCH(J$1,[1]characters!$2:$2,0)-MATCH($F$1,[1]characters!$2:$2,0)+1,FALSE)</f>
        <v>red</v>
      </c>
      <c r="K264" s="34" t="str">
        <f ca="1">VLOOKUP($F264,OFFSET([1]characters!$A$2,0,0,COUNTA([1]characters!$A:$A),MATCH("タイプ",[1]characters!$1:$1,0)-MATCH($F$1,[1]characters!$2:$2,0)+2),MATCH("タイプ",[1]characters!$1:$1,0)-MATCH($F$1,[1]characters!$2:$2,0)+2,FALSE)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4" s="34" t="str">
        <f ca="1">VLOOKUP($F264,OFFSET([1]characters!$A$2,0,0,COUNTA([1]characters!$A:$A),MATCH($L$1,[1]characters!$1:$1,0)-MATCH($F$1,[1]characters!$2:$2,0)+2),MATCH($L$1,[1]characters!$1:$1,0)-MATCH($F$1,[1]characters!$2:$2,0)+2,FALSE)</f>
        <v>ヒューマン</v>
      </c>
      <c r="M264" s="32">
        <v>1</v>
      </c>
      <c r="N264" s="40">
        <f ca="1">VLOOKUP(D264,gacha_133_base!A:B,2,FALSE)</f>
        <v>1348</v>
      </c>
      <c r="O264" s="35">
        <v>0</v>
      </c>
      <c r="P264" s="35">
        <v>0</v>
      </c>
      <c r="Q264" s="35">
        <v>0</v>
      </c>
      <c r="R264" s="35">
        <v>0</v>
      </c>
      <c r="S264" s="35">
        <v>1</v>
      </c>
    </row>
    <row r="265" spans="1:19" ht="21" customHeight="1" thickBot="1">
      <c r="A265" s="22" t="str">
        <f t="shared" si="16"/>
        <v>03911</v>
      </c>
      <c r="B265" s="2">
        <f t="shared" si="15"/>
        <v>134</v>
      </c>
      <c r="C265" s="10" t="str">
        <f t="shared" ca="1" si="13"/>
        <v>0PremiumSS5</v>
      </c>
      <c r="D265" s="10" t="str">
        <f t="shared" ref="D265:D273" ca="1" si="17">E265&amp;H265&amp;I265&amp;"pick"</f>
        <v>0PremiumSS5pick</v>
      </c>
      <c r="E265" s="38">
        <v>0</v>
      </c>
      <c r="F265" s="7">
        <v>391</v>
      </c>
      <c r="G265" s="10" t="str">
        <f ca="1">VLOOKUP($F265,OFFSET([1]characters!$A$2,0,0,COUNTA([1]characters!$A:$A),MATCH(G$1,[1]characters!$2:$2,0)-MATCH($F$1,[1]characters!$2:$2,0)+1),MATCH(G$1,[1]characters!$2:$2,0)-MATCH($F$1,[1]characters!$2:$2,0)+1,FALSE)</f>
        <v>燕翼の旅人 親指姫</v>
      </c>
      <c r="H265" s="10" t="str">
        <f ca="1">VLOOKUP($F265,OFFSET([1]characters!$A$2,0,0,COUNTA([1]characters!$A:$A),MATCH(H$1,[1]characters!$2:$2,0)-MATCH($F$1,[1]characters!$2:$2,0)+1),MATCH(H$1,[1]characters!$2:$2,0)-MATCH($F$1,[1]characters!$2:$2,0)+1,FALSE)</f>
        <v>PremiumSS</v>
      </c>
      <c r="I265" s="10">
        <f ca="1">VLOOKUP($F265,OFFSET([1]characters!$A$2,0,0,COUNTA([1]characters!$A:$A),MATCH(I$1,[1]characters!$2:$2,0)-MATCH($F$1,[1]characters!$2:$2,0)+1),MATCH(I$1,[1]characters!$2:$2,0)-MATCH($F$1,[1]characters!$2:$2,0)+1,FALSE)</f>
        <v>5</v>
      </c>
      <c r="J265" s="10" t="str">
        <f ca="1">VLOOKUP($F265,OFFSET([1]characters!$A$2,0,0,COUNTA([1]characters!$A:$A),MATCH(J$1,[1]characters!$2:$2,0)-MATCH($F$1,[1]characters!$2:$2,0)+1),MATCH(J$1,[1]characters!$2:$2,0)-MATCH($F$1,[1]characters!$2:$2,0)+1,FALSE)</f>
        <v>red</v>
      </c>
      <c r="K265" s="10" t="str">
        <f ca="1">VLOOKUP($F265,OFFSET([1]characters!$A$2,0,0,COUNTA([1]characters!$A:$A),MATCH("タイプ",[1]characters!$1:$1,0)-MATCH($F$1,[1]characters!$2:$2,0)+2),MATCH("タイプ",[1]characters!$1:$1,0)-MATCH($F$1,[1]characters!$2:$2,0)+2,FALSE)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5" s="10" t="str">
        <f ca="1">VLOOKUP($F265,OFFSET([1]characters!$A$2,0,0,COUNTA([1]characters!$A:$A),MATCH($L$1,[1]characters!$1:$1,0)-MATCH($F$1,[1]characters!$2:$2,0)+2),MATCH($L$1,[1]characters!$1:$1,0)-MATCH($F$1,[1]characters!$2:$2,0)+2,FALSE)</f>
        <v>ヒューマン</v>
      </c>
      <c r="M265" s="6">
        <v>1</v>
      </c>
      <c r="N265" s="40">
        <f ca="1">VLOOKUP(D265,gacha_133_base!A:B,2,FALSE)</f>
        <v>193</v>
      </c>
      <c r="O265" s="28">
        <v>0</v>
      </c>
      <c r="P265" s="28">
        <v>0</v>
      </c>
      <c r="Q265" s="28">
        <v>0</v>
      </c>
      <c r="R265" s="28">
        <v>0</v>
      </c>
      <c r="S265" s="28">
        <v>1</v>
      </c>
    </row>
    <row r="266" spans="1:19" ht="21" customHeight="1">
      <c r="A266" s="30" t="str">
        <f t="shared" si="16"/>
        <v>03921</v>
      </c>
      <c r="B266" s="2">
        <f t="shared" si="15"/>
        <v>134</v>
      </c>
      <c r="C266" s="10" t="str">
        <f t="shared" ca="1" si="13"/>
        <v>0PremiumS3</v>
      </c>
      <c r="D266" s="10" t="str">
        <f t="shared" ca="1" si="17"/>
        <v>0PremiumS3pick</v>
      </c>
      <c r="E266" s="38">
        <v>0</v>
      </c>
      <c r="F266" s="33">
        <v>392</v>
      </c>
      <c r="G266" s="34" t="str">
        <f ca="1">VLOOKUP($F266,OFFSET([1]characters!$A$2,0,0,COUNTA([1]characters!$A:$A),MATCH(G$1,[1]characters!$2:$2,0)-MATCH($F$1,[1]characters!$2:$2,0)+1),MATCH(G$1,[1]characters!$2:$2,0)-MATCH($F$1,[1]characters!$2:$2,0)+1,FALSE)</f>
        <v>ピーターパン</v>
      </c>
      <c r="H266" s="34" t="str">
        <f ca="1">VLOOKUP($F266,OFFSET([1]characters!$A$2,0,0,COUNTA([1]characters!$A:$A),MATCH(H$1,[1]characters!$2:$2,0)-MATCH($F$1,[1]characters!$2:$2,0)+1),MATCH(H$1,[1]characters!$2:$2,0)-MATCH($F$1,[1]characters!$2:$2,0)+1,FALSE)</f>
        <v>PremiumS</v>
      </c>
      <c r="I266" s="34">
        <f ca="1">VLOOKUP($F266,OFFSET([1]characters!$A$2,0,0,COUNTA([1]characters!$A:$A),MATCH(I$1,[1]characters!$2:$2,0)-MATCH($F$1,[1]characters!$2:$2,0)+1),MATCH(I$1,[1]characters!$2:$2,0)-MATCH($F$1,[1]characters!$2:$2,0)+1,FALSE)</f>
        <v>3</v>
      </c>
      <c r="J266" s="34" t="str">
        <f ca="1">VLOOKUP($F266,OFFSET([1]characters!$A$2,0,0,COUNTA([1]characters!$A:$A),MATCH(J$1,[1]characters!$2:$2,0)-MATCH($F$1,[1]characters!$2:$2,0)+1),MATCH(J$1,[1]characters!$2:$2,0)-MATCH($F$1,[1]characters!$2:$2,0)+1,FALSE)</f>
        <v>green</v>
      </c>
      <c r="K266" s="34" t="str">
        <f ca="1">VLOOKUP($F266,OFFSET([1]characters!$A$2,0,0,COUNTA([1]characters!$A:$A),MATCH("タイプ",[1]characters!$1:$1,0)-MATCH($F$1,[1]characters!$2:$2,0)+2),MATCH("タイプ",[1]characters!$1:$1,0)-MATCH($F$1,[1]characters!$2:$2,0)+2,FALSE)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6" s="34" t="str">
        <f ca="1">VLOOKUP($F266,OFFSET([1]characters!$A$2,0,0,COUNTA([1]characters!$A:$A),MATCH($L$1,[1]characters!$1:$1,0)-MATCH($F$1,[1]characters!$2:$2,0)+2),MATCH($L$1,[1]characters!$1:$1,0)-MATCH($F$1,[1]characters!$2:$2,0)+2,FALSE)</f>
        <v>ヒューマン</v>
      </c>
      <c r="M266" s="32">
        <v>1</v>
      </c>
      <c r="N266" s="40">
        <f ca="1">VLOOKUP(D266,gacha_133_base!A:B,2,FALSE)</f>
        <v>4374</v>
      </c>
      <c r="O266" s="35">
        <v>0</v>
      </c>
      <c r="P266" s="35">
        <v>0</v>
      </c>
      <c r="Q266" s="35">
        <v>0</v>
      </c>
      <c r="R266" s="35">
        <v>0</v>
      </c>
      <c r="S266" s="35">
        <v>1</v>
      </c>
    </row>
    <row r="267" spans="1:19" ht="21" customHeight="1" thickBot="1">
      <c r="A267" s="36" t="str">
        <f t="shared" si="16"/>
        <v>03931</v>
      </c>
      <c r="B267" s="2">
        <f t="shared" si="15"/>
        <v>134</v>
      </c>
      <c r="C267" s="10" t="str">
        <f t="shared" ref="C267:C273" ca="1" si="18">E267&amp;H267&amp;I267</f>
        <v>0PremiumS4</v>
      </c>
      <c r="D267" s="10" t="str">
        <f t="shared" ca="1" si="17"/>
        <v>0PremiumS4pick</v>
      </c>
      <c r="E267" s="38">
        <v>0</v>
      </c>
      <c r="F267" s="25">
        <v>393</v>
      </c>
      <c r="G267" s="23" t="str">
        <f ca="1">VLOOKUP($F267,OFFSET([1]characters!$A$2,0,0,COUNTA([1]characters!$A:$A),MATCH(G$1,[1]characters!$2:$2,0)-MATCH($F$1,[1]characters!$2:$2,0)+1),MATCH(G$1,[1]characters!$2:$2,0)-MATCH($F$1,[1]characters!$2:$2,0)+1,FALSE)</f>
        <v>影縫い ピーターパン</v>
      </c>
      <c r="H267" s="23" t="str">
        <f ca="1">VLOOKUP($F267,OFFSET([1]characters!$A$2,0,0,COUNTA([1]characters!$A:$A),MATCH(H$1,[1]characters!$2:$2,0)-MATCH($F$1,[1]characters!$2:$2,0)+1),MATCH(H$1,[1]characters!$2:$2,0)-MATCH($F$1,[1]characters!$2:$2,0)+1,FALSE)</f>
        <v>PremiumS</v>
      </c>
      <c r="I267" s="23">
        <f ca="1">VLOOKUP($F267,OFFSET([1]characters!$A$2,0,0,COUNTA([1]characters!$A:$A),MATCH(I$1,[1]characters!$2:$2,0)-MATCH($F$1,[1]characters!$2:$2,0)+1),MATCH(I$1,[1]characters!$2:$2,0)-MATCH($F$1,[1]characters!$2:$2,0)+1,FALSE)</f>
        <v>4</v>
      </c>
      <c r="J267" s="23" t="str">
        <f ca="1">VLOOKUP($F267,OFFSET([1]characters!$A$2,0,0,COUNTA([1]characters!$A:$A),MATCH(J$1,[1]characters!$2:$2,0)-MATCH($F$1,[1]characters!$2:$2,0)+1),MATCH(J$1,[1]characters!$2:$2,0)-MATCH($F$1,[1]characters!$2:$2,0)+1,FALSE)</f>
        <v>green</v>
      </c>
      <c r="K267" s="23" t="str">
        <f ca="1">VLOOKUP($F267,OFFSET([1]characters!$A$2,0,0,COUNTA([1]characters!$A:$A),MATCH("タイプ",[1]characters!$1:$1,0)-MATCH($F$1,[1]characters!$2:$2,0)+2),MATCH("タイプ",[1]characters!$1:$1,0)-MATCH($F$1,[1]characters!$2:$2,0)+2,FALSE)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7" s="23" t="str">
        <f ca="1">VLOOKUP($F267,OFFSET([1]characters!$A$2,0,0,COUNTA([1]characters!$A:$A),MATCH($L$1,[1]characters!$1:$1,0)-MATCH($F$1,[1]characters!$2:$2,0)+2),MATCH($L$1,[1]characters!$1:$1,0)-MATCH($F$1,[1]characters!$2:$2,0)+2,FALSE)</f>
        <v>ヒューマン</v>
      </c>
      <c r="M267" s="24">
        <v>1</v>
      </c>
      <c r="N267" s="40">
        <f ca="1">VLOOKUP(D267,gacha_133_base!A:B,2,FALSE)</f>
        <v>1540</v>
      </c>
      <c r="O267" s="29">
        <v>0</v>
      </c>
      <c r="P267" s="29">
        <v>0</v>
      </c>
      <c r="Q267" s="29">
        <v>0</v>
      </c>
      <c r="R267" s="29">
        <v>0</v>
      </c>
      <c r="S267" s="29">
        <v>1</v>
      </c>
    </row>
    <row r="268" spans="1:19" ht="21" customHeight="1" thickBot="1">
      <c r="A268" s="22" t="str">
        <f t="shared" si="16"/>
        <v>03941</v>
      </c>
      <c r="B268" s="2">
        <f t="shared" ref="B268:B273" si="19">$B$2</f>
        <v>134</v>
      </c>
      <c r="C268" s="10" t="str">
        <f t="shared" ca="1" si="18"/>
        <v>0PremiumS5</v>
      </c>
      <c r="D268" s="10" t="str">
        <f t="shared" ca="1" si="17"/>
        <v>0PremiumS5pick</v>
      </c>
      <c r="E268" s="38">
        <v>0</v>
      </c>
      <c r="F268" s="31">
        <v>394</v>
      </c>
      <c r="G268" s="34" t="str">
        <f ca="1">VLOOKUP($F268,OFFSET([1]characters!$A$2,0,0,COUNTA([1]characters!$A:$A),MATCH(G$1,[1]characters!$2:$2,0)-MATCH($F$1,[1]characters!$2:$2,0)+1),MATCH(G$1,[1]characters!$2:$2,0)-MATCH($F$1,[1]characters!$2:$2,0)+1,FALSE)</f>
        <v>影求の悪童 ピーターパン</v>
      </c>
      <c r="H268" s="34" t="str">
        <f ca="1">VLOOKUP($F268,OFFSET([1]characters!$A$2,0,0,COUNTA([1]characters!$A:$A),MATCH(H$1,[1]characters!$2:$2,0)-MATCH($F$1,[1]characters!$2:$2,0)+1),MATCH(H$1,[1]characters!$2:$2,0)-MATCH($F$1,[1]characters!$2:$2,0)+1,FALSE)</f>
        <v>PremiumS</v>
      </c>
      <c r="I268" s="34">
        <f ca="1">VLOOKUP($F268,OFFSET([1]characters!$A$2,0,0,COUNTA([1]characters!$A:$A),MATCH(I$1,[1]characters!$2:$2,0)-MATCH($F$1,[1]characters!$2:$2,0)+1),MATCH(I$1,[1]characters!$2:$2,0)-MATCH($F$1,[1]characters!$2:$2,0)+1,FALSE)</f>
        <v>5</v>
      </c>
      <c r="J268" s="34" t="str">
        <f ca="1">VLOOKUP($F268,OFFSET([1]characters!$A$2,0,0,COUNTA([1]characters!$A:$A),MATCH(J$1,[1]characters!$2:$2,0)-MATCH($F$1,[1]characters!$2:$2,0)+1),MATCH(J$1,[1]characters!$2:$2,0)-MATCH($F$1,[1]characters!$2:$2,0)+1,FALSE)</f>
        <v>green</v>
      </c>
      <c r="K268" s="34" t="str">
        <f ca="1">VLOOKUP($F268,OFFSET([1]characters!$A$2,0,0,COUNTA([1]characters!$A:$A),MATCH("タイプ",[1]characters!$1:$1,0)-MATCH($F$1,[1]characters!$2:$2,0)+2),MATCH("タイプ",[1]characters!$1:$1,0)-MATCH($F$1,[1]characters!$2:$2,0)+2,FALSE)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8" s="34" t="str">
        <f ca="1">VLOOKUP($F268,OFFSET([1]characters!$A$2,0,0,COUNTA([1]characters!$A:$A),MATCH($L$1,[1]characters!$1:$1,0)-MATCH($F$1,[1]characters!$2:$2,0)+2),MATCH($L$1,[1]characters!$1:$1,0)-MATCH($F$1,[1]characters!$2:$2,0)+2,FALSE)</f>
        <v>ヒューマン</v>
      </c>
      <c r="M268" s="32">
        <v>1</v>
      </c>
      <c r="N268" s="40">
        <f ca="1">VLOOKUP(D268,gacha_133_base!A:B,2,FALSE)</f>
        <v>246</v>
      </c>
      <c r="O268" s="35">
        <v>0</v>
      </c>
      <c r="P268" s="35">
        <v>0</v>
      </c>
      <c r="Q268" s="35">
        <v>0</v>
      </c>
      <c r="R268" s="35">
        <v>0</v>
      </c>
      <c r="S268" s="35">
        <v>1</v>
      </c>
    </row>
    <row r="269" spans="1:19" ht="21" customHeight="1" thickBot="1">
      <c r="A269" s="22" t="str">
        <f t="shared" si="16"/>
        <v>03951</v>
      </c>
      <c r="B269" s="2">
        <f t="shared" si="19"/>
        <v>134</v>
      </c>
      <c r="C269" s="10" t="str">
        <f t="shared" ca="1" si="18"/>
        <v>0PremiumS3</v>
      </c>
      <c r="D269" s="10" t="str">
        <f t="shared" ca="1" si="17"/>
        <v>0PremiumS3pick</v>
      </c>
      <c r="E269" s="38">
        <v>0</v>
      </c>
      <c r="F269" s="7">
        <v>395</v>
      </c>
      <c r="G269" s="10" t="str">
        <f ca="1">VLOOKUP($F269,OFFSET([1]characters!$A$2,0,0,COUNTA([1]characters!$A:$A),MATCH(G$1,[1]characters!$2:$2,0)-MATCH($F$1,[1]characters!$2:$2,0)+1),MATCH(G$1,[1]characters!$2:$2,0)-MATCH($F$1,[1]characters!$2:$2,0)+1,FALSE)</f>
        <v>乙姫（亀）</v>
      </c>
      <c r="H269" s="10" t="str">
        <f ca="1">VLOOKUP($F269,OFFSET([1]characters!$A$2,0,0,COUNTA([1]characters!$A:$A),MATCH(H$1,[1]characters!$2:$2,0)-MATCH($F$1,[1]characters!$2:$2,0)+1),MATCH(H$1,[1]characters!$2:$2,0)-MATCH($F$1,[1]characters!$2:$2,0)+1,FALSE)</f>
        <v>PremiumS</v>
      </c>
      <c r="I269" s="10">
        <f ca="1">VLOOKUP($F269,OFFSET([1]characters!$A$2,0,0,COUNTA([1]characters!$A:$A),MATCH(I$1,[1]characters!$2:$2,0)-MATCH($F$1,[1]characters!$2:$2,0)+1),MATCH(I$1,[1]characters!$2:$2,0)-MATCH($F$1,[1]characters!$2:$2,0)+1,FALSE)</f>
        <v>3</v>
      </c>
      <c r="J269" s="10" t="str">
        <f ca="1">VLOOKUP($F269,OFFSET([1]characters!$A$2,0,0,COUNTA([1]characters!$A:$A),MATCH(J$1,[1]characters!$2:$2,0)-MATCH($F$1,[1]characters!$2:$2,0)+1),MATCH(J$1,[1]characters!$2:$2,0)-MATCH($F$1,[1]characters!$2:$2,0)+1,FALSE)</f>
        <v>blue</v>
      </c>
      <c r="K269" s="10" t="str">
        <f ca="1">VLOOKUP($F269,OFFSET([1]characters!$A$2,0,0,COUNTA([1]characters!$A:$A),MATCH("タイプ",[1]characters!$1:$1,0)-MATCH($F$1,[1]characters!$2:$2,0)+2),MATCH("タイプ",[1]characters!$1:$1,0)-MATCH($F$1,[1]characters!$2:$2,0)+2,FALSE)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69" s="10" t="str">
        <f ca="1">VLOOKUP($F269,OFFSET([1]characters!$A$2,0,0,COUNTA([1]characters!$A:$A),MATCH($L$1,[1]characters!$1:$1,0)-MATCH($F$1,[1]characters!$2:$2,0)+2),MATCH($L$1,[1]characters!$1:$1,0)-MATCH($F$1,[1]characters!$2:$2,0)+2,FALSE)</f>
        <v>ヒューマン</v>
      </c>
      <c r="M269" s="6">
        <v>1</v>
      </c>
      <c r="N269" s="40">
        <f ca="1">VLOOKUP(D269,gacha_133_base!A:B,2,FALSE)</f>
        <v>4374</v>
      </c>
      <c r="O269" s="28">
        <v>0</v>
      </c>
      <c r="P269" s="28">
        <v>0</v>
      </c>
      <c r="Q269" s="28">
        <v>0</v>
      </c>
      <c r="R269" s="28">
        <v>0</v>
      </c>
      <c r="S269" s="28">
        <v>1</v>
      </c>
    </row>
    <row r="270" spans="1:19" ht="21" customHeight="1">
      <c r="A270" s="30" t="str">
        <f t="shared" si="16"/>
        <v>03961</v>
      </c>
      <c r="B270" s="2">
        <f t="shared" si="19"/>
        <v>134</v>
      </c>
      <c r="C270" s="10" t="str">
        <f t="shared" ca="1" si="18"/>
        <v>0PremiumS4</v>
      </c>
      <c r="D270" s="10" t="str">
        <f t="shared" ca="1" si="17"/>
        <v>0PremiumS4pick</v>
      </c>
      <c r="E270" s="38">
        <v>0</v>
      </c>
      <c r="F270" s="33">
        <v>396</v>
      </c>
      <c r="G270" s="34" t="str">
        <f ca="1">VLOOKUP($F270,OFFSET([1]characters!$A$2,0,0,COUNTA([1]characters!$A:$A),MATCH(G$1,[1]characters!$2:$2,0)-MATCH($F$1,[1]characters!$2:$2,0)+1),MATCH(G$1,[1]characters!$2:$2,0)-MATCH($F$1,[1]characters!$2:$2,0)+1,FALSE)</f>
        <v>竜宮の水雷 乙姫</v>
      </c>
      <c r="H270" s="34" t="str">
        <f ca="1">VLOOKUP($F270,OFFSET([1]characters!$A$2,0,0,COUNTA([1]characters!$A:$A),MATCH(H$1,[1]characters!$2:$2,0)-MATCH($F$1,[1]characters!$2:$2,0)+1),MATCH(H$1,[1]characters!$2:$2,0)-MATCH($F$1,[1]characters!$2:$2,0)+1,FALSE)</f>
        <v>PremiumS</v>
      </c>
      <c r="I270" s="34">
        <f ca="1">VLOOKUP($F270,OFFSET([1]characters!$A$2,0,0,COUNTA([1]characters!$A:$A),MATCH(I$1,[1]characters!$2:$2,0)-MATCH($F$1,[1]characters!$2:$2,0)+1),MATCH(I$1,[1]characters!$2:$2,0)-MATCH($F$1,[1]characters!$2:$2,0)+1,FALSE)</f>
        <v>4</v>
      </c>
      <c r="J270" s="34" t="str">
        <f ca="1">VLOOKUP($F270,OFFSET([1]characters!$A$2,0,0,COUNTA([1]characters!$A:$A),MATCH(J$1,[1]characters!$2:$2,0)-MATCH($F$1,[1]characters!$2:$2,0)+1),MATCH(J$1,[1]characters!$2:$2,0)-MATCH($F$1,[1]characters!$2:$2,0)+1,FALSE)</f>
        <v>blue</v>
      </c>
      <c r="K270" s="34" t="str">
        <f ca="1">VLOOKUP($F270,OFFSET([1]characters!$A$2,0,0,COUNTA([1]characters!$A:$A),MATCH("タイプ",[1]characters!$1:$1,0)-MATCH($F$1,[1]characters!$2:$2,0)+2),MATCH("タイプ",[1]characters!$1:$1,0)-MATCH($F$1,[1]characters!$2:$2,0)+2,FALSE)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0" s="34" t="str">
        <f ca="1">VLOOKUP($F270,OFFSET([1]characters!$A$2,0,0,COUNTA([1]characters!$A:$A),MATCH($L$1,[1]characters!$1:$1,0)-MATCH($F$1,[1]characters!$2:$2,0)+2),MATCH($L$1,[1]characters!$1:$1,0)-MATCH($F$1,[1]characters!$2:$2,0)+2,FALSE)</f>
        <v>ヒューマン</v>
      </c>
      <c r="M270" s="32">
        <v>1</v>
      </c>
      <c r="N270" s="40">
        <f ca="1">VLOOKUP(D270,gacha_133_base!A:B,2,FALSE)</f>
        <v>1540</v>
      </c>
      <c r="O270" s="35">
        <v>0</v>
      </c>
      <c r="P270" s="35">
        <v>0</v>
      </c>
      <c r="Q270" s="35">
        <v>0</v>
      </c>
      <c r="R270" s="35">
        <v>0</v>
      </c>
      <c r="S270" s="35">
        <v>1</v>
      </c>
    </row>
    <row r="271" spans="1:19" ht="21" customHeight="1" thickBot="1">
      <c r="A271" s="36" t="str">
        <f t="shared" si="16"/>
        <v>03971</v>
      </c>
      <c r="B271" s="2">
        <f t="shared" si="19"/>
        <v>134</v>
      </c>
      <c r="C271" s="10" t="str">
        <f t="shared" ca="1" si="18"/>
        <v>0PremiumS5</v>
      </c>
      <c r="D271" s="10" t="str">
        <f t="shared" ca="1" si="17"/>
        <v>0PremiumS5pick</v>
      </c>
      <c r="E271" s="38">
        <v>0</v>
      </c>
      <c r="F271" s="25">
        <v>397</v>
      </c>
      <c r="G271" s="23" t="str">
        <f ca="1">VLOOKUP($F271,OFFSET([1]characters!$A$2,0,0,COUNTA([1]characters!$A:$A),MATCH(G$1,[1]characters!$2:$2,0)-MATCH($F$1,[1]characters!$2:$2,0)+1),MATCH(G$1,[1]characters!$2:$2,0)-MATCH($F$1,[1]characters!$2:$2,0)+1,FALSE)</f>
        <v>禁断の追箱 乙姫</v>
      </c>
      <c r="H271" s="23" t="str">
        <f ca="1">VLOOKUP($F271,OFFSET([1]characters!$A$2,0,0,COUNTA([1]characters!$A:$A),MATCH(H$1,[1]characters!$2:$2,0)-MATCH($F$1,[1]characters!$2:$2,0)+1),MATCH(H$1,[1]characters!$2:$2,0)-MATCH($F$1,[1]characters!$2:$2,0)+1,FALSE)</f>
        <v>PremiumS</v>
      </c>
      <c r="I271" s="23">
        <f ca="1">VLOOKUP($F271,OFFSET([1]characters!$A$2,0,0,COUNTA([1]characters!$A:$A),MATCH(I$1,[1]characters!$2:$2,0)-MATCH($F$1,[1]characters!$2:$2,0)+1),MATCH(I$1,[1]characters!$2:$2,0)-MATCH($F$1,[1]characters!$2:$2,0)+1,FALSE)</f>
        <v>5</v>
      </c>
      <c r="J271" s="23" t="str">
        <f ca="1">VLOOKUP($F271,OFFSET([1]characters!$A$2,0,0,COUNTA([1]characters!$A:$A),MATCH(J$1,[1]characters!$2:$2,0)-MATCH($F$1,[1]characters!$2:$2,0)+1),MATCH(J$1,[1]characters!$2:$2,0)-MATCH($F$1,[1]characters!$2:$2,0)+1,FALSE)</f>
        <v>blue</v>
      </c>
      <c r="K271" s="23" t="str">
        <f ca="1">VLOOKUP($F271,OFFSET([1]characters!$A$2,0,0,COUNTA([1]characters!$A:$A),MATCH("タイプ",[1]characters!$1:$1,0)-MATCH($F$1,[1]characters!$2:$2,0)+2),MATCH("タイプ",[1]characters!$1:$1,0)-MATCH($F$1,[1]characters!$2:$2,0)+2,FALSE)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1" s="23" t="str">
        <f ca="1">VLOOKUP($F271,OFFSET([1]characters!$A$2,0,0,COUNTA([1]characters!$A:$A),MATCH($L$1,[1]characters!$1:$1,0)-MATCH($F$1,[1]characters!$2:$2,0)+2),MATCH($L$1,[1]characters!$1:$1,0)-MATCH($F$1,[1]characters!$2:$2,0)+2,FALSE)</f>
        <v>ヒューマン</v>
      </c>
      <c r="M271" s="24">
        <v>1</v>
      </c>
      <c r="N271" s="40">
        <f ca="1">VLOOKUP(D271,gacha_133_base!A:B,2,FALSE)</f>
        <v>246</v>
      </c>
      <c r="O271" s="29">
        <v>0</v>
      </c>
      <c r="P271" s="29">
        <v>0</v>
      </c>
      <c r="Q271" s="29">
        <v>0</v>
      </c>
      <c r="R271" s="29">
        <v>0</v>
      </c>
      <c r="S271" s="29">
        <v>1</v>
      </c>
    </row>
    <row r="272" spans="1:19" ht="21" customHeight="1" thickBot="1">
      <c r="A272" s="22" t="str">
        <f t="shared" si="16"/>
        <v>03981</v>
      </c>
      <c r="B272" s="2">
        <f t="shared" si="19"/>
        <v>134</v>
      </c>
      <c r="C272" s="10" t="str">
        <f t="shared" ca="1" si="18"/>
        <v>0PremiumSS4</v>
      </c>
      <c r="D272" s="10" t="str">
        <f t="shared" ca="1" si="17"/>
        <v>0PremiumSS4pick</v>
      </c>
      <c r="E272" s="38">
        <v>0</v>
      </c>
      <c r="F272" s="31">
        <v>398</v>
      </c>
      <c r="G272" s="34" t="str">
        <f ca="1">VLOOKUP($F272,OFFSET([1]characters!$A$2,0,0,COUNTA([1]characters!$A:$A),MATCH(G$1,[1]characters!$2:$2,0)-MATCH($F$1,[1]characters!$2:$2,0)+1),MATCH(G$1,[1]characters!$2:$2,0)-MATCH($F$1,[1]characters!$2:$2,0)+1,FALSE)</f>
        <v>ヘンゼル＆グレーテル</v>
      </c>
      <c r="H272" s="34" t="str">
        <f ca="1">VLOOKUP($F272,OFFSET([1]characters!$A$2,0,0,COUNTA([1]characters!$A:$A),MATCH(H$1,[1]characters!$2:$2,0)-MATCH($F$1,[1]characters!$2:$2,0)+1),MATCH(H$1,[1]characters!$2:$2,0)-MATCH($F$1,[1]characters!$2:$2,0)+1,FALSE)</f>
        <v>PremiumSS</v>
      </c>
      <c r="I272" s="34">
        <f ca="1">VLOOKUP($F272,OFFSET([1]characters!$A$2,0,0,COUNTA([1]characters!$A:$A),MATCH(I$1,[1]characters!$2:$2,0)-MATCH($F$1,[1]characters!$2:$2,0)+1),MATCH(I$1,[1]characters!$2:$2,0)-MATCH($F$1,[1]characters!$2:$2,0)+1,FALSE)</f>
        <v>4</v>
      </c>
      <c r="J272" s="34" t="str">
        <f ca="1">VLOOKUP($F272,OFFSET([1]characters!$A$2,0,0,COUNTA([1]characters!$A:$A),MATCH(J$1,[1]characters!$2:$2,0)-MATCH($F$1,[1]characters!$2:$2,0)+1),MATCH(J$1,[1]characters!$2:$2,0)-MATCH($F$1,[1]characters!$2:$2,0)+1,FALSE)</f>
        <v>yellow</v>
      </c>
      <c r="K272" s="34" t="str">
        <f ca="1">VLOOKUP($F272,OFFSET([1]characters!$A$2,0,0,COUNTA([1]characters!$A:$A),MATCH("タイプ",[1]characters!$1:$1,0)-MATCH($F$1,[1]characters!$2:$2,0)+2),MATCH("タイプ",[1]characters!$1:$1,0)-MATCH($F$1,[1]characters!$2:$2,0)+2,FALSE)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72" s="34" t="str">
        <f ca="1">VLOOKUP($F272,OFFSET([1]characters!$A$2,0,0,COUNTA([1]characters!$A:$A),MATCH($L$1,[1]characters!$1:$1,0)-MATCH($F$1,[1]characters!$2:$2,0)+2),MATCH($L$1,[1]characters!$1:$1,0)-MATCH($F$1,[1]characters!$2:$2,0)+2,FALSE)</f>
        <v>ヒューマン</v>
      </c>
      <c r="M272" s="32">
        <v>1</v>
      </c>
      <c r="N272" s="40">
        <f ca="1">VLOOKUP(D272,gacha_133_base!A:B,2,FALSE)</f>
        <v>1348</v>
      </c>
      <c r="O272" s="35">
        <v>0</v>
      </c>
      <c r="P272" s="35">
        <v>0</v>
      </c>
      <c r="Q272" s="35">
        <v>0</v>
      </c>
      <c r="R272" s="35">
        <v>0</v>
      </c>
      <c r="S272" s="35">
        <v>1</v>
      </c>
    </row>
    <row r="273" spans="1:19" ht="21" customHeight="1" thickBot="1">
      <c r="A273" s="22" t="str">
        <f t="shared" si="16"/>
        <v>03991</v>
      </c>
      <c r="B273" s="2">
        <f t="shared" si="19"/>
        <v>134</v>
      </c>
      <c r="C273" s="10" t="str">
        <f t="shared" ca="1" si="18"/>
        <v>0PremiumSS5</v>
      </c>
      <c r="D273" s="10" t="str">
        <f t="shared" ca="1" si="17"/>
        <v>0PremiumSS5pick</v>
      </c>
      <c r="E273" s="38">
        <v>0</v>
      </c>
      <c r="F273" s="25">
        <v>399</v>
      </c>
      <c r="G273" s="23" t="str">
        <f ca="1">VLOOKUP($F273,OFFSET([1]characters!$A$2,0,0,COUNTA([1]characters!$A:$A),MATCH(G$1,[1]characters!$2:$2,0)-MATCH($F$1,[1]characters!$2:$2,0)+1),MATCH(G$1,[1]characters!$2:$2,0)-MATCH($F$1,[1]characters!$2:$2,0)+1,FALSE)</f>
        <v>信愛の兄妹 ヘンゼル＆グレーテル</v>
      </c>
      <c r="H273" s="23" t="str">
        <f ca="1">VLOOKUP($F273,OFFSET([1]characters!$A$2,0,0,COUNTA([1]characters!$A:$A),MATCH(H$1,[1]characters!$2:$2,0)-MATCH($F$1,[1]characters!$2:$2,0)+1),MATCH(H$1,[1]characters!$2:$2,0)-MATCH($F$1,[1]characters!$2:$2,0)+1,FALSE)</f>
        <v>PremiumSS</v>
      </c>
      <c r="I273" s="23">
        <f ca="1">VLOOKUP($F273,OFFSET([1]characters!$A$2,0,0,COUNTA([1]characters!$A:$A),MATCH(I$1,[1]characters!$2:$2,0)-MATCH($F$1,[1]characters!$2:$2,0)+1),MATCH(I$1,[1]characters!$2:$2,0)-MATCH($F$1,[1]characters!$2:$2,0)+1,FALSE)</f>
        <v>5</v>
      </c>
      <c r="J273" s="23" t="str">
        <f ca="1">VLOOKUP($F273,OFFSET([1]characters!$A$2,0,0,COUNTA([1]characters!$A:$A),MATCH(J$1,[1]characters!$2:$2,0)-MATCH($F$1,[1]characters!$2:$2,0)+1),MATCH(J$1,[1]characters!$2:$2,0)-MATCH($F$1,[1]characters!$2:$2,0)+1,FALSE)</f>
        <v>yellow</v>
      </c>
      <c r="K273" s="23" t="str">
        <f ca="1">VLOOKUP($F273,OFFSET([1]characters!$A$2,0,0,COUNTA([1]characters!$A:$A),MATCH("タイプ",[1]characters!$1:$1,0)-MATCH($F$1,[1]characters!$2:$2,0)+2),MATCH("タイプ",[1]characters!$1:$1,0)-MATCH($F$1,[1]characters!$2:$2,0)+2,FALSE)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73" s="23" t="str">
        <f ca="1">VLOOKUP($F273,OFFSET([1]characters!$A$2,0,0,COUNTA([1]characters!$A:$A),MATCH($L$1,[1]characters!$1:$1,0)-MATCH($F$1,[1]characters!$2:$2,0)+2),MATCH($L$1,[1]characters!$1:$1,0)-MATCH($F$1,[1]characters!$2:$2,0)+2,FALSE)</f>
        <v>ヒューマン</v>
      </c>
      <c r="M273" s="24">
        <v>1</v>
      </c>
      <c r="N273" s="40">
        <f ca="1">VLOOKUP(D273,gacha_133_base!A:B,2,FALSE)</f>
        <v>193</v>
      </c>
      <c r="O273" s="29">
        <v>0</v>
      </c>
      <c r="P273" s="29">
        <v>0</v>
      </c>
      <c r="Q273" s="29">
        <v>0</v>
      </c>
      <c r="R273" s="29">
        <v>0</v>
      </c>
      <c r="S273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S273"/>
  <sheetViews>
    <sheetView showGridLines="0" topLeftCell="D1" workbookViewId="0">
      <pane ySplit="1" topLeftCell="A144" activePane="bottomLeft" state="frozen"/>
      <selection activeCell="M24" sqref="M24"/>
      <selection pane="bottomLeft" activeCell="N153" sqref="N153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5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8" t="s">
        <v>15</v>
      </c>
      <c r="B1" s="4" t="s">
        <v>2</v>
      </c>
      <c r="C1" s="3" t="s">
        <v>1</v>
      </c>
      <c r="D1" s="3" t="s">
        <v>40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7" t="s">
        <v>19</v>
      </c>
      <c r="P1" s="17" t="s">
        <v>20</v>
      </c>
      <c r="Q1" s="17" t="s">
        <v>21</v>
      </c>
      <c r="R1" s="17" t="s">
        <v>22</v>
      </c>
      <c r="S1" s="17" t="s">
        <v>23</v>
      </c>
    </row>
    <row r="2" spans="1:19" ht="21" customHeight="1">
      <c r="A2" s="8" t="str">
        <f t="shared" ref="A2:A65" si="0">E2&amp;F2&amp;M2</f>
        <v>11271</v>
      </c>
      <c r="B2" s="2">
        <v>135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VLOOKUP($F2,OFFSET([1]characters!$A$2,0,0,COUNTA([1]characters!$A:$A),MATCH(G$1,[1]characters!$2:$2,0)-MATCH($F$1,[1]characters!$2:$2,0)+1),MATCH(G$1,[1]characters!$2:$2,0)-MATCH($F$1,[1]characters!$2:$2,0)+1,FALSE)</f>
        <v>狂喜の賢者 ユノ</v>
      </c>
      <c r="H2" s="10" t="str">
        <f ca="1">VLOOKUP($F2,OFFSET([1]characters!$A$2,0,0,COUNTA([1]characters!$A:$A),MATCH(H$1,[1]characters!$2:$2,0)-MATCH($F$1,[1]characters!$2:$2,0)+1),MATCH(H$1,[1]characters!$2:$2,0)-MATCH($F$1,[1]characters!$2:$2,0)+1,FALSE)</f>
        <v>PremiumW</v>
      </c>
      <c r="I2" s="10">
        <f ca="1">VLOOKUP($F2,OFFSET([1]characters!$A$2,0,0,COUNTA([1]characters!$A:$A),MATCH(I$1,[1]characters!$2:$2,0)-MATCH($F$1,[1]characters!$2:$2,0)+1),MATCH(I$1,[1]characters!$2:$2,0)-MATCH($F$1,[1]characters!$2:$2,0)+1,FALSE)</f>
        <v>4</v>
      </c>
      <c r="J2" s="10" t="str">
        <f ca="1">VLOOKUP($F2,OFFSET([1]characters!$A$2,0,0,COUNTA([1]characters!$A:$A),MATCH(J$1,[1]characters!$2:$2,0)-MATCH($F$1,[1]characters!$2:$2,0)+1),MATCH(J$1,[1]characters!$2:$2,0)-MATCH($F$1,[1]characters!$2:$2,0)+1,FALSE)</f>
        <v>red</v>
      </c>
      <c r="K2" s="10" t="str">
        <f ca="1">VLOOKUP($F2,OFFSET([1]characters!$A$2,0,0,COUNTA([1]characters!$A:$A),MATCH("タイプ",[1]characters!$1:$1,0)-MATCH($F$1,[1]characters!$2:$2,0)+2),MATCH("タイプ",[1]characters!$1:$1,0)-MATCH($F$1,[1]characters!$2:$2,0)+2,FALSE)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" s="10" t="str">
        <f ca="1">VLOOKUP($F2,OFFSET([1]characters!$A$2,0,0,COUNTA([1]characters!$A:$A),MATCH($L$1,[1]characters!$1:$1,0)-MATCH($F$1,[1]characters!$2:$2,0)+2),MATCH($L$1,[1]characters!$1:$1,0)-MATCH($F$1,[1]characters!$2:$2,0)+2,FALSE)</f>
        <v>ヒューマン</v>
      </c>
      <c r="M2" s="6">
        <v>1</v>
      </c>
      <c r="N2" s="40">
        <f ca="1">VLOOKUP(D2,gacha_133_base!A:B,2,FALSE)</f>
        <v>2100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135</v>
      </c>
      <c r="C3" s="10" t="str">
        <f t="shared" ref="C3:C65" ca="1" si="1">E3&amp;H3&amp;I3</f>
        <v>1PremiumW4</v>
      </c>
      <c r="D3" s="10" t="str">
        <f t="shared" ref="D3:D66" ca="1" si="2">E3&amp;H3&amp;I3</f>
        <v>1PremiumW4</v>
      </c>
      <c r="E3" s="6">
        <v>1</v>
      </c>
      <c r="F3" s="7">
        <v>129</v>
      </c>
      <c r="G3" s="10" t="str">
        <f ca="1">VLOOKUP($F3,OFFSET([1]characters!$A$2,0,0,COUNTA([1]characters!$A:$A),MATCH(G$1,[1]characters!$2:$2,0)-MATCH($F$1,[1]characters!$2:$2,0)+1),MATCH(G$1,[1]characters!$2:$2,0)-MATCH($F$1,[1]characters!$2:$2,0)+1,FALSE)</f>
        <v>孤高の狼憑き アマラ</v>
      </c>
      <c r="H3" s="10" t="str">
        <f ca="1">VLOOKUP($F3,OFFSET([1]characters!$A$2,0,0,COUNTA([1]characters!$A:$A),MATCH(H$1,[1]characters!$2:$2,0)-MATCH($F$1,[1]characters!$2:$2,0)+1),MATCH(H$1,[1]characters!$2:$2,0)-MATCH($F$1,[1]characters!$2:$2,0)+1,FALSE)</f>
        <v>PremiumW</v>
      </c>
      <c r="I3" s="10">
        <f ca="1">VLOOKUP($F3,OFFSET([1]characters!$A$2,0,0,COUNTA([1]characters!$A:$A),MATCH(I$1,[1]characters!$2:$2,0)-MATCH($F$1,[1]characters!$2:$2,0)+1),MATCH(I$1,[1]characters!$2:$2,0)-MATCH($F$1,[1]characters!$2:$2,0)+1,FALSE)</f>
        <v>4</v>
      </c>
      <c r="J3" s="10" t="str">
        <f ca="1">VLOOKUP($F3,OFFSET([1]characters!$A$2,0,0,COUNTA([1]characters!$A:$A),MATCH(J$1,[1]characters!$2:$2,0)-MATCH($F$1,[1]characters!$2:$2,0)+1),MATCH(J$1,[1]characters!$2:$2,0)-MATCH($F$1,[1]characters!$2:$2,0)+1,FALSE)</f>
        <v>green</v>
      </c>
      <c r="K3" s="10" t="str">
        <f ca="1">VLOOKUP($F3,OFFSET([1]characters!$A$2,0,0,COUNTA([1]characters!$A:$A),MATCH("タイプ",[1]characters!$1:$1,0)-MATCH($F$1,[1]characters!$2:$2,0)+2),MATCH("タイプ",[1]characters!$1:$1,0)-MATCH($F$1,[1]characters!$2:$2,0)+2,FALSE)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3" s="10" t="str">
        <f ca="1">VLOOKUP($F3,OFFSET([1]characters!$A$2,0,0,COUNTA([1]characters!$A:$A),MATCH($L$1,[1]characters!$1:$1,0)-MATCH($F$1,[1]characters!$2:$2,0)+2),MATCH($L$1,[1]characters!$1:$1,0)-MATCH($F$1,[1]characters!$2:$2,0)+2,FALSE)</f>
        <v>ヒューマン</v>
      </c>
      <c r="M3" s="6">
        <v>1</v>
      </c>
      <c r="N3" s="40">
        <f ca="1">VLOOKUP(D3,gacha_133_base!A:B,2,FALSE)</f>
        <v>2100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67" si="3">$B$2</f>
        <v>135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4" s="10" t="str">
        <f ca="1">VLOOKUP($F4,OFFSET([1]characters!$A$2,0,0,COUNTA([1]characters!$A:$A),MATCH(H$1,[1]characters!$2:$2,0)-MATCH($F$1,[1]characters!$2:$2,0)+1),MATCH(H$1,[1]characters!$2:$2,0)-MATCH($F$1,[1]characters!$2:$2,0)+1,FALSE)</f>
        <v>PremiumW</v>
      </c>
      <c r="I4" s="10">
        <f ca="1">VLOOKUP($F4,OFFSET([1]characters!$A$2,0,0,COUNTA([1]characters!$A:$A),MATCH(I$1,[1]characters!$2:$2,0)-MATCH($F$1,[1]characters!$2:$2,0)+1),MATCH(I$1,[1]characters!$2:$2,0)-MATCH($F$1,[1]characters!$2:$2,0)+1,FALSE)</f>
        <v>4</v>
      </c>
      <c r="J4" s="10" t="str">
        <f ca="1">VLOOKUP($F4,OFFSET([1]characters!$A$2,0,0,COUNTA([1]characters!$A:$A),MATCH(J$1,[1]characters!$2:$2,0)-MATCH($F$1,[1]characters!$2:$2,0)+1),MATCH(J$1,[1]characters!$2:$2,0)-MATCH($F$1,[1]characters!$2:$2,0)+1,FALSE)</f>
        <v>blue</v>
      </c>
      <c r="K4" s="10" t="str">
        <f ca="1">VLOOKUP($F4,OFFSET([1]characters!$A$2,0,0,COUNTA([1]characters!$A:$A),MATCH("タイプ",[1]characters!$1:$1,0)-MATCH($F$1,[1]characters!$2:$2,0)+2),MATCH("タイプ",[1]characters!$1:$1,0)-MATCH($F$1,[1]characters!$2:$2,0)+2,FALSE)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" s="10" t="str">
        <f ca="1">VLOOKUP($F4,OFFSET([1]characters!$A$2,0,0,COUNTA([1]characters!$A:$A),MATCH($L$1,[1]characters!$1:$1,0)-MATCH($F$1,[1]characters!$2:$2,0)+2),MATCH($L$1,[1]characters!$1:$1,0)-MATCH($F$1,[1]characters!$2:$2,0)+2,FALSE)</f>
        <v>アニマル</v>
      </c>
      <c r="M4" s="6">
        <v>1</v>
      </c>
      <c r="N4" s="40">
        <f ca="1">VLOOKUP(D4,gacha_133_base!A:B,2,FALSE)</f>
        <v>2100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135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VLOOKUP($F5,OFFSET([1]characters!$A$2,0,0,COUNTA([1]characters!$A:$A),MATCH(G$1,[1]characters!$2:$2,0)-MATCH($F$1,[1]characters!$2:$2,0)+1),MATCH(G$1,[1]characters!$2:$2,0)-MATCH($F$1,[1]characters!$2:$2,0)+1,FALSE)</f>
        <v>迅雷の刀剣 ハヤト</v>
      </c>
      <c r="H5" s="10" t="str">
        <f ca="1">VLOOKUP($F5,OFFSET([1]characters!$A$2,0,0,COUNTA([1]characters!$A:$A),MATCH(H$1,[1]characters!$2:$2,0)-MATCH($F$1,[1]characters!$2:$2,0)+1),MATCH(H$1,[1]characters!$2:$2,0)-MATCH($F$1,[1]characters!$2:$2,0)+1,FALSE)</f>
        <v>PremiumW</v>
      </c>
      <c r="I5" s="10">
        <f ca="1">VLOOKUP($F5,OFFSET([1]characters!$A$2,0,0,COUNTA([1]characters!$A:$A),MATCH(I$1,[1]characters!$2:$2,0)-MATCH($F$1,[1]characters!$2:$2,0)+1),MATCH(I$1,[1]characters!$2:$2,0)-MATCH($F$1,[1]characters!$2:$2,0)+1,FALSE)</f>
        <v>4</v>
      </c>
      <c r="J5" s="10" t="str">
        <f ca="1">VLOOKUP($F5,OFFSET([1]characters!$A$2,0,0,COUNTA([1]characters!$A:$A),MATCH(J$1,[1]characters!$2:$2,0)-MATCH($F$1,[1]characters!$2:$2,0)+1),MATCH(J$1,[1]characters!$2:$2,0)-MATCH($F$1,[1]characters!$2:$2,0)+1,FALSE)</f>
        <v>yellow</v>
      </c>
      <c r="K5" s="10" t="str">
        <f ca="1">VLOOKUP($F5,OFFSET([1]characters!$A$2,0,0,COUNTA([1]characters!$A:$A),MATCH("タイプ",[1]characters!$1:$1,0)-MATCH($F$1,[1]characters!$2:$2,0)+2),MATCH("タイプ",[1]characters!$1:$1,0)-MATCH($F$1,[1]characters!$2:$2,0)+2,FALSE)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" s="10" t="str">
        <f ca="1">VLOOKUP($F5,OFFSET([1]characters!$A$2,0,0,COUNTA([1]characters!$A:$A),MATCH($L$1,[1]characters!$1:$1,0)-MATCH($F$1,[1]characters!$2:$2,0)+2),MATCH($L$1,[1]characters!$1:$1,0)-MATCH($F$1,[1]characters!$2:$2,0)+2,FALSE)</f>
        <v>ヒューマン</v>
      </c>
      <c r="M5" s="6">
        <v>1</v>
      </c>
      <c r="N5" s="40">
        <f ca="1">VLOOKUP(D5,gacha_133_base!A:B,2,FALSE)</f>
        <v>2100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135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VLOOKUP($F6,OFFSET([1]characters!$A$2,0,0,COUNTA([1]characters!$A:$A),MATCH(G$1,[1]characters!$2:$2,0)-MATCH($F$1,[1]characters!$2:$2,0)+1),MATCH(G$1,[1]characters!$2:$2,0)-MATCH($F$1,[1]characters!$2:$2,0)+1,FALSE)</f>
        <v>京の炎華夕霧</v>
      </c>
      <c r="H6" s="10" t="str">
        <f ca="1">VLOOKUP($F6,OFFSET([1]characters!$A$2,0,0,COUNTA([1]characters!$A:$A),MATCH(H$1,[1]characters!$2:$2,0)-MATCH($F$1,[1]characters!$2:$2,0)+1),MATCH(H$1,[1]characters!$2:$2,0)-MATCH($F$1,[1]characters!$2:$2,0)+1,FALSE)</f>
        <v>PremiumW</v>
      </c>
      <c r="I6" s="10">
        <f ca="1">VLOOKUP($F6,OFFSET([1]characters!$A$2,0,0,COUNTA([1]characters!$A:$A),MATCH(I$1,[1]characters!$2:$2,0)-MATCH($F$1,[1]characters!$2:$2,0)+1),MATCH(I$1,[1]characters!$2:$2,0)-MATCH($F$1,[1]characters!$2:$2,0)+1,FALSE)</f>
        <v>4</v>
      </c>
      <c r="J6" s="10" t="str">
        <f ca="1">VLOOKUP($F6,OFFSET([1]characters!$A$2,0,0,COUNTA([1]characters!$A:$A),MATCH(J$1,[1]characters!$2:$2,0)-MATCH($F$1,[1]characters!$2:$2,0)+1),MATCH(J$1,[1]characters!$2:$2,0)-MATCH($F$1,[1]characters!$2:$2,0)+1,FALSE)</f>
        <v>red</v>
      </c>
      <c r="K6" s="10" t="str">
        <f ca="1">VLOOKUP($F6,OFFSET([1]characters!$A$2,0,0,COUNTA([1]characters!$A:$A),MATCH("タイプ",[1]characters!$1:$1,0)-MATCH($F$1,[1]characters!$2:$2,0)+2),MATCH("タイプ",[1]characters!$1:$1,0)-MATCH($F$1,[1]characters!$2:$2,0)+2,FALSE)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" s="10" t="str">
        <f ca="1">VLOOKUP($F6,OFFSET([1]characters!$A$2,0,0,COUNTA([1]characters!$A:$A),MATCH($L$1,[1]characters!$1:$1,0)-MATCH($F$1,[1]characters!$2:$2,0)+2),MATCH($L$1,[1]characters!$1:$1,0)-MATCH($F$1,[1]characters!$2:$2,0)+2,FALSE)</f>
        <v>ヒューマン</v>
      </c>
      <c r="M6" s="6">
        <v>1</v>
      </c>
      <c r="N6" s="40">
        <f ca="1">VLOOKUP(D6,gacha_133_base!A:B,2,FALSE)</f>
        <v>2100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135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VLOOKUP($F7,OFFSET([1]characters!$A$2,0,0,COUNTA([1]characters!$A:$A),MATCH(G$1,[1]characters!$2:$2,0)-MATCH($F$1,[1]characters!$2:$2,0)+1),MATCH(G$1,[1]characters!$2:$2,0)-MATCH($F$1,[1]characters!$2:$2,0)+1,FALSE)</f>
        <v>清福の仕立屋 チハヤ</v>
      </c>
      <c r="H7" s="10" t="str">
        <f ca="1">VLOOKUP($F7,OFFSET([1]characters!$A$2,0,0,COUNTA([1]characters!$A:$A),MATCH(H$1,[1]characters!$2:$2,0)-MATCH($F$1,[1]characters!$2:$2,0)+1),MATCH(H$1,[1]characters!$2:$2,0)-MATCH($F$1,[1]characters!$2:$2,0)+1,FALSE)</f>
        <v>PremiumW</v>
      </c>
      <c r="I7" s="10">
        <f ca="1">VLOOKUP($F7,OFFSET([1]characters!$A$2,0,0,COUNTA([1]characters!$A:$A),MATCH(I$1,[1]characters!$2:$2,0)-MATCH($F$1,[1]characters!$2:$2,0)+1),MATCH(I$1,[1]characters!$2:$2,0)-MATCH($F$1,[1]characters!$2:$2,0)+1,FALSE)</f>
        <v>4</v>
      </c>
      <c r="J7" s="10" t="str">
        <f ca="1">VLOOKUP($F7,OFFSET([1]characters!$A$2,0,0,COUNTA([1]characters!$A:$A),MATCH(J$1,[1]characters!$2:$2,0)-MATCH($F$1,[1]characters!$2:$2,0)+1),MATCH(J$1,[1]characters!$2:$2,0)-MATCH($F$1,[1]characters!$2:$2,0)+1,FALSE)</f>
        <v>green</v>
      </c>
      <c r="K7" s="10" t="str">
        <f ca="1">VLOOKUP($F7,OFFSET([1]characters!$A$2,0,0,COUNTA([1]characters!$A:$A),MATCH("タイプ",[1]characters!$1:$1,0)-MATCH($F$1,[1]characters!$2:$2,0)+2),MATCH("タイプ",[1]characters!$1:$1,0)-MATCH($F$1,[1]characters!$2:$2,0)+2,FALSE)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" s="10" t="str">
        <f ca="1">VLOOKUP($F7,OFFSET([1]characters!$A$2,0,0,COUNTA([1]characters!$A:$A),MATCH($L$1,[1]characters!$1:$1,0)-MATCH($F$1,[1]characters!$2:$2,0)+2),MATCH($L$1,[1]characters!$1:$1,0)-MATCH($F$1,[1]characters!$2:$2,0)+2,FALSE)</f>
        <v>ヒューマン</v>
      </c>
      <c r="M7" s="6">
        <v>1</v>
      </c>
      <c r="N7" s="40">
        <f ca="1">VLOOKUP(D7,gacha_133_base!A:B,2,FALSE)</f>
        <v>2100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135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VLOOKUP($F8,OFFSET([1]characters!$A$2,0,0,COUNTA([1]characters!$A:$A),MATCH(G$1,[1]characters!$2:$2,0)-MATCH($F$1,[1]characters!$2:$2,0)+1),MATCH(G$1,[1]characters!$2:$2,0)-MATCH($F$1,[1]characters!$2:$2,0)+1,FALSE)</f>
        <v>蒼昇刃姫 トモエ</v>
      </c>
      <c r="H8" s="10" t="str">
        <f ca="1">VLOOKUP($F8,OFFSET([1]characters!$A$2,0,0,COUNTA([1]characters!$A:$A),MATCH(H$1,[1]characters!$2:$2,0)-MATCH($F$1,[1]characters!$2:$2,0)+1),MATCH(H$1,[1]characters!$2:$2,0)-MATCH($F$1,[1]characters!$2:$2,0)+1,FALSE)</f>
        <v>PremiumW</v>
      </c>
      <c r="I8" s="10">
        <f ca="1">VLOOKUP($F8,OFFSET([1]characters!$A$2,0,0,COUNTA([1]characters!$A:$A),MATCH(I$1,[1]characters!$2:$2,0)-MATCH($F$1,[1]characters!$2:$2,0)+1),MATCH(I$1,[1]characters!$2:$2,0)-MATCH($F$1,[1]characters!$2:$2,0)+1,FALSE)</f>
        <v>4</v>
      </c>
      <c r="J8" s="10" t="str">
        <f ca="1">VLOOKUP($F8,OFFSET([1]characters!$A$2,0,0,COUNTA([1]characters!$A:$A),MATCH(J$1,[1]characters!$2:$2,0)-MATCH($F$1,[1]characters!$2:$2,0)+1),MATCH(J$1,[1]characters!$2:$2,0)-MATCH($F$1,[1]characters!$2:$2,0)+1,FALSE)</f>
        <v>blue</v>
      </c>
      <c r="K8" s="10" t="str">
        <f ca="1">VLOOKUP($F8,OFFSET([1]characters!$A$2,0,0,COUNTA([1]characters!$A:$A),MATCH("タイプ",[1]characters!$1:$1,0)-MATCH($F$1,[1]characters!$2:$2,0)+2),MATCH("タイプ",[1]characters!$1:$1,0)-MATCH($F$1,[1]characters!$2:$2,0)+2,FALSE)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" s="10" t="str">
        <f ca="1">VLOOKUP($F8,OFFSET([1]characters!$A$2,0,0,COUNTA([1]characters!$A:$A),MATCH($L$1,[1]characters!$1:$1,0)-MATCH($F$1,[1]characters!$2:$2,0)+2),MATCH($L$1,[1]characters!$1:$1,0)-MATCH($F$1,[1]characters!$2:$2,0)+2,FALSE)</f>
        <v>ヒューマン</v>
      </c>
      <c r="M8" s="6">
        <v>1</v>
      </c>
      <c r="N8" s="40">
        <f ca="1">VLOOKUP(D8,gacha_133_base!A:B,2,FALSE)</f>
        <v>2100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135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VLOOKUP($F9,OFFSET([1]characters!$A$2,0,0,COUNTA([1]characters!$A:$A),MATCH(G$1,[1]characters!$2:$2,0)-MATCH($F$1,[1]characters!$2:$2,0)+1),MATCH(G$1,[1]characters!$2:$2,0)-MATCH($F$1,[1]characters!$2:$2,0)+1,FALSE)</f>
        <v>妖狐演舞 タマモ</v>
      </c>
      <c r="H9" s="10" t="str">
        <f ca="1">VLOOKUP($F9,OFFSET([1]characters!$A$2,0,0,COUNTA([1]characters!$A:$A),MATCH(H$1,[1]characters!$2:$2,0)-MATCH($F$1,[1]characters!$2:$2,0)+1),MATCH(H$1,[1]characters!$2:$2,0)-MATCH($F$1,[1]characters!$2:$2,0)+1,FALSE)</f>
        <v>PremiumW</v>
      </c>
      <c r="I9" s="10">
        <f ca="1">VLOOKUP($F9,OFFSET([1]characters!$A$2,0,0,COUNTA([1]characters!$A:$A),MATCH(I$1,[1]characters!$2:$2,0)-MATCH($F$1,[1]characters!$2:$2,0)+1),MATCH(I$1,[1]characters!$2:$2,0)-MATCH($F$1,[1]characters!$2:$2,0)+1,FALSE)</f>
        <v>4</v>
      </c>
      <c r="J9" s="10" t="str">
        <f ca="1">VLOOKUP($F9,OFFSET([1]characters!$A$2,0,0,COUNTA([1]characters!$A:$A),MATCH(J$1,[1]characters!$2:$2,0)-MATCH($F$1,[1]characters!$2:$2,0)+1),MATCH(J$1,[1]characters!$2:$2,0)-MATCH($F$1,[1]characters!$2:$2,0)+1,FALSE)</f>
        <v>yellow</v>
      </c>
      <c r="K9" s="10" t="str">
        <f ca="1">VLOOKUP($F9,OFFSET([1]characters!$A$2,0,0,COUNTA([1]characters!$A:$A),MATCH("タイプ",[1]characters!$1:$1,0)-MATCH($F$1,[1]characters!$2:$2,0)+2),MATCH("タイプ",[1]characters!$1:$1,0)-MATCH($F$1,[1]characters!$2:$2,0)+2,FALSE)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" s="10" t="str">
        <f ca="1">VLOOKUP($F9,OFFSET([1]characters!$A$2,0,0,COUNTA([1]characters!$A:$A),MATCH($L$1,[1]characters!$1:$1,0)-MATCH($F$1,[1]characters!$2:$2,0)+2),MATCH($L$1,[1]characters!$1:$1,0)-MATCH($F$1,[1]characters!$2:$2,0)+2,FALSE)</f>
        <v>アニマル</v>
      </c>
      <c r="M9" s="6">
        <v>1</v>
      </c>
      <c r="N9" s="40">
        <f ca="1">VLOOKUP(D9,gacha_133_base!A:B,2,FALSE)</f>
        <v>2100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135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VLOOKUP($F10,OFFSET([1]characters!$A$2,0,0,COUNTA([1]characters!$A:$A),MATCH(G$1,[1]characters!$2:$2,0)-MATCH($F$1,[1]characters!$2:$2,0)+1),MATCH(G$1,[1]characters!$2:$2,0)-MATCH($F$1,[1]characters!$2:$2,0)+1,FALSE)</f>
        <v>深紅の死神 赤ずきん</v>
      </c>
      <c r="H10" s="10" t="str">
        <f ca="1">VLOOKUP($F10,OFFSET([1]characters!$A$2,0,0,COUNTA([1]characters!$A:$A),MATCH(H$1,[1]characters!$2:$2,0)-MATCH($F$1,[1]characters!$2:$2,0)+1),MATCH(H$1,[1]characters!$2:$2,0)-MATCH($F$1,[1]characters!$2:$2,0)+1,FALSE)</f>
        <v>PremiumW</v>
      </c>
      <c r="I10" s="10">
        <f ca="1">VLOOKUP($F10,OFFSET([1]characters!$A$2,0,0,COUNTA([1]characters!$A:$A),MATCH(I$1,[1]characters!$2:$2,0)-MATCH($F$1,[1]characters!$2:$2,0)+1),MATCH(I$1,[1]characters!$2:$2,0)-MATCH($F$1,[1]characters!$2:$2,0)+1,FALSE)</f>
        <v>4</v>
      </c>
      <c r="J10" s="10" t="str">
        <f ca="1">VLOOKUP($F10,OFFSET([1]characters!$A$2,0,0,COUNTA([1]characters!$A:$A),MATCH(J$1,[1]characters!$2:$2,0)-MATCH($F$1,[1]characters!$2:$2,0)+1),MATCH(J$1,[1]characters!$2:$2,0)-MATCH($F$1,[1]characters!$2:$2,0)+1,FALSE)</f>
        <v>red</v>
      </c>
      <c r="K10" s="10" t="str">
        <f ca="1">VLOOKUP($F10,OFFSET([1]characters!$A$2,0,0,COUNTA([1]characters!$A:$A),MATCH("タイプ",[1]characters!$1:$1,0)-MATCH($F$1,[1]characters!$2:$2,0)+2),MATCH("タイプ",[1]characters!$1:$1,0)-MATCH($F$1,[1]characters!$2:$2,0)+2,FALSE)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" s="10" t="str">
        <f ca="1">VLOOKUP($F10,OFFSET([1]characters!$A$2,0,0,COUNTA([1]characters!$A:$A),MATCH($L$1,[1]characters!$1:$1,0)-MATCH($F$1,[1]characters!$2:$2,0)+2),MATCH($L$1,[1]characters!$1:$1,0)-MATCH($F$1,[1]characters!$2:$2,0)+2,FALSE)</f>
        <v>ヒューマン</v>
      </c>
      <c r="M10" s="6">
        <v>1</v>
      </c>
      <c r="N10" s="40">
        <f ca="1">VLOOKUP(D10,gacha_133_base!A:B,2,FALSE)</f>
        <v>2100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135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VLOOKUP($F11,OFFSET([1]characters!$A$2,0,0,COUNTA([1]characters!$A:$A),MATCH(G$1,[1]characters!$2:$2,0)-MATCH($F$1,[1]characters!$2:$2,0)+1),MATCH(G$1,[1]characters!$2:$2,0)-MATCH($F$1,[1]characters!$2:$2,0)+1,FALSE)</f>
        <v>魔性妖艶 かぐや</v>
      </c>
      <c r="H11" s="10" t="str">
        <f ca="1">VLOOKUP($F11,OFFSET([1]characters!$A$2,0,0,COUNTA([1]characters!$A:$A),MATCH(H$1,[1]characters!$2:$2,0)-MATCH($F$1,[1]characters!$2:$2,0)+1),MATCH(H$1,[1]characters!$2:$2,0)-MATCH($F$1,[1]characters!$2:$2,0)+1,FALSE)</f>
        <v>PremiumW</v>
      </c>
      <c r="I11" s="10">
        <f ca="1">VLOOKUP($F11,OFFSET([1]characters!$A$2,0,0,COUNTA([1]characters!$A:$A),MATCH(I$1,[1]characters!$2:$2,0)-MATCH($F$1,[1]characters!$2:$2,0)+1),MATCH(I$1,[1]characters!$2:$2,0)-MATCH($F$1,[1]characters!$2:$2,0)+1,FALSE)</f>
        <v>4</v>
      </c>
      <c r="J11" s="10" t="str">
        <f ca="1">VLOOKUP($F11,OFFSET([1]characters!$A$2,0,0,COUNTA([1]characters!$A:$A),MATCH(J$1,[1]characters!$2:$2,0)-MATCH($F$1,[1]characters!$2:$2,0)+1),MATCH(J$1,[1]characters!$2:$2,0)-MATCH($F$1,[1]characters!$2:$2,0)+1,FALSE)</f>
        <v>green</v>
      </c>
      <c r="K11" s="10" t="str">
        <f ca="1">VLOOKUP($F11,OFFSET([1]characters!$A$2,0,0,COUNTA([1]characters!$A:$A),MATCH("タイプ",[1]characters!$1:$1,0)-MATCH($F$1,[1]characters!$2:$2,0)+2),MATCH("タイプ",[1]characters!$1:$1,0)-MATCH($F$1,[1]characters!$2:$2,0)+2,FALSE)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" s="10" t="str">
        <f ca="1">VLOOKUP($F11,OFFSET([1]characters!$A$2,0,0,COUNTA([1]characters!$A:$A),MATCH($L$1,[1]characters!$1:$1,0)-MATCH($F$1,[1]characters!$2:$2,0)+2),MATCH($L$1,[1]characters!$1:$1,0)-MATCH($F$1,[1]characters!$2:$2,0)+2,FALSE)</f>
        <v>ヒューマン</v>
      </c>
      <c r="M11" s="6">
        <v>1</v>
      </c>
      <c r="N11" s="40">
        <f ca="1">VLOOKUP(D11,gacha_133_base!A:B,2,FALSE)</f>
        <v>2100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135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2" s="10" t="str">
        <f ca="1">VLOOKUP($F12,OFFSET([1]characters!$A$2,0,0,COUNTA([1]characters!$A:$A),MATCH(H$1,[1]characters!$2:$2,0)-MATCH($F$1,[1]characters!$2:$2,0)+1),MATCH(H$1,[1]characters!$2:$2,0)-MATCH($F$1,[1]characters!$2:$2,0)+1,FALSE)</f>
        <v>PremiumW</v>
      </c>
      <c r="I12" s="10">
        <f ca="1">VLOOKUP($F12,OFFSET([1]characters!$A$2,0,0,COUNTA([1]characters!$A:$A),MATCH(I$1,[1]characters!$2:$2,0)-MATCH($F$1,[1]characters!$2:$2,0)+1),MATCH(I$1,[1]characters!$2:$2,0)-MATCH($F$1,[1]characters!$2:$2,0)+1,FALSE)</f>
        <v>4</v>
      </c>
      <c r="J12" s="10" t="str">
        <f ca="1">VLOOKUP($F12,OFFSET([1]characters!$A$2,0,0,COUNTA([1]characters!$A:$A),MATCH(J$1,[1]characters!$2:$2,0)-MATCH($F$1,[1]characters!$2:$2,0)+1),MATCH(J$1,[1]characters!$2:$2,0)-MATCH($F$1,[1]characters!$2:$2,0)+1,FALSE)</f>
        <v>blue</v>
      </c>
      <c r="K12" s="10" t="str">
        <f ca="1">VLOOKUP($F12,OFFSET([1]characters!$A$2,0,0,COUNTA([1]characters!$A:$A),MATCH("タイプ",[1]characters!$1:$1,0)-MATCH($F$1,[1]characters!$2:$2,0)+2),MATCH("タイプ",[1]characters!$1:$1,0)-MATCH($F$1,[1]characters!$2:$2,0)+2,FALSE)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" s="10" t="str">
        <f ca="1">VLOOKUP($F12,OFFSET([1]characters!$A$2,0,0,COUNTA([1]characters!$A:$A),MATCH($L$1,[1]characters!$1:$1,0)-MATCH($F$1,[1]characters!$2:$2,0)+2),MATCH($L$1,[1]characters!$1:$1,0)-MATCH($F$1,[1]characters!$2:$2,0)+2,FALSE)</f>
        <v>ヒューマン</v>
      </c>
      <c r="M12" s="6">
        <v>1</v>
      </c>
      <c r="N12" s="40">
        <f ca="1">VLOOKUP(D12,gacha_133_base!A:B,2,FALSE)</f>
        <v>2100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135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3" s="10" t="str">
        <f ca="1">VLOOKUP($F13,OFFSET([1]characters!$A$2,0,0,COUNTA([1]characters!$A:$A),MATCH(H$1,[1]characters!$2:$2,0)-MATCH($F$1,[1]characters!$2:$2,0)+1),MATCH(H$1,[1]characters!$2:$2,0)-MATCH($F$1,[1]characters!$2:$2,0)+1,FALSE)</f>
        <v>PremiumW</v>
      </c>
      <c r="I13" s="10">
        <f ca="1">VLOOKUP($F13,OFFSET([1]characters!$A$2,0,0,COUNTA([1]characters!$A:$A),MATCH(I$1,[1]characters!$2:$2,0)-MATCH($F$1,[1]characters!$2:$2,0)+1),MATCH(I$1,[1]characters!$2:$2,0)-MATCH($F$1,[1]characters!$2:$2,0)+1,FALSE)</f>
        <v>4</v>
      </c>
      <c r="J13" s="10" t="str">
        <f ca="1">VLOOKUP($F13,OFFSET([1]characters!$A$2,0,0,COUNTA([1]characters!$A:$A),MATCH(J$1,[1]characters!$2:$2,0)-MATCH($F$1,[1]characters!$2:$2,0)+1),MATCH(J$1,[1]characters!$2:$2,0)-MATCH($F$1,[1]characters!$2:$2,0)+1,FALSE)</f>
        <v>yellow</v>
      </c>
      <c r="K13" s="10" t="str">
        <f ca="1">VLOOKUP($F13,OFFSET([1]characters!$A$2,0,0,COUNTA([1]characters!$A:$A),MATCH("タイプ",[1]characters!$1:$1,0)-MATCH($F$1,[1]characters!$2:$2,0)+2),MATCH("タイプ",[1]characters!$1:$1,0)-MATCH($F$1,[1]characters!$2:$2,0)+2,FALSE)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" s="10" t="str">
        <f ca="1">VLOOKUP($F13,OFFSET([1]characters!$A$2,0,0,COUNTA([1]characters!$A:$A),MATCH($L$1,[1]characters!$1:$1,0)-MATCH($F$1,[1]characters!$2:$2,0)+2),MATCH($L$1,[1]characters!$1:$1,0)-MATCH($F$1,[1]characters!$2:$2,0)+2,FALSE)</f>
        <v>ヒューマン</v>
      </c>
      <c r="M13" s="6">
        <v>1</v>
      </c>
      <c r="N13" s="40">
        <f ca="1">VLOOKUP(D13,gacha_133_base!A:B,2,FALSE)</f>
        <v>2100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135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VLOOKUP($F14,OFFSET([1]characters!$A$2,0,0,COUNTA([1]characters!$A:$A),MATCH(G$1,[1]characters!$2:$2,0)-MATCH($F$1,[1]characters!$2:$2,0)+1),MATCH(G$1,[1]characters!$2:$2,0)-MATCH($F$1,[1]characters!$2:$2,0)+1,FALSE)</f>
        <v>毒煙の処刑人サキ</v>
      </c>
      <c r="H14" s="10" t="str">
        <f ca="1">VLOOKUP($F14,OFFSET([1]characters!$A$2,0,0,COUNTA([1]characters!$A:$A),MATCH(H$1,[1]characters!$2:$2,0)-MATCH($F$1,[1]characters!$2:$2,0)+1),MATCH(H$1,[1]characters!$2:$2,0)-MATCH($F$1,[1]characters!$2:$2,0)+1,FALSE)</f>
        <v>PremiumW</v>
      </c>
      <c r="I14" s="10">
        <f ca="1">VLOOKUP($F14,OFFSET([1]characters!$A$2,0,0,COUNTA([1]characters!$A:$A),MATCH(I$1,[1]characters!$2:$2,0)-MATCH($F$1,[1]characters!$2:$2,0)+1),MATCH(I$1,[1]characters!$2:$2,0)-MATCH($F$1,[1]characters!$2:$2,0)+1,FALSE)</f>
        <v>4</v>
      </c>
      <c r="J14" s="10" t="str">
        <f ca="1">VLOOKUP($F14,OFFSET([1]characters!$A$2,0,0,COUNTA([1]characters!$A:$A),MATCH(J$1,[1]characters!$2:$2,0)-MATCH($F$1,[1]characters!$2:$2,0)+1),MATCH(J$1,[1]characters!$2:$2,0)-MATCH($F$1,[1]characters!$2:$2,0)+1,FALSE)</f>
        <v>red</v>
      </c>
      <c r="K14" s="10" t="str">
        <f ca="1">VLOOKUP($F14,OFFSET([1]characters!$A$2,0,0,COUNTA([1]characters!$A:$A),MATCH("タイプ",[1]characters!$1:$1,0)-MATCH($F$1,[1]characters!$2:$2,0)+2),MATCH("タイプ",[1]characters!$1:$1,0)-MATCH($F$1,[1]characters!$2:$2,0)+2,FALSE)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" s="10" t="str">
        <f ca="1">VLOOKUP($F14,OFFSET([1]characters!$A$2,0,0,COUNTA([1]characters!$A:$A),MATCH($L$1,[1]characters!$1:$1,0)-MATCH($F$1,[1]characters!$2:$2,0)+2),MATCH($L$1,[1]characters!$1:$1,0)-MATCH($F$1,[1]characters!$2:$2,0)+2,FALSE)</f>
        <v>ヒューマン</v>
      </c>
      <c r="M14" s="6">
        <v>1</v>
      </c>
      <c r="N14" s="40">
        <f ca="1">VLOOKUP(D14,gacha_133_base!A:B,2,FALSE)</f>
        <v>2100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135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VLOOKUP($F15,OFFSET([1]characters!$A$2,0,0,COUNTA([1]characters!$A:$A),MATCH(G$1,[1]characters!$2:$2,0)-MATCH($F$1,[1]characters!$2:$2,0)+1),MATCH(G$1,[1]characters!$2:$2,0)-MATCH($F$1,[1]characters!$2:$2,0)+1,FALSE)</f>
        <v>拳聖ランラン</v>
      </c>
      <c r="H15" s="10" t="str">
        <f ca="1">VLOOKUP($F15,OFFSET([1]characters!$A$2,0,0,COUNTA([1]characters!$A:$A),MATCH(H$1,[1]characters!$2:$2,0)-MATCH($F$1,[1]characters!$2:$2,0)+1),MATCH(H$1,[1]characters!$2:$2,0)-MATCH($F$1,[1]characters!$2:$2,0)+1,FALSE)</f>
        <v>PremiumW</v>
      </c>
      <c r="I15" s="10">
        <f ca="1">VLOOKUP($F15,OFFSET([1]characters!$A$2,0,0,COUNTA([1]characters!$A:$A),MATCH(I$1,[1]characters!$2:$2,0)-MATCH($F$1,[1]characters!$2:$2,0)+1),MATCH(I$1,[1]characters!$2:$2,0)-MATCH($F$1,[1]characters!$2:$2,0)+1,FALSE)</f>
        <v>4</v>
      </c>
      <c r="J15" s="10" t="str">
        <f ca="1">VLOOKUP($F15,OFFSET([1]characters!$A$2,0,0,COUNTA([1]characters!$A:$A),MATCH(J$1,[1]characters!$2:$2,0)-MATCH($F$1,[1]characters!$2:$2,0)+1),MATCH(J$1,[1]characters!$2:$2,0)-MATCH($F$1,[1]characters!$2:$2,0)+1,FALSE)</f>
        <v>green</v>
      </c>
      <c r="K15" s="10" t="str">
        <f ca="1">VLOOKUP($F15,OFFSET([1]characters!$A$2,0,0,COUNTA([1]characters!$A:$A),MATCH("タイプ",[1]characters!$1:$1,0)-MATCH($F$1,[1]characters!$2:$2,0)+2),MATCH("タイプ",[1]characters!$1:$1,0)-MATCH($F$1,[1]characters!$2:$2,0)+2,FALSE)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" s="10" t="str">
        <f ca="1">VLOOKUP($F15,OFFSET([1]characters!$A$2,0,0,COUNTA([1]characters!$A:$A),MATCH($L$1,[1]characters!$1:$1,0)-MATCH($F$1,[1]characters!$2:$2,0)+2),MATCH($L$1,[1]characters!$1:$1,0)-MATCH($F$1,[1]characters!$2:$2,0)+2,FALSE)</f>
        <v>ヒューマン</v>
      </c>
      <c r="M15" s="6">
        <v>1</v>
      </c>
      <c r="N15" s="40">
        <f ca="1">VLOOKUP(D15,gacha_133_base!A:B,2,FALSE)</f>
        <v>2100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135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VLOOKUP($F16,OFFSET([1]characters!$A$2,0,0,COUNTA([1]characters!$A:$A),MATCH(G$1,[1]characters!$2:$2,0)-MATCH($F$1,[1]characters!$2:$2,0)+1),MATCH(G$1,[1]characters!$2:$2,0)-MATCH($F$1,[1]characters!$2:$2,0)+1,FALSE)</f>
        <v>隻眼の掃除屋 ハンナ</v>
      </c>
      <c r="H16" s="10" t="str">
        <f ca="1">VLOOKUP($F16,OFFSET([1]characters!$A$2,0,0,COUNTA([1]characters!$A:$A),MATCH(H$1,[1]characters!$2:$2,0)-MATCH($F$1,[1]characters!$2:$2,0)+1),MATCH(H$1,[1]characters!$2:$2,0)-MATCH($F$1,[1]characters!$2:$2,0)+1,FALSE)</f>
        <v>PremiumW</v>
      </c>
      <c r="I16" s="10">
        <f ca="1">VLOOKUP($F16,OFFSET([1]characters!$A$2,0,0,COUNTA([1]characters!$A:$A),MATCH(I$1,[1]characters!$2:$2,0)-MATCH($F$1,[1]characters!$2:$2,0)+1),MATCH(I$1,[1]characters!$2:$2,0)-MATCH($F$1,[1]characters!$2:$2,0)+1,FALSE)</f>
        <v>4</v>
      </c>
      <c r="J16" s="10" t="str">
        <f ca="1">VLOOKUP($F16,OFFSET([1]characters!$A$2,0,0,COUNTA([1]characters!$A:$A),MATCH(J$1,[1]characters!$2:$2,0)-MATCH($F$1,[1]characters!$2:$2,0)+1),MATCH(J$1,[1]characters!$2:$2,0)-MATCH($F$1,[1]characters!$2:$2,0)+1,FALSE)</f>
        <v>blue</v>
      </c>
      <c r="K16" s="10" t="str">
        <f ca="1">VLOOKUP($F16,OFFSET([1]characters!$A$2,0,0,COUNTA([1]characters!$A:$A),MATCH("タイプ",[1]characters!$1:$1,0)-MATCH($F$1,[1]characters!$2:$2,0)+2),MATCH("タイプ",[1]characters!$1:$1,0)-MATCH($F$1,[1]characters!$2:$2,0)+2,FALSE)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" s="10" t="str">
        <f ca="1">VLOOKUP($F16,OFFSET([1]characters!$A$2,0,0,COUNTA([1]characters!$A:$A),MATCH($L$1,[1]characters!$1:$1,0)-MATCH($F$1,[1]characters!$2:$2,0)+2),MATCH($L$1,[1]characters!$1:$1,0)-MATCH($F$1,[1]characters!$2:$2,0)+2,FALSE)</f>
        <v>ヒューマン</v>
      </c>
      <c r="M16" s="6">
        <v>1</v>
      </c>
      <c r="N16" s="40">
        <f ca="1">VLOOKUP(D16,gacha_133_base!A:B,2,FALSE)</f>
        <v>2100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135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VLOOKUP($F17,OFFSET([1]characters!$A$2,0,0,COUNTA([1]characters!$A:$A),MATCH(G$1,[1]characters!$2:$2,0)-MATCH($F$1,[1]characters!$2:$2,0)+1),MATCH(G$1,[1]characters!$2:$2,0)-MATCH($F$1,[1]characters!$2:$2,0)+1,FALSE)</f>
        <v>雷光舞姫 エレナ</v>
      </c>
      <c r="H17" s="10" t="str">
        <f ca="1">VLOOKUP($F17,OFFSET([1]characters!$A$2,0,0,COUNTA([1]characters!$A:$A),MATCH(H$1,[1]characters!$2:$2,0)-MATCH($F$1,[1]characters!$2:$2,0)+1),MATCH(H$1,[1]characters!$2:$2,0)-MATCH($F$1,[1]characters!$2:$2,0)+1,FALSE)</f>
        <v>PremiumW</v>
      </c>
      <c r="I17" s="10">
        <f ca="1">VLOOKUP($F17,OFFSET([1]characters!$A$2,0,0,COUNTA([1]characters!$A:$A),MATCH(I$1,[1]characters!$2:$2,0)-MATCH($F$1,[1]characters!$2:$2,0)+1),MATCH(I$1,[1]characters!$2:$2,0)-MATCH($F$1,[1]characters!$2:$2,0)+1,FALSE)</f>
        <v>4</v>
      </c>
      <c r="J17" s="10" t="str">
        <f ca="1">VLOOKUP($F17,OFFSET([1]characters!$A$2,0,0,COUNTA([1]characters!$A:$A),MATCH(J$1,[1]characters!$2:$2,0)-MATCH($F$1,[1]characters!$2:$2,0)+1),MATCH(J$1,[1]characters!$2:$2,0)-MATCH($F$1,[1]characters!$2:$2,0)+1,FALSE)</f>
        <v>yellow</v>
      </c>
      <c r="K17" s="10" t="str">
        <f ca="1">VLOOKUP($F17,OFFSET([1]characters!$A$2,0,0,COUNTA([1]characters!$A:$A),MATCH("タイプ",[1]characters!$1:$1,0)-MATCH($F$1,[1]characters!$2:$2,0)+2),MATCH("タイプ",[1]characters!$1:$1,0)-MATCH($F$1,[1]characters!$2:$2,0)+2,FALSE)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" s="10" t="str">
        <f ca="1">VLOOKUP($F17,OFFSET([1]characters!$A$2,0,0,COUNTA([1]characters!$A:$A),MATCH($L$1,[1]characters!$1:$1,0)-MATCH($F$1,[1]characters!$2:$2,0)+2),MATCH($L$1,[1]characters!$1:$1,0)-MATCH($F$1,[1]characters!$2:$2,0)+2,FALSE)</f>
        <v>ヒューマン</v>
      </c>
      <c r="M17" s="6">
        <v>1</v>
      </c>
      <c r="N17" s="40">
        <f ca="1">VLOOKUP(D17,gacha_133_base!A:B,2,FALSE)</f>
        <v>2100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135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8" s="10" t="str">
        <f ca="1">VLOOKUP($F18,OFFSET([1]characters!$A$2,0,0,COUNTA([1]characters!$A:$A),MATCH(H$1,[1]characters!$2:$2,0)-MATCH($F$1,[1]characters!$2:$2,0)+1),MATCH(H$1,[1]characters!$2:$2,0)-MATCH($F$1,[1]characters!$2:$2,0)+1,FALSE)</f>
        <v>PremiumW</v>
      </c>
      <c r="I18" s="10">
        <f ca="1">VLOOKUP($F18,OFFSET([1]characters!$A$2,0,0,COUNTA([1]characters!$A:$A),MATCH(I$1,[1]characters!$2:$2,0)-MATCH($F$1,[1]characters!$2:$2,0)+1),MATCH(I$1,[1]characters!$2:$2,0)-MATCH($F$1,[1]characters!$2:$2,0)+1,FALSE)</f>
        <v>4</v>
      </c>
      <c r="J18" s="10" t="str">
        <f ca="1">VLOOKUP($F18,OFFSET([1]characters!$A$2,0,0,COUNTA([1]characters!$A:$A),MATCH(J$1,[1]characters!$2:$2,0)-MATCH($F$1,[1]characters!$2:$2,0)+1),MATCH(J$1,[1]characters!$2:$2,0)-MATCH($F$1,[1]characters!$2:$2,0)+1,FALSE)</f>
        <v>red</v>
      </c>
      <c r="K18" s="10" t="str">
        <f ca="1">VLOOKUP($F18,OFFSET([1]characters!$A$2,0,0,COUNTA([1]characters!$A:$A),MATCH("タイプ",[1]characters!$1:$1,0)-MATCH($F$1,[1]characters!$2:$2,0)+2),MATCH("タイプ",[1]characters!$1:$1,0)-MATCH($F$1,[1]characters!$2:$2,0)+2,FALSE)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" s="10" t="str">
        <f ca="1">VLOOKUP($F18,OFFSET([1]characters!$A$2,0,0,COUNTA([1]characters!$A:$A),MATCH($L$1,[1]characters!$1:$1,0)-MATCH($F$1,[1]characters!$2:$2,0)+2),MATCH($L$1,[1]characters!$1:$1,0)-MATCH($F$1,[1]characters!$2:$2,0)+2,FALSE)</f>
        <v>ヒューマン</v>
      </c>
      <c r="M18" s="6">
        <v>1</v>
      </c>
      <c r="N18" s="40">
        <f ca="1">VLOOKUP(D18,gacha_133_base!A:B,2,FALSE)</f>
        <v>2100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135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VLOOKUP($F19,OFFSET([1]characters!$A$2,0,0,COUNTA([1]characters!$A:$A),MATCH(G$1,[1]characters!$2:$2,0)-MATCH($F$1,[1]characters!$2:$2,0)+1),MATCH(G$1,[1]characters!$2:$2,0)-MATCH($F$1,[1]characters!$2:$2,0)+1,FALSE)</f>
        <v>咆哮の先導者 クリエ</v>
      </c>
      <c r="H19" s="10" t="str">
        <f ca="1">VLOOKUP($F19,OFFSET([1]characters!$A$2,0,0,COUNTA([1]characters!$A:$A),MATCH(H$1,[1]characters!$2:$2,0)-MATCH($F$1,[1]characters!$2:$2,0)+1),MATCH(H$1,[1]characters!$2:$2,0)-MATCH($F$1,[1]characters!$2:$2,0)+1,FALSE)</f>
        <v>PremiumW</v>
      </c>
      <c r="I19" s="10">
        <f ca="1">VLOOKUP($F19,OFFSET([1]characters!$A$2,0,0,COUNTA([1]characters!$A:$A),MATCH(I$1,[1]characters!$2:$2,0)-MATCH($F$1,[1]characters!$2:$2,0)+1),MATCH(I$1,[1]characters!$2:$2,0)-MATCH($F$1,[1]characters!$2:$2,0)+1,FALSE)</f>
        <v>4</v>
      </c>
      <c r="J19" s="10" t="str">
        <f ca="1">VLOOKUP($F19,OFFSET([1]characters!$A$2,0,0,COUNTA([1]characters!$A:$A),MATCH(J$1,[1]characters!$2:$2,0)-MATCH($F$1,[1]characters!$2:$2,0)+1),MATCH(J$1,[1]characters!$2:$2,0)-MATCH($F$1,[1]characters!$2:$2,0)+1,FALSE)</f>
        <v>green</v>
      </c>
      <c r="K19" s="10" t="str">
        <f ca="1">VLOOKUP($F19,OFFSET([1]characters!$A$2,0,0,COUNTA([1]characters!$A:$A),MATCH("タイプ",[1]characters!$1:$1,0)-MATCH($F$1,[1]characters!$2:$2,0)+2),MATCH("タイプ",[1]characters!$1:$1,0)-MATCH($F$1,[1]characters!$2:$2,0)+2,FALSE)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" s="10" t="str">
        <f ca="1">VLOOKUP($F19,OFFSET([1]characters!$A$2,0,0,COUNTA([1]characters!$A:$A),MATCH($L$1,[1]characters!$1:$1,0)-MATCH($F$1,[1]characters!$2:$2,0)+2),MATCH($L$1,[1]characters!$1:$1,0)-MATCH($F$1,[1]characters!$2:$2,0)+2,FALSE)</f>
        <v>ヒューマン</v>
      </c>
      <c r="M19" s="6">
        <v>1</v>
      </c>
      <c r="N19" s="40">
        <f ca="1">VLOOKUP(D19,gacha_133_base!A:B,2,FALSE)</f>
        <v>2100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135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VLOOKUP($F20,OFFSET([1]characters!$A$2,0,0,COUNTA([1]characters!$A:$A),MATCH(G$1,[1]characters!$2:$2,0)-MATCH($F$1,[1]characters!$2:$2,0)+1),MATCH(G$1,[1]characters!$2:$2,0)-MATCH($F$1,[1]characters!$2:$2,0)+1,FALSE)</f>
        <v>冷酷な狂嬢 クララ</v>
      </c>
      <c r="H20" s="10" t="str">
        <f ca="1">VLOOKUP($F20,OFFSET([1]characters!$A$2,0,0,COUNTA([1]characters!$A:$A),MATCH(H$1,[1]characters!$2:$2,0)-MATCH($F$1,[1]characters!$2:$2,0)+1),MATCH(H$1,[1]characters!$2:$2,0)-MATCH($F$1,[1]characters!$2:$2,0)+1,FALSE)</f>
        <v>PremiumW</v>
      </c>
      <c r="I20" s="10">
        <f ca="1">VLOOKUP($F20,OFFSET([1]characters!$A$2,0,0,COUNTA([1]characters!$A:$A),MATCH(I$1,[1]characters!$2:$2,0)-MATCH($F$1,[1]characters!$2:$2,0)+1),MATCH(I$1,[1]characters!$2:$2,0)-MATCH($F$1,[1]characters!$2:$2,0)+1,FALSE)</f>
        <v>4</v>
      </c>
      <c r="J20" s="10" t="str">
        <f ca="1">VLOOKUP($F20,OFFSET([1]characters!$A$2,0,0,COUNTA([1]characters!$A:$A),MATCH(J$1,[1]characters!$2:$2,0)-MATCH($F$1,[1]characters!$2:$2,0)+1),MATCH(J$1,[1]characters!$2:$2,0)-MATCH($F$1,[1]characters!$2:$2,0)+1,FALSE)</f>
        <v>blue</v>
      </c>
      <c r="K20" s="10" t="str">
        <f ca="1">VLOOKUP($F20,OFFSET([1]characters!$A$2,0,0,COUNTA([1]characters!$A:$A),MATCH("タイプ",[1]characters!$1:$1,0)-MATCH($F$1,[1]characters!$2:$2,0)+2),MATCH("タイプ",[1]characters!$1:$1,0)-MATCH($F$1,[1]characters!$2:$2,0)+2,FALSE)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" s="10" t="str">
        <f ca="1">VLOOKUP($F20,OFFSET([1]characters!$A$2,0,0,COUNTA([1]characters!$A:$A),MATCH($L$1,[1]characters!$1:$1,0)-MATCH($F$1,[1]characters!$2:$2,0)+2),MATCH($L$1,[1]characters!$1:$1,0)-MATCH($F$1,[1]characters!$2:$2,0)+2,FALSE)</f>
        <v>ヒューマン</v>
      </c>
      <c r="M20" s="6">
        <v>1</v>
      </c>
      <c r="N20" s="40">
        <f ca="1">VLOOKUP(D20,gacha_133_base!A:B,2,FALSE)</f>
        <v>2100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135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21" s="10" t="str">
        <f ca="1">VLOOKUP($F21,OFFSET([1]characters!$A$2,0,0,COUNTA([1]characters!$A:$A),MATCH(H$1,[1]characters!$2:$2,0)-MATCH($F$1,[1]characters!$2:$2,0)+1),MATCH(H$1,[1]characters!$2:$2,0)-MATCH($F$1,[1]characters!$2:$2,0)+1,FALSE)</f>
        <v>PremiumW</v>
      </c>
      <c r="I21" s="10">
        <f ca="1">VLOOKUP($F21,OFFSET([1]characters!$A$2,0,0,COUNTA([1]characters!$A:$A),MATCH(I$1,[1]characters!$2:$2,0)-MATCH($F$1,[1]characters!$2:$2,0)+1),MATCH(I$1,[1]characters!$2:$2,0)-MATCH($F$1,[1]characters!$2:$2,0)+1,FALSE)</f>
        <v>4</v>
      </c>
      <c r="J21" s="10" t="str">
        <f ca="1">VLOOKUP($F21,OFFSET([1]characters!$A$2,0,0,COUNTA([1]characters!$A:$A),MATCH(J$1,[1]characters!$2:$2,0)-MATCH($F$1,[1]characters!$2:$2,0)+1),MATCH(J$1,[1]characters!$2:$2,0)-MATCH($F$1,[1]characters!$2:$2,0)+1,FALSE)</f>
        <v>yellow</v>
      </c>
      <c r="K21" s="10" t="str">
        <f ca="1">VLOOKUP($F21,OFFSET([1]characters!$A$2,0,0,COUNTA([1]characters!$A:$A),MATCH("タイプ",[1]characters!$1:$1,0)-MATCH($F$1,[1]characters!$2:$2,0)+2),MATCH("タイプ",[1]characters!$1:$1,0)-MATCH($F$1,[1]characters!$2:$2,0)+2,FALSE)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" s="10" t="str">
        <f ca="1">VLOOKUP($F21,OFFSET([1]characters!$A$2,0,0,COUNTA([1]characters!$A:$A),MATCH($L$1,[1]characters!$1:$1,0)-MATCH($F$1,[1]characters!$2:$2,0)+2),MATCH($L$1,[1]characters!$1:$1,0)-MATCH($F$1,[1]characters!$2:$2,0)+2,FALSE)</f>
        <v>ヒューマン</v>
      </c>
      <c r="M21" s="6">
        <v>1</v>
      </c>
      <c r="N21" s="40">
        <f ca="1">VLOOKUP(D21,gacha_133_base!A:B,2,FALSE)</f>
        <v>2100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135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VLOOKUP($F22,OFFSET([1]characters!$A$2,0,0,COUNTA([1]characters!$A:$A),MATCH(G$1,[1]characters!$2:$2,0)-MATCH($F$1,[1]characters!$2:$2,0)+1),MATCH(G$1,[1]characters!$2:$2,0)-MATCH($F$1,[1]characters!$2:$2,0)+1,FALSE)</f>
        <v>逆徒 ベリアル</v>
      </c>
      <c r="H22" s="10" t="str">
        <f ca="1">VLOOKUP($F22,OFFSET([1]characters!$A$2,0,0,COUNTA([1]characters!$A:$A),MATCH(H$1,[1]characters!$2:$2,0)-MATCH($F$1,[1]characters!$2:$2,0)+1),MATCH(H$1,[1]characters!$2:$2,0)-MATCH($F$1,[1]characters!$2:$2,0)+1,FALSE)</f>
        <v>PremiumN</v>
      </c>
      <c r="I22" s="10">
        <f ca="1">VLOOKUP($F22,OFFSET([1]characters!$A$2,0,0,COUNTA([1]characters!$A:$A),MATCH(I$1,[1]characters!$2:$2,0)-MATCH($F$1,[1]characters!$2:$2,0)+1),MATCH(I$1,[1]characters!$2:$2,0)-MATCH($F$1,[1]characters!$2:$2,0)+1,FALSE)</f>
        <v>4</v>
      </c>
      <c r="J22" s="10" t="str">
        <f ca="1">VLOOKUP($F22,OFFSET([1]characters!$A$2,0,0,COUNTA([1]characters!$A:$A),MATCH(J$1,[1]characters!$2:$2,0)-MATCH($F$1,[1]characters!$2:$2,0)+1),MATCH(J$1,[1]characters!$2:$2,0)-MATCH($F$1,[1]characters!$2:$2,0)+1,FALSE)</f>
        <v>red</v>
      </c>
      <c r="K22" s="10" t="str">
        <f ca="1">VLOOKUP($F22,OFFSET([1]characters!$A$2,0,0,COUNTA([1]characters!$A:$A),MATCH("タイプ",[1]characters!$1:$1,0)-MATCH($F$1,[1]characters!$2:$2,0)+2),MATCH("タイプ",[1]characters!$1:$1,0)-MATCH($F$1,[1]characters!$2:$2,0)+2,FALSE)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" s="10" t="str">
        <f ca="1">VLOOKUP($F22,OFFSET([1]characters!$A$2,0,0,COUNTA([1]characters!$A:$A),MATCH($L$1,[1]characters!$1:$1,0)-MATCH($F$1,[1]characters!$2:$2,0)+2),MATCH($L$1,[1]characters!$1:$1,0)-MATCH($F$1,[1]characters!$2:$2,0)+2,FALSE)</f>
        <v>ゴッド</v>
      </c>
      <c r="M22" s="6">
        <v>1</v>
      </c>
      <c r="N22" s="40">
        <f ca="1">VLOOKUP(D22,gacha_133_base!A:B,2,FALSE)</f>
        <v>2076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135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VLOOKUP($F23,OFFSET([1]characters!$A$2,0,0,COUNTA([1]characters!$A:$A),MATCH(G$1,[1]characters!$2:$2,0)-MATCH($F$1,[1]characters!$2:$2,0)+1),MATCH(G$1,[1]characters!$2:$2,0)-MATCH($F$1,[1]characters!$2:$2,0)+1,FALSE)</f>
        <v>識徒 オセ</v>
      </c>
      <c r="H23" s="10" t="str">
        <f ca="1">VLOOKUP($F23,OFFSET([1]characters!$A$2,0,0,COUNTA([1]characters!$A:$A),MATCH(H$1,[1]characters!$2:$2,0)-MATCH($F$1,[1]characters!$2:$2,0)+1),MATCH(H$1,[1]characters!$2:$2,0)-MATCH($F$1,[1]characters!$2:$2,0)+1,FALSE)</f>
        <v>PremiumN</v>
      </c>
      <c r="I23" s="10">
        <f ca="1">VLOOKUP($F23,OFFSET([1]characters!$A$2,0,0,COUNTA([1]characters!$A:$A),MATCH(I$1,[1]characters!$2:$2,0)-MATCH($F$1,[1]characters!$2:$2,0)+1),MATCH(I$1,[1]characters!$2:$2,0)-MATCH($F$1,[1]characters!$2:$2,0)+1,FALSE)</f>
        <v>4</v>
      </c>
      <c r="J23" s="10" t="str">
        <f ca="1">VLOOKUP($F23,OFFSET([1]characters!$A$2,0,0,COUNTA([1]characters!$A:$A),MATCH(J$1,[1]characters!$2:$2,0)-MATCH($F$1,[1]characters!$2:$2,0)+1),MATCH(J$1,[1]characters!$2:$2,0)-MATCH($F$1,[1]characters!$2:$2,0)+1,FALSE)</f>
        <v>green</v>
      </c>
      <c r="K23" s="10" t="str">
        <f ca="1">VLOOKUP($F23,OFFSET([1]characters!$A$2,0,0,COUNTA([1]characters!$A:$A),MATCH("タイプ",[1]characters!$1:$1,0)-MATCH($F$1,[1]characters!$2:$2,0)+2),MATCH("タイプ",[1]characters!$1:$1,0)-MATCH($F$1,[1]characters!$2:$2,0)+2,FALSE)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" s="10" t="str">
        <f ca="1">VLOOKUP($F23,OFFSET([1]characters!$A$2,0,0,COUNTA([1]characters!$A:$A),MATCH($L$1,[1]characters!$1:$1,0)-MATCH($F$1,[1]characters!$2:$2,0)+2),MATCH($L$1,[1]characters!$1:$1,0)-MATCH($F$1,[1]characters!$2:$2,0)+2,FALSE)</f>
        <v>ゴッド</v>
      </c>
      <c r="M23" s="6">
        <v>1</v>
      </c>
      <c r="N23" s="40">
        <f ca="1">VLOOKUP(D23,gacha_133_base!A:B,2,FALSE)</f>
        <v>2076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135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VLOOKUP($F24,OFFSET([1]characters!$A$2,0,0,COUNTA([1]characters!$A:$A),MATCH(G$1,[1]characters!$2:$2,0)-MATCH($F$1,[1]characters!$2:$2,0)+1),MATCH(G$1,[1]characters!$2:$2,0)-MATCH($F$1,[1]characters!$2:$2,0)+1,FALSE)</f>
        <v>公爵 フォルネウス</v>
      </c>
      <c r="H24" s="10" t="str">
        <f ca="1">VLOOKUP($F24,OFFSET([1]characters!$A$2,0,0,COUNTA([1]characters!$A:$A),MATCH(H$1,[1]characters!$2:$2,0)-MATCH($F$1,[1]characters!$2:$2,0)+1),MATCH(H$1,[1]characters!$2:$2,0)-MATCH($F$1,[1]characters!$2:$2,0)+1,FALSE)</f>
        <v>PremiumN</v>
      </c>
      <c r="I24" s="10">
        <f ca="1">VLOOKUP($F24,OFFSET([1]characters!$A$2,0,0,COUNTA([1]characters!$A:$A),MATCH(I$1,[1]characters!$2:$2,0)-MATCH($F$1,[1]characters!$2:$2,0)+1),MATCH(I$1,[1]characters!$2:$2,0)-MATCH($F$1,[1]characters!$2:$2,0)+1,FALSE)</f>
        <v>4</v>
      </c>
      <c r="J24" s="10" t="str">
        <f ca="1">VLOOKUP($F24,OFFSET([1]characters!$A$2,0,0,COUNTA([1]characters!$A:$A),MATCH(J$1,[1]characters!$2:$2,0)-MATCH($F$1,[1]characters!$2:$2,0)+1),MATCH(J$1,[1]characters!$2:$2,0)-MATCH($F$1,[1]characters!$2:$2,0)+1,FALSE)</f>
        <v>blue</v>
      </c>
      <c r="K24" s="10" t="str">
        <f ca="1">VLOOKUP($F24,OFFSET([1]characters!$A$2,0,0,COUNTA([1]characters!$A:$A),MATCH("タイプ",[1]characters!$1:$1,0)-MATCH($F$1,[1]characters!$2:$2,0)+2),MATCH("タイプ",[1]characters!$1:$1,0)-MATCH($F$1,[1]characters!$2:$2,0)+2,FALSE)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" s="10" t="str">
        <f ca="1">VLOOKUP($F24,OFFSET([1]characters!$A$2,0,0,COUNTA([1]characters!$A:$A),MATCH($L$1,[1]characters!$1:$1,0)-MATCH($F$1,[1]characters!$2:$2,0)+2),MATCH($L$1,[1]characters!$1:$1,0)-MATCH($F$1,[1]characters!$2:$2,0)+2,FALSE)</f>
        <v>ゴッド</v>
      </c>
      <c r="M24" s="6">
        <v>1</v>
      </c>
      <c r="N24" s="40">
        <f ca="1">VLOOKUP(D24,gacha_133_base!A:B,2,FALSE)</f>
        <v>2076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135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VLOOKUP($F25,OFFSET([1]characters!$A$2,0,0,COUNTA([1]characters!$A:$A),MATCH(G$1,[1]characters!$2:$2,0)-MATCH($F$1,[1]characters!$2:$2,0)+1),MATCH(G$1,[1]characters!$2:$2,0)-MATCH($F$1,[1]characters!$2:$2,0)+1,FALSE)</f>
        <v>異教徒 バフォメット</v>
      </c>
      <c r="H25" s="10" t="str">
        <f ca="1">VLOOKUP($F25,OFFSET([1]characters!$A$2,0,0,COUNTA([1]characters!$A:$A),MATCH(H$1,[1]characters!$2:$2,0)-MATCH($F$1,[1]characters!$2:$2,0)+1),MATCH(H$1,[1]characters!$2:$2,0)-MATCH($F$1,[1]characters!$2:$2,0)+1,FALSE)</f>
        <v>PremiumN</v>
      </c>
      <c r="I25" s="10">
        <f ca="1">VLOOKUP($F25,OFFSET([1]characters!$A$2,0,0,COUNTA([1]characters!$A:$A),MATCH(I$1,[1]characters!$2:$2,0)-MATCH($F$1,[1]characters!$2:$2,0)+1),MATCH(I$1,[1]characters!$2:$2,0)-MATCH($F$1,[1]characters!$2:$2,0)+1,FALSE)</f>
        <v>4</v>
      </c>
      <c r="J25" s="10" t="str">
        <f ca="1">VLOOKUP($F25,OFFSET([1]characters!$A$2,0,0,COUNTA([1]characters!$A:$A),MATCH(J$1,[1]characters!$2:$2,0)-MATCH($F$1,[1]characters!$2:$2,0)+1),MATCH(J$1,[1]characters!$2:$2,0)-MATCH($F$1,[1]characters!$2:$2,0)+1,FALSE)</f>
        <v>yellow</v>
      </c>
      <c r="K25" s="10" t="str">
        <f ca="1">VLOOKUP($F25,OFFSET([1]characters!$A$2,0,0,COUNTA([1]characters!$A:$A),MATCH("タイプ",[1]characters!$1:$1,0)-MATCH($F$1,[1]characters!$2:$2,0)+2),MATCH("タイプ",[1]characters!$1:$1,0)-MATCH($F$1,[1]characters!$2:$2,0)+2,FALSE)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5" s="10" t="str">
        <f ca="1">VLOOKUP($F25,OFFSET([1]characters!$A$2,0,0,COUNTA([1]characters!$A:$A),MATCH($L$1,[1]characters!$1:$1,0)-MATCH($F$1,[1]characters!$2:$2,0)+2),MATCH($L$1,[1]characters!$1:$1,0)-MATCH($F$1,[1]characters!$2:$2,0)+2,FALSE)</f>
        <v>ゴッド</v>
      </c>
      <c r="M25" s="6">
        <v>1</v>
      </c>
      <c r="N25" s="40">
        <f ca="1">VLOOKUP(D25,gacha_133_base!A:B,2,FALSE)</f>
        <v>2076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135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VLOOKUP($F26,OFFSET([1]characters!$A$2,0,0,COUNTA([1]characters!$A:$A),MATCH(G$1,[1]characters!$2:$2,0)-MATCH($F$1,[1]characters!$2:$2,0)+1),MATCH(G$1,[1]characters!$2:$2,0)-MATCH($F$1,[1]characters!$2:$2,0)+1,FALSE)</f>
        <v>番犬 ケルベロス</v>
      </c>
      <c r="H26" s="10" t="str">
        <f ca="1">VLOOKUP($F26,OFFSET([1]characters!$A$2,0,0,COUNTA([1]characters!$A:$A),MATCH(H$1,[1]characters!$2:$2,0)-MATCH($F$1,[1]characters!$2:$2,0)+1),MATCH(H$1,[1]characters!$2:$2,0)-MATCH($F$1,[1]characters!$2:$2,0)+1,FALSE)</f>
        <v>PremiumN</v>
      </c>
      <c r="I26" s="10">
        <f ca="1">VLOOKUP($F26,OFFSET([1]characters!$A$2,0,0,COUNTA([1]characters!$A:$A),MATCH(I$1,[1]characters!$2:$2,0)-MATCH($F$1,[1]characters!$2:$2,0)+1),MATCH(I$1,[1]characters!$2:$2,0)-MATCH($F$1,[1]characters!$2:$2,0)+1,FALSE)</f>
        <v>4</v>
      </c>
      <c r="J26" s="10" t="str">
        <f ca="1">VLOOKUP($F26,OFFSET([1]characters!$A$2,0,0,COUNTA([1]characters!$A:$A),MATCH(J$1,[1]characters!$2:$2,0)-MATCH($F$1,[1]characters!$2:$2,0)+1),MATCH(J$1,[1]characters!$2:$2,0)-MATCH($F$1,[1]characters!$2:$2,0)+1,FALSE)</f>
        <v>red</v>
      </c>
      <c r="K26" s="10" t="str">
        <f ca="1">VLOOKUP($F26,OFFSET([1]characters!$A$2,0,0,COUNTA([1]characters!$A:$A),MATCH("タイプ",[1]characters!$1:$1,0)-MATCH($F$1,[1]characters!$2:$2,0)+2),MATCH("タイプ",[1]characters!$1:$1,0)-MATCH($F$1,[1]characters!$2:$2,0)+2,FALSE)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" s="10" t="str">
        <f ca="1">VLOOKUP($F26,OFFSET([1]characters!$A$2,0,0,COUNTA([1]characters!$A:$A),MATCH($L$1,[1]characters!$1:$1,0)-MATCH($F$1,[1]characters!$2:$2,0)+2),MATCH($L$1,[1]characters!$1:$1,0)-MATCH($F$1,[1]characters!$2:$2,0)+2,FALSE)</f>
        <v>アニマル</v>
      </c>
      <c r="M26" s="6">
        <v>1</v>
      </c>
      <c r="N26" s="40">
        <f ca="1">VLOOKUP(D26,gacha_133_base!A:B,2,FALSE)</f>
        <v>2076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135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VLOOKUP($F27,OFFSET([1]characters!$A$2,0,0,COUNTA([1]characters!$A:$A),MATCH(G$1,[1]characters!$2:$2,0)-MATCH($F$1,[1]characters!$2:$2,0)+1),MATCH(G$1,[1]characters!$2:$2,0)-MATCH($F$1,[1]characters!$2:$2,0)+1,FALSE)</f>
        <v>放蕩者 ベヒモス</v>
      </c>
      <c r="H27" s="10" t="str">
        <f ca="1">VLOOKUP($F27,OFFSET([1]characters!$A$2,0,0,COUNTA([1]characters!$A:$A),MATCH(H$1,[1]characters!$2:$2,0)-MATCH($F$1,[1]characters!$2:$2,0)+1),MATCH(H$1,[1]characters!$2:$2,0)-MATCH($F$1,[1]characters!$2:$2,0)+1,FALSE)</f>
        <v>PremiumN</v>
      </c>
      <c r="I27" s="10">
        <f ca="1">VLOOKUP($F27,OFFSET([1]characters!$A$2,0,0,COUNTA([1]characters!$A:$A),MATCH(I$1,[1]characters!$2:$2,0)-MATCH($F$1,[1]characters!$2:$2,0)+1),MATCH(I$1,[1]characters!$2:$2,0)-MATCH($F$1,[1]characters!$2:$2,0)+1,FALSE)</f>
        <v>4</v>
      </c>
      <c r="J27" s="10" t="str">
        <f ca="1">VLOOKUP($F27,OFFSET([1]characters!$A$2,0,0,COUNTA([1]characters!$A:$A),MATCH(J$1,[1]characters!$2:$2,0)-MATCH($F$1,[1]characters!$2:$2,0)+1),MATCH(J$1,[1]characters!$2:$2,0)-MATCH($F$1,[1]characters!$2:$2,0)+1,FALSE)</f>
        <v>green</v>
      </c>
      <c r="K27" s="10" t="str">
        <f ca="1">VLOOKUP($F27,OFFSET([1]characters!$A$2,0,0,COUNTA([1]characters!$A:$A),MATCH("タイプ",[1]characters!$1:$1,0)-MATCH($F$1,[1]characters!$2:$2,0)+2),MATCH("タイプ",[1]characters!$1:$1,0)-MATCH($F$1,[1]characters!$2:$2,0)+2,FALSE)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" s="10" t="str">
        <f ca="1">VLOOKUP($F27,OFFSET([1]characters!$A$2,0,0,COUNTA([1]characters!$A:$A),MATCH($L$1,[1]characters!$1:$1,0)-MATCH($F$1,[1]characters!$2:$2,0)+2),MATCH($L$1,[1]characters!$1:$1,0)-MATCH($F$1,[1]characters!$2:$2,0)+2,FALSE)</f>
        <v>アニマル</v>
      </c>
      <c r="M27" s="6">
        <v>1</v>
      </c>
      <c r="N27" s="40">
        <f ca="1">VLOOKUP(D27,gacha_133_base!A:B,2,FALSE)</f>
        <v>2076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135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VLOOKUP($F28,OFFSET([1]characters!$A$2,0,0,COUNTA([1]characters!$A:$A),MATCH(G$1,[1]characters!$2:$2,0)-MATCH($F$1,[1]characters!$2:$2,0)+1),MATCH(G$1,[1]characters!$2:$2,0)-MATCH($F$1,[1]characters!$2:$2,0)+1,FALSE)</f>
        <v>海姫 クラーケン</v>
      </c>
      <c r="H28" s="10" t="str">
        <f ca="1">VLOOKUP($F28,OFFSET([1]characters!$A$2,0,0,COUNTA([1]characters!$A:$A),MATCH(H$1,[1]characters!$2:$2,0)-MATCH($F$1,[1]characters!$2:$2,0)+1),MATCH(H$1,[1]characters!$2:$2,0)-MATCH($F$1,[1]characters!$2:$2,0)+1,FALSE)</f>
        <v>PremiumN</v>
      </c>
      <c r="I28" s="10">
        <f ca="1">VLOOKUP($F28,OFFSET([1]characters!$A$2,0,0,COUNTA([1]characters!$A:$A),MATCH(I$1,[1]characters!$2:$2,0)-MATCH($F$1,[1]characters!$2:$2,0)+1),MATCH(I$1,[1]characters!$2:$2,0)-MATCH($F$1,[1]characters!$2:$2,0)+1,FALSE)</f>
        <v>4</v>
      </c>
      <c r="J28" s="10" t="str">
        <f ca="1">VLOOKUP($F28,OFFSET([1]characters!$A$2,0,0,COUNTA([1]characters!$A:$A),MATCH(J$1,[1]characters!$2:$2,0)-MATCH($F$1,[1]characters!$2:$2,0)+1),MATCH(J$1,[1]characters!$2:$2,0)-MATCH($F$1,[1]characters!$2:$2,0)+1,FALSE)</f>
        <v>blue</v>
      </c>
      <c r="K28" s="10" t="str">
        <f ca="1">VLOOKUP($F28,OFFSET([1]characters!$A$2,0,0,COUNTA([1]characters!$A:$A),MATCH("タイプ",[1]characters!$1:$1,0)-MATCH($F$1,[1]characters!$2:$2,0)+2),MATCH("タイプ",[1]characters!$1:$1,0)-MATCH($F$1,[1]characters!$2:$2,0)+2,FALSE)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8" s="10" t="str">
        <f ca="1">VLOOKUP($F28,OFFSET([1]characters!$A$2,0,0,COUNTA([1]characters!$A:$A),MATCH($L$1,[1]characters!$1:$1,0)-MATCH($F$1,[1]characters!$2:$2,0)+2),MATCH($L$1,[1]characters!$1:$1,0)-MATCH($F$1,[1]characters!$2:$2,0)+2,FALSE)</f>
        <v>アニマル</v>
      </c>
      <c r="M28" s="6">
        <v>1</v>
      </c>
      <c r="N28" s="40">
        <f ca="1">VLOOKUP(D28,gacha_133_base!A:B,2,FALSE)</f>
        <v>2076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135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VLOOKUP($F29,OFFSET([1]characters!$A$2,0,0,COUNTA([1]characters!$A:$A),MATCH(G$1,[1]characters!$2:$2,0)-MATCH($F$1,[1]characters!$2:$2,0)+1),MATCH(G$1,[1]characters!$2:$2,0)-MATCH($F$1,[1]characters!$2:$2,0)+1,FALSE)</f>
        <v>猛禽 ホルス</v>
      </c>
      <c r="H29" s="10" t="str">
        <f ca="1">VLOOKUP($F29,OFFSET([1]characters!$A$2,0,0,COUNTA([1]characters!$A:$A),MATCH(H$1,[1]characters!$2:$2,0)-MATCH($F$1,[1]characters!$2:$2,0)+1),MATCH(H$1,[1]characters!$2:$2,0)-MATCH($F$1,[1]characters!$2:$2,0)+1,FALSE)</f>
        <v>PremiumN</v>
      </c>
      <c r="I29" s="10">
        <f ca="1">VLOOKUP($F29,OFFSET([1]characters!$A$2,0,0,COUNTA([1]characters!$A:$A),MATCH(I$1,[1]characters!$2:$2,0)-MATCH($F$1,[1]characters!$2:$2,0)+1),MATCH(I$1,[1]characters!$2:$2,0)-MATCH($F$1,[1]characters!$2:$2,0)+1,FALSE)</f>
        <v>4</v>
      </c>
      <c r="J29" s="10" t="str">
        <f ca="1">VLOOKUP($F29,OFFSET([1]characters!$A$2,0,0,COUNTA([1]characters!$A:$A),MATCH(J$1,[1]characters!$2:$2,0)-MATCH($F$1,[1]characters!$2:$2,0)+1),MATCH(J$1,[1]characters!$2:$2,0)-MATCH($F$1,[1]characters!$2:$2,0)+1,FALSE)</f>
        <v>yellow</v>
      </c>
      <c r="K29" s="10" t="str">
        <f ca="1">VLOOKUP($F29,OFFSET([1]characters!$A$2,0,0,COUNTA([1]characters!$A:$A),MATCH("タイプ",[1]characters!$1:$1,0)-MATCH($F$1,[1]characters!$2:$2,0)+2),MATCH("タイプ",[1]characters!$1:$1,0)-MATCH($F$1,[1]characters!$2:$2,0)+2,FALSE)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9" s="10" t="str">
        <f ca="1">VLOOKUP($F29,OFFSET([1]characters!$A$2,0,0,COUNTA([1]characters!$A:$A),MATCH($L$1,[1]characters!$1:$1,0)-MATCH($F$1,[1]characters!$2:$2,0)+2),MATCH($L$1,[1]characters!$1:$1,0)-MATCH($F$1,[1]characters!$2:$2,0)+2,FALSE)</f>
        <v>アニマル</v>
      </c>
      <c r="M29" s="6">
        <v>1</v>
      </c>
      <c r="N29" s="40">
        <f ca="1">VLOOKUP(D29,gacha_133_base!A:B,2,FALSE)</f>
        <v>2076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135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VLOOKUP($F30,OFFSET([1]characters!$A$2,0,0,COUNTA([1]characters!$A:$A),MATCH(G$1,[1]characters!$2:$2,0)-MATCH($F$1,[1]characters!$2:$2,0)+1),MATCH(G$1,[1]characters!$2:$2,0)-MATCH($F$1,[1]characters!$2:$2,0)+1,FALSE)</f>
        <v>始祖 卑弥呼</v>
      </c>
      <c r="H30" s="10" t="str">
        <f ca="1">VLOOKUP($F30,OFFSET([1]characters!$A$2,0,0,COUNTA([1]characters!$A:$A),MATCH(H$1,[1]characters!$2:$2,0)-MATCH($F$1,[1]characters!$2:$2,0)+1),MATCH(H$1,[1]characters!$2:$2,0)-MATCH($F$1,[1]characters!$2:$2,0)+1,FALSE)</f>
        <v>PremiumN</v>
      </c>
      <c r="I30" s="10">
        <f ca="1">VLOOKUP($F30,OFFSET([1]characters!$A$2,0,0,COUNTA([1]characters!$A:$A),MATCH(I$1,[1]characters!$2:$2,0)-MATCH($F$1,[1]characters!$2:$2,0)+1),MATCH(I$1,[1]characters!$2:$2,0)-MATCH($F$1,[1]characters!$2:$2,0)+1,FALSE)</f>
        <v>4</v>
      </c>
      <c r="J30" s="10" t="str">
        <f ca="1">VLOOKUP($F30,OFFSET([1]characters!$A$2,0,0,COUNTA([1]characters!$A:$A),MATCH(J$1,[1]characters!$2:$2,0)-MATCH($F$1,[1]characters!$2:$2,0)+1),MATCH(J$1,[1]characters!$2:$2,0)-MATCH($F$1,[1]characters!$2:$2,0)+1,FALSE)</f>
        <v>red</v>
      </c>
      <c r="K30" s="10" t="str">
        <f ca="1">VLOOKUP($F30,OFFSET([1]characters!$A$2,0,0,COUNTA([1]characters!$A:$A),MATCH("タイプ",[1]characters!$1:$1,0)-MATCH($F$1,[1]characters!$2:$2,0)+2),MATCH("タイプ",[1]characters!$1:$1,0)-MATCH($F$1,[1]characters!$2:$2,0)+2,FALSE)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0" s="10" t="str">
        <f ca="1">VLOOKUP($F30,OFFSET([1]characters!$A$2,0,0,COUNTA([1]characters!$A:$A),MATCH($L$1,[1]characters!$1:$1,0)-MATCH($F$1,[1]characters!$2:$2,0)+2),MATCH($L$1,[1]characters!$1:$1,0)-MATCH($F$1,[1]characters!$2:$2,0)+2,FALSE)</f>
        <v>ヒューマン</v>
      </c>
      <c r="M30" s="6">
        <v>1</v>
      </c>
      <c r="N30" s="40">
        <f ca="1">VLOOKUP(D30,gacha_133_base!A:B,2,FALSE)</f>
        <v>2076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135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31" s="10" t="str">
        <f ca="1">VLOOKUP($F31,OFFSET([1]characters!$A$2,0,0,COUNTA([1]characters!$A:$A),MATCH(H$1,[1]characters!$2:$2,0)-MATCH($F$1,[1]characters!$2:$2,0)+1),MATCH(H$1,[1]characters!$2:$2,0)-MATCH($F$1,[1]characters!$2:$2,0)+1,FALSE)</f>
        <v>PremiumN</v>
      </c>
      <c r="I31" s="10">
        <f ca="1">VLOOKUP($F31,OFFSET([1]characters!$A$2,0,0,COUNTA([1]characters!$A:$A),MATCH(I$1,[1]characters!$2:$2,0)-MATCH($F$1,[1]characters!$2:$2,0)+1),MATCH(I$1,[1]characters!$2:$2,0)-MATCH($F$1,[1]characters!$2:$2,0)+1,FALSE)</f>
        <v>4</v>
      </c>
      <c r="J31" s="10" t="str">
        <f ca="1">VLOOKUP($F31,OFFSET([1]characters!$A$2,0,0,COUNTA([1]characters!$A:$A),MATCH(J$1,[1]characters!$2:$2,0)-MATCH($F$1,[1]characters!$2:$2,0)+1),MATCH(J$1,[1]characters!$2:$2,0)-MATCH($F$1,[1]characters!$2:$2,0)+1,FALSE)</f>
        <v>green</v>
      </c>
      <c r="K31" s="10" t="str">
        <f ca="1">VLOOKUP($F31,OFFSET([1]characters!$A$2,0,0,COUNTA([1]characters!$A:$A),MATCH("タイプ",[1]characters!$1:$1,0)-MATCH($F$1,[1]characters!$2:$2,0)+2),MATCH("タイプ",[1]characters!$1:$1,0)-MATCH($F$1,[1]characters!$2:$2,0)+2,FALSE)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1" s="10" t="str">
        <f ca="1">VLOOKUP($F31,OFFSET([1]characters!$A$2,0,0,COUNTA([1]characters!$A:$A),MATCH($L$1,[1]characters!$1:$1,0)-MATCH($F$1,[1]characters!$2:$2,0)+2),MATCH($L$1,[1]characters!$1:$1,0)-MATCH($F$1,[1]characters!$2:$2,0)+2,FALSE)</f>
        <v>ヒューマン</v>
      </c>
      <c r="M31" s="6">
        <v>1</v>
      </c>
      <c r="N31" s="40">
        <f ca="1">VLOOKUP(D31,gacha_133_base!A:B,2,FALSE)</f>
        <v>2076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135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VLOOKUP($F32,OFFSET([1]characters!$A$2,0,0,COUNTA([1]characters!$A:$A),MATCH(G$1,[1]characters!$2:$2,0)-MATCH($F$1,[1]characters!$2:$2,0)+1),MATCH(G$1,[1]characters!$2:$2,0)-MATCH($F$1,[1]characters!$2:$2,0)+1,FALSE)</f>
        <v>鉄腕 アキレス</v>
      </c>
      <c r="H32" s="10" t="str">
        <f ca="1">VLOOKUP($F32,OFFSET([1]characters!$A$2,0,0,COUNTA([1]characters!$A:$A),MATCH(H$1,[1]characters!$2:$2,0)-MATCH($F$1,[1]characters!$2:$2,0)+1),MATCH(H$1,[1]characters!$2:$2,0)-MATCH($F$1,[1]characters!$2:$2,0)+1,FALSE)</f>
        <v>PremiumN</v>
      </c>
      <c r="I32" s="10">
        <f ca="1">VLOOKUP($F32,OFFSET([1]characters!$A$2,0,0,COUNTA([1]characters!$A:$A),MATCH(I$1,[1]characters!$2:$2,0)-MATCH($F$1,[1]characters!$2:$2,0)+1),MATCH(I$1,[1]characters!$2:$2,0)-MATCH($F$1,[1]characters!$2:$2,0)+1,FALSE)</f>
        <v>4</v>
      </c>
      <c r="J32" s="10" t="str">
        <f ca="1">VLOOKUP($F32,OFFSET([1]characters!$A$2,0,0,COUNTA([1]characters!$A:$A),MATCH(J$1,[1]characters!$2:$2,0)-MATCH($F$1,[1]characters!$2:$2,0)+1),MATCH(J$1,[1]characters!$2:$2,0)-MATCH($F$1,[1]characters!$2:$2,0)+1,FALSE)</f>
        <v>yellow</v>
      </c>
      <c r="K32" s="10" t="str">
        <f ca="1">VLOOKUP($F32,OFFSET([1]characters!$A$2,0,0,COUNTA([1]characters!$A:$A),MATCH("タイプ",[1]characters!$1:$1,0)-MATCH($F$1,[1]characters!$2:$2,0)+2),MATCH("タイプ",[1]characters!$1:$1,0)-MATCH($F$1,[1]characters!$2:$2,0)+2,FALSE)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2" s="10" t="str">
        <f ca="1">VLOOKUP($F32,OFFSET([1]characters!$A$2,0,0,COUNTA([1]characters!$A:$A),MATCH($L$1,[1]characters!$1:$1,0)-MATCH($F$1,[1]characters!$2:$2,0)+2),MATCH($L$1,[1]characters!$1:$1,0)-MATCH($F$1,[1]characters!$2:$2,0)+2,FALSE)</f>
        <v>ヒューマン</v>
      </c>
      <c r="M32" s="6">
        <v>1</v>
      </c>
      <c r="N32" s="40">
        <f ca="1">VLOOKUP(D32,gacha_133_base!A:B,2,FALSE)</f>
        <v>2076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135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33" s="10" t="str">
        <f ca="1">VLOOKUP($F33,OFFSET([1]characters!$A$2,0,0,COUNTA([1]characters!$A:$A),MATCH(H$1,[1]characters!$2:$2,0)-MATCH($F$1,[1]characters!$2:$2,0)+1),MATCH(H$1,[1]characters!$2:$2,0)-MATCH($F$1,[1]characters!$2:$2,0)+1,FALSE)</f>
        <v>PremiumN</v>
      </c>
      <c r="I33" s="10">
        <f ca="1">VLOOKUP($F33,OFFSET([1]characters!$A$2,0,0,COUNTA([1]characters!$A:$A),MATCH(I$1,[1]characters!$2:$2,0)-MATCH($F$1,[1]characters!$2:$2,0)+1),MATCH(I$1,[1]characters!$2:$2,0)-MATCH($F$1,[1]characters!$2:$2,0)+1,FALSE)</f>
        <v>4</v>
      </c>
      <c r="J33" s="10" t="str">
        <f ca="1">VLOOKUP($F33,OFFSET([1]characters!$A$2,0,0,COUNTA([1]characters!$A:$A),MATCH(J$1,[1]characters!$2:$2,0)-MATCH($F$1,[1]characters!$2:$2,0)+1),MATCH(J$1,[1]characters!$2:$2,0)-MATCH($F$1,[1]characters!$2:$2,0)+1,FALSE)</f>
        <v>blue</v>
      </c>
      <c r="K33" s="10" t="str">
        <f ca="1">VLOOKUP($F33,OFFSET([1]characters!$A$2,0,0,COUNTA([1]characters!$A:$A),MATCH("タイプ",[1]characters!$1:$1,0)-MATCH($F$1,[1]characters!$2:$2,0)+2),MATCH("タイプ",[1]characters!$1:$1,0)-MATCH($F$1,[1]characters!$2:$2,0)+2,FALSE)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3" s="10" t="str">
        <f ca="1">VLOOKUP($F33,OFFSET([1]characters!$A$2,0,0,COUNTA([1]characters!$A:$A),MATCH($L$1,[1]characters!$1:$1,0)-MATCH($F$1,[1]characters!$2:$2,0)+2),MATCH($L$1,[1]characters!$1:$1,0)-MATCH($F$1,[1]characters!$2:$2,0)+2,FALSE)</f>
        <v>ヒューマン</v>
      </c>
      <c r="M33" s="6">
        <v>1</v>
      </c>
      <c r="N33" s="40">
        <f ca="1">VLOOKUP(D33,gacha_133_base!A:B,2,FALSE)</f>
        <v>2076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135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VLOOKUP($F34,OFFSET([1]characters!$A$2,0,0,COUNTA([1]characters!$A:$A),MATCH(G$1,[1]characters!$2:$2,0)-MATCH($F$1,[1]characters!$2:$2,0)+1),MATCH(G$1,[1]characters!$2:$2,0)-MATCH($F$1,[1]characters!$2:$2,0)+1,FALSE)</f>
        <v>焔神 プロメテウス</v>
      </c>
      <c r="H34" s="10" t="str">
        <f ca="1">VLOOKUP($F34,OFFSET([1]characters!$A$2,0,0,COUNTA([1]characters!$A:$A),MATCH(H$1,[1]characters!$2:$2,0)-MATCH($F$1,[1]characters!$2:$2,0)+1),MATCH(H$1,[1]characters!$2:$2,0)-MATCH($F$1,[1]characters!$2:$2,0)+1,FALSE)</f>
        <v>PremiumN</v>
      </c>
      <c r="I34" s="10">
        <f ca="1">VLOOKUP($F34,OFFSET([1]characters!$A$2,0,0,COUNTA([1]characters!$A:$A),MATCH(I$1,[1]characters!$2:$2,0)-MATCH($F$1,[1]characters!$2:$2,0)+1),MATCH(I$1,[1]characters!$2:$2,0)-MATCH($F$1,[1]characters!$2:$2,0)+1,FALSE)</f>
        <v>4</v>
      </c>
      <c r="J34" s="10" t="str">
        <f ca="1">VLOOKUP($F34,OFFSET([1]characters!$A$2,0,0,COUNTA([1]characters!$A:$A),MATCH(J$1,[1]characters!$2:$2,0)-MATCH($F$1,[1]characters!$2:$2,0)+1),MATCH(J$1,[1]characters!$2:$2,0)-MATCH($F$1,[1]characters!$2:$2,0)+1,FALSE)</f>
        <v>red</v>
      </c>
      <c r="K34" s="10" t="str">
        <f ca="1">VLOOKUP($F34,OFFSET([1]characters!$A$2,0,0,COUNTA([1]characters!$A:$A),MATCH("タイプ",[1]characters!$1:$1,0)-MATCH($F$1,[1]characters!$2:$2,0)+2),MATCH("タイプ",[1]characters!$1:$1,0)-MATCH($F$1,[1]characters!$2:$2,0)+2,FALSE)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4" s="10" t="str">
        <f ca="1">VLOOKUP($F34,OFFSET([1]characters!$A$2,0,0,COUNTA([1]characters!$A:$A),MATCH($L$1,[1]characters!$1:$1,0)-MATCH($F$1,[1]characters!$2:$2,0)+2),MATCH($L$1,[1]characters!$1:$1,0)-MATCH($F$1,[1]characters!$2:$2,0)+2,FALSE)</f>
        <v>ゴッド</v>
      </c>
      <c r="M34" s="6">
        <v>1</v>
      </c>
      <c r="N34" s="40">
        <f ca="1">VLOOKUP(D34,gacha_133_base!A:B,2,FALSE)</f>
        <v>2076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135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VLOOKUP($F35,OFFSET([1]characters!$A$2,0,0,COUNTA([1]characters!$A:$A),MATCH(G$1,[1]characters!$2:$2,0)-MATCH($F$1,[1]characters!$2:$2,0)+1),MATCH(G$1,[1]characters!$2:$2,0)-MATCH($F$1,[1]characters!$2:$2,0)+1,FALSE)</f>
        <v>美神 アフロディーテ</v>
      </c>
      <c r="H35" s="10" t="str">
        <f ca="1">VLOOKUP($F35,OFFSET([1]characters!$A$2,0,0,COUNTA([1]characters!$A:$A),MATCH(H$1,[1]characters!$2:$2,0)-MATCH($F$1,[1]characters!$2:$2,0)+1),MATCH(H$1,[1]characters!$2:$2,0)-MATCH($F$1,[1]characters!$2:$2,0)+1,FALSE)</f>
        <v>PremiumN</v>
      </c>
      <c r="I35" s="10">
        <f ca="1">VLOOKUP($F35,OFFSET([1]characters!$A$2,0,0,COUNTA([1]characters!$A:$A),MATCH(I$1,[1]characters!$2:$2,0)-MATCH($F$1,[1]characters!$2:$2,0)+1),MATCH(I$1,[1]characters!$2:$2,0)-MATCH($F$1,[1]characters!$2:$2,0)+1,FALSE)</f>
        <v>4</v>
      </c>
      <c r="J35" s="10" t="str">
        <f ca="1">VLOOKUP($F35,OFFSET([1]characters!$A$2,0,0,COUNTA([1]characters!$A:$A),MATCH(J$1,[1]characters!$2:$2,0)-MATCH($F$1,[1]characters!$2:$2,0)+1),MATCH(J$1,[1]characters!$2:$2,0)-MATCH($F$1,[1]characters!$2:$2,0)+1,FALSE)</f>
        <v>green</v>
      </c>
      <c r="K35" s="10" t="str">
        <f ca="1">VLOOKUP($F35,OFFSET([1]characters!$A$2,0,0,COUNTA([1]characters!$A:$A),MATCH("タイプ",[1]characters!$1:$1,0)-MATCH($F$1,[1]characters!$2:$2,0)+2),MATCH("タイプ",[1]characters!$1:$1,0)-MATCH($F$1,[1]characters!$2:$2,0)+2,FALSE)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5" s="10" t="str">
        <f ca="1">VLOOKUP($F35,OFFSET([1]characters!$A$2,0,0,COUNTA([1]characters!$A:$A),MATCH($L$1,[1]characters!$1:$1,0)-MATCH($F$1,[1]characters!$2:$2,0)+2),MATCH($L$1,[1]characters!$1:$1,0)-MATCH($F$1,[1]characters!$2:$2,0)+2,FALSE)</f>
        <v>ゴッド</v>
      </c>
      <c r="M35" s="6">
        <v>1</v>
      </c>
      <c r="N35" s="40">
        <f ca="1">VLOOKUP(D35,gacha_133_base!A:B,2,FALSE)</f>
        <v>2076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135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VLOOKUP($F36,OFFSET([1]characters!$A$2,0,0,COUNTA([1]characters!$A:$A),MATCH(G$1,[1]characters!$2:$2,0)-MATCH($F$1,[1]characters!$2:$2,0)+1),MATCH(G$1,[1]characters!$2:$2,0)-MATCH($F$1,[1]characters!$2:$2,0)+1,FALSE)</f>
        <v>孤神 テティス</v>
      </c>
      <c r="H36" s="10" t="str">
        <f ca="1">VLOOKUP($F36,OFFSET([1]characters!$A$2,0,0,COUNTA([1]characters!$A:$A),MATCH(H$1,[1]characters!$2:$2,0)-MATCH($F$1,[1]characters!$2:$2,0)+1),MATCH(H$1,[1]characters!$2:$2,0)-MATCH($F$1,[1]characters!$2:$2,0)+1,FALSE)</f>
        <v>PremiumN</v>
      </c>
      <c r="I36" s="10">
        <f ca="1">VLOOKUP($F36,OFFSET([1]characters!$A$2,0,0,COUNTA([1]characters!$A:$A),MATCH(I$1,[1]characters!$2:$2,0)-MATCH($F$1,[1]characters!$2:$2,0)+1),MATCH(I$1,[1]characters!$2:$2,0)-MATCH($F$1,[1]characters!$2:$2,0)+1,FALSE)</f>
        <v>4</v>
      </c>
      <c r="J36" s="10" t="str">
        <f ca="1">VLOOKUP($F36,OFFSET([1]characters!$A$2,0,0,COUNTA([1]characters!$A:$A),MATCH(J$1,[1]characters!$2:$2,0)-MATCH($F$1,[1]characters!$2:$2,0)+1),MATCH(J$1,[1]characters!$2:$2,0)-MATCH($F$1,[1]characters!$2:$2,0)+1,FALSE)</f>
        <v>blue</v>
      </c>
      <c r="K36" s="10" t="str">
        <f ca="1">VLOOKUP($F36,OFFSET([1]characters!$A$2,0,0,COUNTA([1]characters!$A:$A),MATCH("タイプ",[1]characters!$1:$1,0)-MATCH($F$1,[1]characters!$2:$2,0)+2),MATCH("タイプ",[1]characters!$1:$1,0)-MATCH($F$1,[1]characters!$2:$2,0)+2,FALSE)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6" s="10" t="str">
        <f ca="1">VLOOKUP($F36,OFFSET([1]characters!$A$2,0,0,COUNTA([1]characters!$A:$A),MATCH($L$1,[1]characters!$1:$1,0)-MATCH($F$1,[1]characters!$2:$2,0)+2),MATCH($L$1,[1]characters!$1:$1,0)-MATCH($F$1,[1]characters!$2:$2,0)+2,FALSE)</f>
        <v>ゴッド</v>
      </c>
      <c r="M36" s="6">
        <v>1</v>
      </c>
      <c r="N36" s="40">
        <f ca="1">VLOOKUP(D36,gacha_133_base!A:B,2,FALSE)</f>
        <v>2076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135</v>
      </c>
      <c r="C37" s="10" t="str">
        <f t="shared" ca="1" si="1"/>
        <v>1PremiumN4</v>
      </c>
      <c r="D37" s="10" t="str">
        <f t="shared" ca="1" si="2"/>
        <v>1PremiumN4</v>
      </c>
      <c r="E37" s="6">
        <v>1</v>
      </c>
      <c r="F37" s="7">
        <v>212</v>
      </c>
      <c r="G37" s="10" t="str">
        <f ca="1">VLOOKUP($F37,OFFSET([1]characters!$A$2,0,0,COUNTA([1]characters!$A:$A),MATCH(G$1,[1]characters!$2:$2,0)-MATCH($F$1,[1]characters!$2:$2,0)+1),MATCH(G$1,[1]characters!$2:$2,0)-MATCH($F$1,[1]characters!$2:$2,0)+1,FALSE)</f>
        <v>星神 アストライアー</v>
      </c>
      <c r="H37" s="10" t="str">
        <f ca="1">VLOOKUP($F37,OFFSET([1]characters!$A$2,0,0,COUNTA([1]characters!$A:$A),MATCH(H$1,[1]characters!$2:$2,0)-MATCH($F$1,[1]characters!$2:$2,0)+1),MATCH(H$1,[1]characters!$2:$2,0)-MATCH($F$1,[1]characters!$2:$2,0)+1,FALSE)</f>
        <v>PremiumN</v>
      </c>
      <c r="I37" s="10">
        <f ca="1">VLOOKUP($F37,OFFSET([1]characters!$A$2,0,0,COUNTA([1]characters!$A:$A),MATCH(I$1,[1]characters!$2:$2,0)-MATCH($F$1,[1]characters!$2:$2,0)+1),MATCH(I$1,[1]characters!$2:$2,0)-MATCH($F$1,[1]characters!$2:$2,0)+1,FALSE)</f>
        <v>4</v>
      </c>
      <c r="J37" s="10" t="str">
        <f ca="1">VLOOKUP($F37,OFFSET([1]characters!$A$2,0,0,COUNTA([1]characters!$A:$A),MATCH(J$1,[1]characters!$2:$2,0)-MATCH($F$1,[1]characters!$2:$2,0)+1),MATCH(J$1,[1]characters!$2:$2,0)-MATCH($F$1,[1]characters!$2:$2,0)+1,FALSE)</f>
        <v>yellow</v>
      </c>
      <c r="K37" s="10" t="str">
        <f ca="1">VLOOKUP($F37,OFFSET([1]characters!$A$2,0,0,COUNTA([1]characters!$A:$A),MATCH("タイプ",[1]characters!$1:$1,0)-MATCH($F$1,[1]characters!$2:$2,0)+2),MATCH("タイプ",[1]characters!$1:$1,0)-MATCH($F$1,[1]characters!$2:$2,0)+2,FALSE)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7" s="10" t="str">
        <f ca="1">VLOOKUP($F37,OFFSET([1]characters!$A$2,0,0,COUNTA([1]characters!$A:$A),MATCH($L$1,[1]characters!$1:$1,0)-MATCH($F$1,[1]characters!$2:$2,0)+2),MATCH($L$1,[1]characters!$1:$1,0)-MATCH($F$1,[1]characters!$2:$2,0)+2,FALSE)</f>
        <v>ゴッド</v>
      </c>
      <c r="M37" s="6">
        <v>1</v>
      </c>
      <c r="N37" s="40">
        <f ca="1">VLOOKUP(D37,gacha_133_base!A:B,2,FALSE)</f>
        <v>2076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135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VLOOKUP($F38,OFFSET([1]characters!$A$2,0,0,COUNTA([1]characters!$A:$A),MATCH(G$1,[1]characters!$2:$2,0)-MATCH($F$1,[1]characters!$2:$2,0)+1),MATCH(G$1,[1]characters!$2:$2,0)-MATCH($F$1,[1]characters!$2:$2,0)+1,FALSE)</f>
        <v>死導者 アズラエル</v>
      </c>
      <c r="H38" s="10" t="str">
        <f ca="1">VLOOKUP($F38,OFFSET([1]characters!$A$2,0,0,COUNTA([1]characters!$A:$A),MATCH(H$1,[1]characters!$2:$2,0)-MATCH($F$1,[1]characters!$2:$2,0)+1),MATCH(H$1,[1]characters!$2:$2,0)-MATCH($F$1,[1]characters!$2:$2,0)+1,FALSE)</f>
        <v>PremiumN</v>
      </c>
      <c r="I38" s="10">
        <f ca="1">VLOOKUP($F38,OFFSET([1]characters!$A$2,0,0,COUNTA([1]characters!$A:$A),MATCH(I$1,[1]characters!$2:$2,0)-MATCH($F$1,[1]characters!$2:$2,0)+1),MATCH(I$1,[1]characters!$2:$2,0)-MATCH($F$1,[1]characters!$2:$2,0)+1,FALSE)</f>
        <v>4</v>
      </c>
      <c r="J38" s="10" t="str">
        <f ca="1">VLOOKUP($F38,OFFSET([1]characters!$A$2,0,0,COUNTA([1]characters!$A:$A),MATCH(J$1,[1]characters!$2:$2,0)-MATCH($F$1,[1]characters!$2:$2,0)+1),MATCH(J$1,[1]characters!$2:$2,0)-MATCH($F$1,[1]characters!$2:$2,0)+1,FALSE)</f>
        <v>red</v>
      </c>
      <c r="K38" s="10" t="str">
        <f ca="1">VLOOKUP($F38,OFFSET([1]characters!$A$2,0,0,COUNTA([1]characters!$A:$A),MATCH("タイプ",[1]characters!$1:$1,0)-MATCH($F$1,[1]characters!$2:$2,0)+2),MATCH("タイプ",[1]characters!$1:$1,0)-MATCH($F$1,[1]characters!$2:$2,0)+2,FALSE)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8" s="10" t="str">
        <f ca="1">VLOOKUP($F38,OFFSET([1]characters!$A$2,0,0,COUNTA([1]characters!$A:$A),MATCH($L$1,[1]characters!$1:$1,0)-MATCH($F$1,[1]characters!$2:$2,0)+2),MATCH($L$1,[1]characters!$1:$1,0)-MATCH($F$1,[1]characters!$2:$2,0)+2,FALSE)</f>
        <v>ゴッド</v>
      </c>
      <c r="M38" s="6">
        <v>1</v>
      </c>
      <c r="N38" s="40">
        <f ca="1">VLOOKUP(D38,gacha_133_base!A:B,2,FALSE)</f>
        <v>2076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135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VLOOKUP($F39,OFFSET([1]characters!$A$2,0,0,COUNTA([1]characters!$A:$A),MATCH(G$1,[1]characters!$2:$2,0)-MATCH($F$1,[1]characters!$2:$2,0)+1),MATCH(G$1,[1]characters!$2:$2,0)-MATCH($F$1,[1]characters!$2:$2,0)+1,FALSE)</f>
        <v>聖蛇 ケツァクアトル</v>
      </c>
      <c r="H39" s="10" t="str">
        <f ca="1">VLOOKUP($F39,OFFSET([1]characters!$A$2,0,0,COUNTA([1]characters!$A:$A),MATCH(H$1,[1]characters!$2:$2,0)-MATCH($F$1,[1]characters!$2:$2,0)+1),MATCH(H$1,[1]characters!$2:$2,0)-MATCH($F$1,[1]characters!$2:$2,0)+1,FALSE)</f>
        <v>PremiumN</v>
      </c>
      <c r="I39" s="10">
        <f ca="1">VLOOKUP($F39,OFFSET([1]characters!$A$2,0,0,COUNTA([1]characters!$A:$A),MATCH(I$1,[1]characters!$2:$2,0)-MATCH($F$1,[1]characters!$2:$2,0)+1),MATCH(I$1,[1]characters!$2:$2,0)-MATCH($F$1,[1]characters!$2:$2,0)+1,FALSE)</f>
        <v>4</v>
      </c>
      <c r="J39" s="10" t="str">
        <f ca="1">VLOOKUP($F39,OFFSET([1]characters!$A$2,0,0,COUNTA([1]characters!$A:$A),MATCH(J$1,[1]characters!$2:$2,0)-MATCH($F$1,[1]characters!$2:$2,0)+1),MATCH(J$1,[1]characters!$2:$2,0)-MATCH($F$1,[1]characters!$2:$2,0)+1,FALSE)</f>
        <v>green</v>
      </c>
      <c r="K39" s="10" t="str">
        <f ca="1">VLOOKUP($F39,OFFSET([1]characters!$A$2,0,0,COUNTA([1]characters!$A:$A),MATCH("タイプ",[1]characters!$1:$1,0)-MATCH($F$1,[1]characters!$2:$2,0)+2),MATCH("タイプ",[1]characters!$1:$1,0)-MATCH($F$1,[1]characters!$2:$2,0)+2,FALSE)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9" s="10" t="str">
        <f ca="1">VLOOKUP($F39,OFFSET([1]characters!$A$2,0,0,COUNTA([1]characters!$A:$A),MATCH($L$1,[1]characters!$1:$1,0)-MATCH($F$1,[1]characters!$2:$2,0)+2),MATCH($L$1,[1]characters!$1:$1,0)-MATCH($F$1,[1]characters!$2:$2,0)+2,FALSE)</f>
        <v>ドラゴン</v>
      </c>
      <c r="M39" s="6">
        <v>1</v>
      </c>
      <c r="N39" s="40">
        <f ca="1">VLOOKUP(D39,gacha_133_base!A:B,2,FALSE)</f>
        <v>2076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135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VLOOKUP($F40,OFFSET([1]characters!$A$2,0,0,COUNTA([1]characters!$A:$A),MATCH(G$1,[1]characters!$2:$2,0)-MATCH($F$1,[1]characters!$2:$2,0)+1),MATCH(G$1,[1]characters!$2:$2,0)-MATCH($F$1,[1]characters!$2:$2,0)+1,FALSE)</f>
        <v>宰相 ルキフグス</v>
      </c>
      <c r="H40" s="10" t="str">
        <f ca="1">VLOOKUP($F40,OFFSET([1]characters!$A$2,0,0,COUNTA([1]characters!$A:$A),MATCH(H$1,[1]characters!$2:$2,0)-MATCH($F$1,[1]characters!$2:$2,0)+1),MATCH(H$1,[1]characters!$2:$2,0)-MATCH($F$1,[1]characters!$2:$2,0)+1,FALSE)</f>
        <v>PremiumN</v>
      </c>
      <c r="I40" s="10">
        <f ca="1">VLOOKUP($F40,OFFSET([1]characters!$A$2,0,0,COUNTA([1]characters!$A:$A),MATCH(I$1,[1]characters!$2:$2,0)-MATCH($F$1,[1]characters!$2:$2,0)+1),MATCH(I$1,[1]characters!$2:$2,0)-MATCH($F$1,[1]characters!$2:$2,0)+1,FALSE)</f>
        <v>4</v>
      </c>
      <c r="J40" s="10" t="str">
        <f ca="1">VLOOKUP($F40,OFFSET([1]characters!$A$2,0,0,COUNTA([1]characters!$A:$A),MATCH(J$1,[1]characters!$2:$2,0)-MATCH($F$1,[1]characters!$2:$2,0)+1),MATCH(J$1,[1]characters!$2:$2,0)-MATCH($F$1,[1]characters!$2:$2,0)+1,FALSE)</f>
        <v>blue</v>
      </c>
      <c r="K40" s="10" t="str">
        <f ca="1">VLOOKUP($F40,OFFSET([1]characters!$A$2,0,0,COUNTA([1]characters!$A:$A),MATCH("タイプ",[1]characters!$1:$1,0)-MATCH($F$1,[1]characters!$2:$2,0)+2),MATCH("タイプ",[1]characters!$1:$1,0)-MATCH($F$1,[1]characters!$2:$2,0)+2,FALSE)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0" s="10" t="str">
        <f ca="1">VLOOKUP($F40,OFFSET([1]characters!$A$2,0,0,COUNTA([1]characters!$A:$A),MATCH($L$1,[1]characters!$1:$1,0)-MATCH($F$1,[1]characters!$2:$2,0)+2),MATCH($L$1,[1]characters!$1:$1,0)-MATCH($F$1,[1]characters!$2:$2,0)+2,FALSE)</f>
        <v>ゴッド</v>
      </c>
      <c r="M40" s="6">
        <v>1</v>
      </c>
      <c r="N40" s="40">
        <f ca="1">VLOOKUP(D40,gacha_133_base!A:B,2,FALSE)</f>
        <v>2076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135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VLOOKUP($F41,OFFSET([1]characters!$A$2,0,0,COUNTA([1]characters!$A:$A),MATCH(G$1,[1]characters!$2:$2,0)-MATCH($F$1,[1]characters!$2:$2,0)+1),MATCH(G$1,[1]characters!$2:$2,0)-MATCH($F$1,[1]characters!$2:$2,0)+1,FALSE)</f>
        <v>巨腕 ヘラクレス</v>
      </c>
      <c r="H41" s="10" t="str">
        <f ca="1">VLOOKUP($F41,OFFSET([1]characters!$A$2,0,0,COUNTA([1]characters!$A:$A),MATCH(H$1,[1]characters!$2:$2,0)-MATCH($F$1,[1]characters!$2:$2,0)+1),MATCH(H$1,[1]characters!$2:$2,0)-MATCH($F$1,[1]characters!$2:$2,0)+1,FALSE)</f>
        <v>PremiumN</v>
      </c>
      <c r="I41" s="10">
        <f ca="1">VLOOKUP($F41,OFFSET([1]characters!$A$2,0,0,COUNTA([1]characters!$A:$A),MATCH(I$1,[1]characters!$2:$2,0)-MATCH($F$1,[1]characters!$2:$2,0)+1),MATCH(I$1,[1]characters!$2:$2,0)-MATCH($F$1,[1]characters!$2:$2,0)+1,FALSE)</f>
        <v>4</v>
      </c>
      <c r="J41" s="10" t="str">
        <f ca="1">VLOOKUP($F41,OFFSET([1]characters!$A$2,0,0,COUNTA([1]characters!$A:$A),MATCH(J$1,[1]characters!$2:$2,0)-MATCH($F$1,[1]characters!$2:$2,0)+1),MATCH(J$1,[1]characters!$2:$2,0)-MATCH($F$1,[1]characters!$2:$2,0)+1,FALSE)</f>
        <v>yellow</v>
      </c>
      <c r="K41" s="10" t="str">
        <f ca="1">VLOOKUP($F41,OFFSET([1]characters!$A$2,0,0,COUNTA([1]characters!$A:$A),MATCH("タイプ",[1]characters!$1:$1,0)-MATCH($F$1,[1]characters!$2:$2,0)+2),MATCH("タイプ",[1]characters!$1:$1,0)-MATCH($F$1,[1]characters!$2:$2,0)+2,FALSE)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1" s="10" t="str">
        <f ca="1">VLOOKUP($F41,OFFSET([1]characters!$A$2,0,0,COUNTA([1]characters!$A:$A),MATCH($L$1,[1]characters!$1:$1,0)-MATCH($F$1,[1]characters!$2:$2,0)+2),MATCH($L$1,[1]characters!$1:$1,0)-MATCH($F$1,[1]characters!$2:$2,0)+2,FALSE)</f>
        <v>ヒューマン</v>
      </c>
      <c r="M41" s="6">
        <v>1</v>
      </c>
      <c r="N41" s="40">
        <f ca="1">VLOOKUP(D41,gacha_133_base!A:B,2,FALSE)</f>
        <v>2076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135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VLOOKUP($F42,OFFSET([1]characters!$A$2,0,0,COUNTA([1]characters!$A:$A),MATCH(G$1,[1]characters!$2:$2,0)-MATCH($F$1,[1]characters!$2:$2,0)+1),MATCH(G$1,[1]characters!$2:$2,0)-MATCH($F$1,[1]characters!$2:$2,0)+1,FALSE)</f>
        <v>滅弾 アレス</v>
      </c>
      <c r="H42" s="10" t="str">
        <f ca="1">VLOOKUP($F42,OFFSET([1]characters!$A$2,0,0,COUNTA([1]characters!$A:$A),MATCH(H$1,[1]characters!$2:$2,0)-MATCH($F$1,[1]characters!$2:$2,0)+1),MATCH(H$1,[1]characters!$2:$2,0)-MATCH($F$1,[1]characters!$2:$2,0)+1,FALSE)</f>
        <v>PremiumS</v>
      </c>
      <c r="I42" s="10">
        <f ca="1">VLOOKUP($F42,OFFSET([1]characters!$A$2,0,0,COUNTA([1]characters!$A:$A),MATCH(I$1,[1]characters!$2:$2,0)-MATCH($F$1,[1]characters!$2:$2,0)+1),MATCH(I$1,[1]characters!$2:$2,0)-MATCH($F$1,[1]characters!$2:$2,0)+1,FALSE)</f>
        <v>4</v>
      </c>
      <c r="J42" s="10" t="str">
        <f ca="1">VLOOKUP($F42,OFFSET([1]characters!$A$2,0,0,COUNTA([1]characters!$A:$A),MATCH(J$1,[1]characters!$2:$2,0)-MATCH($F$1,[1]characters!$2:$2,0)+1),MATCH(J$1,[1]characters!$2:$2,0)-MATCH($F$1,[1]characters!$2:$2,0)+1,FALSE)</f>
        <v>red</v>
      </c>
      <c r="K42" s="10" t="str">
        <f ca="1">VLOOKUP($F42,OFFSET([1]characters!$A$2,0,0,COUNTA([1]characters!$A:$A),MATCH("タイプ",[1]characters!$1:$1,0)-MATCH($F$1,[1]characters!$2:$2,0)+2),MATCH("タイプ",[1]characters!$1:$1,0)-MATCH($F$1,[1]characters!$2:$2,0)+2,FALSE)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2" s="10" t="str">
        <f ca="1">VLOOKUP($F42,OFFSET([1]characters!$A$2,0,0,COUNTA([1]characters!$A:$A),MATCH($L$1,[1]characters!$1:$1,0)-MATCH($F$1,[1]characters!$2:$2,0)+2),MATCH($L$1,[1]characters!$1:$1,0)-MATCH($F$1,[1]characters!$2:$2,0)+2,FALSE)</f>
        <v>ゴッド</v>
      </c>
      <c r="M42" s="6">
        <v>1</v>
      </c>
      <c r="N42" s="40">
        <f ca="1">VLOOKUP(D42,gacha_133_base!A:B,2,FALSE)</f>
        <v>200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135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VLOOKUP($F43,OFFSET([1]characters!$A$2,0,0,COUNTA([1]characters!$A:$A),MATCH(G$1,[1]characters!$2:$2,0)-MATCH($F$1,[1]characters!$2:$2,0)+1),MATCH(G$1,[1]characters!$2:$2,0)-MATCH($F$1,[1]characters!$2:$2,0)+1,FALSE)</f>
        <v>毒銃 ヨルムンガンド</v>
      </c>
      <c r="H43" s="10" t="str">
        <f ca="1">VLOOKUP($F43,OFFSET([1]characters!$A$2,0,0,COUNTA([1]characters!$A:$A),MATCH(H$1,[1]characters!$2:$2,0)-MATCH($F$1,[1]characters!$2:$2,0)+1),MATCH(H$1,[1]characters!$2:$2,0)-MATCH($F$1,[1]characters!$2:$2,0)+1,FALSE)</f>
        <v>PremiumS</v>
      </c>
      <c r="I43" s="10">
        <f ca="1">VLOOKUP($F43,OFFSET([1]characters!$A$2,0,0,COUNTA([1]characters!$A:$A),MATCH(I$1,[1]characters!$2:$2,0)-MATCH($F$1,[1]characters!$2:$2,0)+1),MATCH(I$1,[1]characters!$2:$2,0)-MATCH($F$1,[1]characters!$2:$2,0)+1,FALSE)</f>
        <v>4</v>
      </c>
      <c r="J43" s="10" t="str">
        <f ca="1">VLOOKUP($F43,OFFSET([1]characters!$A$2,0,0,COUNTA([1]characters!$A:$A),MATCH(J$1,[1]characters!$2:$2,0)-MATCH($F$1,[1]characters!$2:$2,0)+1),MATCH(J$1,[1]characters!$2:$2,0)-MATCH($F$1,[1]characters!$2:$2,0)+1,FALSE)</f>
        <v>green</v>
      </c>
      <c r="K43" s="10" t="str">
        <f ca="1">VLOOKUP($F43,OFFSET([1]characters!$A$2,0,0,COUNTA([1]characters!$A:$A),MATCH("タイプ",[1]characters!$1:$1,0)-MATCH($F$1,[1]characters!$2:$2,0)+2),MATCH("タイプ",[1]characters!$1:$1,0)-MATCH($F$1,[1]characters!$2:$2,0)+2,FALSE)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3" s="10" t="str">
        <f ca="1">VLOOKUP($F43,OFFSET([1]characters!$A$2,0,0,COUNTA([1]characters!$A:$A),MATCH($L$1,[1]characters!$1:$1,0)-MATCH($F$1,[1]characters!$2:$2,0)+2),MATCH($L$1,[1]characters!$1:$1,0)-MATCH($F$1,[1]characters!$2:$2,0)+2,FALSE)</f>
        <v>ドラゴン</v>
      </c>
      <c r="M43" s="6">
        <v>1</v>
      </c>
      <c r="N43" s="40">
        <f ca="1">VLOOKUP(D43,gacha_133_base!A:B,2,FALSE)</f>
        <v>200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135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VLOOKUP($F44,OFFSET([1]characters!$A$2,0,0,COUNTA([1]characters!$A:$A),MATCH(G$1,[1]characters!$2:$2,0)-MATCH($F$1,[1]characters!$2:$2,0)+1),MATCH(G$1,[1]characters!$2:$2,0)-MATCH($F$1,[1]characters!$2:$2,0)+1,FALSE)</f>
        <v>遂行 パーシヴァル</v>
      </c>
      <c r="H44" s="10" t="str">
        <f ca="1">VLOOKUP($F44,OFFSET([1]characters!$A$2,0,0,COUNTA([1]characters!$A:$A),MATCH(H$1,[1]characters!$2:$2,0)-MATCH($F$1,[1]characters!$2:$2,0)+1),MATCH(H$1,[1]characters!$2:$2,0)-MATCH($F$1,[1]characters!$2:$2,0)+1,FALSE)</f>
        <v>PremiumS</v>
      </c>
      <c r="I44" s="10">
        <f ca="1">VLOOKUP($F44,OFFSET([1]characters!$A$2,0,0,COUNTA([1]characters!$A:$A),MATCH(I$1,[1]characters!$2:$2,0)-MATCH($F$1,[1]characters!$2:$2,0)+1),MATCH(I$1,[1]characters!$2:$2,0)-MATCH($F$1,[1]characters!$2:$2,0)+1,FALSE)</f>
        <v>4</v>
      </c>
      <c r="J44" s="10" t="str">
        <f ca="1">VLOOKUP($F44,OFFSET([1]characters!$A$2,0,0,COUNTA([1]characters!$A:$A),MATCH(J$1,[1]characters!$2:$2,0)-MATCH($F$1,[1]characters!$2:$2,0)+1),MATCH(J$1,[1]characters!$2:$2,0)-MATCH($F$1,[1]characters!$2:$2,0)+1,FALSE)</f>
        <v>blue</v>
      </c>
      <c r="K44" s="10" t="str">
        <f ca="1">VLOOKUP($F44,OFFSET([1]characters!$A$2,0,0,COUNTA([1]characters!$A:$A),MATCH("タイプ",[1]characters!$1:$1,0)-MATCH($F$1,[1]characters!$2:$2,0)+2),MATCH("タイプ",[1]characters!$1:$1,0)-MATCH($F$1,[1]characters!$2:$2,0)+2,FALSE)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4" s="10" t="str">
        <f ca="1">VLOOKUP($F44,OFFSET([1]characters!$A$2,0,0,COUNTA([1]characters!$A:$A),MATCH($L$1,[1]characters!$1:$1,0)-MATCH($F$1,[1]characters!$2:$2,0)+2),MATCH($L$1,[1]characters!$1:$1,0)-MATCH($F$1,[1]characters!$2:$2,0)+2,FALSE)</f>
        <v>ヒューマン</v>
      </c>
      <c r="M44" s="6">
        <v>1</v>
      </c>
      <c r="N44" s="40">
        <f ca="1">VLOOKUP(D44,gacha_133_base!A:B,2,FALSE)</f>
        <v>200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135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VLOOKUP($F45,OFFSET([1]characters!$A$2,0,0,COUNTA([1]characters!$A:$A),MATCH(G$1,[1]characters!$2:$2,0)-MATCH($F$1,[1]characters!$2:$2,0)+1),MATCH(G$1,[1]characters!$2:$2,0)-MATCH($F$1,[1]characters!$2:$2,0)+1,FALSE)</f>
        <v>神産 イザナミ</v>
      </c>
      <c r="H45" s="10" t="str">
        <f ca="1">VLOOKUP($F45,OFFSET([1]characters!$A$2,0,0,COUNTA([1]characters!$A:$A),MATCH(H$1,[1]characters!$2:$2,0)-MATCH($F$1,[1]characters!$2:$2,0)+1),MATCH(H$1,[1]characters!$2:$2,0)-MATCH($F$1,[1]characters!$2:$2,0)+1,FALSE)</f>
        <v>PremiumS</v>
      </c>
      <c r="I45" s="10">
        <f ca="1">VLOOKUP($F45,OFFSET([1]characters!$A$2,0,0,COUNTA([1]characters!$A:$A),MATCH(I$1,[1]characters!$2:$2,0)-MATCH($F$1,[1]characters!$2:$2,0)+1),MATCH(I$1,[1]characters!$2:$2,0)-MATCH($F$1,[1]characters!$2:$2,0)+1,FALSE)</f>
        <v>4</v>
      </c>
      <c r="J45" s="10" t="str">
        <f ca="1">VLOOKUP($F45,OFFSET([1]characters!$A$2,0,0,COUNTA([1]characters!$A:$A),MATCH(J$1,[1]characters!$2:$2,0)-MATCH($F$1,[1]characters!$2:$2,0)+1),MATCH(J$1,[1]characters!$2:$2,0)-MATCH($F$1,[1]characters!$2:$2,0)+1,FALSE)</f>
        <v>yellow</v>
      </c>
      <c r="K45" s="10" t="str">
        <f ca="1">VLOOKUP($F45,OFFSET([1]characters!$A$2,0,0,COUNTA([1]characters!$A:$A),MATCH("タイプ",[1]characters!$1:$1,0)-MATCH($F$1,[1]characters!$2:$2,0)+2),MATCH("タイプ",[1]characters!$1:$1,0)-MATCH($F$1,[1]characters!$2:$2,0)+2,FALSE)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5" s="10" t="str">
        <f ca="1">VLOOKUP($F45,OFFSET([1]characters!$A$2,0,0,COUNTA([1]characters!$A:$A),MATCH($L$1,[1]characters!$1:$1,0)-MATCH($F$1,[1]characters!$2:$2,0)+2),MATCH($L$1,[1]characters!$1:$1,0)-MATCH($F$1,[1]characters!$2:$2,0)+2,FALSE)</f>
        <v>ゴッド</v>
      </c>
      <c r="M45" s="6">
        <v>1</v>
      </c>
      <c r="N45" s="40">
        <f ca="1">VLOOKUP(D45,gacha_133_base!A:B,2,FALSE)</f>
        <v>200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11681</v>
      </c>
      <c r="B46" s="2">
        <f t="shared" si="3"/>
        <v>135</v>
      </c>
      <c r="C46" s="10" t="str">
        <f t="shared" ca="1" si="1"/>
        <v>1PremiumN5</v>
      </c>
      <c r="D46" s="10" t="str">
        <f t="shared" ca="1" si="2"/>
        <v>1PremiumN5</v>
      </c>
      <c r="E46" s="6">
        <v>1</v>
      </c>
      <c r="F46" s="7">
        <v>168</v>
      </c>
      <c r="G46" s="10" t="str">
        <f ca="1">VLOOKUP($F46,OFFSET([1]characters!$A$2,0,0,COUNTA([1]characters!$A:$A),MATCH(G$1,[1]characters!$2:$2,0)-MATCH($F$1,[1]characters!$2:$2,0)+1),MATCH(G$1,[1]characters!$2:$2,0)-MATCH($F$1,[1]characters!$2:$2,0)+1,FALSE)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46" s="10" t="str">
        <f ca="1">VLOOKUP($F46,OFFSET([1]characters!$A$2,0,0,COUNTA([1]characters!$A:$A),MATCH(H$1,[1]characters!$2:$2,0)-MATCH($F$1,[1]characters!$2:$2,0)+1),MATCH(H$1,[1]characters!$2:$2,0)-MATCH($F$1,[1]characters!$2:$2,0)+1,FALSE)</f>
        <v>PremiumN</v>
      </c>
      <c r="I46" s="10">
        <f ca="1">VLOOKUP($F46,OFFSET([1]characters!$A$2,0,0,COUNTA([1]characters!$A:$A),MATCH(I$1,[1]characters!$2:$2,0)-MATCH($F$1,[1]characters!$2:$2,0)+1),MATCH(I$1,[1]characters!$2:$2,0)-MATCH($F$1,[1]characters!$2:$2,0)+1,FALSE)</f>
        <v>5</v>
      </c>
      <c r="J46" s="10" t="str">
        <f ca="1">VLOOKUP($F46,OFFSET([1]characters!$A$2,0,0,COUNTA([1]characters!$A:$A),MATCH(J$1,[1]characters!$2:$2,0)-MATCH($F$1,[1]characters!$2:$2,0)+1),MATCH(J$1,[1]characters!$2:$2,0)-MATCH($F$1,[1]characters!$2:$2,0)+1,FALSE)</f>
        <v>red</v>
      </c>
      <c r="K46" s="10" t="str">
        <f ca="1">VLOOKUP($F46,OFFSET([1]characters!$A$2,0,0,COUNTA([1]characters!$A:$A),MATCH("タイプ",[1]characters!$1:$1,0)-MATCH($F$1,[1]characters!$2:$2,0)+2),MATCH("タイプ",[1]characters!$1:$1,0)-MATCH($F$1,[1]characters!$2:$2,0)+2,FALSE)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6" s="10" t="str">
        <f ca="1">VLOOKUP($F46,OFFSET([1]characters!$A$2,0,0,COUNTA([1]characters!$A:$A),MATCH($L$1,[1]characters!$1:$1,0)-MATCH($F$1,[1]characters!$2:$2,0)+2),MATCH($L$1,[1]characters!$1:$1,0)-MATCH($F$1,[1]characters!$2:$2,0)+2,FALSE)</f>
        <v>ゴッド</v>
      </c>
      <c r="M46" s="6">
        <v>1</v>
      </c>
      <c r="N46" s="40">
        <f ca="1">VLOOKUP(D46,gacha_133_base!A:B,2,FALSE)</f>
        <v>174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si="0"/>
        <v>11711</v>
      </c>
      <c r="B47" s="2">
        <f t="shared" si="3"/>
        <v>135</v>
      </c>
      <c r="C47" s="10" t="str">
        <f t="shared" ca="1" si="1"/>
        <v>1PremiumN5</v>
      </c>
      <c r="D47" s="10" t="str">
        <f t="shared" ca="1" si="2"/>
        <v>1PremiumN5</v>
      </c>
      <c r="E47" s="6">
        <v>1</v>
      </c>
      <c r="F47" s="7">
        <v>171</v>
      </c>
      <c r="G47" s="10" t="str">
        <f ca="1">VLOOKUP($F47,OFFSET([1]characters!$A$2,0,0,COUNTA([1]characters!$A:$A),MATCH(G$1,[1]characters!$2:$2,0)-MATCH($F$1,[1]characters!$2:$2,0)+1),MATCH(G$1,[1]characters!$2:$2,0)-MATCH($F$1,[1]characters!$2:$2,0)+1,FALSE)</f>
        <v>精解の預知者 オセ</v>
      </c>
      <c r="H47" s="10" t="str">
        <f ca="1">VLOOKUP($F47,OFFSET([1]characters!$A$2,0,0,COUNTA([1]characters!$A:$A),MATCH(H$1,[1]characters!$2:$2,0)-MATCH($F$1,[1]characters!$2:$2,0)+1),MATCH(H$1,[1]characters!$2:$2,0)-MATCH($F$1,[1]characters!$2:$2,0)+1,FALSE)</f>
        <v>PremiumN</v>
      </c>
      <c r="I47" s="10">
        <f ca="1">VLOOKUP($F47,OFFSET([1]characters!$A$2,0,0,COUNTA([1]characters!$A:$A),MATCH(I$1,[1]characters!$2:$2,0)-MATCH($F$1,[1]characters!$2:$2,0)+1),MATCH(I$1,[1]characters!$2:$2,0)-MATCH($F$1,[1]characters!$2:$2,0)+1,FALSE)</f>
        <v>5</v>
      </c>
      <c r="J47" s="10" t="str">
        <f ca="1">VLOOKUP($F47,OFFSET([1]characters!$A$2,0,0,COUNTA([1]characters!$A:$A),MATCH(J$1,[1]characters!$2:$2,0)-MATCH($F$1,[1]characters!$2:$2,0)+1),MATCH(J$1,[1]characters!$2:$2,0)-MATCH($F$1,[1]characters!$2:$2,0)+1,FALSE)</f>
        <v>green</v>
      </c>
      <c r="K47" s="10" t="str">
        <f ca="1">VLOOKUP($F47,OFFSET([1]characters!$A$2,0,0,COUNTA([1]characters!$A:$A),MATCH("タイプ",[1]characters!$1:$1,0)-MATCH($F$1,[1]characters!$2:$2,0)+2),MATCH("タイプ",[1]characters!$1:$1,0)-MATCH($F$1,[1]characters!$2:$2,0)+2,FALSE)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7" s="10" t="str">
        <f ca="1">VLOOKUP($F47,OFFSET([1]characters!$A$2,0,0,COUNTA([1]characters!$A:$A),MATCH($L$1,[1]characters!$1:$1,0)-MATCH($F$1,[1]characters!$2:$2,0)+2),MATCH($L$1,[1]characters!$1:$1,0)-MATCH($F$1,[1]characters!$2:$2,0)+2,FALSE)</f>
        <v>ゴッド</v>
      </c>
      <c r="M47" s="6">
        <v>1</v>
      </c>
      <c r="N47" s="40">
        <f ca="1">VLOOKUP(D47,gacha_133_base!A:B,2,FALSE)</f>
        <v>174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0"/>
        <v>11741</v>
      </c>
      <c r="B48" s="2">
        <f t="shared" si="3"/>
        <v>135</v>
      </c>
      <c r="C48" s="10" t="str">
        <f t="shared" ca="1" si="1"/>
        <v>1PremiumN5</v>
      </c>
      <c r="D48" s="10" t="str">
        <f t="shared" ca="1" si="2"/>
        <v>1PremiumN5</v>
      </c>
      <c r="E48" s="6">
        <v>1</v>
      </c>
      <c r="F48" s="7">
        <v>174</v>
      </c>
      <c r="G48" s="10" t="str">
        <f ca="1">VLOOKUP($F48,OFFSET([1]characters!$A$2,0,0,COUNTA([1]characters!$A:$A),MATCH(G$1,[1]characters!$2:$2,0)-MATCH($F$1,[1]characters!$2:$2,0)+1),MATCH(G$1,[1]characters!$2:$2,0)-MATCH($F$1,[1]characters!$2:$2,0)+1,FALSE)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48" s="10" t="str">
        <f ca="1">VLOOKUP($F48,OFFSET([1]characters!$A$2,0,0,COUNTA([1]characters!$A:$A),MATCH(H$1,[1]characters!$2:$2,0)-MATCH($F$1,[1]characters!$2:$2,0)+1),MATCH(H$1,[1]characters!$2:$2,0)-MATCH($F$1,[1]characters!$2:$2,0)+1,FALSE)</f>
        <v>PremiumN</v>
      </c>
      <c r="I48" s="10">
        <f ca="1">VLOOKUP($F48,OFFSET([1]characters!$A$2,0,0,COUNTA([1]characters!$A:$A),MATCH(I$1,[1]characters!$2:$2,0)-MATCH($F$1,[1]characters!$2:$2,0)+1),MATCH(I$1,[1]characters!$2:$2,0)-MATCH($F$1,[1]characters!$2:$2,0)+1,FALSE)</f>
        <v>5</v>
      </c>
      <c r="J48" s="10" t="str">
        <f ca="1">VLOOKUP($F48,OFFSET([1]characters!$A$2,0,0,COUNTA([1]characters!$A:$A),MATCH(J$1,[1]characters!$2:$2,0)-MATCH($F$1,[1]characters!$2:$2,0)+1),MATCH(J$1,[1]characters!$2:$2,0)-MATCH($F$1,[1]characters!$2:$2,0)+1,FALSE)</f>
        <v>blue</v>
      </c>
      <c r="K48" s="10" t="str">
        <f ca="1">VLOOKUP($F48,OFFSET([1]characters!$A$2,0,0,COUNTA([1]characters!$A:$A),MATCH("タイプ",[1]characters!$1:$1,0)-MATCH($F$1,[1]characters!$2:$2,0)+2),MATCH("タイプ",[1]characters!$1:$1,0)-MATCH($F$1,[1]characters!$2:$2,0)+2,FALSE)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8" s="10" t="str">
        <f ca="1">VLOOKUP($F48,OFFSET([1]characters!$A$2,0,0,COUNTA([1]characters!$A:$A),MATCH($L$1,[1]characters!$1:$1,0)-MATCH($F$1,[1]characters!$2:$2,0)+2),MATCH($L$1,[1]characters!$1:$1,0)-MATCH($F$1,[1]characters!$2:$2,0)+2,FALSE)</f>
        <v>ゴッド</v>
      </c>
      <c r="M48" s="6">
        <v>1</v>
      </c>
      <c r="N48" s="40">
        <f ca="1">VLOOKUP(D48,gacha_133_base!A:B,2,FALSE)</f>
        <v>174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0"/>
        <v>11771</v>
      </c>
      <c r="B49" s="2">
        <f t="shared" si="3"/>
        <v>135</v>
      </c>
      <c r="C49" s="10" t="str">
        <f t="shared" ca="1" si="1"/>
        <v>1PremiumN5</v>
      </c>
      <c r="D49" s="10" t="str">
        <f t="shared" ca="1" si="2"/>
        <v>1PremiumN5</v>
      </c>
      <c r="E49" s="6">
        <v>1</v>
      </c>
      <c r="F49" s="7">
        <v>177</v>
      </c>
      <c r="G49" s="10" t="str">
        <f ca="1">VLOOKUP($F49,OFFSET([1]characters!$A$2,0,0,COUNTA([1]characters!$A:$A),MATCH(G$1,[1]characters!$2:$2,0)-MATCH($F$1,[1]characters!$2:$2,0)+1),MATCH(G$1,[1]characters!$2:$2,0)-MATCH($F$1,[1]characters!$2:$2,0)+1,FALSE)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49" s="10" t="str">
        <f ca="1">VLOOKUP($F49,OFFSET([1]characters!$A$2,0,0,COUNTA([1]characters!$A:$A),MATCH(H$1,[1]characters!$2:$2,0)-MATCH($F$1,[1]characters!$2:$2,0)+1),MATCH(H$1,[1]characters!$2:$2,0)-MATCH($F$1,[1]characters!$2:$2,0)+1,FALSE)</f>
        <v>PremiumN</v>
      </c>
      <c r="I49" s="10">
        <f ca="1">VLOOKUP($F49,OFFSET([1]characters!$A$2,0,0,COUNTA([1]characters!$A:$A),MATCH(I$1,[1]characters!$2:$2,0)-MATCH($F$1,[1]characters!$2:$2,0)+1),MATCH(I$1,[1]characters!$2:$2,0)-MATCH($F$1,[1]characters!$2:$2,0)+1,FALSE)</f>
        <v>5</v>
      </c>
      <c r="J49" s="10" t="str">
        <f ca="1">VLOOKUP($F49,OFFSET([1]characters!$A$2,0,0,COUNTA([1]characters!$A:$A),MATCH(J$1,[1]characters!$2:$2,0)-MATCH($F$1,[1]characters!$2:$2,0)+1),MATCH(J$1,[1]characters!$2:$2,0)-MATCH($F$1,[1]characters!$2:$2,0)+1,FALSE)</f>
        <v>yellow</v>
      </c>
      <c r="K49" s="10" t="str">
        <f ca="1">VLOOKUP($F49,OFFSET([1]characters!$A$2,0,0,COUNTA([1]characters!$A:$A),MATCH("タイプ",[1]characters!$1:$1,0)-MATCH($F$1,[1]characters!$2:$2,0)+2),MATCH("タイプ",[1]characters!$1:$1,0)-MATCH($F$1,[1]characters!$2:$2,0)+2,FALSE)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9" s="10" t="str">
        <f ca="1">VLOOKUP($F49,OFFSET([1]characters!$A$2,0,0,COUNTA([1]characters!$A:$A),MATCH($L$1,[1]characters!$1:$1,0)-MATCH($F$1,[1]characters!$2:$2,0)+2),MATCH($L$1,[1]characters!$1:$1,0)-MATCH($F$1,[1]characters!$2:$2,0)+2,FALSE)</f>
        <v>ゴッド</v>
      </c>
      <c r="M49" s="6">
        <v>1</v>
      </c>
      <c r="N49" s="40">
        <f ca="1">VLOOKUP(D49,gacha_133_base!A:B,2,FALSE)</f>
        <v>174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0"/>
        <v>11801</v>
      </c>
      <c r="B50" s="2">
        <f t="shared" si="3"/>
        <v>135</v>
      </c>
      <c r="C50" s="10" t="str">
        <f t="shared" ca="1" si="1"/>
        <v>1PremiumN5</v>
      </c>
      <c r="D50" s="10" t="str">
        <f t="shared" ca="1" si="2"/>
        <v>1PremiumN5</v>
      </c>
      <c r="E50" s="6">
        <v>1</v>
      </c>
      <c r="F50" s="7">
        <v>180</v>
      </c>
      <c r="G50" s="10" t="str">
        <f ca="1">VLOOKUP($F50,OFFSET([1]characters!$A$2,0,0,COUNTA([1]characters!$A:$A),MATCH(G$1,[1]characters!$2:$2,0)-MATCH($F$1,[1]characters!$2:$2,0)+1),MATCH(G$1,[1]characters!$2:$2,0)-MATCH($F$1,[1]characters!$2:$2,0)+1,FALSE)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50" s="10" t="str">
        <f ca="1">VLOOKUP($F50,OFFSET([1]characters!$A$2,0,0,COUNTA([1]characters!$A:$A),MATCH(H$1,[1]characters!$2:$2,0)-MATCH($F$1,[1]characters!$2:$2,0)+1),MATCH(H$1,[1]characters!$2:$2,0)-MATCH($F$1,[1]characters!$2:$2,0)+1,FALSE)</f>
        <v>PremiumN</v>
      </c>
      <c r="I50" s="10">
        <f ca="1">VLOOKUP($F50,OFFSET([1]characters!$A$2,0,0,COUNTA([1]characters!$A:$A),MATCH(I$1,[1]characters!$2:$2,0)-MATCH($F$1,[1]characters!$2:$2,0)+1),MATCH(I$1,[1]characters!$2:$2,0)-MATCH($F$1,[1]characters!$2:$2,0)+1,FALSE)</f>
        <v>5</v>
      </c>
      <c r="J50" s="10" t="str">
        <f ca="1">VLOOKUP($F50,OFFSET([1]characters!$A$2,0,0,COUNTA([1]characters!$A:$A),MATCH(J$1,[1]characters!$2:$2,0)-MATCH($F$1,[1]characters!$2:$2,0)+1),MATCH(J$1,[1]characters!$2:$2,0)-MATCH($F$1,[1]characters!$2:$2,0)+1,FALSE)</f>
        <v>red</v>
      </c>
      <c r="K50" s="10" t="str">
        <f ca="1">VLOOKUP($F50,OFFSET([1]characters!$A$2,0,0,COUNTA([1]characters!$A:$A),MATCH("タイプ",[1]characters!$1:$1,0)-MATCH($F$1,[1]characters!$2:$2,0)+2),MATCH("タイプ",[1]characters!$1:$1,0)-MATCH($F$1,[1]characters!$2:$2,0)+2,FALSE)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0" s="10" t="str">
        <f ca="1">VLOOKUP($F50,OFFSET([1]characters!$A$2,0,0,COUNTA([1]characters!$A:$A),MATCH($L$1,[1]characters!$1:$1,0)-MATCH($F$1,[1]characters!$2:$2,0)+2),MATCH($L$1,[1]characters!$1:$1,0)-MATCH($F$1,[1]characters!$2:$2,0)+2,FALSE)</f>
        <v>アニマル</v>
      </c>
      <c r="M50" s="6">
        <v>1</v>
      </c>
      <c r="N50" s="40">
        <f ca="1">VLOOKUP(D50,gacha_133_base!A:B,2,FALSE)</f>
        <v>174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ht="21" customHeight="1">
      <c r="A51" s="8" t="str">
        <f t="shared" si="0"/>
        <v>11831</v>
      </c>
      <c r="B51" s="2">
        <f t="shared" si="3"/>
        <v>135</v>
      </c>
      <c r="C51" s="10" t="str">
        <f t="shared" ca="1" si="1"/>
        <v>1PremiumN5</v>
      </c>
      <c r="D51" s="10" t="str">
        <f t="shared" ca="1" si="2"/>
        <v>1PremiumN5</v>
      </c>
      <c r="E51" s="6">
        <v>1</v>
      </c>
      <c r="F51" s="7">
        <v>183</v>
      </c>
      <c r="G51" s="10" t="str">
        <f ca="1">VLOOKUP($F51,OFFSET([1]characters!$A$2,0,0,COUNTA([1]characters!$A:$A),MATCH(G$1,[1]characters!$2:$2,0)-MATCH($F$1,[1]characters!$2:$2,0)+1),MATCH(G$1,[1]characters!$2:$2,0)-MATCH($F$1,[1]characters!$2:$2,0)+1,FALSE)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51" s="10" t="str">
        <f ca="1">VLOOKUP($F51,OFFSET([1]characters!$A$2,0,0,COUNTA([1]characters!$A:$A),MATCH(H$1,[1]characters!$2:$2,0)-MATCH($F$1,[1]characters!$2:$2,0)+1),MATCH(H$1,[1]characters!$2:$2,0)-MATCH($F$1,[1]characters!$2:$2,0)+1,FALSE)</f>
        <v>PremiumN</v>
      </c>
      <c r="I51" s="10">
        <f ca="1">VLOOKUP($F51,OFFSET([1]characters!$A$2,0,0,COUNTA([1]characters!$A:$A),MATCH(I$1,[1]characters!$2:$2,0)-MATCH($F$1,[1]characters!$2:$2,0)+1),MATCH(I$1,[1]characters!$2:$2,0)-MATCH($F$1,[1]characters!$2:$2,0)+1,FALSE)</f>
        <v>5</v>
      </c>
      <c r="J51" s="10" t="str">
        <f ca="1">VLOOKUP($F51,OFFSET([1]characters!$A$2,0,0,COUNTA([1]characters!$A:$A),MATCH(J$1,[1]characters!$2:$2,0)-MATCH($F$1,[1]characters!$2:$2,0)+1),MATCH(J$1,[1]characters!$2:$2,0)-MATCH($F$1,[1]characters!$2:$2,0)+1,FALSE)</f>
        <v>green</v>
      </c>
      <c r="K51" s="10" t="str">
        <f ca="1">VLOOKUP($F51,OFFSET([1]characters!$A$2,0,0,COUNTA([1]characters!$A:$A),MATCH("タイプ",[1]characters!$1:$1,0)-MATCH($F$1,[1]characters!$2:$2,0)+2),MATCH("タイプ",[1]characters!$1:$1,0)-MATCH($F$1,[1]characters!$2:$2,0)+2,FALSE)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1" s="10" t="str">
        <f ca="1">VLOOKUP($F51,OFFSET([1]characters!$A$2,0,0,COUNTA([1]characters!$A:$A),MATCH($L$1,[1]characters!$1:$1,0)-MATCH($F$1,[1]characters!$2:$2,0)+2),MATCH($L$1,[1]characters!$1:$1,0)-MATCH($F$1,[1]characters!$2:$2,0)+2,FALSE)</f>
        <v>アニマル</v>
      </c>
      <c r="M51" s="6">
        <v>1</v>
      </c>
      <c r="N51" s="40">
        <f ca="1">VLOOKUP(D51,gacha_133_base!A:B,2,FALSE)</f>
        <v>174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>
      <c r="A52" s="8" t="str">
        <f t="shared" si="0"/>
        <v>11861</v>
      </c>
      <c r="B52" s="2">
        <f t="shared" si="3"/>
        <v>135</v>
      </c>
      <c r="C52" s="10" t="str">
        <f t="shared" ca="1" si="1"/>
        <v>1PremiumN5</v>
      </c>
      <c r="D52" s="10" t="str">
        <f t="shared" ca="1" si="2"/>
        <v>1PremiumN5</v>
      </c>
      <c r="E52" s="6">
        <v>1</v>
      </c>
      <c r="F52" s="7">
        <v>186</v>
      </c>
      <c r="G52" s="10" t="str">
        <f ca="1">VLOOKUP($F52,OFFSET([1]characters!$A$2,0,0,COUNTA([1]characters!$A:$A),MATCH(G$1,[1]characters!$2:$2,0)-MATCH($F$1,[1]characters!$2:$2,0)+1),MATCH(G$1,[1]characters!$2:$2,0)-MATCH($F$1,[1]characters!$2:$2,0)+1,FALSE)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52" s="10" t="str">
        <f ca="1">VLOOKUP($F52,OFFSET([1]characters!$A$2,0,0,COUNTA([1]characters!$A:$A),MATCH(H$1,[1]characters!$2:$2,0)-MATCH($F$1,[1]characters!$2:$2,0)+1),MATCH(H$1,[1]characters!$2:$2,0)-MATCH($F$1,[1]characters!$2:$2,0)+1,FALSE)</f>
        <v>PremiumN</v>
      </c>
      <c r="I52" s="10">
        <f ca="1">VLOOKUP($F52,OFFSET([1]characters!$A$2,0,0,COUNTA([1]characters!$A:$A),MATCH(I$1,[1]characters!$2:$2,0)-MATCH($F$1,[1]characters!$2:$2,0)+1),MATCH(I$1,[1]characters!$2:$2,0)-MATCH($F$1,[1]characters!$2:$2,0)+1,FALSE)</f>
        <v>5</v>
      </c>
      <c r="J52" s="10" t="str">
        <f ca="1">VLOOKUP($F52,OFFSET([1]characters!$A$2,0,0,COUNTA([1]characters!$A:$A),MATCH(J$1,[1]characters!$2:$2,0)-MATCH($F$1,[1]characters!$2:$2,0)+1),MATCH(J$1,[1]characters!$2:$2,0)-MATCH($F$1,[1]characters!$2:$2,0)+1,FALSE)</f>
        <v>blue</v>
      </c>
      <c r="K52" s="10" t="str">
        <f ca="1">VLOOKUP($F52,OFFSET([1]characters!$A$2,0,0,COUNTA([1]characters!$A:$A),MATCH("タイプ",[1]characters!$1:$1,0)-MATCH($F$1,[1]characters!$2:$2,0)+2),MATCH("タイプ",[1]characters!$1:$1,0)-MATCH($F$1,[1]characters!$2:$2,0)+2,FALSE)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52" s="10" t="str">
        <f ca="1">VLOOKUP($F52,OFFSET([1]characters!$A$2,0,0,COUNTA([1]characters!$A:$A),MATCH($L$1,[1]characters!$1:$1,0)-MATCH($F$1,[1]characters!$2:$2,0)+2),MATCH($L$1,[1]characters!$1:$1,0)-MATCH($F$1,[1]characters!$2:$2,0)+2,FALSE)</f>
        <v>アニマル</v>
      </c>
      <c r="M52" s="6">
        <v>1</v>
      </c>
      <c r="N52" s="40">
        <f ca="1">VLOOKUP(D52,gacha_133_base!A:B,2,FALSE)</f>
        <v>174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>
      <c r="A53" s="8" t="str">
        <f t="shared" si="0"/>
        <v>11891</v>
      </c>
      <c r="B53" s="2">
        <f t="shared" si="3"/>
        <v>135</v>
      </c>
      <c r="C53" s="10" t="str">
        <f t="shared" ca="1" si="1"/>
        <v>1PremiumN5</v>
      </c>
      <c r="D53" s="10" t="str">
        <f t="shared" ca="1" si="2"/>
        <v>1PremiumN5</v>
      </c>
      <c r="E53" s="6">
        <v>1</v>
      </c>
      <c r="F53" s="7">
        <v>189</v>
      </c>
      <c r="G53" s="10" t="str">
        <f ca="1">VLOOKUP($F53,OFFSET([1]characters!$A$2,0,0,COUNTA([1]characters!$A:$A),MATCH(G$1,[1]characters!$2:$2,0)-MATCH($F$1,[1]characters!$2:$2,0)+1),MATCH(G$1,[1]characters!$2:$2,0)-MATCH($F$1,[1]characters!$2:$2,0)+1,FALSE)</f>
        <v>迅雷の王禽 ホルス</v>
      </c>
      <c r="H53" s="10" t="str">
        <f ca="1">VLOOKUP($F53,OFFSET([1]characters!$A$2,0,0,COUNTA([1]characters!$A:$A),MATCH(H$1,[1]characters!$2:$2,0)-MATCH($F$1,[1]characters!$2:$2,0)+1),MATCH(H$1,[1]characters!$2:$2,0)-MATCH($F$1,[1]characters!$2:$2,0)+1,FALSE)</f>
        <v>PremiumN</v>
      </c>
      <c r="I53" s="10">
        <f ca="1">VLOOKUP($F53,OFFSET([1]characters!$A$2,0,0,COUNTA([1]characters!$A:$A),MATCH(I$1,[1]characters!$2:$2,0)-MATCH($F$1,[1]characters!$2:$2,0)+1),MATCH(I$1,[1]characters!$2:$2,0)-MATCH($F$1,[1]characters!$2:$2,0)+1,FALSE)</f>
        <v>5</v>
      </c>
      <c r="J53" s="10" t="str">
        <f ca="1">VLOOKUP($F53,OFFSET([1]characters!$A$2,0,0,COUNTA([1]characters!$A:$A),MATCH(J$1,[1]characters!$2:$2,0)-MATCH($F$1,[1]characters!$2:$2,0)+1),MATCH(J$1,[1]characters!$2:$2,0)-MATCH($F$1,[1]characters!$2:$2,0)+1,FALSE)</f>
        <v>yellow</v>
      </c>
      <c r="K53" s="10" t="str">
        <f ca="1">VLOOKUP($F53,OFFSET([1]characters!$A$2,0,0,COUNTA([1]characters!$A:$A),MATCH("タイプ",[1]characters!$1:$1,0)-MATCH($F$1,[1]characters!$2:$2,0)+2),MATCH("タイプ",[1]characters!$1:$1,0)-MATCH($F$1,[1]characters!$2:$2,0)+2,FALSE)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3" s="10" t="str">
        <f ca="1">VLOOKUP($F53,OFFSET([1]characters!$A$2,0,0,COUNTA([1]characters!$A:$A),MATCH($L$1,[1]characters!$1:$1,0)-MATCH($F$1,[1]characters!$2:$2,0)+2),MATCH($L$1,[1]characters!$1:$1,0)-MATCH($F$1,[1]characters!$2:$2,0)+2,FALSE)</f>
        <v>アニマル</v>
      </c>
      <c r="M53" s="6">
        <v>1</v>
      </c>
      <c r="N53" s="40">
        <f ca="1">VLOOKUP(D53,gacha_133_base!A:B,2,FALSE)</f>
        <v>174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>
      <c r="A54" s="8" t="str">
        <f t="shared" si="0"/>
        <v>11921</v>
      </c>
      <c r="B54" s="2">
        <f t="shared" si="3"/>
        <v>135</v>
      </c>
      <c r="C54" s="10" t="str">
        <f t="shared" ca="1" si="1"/>
        <v>1PremiumN5</v>
      </c>
      <c r="D54" s="10" t="str">
        <f t="shared" ca="1" si="2"/>
        <v>1PremiumN5</v>
      </c>
      <c r="E54" s="6">
        <v>1</v>
      </c>
      <c r="F54" s="7">
        <v>192</v>
      </c>
      <c r="G54" s="10" t="str">
        <f ca="1">VLOOKUP($F54,OFFSET([1]characters!$A$2,0,0,COUNTA([1]characters!$A:$A),MATCH(G$1,[1]characters!$2:$2,0)-MATCH($F$1,[1]characters!$2:$2,0)+1),MATCH(G$1,[1]characters!$2:$2,0)-MATCH($F$1,[1]characters!$2:$2,0)+1,FALSE)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54" s="10" t="str">
        <f ca="1">VLOOKUP($F54,OFFSET([1]characters!$A$2,0,0,COUNTA([1]characters!$A:$A),MATCH(H$1,[1]characters!$2:$2,0)-MATCH($F$1,[1]characters!$2:$2,0)+1),MATCH(H$1,[1]characters!$2:$2,0)-MATCH($F$1,[1]characters!$2:$2,0)+1,FALSE)</f>
        <v>PremiumN</v>
      </c>
      <c r="I54" s="10">
        <f ca="1">VLOOKUP($F54,OFFSET([1]characters!$A$2,0,0,COUNTA([1]characters!$A:$A),MATCH(I$1,[1]characters!$2:$2,0)-MATCH($F$1,[1]characters!$2:$2,0)+1),MATCH(I$1,[1]characters!$2:$2,0)-MATCH($F$1,[1]characters!$2:$2,0)+1,FALSE)</f>
        <v>5</v>
      </c>
      <c r="J54" s="10" t="str">
        <f ca="1">VLOOKUP($F54,OFFSET([1]characters!$A$2,0,0,COUNTA([1]characters!$A:$A),MATCH(J$1,[1]characters!$2:$2,0)-MATCH($F$1,[1]characters!$2:$2,0)+1),MATCH(J$1,[1]characters!$2:$2,0)-MATCH($F$1,[1]characters!$2:$2,0)+1,FALSE)</f>
        <v>red</v>
      </c>
      <c r="K54" s="10" t="str">
        <f ca="1">VLOOKUP($F54,OFFSET([1]characters!$A$2,0,0,COUNTA([1]characters!$A:$A),MATCH("タイプ",[1]characters!$1:$1,0)-MATCH($F$1,[1]characters!$2:$2,0)+2),MATCH("タイプ",[1]characters!$1:$1,0)-MATCH($F$1,[1]characters!$2:$2,0)+2,FALSE)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4" s="10" t="str">
        <f ca="1">VLOOKUP($F54,OFFSET([1]characters!$A$2,0,0,COUNTA([1]characters!$A:$A),MATCH($L$1,[1]characters!$1:$1,0)-MATCH($F$1,[1]characters!$2:$2,0)+2),MATCH($L$1,[1]characters!$1:$1,0)-MATCH($F$1,[1]characters!$2:$2,0)+2,FALSE)</f>
        <v>ヒューマン</v>
      </c>
      <c r="M54" s="6">
        <v>1</v>
      </c>
      <c r="N54" s="40">
        <f ca="1">VLOOKUP(D54,gacha_133_base!A:B,2,FALSE)</f>
        <v>174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>
      <c r="A55" s="8" t="str">
        <f t="shared" si="0"/>
        <v>11951</v>
      </c>
      <c r="B55" s="2">
        <f t="shared" si="3"/>
        <v>135</v>
      </c>
      <c r="C55" s="10" t="str">
        <f t="shared" ca="1" si="1"/>
        <v>1PremiumN5</v>
      </c>
      <c r="D55" s="10" t="str">
        <f t="shared" ca="1" si="2"/>
        <v>1PremiumN5</v>
      </c>
      <c r="E55" s="6">
        <v>1</v>
      </c>
      <c r="F55" s="7">
        <v>195</v>
      </c>
      <c r="G55" s="10" t="str">
        <f ca="1">VLOOKUP($F55,OFFSET([1]characters!$A$2,0,0,COUNTA([1]characters!$A:$A),MATCH(G$1,[1]characters!$2:$2,0)-MATCH($F$1,[1]characters!$2:$2,0)+1),MATCH(G$1,[1]characters!$2:$2,0)-MATCH($F$1,[1]characters!$2:$2,0)+1,FALSE)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55" s="10" t="str">
        <f ca="1">VLOOKUP($F55,OFFSET([1]characters!$A$2,0,0,COUNTA([1]characters!$A:$A),MATCH(H$1,[1]characters!$2:$2,0)-MATCH($F$1,[1]characters!$2:$2,0)+1),MATCH(H$1,[1]characters!$2:$2,0)-MATCH($F$1,[1]characters!$2:$2,0)+1,FALSE)</f>
        <v>PremiumN</v>
      </c>
      <c r="I55" s="10">
        <f ca="1">VLOOKUP($F55,OFFSET([1]characters!$A$2,0,0,COUNTA([1]characters!$A:$A),MATCH(I$1,[1]characters!$2:$2,0)-MATCH($F$1,[1]characters!$2:$2,0)+1),MATCH(I$1,[1]characters!$2:$2,0)-MATCH($F$1,[1]characters!$2:$2,0)+1,FALSE)</f>
        <v>5</v>
      </c>
      <c r="J55" s="10" t="str">
        <f ca="1">VLOOKUP($F55,OFFSET([1]characters!$A$2,0,0,COUNTA([1]characters!$A:$A),MATCH(J$1,[1]characters!$2:$2,0)-MATCH($F$1,[1]characters!$2:$2,0)+1),MATCH(J$1,[1]characters!$2:$2,0)-MATCH($F$1,[1]characters!$2:$2,0)+1,FALSE)</f>
        <v>green</v>
      </c>
      <c r="K55" s="10" t="str">
        <f ca="1">VLOOKUP($F55,OFFSET([1]characters!$A$2,0,0,COUNTA([1]characters!$A:$A),MATCH("タイプ",[1]characters!$1:$1,0)-MATCH($F$1,[1]characters!$2:$2,0)+2),MATCH("タイプ",[1]characters!$1:$1,0)-MATCH($F$1,[1]characters!$2:$2,0)+2,FALSE)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5" s="10" t="str">
        <f ca="1">VLOOKUP($F55,OFFSET([1]characters!$A$2,0,0,COUNTA([1]characters!$A:$A),MATCH($L$1,[1]characters!$1:$1,0)-MATCH($F$1,[1]characters!$2:$2,0)+2),MATCH($L$1,[1]characters!$1:$1,0)-MATCH($F$1,[1]characters!$2:$2,0)+2,FALSE)</f>
        <v>ヒューマン</v>
      </c>
      <c r="M55" s="6">
        <v>1</v>
      </c>
      <c r="N55" s="40">
        <f ca="1">VLOOKUP(D55,gacha_133_base!A:B,2,FALSE)</f>
        <v>174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>
      <c r="A56" s="8" t="str">
        <f t="shared" si="0"/>
        <v>11981</v>
      </c>
      <c r="B56" s="2">
        <f t="shared" si="3"/>
        <v>135</v>
      </c>
      <c r="C56" s="10" t="str">
        <f t="shared" ca="1" si="1"/>
        <v>1PremiumN5</v>
      </c>
      <c r="D56" s="10" t="str">
        <f t="shared" ca="1" si="2"/>
        <v>1PremiumN5</v>
      </c>
      <c r="E56" s="6">
        <v>1</v>
      </c>
      <c r="F56" s="7">
        <v>198</v>
      </c>
      <c r="G56" s="10" t="str">
        <f ca="1">VLOOKUP($F56,OFFSET([1]characters!$A$2,0,0,COUNTA([1]characters!$A:$A),MATCH(G$1,[1]characters!$2:$2,0)-MATCH($F$1,[1]characters!$2:$2,0)+1),MATCH(G$1,[1]characters!$2:$2,0)-MATCH($F$1,[1]characters!$2:$2,0)+1,FALSE)</f>
        <v>砕骨の剛腕 アキレス</v>
      </c>
      <c r="H56" s="10" t="str">
        <f ca="1">VLOOKUP($F56,OFFSET([1]characters!$A$2,0,0,COUNTA([1]characters!$A:$A),MATCH(H$1,[1]characters!$2:$2,0)-MATCH($F$1,[1]characters!$2:$2,0)+1),MATCH(H$1,[1]characters!$2:$2,0)-MATCH($F$1,[1]characters!$2:$2,0)+1,FALSE)</f>
        <v>PremiumN</v>
      </c>
      <c r="I56" s="10">
        <f ca="1">VLOOKUP($F56,OFFSET([1]characters!$A$2,0,0,COUNTA([1]characters!$A:$A),MATCH(I$1,[1]characters!$2:$2,0)-MATCH($F$1,[1]characters!$2:$2,0)+1),MATCH(I$1,[1]characters!$2:$2,0)-MATCH($F$1,[1]characters!$2:$2,0)+1,FALSE)</f>
        <v>5</v>
      </c>
      <c r="J56" s="10" t="str">
        <f ca="1">VLOOKUP($F56,OFFSET([1]characters!$A$2,0,0,COUNTA([1]characters!$A:$A),MATCH(J$1,[1]characters!$2:$2,0)-MATCH($F$1,[1]characters!$2:$2,0)+1),MATCH(J$1,[1]characters!$2:$2,0)-MATCH($F$1,[1]characters!$2:$2,0)+1,FALSE)</f>
        <v>yellow</v>
      </c>
      <c r="K56" s="10" t="str">
        <f ca="1">VLOOKUP($F56,OFFSET([1]characters!$A$2,0,0,COUNTA([1]characters!$A:$A),MATCH("タイプ",[1]characters!$1:$1,0)-MATCH($F$1,[1]characters!$2:$2,0)+2),MATCH("タイプ",[1]characters!$1:$1,0)-MATCH($F$1,[1]characters!$2:$2,0)+2,FALSE)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6" s="10" t="str">
        <f ca="1">VLOOKUP($F56,OFFSET([1]characters!$A$2,0,0,COUNTA([1]characters!$A:$A),MATCH($L$1,[1]characters!$1:$1,0)-MATCH($F$1,[1]characters!$2:$2,0)+2),MATCH($L$1,[1]characters!$1:$1,0)-MATCH($F$1,[1]characters!$2:$2,0)+2,FALSE)</f>
        <v>ヒューマン</v>
      </c>
      <c r="M56" s="6">
        <v>1</v>
      </c>
      <c r="N56" s="40">
        <f ca="1">VLOOKUP(D56,gacha_133_base!A:B,2,FALSE)</f>
        <v>174</v>
      </c>
      <c r="O56" s="28">
        <v>0</v>
      </c>
      <c r="P56" s="28">
        <v>0</v>
      </c>
      <c r="Q56" s="28">
        <v>0</v>
      </c>
      <c r="R56" s="28">
        <v>0</v>
      </c>
      <c r="S56" s="28">
        <v>1</v>
      </c>
    </row>
    <row r="57" spans="1:19" ht="21" customHeight="1">
      <c r="A57" s="8" t="str">
        <f t="shared" si="0"/>
        <v>12011</v>
      </c>
      <c r="B57" s="2">
        <f t="shared" si="3"/>
        <v>135</v>
      </c>
      <c r="C57" s="10" t="str">
        <f t="shared" ca="1" si="1"/>
        <v>1PremiumN5</v>
      </c>
      <c r="D57" s="10" t="str">
        <f t="shared" ca="1" si="2"/>
        <v>1PremiumN5</v>
      </c>
      <c r="E57" s="6">
        <v>1</v>
      </c>
      <c r="F57" s="7">
        <v>201</v>
      </c>
      <c r="G57" s="10" t="str">
        <f ca="1">VLOOKUP($F57,OFFSET([1]characters!$A$2,0,0,COUNTA([1]characters!$A:$A),MATCH(G$1,[1]characters!$2:$2,0)-MATCH($F$1,[1]characters!$2:$2,0)+1),MATCH(G$1,[1]characters!$2:$2,0)-MATCH($F$1,[1]characters!$2:$2,0)+1,FALSE)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57" s="10" t="str">
        <f ca="1">VLOOKUP($F57,OFFSET([1]characters!$A$2,0,0,COUNTA([1]characters!$A:$A),MATCH(H$1,[1]characters!$2:$2,0)-MATCH($F$1,[1]characters!$2:$2,0)+1),MATCH(H$1,[1]characters!$2:$2,0)-MATCH($F$1,[1]characters!$2:$2,0)+1,FALSE)</f>
        <v>PremiumN</v>
      </c>
      <c r="I57" s="10">
        <f ca="1">VLOOKUP($F57,OFFSET([1]characters!$A$2,0,0,COUNTA([1]characters!$A:$A),MATCH(I$1,[1]characters!$2:$2,0)-MATCH($F$1,[1]characters!$2:$2,0)+1),MATCH(I$1,[1]characters!$2:$2,0)-MATCH($F$1,[1]characters!$2:$2,0)+1,FALSE)</f>
        <v>5</v>
      </c>
      <c r="J57" s="10" t="str">
        <f ca="1">VLOOKUP($F57,OFFSET([1]characters!$A$2,0,0,COUNTA([1]characters!$A:$A),MATCH(J$1,[1]characters!$2:$2,0)-MATCH($F$1,[1]characters!$2:$2,0)+1),MATCH(J$1,[1]characters!$2:$2,0)-MATCH($F$1,[1]characters!$2:$2,0)+1,FALSE)</f>
        <v>blue</v>
      </c>
      <c r="K57" s="10" t="str">
        <f ca="1">VLOOKUP($F57,OFFSET([1]characters!$A$2,0,0,COUNTA([1]characters!$A:$A),MATCH("タイプ",[1]characters!$1:$1,0)-MATCH($F$1,[1]characters!$2:$2,0)+2),MATCH("タイプ",[1]characters!$1:$1,0)-MATCH($F$1,[1]characters!$2:$2,0)+2,FALSE)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7" s="10" t="str">
        <f ca="1">VLOOKUP($F57,OFFSET([1]characters!$A$2,0,0,COUNTA([1]characters!$A:$A),MATCH($L$1,[1]characters!$1:$1,0)-MATCH($F$1,[1]characters!$2:$2,0)+2),MATCH($L$1,[1]characters!$1:$1,0)-MATCH($F$1,[1]characters!$2:$2,0)+2,FALSE)</f>
        <v>ヒューマン</v>
      </c>
      <c r="M57" s="6">
        <v>1</v>
      </c>
      <c r="N57" s="40">
        <f ca="1">VLOOKUP(D57,gacha_133_base!A:B,2,FALSE)</f>
        <v>174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>
      <c r="A58" s="8" t="str">
        <f t="shared" si="0"/>
        <v>12041</v>
      </c>
      <c r="B58" s="2">
        <f t="shared" si="3"/>
        <v>135</v>
      </c>
      <c r="C58" s="10" t="str">
        <f t="shared" ca="1" si="1"/>
        <v>1PremiumN5</v>
      </c>
      <c r="D58" s="10" t="str">
        <f t="shared" ca="1" si="2"/>
        <v>1PremiumN5</v>
      </c>
      <c r="E58" s="6">
        <v>1</v>
      </c>
      <c r="F58" s="7">
        <v>204</v>
      </c>
      <c r="G58" s="10" t="str">
        <f ca="1">VLOOKUP($F58,OFFSET([1]characters!$A$2,0,0,COUNTA([1]characters!$A:$A),MATCH(G$1,[1]characters!$2:$2,0)-MATCH($F$1,[1]characters!$2:$2,0)+1),MATCH(G$1,[1]characters!$2:$2,0)-MATCH($F$1,[1]characters!$2:$2,0)+1,FALSE)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58" s="10" t="str">
        <f ca="1">VLOOKUP($F58,OFFSET([1]characters!$A$2,0,0,COUNTA([1]characters!$A:$A),MATCH(H$1,[1]characters!$2:$2,0)-MATCH($F$1,[1]characters!$2:$2,0)+1),MATCH(H$1,[1]characters!$2:$2,0)-MATCH($F$1,[1]characters!$2:$2,0)+1,FALSE)</f>
        <v>PremiumN</v>
      </c>
      <c r="I58" s="10">
        <f ca="1">VLOOKUP($F58,OFFSET([1]characters!$A$2,0,0,COUNTA([1]characters!$A:$A),MATCH(I$1,[1]characters!$2:$2,0)-MATCH($F$1,[1]characters!$2:$2,0)+1),MATCH(I$1,[1]characters!$2:$2,0)-MATCH($F$1,[1]characters!$2:$2,0)+1,FALSE)</f>
        <v>5</v>
      </c>
      <c r="J58" s="10" t="str">
        <f ca="1">VLOOKUP($F58,OFFSET([1]characters!$A$2,0,0,COUNTA([1]characters!$A:$A),MATCH(J$1,[1]characters!$2:$2,0)-MATCH($F$1,[1]characters!$2:$2,0)+1),MATCH(J$1,[1]characters!$2:$2,0)-MATCH($F$1,[1]characters!$2:$2,0)+1,FALSE)</f>
        <v>red</v>
      </c>
      <c r="K58" s="10" t="str">
        <f ca="1">VLOOKUP($F58,OFFSET([1]characters!$A$2,0,0,COUNTA([1]characters!$A:$A),MATCH("タイプ",[1]characters!$1:$1,0)-MATCH($F$1,[1]characters!$2:$2,0)+2),MATCH("タイプ",[1]characters!$1:$1,0)-MATCH($F$1,[1]characters!$2:$2,0)+2,FALSE)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8" s="10" t="str">
        <f ca="1">VLOOKUP($F58,OFFSET([1]characters!$A$2,0,0,COUNTA([1]characters!$A:$A),MATCH($L$1,[1]characters!$1:$1,0)-MATCH($F$1,[1]characters!$2:$2,0)+2),MATCH($L$1,[1]characters!$1:$1,0)-MATCH($F$1,[1]characters!$2:$2,0)+2,FALSE)</f>
        <v>ゴッド</v>
      </c>
      <c r="M58" s="6">
        <v>1</v>
      </c>
      <c r="N58" s="40">
        <f ca="1">VLOOKUP(D58,gacha_133_base!A:B,2,FALSE)</f>
        <v>174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>
      <c r="A59" s="8" t="str">
        <f t="shared" si="0"/>
        <v>12071</v>
      </c>
      <c r="B59" s="2">
        <f t="shared" si="3"/>
        <v>135</v>
      </c>
      <c r="C59" s="10" t="str">
        <f t="shared" ca="1" si="1"/>
        <v>1PremiumN5</v>
      </c>
      <c r="D59" s="10" t="str">
        <f t="shared" ca="1" si="2"/>
        <v>1PremiumN5</v>
      </c>
      <c r="E59" s="6">
        <v>1</v>
      </c>
      <c r="F59" s="7">
        <v>207</v>
      </c>
      <c r="G59" s="10" t="str">
        <f ca="1">VLOOKUP($F59,OFFSET([1]characters!$A$2,0,0,COUNTA([1]characters!$A:$A),MATCH(G$1,[1]characters!$2:$2,0)-MATCH($F$1,[1]characters!$2:$2,0)+1),MATCH(G$1,[1]characters!$2:$2,0)-MATCH($F$1,[1]characters!$2:$2,0)+1,FALSE)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59" s="10" t="str">
        <f ca="1">VLOOKUP($F59,OFFSET([1]characters!$A$2,0,0,COUNTA([1]characters!$A:$A),MATCH(H$1,[1]characters!$2:$2,0)-MATCH($F$1,[1]characters!$2:$2,0)+1),MATCH(H$1,[1]characters!$2:$2,0)-MATCH($F$1,[1]characters!$2:$2,0)+1,FALSE)</f>
        <v>PremiumN</v>
      </c>
      <c r="I59" s="10">
        <f ca="1">VLOOKUP($F59,OFFSET([1]characters!$A$2,0,0,COUNTA([1]characters!$A:$A),MATCH(I$1,[1]characters!$2:$2,0)-MATCH($F$1,[1]characters!$2:$2,0)+1),MATCH(I$1,[1]characters!$2:$2,0)-MATCH($F$1,[1]characters!$2:$2,0)+1,FALSE)</f>
        <v>5</v>
      </c>
      <c r="J59" s="10" t="str">
        <f ca="1">VLOOKUP($F59,OFFSET([1]characters!$A$2,0,0,COUNTA([1]characters!$A:$A),MATCH(J$1,[1]characters!$2:$2,0)-MATCH($F$1,[1]characters!$2:$2,0)+1),MATCH(J$1,[1]characters!$2:$2,0)-MATCH($F$1,[1]characters!$2:$2,0)+1,FALSE)</f>
        <v>green</v>
      </c>
      <c r="K59" s="10" t="str">
        <f ca="1">VLOOKUP($F59,OFFSET([1]characters!$A$2,0,0,COUNTA([1]characters!$A:$A),MATCH("タイプ",[1]characters!$1:$1,0)-MATCH($F$1,[1]characters!$2:$2,0)+2),MATCH("タイプ",[1]characters!$1:$1,0)-MATCH($F$1,[1]characters!$2:$2,0)+2,FALSE)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9" s="10" t="str">
        <f ca="1">VLOOKUP($F59,OFFSET([1]characters!$A$2,0,0,COUNTA([1]characters!$A:$A),MATCH($L$1,[1]characters!$1:$1,0)-MATCH($F$1,[1]characters!$2:$2,0)+2),MATCH($L$1,[1]characters!$1:$1,0)-MATCH($F$1,[1]characters!$2:$2,0)+2,FALSE)</f>
        <v>ゴッド</v>
      </c>
      <c r="M59" s="6">
        <v>1</v>
      </c>
      <c r="N59" s="40">
        <f ca="1">VLOOKUP(D59,gacha_133_base!A:B,2,FALSE)</f>
        <v>174</v>
      </c>
      <c r="O59" s="28">
        <v>0</v>
      </c>
      <c r="P59" s="28">
        <v>0</v>
      </c>
      <c r="Q59" s="28">
        <v>0</v>
      </c>
      <c r="R59" s="28">
        <v>0</v>
      </c>
      <c r="S59" s="28">
        <v>1</v>
      </c>
    </row>
    <row r="60" spans="1:19" ht="21" customHeight="1">
      <c r="A60" s="8" t="str">
        <f t="shared" si="0"/>
        <v>12101</v>
      </c>
      <c r="B60" s="2">
        <f t="shared" si="3"/>
        <v>135</v>
      </c>
      <c r="C60" s="10" t="str">
        <f t="shared" ca="1" si="1"/>
        <v>1PremiumN5</v>
      </c>
      <c r="D60" s="10" t="str">
        <f t="shared" ca="1" si="2"/>
        <v>1PremiumN5</v>
      </c>
      <c r="E60" s="6">
        <v>1</v>
      </c>
      <c r="F60" s="7">
        <v>210</v>
      </c>
      <c r="G60" s="10" t="str">
        <f ca="1">VLOOKUP($F60,OFFSET([1]characters!$A$2,0,0,COUNTA([1]characters!$A:$A),MATCH(G$1,[1]characters!$2:$2,0)-MATCH($F$1,[1]characters!$2:$2,0)+1),MATCH(G$1,[1]characters!$2:$2,0)-MATCH($F$1,[1]characters!$2:$2,0)+1,FALSE)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60" s="10" t="str">
        <f ca="1">VLOOKUP($F60,OFFSET([1]characters!$A$2,0,0,COUNTA([1]characters!$A:$A),MATCH(H$1,[1]characters!$2:$2,0)-MATCH($F$1,[1]characters!$2:$2,0)+1),MATCH(H$1,[1]characters!$2:$2,0)-MATCH($F$1,[1]characters!$2:$2,0)+1,FALSE)</f>
        <v>PremiumN</v>
      </c>
      <c r="I60" s="10">
        <f ca="1">VLOOKUP($F60,OFFSET([1]characters!$A$2,0,0,COUNTA([1]characters!$A:$A),MATCH(I$1,[1]characters!$2:$2,0)-MATCH($F$1,[1]characters!$2:$2,0)+1),MATCH(I$1,[1]characters!$2:$2,0)-MATCH($F$1,[1]characters!$2:$2,0)+1,FALSE)</f>
        <v>5</v>
      </c>
      <c r="J60" s="10" t="str">
        <f ca="1">VLOOKUP($F60,OFFSET([1]characters!$A$2,0,0,COUNTA([1]characters!$A:$A),MATCH(J$1,[1]characters!$2:$2,0)-MATCH($F$1,[1]characters!$2:$2,0)+1),MATCH(J$1,[1]characters!$2:$2,0)-MATCH($F$1,[1]characters!$2:$2,0)+1,FALSE)</f>
        <v>blue</v>
      </c>
      <c r="K60" s="10" t="str">
        <f ca="1">VLOOKUP($F60,OFFSET([1]characters!$A$2,0,0,COUNTA([1]characters!$A:$A),MATCH("タイプ",[1]characters!$1:$1,0)-MATCH($F$1,[1]characters!$2:$2,0)+2),MATCH("タイプ",[1]characters!$1:$1,0)-MATCH($F$1,[1]characters!$2:$2,0)+2,FALSE)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0" s="10" t="str">
        <f ca="1">VLOOKUP($F60,OFFSET([1]characters!$A$2,0,0,COUNTA([1]characters!$A:$A),MATCH($L$1,[1]characters!$1:$1,0)-MATCH($F$1,[1]characters!$2:$2,0)+2),MATCH($L$1,[1]characters!$1:$1,0)-MATCH($F$1,[1]characters!$2:$2,0)+2,FALSE)</f>
        <v>ゴッド</v>
      </c>
      <c r="M60" s="6">
        <v>1</v>
      </c>
      <c r="N60" s="40">
        <f ca="1">VLOOKUP(D60,gacha_133_base!A:B,2,FALSE)</f>
        <v>174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>
      <c r="A61" s="8" t="str">
        <f t="shared" si="0"/>
        <v>12131</v>
      </c>
      <c r="B61" s="2">
        <f t="shared" si="3"/>
        <v>135</v>
      </c>
      <c r="C61" s="10" t="str">
        <f t="shared" ca="1" si="1"/>
        <v>1PremiumN5</v>
      </c>
      <c r="D61" s="10" t="str">
        <f t="shared" ca="1" si="2"/>
        <v>1PremiumN5</v>
      </c>
      <c r="E61" s="6">
        <v>1</v>
      </c>
      <c r="F61" s="7">
        <v>213</v>
      </c>
      <c r="G61" s="10" t="str">
        <f ca="1">VLOOKUP($F61,OFFSET([1]characters!$A$2,0,0,COUNTA([1]characters!$A:$A),MATCH(G$1,[1]characters!$2:$2,0)-MATCH($F$1,[1]characters!$2:$2,0)+1),MATCH(G$1,[1]characters!$2:$2,0)-MATCH($F$1,[1]characters!$2:$2,0)+1,FALSE)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61" s="10" t="str">
        <f ca="1">VLOOKUP($F61,OFFSET([1]characters!$A$2,0,0,COUNTA([1]characters!$A:$A),MATCH(H$1,[1]characters!$2:$2,0)-MATCH($F$1,[1]characters!$2:$2,0)+1),MATCH(H$1,[1]characters!$2:$2,0)-MATCH($F$1,[1]characters!$2:$2,0)+1,FALSE)</f>
        <v>PremiumN</v>
      </c>
      <c r="I61" s="10">
        <f ca="1">VLOOKUP($F61,OFFSET([1]characters!$A$2,0,0,COUNTA([1]characters!$A:$A),MATCH(I$1,[1]characters!$2:$2,0)-MATCH($F$1,[1]characters!$2:$2,0)+1),MATCH(I$1,[1]characters!$2:$2,0)-MATCH($F$1,[1]characters!$2:$2,0)+1,FALSE)</f>
        <v>5</v>
      </c>
      <c r="J61" s="10" t="str">
        <f ca="1">VLOOKUP($F61,OFFSET([1]characters!$A$2,0,0,COUNTA([1]characters!$A:$A),MATCH(J$1,[1]characters!$2:$2,0)-MATCH($F$1,[1]characters!$2:$2,0)+1),MATCH(J$1,[1]characters!$2:$2,0)-MATCH($F$1,[1]characters!$2:$2,0)+1,FALSE)</f>
        <v>yellow</v>
      </c>
      <c r="K61" s="10" t="str">
        <f ca="1">VLOOKUP($F61,OFFSET([1]characters!$A$2,0,0,COUNTA([1]characters!$A:$A),MATCH("タイプ",[1]characters!$1:$1,0)-MATCH($F$1,[1]characters!$2:$2,0)+2),MATCH("タイプ",[1]characters!$1:$1,0)-MATCH($F$1,[1]characters!$2:$2,0)+2,FALSE)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1" s="10" t="str">
        <f ca="1">VLOOKUP($F61,OFFSET([1]characters!$A$2,0,0,COUNTA([1]characters!$A:$A),MATCH($L$1,[1]characters!$1:$1,0)-MATCH($F$1,[1]characters!$2:$2,0)+2),MATCH($L$1,[1]characters!$1:$1,0)-MATCH($F$1,[1]characters!$2:$2,0)+2,FALSE)</f>
        <v>ゴッド</v>
      </c>
      <c r="M61" s="6">
        <v>1</v>
      </c>
      <c r="N61" s="40">
        <f ca="1">VLOOKUP(D61,gacha_133_base!A:B,2,FALSE)</f>
        <v>174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>
      <c r="A62" s="8" t="str">
        <f t="shared" si="0"/>
        <v>12161</v>
      </c>
      <c r="B62" s="2">
        <f t="shared" si="3"/>
        <v>135</v>
      </c>
      <c r="C62" s="10" t="str">
        <f t="shared" ca="1" si="1"/>
        <v>1PremiumN5</v>
      </c>
      <c r="D62" s="10" t="str">
        <f t="shared" ca="1" si="2"/>
        <v>1PremiumN5</v>
      </c>
      <c r="E62" s="6">
        <v>1</v>
      </c>
      <c r="F62" s="7">
        <v>216</v>
      </c>
      <c r="G62" s="10" t="str">
        <f ca="1">VLOOKUP($F62,OFFSET([1]characters!$A$2,0,0,COUNTA([1]characters!$A:$A),MATCH(G$1,[1]characters!$2:$2,0)-MATCH($F$1,[1]characters!$2:$2,0)+1),MATCH(G$1,[1]characters!$2:$2,0)-MATCH($F$1,[1]characters!$2:$2,0)+1,FALSE)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62" s="10" t="str">
        <f ca="1">VLOOKUP($F62,OFFSET([1]characters!$A$2,0,0,COUNTA([1]characters!$A:$A),MATCH(H$1,[1]characters!$2:$2,0)-MATCH($F$1,[1]characters!$2:$2,0)+1),MATCH(H$1,[1]characters!$2:$2,0)-MATCH($F$1,[1]characters!$2:$2,0)+1,FALSE)</f>
        <v>PremiumN</v>
      </c>
      <c r="I62" s="10">
        <f ca="1">VLOOKUP($F62,OFFSET([1]characters!$A$2,0,0,COUNTA([1]characters!$A:$A),MATCH(I$1,[1]characters!$2:$2,0)-MATCH($F$1,[1]characters!$2:$2,0)+1),MATCH(I$1,[1]characters!$2:$2,0)-MATCH($F$1,[1]characters!$2:$2,0)+1,FALSE)</f>
        <v>5</v>
      </c>
      <c r="J62" s="10" t="str">
        <f ca="1">VLOOKUP($F62,OFFSET([1]characters!$A$2,0,0,COUNTA([1]characters!$A:$A),MATCH(J$1,[1]characters!$2:$2,0)-MATCH($F$1,[1]characters!$2:$2,0)+1),MATCH(J$1,[1]characters!$2:$2,0)-MATCH($F$1,[1]characters!$2:$2,0)+1,FALSE)</f>
        <v>red</v>
      </c>
      <c r="K62" s="10" t="str">
        <f ca="1">VLOOKUP($F62,OFFSET([1]characters!$A$2,0,0,COUNTA([1]characters!$A:$A),MATCH("タイプ",[1]characters!$1:$1,0)-MATCH($F$1,[1]characters!$2:$2,0)+2),MATCH("タイプ",[1]characters!$1:$1,0)-MATCH($F$1,[1]characters!$2:$2,0)+2,FALSE)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2" s="10" t="str">
        <f ca="1">VLOOKUP($F62,OFFSET([1]characters!$A$2,0,0,COUNTA([1]characters!$A:$A),MATCH($L$1,[1]characters!$1:$1,0)-MATCH($F$1,[1]characters!$2:$2,0)+2),MATCH($L$1,[1]characters!$1:$1,0)-MATCH($F$1,[1]characters!$2:$2,0)+2,FALSE)</f>
        <v>ゴッド</v>
      </c>
      <c r="M62" s="6">
        <v>1</v>
      </c>
      <c r="N62" s="40">
        <f ca="1">VLOOKUP(D62,gacha_133_base!A:B,2,FALSE)</f>
        <v>174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>
      <c r="A63" s="8" t="str">
        <f t="shared" si="0"/>
        <v>12191</v>
      </c>
      <c r="B63" s="2">
        <f t="shared" si="3"/>
        <v>135</v>
      </c>
      <c r="C63" s="10" t="str">
        <f t="shared" ca="1" si="1"/>
        <v>1PremiumN5</v>
      </c>
      <c r="D63" s="10" t="str">
        <f t="shared" ca="1" si="2"/>
        <v>1PremiumN5</v>
      </c>
      <c r="E63" s="6">
        <v>1</v>
      </c>
      <c r="F63" s="7">
        <v>219</v>
      </c>
      <c r="G63" s="10" t="str">
        <f ca="1">VLOOKUP($F63,OFFSET([1]characters!$A$2,0,0,COUNTA([1]characters!$A:$A),MATCH(G$1,[1]characters!$2:$2,0)-MATCH($F$1,[1]characters!$2:$2,0)+1),MATCH(G$1,[1]characters!$2:$2,0)-MATCH($F$1,[1]characters!$2:$2,0)+1,FALSE)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63" s="10" t="str">
        <f ca="1">VLOOKUP($F63,OFFSET([1]characters!$A$2,0,0,COUNTA([1]characters!$A:$A),MATCH(H$1,[1]characters!$2:$2,0)-MATCH($F$1,[1]characters!$2:$2,0)+1),MATCH(H$1,[1]characters!$2:$2,0)-MATCH($F$1,[1]characters!$2:$2,0)+1,FALSE)</f>
        <v>PremiumN</v>
      </c>
      <c r="I63" s="10">
        <f ca="1">VLOOKUP($F63,OFFSET([1]characters!$A$2,0,0,COUNTA([1]characters!$A:$A),MATCH(I$1,[1]characters!$2:$2,0)-MATCH($F$1,[1]characters!$2:$2,0)+1),MATCH(I$1,[1]characters!$2:$2,0)-MATCH($F$1,[1]characters!$2:$2,0)+1,FALSE)</f>
        <v>5</v>
      </c>
      <c r="J63" s="10" t="str">
        <f ca="1">VLOOKUP($F63,OFFSET([1]characters!$A$2,0,0,COUNTA([1]characters!$A:$A),MATCH(J$1,[1]characters!$2:$2,0)-MATCH($F$1,[1]characters!$2:$2,0)+1),MATCH(J$1,[1]characters!$2:$2,0)-MATCH($F$1,[1]characters!$2:$2,0)+1,FALSE)</f>
        <v>green</v>
      </c>
      <c r="K63" s="10" t="str">
        <f ca="1">VLOOKUP($F63,OFFSET([1]characters!$A$2,0,0,COUNTA([1]characters!$A:$A),MATCH("タイプ",[1]characters!$1:$1,0)-MATCH($F$1,[1]characters!$2:$2,0)+2),MATCH("タイプ",[1]characters!$1:$1,0)-MATCH($F$1,[1]characters!$2:$2,0)+2,FALSE)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3" s="10" t="str">
        <f ca="1">VLOOKUP($F63,OFFSET([1]characters!$A$2,0,0,COUNTA([1]characters!$A:$A),MATCH($L$1,[1]characters!$1:$1,0)-MATCH($F$1,[1]characters!$2:$2,0)+2),MATCH($L$1,[1]characters!$1:$1,0)-MATCH($F$1,[1]characters!$2:$2,0)+2,FALSE)</f>
        <v>ドラゴン</v>
      </c>
      <c r="M63" s="6">
        <v>1</v>
      </c>
      <c r="N63" s="40">
        <f ca="1">VLOOKUP(D63,gacha_133_base!A:B,2,FALSE)</f>
        <v>174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8" t="str">
        <f t="shared" si="0"/>
        <v>12221</v>
      </c>
      <c r="B64" s="2">
        <f t="shared" si="3"/>
        <v>135</v>
      </c>
      <c r="C64" s="10" t="str">
        <f t="shared" ca="1" si="1"/>
        <v>1PremiumN5</v>
      </c>
      <c r="D64" s="10" t="str">
        <f t="shared" ca="1" si="2"/>
        <v>1PremiumN5</v>
      </c>
      <c r="E64" s="6">
        <v>1</v>
      </c>
      <c r="F64" s="7">
        <v>222</v>
      </c>
      <c r="G64" s="10" t="str">
        <f ca="1">VLOOKUP($F64,OFFSET([1]characters!$A$2,0,0,COUNTA([1]characters!$A:$A),MATCH(G$1,[1]characters!$2:$2,0)-MATCH($F$1,[1]characters!$2:$2,0)+1),MATCH(G$1,[1]characters!$2:$2,0)-MATCH($F$1,[1]characters!$2:$2,0)+1,FALSE)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64" s="10" t="str">
        <f ca="1">VLOOKUP($F64,OFFSET([1]characters!$A$2,0,0,COUNTA([1]characters!$A:$A),MATCH(H$1,[1]characters!$2:$2,0)-MATCH($F$1,[1]characters!$2:$2,0)+1),MATCH(H$1,[1]characters!$2:$2,0)-MATCH($F$1,[1]characters!$2:$2,0)+1,FALSE)</f>
        <v>PremiumN</v>
      </c>
      <c r="I64" s="10">
        <f ca="1">VLOOKUP($F64,OFFSET([1]characters!$A$2,0,0,COUNTA([1]characters!$A:$A),MATCH(I$1,[1]characters!$2:$2,0)-MATCH($F$1,[1]characters!$2:$2,0)+1),MATCH(I$1,[1]characters!$2:$2,0)-MATCH($F$1,[1]characters!$2:$2,0)+1,FALSE)</f>
        <v>5</v>
      </c>
      <c r="J64" s="10" t="str">
        <f ca="1">VLOOKUP($F64,OFFSET([1]characters!$A$2,0,0,COUNTA([1]characters!$A:$A),MATCH(J$1,[1]characters!$2:$2,0)-MATCH($F$1,[1]characters!$2:$2,0)+1),MATCH(J$1,[1]characters!$2:$2,0)-MATCH($F$1,[1]characters!$2:$2,0)+1,FALSE)</f>
        <v>blue</v>
      </c>
      <c r="K64" s="10" t="str">
        <f ca="1">VLOOKUP($F64,OFFSET([1]characters!$A$2,0,0,COUNTA([1]characters!$A:$A),MATCH("タイプ",[1]characters!$1:$1,0)-MATCH($F$1,[1]characters!$2:$2,0)+2),MATCH("タイプ",[1]characters!$1:$1,0)-MATCH($F$1,[1]characters!$2:$2,0)+2,FALSE)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4" s="10" t="str">
        <f ca="1">VLOOKUP($F64,OFFSET([1]characters!$A$2,0,0,COUNTA([1]characters!$A:$A),MATCH($L$1,[1]characters!$1:$1,0)-MATCH($F$1,[1]characters!$2:$2,0)+2),MATCH($L$1,[1]characters!$1:$1,0)-MATCH($F$1,[1]characters!$2:$2,0)+2,FALSE)</f>
        <v>ゴッド</v>
      </c>
      <c r="M64" s="6">
        <v>1</v>
      </c>
      <c r="N64" s="40">
        <f ca="1">VLOOKUP(D64,gacha_133_base!A:B,2,FALSE)</f>
        <v>174</v>
      </c>
      <c r="O64" s="28">
        <v>0</v>
      </c>
      <c r="P64" s="28">
        <v>0</v>
      </c>
      <c r="Q64" s="28">
        <v>0</v>
      </c>
      <c r="R64" s="28">
        <v>0</v>
      </c>
      <c r="S64" s="28">
        <v>1</v>
      </c>
    </row>
    <row r="65" spans="1:19" ht="21" customHeight="1">
      <c r="A65" s="8" t="str">
        <f t="shared" si="0"/>
        <v>12251</v>
      </c>
      <c r="B65" s="2">
        <f t="shared" si="3"/>
        <v>135</v>
      </c>
      <c r="C65" s="10" t="str">
        <f t="shared" ca="1" si="1"/>
        <v>1PremiumN5</v>
      </c>
      <c r="D65" s="10" t="str">
        <f t="shared" ca="1" si="2"/>
        <v>1PremiumN5</v>
      </c>
      <c r="E65" s="6">
        <v>1</v>
      </c>
      <c r="F65" s="7">
        <v>225</v>
      </c>
      <c r="G65" s="10" t="str">
        <f ca="1">VLOOKUP($F65,OFFSET([1]characters!$A$2,0,0,COUNTA([1]characters!$A:$A),MATCH(G$1,[1]characters!$2:$2,0)-MATCH($F$1,[1]characters!$2:$2,0)+1),MATCH(G$1,[1]characters!$2:$2,0)-MATCH($F$1,[1]characters!$2:$2,0)+1,FALSE)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65" s="10" t="str">
        <f ca="1">VLOOKUP($F65,OFFSET([1]characters!$A$2,0,0,COUNTA([1]characters!$A:$A),MATCH(H$1,[1]characters!$2:$2,0)-MATCH($F$1,[1]characters!$2:$2,0)+1),MATCH(H$1,[1]characters!$2:$2,0)-MATCH($F$1,[1]characters!$2:$2,0)+1,FALSE)</f>
        <v>PremiumN</v>
      </c>
      <c r="I65" s="10">
        <f ca="1">VLOOKUP($F65,OFFSET([1]characters!$A$2,0,0,COUNTA([1]characters!$A:$A),MATCH(I$1,[1]characters!$2:$2,0)-MATCH($F$1,[1]characters!$2:$2,0)+1),MATCH(I$1,[1]characters!$2:$2,0)-MATCH($F$1,[1]characters!$2:$2,0)+1,FALSE)</f>
        <v>5</v>
      </c>
      <c r="J65" s="10" t="str">
        <f ca="1">VLOOKUP($F65,OFFSET([1]characters!$A$2,0,0,COUNTA([1]characters!$A:$A),MATCH(J$1,[1]characters!$2:$2,0)-MATCH($F$1,[1]characters!$2:$2,0)+1),MATCH(J$1,[1]characters!$2:$2,0)-MATCH($F$1,[1]characters!$2:$2,0)+1,FALSE)</f>
        <v>yellow</v>
      </c>
      <c r="K65" s="10" t="str">
        <f ca="1">VLOOKUP($F65,OFFSET([1]characters!$A$2,0,0,COUNTA([1]characters!$A:$A),MATCH("タイプ",[1]characters!$1:$1,0)-MATCH($F$1,[1]characters!$2:$2,0)+2),MATCH("タイプ",[1]characters!$1:$1,0)-MATCH($F$1,[1]characters!$2:$2,0)+2,FALSE)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5" s="10" t="str">
        <f ca="1">VLOOKUP($F65,OFFSET([1]characters!$A$2,0,0,COUNTA([1]characters!$A:$A),MATCH($L$1,[1]characters!$1:$1,0)-MATCH($F$1,[1]characters!$2:$2,0)+2),MATCH($L$1,[1]characters!$1:$1,0)-MATCH($F$1,[1]characters!$2:$2,0)+2,FALSE)</f>
        <v>ヒューマン</v>
      </c>
      <c r="M65" s="6">
        <v>1</v>
      </c>
      <c r="N65" s="40">
        <f ca="1">VLOOKUP(D65,gacha_133_base!A:B,2,FALSE)</f>
        <v>174</v>
      </c>
      <c r="O65" s="28">
        <v>0</v>
      </c>
      <c r="P65" s="28">
        <v>0</v>
      </c>
      <c r="Q65" s="28">
        <v>0</v>
      </c>
      <c r="R65" s="28">
        <v>0</v>
      </c>
      <c r="S65" s="28">
        <v>1</v>
      </c>
    </row>
    <row r="66" spans="1:19" ht="21" customHeight="1">
      <c r="A66" s="8" t="str">
        <f t="shared" ref="A66:A162" si="4">E66&amp;F66&amp;M66</f>
        <v>12281</v>
      </c>
      <c r="B66" s="2">
        <f t="shared" si="3"/>
        <v>135</v>
      </c>
      <c r="C66" s="10" t="str">
        <f ca="1">E66&amp;H66&amp;I66</f>
        <v>1PremiumS5</v>
      </c>
      <c r="D66" s="10" t="str">
        <f t="shared" ca="1" si="2"/>
        <v>1PremiumS5</v>
      </c>
      <c r="E66" s="6">
        <v>1</v>
      </c>
      <c r="F66" s="7">
        <v>228</v>
      </c>
      <c r="G66" s="10" t="str">
        <f ca="1">VLOOKUP($F66,OFFSET([1]characters!$A$2,0,0,COUNTA([1]characters!$A:$A),MATCH(G$1,[1]characters!$2:$2,0)-MATCH($F$1,[1]characters!$2:$2,0)+1),MATCH(G$1,[1]characters!$2:$2,0)-MATCH($F$1,[1]characters!$2:$2,0)+1,FALSE)</f>
        <v>殲滅の掃射砲 アレス</v>
      </c>
      <c r="H66" s="10" t="str">
        <f ca="1">VLOOKUP($F66,OFFSET([1]characters!$A$2,0,0,COUNTA([1]characters!$A:$A),MATCH(H$1,[1]characters!$2:$2,0)-MATCH($F$1,[1]characters!$2:$2,0)+1),MATCH(H$1,[1]characters!$2:$2,0)-MATCH($F$1,[1]characters!$2:$2,0)+1,FALSE)</f>
        <v>PremiumS</v>
      </c>
      <c r="I66" s="10">
        <f ca="1">VLOOKUP($F66,OFFSET([1]characters!$A$2,0,0,COUNTA([1]characters!$A:$A),MATCH(I$1,[1]characters!$2:$2,0)-MATCH($F$1,[1]characters!$2:$2,0)+1),MATCH(I$1,[1]characters!$2:$2,0)-MATCH($F$1,[1]characters!$2:$2,0)+1,FALSE)</f>
        <v>5</v>
      </c>
      <c r="J66" s="10" t="str">
        <f ca="1">VLOOKUP($F66,OFFSET([1]characters!$A$2,0,0,COUNTA([1]characters!$A:$A),MATCH(J$1,[1]characters!$2:$2,0)-MATCH($F$1,[1]characters!$2:$2,0)+1),MATCH(J$1,[1]characters!$2:$2,0)-MATCH($F$1,[1]characters!$2:$2,0)+1,FALSE)</f>
        <v>red</v>
      </c>
      <c r="K66" s="10" t="str">
        <f ca="1">VLOOKUP($F66,OFFSET([1]characters!$A$2,0,0,COUNTA([1]characters!$A:$A),MATCH("タイプ",[1]characters!$1:$1,0)-MATCH($F$1,[1]characters!$2:$2,0)+2),MATCH("タイプ",[1]characters!$1:$1,0)-MATCH($F$1,[1]characters!$2:$2,0)+2,FALSE)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6" s="10" t="str">
        <f ca="1">VLOOKUP($F66,OFFSET([1]characters!$A$2,0,0,COUNTA([1]characters!$A:$A),MATCH($L$1,[1]characters!$1:$1,0)-MATCH($F$1,[1]characters!$2:$2,0)+2),MATCH($L$1,[1]characters!$1:$1,0)-MATCH($F$1,[1]characters!$2:$2,0)+2,FALSE)</f>
        <v>ゴッド</v>
      </c>
      <c r="M66" s="6">
        <v>1</v>
      </c>
      <c r="N66" s="40">
        <f ca="1">VLOOKUP(D66,gacha_133_base!A:B,2,FALSE)</f>
        <v>8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8" t="str">
        <f t="shared" si="4"/>
        <v>12311</v>
      </c>
      <c r="B67" s="2">
        <f t="shared" si="3"/>
        <v>135</v>
      </c>
      <c r="C67" s="10" t="str">
        <f t="shared" ref="C67:C138" ca="1" si="5">E67&amp;H67&amp;I67</f>
        <v>1PremiumS5</v>
      </c>
      <c r="D67" s="10" t="str">
        <f t="shared" ref="D67:D138" ca="1" si="6">E67&amp;H67&amp;I67</f>
        <v>1PremiumS5</v>
      </c>
      <c r="E67" s="6">
        <v>1</v>
      </c>
      <c r="F67" s="7">
        <v>231</v>
      </c>
      <c r="G67" s="10" t="str">
        <f ca="1">VLOOKUP($F67,OFFSET([1]characters!$A$2,0,0,COUNTA([1]characters!$A:$A),MATCH(G$1,[1]characters!$2:$2,0)-MATCH($F$1,[1]characters!$2:$2,0)+1),MATCH(G$1,[1]characters!$2:$2,0)-MATCH($F$1,[1]characters!$2:$2,0)+1,FALSE)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67" s="10" t="str">
        <f ca="1">VLOOKUP($F67,OFFSET([1]characters!$A$2,0,0,COUNTA([1]characters!$A:$A),MATCH(H$1,[1]characters!$2:$2,0)-MATCH($F$1,[1]characters!$2:$2,0)+1),MATCH(H$1,[1]characters!$2:$2,0)-MATCH($F$1,[1]characters!$2:$2,0)+1,FALSE)</f>
        <v>PremiumS</v>
      </c>
      <c r="I67" s="10">
        <f ca="1">VLOOKUP($F67,OFFSET([1]characters!$A$2,0,0,COUNTA([1]characters!$A:$A),MATCH(I$1,[1]characters!$2:$2,0)-MATCH($F$1,[1]characters!$2:$2,0)+1),MATCH(I$1,[1]characters!$2:$2,0)-MATCH($F$1,[1]characters!$2:$2,0)+1,FALSE)</f>
        <v>5</v>
      </c>
      <c r="J67" s="10" t="str">
        <f ca="1">VLOOKUP($F67,OFFSET([1]characters!$A$2,0,0,COUNTA([1]characters!$A:$A),MATCH(J$1,[1]characters!$2:$2,0)-MATCH($F$1,[1]characters!$2:$2,0)+1),MATCH(J$1,[1]characters!$2:$2,0)-MATCH($F$1,[1]characters!$2:$2,0)+1,FALSE)</f>
        <v>green</v>
      </c>
      <c r="K67" s="10" t="str">
        <f ca="1">VLOOKUP($F67,OFFSET([1]characters!$A$2,0,0,COUNTA([1]characters!$A:$A),MATCH("タイプ",[1]characters!$1:$1,0)-MATCH($F$1,[1]characters!$2:$2,0)+2),MATCH("タイプ",[1]characters!$1:$1,0)-MATCH($F$1,[1]characters!$2:$2,0)+2,FALSE)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7" s="10" t="str">
        <f ca="1">VLOOKUP($F67,OFFSET([1]characters!$A$2,0,0,COUNTA([1]characters!$A:$A),MATCH($L$1,[1]characters!$1:$1,0)-MATCH($F$1,[1]characters!$2:$2,0)+2),MATCH($L$1,[1]characters!$1:$1,0)-MATCH($F$1,[1]characters!$2:$2,0)+2,FALSE)</f>
        <v>ドラゴン</v>
      </c>
      <c r="M67" s="6">
        <v>1</v>
      </c>
      <c r="N67" s="40">
        <f ca="1">VLOOKUP(D67,gacha_133_base!A:B,2,FALSE)</f>
        <v>8</v>
      </c>
      <c r="O67" s="28">
        <v>0</v>
      </c>
      <c r="P67" s="28">
        <v>0</v>
      </c>
      <c r="Q67" s="28">
        <v>0</v>
      </c>
      <c r="R67" s="28">
        <v>0</v>
      </c>
      <c r="S67" s="28">
        <v>1</v>
      </c>
    </row>
    <row r="68" spans="1:19" ht="21" customHeight="1">
      <c r="A68" s="8" t="str">
        <f t="shared" si="4"/>
        <v>12341</v>
      </c>
      <c r="B68" s="2">
        <f t="shared" ref="B68:B139" si="7">$B$2</f>
        <v>135</v>
      </c>
      <c r="C68" s="10" t="str">
        <f t="shared" ca="1" si="5"/>
        <v>1PremiumS5</v>
      </c>
      <c r="D68" s="10" t="str">
        <f t="shared" ca="1" si="6"/>
        <v>1PremiumS5</v>
      </c>
      <c r="E68" s="6">
        <v>1</v>
      </c>
      <c r="F68" s="7">
        <v>234</v>
      </c>
      <c r="G68" s="10" t="str">
        <f ca="1">VLOOKUP($F68,OFFSET([1]characters!$A$2,0,0,COUNTA([1]characters!$A:$A),MATCH(G$1,[1]characters!$2:$2,0)-MATCH($F$1,[1]characters!$2:$2,0)+1),MATCH(G$1,[1]characters!$2:$2,0)-MATCH($F$1,[1]characters!$2:$2,0)+1,FALSE)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68" s="10" t="str">
        <f ca="1">VLOOKUP($F68,OFFSET([1]characters!$A$2,0,0,COUNTA([1]characters!$A:$A),MATCH(H$1,[1]characters!$2:$2,0)-MATCH($F$1,[1]characters!$2:$2,0)+1),MATCH(H$1,[1]characters!$2:$2,0)-MATCH($F$1,[1]characters!$2:$2,0)+1,FALSE)</f>
        <v>PremiumS</v>
      </c>
      <c r="I68" s="10">
        <f ca="1">VLOOKUP($F68,OFFSET([1]characters!$A$2,0,0,COUNTA([1]characters!$A:$A),MATCH(I$1,[1]characters!$2:$2,0)-MATCH($F$1,[1]characters!$2:$2,0)+1),MATCH(I$1,[1]characters!$2:$2,0)-MATCH($F$1,[1]characters!$2:$2,0)+1,FALSE)</f>
        <v>5</v>
      </c>
      <c r="J68" s="10" t="str">
        <f ca="1">VLOOKUP($F68,OFFSET([1]characters!$A$2,0,0,COUNTA([1]characters!$A:$A),MATCH(J$1,[1]characters!$2:$2,0)-MATCH($F$1,[1]characters!$2:$2,0)+1),MATCH(J$1,[1]characters!$2:$2,0)-MATCH($F$1,[1]characters!$2:$2,0)+1,FALSE)</f>
        <v>blue</v>
      </c>
      <c r="K68" s="10" t="str">
        <f ca="1">VLOOKUP($F68,OFFSET([1]characters!$A$2,0,0,COUNTA([1]characters!$A:$A),MATCH("タイプ",[1]characters!$1:$1,0)-MATCH($F$1,[1]characters!$2:$2,0)+2),MATCH("タイプ",[1]characters!$1:$1,0)-MATCH($F$1,[1]characters!$2:$2,0)+2,FALSE)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8" s="10" t="str">
        <f ca="1">VLOOKUP($F68,OFFSET([1]characters!$A$2,0,0,COUNTA([1]characters!$A:$A),MATCH($L$1,[1]characters!$1:$1,0)-MATCH($F$1,[1]characters!$2:$2,0)+2),MATCH($L$1,[1]characters!$1:$1,0)-MATCH($F$1,[1]characters!$2:$2,0)+2,FALSE)</f>
        <v>ヒューマン</v>
      </c>
      <c r="M68" s="6">
        <v>1</v>
      </c>
      <c r="N68" s="40">
        <f ca="1">VLOOKUP(D68,gacha_133_base!A:B,2,FALSE)</f>
        <v>8</v>
      </c>
      <c r="O68" s="28">
        <v>0</v>
      </c>
      <c r="P68" s="28">
        <v>0</v>
      </c>
      <c r="Q68" s="28">
        <v>0</v>
      </c>
      <c r="R68" s="28">
        <v>0</v>
      </c>
      <c r="S68" s="28">
        <v>1</v>
      </c>
    </row>
    <row r="69" spans="1:19" s="26" customFormat="1" ht="21" customHeight="1" thickBot="1">
      <c r="A69" s="22" t="str">
        <f t="shared" si="4"/>
        <v>12371</v>
      </c>
      <c r="B69" s="2">
        <f t="shared" si="7"/>
        <v>135</v>
      </c>
      <c r="C69" s="10" t="str">
        <f t="shared" ca="1" si="5"/>
        <v>1PremiumS5</v>
      </c>
      <c r="D69" s="10" t="str">
        <f t="shared" ca="1" si="6"/>
        <v>1PremiumS5</v>
      </c>
      <c r="E69" s="6">
        <v>1</v>
      </c>
      <c r="F69" s="7">
        <v>237</v>
      </c>
      <c r="G69" s="10" t="str">
        <f ca="1">VLOOKUP($F69,OFFSET([1]characters!$A$2,0,0,COUNTA([1]characters!$A:$A),MATCH(G$1,[1]characters!$2:$2,0)-MATCH($F$1,[1]characters!$2:$2,0)+1),MATCH(G$1,[1]characters!$2:$2,0)-MATCH($F$1,[1]characters!$2:$2,0)+1,FALSE)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69" s="10" t="str">
        <f ca="1">VLOOKUP($F69,OFFSET([1]characters!$A$2,0,0,COUNTA([1]characters!$A:$A),MATCH(H$1,[1]characters!$2:$2,0)-MATCH($F$1,[1]characters!$2:$2,0)+1),MATCH(H$1,[1]characters!$2:$2,0)-MATCH($F$1,[1]characters!$2:$2,0)+1,FALSE)</f>
        <v>PremiumS</v>
      </c>
      <c r="I69" s="10">
        <f ca="1">VLOOKUP($F69,OFFSET([1]characters!$A$2,0,0,COUNTA([1]characters!$A:$A),MATCH(I$1,[1]characters!$2:$2,0)-MATCH($F$1,[1]characters!$2:$2,0)+1),MATCH(I$1,[1]characters!$2:$2,0)-MATCH($F$1,[1]characters!$2:$2,0)+1,FALSE)</f>
        <v>5</v>
      </c>
      <c r="J69" s="10" t="str">
        <f ca="1">VLOOKUP($F69,OFFSET([1]characters!$A$2,0,0,COUNTA([1]characters!$A:$A),MATCH(J$1,[1]characters!$2:$2,0)-MATCH($F$1,[1]characters!$2:$2,0)+1),MATCH(J$1,[1]characters!$2:$2,0)-MATCH($F$1,[1]characters!$2:$2,0)+1,FALSE)</f>
        <v>yellow</v>
      </c>
      <c r="K69" s="10" t="str">
        <f ca="1">VLOOKUP($F69,OFFSET([1]characters!$A$2,0,0,COUNTA([1]characters!$A:$A),MATCH("タイプ",[1]characters!$1:$1,0)-MATCH($F$1,[1]characters!$2:$2,0)+2),MATCH("タイプ",[1]characters!$1:$1,0)-MATCH($F$1,[1]characters!$2:$2,0)+2,FALSE)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9" s="10" t="str">
        <f ca="1">VLOOKUP($F69,OFFSET([1]characters!$A$2,0,0,COUNTA([1]characters!$A:$A),MATCH($L$1,[1]characters!$1:$1,0)-MATCH($F$1,[1]characters!$2:$2,0)+2),MATCH($L$1,[1]characters!$1:$1,0)-MATCH($F$1,[1]characters!$2:$2,0)+2,FALSE)</f>
        <v>ゴッド</v>
      </c>
      <c r="M69" s="6">
        <v>1</v>
      </c>
      <c r="N69" s="40">
        <f ca="1">VLOOKUP(D69,gacha_133_base!A:B,2,FALSE)</f>
        <v>8</v>
      </c>
      <c r="O69" s="28">
        <v>0</v>
      </c>
      <c r="P69" s="28">
        <v>0</v>
      </c>
      <c r="Q69" s="28">
        <v>0</v>
      </c>
      <c r="R69" s="28">
        <v>0</v>
      </c>
      <c r="S69" s="28">
        <v>1</v>
      </c>
    </row>
    <row r="70" spans="1:19" ht="21" customHeight="1">
      <c r="A70" s="8" t="str">
        <f t="shared" si="4"/>
        <v>12391</v>
      </c>
      <c r="B70" s="2">
        <f t="shared" si="7"/>
        <v>135</v>
      </c>
      <c r="C70" s="10" t="str">
        <f t="shared" ca="1" si="5"/>
        <v>1PremiumS4</v>
      </c>
      <c r="D70" s="10" t="str">
        <f t="shared" ca="1" si="6"/>
        <v>1PremiumS4</v>
      </c>
      <c r="E70" s="6">
        <v>1</v>
      </c>
      <c r="F70" s="19">
        <v>239</v>
      </c>
      <c r="G70" s="10" t="str">
        <f ca="1">VLOOKUP($F70,OFFSET([1]characters!$A$2,0,0,COUNTA([1]characters!$A:$A),MATCH(G$1,[1]characters!$2:$2,0)-MATCH($F$1,[1]characters!$2:$2,0)+1),MATCH(G$1,[1]characters!$2:$2,0)-MATCH($F$1,[1]characters!$2:$2,0)+1,FALSE)</f>
        <v>豪炎の天使 ウリエル</v>
      </c>
      <c r="H70" s="10" t="str">
        <f ca="1">VLOOKUP($F70,OFFSET([1]characters!$A$2,0,0,COUNTA([1]characters!$A:$A),MATCH(H$1,[1]characters!$2:$2,0)-MATCH($F$1,[1]characters!$2:$2,0)+1),MATCH(H$1,[1]characters!$2:$2,0)-MATCH($F$1,[1]characters!$2:$2,0)+1,FALSE)</f>
        <v>PremiumS</v>
      </c>
      <c r="I70" s="10">
        <f ca="1">VLOOKUP($F70,OFFSET([1]characters!$A$2,0,0,COUNTA([1]characters!$A:$A),MATCH(I$1,[1]characters!$2:$2,0)-MATCH($F$1,[1]characters!$2:$2,0)+1),MATCH(I$1,[1]characters!$2:$2,0)-MATCH($F$1,[1]characters!$2:$2,0)+1,FALSE)</f>
        <v>4</v>
      </c>
      <c r="J70" s="10" t="str">
        <f ca="1">VLOOKUP($F70,OFFSET([1]characters!$A$2,0,0,COUNTA([1]characters!$A:$A),MATCH(J$1,[1]characters!$2:$2,0)-MATCH($F$1,[1]characters!$2:$2,0)+1),MATCH(J$1,[1]characters!$2:$2,0)-MATCH($F$1,[1]characters!$2:$2,0)+1,FALSE)</f>
        <v>red</v>
      </c>
      <c r="K70" s="10" t="str">
        <f ca="1">VLOOKUP($F70,OFFSET([1]characters!$A$2,0,0,COUNTA([1]characters!$A:$A),MATCH("タイプ",[1]characters!$1:$1,0)-MATCH($F$1,[1]characters!$2:$2,0)+2),MATCH("タイプ",[1]characters!$1:$1,0)-MATCH($F$1,[1]characters!$2:$2,0)+2,FALSE)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0" s="10" t="str">
        <f ca="1">VLOOKUP($F70,OFFSET([1]characters!$A$2,0,0,COUNTA([1]characters!$A:$A),MATCH($L$1,[1]characters!$1:$1,0)-MATCH($F$1,[1]characters!$2:$2,0)+2),MATCH($L$1,[1]characters!$1:$1,0)-MATCH($F$1,[1]characters!$2:$2,0)+2,FALSE)</f>
        <v>マシン</v>
      </c>
      <c r="M70" s="6">
        <v>1</v>
      </c>
      <c r="N70" s="40">
        <f ca="1">VLOOKUP(D70,gacha_133_base!A:B,2,FALSE)</f>
        <v>200</v>
      </c>
      <c r="O70" s="28">
        <v>0</v>
      </c>
      <c r="P70" s="28">
        <v>0</v>
      </c>
      <c r="Q70" s="28">
        <v>0</v>
      </c>
      <c r="R70" s="28">
        <v>0</v>
      </c>
      <c r="S70" s="28">
        <v>1</v>
      </c>
    </row>
    <row r="71" spans="1:19" ht="21" customHeight="1">
      <c r="A71" s="8" t="str">
        <f t="shared" si="4"/>
        <v>12401</v>
      </c>
      <c r="B71" s="2">
        <f t="shared" si="7"/>
        <v>135</v>
      </c>
      <c r="C71" s="10" t="str">
        <f t="shared" ca="1" si="5"/>
        <v>1PremiumS5</v>
      </c>
      <c r="D71" s="10" t="str">
        <f t="shared" ca="1" si="6"/>
        <v>1PremiumS5</v>
      </c>
      <c r="E71" s="6">
        <v>1</v>
      </c>
      <c r="F71" s="19">
        <v>240</v>
      </c>
      <c r="G71" s="10" t="str">
        <f ca="1">VLOOKUP($F71,OFFSET([1]characters!$A$2,0,0,COUNTA([1]characters!$A:$A),MATCH(G$1,[1]characters!$2:$2,0)-MATCH($F$1,[1]characters!$2:$2,0)+1),MATCH(G$1,[1]characters!$2:$2,0)-MATCH($F$1,[1]characters!$2:$2,0)+1,FALSE)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71" s="10" t="str">
        <f ca="1">VLOOKUP($F71,OFFSET([1]characters!$A$2,0,0,COUNTA([1]characters!$A:$A),MATCH(H$1,[1]characters!$2:$2,0)-MATCH($F$1,[1]characters!$2:$2,0)+1),MATCH(H$1,[1]characters!$2:$2,0)-MATCH($F$1,[1]characters!$2:$2,0)+1,FALSE)</f>
        <v>PremiumS</v>
      </c>
      <c r="I71" s="10">
        <f ca="1">VLOOKUP($F71,OFFSET([1]characters!$A$2,0,0,COUNTA([1]characters!$A:$A),MATCH(I$1,[1]characters!$2:$2,0)-MATCH($F$1,[1]characters!$2:$2,0)+1),MATCH(I$1,[1]characters!$2:$2,0)-MATCH($F$1,[1]characters!$2:$2,0)+1,FALSE)</f>
        <v>5</v>
      </c>
      <c r="J71" s="10" t="str">
        <f ca="1">VLOOKUP($F71,OFFSET([1]characters!$A$2,0,0,COUNTA([1]characters!$A:$A),MATCH(J$1,[1]characters!$2:$2,0)-MATCH($F$1,[1]characters!$2:$2,0)+1),MATCH(J$1,[1]characters!$2:$2,0)-MATCH($F$1,[1]characters!$2:$2,0)+1,FALSE)</f>
        <v>red</v>
      </c>
      <c r="K71" s="10" t="str">
        <f ca="1">VLOOKUP($F71,OFFSET([1]characters!$A$2,0,0,COUNTA([1]characters!$A:$A),MATCH("タイプ",[1]characters!$1:$1,0)-MATCH($F$1,[1]characters!$2:$2,0)+2),MATCH("タイプ",[1]characters!$1:$1,0)-MATCH($F$1,[1]characters!$2:$2,0)+2,FALSE)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1" s="10" t="str">
        <f ca="1">VLOOKUP($F71,OFFSET([1]characters!$A$2,0,0,COUNTA([1]characters!$A:$A),MATCH($L$1,[1]characters!$1:$1,0)-MATCH($F$1,[1]characters!$2:$2,0)+2),MATCH($L$1,[1]characters!$1:$1,0)-MATCH($F$1,[1]characters!$2:$2,0)+2,FALSE)</f>
        <v>マシン</v>
      </c>
      <c r="M71" s="6">
        <v>1</v>
      </c>
      <c r="N71" s="40">
        <f ca="1">VLOOKUP(D71,gacha_133_base!A:B,2,FALSE)</f>
        <v>8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4"/>
        <v>12421</v>
      </c>
      <c r="B72" s="2">
        <f t="shared" si="7"/>
        <v>135</v>
      </c>
      <c r="C72" s="10" t="str">
        <f t="shared" ca="1" si="5"/>
        <v>1PremiumS4</v>
      </c>
      <c r="D72" s="10" t="str">
        <f t="shared" ca="1" si="6"/>
        <v>1PremiumS4</v>
      </c>
      <c r="E72" s="6">
        <v>1</v>
      </c>
      <c r="F72" s="19">
        <v>242</v>
      </c>
      <c r="G72" s="10" t="str">
        <f ca="1">VLOOKUP($F72,OFFSET([1]characters!$A$2,0,0,COUNTA([1]characters!$A:$A),MATCH(G$1,[1]characters!$2:$2,0)-MATCH($F$1,[1]characters!$2:$2,0)+1),MATCH(G$1,[1]characters!$2:$2,0)-MATCH($F$1,[1]characters!$2:$2,0)+1,FALSE)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72" s="10" t="str">
        <f ca="1">VLOOKUP($F72,OFFSET([1]characters!$A$2,0,0,COUNTA([1]characters!$A:$A),MATCH(H$1,[1]characters!$2:$2,0)-MATCH($F$1,[1]characters!$2:$2,0)+1),MATCH(H$1,[1]characters!$2:$2,0)-MATCH($F$1,[1]characters!$2:$2,0)+1,FALSE)</f>
        <v>PremiumS</v>
      </c>
      <c r="I72" s="10">
        <f ca="1">VLOOKUP($F72,OFFSET([1]characters!$A$2,0,0,COUNTA([1]characters!$A:$A),MATCH(I$1,[1]characters!$2:$2,0)-MATCH($F$1,[1]characters!$2:$2,0)+1),MATCH(I$1,[1]characters!$2:$2,0)-MATCH($F$1,[1]characters!$2:$2,0)+1,FALSE)</f>
        <v>4</v>
      </c>
      <c r="J72" s="10" t="str">
        <f ca="1">VLOOKUP($F72,OFFSET([1]characters!$A$2,0,0,COUNTA([1]characters!$A:$A),MATCH(J$1,[1]characters!$2:$2,0)-MATCH($F$1,[1]characters!$2:$2,0)+1),MATCH(J$1,[1]characters!$2:$2,0)-MATCH($F$1,[1]characters!$2:$2,0)+1,FALSE)</f>
        <v>green</v>
      </c>
      <c r="K72" s="10" t="str">
        <f ca="1">VLOOKUP($F72,OFFSET([1]characters!$A$2,0,0,COUNTA([1]characters!$A:$A),MATCH("タイプ",[1]characters!$1:$1,0)-MATCH($F$1,[1]characters!$2:$2,0)+2),MATCH("タイプ",[1]characters!$1:$1,0)-MATCH($F$1,[1]characters!$2:$2,0)+2,FALSE)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2" s="10" t="str">
        <f ca="1">VLOOKUP($F72,OFFSET([1]characters!$A$2,0,0,COUNTA([1]characters!$A:$A),MATCH($L$1,[1]characters!$1:$1,0)-MATCH($F$1,[1]characters!$2:$2,0)+2),MATCH($L$1,[1]characters!$1:$1,0)-MATCH($F$1,[1]characters!$2:$2,0)+2,FALSE)</f>
        <v>マシン</v>
      </c>
      <c r="M72" s="6">
        <v>1</v>
      </c>
      <c r="N72" s="40">
        <f ca="1">VLOOKUP(D72,gacha_133_base!A:B,2,FALSE)</f>
        <v>200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4"/>
        <v>12431</v>
      </c>
      <c r="B73" s="2">
        <f t="shared" si="7"/>
        <v>135</v>
      </c>
      <c r="C73" s="10" t="str">
        <f t="shared" ca="1" si="5"/>
        <v>1PremiumS5</v>
      </c>
      <c r="D73" s="10" t="str">
        <f t="shared" ca="1" si="6"/>
        <v>1PremiumS5</v>
      </c>
      <c r="E73" s="6">
        <v>1</v>
      </c>
      <c r="F73" s="19">
        <v>243</v>
      </c>
      <c r="G73" s="10" t="str">
        <f ca="1">VLOOKUP($F73,OFFSET([1]characters!$A$2,0,0,COUNTA([1]characters!$A:$A),MATCH(G$1,[1]characters!$2:$2,0)-MATCH($F$1,[1]characters!$2:$2,0)+1),MATCH(G$1,[1]characters!$2:$2,0)-MATCH($F$1,[1]characters!$2:$2,0)+1,FALSE)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73" s="10" t="str">
        <f ca="1">VLOOKUP($F73,OFFSET([1]characters!$A$2,0,0,COUNTA([1]characters!$A:$A),MATCH(H$1,[1]characters!$2:$2,0)-MATCH($F$1,[1]characters!$2:$2,0)+1),MATCH(H$1,[1]characters!$2:$2,0)-MATCH($F$1,[1]characters!$2:$2,0)+1,FALSE)</f>
        <v>PremiumS</v>
      </c>
      <c r="I73" s="10">
        <f ca="1">VLOOKUP($F73,OFFSET([1]characters!$A$2,0,0,COUNTA([1]characters!$A:$A),MATCH(I$1,[1]characters!$2:$2,0)-MATCH($F$1,[1]characters!$2:$2,0)+1),MATCH(I$1,[1]characters!$2:$2,0)-MATCH($F$1,[1]characters!$2:$2,0)+1,FALSE)</f>
        <v>5</v>
      </c>
      <c r="J73" s="10" t="str">
        <f ca="1">VLOOKUP($F73,OFFSET([1]characters!$A$2,0,0,COUNTA([1]characters!$A:$A),MATCH(J$1,[1]characters!$2:$2,0)-MATCH($F$1,[1]characters!$2:$2,0)+1),MATCH(J$1,[1]characters!$2:$2,0)-MATCH($F$1,[1]characters!$2:$2,0)+1,FALSE)</f>
        <v>green</v>
      </c>
      <c r="K73" s="10" t="str">
        <f ca="1">VLOOKUP($F73,OFFSET([1]characters!$A$2,0,0,COUNTA([1]characters!$A:$A),MATCH("タイプ",[1]characters!$1:$1,0)-MATCH($F$1,[1]characters!$2:$2,0)+2),MATCH("タイプ",[1]characters!$1:$1,0)-MATCH($F$1,[1]characters!$2:$2,0)+2,FALSE)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3" s="10" t="str">
        <f ca="1">VLOOKUP($F73,OFFSET([1]characters!$A$2,0,0,COUNTA([1]characters!$A:$A),MATCH($L$1,[1]characters!$1:$1,0)-MATCH($F$1,[1]characters!$2:$2,0)+2),MATCH($L$1,[1]characters!$1:$1,0)-MATCH($F$1,[1]characters!$2:$2,0)+2,FALSE)</f>
        <v>マシン</v>
      </c>
      <c r="M73" s="6">
        <v>1</v>
      </c>
      <c r="N73" s="40">
        <f ca="1">VLOOKUP(D73,gacha_133_base!A:B,2,FALSE)</f>
        <v>8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4"/>
        <v>12451</v>
      </c>
      <c r="B74" s="2">
        <f t="shared" si="7"/>
        <v>135</v>
      </c>
      <c r="C74" s="10" t="str">
        <f t="shared" ca="1" si="5"/>
        <v>1PremiumS4</v>
      </c>
      <c r="D74" s="10" t="str">
        <f t="shared" ca="1" si="6"/>
        <v>1PremiumS4</v>
      </c>
      <c r="E74" s="6">
        <v>1</v>
      </c>
      <c r="F74" s="19">
        <v>245</v>
      </c>
      <c r="G74" s="10" t="str">
        <f ca="1">VLOOKUP($F74,OFFSET([1]characters!$A$2,0,0,COUNTA([1]characters!$A:$A),MATCH(G$1,[1]characters!$2:$2,0)-MATCH($F$1,[1]characters!$2:$2,0)+1),MATCH(G$1,[1]characters!$2:$2,0)-MATCH($F$1,[1]characters!$2:$2,0)+1,FALSE)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74" s="10" t="str">
        <f ca="1">VLOOKUP($F74,OFFSET([1]characters!$A$2,0,0,COUNTA([1]characters!$A:$A),MATCH(H$1,[1]characters!$2:$2,0)-MATCH($F$1,[1]characters!$2:$2,0)+1),MATCH(H$1,[1]characters!$2:$2,0)-MATCH($F$1,[1]characters!$2:$2,0)+1,FALSE)</f>
        <v>PremiumS</v>
      </c>
      <c r="I74" s="10">
        <f ca="1">VLOOKUP($F74,OFFSET([1]characters!$A$2,0,0,COUNTA([1]characters!$A:$A),MATCH(I$1,[1]characters!$2:$2,0)-MATCH($F$1,[1]characters!$2:$2,0)+1),MATCH(I$1,[1]characters!$2:$2,0)-MATCH($F$1,[1]characters!$2:$2,0)+1,FALSE)</f>
        <v>4</v>
      </c>
      <c r="J74" s="10" t="str">
        <f ca="1">VLOOKUP($F74,OFFSET([1]characters!$A$2,0,0,COUNTA([1]characters!$A:$A),MATCH(J$1,[1]characters!$2:$2,0)-MATCH($F$1,[1]characters!$2:$2,0)+1),MATCH(J$1,[1]characters!$2:$2,0)-MATCH($F$1,[1]characters!$2:$2,0)+1,FALSE)</f>
        <v>blue</v>
      </c>
      <c r="K74" s="10" t="str">
        <f ca="1">VLOOKUP($F74,OFFSET([1]characters!$A$2,0,0,COUNTA([1]characters!$A:$A),MATCH("タイプ",[1]characters!$1:$1,0)-MATCH($F$1,[1]characters!$2:$2,0)+2),MATCH("タイプ",[1]characters!$1:$1,0)-MATCH($F$1,[1]characters!$2:$2,0)+2,FALSE)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4" s="10" t="str">
        <f ca="1">VLOOKUP($F74,OFFSET([1]characters!$A$2,0,0,COUNTA([1]characters!$A:$A),MATCH($L$1,[1]characters!$1:$1,0)-MATCH($F$1,[1]characters!$2:$2,0)+2),MATCH($L$1,[1]characters!$1:$1,0)-MATCH($F$1,[1]characters!$2:$2,0)+2,FALSE)</f>
        <v>マシン</v>
      </c>
      <c r="M74" s="6">
        <v>1</v>
      </c>
      <c r="N74" s="40">
        <f ca="1">VLOOKUP(D74,gacha_133_base!A:B,2,FALSE)</f>
        <v>200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4"/>
        <v>12461</v>
      </c>
      <c r="B75" s="2">
        <f t="shared" si="7"/>
        <v>135</v>
      </c>
      <c r="C75" s="10" t="str">
        <f t="shared" ca="1" si="5"/>
        <v>1PremiumS5</v>
      </c>
      <c r="D75" s="10" t="str">
        <f t="shared" ca="1" si="6"/>
        <v>1PremiumS5</v>
      </c>
      <c r="E75" s="6">
        <v>1</v>
      </c>
      <c r="F75" s="19">
        <v>246</v>
      </c>
      <c r="G75" s="10" t="str">
        <f ca="1">VLOOKUP($F75,OFFSET([1]characters!$A$2,0,0,COUNTA([1]characters!$A:$A),MATCH(G$1,[1]characters!$2:$2,0)-MATCH($F$1,[1]characters!$2:$2,0)+1),MATCH(G$1,[1]characters!$2:$2,0)-MATCH($F$1,[1]characters!$2:$2,0)+1,FALSE)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75" s="10" t="str">
        <f ca="1">VLOOKUP($F75,OFFSET([1]characters!$A$2,0,0,COUNTA([1]characters!$A:$A),MATCH(H$1,[1]characters!$2:$2,0)-MATCH($F$1,[1]characters!$2:$2,0)+1),MATCH(H$1,[1]characters!$2:$2,0)-MATCH($F$1,[1]characters!$2:$2,0)+1,FALSE)</f>
        <v>PremiumS</v>
      </c>
      <c r="I75" s="10">
        <f ca="1">VLOOKUP($F75,OFFSET([1]characters!$A$2,0,0,COUNTA([1]characters!$A:$A),MATCH(I$1,[1]characters!$2:$2,0)-MATCH($F$1,[1]characters!$2:$2,0)+1),MATCH(I$1,[1]characters!$2:$2,0)-MATCH($F$1,[1]characters!$2:$2,0)+1,FALSE)</f>
        <v>5</v>
      </c>
      <c r="J75" s="10" t="str">
        <f ca="1">VLOOKUP($F75,OFFSET([1]characters!$A$2,0,0,COUNTA([1]characters!$A:$A),MATCH(J$1,[1]characters!$2:$2,0)-MATCH($F$1,[1]characters!$2:$2,0)+1),MATCH(J$1,[1]characters!$2:$2,0)-MATCH($F$1,[1]characters!$2:$2,0)+1,FALSE)</f>
        <v>blue</v>
      </c>
      <c r="K75" s="10" t="str">
        <f ca="1">VLOOKUP($F75,OFFSET([1]characters!$A$2,0,0,COUNTA([1]characters!$A:$A),MATCH("タイプ",[1]characters!$1:$1,0)-MATCH($F$1,[1]characters!$2:$2,0)+2),MATCH("タイプ",[1]characters!$1:$1,0)-MATCH($F$1,[1]characters!$2:$2,0)+2,FALSE)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5" s="10" t="str">
        <f ca="1">VLOOKUP($F75,OFFSET([1]characters!$A$2,0,0,COUNTA([1]characters!$A:$A),MATCH($L$1,[1]characters!$1:$1,0)-MATCH($F$1,[1]characters!$2:$2,0)+2),MATCH($L$1,[1]characters!$1:$1,0)-MATCH($F$1,[1]characters!$2:$2,0)+2,FALSE)</f>
        <v>マシン</v>
      </c>
      <c r="M75" s="6">
        <v>1</v>
      </c>
      <c r="N75" s="40">
        <f ca="1">VLOOKUP(D75,gacha_133_base!A:B,2,FALSE)</f>
        <v>8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4"/>
        <v>12481</v>
      </c>
      <c r="B76" s="2">
        <f t="shared" si="7"/>
        <v>135</v>
      </c>
      <c r="C76" s="10" t="str">
        <f t="shared" ca="1" si="5"/>
        <v>1PremiumS4</v>
      </c>
      <c r="D76" s="10" t="str">
        <f t="shared" ca="1" si="6"/>
        <v>1PremiumS4</v>
      </c>
      <c r="E76" s="6">
        <v>1</v>
      </c>
      <c r="F76" s="19">
        <v>248</v>
      </c>
      <c r="G76" s="10" t="str">
        <f ca="1">VLOOKUP($F76,OFFSET([1]characters!$A$2,0,0,COUNTA([1]characters!$A:$A),MATCH(G$1,[1]characters!$2:$2,0)-MATCH($F$1,[1]characters!$2:$2,0)+1),MATCH(G$1,[1]characters!$2:$2,0)-MATCH($F$1,[1]characters!$2:$2,0)+1,FALSE)</f>
        <v>彩電の天使 ミカエル</v>
      </c>
      <c r="H76" s="10" t="str">
        <f ca="1">VLOOKUP($F76,OFFSET([1]characters!$A$2,0,0,COUNTA([1]characters!$A:$A),MATCH(H$1,[1]characters!$2:$2,0)-MATCH($F$1,[1]characters!$2:$2,0)+1),MATCH(H$1,[1]characters!$2:$2,0)-MATCH($F$1,[1]characters!$2:$2,0)+1,FALSE)</f>
        <v>PremiumS</v>
      </c>
      <c r="I76" s="10">
        <f ca="1">VLOOKUP($F76,OFFSET([1]characters!$A$2,0,0,COUNTA([1]characters!$A:$A),MATCH(I$1,[1]characters!$2:$2,0)-MATCH($F$1,[1]characters!$2:$2,0)+1),MATCH(I$1,[1]characters!$2:$2,0)-MATCH($F$1,[1]characters!$2:$2,0)+1,FALSE)</f>
        <v>4</v>
      </c>
      <c r="J76" s="10" t="str">
        <f ca="1">VLOOKUP($F76,OFFSET([1]characters!$A$2,0,0,COUNTA([1]characters!$A:$A),MATCH(J$1,[1]characters!$2:$2,0)-MATCH($F$1,[1]characters!$2:$2,0)+1),MATCH(J$1,[1]characters!$2:$2,0)-MATCH($F$1,[1]characters!$2:$2,0)+1,FALSE)</f>
        <v>yellow</v>
      </c>
      <c r="K76" s="10" t="str">
        <f ca="1">VLOOKUP($F76,OFFSET([1]characters!$A$2,0,0,COUNTA([1]characters!$A:$A),MATCH("タイプ",[1]characters!$1:$1,0)-MATCH($F$1,[1]characters!$2:$2,0)+2),MATCH("タイプ",[1]characters!$1:$1,0)-MATCH($F$1,[1]characters!$2:$2,0)+2,FALSE)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6" s="10" t="str">
        <f ca="1">VLOOKUP($F76,OFFSET([1]characters!$A$2,0,0,COUNTA([1]characters!$A:$A),MATCH($L$1,[1]characters!$1:$1,0)-MATCH($F$1,[1]characters!$2:$2,0)+2),MATCH($L$1,[1]characters!$1:$1,0)-MATCH($F$1,[1]characters!$2:$2,0)+2,FALSE)</f>
        <v>マシン</v>
      </c>
      <c r="M76" s="6">
        <v>1</v>
      </c>
      <c r="N76" s="40">
        <f ca="1">VLOOKUP(D76,gacha_133_base!A:B,2,FALSE)</f>
        <v>200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s="26" customFormat="1" ht="21" customHeight="1" thickBot="1">
      <c r="A77" s="22" t="str">
        <f t="shared" si="4"/>
        <v>12491</v>
      </c>
      <c r="B77" s="2">
        <f t="shared" si="7"/>
        <v>135</v>
      </c>
      <c r="C77" s="10" t="str">
        <f t="shared" ca="1" si="5"/>
        <v>1PremiumS5</v>
      </c>
      <c r="D77" s="10" t="str">
        <f t="shared" ca="1" si="6"/>
        <v>1PremiumS5</v>
      </c>
      <c r="E77" s="6">
        <v>1</v>
      </c>
      <c r="F77" s="19">
        <v>249</v>
      </c>
      <c r="G77" s="10" t="str">
        <f ca="1">VLOOKUP($F77,OFFSET([1]characters!$A$2,0,0,COUNTA([1]characters!$A:$A),MATCH(G$1,[1]characters!$2:$2,0)-MATCH($F$1,[1]characters!$2:$2,0)+1),MATCH(G$1,[1]characters!$2:$2,0)-MATCH($F$1,[1]characters!$2:$2,0)+1,FALSE)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77" s="10" t="str">
        <f ca="1">VLOOKUP($F77,OFFSET([1]characters!$A$2,0,0,COUNTA([1]characters!$A:$A),MATCH(H$1,[1]characters!$2:$2,0)-MATCH($F$1,[1]characters!$2:$2,0)+1),MATCH(H$1,[1]characters!$2:$2,0)-MATCH($F$1,[1]characters!$2:$2,0)+1,FALSE)</f>
        <v>PremiumS</v>
      </c>
      <c r="I77" s="10">
        <f ca="1">VLOOKUP($F77,OFFSET([1]characters!$A$2,0,0,COUNTA([1]characters!$A:$A),MATCH(I$1,[1]characters!$2:$2,0)-MATCH($F$1,[1]characters!$2:$2,0)+1),MATCH(I$1,[1]characters!$2:$2,0)-MATCH($F$1,[1]characters!$2:$2,0)+1,FALSE)</f>
        <v>5</v>
      </c>
      <c r="J77" s="10" t="str">
        <f ca="1">VLOOKUP($F77,OFFSET([1]characters!$A$2,0,0,COUNTA([1]characters!$A:$A),MATCH(J$1,[1]characters!$2:$2,0)-MATCH($F$1,[1]characters!$2:$2,0)+1),MATCH(J$1,[1]characters!$2:$2,0)-MATCH($F$1,[1]characters!$2:$2,0)+1,FALSE)</f>
        <v>yellow</v>
      </c>
      <c r="K77" s="10" t="str">
        <f ca="1">VLOOKUP($F77,OFFSET([1]characters!$A$2,0,0,COUNTA([1]characters!$A:$A),MATCH("タイプ",[1]characters!$1:$1,0)-MATCH($F$1,[1]characters!$2:$2,0)+2),MATCH("タイプ",[1]characters!$1:$1,0)-MATCH($F$1,[1]characters!$2:$2,0)+2,FALSE)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7" s="10" t="str">
        <f ca="1">VLOOKUP($F77,OFFSET([1]characters!$A$2,0,0,COUNTA([1]characters!$A:$A),MATCH($L$1,[1]characters!$1:$1,0)-MATCH($F$1,[1]characters!$2:$2,0)+2),MATCH($L$1,[1]characters!$1:$1,0)-MATCH($F$1,[1]characters!$2:$2,0)+2,FALSE)</f>
        <v>マシン</v>
      </c>
      <c r="M77" s="6">
        <v>1</v>
      </c>
      <c r="N77" s="40">
        <f ca="1">VLOOKUP(D77,gacha_133_base!A:B,2,FALSE)</f>
        <v>8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 thickBot="1">
      <c r="A78" s="22" t="str">
        <f t="shared" si="4"/>
        <v>12511</v>
      </c>
      <c r="B78" s="2">
        <f t="shared" si="7"/>
        <v>135</v>
      </c>
      <c r="C78" s="10" t="str">
        <f t="shared" ca="1" si="5"/>
        <v>1PremiumS4</v>
      </c>
      <c r="D78" s="10" t="str">
        <f t="shared" ca="1" si="6"/>
        <v>1PremiumS4</v>
      </c>
      <c r="E78" s="6">
        <v>1</v>
      </c>
      <c r="F78" s="7">
        <v>251</v>
      </c>
      <c r="G78" s="10" t="str">
        <f ca="1">VLOOKUP($F78,OFFSET([1]characters!$A$2,0,0,COUNTA([1]characters!$A:$A),MATCH(G$1,[1]characters!$2:$2,0)-MATCH($F$1,[1]characters!$2:$2,0)+1),MATCH(G$1,[1]characters!$2:$2,0)-MATCH($F$1,[1]characters!$2:$2,0)+1,FALSE)</f>
        <v>強欲 マンモン</v>
      </c>
      <c r="H78" s="10" t="str">
        <f ca="1">VLOOKUP($F78,OFFSET([1]characters!$A$2,0,0,COUNTA([1]characters!$A:$A),MATCH(H$1,[1]characters!$2:$2,0)-MATCH($F$1,[1]characters!$2:$2,0)+1),MATCH(H$1,[1]characters!$2:$2,0)-MATCH($F$1,[1]characters!$2:$2,0)+1,FALSE)</f>
        <v>PremiumS</v>
      </c>
      <c r="I78" s="10">
        <f ca="1">VLOOKUP($F78,OFFSET([1]characters!$A$2,0,0,COUNTA([1]characters!$A:$A),MATCH(I$1,[1]characters!$2:$2,0)-MATCH($F$1,[1]characters!$2:$2,0)+1),MATCH(I$1,[1]characters!$2:$2,0)-MATCH($F$1,[1]characters!$2:$2,0)+1,FALSE)</f>
        <v>4</v>
      </c>
      <c r="J78" s="10" t="str">
        <f ca="1">VLOOKUP($F78,OFFSET([1]characters!$A$2,0,0,COUNTA([1]characters!$A:$A),MATCH(J$1,[1]characters!$2:$2,0)-MATCH($F$1,[1]characters!$2:$2,0)+1),MATCH(J$1,[1]characters!$2:$2,0)-MATCH($F$1,[1]characters!$2:$2,0)+1,FALSE)</f>
        <v>red</v>
      </c>
      <c r="K78" s="10" t="str">
        <f ca="1">VLOOKUP($F78,OFFSET([1]characters!$A$2,0,0,COUNTA([1]characters!$A:$A),MATCH("タイプ",[1]characters!$1:$1,0)-MATCH($F$1,[1]characters!$2:$2,0)+2),MATCH("タイプ",[1]characters!$1:$1,0)-MATCH($F$1,[1]characters!$2:$2,0)+2,FALSE)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8" s="10" t="str">
        <f ca="1">VLOOKUP($F78,OFFSET([1]characters!$A$2,0,0,COUNTA([1]characters!$A:$A),MATCH($L$1,[1]characters!$1:$1,0)-MATCH($F$1,[1]characters!$2:$2,0)+2),MATCH($L$1,[1]characters!$1:$1,0)-MATCH($F$1,[1]characters!$2:$2,0)+2,FALSE)</f>
        <v>ゴッド</v>
      </c>
      <c r="M78" s="6">
        <v>1</v>
      </c>
      <c r="N78" s="40">
        <f ca="1">VLOOKUP(D78,gacha_133_base!A:B,2,FALSE)</f>
        <v>200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 thickBot="1">
      <c r="A79" s="22" t="str">
        <f t="shared" si="4"/>
        <v>12521</v>
      </c>
      <c r="B79" s="2">
        <f t="shared" si="7"/>
        <v>135</v>
      </c>
      <c r="C79" s="10" t="str">
        <f t="shared" ca="1" si="5"/>
        <v>1PremiumS5</v>
      </c>
      <c r="D79" s="10" t="str">
        <f t="shared" ca="1" si="6"/>
        <v>1PremiumS5</v>
      </c>
      <c r="E79" s="6">
        <v>1</v>
      </c>
      <c r="F79" s="7">
        <v>252</v>
      </c>
      <c r="G79" s="10" t="str">
        <f ca="1">VLOOKUP($F79,OFFSET([1]characters!$A$2,0,0,COUNTA([1]characters!$A:$A),MATCH(G$1,[1]characters!$2:$2,0)-MATCH($F$1,[1]characters!$2:$2,0)+1),MATCH(G$1,[1]characters!$2:$2,0)-MATCH($F$1,[1]characters!$2:$2,0)+1,FALSE)</f>
        <v>強欲の沸騰 マンモン</v>
      </c>
      <c r="H79" s="10" t="str">
        <f ca="1">VLOOKUP($F79,OFFSET([1]characters!$A$2,0,0,COUNTA([1]characters!$A:$A),MATCH(H$1,[1]characters!$2:$2,0)-MATCH($F$1,[1]characters!$2:$2,0)+1),MATCH(H$1,[1]characters!$2:$2,0)-MATCH($F$1,[1]characters!$2:$2,0)+1,FALSE)</f>
        <v>PremiumS</v>
      </c>
      <c r="I79" s="10">
        <f ca="1">VLOOKUP($F79,OFFSET([1]characters!$A$2,0,0,COUNTA([1]characters!$A:$A),MATCH(I$1,[1]characters!$2:$2,0)-MATCH($F$1,[1]characters!$2:$2,0)+1),MATCH(I$1,[1]characters!$2:$2,0)-MATCH($F$1,[1]characters!$2:$2,0)+1,FALSE)</f>
        <v>5</v>
      </c>
      <c r="J79" s="10" t="str">
        <f ca="1">VLOOKUP($F79,OFFSET([1]characters!$A$2,0,0,COUNTA([1]characters!$A:$A),MATCH(J$1,[1]characters!$2:$2,0)-MATCH($F$1,[1]characters!$2:$2,0)+1),MATCH(J$1,[1]characters!$2:$2,0)-MATCH($F$1,[1]characters!$2:$2,0)+1,FALSE)</f>
        <v>red</v>
      </c>
      <c r="K79" s="10" t="str">
        <f ca="1">VLOOKUP($F79,OFFSET([1]characters!$A$2,0,0,COUNTA([1]characters!$A:$A),MATCH("タイプ",[1]characters!$1:$1,0)-MATCH($F$1,[1]characters!$2:$2,0)+2),MATCH("タイプ",[1]characters!$1:$1,0)-MATCH($F$1,[1]characters!$2:$2,0)+2,FALSE)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9" s="10" t="str">
        <f ca="1">VLOOKUP($F79,OFFSET([1]characters!$A$2,0,0,COUNTA([1]characters!$A:$A),MATCH($L$1,[1]characters!$1:$1,0)-MATCH($F$1,[1]characters!$2:$2,0)+2),MATCH($L$1,[1]characters!$1:$1,0)-MATCH($F$1,[1]characters!$2:$2,0)+2,FALSE)</f>
        <v>ゴッド</v>
      </c>
      <c r="M79" s="6">
        <v>1</v>
      </c>
      <c r="N79" s="40">
        <f ca="1">VLOOKUP(D79,gacha_133_base!A:B,2,FALSE)</f>
        <v>8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 thickBot="1">
      <c r="A80" s="22" t="str">
        <f t="shared" si="4"/>
        <v>12541</v>
      </c>
      <c r="B80" s="2">
        <f t="shared" si="7"/>
        <v>135</v>
      </c>
      <c r="C80" s="10" t="str">
        <f t="shared" ca="1" si="5"/>
        <v>1PremiumS4</v>
      </c>
      <c r="D80" s="10" t="str">
        <f t="shared" ca="1" si="6"/>
        <v>1PremiumS4</v>
      </c>
      <c r="E80" s="6">
        <v>1</v>
      </c>
      <c r="F80" s="7">
        <v>254</v>
      </c>
      <c r="G80" s="10" t="str">
        <f ca="1">VLOOKUP($F80,OFFSET([1]characters!$A$2,0,0,COUNTA([1]characters!$A:$A),MATCH(G$1,[1]characters!$2:$2,0)-MATCH($F$1,[1]characters!$2:$2,0)+1),MATCH(G$1,[1]characters!$2:$2,0)-MATCH($F$1,[1]characters!$2:$2,0)+1,FALSE)</f>
        <v>怠惰 ベルフェゴール</v>
      </c>
      <c r="H80" s="10" t="str">
        <f ca="1">VLOOKUP($F80,OFFSET([1]characters!$A$2,0,0,COUNTA([1]characters!$A:$A),MATCH(H$1,[1]characters!$2:$2,0)-MATCH($F$1,[1]characters!$2:$2,0)+1),MATCH(H$1,[1]characters!$2:$2,0)-MATCH($F$1,[1]characters!$2:$2,0)+1,FALSE)</f>
        <v>PremiumS</v>
      </c>
      <c r="I80" s="10">
        <f ca="1">VLOOKUP($F80,OFFSET([1]characters!$A$2,0,0,COUNTA([1]characters!$A:$A),MATCH(I$1,[1]characters!$2:$2,0)-MATCH($F$1,[1]characters!$2:$2,0)+1),MATCH(I$1,[1]characters!$2:$2,0)-MATCH($F$1,[1]characters!$2:$2,0)+1,FALSE)</f>
        <v>4</v>
      </c>
      <c r="J80" s="10" t="str">
        <f ca="1">VLOOKUP($F80,OFFSET([1]characters!$A$2,0,0,COUNTA([1]characters!$A:$A),MATCH(J$1,[1]characters!$2:$2,0)-MATCH($F$1,[1]characters!$2:$2,0)+1),MATCH(J$1,[1]characters!$2:$2,0)-MATCH($F$1,[1]characters!$2:$2,0)+1,FALSE)</f>
        <v>green</v>
      </c>
      <c r="K80" s="10" t="str">
        <f ca="1">VLOOKUP($F80,OFFSET([1]characters!$A$2,0,0,COUNTA([1]characters!$A:$A),MATCH("タイプ",[1]characters!$1:$1,0)-MATCH($F$1,[1]characters!$2:$2,0)+2),MATCH("タイプ",[1]characters!$1:$1,0)-MATCH($F$1,[1]characters!$2:$2,0)+2,FALSE)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0" s="10" t="str">
        <f ca="1">VLOOKUP($F80,OFFSET([1]characters!$A$2,0,0,COUNTA([1]characters!$A:$A),MATCH($L$1,[1]characters!$1:$1,0)-MATCH($F$1,[1]characters!$2:$2,0)+2),MATCH($L$1,[1]characters!$1:$1,0)-MATCH($F$1,[1]characters!$2:$2,0)+2,FALSE)</f>
        <v>ゴッド</v>
      </c>
      <c r="M80" s="6">
        <v>1</v>
      </c>
      <c r="N80" s="40">
        <f ca="1">VLOOKUP(D80,gacha_133_base!A:B,2,FALSE)</f>
        <v>200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 thickBot="1">
      <c r="A81" s="22" t="str">
        <f t="shared" si="4"/>
        <v>12551</v>
      </c>
      <c r="B81" s="2">
        <f t="shared" si="7"/>
        <v>135</v>
      </c>
      <c r="C81" s="10" t="str">
        <f t="shared" ca="1" si="5"/>
        <v>1PremiumS5</v>
      </c>
      <c r="D81" s="10" t="str">
        <f t="shared" ca="1" si="6"/>
        <v>1PremiumS5</v>
      </c>
      <c r="E81" s="6">
        <v>1</v>
      </c>
      <c r="F81" s="7">
        <v>255</v>
      </c>
      <c r="G81" s="10" t="str">
        <f ca="1">VLOOKUP($F81,OFFSET([1]characters!$A$2,0,0,COUNTA([1]characters!$A:$A),MATCH(G$1,[1]characters!$2:$2,0)-MATCH($F$1,[1]characters!$2:$2,0)+1),MATCH(G$1,[1]characters!$2:$2,0)-MATCH($F$1,[1]characters!$2:$2,0)+1,FALSE)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81" s="10" t="str">
        <f ca="1">VLOOKUP($F81,OFFSET([1]characters!$A$2,0,0,COUNTA([1]characters!$A:$A),MATCH(H$1,[1]characters!$2:$2,0)-MATCH($F$1,[1]characters!$2:$2,0)+1),MATCH(H$1,[1]characters!$2:$2,0)-MATCH($F$1,[1]characters!$2:$2,0)+1,FALSE)</f>
        <v>PremiumS</v>
      </c>
      <c r="I81" s="10">
        <f ca="1">VLOOKUP($F81,OFFSET([1]characters!$A$2,0,0,COUNTA([1]characters!$A:$A),MATCH(I$1,[1]characters!$2:$2,0)-MATCH($F$1,[1]characters!$2:$2,0)+1),MATCH(I$1,[1]characters!$2:$2,0)-MATCH($F$1,[1]characters!$2:$2,0)+1,FALSE)</f>
        <v>5</v>
      </c>
      <c r="J81" s="10" t="str">
        <f ca="1">VLOOKUP($F81,OFFSET([1]characters!$A$2,0,0,COUNTA([1]characters!$A:$A),MATCH(J$1,[1]characters!$2:$2,0)-MATCH($F$1,[1]characters!$2:$2,0)+1),MATCH(J$1,[1]characters!$2:$2,0)-MATCH($F$1,[1]characters!$2:$2,0)+1,FALSE)</f>
        <v>green</v>
      </c>
      <c r="K81" s="10" t="str">
        <f ca="1">VLOOKUP($F81,OFFSET([1]characters!$A$2,0,0,COUNTA([1]characters!$A:$A),MATCH("タイプ",[1]characters!$1:$1,0)-MATCH($F$1,[1]characters!$2:$2,0)+2),MATCH("タイプ",[1]characters!$1:$1,0)-MATCH($F$1,[1]characters!$2:$2,0)+2,FALSE)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1" s="10" t="str">
        <f ca="1">VLOOKUP($F81,OFFSET([1]characters!$A$2,0,0,COUNTA([1]characters!$A:$A),MATCH($L$1,[1]characters!$1:$1,0)-MATCH($F$1,[1]characters!$2:$2,0)+2),MATCH($L$1,[1]characters!$1:$1,0)-MATCH($F$1,[1]characters!$2:$2,0)+2,FALSE)</f>
        <v>ゴッド</v>
      </c>
      <c r="M81" s="6">
        <v>1</v>
      </c>
      <c r="N81" s="40">
        <f ca="1">VLOOKUP(D81,gacha_133_base!A:B,2,FALSE)</f>
        <v>8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 thickBot="1">
      <c r="A82" s="22" t="str">
        <f t="shared" si="4"/>
        <v>12571</v>
      </c>
      <c r="B82" s="2">
        <f t="shared" si="7"/>
        <v>135</v>
      </c>
      <c r="C82" s="10" t="str">
        <f t="shared" ca="1" si="5"/>
        <v>1PremiumS4</v>
      </c>
      <c r="D82" s="10" t="str">
        <f t="shared" ca="1" si="6"/>
        <v>1PremiumS4</v>
      </c>
      <c r="E82" s="6">
        <v>1</v>
      </c>
      <c r="F82" s="7">
        <v>257</v>
      </c>
      <c r="G82" s="10" t="str">
        <f ca="1">VLOOKUP($F82,OFFSET([1]characters!$A$2,0,0,COUNTA([1]characters!$A:$A),MATCH(G$1,[1]characters!$2:$2,0)-MATCH($F$1,[1]characters!$2:$2,0)+1),MATCH(G$1,[1]characters!$2:$2,0)-MATCH($F$1,[1]characters!$2:$2,0)+1,FALSE)</f>
        <v>色欲 アスモデウス</v>
      </c>
      <c r="H82" s="10" t="str">
        <f ca="1">VLOOKUP($F82,OFFSET([1]characters!$A$2,0,0,COUNTA([1]characters!$A:$A),MATCH(H$1,[1]characters!$2:$2,0)-MATCH($F$1,[1]characters!$2:$2,0)+1),MATCH(H$1,[1]characters!$2:$2,0)-MATCH($F$1,[1]characters!$2:$2,0)+1,FALSE)</f>
        <v>PremiumS</v>
      </c>
      <c r="I82" s="10">
        <f ca="1">VLOOKUP($F82,OFFSET([1]characters!$A$2,0,0,COUNTA([1]characters!$A:$A),MATCH(I$1,[1]characters!$2:$2,0)-MATCH($F$1,[1]characters!$2:$2,0)+1),MATCH(I$1,[1]characters!$2:$2,0)-MATCH($F$1,[1]characters!$2:$2,0)+1,FALSE)</f>
        <v>4</v>
      </c>
      <c r="J82" s="10" t="str">
        <f ca="1">VLOOKUP($F82,OFFSET([1]characters!$A$2,0,0,COUNTA([1]characters!$A:$A),MATCH(J$1,[1]characters!$2:$2,0)-MATCH($F$1,[1]characters!$2:$2,0)+1),MATCH(J$1,[1]characters!$2:$2,0)-MATCH($F$1,[1]characters!$2:$2,0)+1,FALSE)</f>
        <v>blue</v>
      </c>
      <c r="K82" s="10" t="str">
        <f ca="1">VLOOKUP($F82,OFFSET([1]characters!$A$2,0,0,COUNTA([1]characters!$A:$A),MATCH("タイプ",[1]characters!$1:$1,0)-MATCH($F$1,[1]characters!$2:$2,0)+2),MATCH("タイプ",[1]characters!$1:$1,0)-MATCH($F$1,[1]characters!$2:$2,0)+2,FALSE)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2" s="10" t="str">
        <f ca="1">VLOOKUP($F82,OFFSET([1]characters!$A$2,0,0,COUNTA([1]characters!$A:$A),MATCH($L$1,[1]characters!$1:$1,0)-MATCH($F$1,[1]characters!$2:$2,0)+2),MATCH($L$1,[1]characters!$1:$1,0)-MATCH($F$1,[1]characters!$2:$2,0)+2,FALSE)</f>
        <v>ゴッド</v>
      </c>
      <c r="M82" s="6">
        <v>1</v>
      </c>
      <c r="N82" s="40">
        <f ca="1">VLOOKUP(D82,gacha_133_base!A:B,2,FALSE)</f>
        <v>200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 thickBot="1">
      <c r="A83" s="22" t="str">
        <f t="shared" si="4"/>
        <v>12581</v>
      </c>
      <c r="B83" s="2">
        <f t="shared" si="7"/>
        <v>135</v>
      </c>
      <c r="C83" s="10" t="str">
        <f t="shared" ca="1" si="5"/>
        <v>1PremiumS5</v>
      </c>
      <c r="D83" s="10" t="str">
        <f t="shared" ca="1" si="6"/>
        <v>1PremiumS5</v>
      </c>
      <c r="E83" s="6">
        <v>1</v>
      </c>
      <c r="F83" s="7">
        <v>258</v>
      </c>
      <c r="G83" s="10" t="str">
        <f ca="1">VLOOKUP($F83,OFFSET([1]characters!$A$2,0,0,COUNTA([1]characters!$A:$A),MATCH(G$1,[1]characters!$2:$2,0)-MATCH($F$1,[1]characters!$2:$2,0)+1),MATCH(G$1,[1]characters!$2:$2,0)-MATCH($F$1,[1]characters!$2:$2,0)+1,FALSE)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83" s="10" t="str">
        <f ca="1">VLOOKUP($F83,OFFSET([1]characters!$A$2,0,0,COUNTA([1]characters!$A:$A),MATCH(H$1,[1]characters!$2:$2,0)-MATCH($F$1,[1]characters!$2:$2,0)+1),MATCH(H$1,[1]characters!$2:$2,0)-MATCH($F$1,[1]characters!$2:$2,0)+1,FALSE)</f>
        <v>PremiumS</v>
      </c>
      <c r="I83" s="10">
        <f ca="1">VLOOKUP($F83,OFFSET([1]characters!$A$2,0,0,COUNTA([1]characters!$A:$A),MATCH(I$1,[1]characters!$2:$2,0)-MATCH($F$1,[1]characters!$2:$2,0)+1),MATCH(I$1,[1]characters!$2:$2,0)-MATCH($F$1,[1]characters!$2:$2,0)+1,FALSE)</f>
        <v>5</v>
      </c>
      <c r="J83" s="10" t="str">
        <f ca="1">VLOOKUP($F83,OFFSET([1]characters!$A$2,0,0,COUNTA([1]characters!$A:$A),MATCH(J$1,[1]characters!$2:$2,0)-MATCH($F$1,[1]characters!$2:$2,0)+1),MATCH(J$1,[1]characters!$2:$2,0)-MATCH($F$1,[1]characters!$2:$2,0)+1,FALSE)</f>
        <v>blue</v>
      </c>
      <c r="K83" s="10" t="str">
        <f ca="1">VLOOKUP($F83,OFFSET([1]characters!$A$2,0,0,COUNTA([1]characters!$A:$A),MATCH("タイプ",[1]characters!$1:$1,0)-MATCH($F$1,[1]characters!$2:$2,0)+2),MATCH("タイプ",[1]characters!$1:$1,0)-MATCH($F$1,[1]characters!$2:$2,0)+2,FALSE)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3" s="10" t="str">
        <f ca="1">VLOOKUP($F83,OFFSET([1]characters!$A$2,0,0,COUNTA([1]characters!$A:$A),MATCH($L$1,[1]characters!$1:$1,0)-MATCH($F$1,[1]characters!$2:$2,0)+2),MATCH($L$1,[1]characters!$1:$1,0)-MATCH($F$1,[1]characters!$2:$2,0)+2,FALSE)</f>
        <v>ゴッド</v>
      </c>
      <c r="M83" s="6">
        <v>1</v>
      </c>
      <c r="N83" s="40">
        <f ca="1">VLOOKUP(D83,gacha_133_base!A:B,2,FALSE)</f>
        <v>8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 thickBot="1">
      <c r="A84" s="22" t="str">
        <f t="shared" si="4"/>
        <v>12601</v>
      </c>
      <c r="B84" s="2">
        <f t="shared" si="7"/>
        <v>135</v>
      </c>
      <c r="C84" s="10" t="str">
        <f t="shared" ca="1" si="5"/>
        <v>1PremiumS4</v>
      </c>
      <c r="D84" s="10" t="str">
        <f t="shared" ca="1" si="6"/>
        <v>1PremiumS4</v>
      </c>
      <c r="E84" s="6">
        <v>1</v>
      </c>
      <c r="F84" s="7">
        <v>260</v>
      </c>
      <c r="G84" s="10" t="str">
        <f ca="1">VLOOKUP($F84,OFFSET([1]characters!$A$2,0,0,COUNTA([1]characters!$A:$A),MATCH(G$1,[1]characters!$2:$2,0)-MATCH($F$1,[1]characters!$2:$2,0)+1),MATCH(G$1,[1]characters!$2:$2,0)-MATCH($F$1,[1]characters!$2:$2,0)+1,FALSE)</f>
        <v>輪廻 ウロボロス</v>
      </c>
      <c r="H84" s="10" t="str">
        <f ca="1">VLOOKUP($F84,OFFSET([1]characters!$A$2,0,0,COUNTA([1]characters!$A:$A),MATCH(H$1,[1]characters!$2:$2,0)-MATCH($F$1,[1]characters!$2:$2,0)+1),MATCH(H$1,[1]characters!$2:$2,0)-MATCH($F$1,[1]characters!$2:$2,0)+1,FALSE)</f>
        <v>PremiumS</v>
      </c>
      <c r="I84" s="10">
        <f ca="1">VLOOKUP($F84,OFFSET([1]characters!$A$2,0,0,COUNTA([1]characters!$A:$A),MATCH(I$1,[1]characters!$2:$2,0)-MATCH($F$1,[1]characters!$2:$2,0)+1),MATCH(I$1,[1]characters!$2:$2,0)-MATCH($F$1,[1]characters!$2:$2,0)+1,FALSE)</f>
        <v>4</v>
      </c>
      <c r="J84" s="10" t="str">
        <f ca="1">VLOOKUP($F84,OFFSET([1]characters!$A$2,0,0,COUNTA([1]characters!$A:$A),MATCH(J$1,[1]characters!$2:$2,0)-MATCH($F$1,[1]characters!$2:$2,0)+1),MATCH(J$1,[1]characters!$2:$2,0)-MATCH($F$1,[1]characters!$2:$2,0)+1,FALSE)</f>
        <v>yellow</v>
      </c>
      <c r="K84" s="10" t="str">
        <f ca="1">VLOOKUP($F84,OFFSET([1]characters!$A$2,0,0,COUNTA([1]characters!$A:$A),MATCH("タイプ",[1]characters!$1:$1,0)-MATCH($F$1,[1]characters!$2:$2,0)+2),MATCH("タイプ",[1]characters!$1:$1,0)-MATCH($F$1,[1]characters!$2:$2,0)+2,FALSE)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4" s="10" t="str">
        <f ca="1">VLOOKUP($F84,OFFSET([1]characters!$A$2,0,0,COUNTA([1]characters!$A:$A),MATCH($L$1,[1]characters!$1:$1,0)-MATCH($F$1,[1]characters!$2:$2,0)+2),MATCH($L$1,[1]characters!$1:$1,0)-MATCH($F$1,[1]characters!$2:$2,0)+2,FALSE)</f>
        <v>ドラゴン</v>
      </c>
      <c r="M84" s="6">
        <v>1</v>
      </c>
      <c r="N84" s="40">
        <f ca="1">VLOOKUP(D84,gacha_133_base!A:B,2,FALSE)</f>
        <v>200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 thickBot="1">
      <c r="A85" s="22" t="str">
        <f t="shared" si="4"/>
        <v>12611</v>
      </c>
      <c r="B85" s="2">
        <f t="shared" si="7"/>
        <v>135</v>
      </c>
      <c r="C85" s="10" t="str">
        <f t="shared" ca="1" si="5"/>
        <v>1PremiumS5</v>
      </c>
      <c r="D85" s="10" t="str">
        <f t="shared" ca="1" si="6"/>
        <v>1PremiumS5</v>
      </c>
      <c r="E85" s="6">
        <v>1</v>
      </c>
      <c r="F85" s="7">
        <v>261</v>
      </c>
      <c r="G85" s="10" t="str">
        <f ca="1">VLOOKUP($F85,OFFSET([1]characters!$A$2,0,0,COUNTA([1]characters!$A:$A),MATCH(G$1,[1]characters!$2:$2,0)-MATCH($F$1,[1]characters!$2:$2,0)+1),MATCH(G$1,[1]characters!$2:$2,0)-MATCH($F$1,[1]characters!$2:$2,0)+1,FALSE)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85" s="10" t="str">
        <f ca="1">VLOOKUP($F85,OFFSET([1]characters!$A$2,0,0,COUNTA([1]characters!$A:$A),MATCH(H$1,[1]characters!$2:$2,0)-MATCH($F$1,[1]characters!$2:$2,0)+1),MATCH(H$1,[1]characters!$2:$2,0)-MATCH($F$1,[1]characters!$2:$2,0)+1,FALSE)</f>
        <v>PremiumS</v>
      </c>
      <c r="I85" s="10">
        <f ca="1">VLOOKUP($F85,OFFSET([1]characters!$A$2,0,0,COUNTA([1]characters!$A:$A),MATCH(I$1,[1]characters!$2:$2,0)-MATCH($F$1,[1]characters!$2:$2,0)+1),MATCH(I$1,[1]characters!$2:$2,0)-MATCH($F$1,[1]characters!$2:$2,0)+1,FALSE)</f>
        <v>5</v>
      </c>
      <c r="J85" s="10" t="str">
        <f ca="1">VLOOKUP($F85,OFFSET([1]characters!$A$2,0,0,COUNTA([1]characters!$A:$A),MATCH(J$1,[1]characters!$2:$2,0)-MATCH($F$1,[1]characters!$2:$2,0)+1),MATCH(J$1,[1]characters!$2:$2,0)-MATCH($F$1,[1]characters!$2:$2,0)+1,FALSE)</f>
        <v>yellow</v>
      </c>
      <c r="K85" s="10" t="str">
        <f ca="1">VLOOKUP($F85,OFFSET([1]characters!$A$2,0,0,COUNTA([1]characters!$A:$A),MATCH("タイプ",[1]characters!$1:$1,0)-MATCH($F$1,[1]characters!$2:$2,0)+2),MATCH("タイプ",[1]characters!$1:$1,0)-MATCH($F$1,[1]characters!$2:$2,0)+2,FALSE)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5" s="10" t="str">
        <f ca="1">VLOOKUP($F85,OFFSET([1]characters!$A$2,0,0,COUNTA([1]characters!$A:$A),MATCH($L$1,[1]characters!$1:$1,0)-MATCH($F$1,[1]characters!$2:$2,0)+2),MATCH($L$1,[1]characters!$1:$1,0)-MATCH($F$1,[1]characters!$2:$2,0)+2,FALSE)</f>
        <v>ドラゴン</v>
      </c>
      <c r="M85" s="6">
        <v>1</v>
      </c>
      <c r="N85" s="40">
        <f ca="1">VLOOKUP(D85,gacha_133_base!A:B,2,FALSE)</f>
        <v>8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 thickBot="1">
      <c r="A86" s="22" t="str">
        <f t="shared" si="4"/>
        <v>13201</v>
      </c>
      <c r="B86" s="2">
        <f t="shared" si="7"/>
        <v>135</v>
      </c>
      <c r="C86" s="10" t="str">
        <f t="shared" ca="1" si="5"/>
        <v>1PremiumSS4</v>
      </c>
      <c r="D86" s="10" t="str">
        <f t="shared" ca="1" si="6"/>
        <v>1PremiumSS4</v>
      </c>
      <c r="E86" s="21">
        <v>1</v>
      </c>
      <c r="F86" s="27">
        <v>320</v>
      </c>
      <c r="G86" s="20" t="str">
        <f ca="1">VLOOKUP($F86,OFFSET([1]characters!$A$2,0,0,COUNTA([1]characters!$A:$A),MATCH(G$1,[1]characters!$2:$2,0)-MATCH($F$1,[1]characters!$2:$2,0)+1),MATCH(G$1,[1]characters!$2:$2,0)-MATCH($F$1,[1]characters!$2:$2,0)+1,FALSE)</f>
        <v>烈志士 近藤勇</v>
      </c>
      <c r="H86" s="20" t="str">
        <f ca="1">VLOOKUP($F86,OFFSET([1]characters!$A$2,0,0,COUNTA([1]characters!$A:$A),MATCH(H$1,[1]characters!$2:$2,0)-MATCH($F$1,[1]characters!$2:$2,0)+1),MATCH(H$1,[1]characters!$2:$2,0)-MATCH($F$1,[1]characters!$2:$2,0)+1,FALSE)</f>
        <v>PremiumSS</v>
      </c>
      <c r="I86" s="20">
        <f ca="1">VLOOKUP($F86,OFFSET([1]characters!$A$2,0,0,COUNTA([1]characters!$A:$A),MATCH(I$1,[1]characters!$2:$2,0)-MATCH($F$1,[1]characters!$2:$2,0)+1),MATCH(I$1,[1]characters!$2:$2,0)-MATCH($F$1,[1]characters!$2:$2,0)+1,FALSE)</f>
        <v>4</v>
      </c>
      <c r="J86" s="20" t="str">
        <f ca="1">VLOOKUP($F86,OFFSET([1]characters!$A$2,0,0,COUNTA([1]characters!$A:$A),MATCH(J$1,[1]characters!$2:$2,0)-MATCH($F$1,[1]characters!$2:$2,0)+1),MATCH(J$1,[1]characters!$2:$2,0)-MATCH($F$1,[1]characters!$2:$2,0)+1,FALSE)</f>
        <v>red</v>
      </c>
      <c r="K86" s="20" t="str">
        <f ca="1">VLOOKUP($F86,OFFSET([1]characters!$A$2,0,0,COUNTA([1]characters!$A:$A),MATCH("タイプ",[1]characters!$1:$1,0)-MATCH($F$1,[1]characters!$2:$2,0)+2),MATCH("タイプ",[1]characters!$1:$1,0)-MATCH($F$1,[1]characters!$2:$2,0)+2,FALSE)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6" s="20" t="str">
        <f ca="1">VLOOKUP($F86,OFFSET([1]characters!$A$2,0,0,COUNTA([1]characters!$A:$A),MATCH($L$1,[1]characters!$1:$1,0)-MATCH($F$1,[1]characters!$2:$2,0)+2),MATCH($L$1,[1]characters!$1:$1,0)-MATCH($F$1,[1]characters!$2:$2,0)+2,FALSE)</f>
        <v>ヒューマン</v>
      </c>
      <c r="M86" s="21">
        <v>1</v>
      </c>
      <c r="N86" s="40">
        <f ca="1">VLOOKUP(D86,gacha_133_base!A:B,2,FALSE)</f>
        <v>120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2" t="str">
        <f t="shared" si="4"/>
        <v>13211</v>
      </c>
      <c r="B87" s="2">
        <f t="shared" si="7"/>
        <v>135</v>
      </c>
      <c r="C87" s="10" t="str">
        <f t="shared" ca="1" si="5"/>
        <v>1PremiumSS5</v>
      </c>
      <c r="D87" s="10" t="str">
        <f t="shared" ca="1" si="6"/>
        <v>1PremiumSS5</v>
      </c>
      <c r="E87" s="6">
        <v>1</v>
      </c>
      <c r="F87" s="7">
        <v>321</v>
      </c>
      <c r="G87" s="10" t="str">
        <f ca="1">VLOOKUP($F87,OFFSET([1]characters!$A$2,0,0,COUNTA([1]characters!$A:$A),MATCH(G$1,[1]characters!$2:$2,0)-MATCH($F$1,[1]characters!$2:$2,0)+1),MATCH(G$1,[1]characters!$2:$2,0)-MATCH($F$1,[1]characters!$2:$2,0)+1,FALSE)</f>
        <v>巌鉄の烈志士 近藤勇</v>
      </c>
      <c r="H87" s="10" t="str">
        <f ca="1">VLOOKUP($F87,OFFSET([1]characters!$A$2,0,0,COUNTA([1]characters!$A:$A),MATCH(H$1,[1]characters!$2:$2,0)-MATCH($F$1,[1]characters!$2:$2,0)+1),MATCH(H$1,[1]characters!$2:$2,0)-MATCH($F$1,[1]characters!$2:$2,0)+1,FALSE)</f>
        <v>PremiumSS</v>
      </c>
      <c r="I87" s="10">
        <f ca="1">VLOOKUP($F87,OFFSET([1]characters!$A$2,0,0,COUNTA([1]characters!$A:$A),MATCH(I$1,[1]characters!$2:$2,0)-MATCH($F$1,[1]characters!$2:$2,0)+1),MATCH(I$1,[1]characters!$2:$2,0)-MATCH($F$1,[1]characters!$2:$2,0)+1,FALSE)</f>
        <v>5</v>
      </c>
      <c r="J87" s="10" t="str">
        <f ca="1">VLOOKUP($F87,OFFSET([1]characters!$A$2,0,0,COUNTA([1]characters!$A:$A),MATCH(J$1,[1]characters!$2:$2,0)-MATCH($F$1,[1]characters!$2:$2,0)+1),MATCH(J$1,[1]characters!$2:$2,0)-MATCH($F$1,[1]characters!$2:$2,0)+1,FALSE)</f>
        <v>red</v>
      </c>
      <c r="K87" s="10" t="str">
        <f ca="1">VLOOKUP($F87,OFFSET([1]characters!$A$2,0,0,COUNTA([1]characters!$A:$A),MATCH("タイプ",[1]characters!$1:$1,0)-MATCH($F$1,[1]characters!$2:$2,0)+2),MATCH("タイプ",[1]characters!$1:$1,0)-MATCH($F$1,[1]characters!$2:$2,0)+2,FALSE)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7" s="10" t="str">
        <f ca="1">VLOOKUP($F87,OFFSET([1]characters!$A$2,0,0,COUNTA([1]characters!$A:$A),MATCH($L$1,[1]characters!$1:$1,0)-MATCH($F$1,[1]characters!$2:$2,0)+2),MATCH($L$1,[1]characters!$1:$1,0)-MATCH($F$1,[1]characters!$2:$2,0)+2,FALSE)</f>
        <v>ヒューマン</v>
      </c>
      <c r="M87" s="6">
        <v>1</v>
      </c>
      <c r="N87" s="40">
        <f ca="1">VLOOKUP(D87,gacha_133_base!A:B,2,FALSE)</f>
        <v>5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 thickBot="1">
      <c r="A88" s="22" t="str">
        <f t="shared" si="4"/>
        <v>13221</v>
      </c>
      <c r="B88" s="2">
        <f t="shared" si="7"/>
        <v>135</v>
      </c>
      <c r="C88" s="10" t="str">
        <f t="shared" ca="1" si="5"/>
        <v>1PremiumSS4</v>
      </c>
      <c r="D88" s="10" t="str">
        <f t="shared" ca="1" si="6"/>
        <v>1PremiumSS4</v>
      </c>
      <c r="E88" s="6">
        <v>1</v>
      </c>
      <c r="F88" s="7">
        <v>322</v>
      </c>
      <c r="G88" s="10" t="str">
        <f ca="1">VLOOKUP($F88,OFFSET([1]characters!$A$2,0,0,COUNTA([1]characters!$A:$A),MATCH(G$1,[1]characters!$2:$2,0)-MATCH($F$1,[1]characters!$2:$2,0)+1),MATCH(G$1,[1]characters!$2:$2,0)-MATCH($F$1,[1]characters!$2:$2,0)+1,FALSE)</f>
        <v>愛志士 土方歳三</v>
      </c>
      <c r="H88" s="10" t="str">
        <f ca="1">VLOOKUP($F88,OFFSET([1]characters!$A$2,0,0,COUNTA([1]characters!$A:$A),MATCH(H$1,[1]characters!$2:$2,0)-MATCH($F$1,[1]characters!$2:$2,0)+1),MATCH(H$1,[1]characters!$2:$2,0)-MATCH($F$1,[1]characters!$2:$2,0)+1,FALSE)</f>
        <v>PremiumSS</v>
      </c>
      <c r="I88" s="10">
        <f ca="1">VLOOKUP($F88,OFFSET([1]characters!$A$2,0,0,COUNTA([1]characters!$A:$A),MATCH(I$1,[1]characters!$2:$2,0)-MATCH($F$1,[1]characters!$2:$2,0)+1),MATCH(I$1,[1]characters!$2:$2,0)-MATCH($F$1,[1]characters!$2:$2,0)+1,FALSE)</f>
        <v>4</v>
      </c>
      <c r="J88" s="10" t="str">
        <f ca="1">VLOOKUP($F88,OFFSET([1]characters!$A$2,0,0,COUNTA([1]characters!$A:$A),MATCH(J$1,[1]characters!$2:$2,0)-MATCH($F$1,[1]characters!$2:$2,0)+1),MATCH(J$1,[1]characters!$2:$2,0)-MATCH($F$1,[1]characters!$2:$2,0)+1,FALSE)</f>
        <v>green</v>
      </c>
      <c r="K88" s="10" t="str">
        <f ca="1">VLOOKUP($F88,OFFSET([1]characters!$A$2,0,0,COUNTA([1]characters!$A:$A),MATCH("タイプ",[1]characters!$1:$1,0)-MATCH($F$1,[1]characters!$2:$2,0)+2),MATCH("タイプ",[1]characters!$1:$1,0)-MATCH($F$1,[1]characters!$2:$2,0)+2,FALSE)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8" s="10" t="str">
        <f ca="1">VLOOKUP($F88,OFFSET([1]characters!$A$2,0,0,COUNTA([1]characters!$A:$A),MATCH($L$1,[1]characters!$1:$1,0)-MATCH($F$1,[1]characters!$2:$2,0)+2),MATCH($L$1,[1]characters!$1:$1,0)-MATCH($F$1,[1]characters!$2:$2,0)+2,FALSE)</f>
        <v>ヒューマン</v>
      </c>
      <c r="M88" s="6">
        <v>1</v>
      </c>
      <c r="N88" s="40">
        <f ca="1">VLOOKUP(D88,gacha_133_base!A:B,2,FALSE)</f>
        <v>120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 thickBot="1">
      <c r="A89" s="22" t="str">
        <f t="shared" si="4"/>
        <v>13231</v>
      </c>
      <c r="B89" s="2">
        <f t="shared" si="7"/>
        <v>135</v>
      </c>
      <c r="C89" s="10" t="str">
        <f t="shared" ca="1" si="5"/>
        <v>1PremiumSS5</v>
      </c>
      <c r="D89" s="10" t="str">
        <f t="shared" ca="1" si="6"/>
        <v>1PremiumSS5</v>
      </c>
      <c r="E89" s="6">
        <v>1</v>
      </c>
      <c r="F89" s="7">
        <v>323</v>
      </c>
      <c r="G89" s="10" t="str">
        <f ca="1">VLOOKUP($F89,OFFSET([1]characters!$A$2,0,0,COUNTA([1]characters!$A:$A),MATCH(G$1,[1]characters!$2:$2,0)-MATCH($F$1,[1]characters!$2:$2,0)+1),MATCH(G$1,[1]characters!$2:$2,0)-MATCH($F$1,[1]characters!$2:$2,0)+1,FALSE)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89" s="10" t="str">
        <f ca="1">VLOOKUP($F89,OFFSET([1]characters!$A$2,0,0,COUNTA([1]characters!$A:$A),MATCH(H$1,[1]characters!$2:$2,0)-MATCH($F$1,[1]characters!$2:$2,0)+1),MATCH(H$1,[1]characters!$2:$2,0)-MATCH($F$1,[1]characters!$2:$2,0)+1,FALSE)</f>
        <v>PremiumSS</v>
      </c>
      <c r="I89" s="10">
        <f ca="1">VLOOKUP($F89,OFFSET([1]characters!$A$2,0,0,COUNTA([1]characters!$A:$A),MATCH(I$1,[1]characters!$2:$2,0)-MATCH($F$1,[1]characters!$2:$2,0)+1),MATCH(I$1,[1]characters!$2:$2,0)-MATCH($F$1,[1]characters!$2:$2,0)+1,FALSE)</f>
        <v>5</v>
      </c>
      <c r="J89" s="10" t="str">
        <f ca="1">VLOOKUP($F89,OFFSET([1]characters!$A$2,0,0,COUNTA([1]characters!$A:$A),MATCH(J$1,[1]characters!$2:$2,0)-MATCH($F$1,[1]characters!$2:$2,0)+1),MATCH(J$1,[1]characters!$2:$2,0)-MATCH($F$1,[1]characters!$2:$2,0)+1,FALSE)</f>
        <v>green</v>
      </c>
      <c r="K89" s="10" t="str">
        <f ca="1">VLOOKUP($F89,OFFSET([1]characters!$A$2,0,0,COUNTA([1]characters!$A:$A),MATCH("タイプ",[1]characters!$1:$1,0)-MATCH($F$1,[1]characters!$2:$2,0)+2),MATCH("タイプ",[1]characters!$1:$1,0)-MATCH($F$1,[1]characters!$2:$2,0)+2,FALSE)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9" s="10" t="str">
        <f ca="1">VLOOKUP($F89,OFFSET([1]characters!$A$2,0,0,COUNTA([1]characters!$A:$A),MATCH($L$1,[1]characters!$1:$1,0)-MATCH($F$1,[1]characters!$2:$2,0)+2),MATCH($L$1,[1]characters!$1:$1,0)-MATCH($F$1,[1]characters!$2:$2,0)+2,FALSE)</f>
        <v>ヒューマン</v>
      </c>
      <c r="M89" s="6">
        <v>1</v>
      </c>
      <c r="N89" s="40">
        <f ca="1">VLOOKUP(D89,gacha_133_base!A:B,2,FALSE)</f>
        <v>5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 thickBot="1">
      <c r="A90" s="22" t="str">
        <f t="shared" si="4"/>
        <v>13241</v>
      </c>
      <c r="B90" s="2">
        <f t="shared" si="7"/>
        <v>135</v>
      </c>
      <c r="C90" s="10" t="str">
        <f t="shared" ca="1" si="5"/>
        <v>1PremiumSS4</v>
      </c>
      <c r="D90" s="10" t="str">
        <f t="shared" ca="1" si="6"/>
        <v>1PremiumSS4</v>
      </c>
      <c r="E90" s="6">
        <v>1</v>
      </c>
      <c r="F90" s="7">
        <v>324</v>
      </c>
      <c r="G90" s="10" t="str">
        <f ca="1">VLOOKUP($F90,OFFSET([1]characters!$A$2,0,0,COUNTA([1]characters!$A:$A),MATCH(G$1,[1]characters!$2:$2,0)-MATCH($F$1,[1]characters!$2:$2,0)+1),MATCH(G$1,[1]characters!$2:$2,0)-MATCH($F$1,[1]characters!$2:$2,0)+1,FALSE)</f>
        <v>凛志士 沖田総司</v>
      </c>
      <c r="H90" s="10" t="str">
        <f ca="1">VLOOKUP($F90,OFFSET([1]characters!$A$2,0,0,COUNTA([1]characters!$A:$A),MATCH(H$1,[1]characters!$2:$2,0)-MATCH($F$1,[1]characters!$2:$2,0)+1),MATCH(H$1,[1]characters!$2:$2,0)-MATCH($F$1,[1]characters!$2:$2,0)+1,FALSE)</f>
        <v>PremiumSS</v>
      </c>
      <c r="I90" s="10">
        <f ca="1">VLOOKUP($F90,OFFSET([1]characters!$A$2,0,0,COUNTA([1]characters!$A:$A),MATCH(I$1,[1]characters!$2:$2,0)-MATCH($F$1,[1]characters!$2:$2,0)+1),MATCH(I$1,[1]characters!$2:$2,0)-MATCH($F$1,[1]characters!$2:$2,0)+1,FALSE)</f>
        <v>4</v>
      </c>
      <c r="J90" s="10" t="str">
        <f ca="1">VLOOKUP($F90,OFFSET([1]characters!$A$2,0,0,COUNTA([1]characters!$A:$A),MATCH(J$1,[1]characters!$2:$2,0)-MATCH($F$1,[1]characters!$2:$2,0)+1),MATCH(J$1,[1]characters!$2:$2,0)-MATCH($F$1,[1]characters!$2:$2,0)+1,FALSE)</f>
        <v>blue</v>
      </c>
      <c r="K90" s="10" t="str">
        <f ca="1">VLOOKUP($F90,OFFSET([1]characters!$A$2,0,0,COUNTA([1]characters!$A:$A),MATCH("タイプ",[1]characters!$1:$1,0)-MATCH($F$1,[1]characters!$2:$2,0)+2),MATCH("タイプ",[1]characters!$1:$1,0)-MATCH($F$1,[1]characters!$2:$2,0)+2,FALSE)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0" s="10" t="str">
        <f ca="1">VLOOKUP($F90,OFFSET([1]characters!$A$2,0,0,COUNTA([1]characters!$A:$A),MATCH($L$1,[1]characters!$1:$1,0)-MATCH($F$1,[1]characters!$2:$2,0)+2),MATCH($L$1,[1]characters!$1:$1,0)-MATCH($F$1,[1]characters!$2:$2,0)+2,FALSE)</f>
        <v>ヒューマン</v>
      </c>
      <c r="M90" s="6">
        <v>1</v>
      </c>
      <c r="N90" s="40">
        <f ca="1">VLOOKUP(D90,gacha_133_base!A:B,2,FALSE)</f>
        <v>120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 thickBot="1">
      <c r="A91" s="22" t="str">
        <f t="shared" si="4"/>
        <v>13251</v>
      </c>
      <c r="B91" s="2">
        <f t="shared" si="7"/>
        <v>135</v>
      </c>
      <c r="C91" s="10" t="str">
        <f t="shared" ca="1" si="5"/>
        <v>1PremiumSS5</v>
      </c>
      <c r="D91" s="10" t="str">
        <f t="shared" ca="1" si="6"/>
        <v>1PremiumSS5</v>
      </c>
      <c r="E91" s="6">
        <v>1</v>
      </c>
      <c r="F91" s="7">
        <v>325</v>
      </c>
      <c r="G91" s="10" t="str">
        <f ca="1">VLOOKUP($F91,OFFSET([1]characters!$A$2,0,0,COUNTA([1]characters!$A:$A),MATCH(G$1,[1]characters!$2:$2,0)-MATCH($F$1,[1]characters!$2:$2,0)+1),MATCH(G$1,[1]characters!$2:$2,0)-MATCH($F$1,[1]characters!$2:$2,0)+1,FALSE)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91" s="10" t="str">
        <f ca="1">VLOOKUP($F91,OFFSET([1]characters!$A$2,0,0,COUNTA([1]characters!$A:$A),MATCH(H$1,[1]characters!$2:$2,0)-MATCH($F$1,[1]characters!$2:$2,0)+1),MATCH(H$1,[1]characters!$2:$2,0)-MATCH($F$1,[1]characters!$2:$2,0)+1,FALSE)</f>
        <v>PremiumSS</v>
      </c>
      <c r="I91" s="10">
        <f ca="1">VLOOKUP($F91,OFFSET([1]characters!$A$2,0,0,COUNTA([1]characters!$A:$A),MATCH(I$1,[1]characters!$2:$2,0)-MATCH($F$1,[1]characters!$2:$2,0)+1),MATCH(I$1,[1]characters!$2:$2,0)-MATCH($F$1,[1]characters!$2:$2,0)+1,FALSE)</f>
        <v>5</v>
      </c>
      <c r="J91" s="10" t="str">
        <f ca="1">VLOOKUP($F91,OFFSET([1]characters!$A$2,0,0,COUNTA([1]characters!$A:$A),MATCH(J$1,[1]characters!$2:$2,0)-MATCH($F$1,[1]characters!$2:$2,0)+1),MATCH(J$1,[1]characters!$2:$2,0)-MATCH($F$1,[1]characters!$2:$2,0)+1,FALSE)</f>
        <v>blue</v>
      </c>
      <c r="K91" s="10" t="str">
        <f ca="1">VLOOKUP($F91,OFFSET([1]characters!$A$2,0,0,COUNTA([1]characters!$A:$A),MATCH("タイプ",[1]characters!$1:$1,0)-MATCH($F$1,[1]characters!$2:$2,0)+2),MATCH("タイプ",[1]characters!$1:$1,0)-MATCH($F$1,[1]characters!$2:$2,0)+2,FALSE)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1" s="10" t="str">
        <f ca="1">VLOOKUP($F91,OFFSET([1]characters!$A$2,0,0,COUNTA([1]characters!$A:$A),MATCH($L$1,[1]characters!$1:$1,0)-MATCH($F$1,[1]characters!$2:$2,0)+2),MATCH($L$1,[1]characters!$1:$1,0)-MATCH($F$1,[1]characters!$2:$2,0)+2,FALSE)</f>
        <v>ヒューマン</v>
      </c>
      <c r="M91" s="6">
        <v>1</v>
      </c>
      <c r="N91" s="40">
        <f ca="1">VLOOKUP(D91,gacha_133_base!A:B,2,FALSE)</f>
        <v>5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 thickBot="1">
      <c r="A92" s="22" t="str">
        <f t="shared" si="4"/>
        <v>13261</v>
      </c>
      <c r="B92" s="2">
        <f t="shared" si="7"/>
        <v>135</v>
      </c>
      <c r="C92" s="10" t="str">
        <f t="shared" ca="1" si="5"/>
        <v>1PremiumSS4</v>
      </c>
      <c r="D92" s="10" t="str">
        <f t="shared" ca="1" si="6"/>
        <v>1PremiumSS4</v>
      </c>
      <c r="E92" s="32">
        <v>1</v>
      </c>
      <c r="F92" s="33">
        <v>326</v>
      </c>
      <c r="G92" s="34" t="str">
        <f ca="1">VLOOKUP($F92,OFFSET([1]characters!$A$2,0,0,COUNTA([1]characters!$A:$A),MATCH(G$1,[1]characters!$2:$2,0)-MATCH($F$1,[1]characters!$2:$2,0)+1),MATCH(G$1,[1]characters!$2:$2,0)-MATCH($F$1,[1]characters!$2:$2,0)+1,FALSE)</f>
        <v>妖志士 斎藤一</v>
      </c>
      <c r="H92" s="34" t="str">
        <f ca="1">VLOOKUP($F92,OFFSET([1]characters!$A$2,0,0,COUNTA([1]characters!$A:$A),MATCH(H$1,[1]characters!$2:$2,0)-MATCH($F$1,[1]characters!$2:$2,0)+1),MATCH(H$1,[1]characters!$2:$2,0)-MATCH($F$1,[1]characters!$2:$2,0)+1,FALSE)</f>
        <v>PremiumSS</v>
      </c>
      <c r="I92" s="34">
        <f ca="1">VLOOKUP($F92,OFFSET([1]characters!$A$2,0,0,COUNTA([1]characters!$A:$A),MATCH(I$1,[1]characters!$2:$2,0)-MATCH($F$1,[1]characters!$2:$2,0)+1),MATCH(I$1,[1]characters!$2:$2,0)-MATCH($F$1,[1]characters!$2:$2,0)+1,FALSE)</f>
        <v>4</v>
      </c>
      <c r="J92" s="34" t="str">
        <f ca="1">VLOOKUP($F92,OFFSET([1]characters!$A$2,0,0,COUNTA([1]characters!$A:$A),MATCH(J$1,[1]characters!$2:$2,0)-MATCH($F$1,[1]characters!$2:$2,0)+1),MATCH(J$1,[1]characters!$2:$2,0)-MATCH($F$1,[1]characters!$2:$2,0)+1,FALSE)</f>
        <v>yellow</v>
      </c>
      <c r="K92" s="34" t="str">
        <f ca="1">VLOOKUP($F92,OFFSET([1]characters!$A$2,0,0,COUNTA([1]characters!$A:$A),MATCH("タイプ",[1]characters!$1:$1,0)-MATCH($F$1,[1]characters!$2:$2,0)+2),MATCH("タイプ",[1]characters!$1:$1,0)-MATCH($F$1,[1]characters!$2:$2,0)+2,FALSE)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2" s="34" t="str">
        <f ca="1">VLOOKUP($F92,OFFSET([1]characters!$A$2,0,0,COUNTA([1]characters!$A:$A),MATCH($L$1,[1]characters!$1:$1,0)-MATCH($F$1,[1]characters!$2:$2,0)+2),MATCH($L$1,[1]characters!$1:$1,0)-MATCH($F$1,[1]characters!$2:$2,0)+2,FALSE)</f>
        <v>ヒューマン</v>
      </c>
      <c r="M92" s="32">
        <v>1</v>
      </c>
      <c r="N92" s="40">
        <f ca="1">VLOOKUP(D92,gacha_133_base!A:B,2,FALSE)</f>
        <v>120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2" t="str">
        <f t="shared" si="4"/>
        <v>13271</v>
      </c>
      <c r="B93" s="2">
        <f t="shared" si="7"/>
        <v>135</v>
      </c>
      <c r="C93" s="10" t="str">
        <f t="shared" ca="1" si="5"/>
        <v>1PremiumSS5</v>
      </c>
      <c r="D93" s="10" t="str">
        <f t="shared" ca="1" si="6"/>
        <v>1PremiumSS5</v>
      </c>
      <c r="E93" s="6">
        <v>1</v>
      </c>
      <c r="F93" s="7">
        <v>327</v>
      </c>
      <c r="G93" s="10" t="str">
        <f ca="1">VLOOKUP($F93,OFFSET([1]characters!$A$2,0,0,COUNTA([1]characters!$A:$A),MATCH(G$1,[1]characters!$2:$2,0)-MATCH($F$1,[1]characters!$2:$2,0)+1),MATCH(G$1,[1]characters!$2:$2,0)-MATCH($F$1,[1]characters!$2:$2,0)+1,FALSE)</f>
        <v>千殺の妖志士 斎藤一</v>
      </c>
      <c r="H93" s="10" t="str">
        <f ca="1">VLOOKUP($F93,OFFSET([1]characters!$A$2,0,0,COUNTA([1]characters!$A:$A),MATCH(H$1,[1]characters!$2:$2,0)-MATCH($F$1,[1]characters!$2:$2,0)+1),MATCH(H$1,[1]characters!$2:$2,0)-MATCH($F$1,[1]characters!$2:$2,0)+1,FALSE)</f>
        <v>PremiumSS</v>
      </c>
      <c r="I93" s="10">
        <f ca="1">VLOOKUP($F93,OFFSET([1]characters!$A$2,0,0,COUNTA([1]characters!$A:$A),MATCH(I$1,[1]characters!$2:$2,0)-MATCH($F$1,[1]characters!$2:$2,0)+1),MATCH(I$1,[1]characters!$2:$2,0)-MATCH($F$1,[1]characters!$2:$2,0)+1,FALSE)</f>
        <v>5</v>
      </c>
      <c r="J93" s="10" t="str">
        <f ca="1">VLOOKUP($F93,OFFSET([1]characters!$A$2,0,0,COUNTA([1]characters!$A:$A),MATCH(J$1,[1]characters!$2:$2,0)-MATCH($F$1,[1]characters!$2:$2,0)+1),MATCH(J$1,[1]characters!$2:$2,0)-MATCH($F$1,[1]characters!$2:$2,0)+1,FALSE)</f>
        <v>yellow</v>
      </c>
      <c r="K93" s="10" t="str">
        <f ca="1">VLOOKUP($F93,OFFSET([1]characters!$A$2,0,0,COUNTA([1]characters!$A:$A),MATCH("タイプ",[1]characters!$1:$1,0)-MATCH($F$1,[1]characters!$2:$2,0)+2),MATCH("タイプ",[1]characters!$1:$1,0)-MATCH($F$1,[1]characters!$2:$2,0)+2,FALSE)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3" s="10" t="str">
        <f ca="1">VLOOKUP($F93,OFFSET([1]characters!$A$2,0,0,COUNTA([1]characters!$A:$A),MATCH($L$1,[1]characters!$1:$1,0)-MATCH($F$1,[1]characters!$2:$2,0)+2),MATCH($L$1,[1]characters!$1:$1,0)-MATCH($F$1,[1]characters!$2:$2,0)+2,FALSE)</f>
        <v>ヒューマン</v>
      </c>
      <c r="M93" s="6">
        <v>1</v>
      </c>
      <c r="N93" s="40">
        <f ca="1">VLOOKUP(D93,gacha_133_base!A:B,2,FALSE)</f>
        <v>5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 thickBot="1">
      <c r="A94" s="22" t="str">
        <f t="shared" si="4"/>
        <v>13811</v>
      </c>
      <c r="B94" s="2">
        <f t="shared" si="7"/>
        <v>135</v>
      </c>
      <c r="C94" s="10" t="str">
        <f t="shared" ca="1" si="5"/>
        <v>1PremiumS4</v>
      </c>
      <c r="D94" s="10" t="str">
        <f t="shared" ca="1" si="6"/>
        <v>1PremiumS4</v>
      </c>
      <c r="E94" s="6">
        <v>1</v>
      </c>
      <c r="F94" s="27">
        <v>381</v>
      </c>
      <c r="G94" s="10" t="str">
        <f ca="1">VLOOKUP($F94,OFFSET([1]characters!$A$2,0,0,COUNTA([1]characters!$A:$A),MATCH(G$1,[1]characters!$2:$2,0)-MATCH($F$1,[1]characters!$2:$2,0)+1),MATCH(G$1,[1]characters!$2:$2,0)-MATCH($F$1,[1]characters!$2:$2,0)+1,FALSE)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94" s="10" t="str">
        <f ca="1">VLOOKUP($F94,OFFSET([1]characters!$A$2,0,0,COUNTA([1]characters!$A:$A),MATCH(H$1,[1]characters!$2:$2,0)-MATCH($F$1,[1]characters!$2:$2,0)+1),MATCH(H$1,[1]characters!$2:$2,0)-MATCH($F$1,[1]characters!$2:$2,0)+1,FALSE)</f>
        <v>PremiumS</v>
      </c>
      <c r="I94" s="10">
        <f ca="1">VLOOKUP($F94,OFFSET([1]characters!$A$2,0,0,COUNTA([1]characters!$A:$A),MATCH(I$1,[1]characters!$2:$2,0)-MATCH($F$1,[1]characters!$2:$2,0)+1),MATCH(I$1,[1]characters!$2:$2,0)-MATCH($F$1,[1]characters!$2:$2,0)+1,FALSE)</f>
        <v>4</v>
      </c>
      <c r="J94" s="10" t="str">
        <f ca="1">VLOOKUP($F94,OFFSET([1]characters!$A$2,0,0,COUNTA([1]characters!$A:$A),MATCH(J$1,[1]characters!$2:$2,0)-MATCH($F$1,[1]characters!$2:$2,0)+1),MATCH(J$1,[1]characters!$2:$2,0)-MATCH($F$1,[1]characters!$2:$2,0)+1,FALSE)</f>
        <v>red</v>
      </c>
      <c r="K94" s="10" t="str">
        <f ca="1">VLOOKUP($F94,OFFSET([1]characters!$A$2,0,0,COUNTA([1]characters!$A:$A),MATCH("タイプ",[1]characters!$1:$1,0)-MATCH($F$1,[1]characters!$2:$2,0)+2),MATCH("タイプ",[1]characters!$1:$1,0)-MATCH($F$1,[1]characters!$2:$2,0)+2,FALSE)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4" s="10" t="str">
        <f ca="1">VLOOKUP($F94,OFFSET([1]characters!$A$2,0,0,COUNTA([1]characters!$A:$A),MATCH($L$1,[1]characters!$1:$1,0)-MATCH($F$1,[1]characters!$2:$2,0)+2),MATCH($L$1,[1]characters!$1:$1,0)-MATCH($F$1,[1]characters!$2:$2,0)+2,FALSE)</f>
        <v>ドラゴン</v>
      </c>
      <c r="M94" s="6">
        <v>1</v>
      </c>
      <c r="N94" s="40">
        <f ca="1">VLOOKUP(D94,gacha_133_base!A:B,2,FALSE)</f>
        <v>200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 thickBot="1">
      <c r="A95" s="22" t="str">
        <f t="shared" si="4"/>
        <v>13821</v>
      </c>
      <c r="B95" s="2">
        <f t="shared" si="7"/>
        <v>135</v>
      </c>
      <c r="C95" s="10" t="str">
        <f t="shared" ca="1" si="5"/>
        <v>1PremiumS5</v>
      </c>
      <c r="D95" s="10" t="str">
        <f t="shared" ca="1" si="6"/>
        <v>1PremiumS5</v>
      </c>
      <c r="E95" s="6">
        <v>1</v>
      </c>
      <c r="F95" s="27">
        <v>382</v>
      </c>
      <c r="G95" s="10" t="str">
        <f ca="1">VLOOKUP($F95,OFFSET([1]characters!$A$2,0,0,COUNTA([1]characters!$A:$A),MATCH(G$1,[1]characters!$2:$2,0)-MATCH($F$1,[1]characters!$2:$2,0)+1),MATCH(G$1,[1]characters!$2:$2,0)-MATCH($F$1,[1]characters!$2:$2,0)+1,FALSE)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95" s="10" t="str">
        <f ca="1">VLOOKUP($F95,OFFSET([1]characters!$A$2,0,0,COUNTA([1]characters!$A:$A),MATCH(H$1,[1]characters!$2:$2,0)-MATCH($F$1,[1]characters!$2:$2,0)+1),MATCH(H$1,[1]characters!$2:$2,0)-MATCH($F$1,[1]characters!$2:$2,0)+1,FALSE)</f>
        <v>PremiumS</v>
      </c>
      <c r="I95" s="10">
        <f ca="1">VLOOKUP($F95,OFFSET([1]characters!$A$2,0,0,COUNTA([1]characters!$A:$A),MATCH(I$1,[1]characters!$2:$2,0)-MATCH($F$1,[1]characters!$2:$2,0)+1),MATCH(I$1,[1]characters!$2:$2,0)-MATCH($F$1,[1]characters!$2:$2,0)+1,FALSE)</f>
        <v>5</v>
      </c>
      <c r="J95" s="10" t="str">
        <f ca="1">VLOOKUP($F95,OFFSET([1]characters!$A$2,0,0,COUNTA([1]characters!$A:$A),MATCH(J$1,[1]characters!$2:$2,0)-MATCH($F$1,[1]characters!$2:$2,0)+1),MATCH(J$1,[1]characters!$2:$2,0)-MATCH($F$1,[1]characters!$2:$2,0)+1,FALSE)</f>
        <v>red</v>
      </c>
      <c r="K95" s="10" t="str">
        <f ca="1">VLOOKUP($F95,OFFSET([1]characters!$A$2,0,0,COUNTA([1]characters!$A:$A),MATCH("タイプ",[1]characters!$1:$1,0)-MATCH($F$1,[1]characters!$2:$2,0)+2),MATCH("タイプ",[1]characters!$1:$1,0)-MATCH($F$1,[1]characters!$2:$2,0)+2,FALSE)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5" s="10" t="str">
        <f ca="1">VLOOKUP($F95,OFFSET([1]characters!$A$2,0,0,COUNTA([1]characters!$A:$A),MATCH($L$1,[1]characters!$1:$1,0)-MATCH($F$1,[1]characters!$2:$2,0)+2),MATCH($L$1,[1]characters!$1:$1,0)-MATCH($F$1,[1]characters!$2:$2,0)+2,FALSE)</f>
        <v>ドラゴン</v>
      </c>
      <c r="M95" s="6">
        <v>1</v>
      </c>
      <c r="N95" s="40">
        <f ca="1">VLOOKUP(D95,gacha_133_base!A:B,2,FALSE)</f>
        <v>8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 thickBot="1">
      <c r="A96" s="22" t="str">
        <f t="shared" si="4"/>
        <v>13831</v>
      </c>
      <c r="B96" s="2">
        <f t="shared" si="7"/>
        <v>135</v>
      </c>
      <c r="C96" s="10" t="str">
        <f t="shared" ca="1" si="5"/>
        <v>1PremiumSS4</v>
      </c>
      <c r="D96" s="10" t="str">
        <f t="shared" ca="1" si="6"/>
        <v>1PremiumSS4</v>
      </c>
      <c r="E96" s="6">
        <v>1</v>
      </c>
      <c r="F96" s="27">
        <v>383</v>
      </c>
      <c r="G96" s="10" t="str">
        <f ca="1">VLOOKUP($F96,OFFSET([1]characters!$A$2,0,0,COUNTA([1]characters!$A:$A),MATCH(G$1,[1]characters!$2:$2,0)-MATCH($F$1,[1]characters!$2:$2,0)+1),MATCH(G$1,[1]characters!$2:$2,0)-MATCH($F$1,[1]characters!$2:$2,0)+1,FALSE)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96" s="10" t="str">
        <f ca="1">VLOOKUP($F96,OFFSET([1]characters!$A$2,0,0,COUNTA([1]characters!$A:$A),MATCH(H$1,[1]characters!$2:$2,0)-MATCH($F$1,[1]characters!$2:$2,0)+1),MATCH(H$1,[1]characters!$2:$2,0)-MATCH($F$1,[1]characters!$2:$2,0)+1,FALSE)</f>
        <v>PremiumSS</v>
      </c>
      <c r="I96" s="10">
        <f ca="1">VLOOKUP($F96,OFFSET([1]characters!$A$2,0,0,COUNTA([1]characters!$A:$A),MATCH(I$1,[1]characters!$2:$2,0)-MATCH($F$1,[1]characters!$2:$2,0)+1),MATCH(I$1,[1]characters!$2:$2,0)-MATCH($F$1,[1]characters!$2:$2,0)+1,FALSE)</f>
        <v>4</v>
      </c>
      <c r="J96" s="10" t="str">
        <f ca="1">VLOOKUP($F96,OFFSET([1]characters!$A$2,0,0,COUNTA([1]characters!$A:$A),MATCH(J$1,[1]characters!$2:$2,0)-MATCH($F$1,[1]characters!$2:$2,0)+1),MATCH(J$1,[1]characters!$2:$2,0)-MATCH($F$1,[1]characters!$2:$2,0)+1,FALSE)</f>
        <v>green</v>
      </c>
      <c r="K96" s="10" t="str">
        <f ca="1">VLOOKUP($F96,OFFSET([1]characters!$A$2,0,0,COUNTA([1]characters!$A:$A),MATCH("タイプ",[1]characters!$1:$1,0)-MATCH($F$1,[1]characters!$2:$2,0)+2),MATCH("タイプ",[1]characters!$1:$1,0)-MATCH($F$1,[1]characters!$2:$2,0)+2,FALSE)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6" s="10" t="str">
        <f ca="1">VLOOKUP($F96,OFFSET([1]characters!$A$2,0,0,COUNTA([1]characters!$A:$A),MATCH($L$1,[1]characters!$1:$1,0)-MATCH($F$1,[1]characters!$2:$2,0)+2),MATCH($L$1,[1]characters!$1:$1,0)-MATCH($F$1,[1]characters!$2:$2,0)+2,FALSE)</f>
        <v>ドラゴン</v>
      </c>
      <c r="M96" s="6">
        <v>1</v>
      </c>
      <c r="N96" s="40">
        <f ca="1">VLOOKUP(D96,gacha_133_base!A:B,2,FALSE)</f>
        <v>120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 thickBot="1">
      <c r="A97" s="22" t="str">
        <f t="shared" si="4"/>
        <v>13841</v>
      </c>
      <c r="B97" s="2">
        <f t="shared" si="7"/>
        <v>135</v>
      </c>
      <c r="C97" s="10" t="str">
        <f t="shared" ca="1" si="5"/>
        <v>1PremiumSS5</v>
      </c>
      <c r="D97" s="10" t="str">
        <f t="shared" ca="1" si="6"/>
        <v>1PremiumSS5</v>
      </c>
      <c r="E97" s="6">
        <v>1</v>
      </c>
      <c r="F97" s="27">
        <v>384</v>
      </c>
      <c r="G97" s="10" t="str">
        <f ca="1">VLOOKUP($F97,OFFSET([1]characters!$A$2,0,0,COUNTA([1]characters!$A:$A),MATCH(G$1,[1]characters!$2:$2,0)-MATCH($F$1,[1]characters!$2:$2,0)+1),MATCH(G$1,[1]characters!$2:$2,0)-MATCH($F$1,[1]characters!$2:$2,0)+1,FALSE)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97" s="10" t="str">
        <f ca="1">VLOOKUP($F97,OFFSET([1]characters!$A$2,0,0,COUNTA([1]characters!$A:$A),MATCH(H$1,[1]characters!$2:$2,0)-MATCH($F$1,[1]characters!$2:$2,0)+1),MATCH(H$1,[1]characters!$2:$2,0)-MATCH($F$1,[1]characters!$2:$2,0)+1,FALSE)</f>
        <v>PremiumSS</v>
      </c>
      <c r="I97" s="10">
        <f ca="1">VLOOKUP($F97,OFFSET([1]characters!$A$2,0,0,COUNTA([1]characters!$A:$A),MATCH(I$1,[1]characters!$2:$2,0)-MATCH($F$1,[1]characters!$2:$2,0)+1),MATCH(I$1,[1]characters!$2:$2,0)-MATCH($F$1,[1]characters!$2:$2,0)+1,FALSE)</f>
        <v>5</v>
      </c>
      <c r="J97" s="10" t="str">
        <f ca="1">VLOOKUP($F97,OFFSET([1]characters!$A$2,0,0,COUNTA([1]characters!$A:$A),MATCH(J$1,[1]characters!$2:$2,0)-MATCH($F$1,[1]characters!$2:$2,0)+1),MATCH(J$1,[1]characters!$2:$2,0)-MATCH($F$1,[1]characters!$2:$2,0)+1,FALSE)</f>
        <v>green</v>
      </c>
      <c r="K97" s="10" t="str">
        <f ca="1">VLOOKUP($F97,OFFSET([1]characters!$A$2,0,0,COUNTA([1]characters!$A:$A),MATCH("タイプ",[1]characters!$1:$1,0)-MATCH($F$1,[1]characters!$2:$2,0)+2),MATCH("タイプ",[1]characters!$1:$1,0)-MATCH($F$1,[1]characters!$2:$2,0)+2,FALSE)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7" s="10" t="str">
        <f ca="1">VLOOKUP($F97,OFFSET([1]characters!$A$2,0,0,COUNTA([1]characters!$A:$A),MATCH($L$1,[1]characters!$1:$1,0)-MATCH($F$1,[1]characters!$2:$2,0)+2),MATCH($L$1,[1]characters!$1:$1,0)-MATCH($F$1,[1]characters!$2:$2,0)+2,FALSE)</f>
        <v>ドラゴン</v>
      </c>
      <c r="M97" s="6">
        <v>1</v>
      </c>
      <c r="N97" s="40">
        <f ca="1">VLOOKUP(D97,gacha_133_base!A:B,2,FALSE)</f>
        <v>5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 thickBot="1">
      <c r="A98" s="22" t="str">
        <f t="shared" si="4"/>
        <v>13851</v>
      </c>
      <c r="B98" s="2">
        <f t="shared" si="7"/>
        <v>135</v>
      </c>
      <c r="C98" s="10" t="str">
        <f t="shared" ca="1" si="5"/>
        <v>1PremiumSS4</v>
      </c>
      <c r="D98" s="10" t="str">
        <f t="shared" ca="1" si="6"/>
        <v>1PremiumSS4</v>
      </c>
      <c r="E98" s="6">
        <v>1</v>
      </c>
      <c r="F98" s="27">
        <v>385</v>
      </c>
      <c r="G98" s="10" t="str">
        <f ca="1">VLOOKUP($F98,OFFSET([1]characters!$A$2,0,0,COUNTA([1]characters!$A:$A),MATCH(G$1,[1]characters!$2:$2,0)-MATCH($F$1,[1]characters!$2:$2,0)+1),MATCH(G$1,[1]characters!$2:$2,0)-MATCH($F$1,[1]characters!$2:$2,0)+1,FALSE)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98" s="10" t="str">
        <f ca="1">VLOOKUP($F98,OFFSET([1]characters!$A$2,0,0,COUNTA([1]characters!$A:$A),MATCH(H$1,[1]characters!$2:$2,0)-MATCH($F$1,[1]characters!$2:$2,0)+1),MATCH(H$1,[1]characters!$2:$2,0)-MATCH($F$1,[1]characters!$2:$2,0)+1,FALSE)</f>
        <v>PremiumSS</v>
      </c>
      <c r="I98" s="10">
        <f ca="1">VLOOKUP($F98,OFFSET([1]characters!$A$2,0,0,COUNTA([1]characters!$A:$A),MATCH(I$1,[1]characters!$2:$2,0)-MATCH($F$1,[1]characters!$2:$2,0)+1),MATCH(I$1,[1]characters!$2:$2,0)-MATCH($F$1,[1]characters!$2:$2,0)+1,FALSE)</f>
        <v>4</v>
      </c>
      <c r="J98" s="10" t="str">
        <f ca="1">VLOOKUP($F98,OFFSET([1]characters!$A$2,0,0,COUNTA([1]characters!$A:$A),MATCH(J$1,[1]characters!$2:$2,0)-MATCH($F$1,[1]characters!$2:$2,0)+1),MATCH(J$1,[1]characters!$2:$2,0)-MATCH($F$1,[1]characters!$2:$2,0)+1,FALSE)</f>
        <v>blue</v>
      </c>
      <c r="K98" s="10" t="str">
        <f ca="1">VLOOKUP($F98,OFFSET([1]characters!$A$2,0,0,COUNTA([1]characters!$A:$A),MATCH("タイプ",[1]characters!$1:$1,0)-MATCH($F$1,[1]characters!$2:$2,0)+2),MATCH("タイプ",[1]characters!$1:$1,0)-MATCH($F$1,[1]characters!$2:$2,0)+2,FALSE)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8" s="10" t="str">
        <f ca="1">VLOOKUP($F98,OFFSET([1]characters!$A$2,0,0,COUNTA([1]characters!$A:$A),MATCH($L$1,[1]characters!$1:$1,0)-MATCH($F$1,[1]characters!$2:$2,0)+2),MATCH($L$1,[1]characters!$1:$1,0)-MATCH($F$1,[1]characters!$2:$2,0)+2,FALSE)</f>
        <v>ドラゴン</v>
      </c>
      <c r="M98" s="6">
        <v>1</v>
      </c>
      <c r="N98" s="40">
        <f ca="1">VLOOKUP(D98,gacha_133_base!A:B,2,FALSE)</f>
        <v>120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 thickBot="1">
      <c r="A99" s="22" t="str">
        <f t="shared" si="4"/>
        <v>13861</v>
      </c>
      <c r="B99" s="2">
        <f t="shared" si="7"/>
        <v>135</v>
      </c>
      <c r="C99" s="10" t="str">
        <f t="shared" ca="1" si="5"/>
        <v>1PremiumSS5</v>
      </c>
      <c r="D99" s="10" t="str">
        <f t="shared" ca="1" si="6"/>
        <v>1PremiumSS5</v>
      </c>
      <c r="E99" s="32">
        <v>1</v>
      </c>
      <c r="F99" s="31">
        <v>386</v>
      </c>
      <c r="G99" s="34" t="str">
        <f ca="1">VLOOKUP($F99,OFFSET([1]characters!$A$2,0,0,COUNTA([1]characters!$A:$A),MATCH(G$1,[1]characters!$2:$2,0)-MATCH($F$1,[1]characters!$2:$2,0)+1),MATCH(G$1,[1]characters!$2:$2,0)-MATCH($F$1,[1]characters!$2:$2,0)+1,FALSE)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99" s="34" t="str">
        <f ca="1">VLOOKUP($F99,OFFSET([1]characters!$A$2,0,0,COUNTA([1]characters!$A:$A),MATCH(H$1,[1]characters!$2:$2,0)-MATCH($F$1,[1]characters!$2:$2,0)+1),MATCH(H$1,[1]characters!$2:$2,0)-MATCH($F$1,[1]characters!$2:$2,0)+1,FALSE)</f>
        <v>PremiumSS</v>
      </c>
      <c r="I99" s="34">
        <f ca="1">VLOOKUP($F99,OFFSET([1]characters!$A$2,0,0,COUNTA([1]characters!$A:$A),MATCH(I$1,[1]characters!$2:$2,0)-MATCH($F$1,[1]characters!$2:$2,0)+1),MATCH(I$1,[1]characters!$2:$2,0)-MATCH($F$1,[1]characters!$2:$2,0)+1,FALSE)</f>
        <v>5</v>
      </c>
      <c r="J99" s="34" t="str">
        <f ca="1">VLOOKUP($F99,OFFSET([1]characters!$A$2,0,0,COUNTA([1]characters!$A:$A),MATCH(J$1,[1]characters!$2:$2,0)-MATCH($F$1,[1]characters!$2:$2,0)+1),MATCH(J$1,[1]characters!$2:$2,0)-MATCH($F$1,[1]characters!$2:$2,0)+1,FALSE)</f>
        <v>blue</v>
      </c>
      <c r="K99" s="34" t="str">
        <f ca="1">VLOOKUP($F99,OFFSET([1]characters!$A$2,0,0,COUNTA([1]characters!$A:$A),MATCH("タイプ",[1]characters!$1:$1,0)-MATCH($F$1,[1]characters!$2:$2,0)+2),MATCH("タイプ",[1]characters!$1:$1,0)-MATCH($F$1,[1]characters!$2:$2,0)+2,FALSE)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9" s="34" t="str">
        <f ca="1">VLOOKUP($F99,OFFSET([1]characters!$A$2,0,0,COUNTA([1]characters!$A:$A),MATCH($L$1,[1]characters!$1:$1,0)-MATCH($F$1,[1]characters!$2:$2,0)+2),MATCH($L$1,[1]characters!$1:$1,0)-MATCH($F$1,[1]characters!$2:$2,0)+2,FALSE)</f>
        <v>ドラゴン</v>
      </c>
      <c r="M99" s="32">
        <v>1</v>
      </c>
      <c r="N99" s="40">
        <f ca="1">VLOOKUP(D99,gacha_133_base!A:B,2,FALSE)</f>
        <v>5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0" t="str">
        <f t="shared" si="4"/>
        <v>13881</v>
      </c>
      <c r="B100" s="41">
        <f t="shared" si="7"/>
        <v>135</v>
      </c>
      <c r="C100" s="10" t="str">
        <f t="shared" ca="1" si="5"/>
        <v>1PremiumS4</v>
      </c>
      <c r="D100" s="34" t="str">
        <f t="shared" ca="1" si="6"/>
        <v>1PremiumS4</v>
      </c>
      <c r="E100" s="32">
        <v>1</v>
      </c>
      <c r="F100" s="33">
        <v>388</v>
      </c>
      <c r="G100" s="34" t="str">
        <f ca="1">VLOOKUP($F100,OFFSET([1]characters!$A$2,0,0,COUNTA([1]characters!$A:$A),MATCH(G$1,[1]characters!$2:$2,0)-MATCH($F$1,[1]characters!$2:$2,0)+1),MATCH(G$1,[1]characters!$2:$2,0)-MATCH($F$1,[1]characters!$2:$2,0)+1,FALSE)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100" s="34" t="str">
        <f ca="1">VLOOKUP($F100,OFFSET([1]characters!$A$2,0,0,COUNTA([1]characters!$A:$A),MATCH(H$1,[1]characters!$2:$2,0)-MATCH($F$1,[1]characters!$2:$2,0)+1),MATCH(H$1,[1]characters!$2:$2,0)-MATCH($F$1,[1]characters!$2:$2,0)+1,FALSE)</f>
        <v>PremiumS</v>
      </c>
      <c r="I100" s="34">
        <f ca="1">VLOOKUP($F100,OFFSET([1]characters!$A$2,0,0,COUNTA([1]characters!$A:$A),MATCH(I$1,[1]characters!$2:$2,0)-MATCH($F$1,[1]characters!$2:$2,0)+1),MATCH(I$1,[1]characters!$2:$2,0)-MATCH($F$1,[1]characters!$2:$2,0)+1,FALSE)</f>
        <v>4</v>
      </c>
      <c r="J100" s="34" t="str">
        <f ca="1">VLOOKUP($F100,OFFSET([1]characters!$A$2,0,0,COUNTA([1]characters!$A:$A),MATCH(J$1,[1]characters!$2:$2,0)-MATCH($F$1,[1]characters!$2:$2,0)+1),MATCH(J$1,[1]characters!$2:$2,0)-MATCH($F$1,[1]characters!$2:$2,0)+1,FALSE)</f>
        <v>yellow</v>
      </c>
      <c r="K100" s="34" t="str">
        <f ca="1">VLOOKUP($F100,OFFSET([1]characters!$A$2,0,0,COUNTA([1]characters!$A:$A),MATCH("タイプ",[1]characters!$1:$1,0)-MATCH($F$1,[1]characters!$2:$2,0)+2),MATCH("タイプ",[1]characters!$1:$1,0)-MATCH($F$1,[1]characters!$2:$2,0)+2,FALSE)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0" s="34" t="str">
        <f ca="1">VLOOKUP($F100,OFFSET([1]characters!$A$2,0,0,COUNTA([1]characters!$A:$A),MATCH($L$1,[1]characters!$1:$1,0)-MATCH($F$1,[1]characters!$2:$2,0)+2),MATCH($L$1,[1]characters!$1:$1,0)-MATCH($F$1,[1]characters!$2:$2,0)+2,FALSE)</f>
        <v>アニマル</v>
      </c>
      <c r="M100" s="32">
        <v>1</v>
      </c>
      <c r="N100" s="42">
        <f ca="1">VLOOKUP(D100,gacha_133_base!A:B,2,FALSE)</f>
        <v>200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45" t="str">
        <f t="shared" si="4"/>
        <v>13891</v>
      </c>
      <c r="B101" s="2">
        <f t="shared" si="7"/>
        <v>135</v>
      </c>
      <c r="C101" s="10" t="str">
        <f t="shared" ca="1" si="5"/>
        <v>1PremiumS5</v>
      </c>
      <c r="D101" s="10" t="str">
        <f t="shared" ca="1" si="6"/>
        <v>1PremiumS5</v>
      </c>
      <c r="E101" s="6">
        <v>1</v>
      </c>
      <c r="F101" s="7">
        <v>389</v>
      </c>
      <c r="G101" s="10" t="str">
        <f ca="1">VLOOKUP($F101,OFFSET([1]characters!$A$2,0,0,COUNTA([1]characters!$A:$A),MATCH(G$1,[1]characters!$2:$2,0)-MATCH($F$1,[1]characters!$2:$2,0)+1),MATCH(G$1,[1]characters!$2:$2,0)-MATCH($F$1,[1]characters!$2:$2,0)+1,FALSE)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101" s="10" t="str">
        <f ca="1">VLOOKUP($F101,OFFSET([1]characters!$A$2,0,0,COUNTA([1]characters!$A:$A),MATCH(H$1,[1]characters!$2:$2,0)-MATCH($F$1,[1]characters!$2:$2,0)+1),MATCH(H$1,[1]characters!$2:$2,0)-MATCH($F$1,[1]characters!$2:$2,0)+1,FALSE)</f>
        <v>PremiumS</v>
      </c>
      <c r="I101" s="10">
        <f ca="1">VLOOKUP($F101,OFFSET([1]characters!$A$2,0,0,COUNTA([1]characters!$A:$A),MATCH(I$1,[1]characters!$2:$2,0)-MATCH($F$1,[1]characters!$2:$2,0)+1),MATCH(I$1,[1]characters!$2:$2,0)-MATCH($F$1,[1]characters!$2:$2,0)+1,FALSE)</f>
        <v>5</v>
      </c>
      <c r="J101" s="10" t="str">
        <f ca="1">VLOOKUP($F101,OFFSET([1]characters!$A$2,0,0,COUNTA([1]characters!$A:$A),MATCH(J$1,[1]characters!$2:$2,0)-MATCH($F$1,[1]characters!$2:$2,0)+1),MATCH(J$1,[1]characters!$2:$2,0)-MATCH($F$1,[1]characters!$2:$2,0)+1,FALSE)</f>
        <v>yellow</v>
      </c>
      <c r="K101" s="10" t="str">
        <f ca="1">VLOOKUP($F101,OFFSET([1]characters!$A$2,0,0,COUNTA([1]characters!$A:$A),MATCH("タイプ",[1]characters!$1:$1,0)-MATCH($F$1,[1]characters!$2:$2,0)+2),MATCH("タイプ",[1]characters!$1:$1,0)-MATCH($F$1,[1]characters!$2:$2,0)+2,FALSE)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1" s="10" t="str">
        <f ca="1">VLOOKUP($F101,OFFSET([1]characters!$A$2,0,0,COUNTA([1]characters!$A:$A),MATCH($L$1,[1]characters!$1:$1,0)-MATCH($F$1,[1]characters!$2:$2,0)+2),MATCH($L$1,[1]characters!$1:$1,0)-MATCH($F$1,[1]characters!$2:$2,0)+2,FALSE)</f>
        <v>アニマル</v>
      </c>
      <c r="M101" s="6">
        <v>1</v>
      </c>
      <c r="N101" s="40">
        <f ca="1">VLOOKUP(D101,gacha_133_base!A:B,2,FALSE)</f>
        <v>8</v>
      </c>
      <c r="O101" s="28">
        <v>0</v>
      </c>
      <c r="P101" s="28">
        <v>0</v>
      </c>
      <c r="Q101" s="28">
        <v>0</v>
      </c>
      <c r="R101" s="28">
        <v>0</v>
      </c>
      <c r="S101" s="28">
        <v>1</v>
      </c>
    </row>
    <row r="102" spans="1:19" ht="21" customHeight="1" thickBot="1">
      <c r="A102" s="22" t="str">
        <f t="shared" si="4"/>
        <v>13901</v>
      </c>
      <c r="B102" s="43">
        <f t="shared" si="7"/>
        <v>135</v>
      </c>
      <c r="C102" s="10" t="str">
        <f t="shared" ca="1" si="5"/>
        <v>1PremiumSS4</v>
      </c>
      <c r="D102" s="20" t="str">
        <f ca="1">E102&amp;H102&amp;I102&amp;"pick"</f>
        <v>1PremiumSS4pick</v>
      </c>
      <c r="E102" s="21">
        <v>1</v>
      </c>
      <c r="F102" s="31">
        <v>390</v>
      </c>
      <c r="G102" s="20" t="str">
        <f ca="1">VLOOKUP($F102,OFFSET([1]characters!$A$2,0,0,COUNTA([1]characters!$A:$A),MATCH(G$1,[1]characters!$2:$2,0)-MATCH($F$1,[1]characters!$2:$2,0)+1),MATCH(G$1,[1]characters!$2:$2,0)-MATCH($F$1,[1]characters!$2:$2,0)+1,FALSE)</f>
        <v>華環の旅客 親指姫</v>
      </c>
      <c r="H102" s="20" t="str">
        <f ca="1">VLOOKUP($F102,OFFSET([1]characters!$A$2,0,0,COUNTA([1]characters!$A:$A),MATCH(H$1,[1]characters!$2:$2,0)-MATCH($F$1,[1]characters!$2:$2,0)+1),MATCH(H$1,[1]characters!$2:$2,0)-MATCH($F$1,[1]characters!$2:$2,0)+1,FALSE)</f>
        <v>PremiumSS</v>
      </c>
      <c r="I102" s="20">
        <f ca="1">VLOOKUP($F102,OFFSET([1]characters!$A$2,0,0,COUNTA([1]characters!$A:$A),MATCH(I$1,[1]characters!$2:$2,0)-MATCH($F$1,[1]characters!$2:$2,0)+1),MATCH(I$1,[1]characters!$2:$2,0)-MATCH($F$1,[1]characters!$2:$2,0)+1,FALSE)</f>
        <v>4</v>
      </c>
      <c r="J102" s="20" t="str">
        <f ca="1">VLOOKUP($F102,OFFSET([1]characters!$A$2,0,0,COUNTA([1]characters!$A:$A),MATCH(J$1,[1]characters!$2:$2,0)-MATCH($F$1,[1]characters!$2:$2,0)+1),MATCH(J$1,[1]characters!$2:$2,0)-MATCH($F$1,[1]characters!$2:$2,0)+1,FALSE)</f>
        <v>red</v>
      </c>
      <c r="K102" s="20" t="str">
        <f ca="1">VLOOKUP($F102,OFFSET([1]characters!$A$2,0,0,COUNTA([1]characters!$A:$A),MATCH("タイプ",[1]characters!$1:$1,0)-MATCH($F$1,[1]characters!$2:$2,0)+2),MATCH("タイプ",[1]characters!$1:$1,0)-MATCH($F$1,[1]characters!$2:$2,0)+2,FALSE)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2" s="20" t="str">
        <f ca="1">VLOOKUP($F102,OFFSET([1]characters!$A$2,0,0,COUNTA([1]characters!$A:$A),MATCH($L$1,[1]characters!$1:$1,0)-MATCH($F$1,[1]characters!$2:$2,0)+2),MATCH($L$1,[1]characters!$1:$1,0)-MATCH($F$1,[1]characters!$2:$2,0)+2,FALSE)</f>
        <v>ヒューマン</v>
      </c>
      <c r="M102" s="21">
        <v>1</v>
      </c>
      <c r="N102" s="44">
        <f ca="1">VLOOKUP(D102,gacha_133_base!A:B,2,FALSE)</f>
        <v>960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 thickBot="1">
      <c r="A103" s="22" t="str">
        <f t="shared" si="4"/>
        <v>13911</v>
      </c>
      <c r="B103" s="2">
        <f t="shared" si="7"/>
        <v>135</v>
      </c>
      <c r="C103" s="10" t="str">
        <f t="shared" ca="1" si="5"/>
        <v>1PremiumSS5</v>
      </c>
      <c r="D103" s="20" t="str">
        <f t="shared" ref="D103:D109" ca="1" si="8">E103&amp;H103&amp;I103&amp;"pick"</f>
        <v>1PremiumSS5pick</v>
      </c>
      <c r="E103" s="6">
        <v>1</v>
      </c>
      <c r="F103" s="7">
        <v>391</v>
      </c>
      <c r="G103" s="10" t="str">
        <f ca="1">VLOOKUP($F103,OFFSET([1]characters!$A$2,0,0,COUNTA([1]characters!$A:$A),MATCH(G$1,[1]characters!$2:$2,0)-MATCH($F$1,[1]characters!$2:$2,0)+1),MATCH(G$1,[1]characters!$2:$2,0)-MATCH($F$1,[1]characters!$2:$2,0)+1,FALSE)</f>
        <v>燕翼の旅人 親指姫</v>
      </c>
      <c r="H103" s="10" t="str">
        <f ca="1">VLOOKUP($F103,OFFSET([1]characters!$A$2,0,0,COUNTA([1]characters!$A:$A),MATCH(H$1,[1]characters!$2:$2,0)-MATCH($F$1,[1]characters!$2:$2,0)+1),MATCH(H$1,[1]characters!$2:$2,0)-MATCH($F$1,[1]characters!$2:$2,0)+1,FALSE)</f>
        <v>PremiumSS</v>
      </c>
      <c r="I103" s="10">
        <f ca="1">VLOOKUP($F103,OFFSET([1]characters!$A$2,0,0,COUNTA([1]characters!$A:$A),MATCH(I$1,[1]characters!$2:$2,0)-MATCH($F$1,[1]characters!$2:$2,0)+1),MATCH(I$1,[1]characters!$2:$2,0)-MATCH($F$1,[1]characters!$2:$2,0)+1,FALSE)</f>
        <v>5</v>
      </c>
      <c r="J103" s="10" t="str">
        <f ca="1">VLOOKUP($F103,OFFSET([1]characters!$A$2,0,0,COUNTA([1]characters!$A:$A),MATCH(J$1,[1]characters!$2:$2,0)-MATCH($F$1,[1]characters!$2:$2,0)+1),MATCH(J$1,[1]characters!$2:$2,0)-MATCH($F$1,[1]characters!$2:$2,0)+1,FALSE)</f>
        <v>red</v>
      </c>
      <c r="K103" s="10" t="str">
        <f ca="1">VLOOKUP($F103,OFFSET([1]characters!$A$2,0,0,COUNTA([1]characters!$A:$A),MATCH("タイプ",[1]characters!$1:$1,0)-MATCH($F$1,[1]characters!$2:$2,0)+2),MATCH("タイプ",[1]characters!$1:$1,0)-MATCH($F$1,[1]characters!$2:$2,0)+2,FALSE)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3" s="10" t="str">
        <f ca="1">VLOOKUP($F103,OFFSET([1]characters!$A$2,0,0,COUNTA([1]characters!$A:$A),MATCH($L$1,[1]characters!$1:$1,0)-MATCH($F$1,[1]characters!$2:$2,0)+2),MATCH($L$1,[1]characters!$1:$1,0)-MATCH($F$1,[1]characters!$2:$2,0)+2,FALSE)</f>
        <v>ヒューマン</v>
      </c>
      <c r="M103" s="6">
        <v>1</v>
      </c>
      <c r="N103" s="40">
        <f ca="1">VLOOKUP(D103,gacha_133_base!A:B,2,FALSE)</f>
        <v>40</v>
      </c>
      <c r="O103" s="28">
        <v>0</v>
      </c>
      <c r="P103" s="28">
        <v>0</v>
      </c>
      <c r="Q103" s="28">
        <v>0</v>
      </c>
      <c r="R103" s="28">
        <v>0</v>
      </c>
      <c r="S103" s="28">
        <v>1</v>
      </c>
    </row>
    <row r="104" spans="1:19" ht="21" customHeight="1" thickBot="1">
      <c r="A104" s="22" t="str">
        <f t="shared" si="4"/>
        <v>13931</v>
      </c>
      <c r="B104" s="2">
        <f t="shared" si="7"/>
        <v>135</v>
      </c>
      <c r="C104" s="10" t="str">
        <f t="shared" ca="1" si="5"/>
        <v>1PremiumS4</v>
      </c>
      <c r="D104" s="20" t="str">
        <f t="shared" ca="1" si="8"/>
        <v>1PremiumS4pick</v>
      </c>
      <c r="E104" s="6">
        <v>1</v>
      </c>
      <c r="F104" s="7">
        <v>393</v>
      </c>
      <c r="G104" s="10" t="str">
        <f ca="1">VLOOKUP($F104,OFFSET([1]characters!$A$2,0,0,COUNTA([1]characters!$A:$A),MATCH(G$1,[1]characters!$2:$2,0)-MATCH($F$1,[1]characters!$2:$2,0)+1),MATCH(G$1,[1]characters!$2:$2,0)-MATCH($F$1,[1]characters!$2:$2,0)+1,FALSE)</f>
        <v>影縫い ピーターパン</v>
      </c>
      <c r="H104" s="10" t="str">
        <f ca="1">VLOOKUP($F104,OFFSET([1]characters!$A$2,0,0,COUNTA([1]characters!$A:$A),MATCH(H$1,[1]characters!$2:$2,0)-MATCH($F$1,[1]characters!$2:$2,0)+1),MATCH(H$1,[1]characters!$2:$2,0)-MATCH($F$1,[1]characters!$2:$2,0)+1,FALSE)</f>
        <v>PremiumS</v>
      </c>
      <c r="I104" s="10">
        <f ca="1">VLOOKUP($F104,OFFSET([1]characters!$A$2,0,0,COUNTA([1]characters!$A:$A),MATCH(I$1,[1]characters!$2:$2,0)-MATCH($F$1,[1]characters!$2:$2,0)+1),MATCH(I$1,[1]characters!$2:$2,0)-MATCH($F$1,[1]characters!$2:$2,0)+1,FALSE)</f>
        <v>4</v>
      </c>
      <c r="J104" s="10" t="str">
        <f ca="1">VLOOKUP($F104,OFFSET([1]characters!$A$2,0,0,COUNTA([1]characters!$A:$A),MATCH(J$1,[1]characters!$2:$2,0)-MATCH($F$1,[1]characters!$2:$2,0)+1),MATCH(J$1,[1]characters!$2:$2,0)-MATCH($F$1,[1]characters!$2:$2,0)+1,FALSE)</f>
        <v>green</v>
      </c>
      <c r="K104" s="10" t="str">
        <f ca="1">VLOOKUP($F104,OFFSET([1]characters!$A$2,0,0,COUNTA([1]characters!$A:$A),MATCH("タイプ",[1]characters!$1:$1,0)-MATCH($F$1,[1]characters!$2:$2,0)+2),MATCH("タイプ",[1]characters!$1:$1,0)-MATCH($F$1,[1]characters!$2:$2,0)+2,FALSE)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4" s="10" t="str">
        <f ca="1">VLOOKUP($F104,OFFSET([1]characters!$A$2,0,0,COUNTA([1]characters!$A:$A),MATCH($L$1,[1]characters!$1:$1,0)-MATCH($F$1,[1]characters!$2:$2,0)+2),MATCH($L$1,[1]characters!$1:$1,0)-MATCH($F$1,[1]characters!$2:$2,0)+2,FALSE)</f>
        <v>ヒューマン</v>
      </c>
      <c r="M104" s="6">
        <v>1</v>
      </c>
      <c r="N104" s="40">
        <f ca="1">VLOOKUP(D104,gacha_133_base!A:B,2,FALSE)</f>
        <v>3840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 thickBot="1">
      <c r="A105" s="22" t="str">
        <f t="shared" si="4"/>
        <v>13941</v>
      </c>
      <c r="B105" s="2">
        <f t="shared" si="7"/>
        <v>135</v>
      </c>
      <c r="C105" s="10" t="str">
        <f t="shared" ca="1" si="5"/>
        <v>1PremiumS5</v>
      </c>
      <c r="D105" s="20" t="str">
        <f t="shared" ca="1" si="8"/>
        <v>1PremiumS5pick</v>
      </c>
      <c r="E105" s="6">
        <v>1</v>
      </c>
      <c r="F105" s="7">
        <v>394</v>
      </c>
      <c r="G105" s="10" t="str">
        <f ca="1">VLOOKUP($F105,OFFSET([1]characters!$A$2,0,0,COUNTA([1]characters!$A:$A),MATCH(G$1,[1]characters!$2:$2,0)-MATCH($F$1,[1]characters!$2:$2,0)+1),MATCH(G$1,[1]characters!$2:$2,0)-MATCH($F$1,[1]characters!$2:$2,0)+1,FALSE)</f>
        <v>影求の悪童 ピーターパン</v>
      </c>
      <c r="H105" s="10" t="str">
        <f ca="1">VLOOKUP($F105,OFFSET([1]characters!$A$2,0,0,COUNTA([1]characters!$A:$A),MATCH(H$1,[1]characters!$2:$2,0)-MATCH($F$1,[1]characters!$2:$2,0)+1),MATCH(H$1,[1]characters!$2:$2,0)-MATCH($F$1,[1]characters!$2:$2,0)+1,FALSE)</f>
        <v>PremiumS</v>
      </c>
      <c r="I105" s="10">
        <f ca="1">VLOOKUP($F105,OFFSET([1]characters!$A$2,0,0,COUNTA([1]characters!$A:$A),MATCH(I$1,[1]characters!$2:$2,0)-MATCH($F$1,[1]characters!$2:$2,0)+1),MATCH(I$1,[1]characters!$2:$2,0)-MATCH($F$1,[1]characters!$2:$2,0)+1,FALSE)</f>
        <v>5</v>
      </c>
      <c r="J105" s="10" t="str">
        <f ca="1">VLOOKUP($F105,OFFSET([1]characters!$A$2,0,0,COUNTA([1]characters!$A:$A),MATCH(J$1,[1]characters!$2:$2,0)-MATCH($F$1,[1]characters!$2:$2,0)+1),MATCH(J$1,[1]characters!$2:$2,0)-MATCH($F$1,[1]characters!$2:$2,0)+1,FALSE)</f>
        <v>green</v>
      </c>
      <c r="K105" s="10" t="str">
        <f ca="1">VLOOKUP($F105,OFFSET([1]characters!$A$2,0,0,COUNTA([1]characters!$A:$A),MATCH("タイプ",[1]characters!$1:$1,0)-MATCH($F$1,[1]characters!$2:$2,0)+2),MATCH("タイプ",[1]characters!$1:$1,0)-MATCH($F$1,[1]characters!$2:$2,0)+2,FALSE)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5" s="10" t="str">
        <f ca="1">VLOOKUP($F105,OFFSET([1]characters!$A$2,0,0,COUNTA([1]characters!$A:$A),MATCH($L$1,[1]characters!$1:$1,0)-MATCH($F$1,[1]characters!$2:$2,0)+2),MATCH($L$1,[1]characters!$1:$1,0)-MATCH($F$1,[1]characters!$2:$2,0)+2,FALSE)</f>
        <v>ヒューマン</v>
      </c>
      <c r="M105" s="6">
        <v>1</v>
      </c>
      <c r="N105" s="40">
        <f ca="1">VLOOKUP(D105,gacha_133_base!A:B,2,FALSE)</f>
        <v>160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30" t="str">
        <f t="shared" si="4"/>
        <v>13961</v>
      </c>
      <c r="B106" s="2">
        <f t="shared" si="7"/>
        <v>135</v>
      </c>
      <c r="C106" s="10" t="str">
        <f t="shared" ca="1" si="5"/>
        <v>1PremiumS4</v>
      </c>
      <c r="D106" s="20" t="str">
        <f t="shared" ca="1" si="8"/>
        <v>1PremiumS4pick</v>
      </c>
      <c r="E106" s="32">
        <v>1</v>
      </c>
      <c r="F106" s="7">
        <v>396</v>
      </c>
      <c r="G106" s="34" t="str">
        <f ca="1">VLOOKUP($F106,OFFSET([1]characters!$A$2,0,0,COUNTA([1]characters!$A:$A),MATCH(G$1,[1]characters!$2:$2,0)-MATCH($F$1,[1]characters!$2:$2,0)+1),MATCH(G$1,[1]characters!$2:$2,0)-MATCH($F$1,[1]characters!$2:$2,0)+1,FALSE)</f>
        <v>竜宮の水雷 乙姫</v>
      </c>
      <c r="H106" s="34" t="str">
        <f ca="1">VLOOKUP($F106,OFFSET([1]characters!$A$2,0,0,COUNTA([1]characters!$A:$A),MATCH(H$1,[1]characters!$2:$2,0)-MATCH($F$1,[1]characters!$2:$2,0)+1),MATCH(H$1,[1]characters!$2:$2,0)-MATCH($F$1,[1]characters!$2:$2,0)+1,FALSE)</f>
        <v>PremiumS</v>
      </c>
      <c r="I106" s="34">
        <f ca="1">VLOOKUP($F106,OFFSET([1]characters!$A$2,0,0,COUNTA([1]characters!$A:$A),MATCH(I$1,[1]characters!$2:$2,0)-MATCH($F$1,[1]characters!$2:$2,0)+1),MATCH(I$1,[1]characters!$2:$2,0)-MATCH($F$1,[1]characters!$2:$2,0)+1,FALSE)</f>
        <v>4</v>
      </c>
      <c r="J106" s="34" t="str">
        <f ca="1">VLOOKUP($F106,OFFSET([1]characters!$A$2,0,0,COUNTA([1]characters!$A:$A),MATCH(J$1,[1]characters!$2:$2,0)-MATCH($F$1,[1]characters!$2:$2,0)+1),MATCH(J$1,[1]characters!$2:$2,0)-MATCH($F$1,[1]characters!$2:$2,0)+1,FALSE)</f>
        <v>blue</v>
      </c>
      <c r="K106" s="34" t="str">
        <f ca="1">VLOOKUP($F106,OFFSET([1]characters!$A$2,0,0,COUNTA([1]characters!$A:$A),MATCH("タイプ",[1]characters!$1:$1,0)-MATCH($F$1,[1]characters!$2:$2,0)+2),MATCH("タイプ",[1]characters!$1:$1,0)-MATCH($F$1,[1]characters!$2:$2,0)+2,FALSE)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06" s="34" t="str">
        <f ca="1">VLOOKUP($F106,OFFSET([1]characters!$A$2,0,0,COUNTA([1]characters!$A:$A),MATCH($L$1,[1]characters!$1:$1,0)-MATCH($F$1,[1]characters!$2:$2,0)+2),MATCH($L$1,[1]characters!$1:$1,0)-MATCH($F$1,[1]characters!$2:$2,0)+2,FALSE)</f>
        <v>ヒューマン</v>
      </c>
      <c r="M106" s="32">
        <v>1</v>
      </c>
      <c r="N106" s="40">
        <f ca="1">VLOOKUP(D106,gacha_133_base!A:B,2,FALSE)</f>
        <v>3840</v>
      </c>
      <c r="O106" s="35">
        <v>0</v>
      </c>
      <c r="P106" s="35">
        <v>0</v>
      </c>
      <c r="Q106" s="35">
        <v>0</v>
      </c>
      <c r="R106" s="35">
        <v>0</v>
      </c>
      <c r="S106" s="35">
        <v>1</v>
      </c>
    </row>
    <row r="107" spans="1:19" s="37" customFormat="1" ht="21" customHeight="1" thickBot="1">
      <c r="A107" s="36" t="str">
        <f t="shared" si="4"/>
        <v>13971</v>
      </c>
      <c r="B107" s="2">
        <f t="shared" si="7"/>
        <v>135</v>
      </c>
      <c r="C107" s="10" t="str">
        <f t="shared" ca="1" si="5"/>
        <v>1PremiumS5</v>
      </c>
      <c r="D107" s="20" t="str">
        <f t="shared" ca="1" si="8"/>
        <v>1PremiumS5pick</v>
      </c>
      <c r="E107" s="24">
        <v>1</v>
      </c>
      <c r="F107" s="7">
        <v>397</v>
      </c>
      <c r="G107" s="23" t="str">
        <f ca="1">VLOOKUP($F107,OFFSET([1]characters!$A$2,0,0,COUNTA([1]characters!$A:$A),MATCH(G$1,[1]characters!$2:$2,0)-MATCH($F$1,[1]characters!$2:$2,0)+1),MATCH(G$1,[1]characters!$2:$2,0)-MATCH($F$1,[1]characters!$2:$2,0)+1,FALSE)</f>
        <v>禁断の追箱 乙姫</v>
      </c>
      <c r="H107" s="23" t="str">
        <f ca="1">VLOOKUP($F107,OFFSET([1]characters!$A$2,0,0,COUNTA([1]characters!$A:$A),MATCH(H$1,[1]characters!$2:$2,0)-MATCH($F$1,[1]characters!$2:$2,0)+1),MATCH(H$1,[1]characters!$2:$2,0)-MATCH($F$1,[1]characters!$2:$2,0)+1,FALSE)</f>
        <v>PremiumS</v>
      </c>
      <c r="I107" s="23">
        <f ca="1">VLOOKUP($F107,OFFSET([1]characters!$A$2,0,0,COUNTA([1]characters!$A:$A),MATCH(I$1,[1]characters!$2:$2,0)-MATCH($F$1,[1]characters!$2:$2,0)+1),MATCH(I$1,[1]characters!$2:$2,0)-MATCH($F$1,[1]characters!$2:$2,0)+1,FALSE)</f>
        <v>5</v>
      </c>
      <c r="J107" s="23" t="str">
        <f ca="1">VLOOKUP($F107,OFFSET([1]characters!$A$2,0,0,COUNTA([1]characters!$A:$A),MATCH(J$1,[1]characters!$2:$2,0)-MATCH($F$1,[1]characters!$2:$2,0)+1),MATCH(J$1,[1]characters!$2:$2,0)-MATCH($F$1,[1]characters!$2:$2,0)+1,FALSE)</f>
        <v>blue</v>
      </c>
      <c r="K107" s="23" t="str">
        <f ca="1">VLOOKUP($F107,OFFSET([1]characters!$A$2,0,0,COUNTA([1]characters!$A:$A),MATCH("タイプ",[1]characters!$1:$1,0)-MATCH($F$1,[1]characters!$2:$2,0)+2),MATCH("タイプ",[1]characters!$1:$1,0)-MATCH($F$1,[1]characters!$2:$2,0)+2,FALSE)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07" s="23" t="str">
        <f ca="1">VLOOKUP($F107,OFFSET([1]characters!$A$2,0,0,COUNTA([1]characters!$A:$A),MATCH($L$1,[1]characters!$1:$1,0)-MATCH($F$1,[1]characters!$2:$2,0)+2),MATCH($L$1,[1]characters!$1:$1,0)-MATCH($F$1,[1]characters!$2:$2,0)+2,FALSE)</f>
        <v>ヒューマン</v>
      </c>
      <c r="M107" s="24">
        <v>1</v>
      </c>
      <c r="N107" s="40">
        <f ca="1">VLOOKUP(D107,gacha_133_base!A:B,2,FALSE)</f>
        <v>160</v>
      </c>
      <c r="O107" s="29">
        <v>0</v>
      </c>
      <c r="P107" s="29">
        <v>0</v>
      </c>
      <c r="Q107" s="29">
        <v>0</v>
      </c>
      <c r="R107" s="29">
        <v>0</v>
      </c>
      <c r="S107" s="29">
        <v>1</v>
      </c>
    </row>
    <row r="108" spans="1:19" ht="21" customHeight="1">
      <c r="A108" s="30" t="str">
        <f t="shared" si="4"/>
        <v>13981</v>
      </c>
      <c r="B108" s="2">
        <f t="shared" si="7"/>
        <v>135</v>
      </c>
      <c r="C108" s="10" t="str">
        <f t="shared" ca="1" si="5"/>
        <v>1PremiumSS4</v>
      </c>
      <c r="D108" s="20" t="str">
        <f t="shared" ca="1" si="8"/>
        <v>1PremiumSS4pick</v>
      </c>
      <c r="E108" s="32">
        <v>1</v>
      </c>
      <c r="F108" s="7">
        <v>398</v>
      </c>
      <c r="G108" s="34" t="str">
        <f ca="1">VLOOKUP($F108,OFFSET([1]characters!$A$2,0,0,COUNTA([1]characters!$A:$A),MATCH(G$1,[1]characters!$2:$2,0)-MATCH($F$1,[1]characters!$2:$2,0)+1),MATCH(G$1,[1]characters!$2:$2,0)-MATCH($F$1,[1]characters!$2:$2,0)+1,FALSE)</f>
        <v>ヘンゼル＆グレーテル</v>
      </c>
      <c r="H108" s="34" t="str">
        <f ca="1">VLOOKUP($F108,OFFSET([1]characters!$A$2,0,0,COUNTA([1]characters!$A:$A),MATCH(H$1,[1]characters!$2:$2,0)-MATCH($F$1,[1]characters!$2:$2,0)+1),MATCH(H$1,[1]characters!$2:$2,0)-MATCH($F$1,[1]characters!$2:$2,0)+1,FALSE)</f>
        <v>PremiumSS</v>
      </c>
      <c r="I108" s="34">
        <f ca="1">VLOOKUP($F108,OFFSET([1]characters!$A$2,0,0,COUNTA([1]characters!$A:$A),MATCH(I$1,[1]characters!$2:$2,0)-MATCH($F$1,[1]characters!$2:$2,0)+1),MATCH(I$1,[1]characters!$2:$2,0)-MATCH($F$1,[1]characters!$2:$2,0)+1,FALSE)</f>
        <v>4</v>
      </c>
      <c r="J108" s="34" t="str">
        <f ca="1">VLOOKUP($F108,OFFSET([1]characters!$A$2,0,0,COUNTA([1]characters!$A:$A),MATCH(J$1,[1]characters!$2:$2,0)-MATCH($F$1,[1]characters!$2:$2,0)+1),MATCH(J$1,[1]characters!$2:$2,0)-MATCH($F$1,[1]characters!$2:$2,0)+1,FALSE)</f>
        <v>yellow</v>
      </c>
      <c r="K108" s="34" t="str">
        <f ca="1">VLOOKUP($F108,OFFSET([1]characters!$A$2,0,0,COUNTA([1]characters!$A:$A),MATCH("タイプ",[1]characters!$1:$1,0)-MATCH($F$1,[1]characters!$2:$2,0)+2),MATCH("タイプ",[1]characters!$1:$1,0)-MATCH($F$1,[1]characters!$2:$2,0)+2,FALSE)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8" s="34" t="str">
        <f ca="1">VLOOKUP($F108,OFFSET([1]characters!$A$2,0,0,COUNTA([1]characters!$A:$A),MATCH($L$1,[1]characters!$1:$1,0)-MATCH($F$1,[1]characters!$2:$2,0)+2),MATCH($L$1,[1]characters!$1:$1,0)-MATCH($F$1,[1]characters!$2:$2,0)+2,FALSE)</f>
        <v>ヒューマン</v>
      </c>
      <c r="M108" s="32">
        <v>1</v>
      </c>
      <c r="N108" s="40">
        <f ca="1">VLOOKUP(D108,gacha_133_base!A:B,2,FALSE)</f>
        <v>960</v>
      </c>
      <c r="O108" s="35">
        <v>0</v>
      </c>
      <c r="P108" s="35">
        <v>0</v>
      </c>
      <c r="Q108" s="35">
        <v>0</v>
      </c>
      <c r="R108" s="35">
        <v>0</v>
      </c>
      <c r="S108" s="35">
        <v>1</v>
      </c>
    </row>
    <row r="109" spans="1:19" s="37" customFormat="1" ht="21" customHeight="1" thickBot="1">
      <c r="A109" s="36" t="str">
        <f t="shared" si="4"/>
        <v>13991</v>
      </c>
      <c r="B109" s="2">
        <f t="shared" si="7"/>
        <v>135</v>
      </c>
      <c r="C109" s="10" t="str">
        <f t="shared" ca="1" si="5"/>
        <v>1PremiumSS5</v>
      </c>
      <c r="D109" s="20" t="str">
        <f t="shared" ca="1" si="8"/>
        <v>1PremiumSS5pick</v>
      </c>
      <c r="E109" s="24">
        <v>1</v>
      </c>
      <c r="F109" s="7">
        <v>399</v>
      </c>
      <c r="G109" s="23" t="str">
        <f ca="1">VLOOKUP($F109,OFFSET([1]characters!$A$2,0,0,COUNTA([1]characters!$A:$A),MATCH(G$1,[1]characters!$2:$2,0)-MATCH($F$1,[1]characters!$2:$2,0)+1),MATCH(G$1,[1]characters!$2:$2,0)-MATCH($F$1,[1]characters!$2:$2,0)+1,FALSE)</f>
        <v>信愛の兄妹 ヘンゼル＆グレーテル</v>
      </c>
      <c r="H109" s="23" t="str">
        <f ca="1">VLOOKUP($F109,OFFSET([1]characters!$A$2,0,0,COUNTA([1]characters!$A:$A),MATCH(H$1,[1]characters!$2:$2,0)-MATCH($F$1,[1]characters!$2:$2,0)+1),MATCH(H$1,[1]characters!$2:$2,0)-MATCH($F$1,[1]characters!$2:$2,0)+1,FALSE)</f>
        <v>PremiumSS</v>
      </c>
      <c r="I109" s="23">
        <f ca="1">VLOOKUP($F109,OFFSET([1]characters!$A$2,0,0,COUNTA([1]characters!$A:$A),MATCH(I$1,[1]characters!$2:$2,0)-MATCH($F$1,[1]characters!$2:$2,0)+1),MATCH(I$1,[1]characters!$2:$2,0)-MATCH($F$1,[1]characters!$2:$2,0)+1,FALSE)</f>
        <v>5</v>
      </c>
      <c r="J109" s="23" t="str">
        <f ca="1">VLOOKUP($F109,OFFSET([1]characters!$A$2,0,0,COUNTA([1]characters!$A:$A),MATCH(J$1,[1]characters!$2:$2,0)-MATCH($F$1,[1]characters!$2:$2,0)+1),MATCH(J$1,[1]characters!$2:$2,0)-MATCH($F$1,[1]characters!$2:$2,0)+1,FALSE)</f>
        <v>yellow</v>
      </c>
      <c r="K109" s="23" t="str">
        <f ca="1">VLOOKUP($F109,OFFSET([1]characters!$A$2,0,0,COUNTA([1]characters!$A:$A),MATCH("タイプ",[1]characters!$1:$1,0)-MATCH($F$1,[1]characters!$2:$2,0)+2),MATCH("タイプ",[1]characters!$1:$1,0)-MATCH($F$1,[1]characters!$2:$2,0)+2,FALSE)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9" s="23" t="str">
        <f ca="1">VLOOKUP($F109,OFFSET([1]characters!$A$2,0,0,COUNTA([1]characters!$A:$A),MATCH($L$1,[1]characters!$1:$1,0)-MATCH($F$1,[1]characters!$2:$2,0)+2),MATCH($L$1,[1]characters!$1:$1,0)-MATCH($F$1,[1]characters!$2:$2,0)+2,FALSE)</f>
        <v>ヒューマン</v>
      </c>
      <c r="M109" s="24">
        <v>1</v>
      </c>
      <c r="N109" s="40">
        <f ca="1">VLOOKUP(D109,gacha_133_base!A:B,2,FALSE)</f>
        <v>40</v>
      </c>
      <c r="O109" s="29">
        <v>0</v>
      </c>
      <c r="P109" s="29">
        <v>0</v>
      </c>
      <c r="Q109" s="29">
        <v>0</v>
      </c>
      <c r="R109" s="29">
        <v>0</v>
      </c>
      <c r="S109" s="29">
        <v>1</v>
      </c>
    </row>
    <row r="110" spans="1:19" ht="21" customHeight="1">
      <c r="A110" s="8" t="str">
        <f t="shared" si="4"/>
        <v>01261</v>
      </c>
      <c r="B110" s="2">
        <f t="shared" si="7"/>
        <v>135</v>
      </c>
      <c r="C110" s="10" t="str">
        <f t="shared" ca="1" si="5"/>
        <v>0PremiumW3</v>
      </c>
      <c r="D110" s="10" t="str">
        <f t="shared" ca="1" si="6"/>
        <v>0PremiumW3</v>
      </c>
      <c r="E110" s="21">
        <v>0</v>
      </c>
      <c r="F110" s="27">
        <v>126</v>
      </c>
      <c r="G110" s="20" t="str">
        <f ca="1">VLOOKUP($F110,OFFSET([1]characters!$A$2,0,0,COUNTA([1]characters!$A:$A),MATCH(G$1,[1]characters!$2:$2,0)-MATCH($F$1,[1]characters!$2:$2,0)+1),MATCH(G$1,[1]characters!$2:$2,0)-MATCH($F$1,[1]characters!$2:$2,0)+1,FALSE)</f>
        <v>骨器使い ユノ</v>
      </c>
      <c r="H110" s="20" t="str">
        <f ca="1">VLOOKUP($F110,OFFSET([1]characters!$A$2,0,0,COUNTA([1]characters!$A:$A),MATCH(H$1,[1]characters!$2:$2,0)-MATCH($F$1,[1]characters!$2:$2,0)+1),MATCH(H$1,[1]characters!$2:$2,0)-MATCH($F$1,[1]characters!$2:$2,0)+1,FALSE)</f>
        <v>PremiumW</v>
      </c>
      <c r="I110" s="20">
        <f ca="1">VLOOKUP($F110,OFFSET([1]characters!$A$2,0,0,COUNTA([1]characters!$A:$A),MATCH(I$1,[1]characters!$2:$2,0)-MATCH($F$1,[1]characters!$2:$2,0)+1),MATCH(I$1,[1]characters!$2:$2,0)-MATCH($F$1,[1]characters!$2:$2,0)+1,FALSE)</f>
        <v>3</v>
      </c>
      <c r="J110" s="20" t="str">
        <f ca="1">VLOOKUP($F110,OFFSET([1]characters!$A$2,0,0,COUNTA([1]characters!$A:$A),MATCH(J$1,[1]characters!$2:$2,0)-MATCH($F$1,[1]characters!$2:$2,0)+1),MATCH(J$1,[1]characters!$2:$2,0)-MATCH($F$1,[1]characters!$2:$2,0)+1,FALSE)</f>
        <v>red</v>
      </c>
      <c r="K110" s="20" t="str">
        <f ca="1">VLOOKUP($F110,OFFSET([1]characters!$A$2,0,0,COUNTA([1]characters!$A:$A),MATCH("タイプ",[1]characters!$1:$1,0)-MATCH($F$1,[1]characters!$2:$2,0)+2),MATCH("タイプ",[1]characters!$1:$1,0)-MATCH($F$1,[1]characters!$2:$2,0)+2,FALSE)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0" s="20" t="str">
        <f ca="1">VLOOKUP($F110,OFFSET([1]characters!$A$2,0,0,COUNTA([1]characters!$A:$A),MATCH($L$1,[1]characters!$1:$1,0)-MATCH($F$1,[1]characters!$2:$2,0)+2),MATCH($L$1,[1]characters!$1:$1,0)-MATCH($F$1,[1]characters!$2:$2,0)+2,FALSE)</f>
        <v>ヒューマン</v>
      </c>
      <c r="M110" s="21">
        <v>1</v>
      </c>
      <c r="N110" s="40">
        <f ca="1">VLOOKUP(D110,gacha_133_base!A:B,2,FALSE)</f>
        <v>2433</v>
      </c>
      <c r="O110" s="18">
        <v>0</v>
      </c>
      <c r="P110" s="18">
        <v>0</v>
      </c>
      <c r="Q110" s="18">
        <v>0</v>
      </c>
      <c r="R110" s="18">
        <v>0</v>
      </c>
      <c r="S110" s="18">
        <v>1</v>
      </c>
    </row>
    <row r="111" spans="1:19" ht="21" customHeight="1">
      <c r="A111" s="8" t="str">
        <f t="shared" si="4"/>
        <v>01281</v>
      </c>
      <c r="B111" s="2">
        <f t="shared" si="7"/>
        <v>135</v>
      </c>
      <c r="C111" s="10" t="str">
        <f t="shared" ca="1" si="5"/>
        <v>0PremiumW3</v>
      </c>
      <c r="D111" s="10" t="str">
        <f t="shared" ca="1" si="6"/>
        <v>0PremiumW3</v>
      </c>
      <c r="E111" s="21">
        <v>0</v>
      </c>
      <c r="F111" s="27">
        <v>128</v>
      </c>
      <c r="G111" s="20" t="str">
        <f ca="1">VLOOKUP($F111,OFFSET([1]characters!$A$2,0,0,COUNTA([1]characters!$A:$A),MATCH(G$1,[1]characters!$2:$2,0)-MATCH($F$1,[1]characters!$2:$2,0)+1),MATCH(G$1,[1]characters!$2:$2,0)-MATCH($F$1,[1]characters!$2:$2,0)+1,FALSE)</f>
        <v>野生児 アマラ</v>
      </c>
      <c r="H111" s="20" t="str">
        <f ca="1">VLOOKUP($F111,OFFSET([1]characters!$A$2,0,0,COUNTA([1]characters!$A:$A),MATCH(H$1,[1]characters!$2:$2,0)-MATCH($F$1,[1]characters!$2:$2,0)+1),MATCH(H$1,[1]characters!$2:$2,0)-MATCH($F$1,[1]characters!$2:$2,0)+1,FALSE)</f>
        <v>PremiumW</v>
      </c>
      <c r="I111" s="20">
        <f ca="1">VLOOKUP($F111,OFFSET([1]characters!$A$2,0,0,COUNTA([1]characters!$A:$A),MATCH(I$1,[1]characters!$2:$2,0)-MATCH($F$1,[1]characters!$2:$2,0)+1),MATCH(I$1,[1]characters!$2:$2,0)-MATCH($F$1,[1]characters!$2:$2,0)+1,FALSE)</f>
        <v>3</v>
      </c>
      <c r="J111" s="20" t="str">
        <f ca="1">VLOOKUP($F111,OFFSET([1]characters!$A$2,0,0,COUNTA([1]characters!$A:$A),MATCH(J$1,[1]characters!$2:$2,0)-MATCH($F$1,[1]characters!$2:$2,0)+1),MATCH(J$1,[1]characters!$2:$2,0)-MATCH($F$1,[1]characters!$2:$2,0)+1,FALSE)</f>
        <v>green</v>
      </c>
      <c r="K111" s="20" t="str">
        <f ca="1">VLOOKUP($F111,OFFSET([1]characters!$A$2,0,0,COUNTA([1]characters!$A:$A),MATCH("タイプ",[1]characters!$1:$1,0)-MATCH($F$1,[1]characters!$2:$2,0)+2),MATCH("タイプ",[1]characters!$1:$1,0)-MATCH($F$1,[1]characters!$2:$2,0)+2,FALSE)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1" s="20" t="str">
        <f ca="1">VLOOKUP($F111,OFFSET([1]characters!$A$2,0,0,COUNTA([1]characters!$A:$A),MATCH($L$1,[1]characters!$1:$1,0)-MATCH($F$1,[1]characters!$2:$2,0)+2),MATCH($L$1,[1]characters!$1:$1,0)-MATCH($F$1,[1]characters!$2:$2,0)+2,FALSE)</f>
        <v>ヒューマン</v>
      </c>
      <c r="M111" s="21">
        <v>1</v>
      </c>
      <c r="N111" s="40">
        <f ca="1">VLOOKUP(D111,gacha_133_base!A:B,2,FALSE)</f>
        <v>2433</v>
      </c>
      <c r="O111" s="18">
        <v>0</v>
      </c>
      <c r="P111" s="18">
        <v>0</v>
      </c>
      <c r="Q111" s="18">
        <v>0</v>
      </c>
      <c r="R111" s="18">
        <v>0</v>
      </c>
      <c r="S111" s="18">
        <v>1</v>
      </c>
    </row>
    <row r="112" spans="1:19" ht="21" customHeight="1">
      <c r="A112" s="8" t="str">
        <f t="shared" si="4"/>
        <v>01301</v>
      </c>
      <c r="B112" s="2">
        <f t="shared" si="7"/>
        <v>135</v>
      </c>
      <c r="C112" s="10" t="str">
        <f t="shared" ca="1" si="5"/>
        <v>0PremiumW3</v>
      </c>
      <c r="D112" s="10" t="str">
        <f t="shared" ca="1" si="6"/>
        <v>0PremiumW3</v>
      </c>
      <c r="E112" s="6">
        <v>0</v>
      </c>
      <c r="F112" s="7">
        <v>130</v>
      </c>
      <c r="G112" s="10" t="str">
        <f ca="1">VLOOKUP($F112,OFFSET([1]characters!$A$2,0,0,COUNTA([1]characters!$A:$A),MATCH(G$1,[1]characters!$2:$2,0)-MATCH($F$1,[1]characters!$2:$2,0)+1),MATCH(G$1,[1]characters!$2:$2,0)-MATCH($F$1,[1]characters!$2:$2,0)+1,FALSE)</f>
        <v>狼男 ローレンス</v>
      </c>
      <c r="H112" s="10" t="str">
        <f ca="1">VLOOKUP($F112,OFFSET([1]characters!$A$2,0,0,COUNTA([1]characters!$A:$A),MATCH(H$1,[1]characters!$2:$2,0)-MATCH($F$1,[1]characters!$2:$2,0)+1),MATCH(H$1,[1]characters!$2:$2,0)-MATCH($F$1,[1]characters!$2:$2,0)+1,FALSE)</f>
        <v>PremiumW</v>
      </c>
      <c r="I112" s="10">
        <f ca="1">VLOOKUP($F112,OFFSET([1]characters!$A$2,0,0,COUNTA([1]characters!$A:$A),MATCH(I$1,[1]characters!$2:$2,0)-MATCH($F$1,[1]characters!$2:$2,0)+1),MATCH(I$1,[1]characters!$2:$2,0)-MATCH($F$1,[1]characters!$2:$2,0)+1,FALSE)</f>
        <v>3</v>
      </c>
      <c r="J112" s="10" t="str">
        <f ca="1">VLOOKUP($F112,OFFSET([1]characters!$A$2,0,0,COUNTA([1]characters!$A:$A),MATCH(J$1,[1]characters!$2:$2,0)-MATCH($F$1,[1]characters!$2:$2,0)+1),MATCH(J$1,[1]characters!$2:$2,0)-MATCH($F$1,[1]characters!$2:$2,0)+1,FALSE)</f>
        <v>blue</v>
      </c>
      <c r="K112" s="10" t="str">
        <f ca="1">VLOOKUP($F112,OFFSET([1]characters!$A$2,0,0,COUNTA([1]characters!$A:$A),MATCH("タイプ",[1]characters!$1:$1,0)-MATCH($F$1,[1]characters!$2:$2,0)+2),MATCH("タイプ",[1]characters!$1:$1,0)-MATCH($F$1,[1]characters!$2:$2,0)+2,FALSE)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2" s="10" t="str">
        <f ca="1">VLOOKUP($F112,OFFSET([1]characters!$A$2,0,0,COUNTA([1]characters!$A:$A),MATCH($L$1,[1]characters!$1:$1,0)-MATCH($F$1,[1]characters!$2:$2,0)+2),MATCH($L$1,[1]characters!$1:$1,0)-MATCH($F$1,[1]characters!$2:$2,0)+2,FALSE)</f>
        <v>アニマル</v>
      </c>
      <c r="M112" s="6">
        <v>1</v>
      </c>
      <c r="N112" s="40">
        <f ca="1">VLOOKUP(D112,gacha_133_base!A:B,2,FALSE)</f>
        <v>2433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4"/>
        <v>01321</v>
      </c>
      <c r="B113" s="2">
        <f t="shared" si="7"/>
        <v>135</v>
      </c>
      <c r="C113" s="10" t="str">
        <f t="shared" ca="1" si="5"/>
        <v>0PremiumW3</v>
      </c>
      <c r="D113" s="10" t="str">
        <f t="shared" ca="1" si="6"/>
        <v>0PremiumW3</v>
      </c>
      <c r="E113" s="6">
        <v>0</v>
      </c>
      <c r="F113" s="7">
        <v>132</v>
      </c>
      <c r="G113" s="10" t="str">
        <f ca="1">VLOOKUP($F113,OFFSET([1]characters!$A$2,0,0,COUNTA([1]characters!$A:$A),MATCH(G$1,[1]characters!$2:$2,0)-MATCH($F$1,[1]characters!$2:$2,0)+1),MATCH(G$1,[1]characters!$2:$2,0)-MATCH($F$1,[1]characters!$2:$2,0)+1,FALSE)</f>
        <v>鳥人ハヤト</v>
      </c>
      <c r="H113" s="10" t="str">
        <f ca="1">VLOOKUP($F113,OFFSET([1]characters!$A$2,0,0,COUNTA([1]characters!$A:$A),MATCH(H$1,[1]characters!$2:$2,0)-MATCH($F$1,[1]characters!$2:$2,0)+1),MATCH(H$1,[1]characters!$2:$2,0)-MATCH($F$1,[1]characters!$2:$2,0)+1,FALSE)</f>
        <v>PremiumW</v>
      </c>
      <c r="I113" s="10">
        <f ca="1">VLOOKUP($F113,OFFSET([1]characters!$A$2,0,0,COUNTA([1]characters!$A:$A),MATCH(I$1,[1]characters!$2:$2,0)-MATCH($F$1,[1]characters!$2:$2,0)+1),MATCH(I$1,[1]characters!$2:$2,0)-MATCH($F$1,[1]characters!$2:$2,0)+1,FALSE)</f>
        <v>3</v>
      </c>
      <c r="J113" s="10" t="str">
        <f ca="1">VLOOKUP($F113,OFFSET([1]characters!$A$2,0,0,COUNTA([1]characters!$A:$A),MATCH(J$1,[1]characters!$2:$2,0)-MATCH($F$1,[1]characters!$2:$2,0)+1),MATCH(J$1,[1]characters!$2:$2,0)-MATCH($F$1,[1]characters!$2:$2,0)+1,FALSE)</f>
        <v>yellow</v>
      </c>
      <c r="K113" s="10" t="str">
        <f ca="1">VLOOKUP($F113,OFFSET([1]characters!$A$2,0,0,COUNTA([1]characters!$A:$A),MATCH("タイプ",[1]characters!$1:$1,0)-MATCH($F$1,[1]characters!$2:$2,0)+2),MATCH("タイプ",[1]characters!$1:$1,0)-MATCH($F$1,[1]characters!$2:$2,0)+2,FALSE)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13" s="10" t="str">
        <f ca="1">VLOOKUP($F113,OFFSET([1]characters!$A$2,0,0,COUNTA([1]characters!$A:$A),MATCH($L$1,[1]characters!$1:$1,0)-MATCH($F$1,[1]characters!$2:$2,0)+2),MATCH($L$1,[1]characters!$1:$1,0)-MATCH($F$1,[1]characters!$2:$2,0)+2,FALSE)</f>
        <v>ヒューマン</v>
      </c>
      <c r="M113" s="6">
        <v>1</v>
      </c>
      <c r="N113" s="40">
        <f ca="1">VLOOKUP(D113,gacha_133_base!A:B,2,FALSE)</f>
        <v>2433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4"/>
        <v>01341</v>
      </c>
      <c r="B114" s="2">
        <f t="shared" si="7"/>
        <v>135</v>
      </c>
      <c r="C114" s="10" t="str">
        <f t="shared" ca="1" si="5"/>
        <v>0PremiumW3</v>
      </c>
      <c r="D114" s="10" t="str">
        <f t="shared" ca="1" si="6"/>
        <v>0PremiumW3</v>
      </c>
      <c r="E114" s="6">
        <v>0</v>
      </c>
      <c r="F114" s="7">
        <v>134</v>
      </c>
      <c r="G114" s="10" t="str">
        <f ca="1">VLOOKUP($F114,OFFSET([1]characters!$A$2,0,0,COUNTA([1]characters!$A:$A),MATCH(G$1,[1]characters!$2:$2,0)-MATCH($F$1,[1]characters!$2:$2,0)+1),MATCH(G$1,[1]characters!$2:$2,0)-MATCH($F$1,[1]characters!$2:$2,0)+1,FALSE)</f>
        <v>妖炎の夕霧</v>
      </c>
      <c r="H114" s="10" t="str">
        <f ca="1">VLOOKUP($F114,OFFSET([1]characters!$A$2,0,0,COUNTA([1]characters!$A:$A),MATCH(H$1,[1]characters!$2:$2,0)-MATCH($F$1,[1]characters!$2:$2,0)+1),MATCH(H$1,[1]characters!$2:$2,0)-MATCH($F$1,[1]characters!$2:$2,0)+1,FALSE)</f>
        <v>PremiumW</v>
      </c>
      <c r="I114" s="10">
        <f ca="1">VLOOKUP($F114,OFFSET([1]characters!$A$2,0,0,COUNTA([1]characters!$A:$A),MATCH(I$1,[1]characters!$2:$2,0)-MATCH($F$1,[1]characters!$2:$2,0)+1),MATCH(I$1,[1]characters!$2:$2,0)-MATCH($F$1,[1]characters!$2:$2,0)+1,FALSE)</f>
        <v>3</v>
      </c>
      <c r="J114" s="10" t="str">
        <f ca="1">VLOOKUP($F114,OFFSET([1]characters!$A$2,0,0,COUNTA([1]characters!$A:$A),MATCH(J$1,[1]characters!$2:$2,0)-MATCH($F$1,[1]characters!$2:$2,0)+1),MATCH(J$1,[1]characters!$2:$2,0)-MATCH($F$1,[1]characters!$2:$2,0)+1,FALSE)</f>
        <v>red</v>
      </c>
      <c r="K114" s="10" t="str">
        <f ca="1">VLOOKUP($F114,OFFSET([1]characters!$A$2,0,0,COUNTA([1]characters!$A:$A),MATCH("タイプ",[1]characters!$1:$1,0)-MATCH($F$1,[1]characters!$2:$2,0)+2),MATCH("タイプ",[1]characters!$1:$1,0)-MATCH($F$1,[1]characters!$2:$2,0)+2,FALSE)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4" s="10" t="str">
        <f ca="1">VLOOKUP($F114,OFFSET([1]characters!$A$2,0,0,COUNTA([1]characters!$A:$A),MATCH($L$1,[1]characters!$1:$1,0)-MATCH($F$1,[1]characters!$2:$2,0)+2),MATCH($L$1,[1]characters!$1:$1,0)-MATCH($F$1,[1]characters!$2:$2,0)+2,FALSE)</f>
        <v>ヒューマン</v>
      </c>
      <c r="M114" s="6">
        <v>1</v>
      </c>
      <c r="N114" s="40">
        <f ca="1">VLOOKUP(D114,gacha_133_base!A:B,2,FALSE)</f>
        <v>2433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4"/>
        <v>01361</v>
      </c>
      <c r="B115" s="2">
        <f t="shared" si="7"/>
        <v>135</v>
      </c>
      <c r="C115" s="10" t="str">
        <f t="shared" ca="1" si="5"/>
        <v>0PremiumW3</v>
      </c>
      <c r="D115" s="10" t="str">
        <f t="shared" ca="1" si="6"/>
        <v>0PremiumW3</v>
      </c>
      <c r="E115" s="6">
        <v>0</v>
      </c>
      <c r="F115" s="7">
        <v>136</v>
      </c>
      <c r="G115" s="10" t="str">
        <f ca="1">VLOOKUP($F115,OFFSET([1]characters!$A$2,0,0,COUNTA([1]characters!$A:$A),MATCH(G$1,[1]characters!$2:$2,0)-MATCH($F$1,[1]characters!$2:$2,0)+1),MATCH(G$1,[1]characters!$2:$2,0)-MATCH($F$1,[1]characters!$2:$2,0)+1,FALSE)</f>
        <v>お針子チハヤ</v>
      </c>
      <c r="H115" s="10" t="str">
        <f ca="1">VLOOKUP($F115,OFFSET([1]characters!$A$2,0,0,COUNTA([1]characters!$A:$A),MATCH(H$1,[1]characters!$2:$2,0)-MATCH($F$1,[1]characters!$2:$2,0)+1),MATCH(H$1,[1]characters!$2:$2,0)-MATCH($F$1,[1]characters!$2:$2,0)+1,FALSE)</f>
        <v>PremiumW</v>
      </c>
      <c r="I115" s="10">
        <f ca="1">VLOOKUP($F115,OFFSET([1]characters!$A$2,0,0,COUNTA([1]characters!$A:$A),MATCH(I$1,[1]characters!$2:$2,0)-MATCH($F$1,[1]characters!$2:$2,0)+1),MATCH(I$1,[1]characters!$2:$2,0)-MATCH($F$1,[1]characters!$2:$2,0)+1,FALSE)</f>
        <v>3</v>
      </c>
      <c r="J115" s="10" t="str">
        <f ca="1">VLOOKUP($F115,OFFSET([1]characters!$A$2,0,0,COUNTA([1]characters!$A:$A),MATCH(J$1,[1]characters!$2:$2,0)-MATCH($F$1,[1]characters!$2:$2,0)+1),MATCH(J$1,[1]characters!$2:$2,0)-MATCH($F$1,[1]characters!$2:$2,0)+1,FALSE)</f>
        <v>green</v>
      </c>
      <c r="K115" s="10" t="str">
        <f ca="1">VLOOKUP($F115,OFFSET([1]characters!$A$2,0,0,COUNTA([1]characters!$A:$A),MATCH("タイプ",[1]characters!$1:$1,0)-MATCH($F$1,[1]characters!$2:$2,0)+2),MATCH("タイプ",[1]characters!$1:$1,0)-MATCH($F$1,[1]characters!$2:$2,0)+2,FALSE)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5" s="10" t="str">
        <f ca="1">VLOOKUP($F115,OFFSET([1]characters!$A$2,0,0,COUNTA([1]characters!$A:$A),MATCH($L$1,[1]characters!$1:$1,0)-MATCH($F$1,[1]characters!$2:$2,0)+2),MATCH($L$1,[1]characters!$1:$1,0)-MATCH($F$1,[1]characters!$2:$2,0)+2,FALSE)</f>
        <v>ヒューマン</v>
      </c>
      <c r="M115" s="6">
        <v>1</v>
      </c>
      <c r="N115" s="40">
        <f ca="1">VLOOKUP(D115,gacha_133_base!A:B,2,FALSE)</f>
        <v>2433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4"/>
        <v>01381</v>
      </c>
      <c r="B116" s="2">
        <f t="shared" si="7"/>
        <v>135</v>
      </c>
      <c r="C116" s="10" t="str">
        <f t="shared" ca="1" si="5"/>
        <v>0PremiumW3</v>
      </c>
      <c r="D116" s="10" t="str">
        <f t="shared" ca="1" si="6"/>
        <v>0PremiumW3</v>
      </c>
      <c r="E116" s="6">
        <v>0</v>
      </c>
      <c r="F116" s="7">
        <v>138</v>
      </c>
      <c r="G116" s="10" t="str">
        <f ca="1">VLOOKUP($F116,OFFSET([1]characters!$A$2,0,0,COUNTA([1]characters!$A:$A),MATCH(G$1,[1]characters!$2:$2,0)-MATCH($F$1,[1]characters!$2:$2,0)+1),MATCH(G$1,[1]characters!$2:$2,0)-MATCH($F$1,[1]characters!$2:$2,0)+1,FALSE)</f>
        <v>蒼薙のトモエ</v>
      </c>
      <c r="H116" s="10" t="str">
        <f ca="1">VLOOKUP($F116,OFFSET([1]characters!$A$2,0,0,COUNTA([1]characters!$A:$A),MATCH(H$1,[1]characters!$2:$2,0)-MATCH($F$1,[1]characters!$2:$2,0)+1),MATCH(H$1,[1]characters!$2:$2,0)-MATCH($F$1,[1]characters!$2:$2,0)+1,FALSE)</f>
        <v>PremiumW</v>
      </c>
      <c r="I116" s="10">
        <f ca="1">VLOOKUP($F116,OFFSET([1]characters!$A$2,0,0,COUNTA([1]characters!$A:$A),MATCH(I$1,[1]characters!$2:$2,0)-MATCH($F$1,[1]characters!$2:$2,0)+1),MATCH(I$1,[1]characters!$2:$2,0)-MATCH($F$1,[1]characters!$2:$2,0)+1,FALSE)</f>
        <v>3</v>
      </c>
      <c r="J116" s="10" t="str">
        <f ca="1">VLOOKUP($F116,OFFSET([1]characters!$A$2,0,0,COUNTA([1]characters!$A:$A),MATCH(J$1,[1]characters!$2:$2,0)-MATCH($F$1,[1]characters!$2:$2,0)+1),MATCH(J$1,[1]characters!$2:$2,0)-MATCH($F$1,[1]characters!$2:$2,0)+1,FALSE)</f>
        <v>blue</v>
      </c>
      <c r="K116" s="10" t="str">
        <f ca="1">VLOOKUP($F116,OFFSET([1]characters!$A$2,0,0,COUNTA([1]characters!$A:$A),MATCH("タイプ",[1]characters!$1:$1,0)-MATCH($F$1,[1]characters!$2:$2,0)+2),MATCH("タイプ",[1]characters!$1:$1,0)-MATCH($F$1,[1]characters!$2:$2,0)+2,FALSE)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6" s="10" t="str">
        <f ca="1">VLOOKUP($F116,OFFSET([1]characters!$A$2,0,0,COUNTA([1]characters!$A:$A),MATCH($L$1,[1]characters!$1:$1,0)-MATCH($F$1,[1]characters!$2:$2,0)+2),MATCH($L$1,[1]characters!$1:$1,0)-MATCH($F$1,[1]characters!$2:$2,0)+2,FALSE)</f>
        <v>ヒューマン</v>
      </c>
      <c r="M116" s="6">
        <v>1</v>
      </c>
      <c r="N116" s="40">
        <f ca="1">VLOOKUP(D116,gacha_133_base!A:B,2,FALSE)</f>
        <v>2433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4"/>
        <v>01401</v>
      </c>
      <c r="B117" s="2">
        <f t="shared" si="7"/>
        <v>135</v>
      </c>
      <c r="C117" s="10" t="str">
        <f t="shared" ca="1" si="5"/>
        <v>0PremiumW3</v>
      </c>
      <c r="D117" s="10" t="str">
        <f t="shared" ca="1" si="6"/>
        <v>0PremiumW3</v>
      </c>
      <c r="E117" s="6">
        <v>0</v>
      </c>
      <c r="F117" s="7">
        <v>140</v>
      </c>
      <c r="G117" s="10" t="str">
        <f ca="1">VLOOKUP($F117,OFFSET([1]characters!$A$2,0,0,COUNTA([1]characters!$A:$A),MATCH(G$1,[1]characters!$2:$2,0)-MATCH($F$1,[1]characters!$2:$2,0)+1),MATCH(G$1,[1]characters!$2:$2,0)-MATCH($F$1,[1]characters!$2:$2,0)+1,FALSE)</f>
        <v>秋祭のタマモ</v>
      </c>
      <c r="H117" s="10" t="str">
        <f ca="1">VLOOKUP($F117,OFFSET([1]characters!$A$2,0,0,COUNTA([1]characters!$A:$A),MATCH(H$1,[1]characters!$2:$2,0)-MATCH($F$1,[1]characters!$2:$2,0)+1),MATCH(H$1,[1]characters!$2:$2,0)-MATCH($F$1,[1]characters!$2:$2,0)+1,FALSE)</f>
        <v>PremiumW</v>
      </c>
      <c r="I117" s="10">
        <f ca="1">VLOOKUP($F117,OFFSET([1]characters!$A$2,0,0,COUNTA([1]characters!$A:$A),MATCH(I$1,[1]characters!$2:$2,0)-MATCH($F$1,[1]characters!$2:$2,0)+1),MATCH(I$1,[1]characters!$2:$2,0)-MATCH($F$1,[1]characters!$2:$2,0)+1,FALSE)</f>
        <v>3</v>
      </c>
      <c r="J117" s="10" t="str">
        <f ca="1">VLOOKUP($F117,OFFSET([1]characters!$A$2,0,0,COUNTA([1]characters!$A:$A),MATCH(J$1,[1]characters!$2:$2,0)-MATCH($F$1,[1]characters!$2:$2,0)+1),MATCH(J$1,[1]characters!$2:$2,0)-MATCH($F$1,[1]characters!$2:$2,0)+1,FALSE)</f>
        <v>yellow</v>
      </c>
      <c r="K117" s="10" t="str">
        <f ca="1">VLOOKUP($F117,OFFSET([1]characters!$A$2,0,0,COUNTA([1]characters!$A:$A),MATCH("タイプ",[1]characters!$1:$1,0)-MATCH($F$1,[1]characters!$2:$2,0)+2),MATCH("タイプ",[1]characters!$1:$1,0)-MATCH($F$1,[1]characters!$2:$2,0)+2,FALSE)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7" s="10" t="str">
        <f ca="1">VLOOKUP($F117,OFFSET([1]characters!$A$2,0,0,COUNTA([1]characters!$A:$A),MATCH($L$1,[1]characters!$1:$1,0)-MATCH($F$1,[1]characters!$2:$2,0)+2),MATCH($L$1,[1]characters!$1:$1,0)-MATCH($F$1,[1]characters!$2:$2,0)+2,FALSE)</f>
        <v>アニマル</v>
      </c>
      <c r="M117" s="6">
        <v>1</v>
      </c>
      <c r="N117" s="40">
        <f ca="1">VLOOKUP(D117,gacha_133_base!A:B,2,FALSE)</f>
        <v>2433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4"/>
        <v>01421</v>
      </c>
      <c r="B118" s="2">
        <f t="shared" si="7"/>
        <v>135</v>
      </c>
      <c r="C118" s="10" t="str">
        <f t="shared" ca="1" si="5"/>
        <v>0PremiumW3</v>
      </c>
      <c r="D118" s="10" t="str">
        <f t="shared" ca="1" si="6"/>
        <v>0PremiumW3</v>
      </c>
      <c r="E118" s="6">
        <v>0</v>
      </c>
      <c r="F118" s="7">
        <v>142</v>
      </c>
      <c r="G118" s="10" t="str">
        <f ca="1">VLOOKUP($F118,OFFSET([1]characters!$A$2,0,0,COUNTA([1]characters!$A:$A),MATCH(G$1,[1]characters!$2:$2,0)-MATCH($F$1,[1]characters!$2:$2,0)+1),MATCH(G$1,[1]characters!$2:$2,0)-MATCH($F$1,[1]characters!$2:$2,0)+1,FALSE)</f>
        <v>赤ずきん</v>
      </c>
      <c r="H118" s="10" t="str">
        <f ca="1">VLOOKUP($F118,OFFSET([1]characters!$A$2,0,0,COUNTA([1]characters!$A:$A),MATCH(H$1,[1]characters!$2:$2,0)-MATCH($F$1,[1]characters!$2:$2,0)+1),MATCH(H$1,[1]characters!$2:$2,0)-MATCH($F$1,[1]characters!$2:$2,0)+1,FALSE)</f>
        <v>PremiumW</v>
      </c>
      <c r="I118" s="10">
        <f ca="1">VLOOKUP($F118,OFFSET([1]characters!$A$2,0,0,COUNTA([1]characters!$A:$A),MATCH(I$1,[1]characters!$2:$2,0)-MATCH($F$1,[1]characters!$2:$2,0)+1),MATCH(I$1,[1]characters!$2:$2,0)-MATCH($F$1,[1]characters!$2:$2,0)+1,FALSE)</f>
        <v>3</v>
      </c>
      <c r="J118" s="10" t="str">
        <f ca="1">VLOOKUP($F118,OFFSET([1]characters!$A$2,0,0,COUNTA([1]characters!$A:$A),MATCH(J$1,[1]characters!$2:$2,0)-MATCH($F$1,[1]characters!$2:$2,0)+1),MATCH(J$1,[1]characters!$2:$2,0)-MATCH($F$1,[1]characters!$2:$2,0)+1,FALSE)</f>
        <v>red</v>
      </c>
      <c r="K118" s="10" t="str">
        <f ca="1">VLOOKUP($F118,OFFSET([1]characters!$A$2,0,0,COUNTA([1]characters!$A:$A),MATCH("タイプ",[1]characters!$1:$1,0)-MATCH($F$1,[1]characters!$2:$2,0)+2),MATCH("タイプ",[1]characters!$1:$1,0)-MATCH($F$1,[1]characters!$2:$2,0)+2,FALSE)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8" s="10" t="str">
        <f ca="1">VLOOKUP($F118,OFFSET([1]characters!$A$2,0,0,COUNTA([1]characters!$A:$A),MATCH($L$1,[1]characters!$1:$1,0)-MATCH($F$1,[1]characters!$2:$2,0)+2),MATCH($L$1,[1]characters!$1:$1,0)-MATCH($F$1,[1]characters!$2:$2,0)+2,FALSE)</f>
        <v>ヒューマン</v>
      </c>
      <c r="M118" s="6">
        <v>1</v>
      </c>
      <c r="N118" s="40">
        <f ca="1">VLOOKUP(D118,gacha_133_base!A:B,2,FALSE)</f>
        <v>2433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4"/>
        <v>01441</v>
      </c>
      <c r="B119" s="2">
        <f t="shared" si="7"/>
        <v>135</v>
      </c>
      <c r="C119" s="10" t="str">
        <f t="shared" ca="1" si="5"/>
        <v>0PremiumW3</v>
      </c>
      <c r="D119" s="10" t="str">
        <f t="shared" ca="1" si="6"/>
        <v>0PremiumW3</v>
      </c>
      <c r="E119" s="6">
        <v>0</v>
      </c>
      <c r="F119" s="7">
        <v>144</v>
      </c>
      <c r="G119" s="10" t="str">
        <f ca="1">VLOOKUP($F119,OFFSET([1]characters!$A$2,0,0,COUNTA([1]characters!$A:$A),MATCH(G$1,[1]characters!$2:$2,0)-MATCH($F$1,[1]characters!$2:$2,0)+1),MATCH(G$1,[1]characters!$2:$2,0)-MATCH($F$1,[1]characters!$2:$2,0)+1,FALSE)</f>
        <v>かぐや</v>
      </c>
      <c r="H119" s="10" t="str">
        <f ca="1">VLOOKUP($F119,OFFSET([1]characters!$A$2,0,0,COUNTA([1]characters!$A:$A),MATCH(H$1,[1]characters!$2:$2,0)-MATCH($F$1,[1]characters!$2:$2,0)+1),MATCH(H$1,[1]characters!$2:$2,0)-MATCH($F$1,[1]characters!$2:$2,0)+1,FALSE)</f>
        <v>PremiumW</v>
      </c>
      <c r="I119" s="10">
        <f ca="1">VLOOKUP($F119,OFFSET([1]characters!$A$2,0,0,COUNTA([1]characters!$A:$A),MATCH(I$1,[1]characters!$2:$2,0)-MATCH($F$1,[1]characters!$2:$2,0)+1),MATCH(I$1,[1]characters!$2:$2,0)-MATCH($F$1,[1]characters!$2:$2,0)+1,FALSE)</f>
        <v>3</v>
      </c>
      <c r="J119" s="10" t="str">
        <f ca="1">VLOOKUP($F119,OFFSET([1]characters!$A$2,0,0,COUNTA([1]characters!$A:$A),MATCH(J$1,[1]characters!$2:$2,0)-MATCH($F$1,[1]characters!$2:$2,0)+1),MATCH(J$1,[1]characters!$2:$2,0)-MATCH($F$1,[1]characters!$2:$2,0)+1,FALSE)</f>
        <v>green</v>
      </c>
      <c r="K119" s="10" t="str">
        <f ca="1">VLOOKUP($F119,OFFSET([1]characters!$A$2,0,0,COUNTA([1]characters!$A:$A),MATCH("タイプ",[1]characters!$1:$1,0)-MATCH($F$1,[1]characters!$2:$2,0)+2),MATCH("タイプ",[1]characters!$1:$1,0)-MATCH($F$1,[1]characters!$2:$2,0)+2,FALSE)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9" s="10" t="str">
        <f ca="1">VLOOKUP($F119,OFFSET([1]characters!$A$2,0,0,COUNTA([1]characters!$A:$A),MATCH($L$1,[1]characters!$1:$1,0)-MATCH($F$1,[1]characters!$2:$2,0)+2),MATCH($L$1,[1]characters!$1:$1,0)-MATCH($F$1,[1]characters!$2:$2,0)+2,FALSE)</f>
        <v>ヒューマン</v>
      </c>
      <c r="M119" s="6">
        <v>1</v>
      </c>
      <c r="N119" s="40">
        <f ca="1">VLOOKUP(D119,gacha_133_base!A:B,2,FALSE)</f>
        <v>2433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4"/>
        <v>01461</v>
      </c>
      <c r="B120" s="2">
        <f t="shared" si="7"/>
        <v>135</v>
      </c>
      <c r="C120" s="10" t="str">
        <f t="shared" ca="1" si="5"/>
        <v>0PremiumW3</v>
      </c>
      <c r="D120" s="10" t="str">
        <f t="shared" ca="1" si="6"/>
        <v>0PremiumW3</v>
      </c>
      <c r="E120" s="6">
        <v>0</v>
      </c>
      <c r="F120" s="7">
        <v>146</v>
      </c>
      <c r="G120" s="10" t="str">
        <f ca="1">VLOOKUP($F120,OFFSET([1]characters!$A$2,0,0,COUNTA([1]characters!$A:$A),MATCH(G$1,[1]characters!$2:$2,0)-MATCH($F$1,[1]characters!$2:$2,0)+1),MATCH(G$1,[1]characters!$2:$2,0)-MATCH($F$1,[1]characters!$2:$2,0)+1,FALSE)</f>
        <v>マーメイド</v>
      </c>
      <c r="H120" s="10" t="str">
        <f ca="1">VLOOKUP($F120,OFFSET([1]characters!$A$2,0,0,COUNTA([1]characters!$A:$A),MATCH(H$1,[1]characters!$2:$2,0)-MATCH($F$1,[1]characters!$2:$2,0)+1),MATCH(H$1,[1]characters!$2:$2,0)-MATCH($F$1,[1]characters!$2:$2,0)+1,FALSE)</f>
        <v>PremiumW</v>
      </c>
      <c r="I120" s="10">
        <f ca="1">VLOOKUP($F120,OFFSET([1]characters!$A$2,0,0,COUNTA([1]characters!$A:$A),MATCH(I$1,[1]characters!$2:$2,0)-MATCH($F$1,[1]characters!$2:$2,0)+1),MATCH(I$1,[1]characters!$2:$2,0)-MATCH($F$1,[1]characters!$2:$2,0)+1,FALSE)</f>
        <v>3</v>
      </c>
      <c r="J120" s="10" t="str">
        <f ca="1">VLOOKUP($F120,OFFSET([1]characters!$A$2,0,0,COUNTA([1]characters!$A:$A),MATCH(J$1,[1]characters!$2:$2,0)-MATCH($F$1,[1]characters!$2:$2,0)+1),MATCH(J$1,[1]characters!$2:$2,0)-MATCH($F$1,[1]characters!$2:$2,0)+1,FALSE)</f>
        <v>blue</v>
      </c>
      <c r="K120" s="10" t="str">
        <f ca="1">VLOOKUP($F120,OFFSET([1]characters!$A$2,0,0,COUNTA([1]characters!$A:$A),MATCH("タイプ",[1]characters!$1:$1,0)-MATCH($F$1,[1]characters!$2:$2,0)+2),MATCH("タイプ",[1]characters!$1:$1,0)-MATCH($F$1,[1]characters!$2:$2,0)+2,FALSE)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0" s="10" t="str">
        <f ca="1">VLOOKUP($F120,OFFSET([1]characters!$A$2,0,0,COUNTA([1]characters!$A:$A),MATCH($L$1,[1]characters!$1:$1,0)-MATCH($F$1,[1]characters!$2:$2,0)+2),MATCH($L$1,[1]characters!$1:$1,0)-MATCH($F$1,[1]characters!$2:$2,0)+2,FALSE)</f>
        <v>ヒューマン</v>
      </c>
      <c r="M120" s="6">
        <v>1</v>
      </c>
      <c r="N120" s="40">
        <f ca="1">VLOOKUP(D120,gacha_133_base!A:B,2,FALSE)</f>
        <v>2433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si="4"/>
        <v>01481</v>
      </c>
      <c r="B121" s="2">
        <f t="shared" si="7"/>
        <v>135</v>
      </c>
      <c r="C121" s="10" t="str">
        <f t="shared" ca="1" si="5"/>
        <v>0PremiumW3</v>
      </c>
      <c r="D121" s="10" t="str">
        <f t="shared" ca="1" si="6"/>
        <v>0PremiumW3</v>
      </c>
      <c r="E121" s="6">
        <v>0</v>
      </c>
      <c r="F121" s="7">
        <v>148</v>
      </c>
      <c r="G121" s="10" t="str">
        <f ca="1">VLOOKUP($F121,OFFSET([1]characters!$A$2,0,0,COUNTA([1]characters!$A:$A),MATCH(G$1,[1]characters!$2:$2,0)-MATCH($F$1,[1]characters!$2:$2,0)+1),MATCH(G$1,[1]characters!$2:$2,0)-MATCH($F$1,[1]characters!$2:$2,0)+1,FALSE)</f>
        <v>シンデレラ</v>
      </c>
      <c r="H121" s="10" t="str">
        <f ca="1">VLOOKUP($F121,OFFSET([1]characters!$A$2,0,0,COUNTA([1]characters!$A:$A),MATCH(H$1,[1]characters!$2:$2,0)-MATCH($F$1,[1]characters!$2:$2,0)+1),MATCH(H$1,[1]characters!$2:$2,0)-MATCH($F$1,[1]characters!$2:$2,0)+1,FALSE)</f>
        <v>PremiumW</v>
      </c>
      <c r="I121" s="10">
        <f ca="1">VLOOKUP($F121,OFFSET([1]characters!$A$2,0,0,COUNTA([1]characters!$A:$A),MATCH(I$1,[1]characters!$2:$2,0)-MATCH($F$1,[1]characters!$2:$2,0)+1),MATCH(I$1,[1]characters!$2:$2,0)-MATCH($F$1,[1]characters!$2:$2,0)+1,FALSE)</f>
        <v>3</v>
      </c>
      <c r="J121" s="10" t="str">
        <f ca="1">VLOOKUP($F121,OFFSET([1]characters!$A$2,0,0,COUNTA([1]characters!$A:$A),MATCH(J$1,[1]characters!$2:$2,0)-MATCH($F$1,[1]characters!$2:$2,0)+1),MATCH(J$1,[1]characters!$2:$2,0)-MATCH($F$1,[1]characters!$2:$2,0)+1,FALSE)</f>
        <v>yellow</v>
      </c>
      <c r="K121" s="10" t="str">
        <f ca="1">VLOOKUP($F121,OFFSET([1]characters!$A$2,0,0,COUNTA([1]characters!$A:$A),MATCH("タイプ",[1]characters!$1:$1,0)-MATCH($F$1,[1]characters!$2:$2,0)+2),MATCH("タイプ",[1]characters!$1:$1,0)-MATCH($F$1,[1]characters!$2:$2,0)+2,FALSE)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1" s="10" t="str">
        <f ca="1">VLOOKUP($F121,OFFSET([1]characters!$A$2,0,0,COUNTA([1]characters!$A:$A),MATCH($L$1,[1]characters!$1:$1,0)-MATCH($F$1,[1]characters!$2:$2,0)+2),MATCH($L$1,[1]characters!$1:$1,0)-MATCH($F$1,[1]characters!$2:$2,0)+2,FALSE)</f>
        <v>ヒューマン</v>
      </c>
      <c r="M121" s="6">
        <v>1</v>
      </c>
      <c r="N121" s="40">
        <f ca="1">VLOOKUP(D121,gacha_133_base!A:B,2,FALSE)</f>
        <v>2433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4"/>
        <v>01501</v>
      </c>
      <c r="B122" s="2">
        <f t="shared" si="7"/>
        <v>135</v>
      </c>
      <c r="C122" s="10" t="str">
        <f t="shared" ca="1" si="5"/>
        <v>0PremiumW3</v>
      </c>
      <c r="D122" s="10" t="str">
        <f t="shared" ca="1" si="6"/>
        <v>0PremiumW3</v>
      </c>
      <c r="E122" s="6">
        <v>0</v>
      </c>
      <c r="F122" s="7">
        <v>150</v>
      </c>
      <c r="G122" s="10" t="str">
        <f ca="1">VLOOKUP($F122,OFFSET([1]characters!$A$2,0,0,COUNTA([1]characters!$A:$A),MATCH(G$1,[1]characters!$2:$2,0)-MATCH($F$1,[1]characters!$2:$2,0)+1),MATCH(G$1,[1]characters!$2:$2,0)-MATCH($F$1,[1]characters!$2:$2,0)+1,FALSE)</f>
        <v>ポイズンマスターサキ</v>
      </c>
      <c r="H122" s="10" t="str">
        <f ca="1">VLOOKUP($F122,OFFSET([1]characters!$A$2,0,0,COUNTA([1]characters!$A:$A),MATCH(H$1,[1]characters!$2:$2,0)-MATCH($F$1,[1]characters!$2:$2,0)+1),MATCH(H$1,[1]characters!$2:$2,0)-MATCH($F$1,[1]characters!$2:$2,0)+1,FALSE)</f>
        <v>PremiumW</v>
      </c>
      <c r="I122" s="10">
        <f ca="1">VLOOKUP($F122,OFFSET([1]characters!$A$2,0,0,COUNTA([1]characters!$A:$A),MATCH(I$1,[1]characters!$2:$2,0)-MATCH($F$1,[1]characters!$2:$2,0)+1),MATCH(I$1,[1]characters!$2:$2,0)-MATCH($F$1,[1]characters!$2:$2,0)+1,FALSE)</f>
        <v>3</v>
      </c>
      <c r="J122" s="10" t="str">
        <f ca="1">VLOOKUP($F122,OFFSET([1]characters!$A$2,0,0,COUNTA([1]characters!$A:$A),MATCH(J$1,[1]characters!$2:$2,0)-MATCH($F$1,[1]characters!$2:$2,0)+1),MATCH(J$1,[1]characters!$2:$2,0)-MATCH($F$1,[1]characters!$2:$2,0)+1,FALSE)</f>
        <v>red</v>
      </c>
      <c r="K122" s="10" t="str">
        <f ca="1">VLOOKUP($F122,OFFSET([1]characters!$A$2,0,0,COUNTA([1]characters!$A:$A),MATCH("タイプ",[1]characters!$1:$1,0)-MATCH($F$1,[1]characters!$2:$2,0)+2),MATCH("タイプ",[1]characters!$1:$1,0)-MATCH($F$1,[1]characters!$2:$2,0)+2,FALSE)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2" s="10" t="str">
        <f ca="1">VLOOKUP($F122,OFFSET([1]characters!$A$2,0,0,COUNTA([1]characters!$A:$A),MATCH($L$1,[1]characters!$1:$1,0)-MATCH($F$1,[1]characters!$2:$2,0)+2),MATCH($L$1,[1]characters!$1:$1,0)-MATCH($F$1,[1]characters!$2:$2,0)+2,FALSE)</f>
        <v>ヒューマン</v>
      </c>
      <c r="M122" s="6">
        <v>1</v>
      </c>
      <c r="N122" s="40">
        <f ca="1">VLOOKUP(D122,gacha_133_base!A:B,2,FALSE)</f>
        <v>2433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4"/>
        <v>01521</v>
      </c>
      <c r="B123" s="2">
        <f t="shared" si="7"/>
        <v>135</v>
      </c>
      <c r="C123" s="10" t="str">
        <f t="shared" ca="1" si="5"/>
        <v>0PremiumW3</v>
      </c>
      <c r="D123" s="10" t="str">
        <f t="shared" ca="1" si="6"/>
        <v>0PremiumW3</v>
      </c>
      <c r="E123" s="6">
        <v>0</v>
      </c>
      <c r="F123" s="7">
        <v>152</v>
      </c>
      <c r="G123" s="10" t="str">
        <f ca="1">VLOOKUP($F123,OFFSET([1]characters!$A$2,0,0,COUNTA([1]characters!$A:$A),MATCH(G$1,[1]characters!$2:$2,0)-MATCH($F$1,[1]characters!$2:$2,0)+1),MATCH(G$1,[1]characters!$2:$2,0)-MATCH($F$1,[1]characters!$2:$2,0)+1,FALSE)</f>
        <v>功夫少女ランラン</v>
      </c>
      <c r="H123" s="10" t="str">
        <f ca="1">VLOOKUP($F123,OFFSET([1]characters!$A$2,0,0,COUNTA([1]characters!$A:$A),MATCH(H$1,[1]characters!$2:$2,0)-MATCH($F$1,[1]characters!$2:$2,0)+1),MATCH(H$1,[1]characters!$2:$2,0)-MATCH($F$1,[1]characters!$2:$2,0)+1,FALSE)</f>
        <v>PremiumW</v>
      </c>
      <c r="I123" s="10">
        <f ca="1">VLOOKUP($F123,OFFSET([1]characters!$A$2,0,0,COUNTA([1]characters!$A:$A),MATCH(I$1,[1]characters!$2:$2,0)-MATCH($F$1,[1]characters!$2:$2,0)+1),MATCH(I$1,[1]characters!$2:$2,0)-MATCH($F$1,[1]characters!$2:$2,0)+1,FALSE)</f>
        <v>3</v>
      </c>
      <c r="J123" s="10" t="str">
        <f ca="1">VLOOKUP($F123,OFFSET([1]characters!$A$2,0,0,COUNTA([1]characters!$A:$A),MATCH(J$1,[1]characters!$2:$2,0)-MATCH($F$1,[1]characters!$2:$2,0)+1),MATCH(J$1,[1]characters!$2:$2,0)-MATCH($F$1,[1]characters!$2:$2,0)+1,FALSE)</f>
        <v>green</v>
      </c>
      <c r="K123" s="10" t="str">
        <f ca="1">VLOOKUP($F123,OFFSET([1]characters!$A$2,0,0,COUNTA([1]characters!$A:$A),MATCH("タイプ",[1]characters!$1:$1,0)-MATCH($F$1,[1]characters!$2:$2,0)+2),MATCH("タイプ",[1]characters!$1:$1,0)-MATCH($F$1,[1]characters!$2:$2,0)+2,FALSE)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3" s="10" t="str">
        <f ca="1">VLOOKUP($F123,OFFSET([1]characters!$A$2,0,0,COUNTA([1]characters!$A:$A),MATCH($L$1,[1]characters!$1:$1,0)-MATCH($F$1,[1]characters!$2:$2,0)+2),MATCH($L$1,[1]characters!$1:$1,0)-MATCH($F$1,[1]characters!$2:$2,0)+2,FALSE)</f>
        <v>ヒューマン</v>
      </c>
      <c r="M123" s="6">
        <v>1</v>
      </c>
      <c r="N123" s="40">
        <f ca="1">VLOOKUP(D123,gacha_133_base!A:B,2,FALSE)</f>
        <v>2433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4"/>
        <v>01541</v>
      </c>
      <c r="B124" s="2">
        <f t="shared" si="7"/>
        <v>135</v>
      </c>
      <c r="C124" s="10" t="str">
        <f t="shared" ca="1" si="5"/>
        <v>0PremiumW3</v>
      </c>
      <c r="D124" s="10" t="str">
        <f t="shared" ca="1" si="6"/>
        <v>0PremiumW3</v>
      </c>
      <c r="E124" s="6">
        <v>0</v>
      </c>
      <c r="F124" s="7">
        <v>154</v>
      </c>
      <c r="G124" s="10" t="str">
        <f ca="1">VLOOKUP($F124,OFFSET([1]characters!$A$2,0,0,COUNTA([1]characters!$A:$A),MATCH(G$1,[1]characters!$2:$2,0)-MATCH($F$1,[1]characters!$2:$2,0)+1),MATCH(G$1,[1]characters!$2:$2,0)-MATCH($F$1,[1]characters!$2:$2,0)+1,FALSE)</f>
        <v>始末屋 ハンナ</v>
      </c>
      <c r="H124" s="10" t="str">
        <f ca="1">VLOOKUP($F124,OFFSET([1]characters!$A$2,0,0,COUNTA([1]characters!$A:$A),MATCH(H$1,[1]characters!$2:$2,0)-MATCH($F$1,[1]characters!$2:$2,0)+1),MATCH(H$1,[1]characters!$2:$2,0)-MATCH($F$1,[1]characters!$2:$2,0)+1,FALSE)</f>
        <v>PremiumW</v>
      </c>
      <c r="I124" s="10">
        <f ca="1">VLOOKUP($F124,OFFSET([1]characters!$A$2,0,0,COUNTA([1]characters!$A:$A),MATCH(I$1,[1]characters!$2:$2,0)-MATCH($F$1,[1]characters!$2:$2,0)+1),MATCH(I$1,[1]characters!$2:$2,0)-MATCH($F$1,[1]characters!$2:$2,0)+1,FALSE)</f>
        <v>3</v>
      </c>
      <c r="J124" s="10" t="str">
        <f ca="1">VLOOKUP($F124,OFFSET([1]characters!$A$2,0,0,COUNTA([1]characters!$A:$A),MATCH(J$1,[1]characters!$2:$2,0)-MATCH($F$1,[1]characters!$2:$2,0)+1),MATCH(J$1,[1]characters!$2:$2,0)-MATCH($F$1,[1]characters!$2:$2,0)+1,FALSE)</f>
        <v>blue</v>
      </c>
      <c r="K124" s="10" t="str">
        <f ca="1">VLOOKUP($F124,OFFSET([1]characters!$A$2,0,0,COUNTA([1]characters!$A:$A),MATCH("タイプ",[1]characters!$1:$1,0)-MATCH($F$1,[1]characters!$2:$2,0)+2),MATCH("タイプ",[1]characters!$1:$1,0)-MATCH($F$1,[1]characters!$2:$2,0)+2,FALSE)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4" s="10" t="str">
        <f ca="1">VLOOKUP($F124,OFFSET([1]characters!$A$2,0,0,COUNTA([1]characters!$A:$A),MATCH($L$1,[1]characters!$1:$1,0)-MATCH($F$1,[1]characters!$2:$2,0)+2),MATCH($L$1,[1]characters!$1:$1,0)-MATCH($F$1,[1]characters!$2:$2,0)+2,FALSE)</f>
        <v>ヒューマン</v>
      </c>
      <c r="M124" s="6">
        <v>1</v>
      </c>
      <c r="N124" s="40">
        <f ca="1">VLOOKUP(D124,gacha_133_base!A:B,2,FALSE)</f>
        <v>2433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4"/>
        <v>01561</v>
      </c>
      <c r="B125" s="2">
        <f t="shared" si="7"/>
        <v>135</v>
      </c>
      <c r="C125" s="10" t="str">
        <f t="shared" ca="1" si="5"/>
        <v>0PremiumW3</v>
      </c>
      <c r="D125" s="10" t="str">
        <f t="shared" ca="1" si="6"/>
        <v>0PremiumW3</v>
      </c>
      <c r="E125" s="6">
        <v>0</v>
      </c>
      <c r="F125" s="7">
        <v>156</v>
      </c>
      <c r="G125" s="10" t="str">
        <f ca="1">VLOOKUP($F125,OFFSET([1]characters!$A$2,0,0,COUNTA([1]characters!$A:$A),MATCH(G$1,[1]characters!$2:$2,0)-MATCH($F$1,[1]characters!$2:$2,0)+1),MATCH(G$1,[1]characters!$2:$2,0)-MATCH($F$1,[1]characters!$2:$2,0)+1,FALSE)</f>
        <v>踊り子 エレナ</v>
      </c>
      <c r="H125" s="10" t="str">
        <f ca="1">VLOOKUP($F125,OFFSET([1]characters!$A$2,0,0,COUNTA([1]characters!$A:$A),MATCH(H$1,[1]characters!$2:$2,0)-MATCH($F$1,[1]characters!$2:$2,0)+1),MATCH(H$1,[1]characters!$2:$2,0)-MATCH($F$1,[1]characters!$2:$2,0)+1,FALSE)</f>
        <v>PremiumW</v>
      </c>
      <c r="I125" s="10">
        <f ca="1">VLOOKUP($F125,OFFSET([1]characters!$A$2,0,0,COUNTA([1]characters!$A:$A),MATCH(I$1,[1]characters!$2:$2,0)-MATCH($F$1,[1]characters!$2:$2,0)+1),MATCH(I$1,[1]characters!$2:$2,0)-MATCH($F$1,[1]characters!$2:$2,0)+1,FALSE)</f>
        <v>3</v>
      </c>
      <c r="J125" s="10" t="str">
        <f ca="1">VLOOKUP($F125,OFFSET([1]characters!$A$2,0,0,COUNTA([1]characters!$A:$A),MATCH(J$1,[1]characters!$2:$2,0)-MATCH($F$1,[1]characters!$2:$2,0)+1),MATCH(J$1,[1]characters!$2:$2,0)-MATCH($F$1,[1]characters!$2:$2,0)+1,FALSE)</f>
        <v>yellow</v>
      </c>
      <c r="K125" s="10" t="str">
        <f ca="1">VLOOKUP($F125,OFFSET([1]characters!$A$2,0,0,COUNTA([1]characters!$A:$A),MATCH("タイプ",[1]characters!$1:$1,0)-MATCH($F$1,[1]characters!$2:$2,0)+2),MATCH("タイプ",[1]characters!$1:$1,0)-MATCH($F$1,[1]characters!$2:$2,0)+2,FALSE)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5" s="10" t="str">
        <f ca="1">VLOOKUP($F125,OFFSET([1]characters!$A$2,0,0,COUNTA([1]characters!$A:$A),MATCH($L$1,[1]characters!$1:$1,0)-MATCH($F$1,[1]characters!$2:$2,0)+2),MATCH($L$1,[1]characters!$1:$1,0)-MATCH($F$1,[1]characters!$2:$2,0)+2,FALSE)</f>
        <v>ヒューマン</v>
      </c>
      <c r="M125" s="6">
        <v>1</v>
      </c>
      <c r="N125" s="40">
        <f ca="1">VLOOKUP(D125,gacha_133_base!A:B,2,FALSE)</f>
        <v>2433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4"/>
        <v>01581</v>
      </c>
      <c r="B126" s="2">
        <f t="shared" si="7"/>
        <v>135</v>
      </c>
      <c r="C126" s="10" t="str">
        <f t="shared" ca="1" si="5"/>
        <v>0PremiumW3</v>
      </c>
      <c r="D126" s="10" t="str">
        <f t="shared" ca="1" si="6"/>
        <v>0PremiumW3</v>
      </c>
      <c r="E126" s="6">
        <v>0</v>
      </c>
      <c r="F126" s="7">
        <v>158</v>
      </c>
      <c r="G126" s="10" t="str">
        <f ca="1">VLOOKUP($F126,OFFSET([1]characters!$A$2,0,0,COUNTA([1]characters!$A:$A),MATCH(G$1,[1]characters!$2:$2,0)-MATCH($F$1,[1]characters!$2:$2,0)+1),MATCH(G$1,[1]characters!$2:$2,0)-MATCH($F$1,[1]characters!$2:$2,0)+1,FALSE)</f>
        <v>シスター シャルロッテ</v>
      </c>
      <c r="H126" s="10" t="str">
        <f ca="1">VLOOKUP($F126,OFFSET([1]characters!$A$2,0,0,COUNTA([1]characters!$A:$A),MATCH(H$1,[1]characters!$2:$2,0)-MATCH($F$1,[1]characters!$2:$2,0)+1),MATCH(H$1,[1]characters!$2:$2,0)-MATCH($F$1,[1]characters!$2:$2,0)+1,FALSE)</f>
        <v>PremiumW</v>
      </c>
      <c r="I126" s="10">
        <f ca="1">VLOOKUP($F126,OFFSET([1]characters!$A$2,0,0,COUNTA([1]characters!$A:$A),MATCH(I$1,[1]characters!$2:$2,0)-MATCH($F$1,[1]characters!$2:$2,0)+1),MATCH(I$1,[1]characters!$2:$2,0)-MATCH($F$1,[1]characters!$2:$2,0)+1,FALSE)</f>
        <v>3</v>
      </c>
      <c r="J126" s="10" t="str">
        <f ca="1">VLOOKUP($F126,OFFSET([1]characters!$A$2,0,0,COUNTA([1]characters!$A:$A),MATCH(J$1,[1]characters!$2:$2,0)-MATCH($F$1,[1]characters!$2:$2,0)+1),MATCH(J$1,[1]characters!$2:$2,0)-MATCH($F$1,[1]characters!$2:$2,0)+1,FALSE)</f>
        <v>red</v>
      </c>
      <c r="K126" s="10" t="str">
        <f ca="1">VLOOKUP($F126,OFFSET([1]characters!$A$2,0,0,COUNTA([1]characters!$A:$A),MATCH("タイプ",[1]characters!$1:$1,0)-MATCH($F$1,[1]characters!$2:$2,0)+2),MATCH("タイプ",[1]characters!$1:$1,0)-MATCH($F$1,[1]characters!$2:$2,0)+2,FALSE)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6" s="10" t="str">
        <f ca="1">VLOOKUP($F126,OFFSET([1]characters!$A$2,0,0,COUNTA([1]characters!$A:$A),MATCH($L$1,[1]characters!$1:$1,0)-MATCH($F$1,[1]characters!$2:$2,0)+2),MATCH($L$1,[1]characters!$1:$1,0)-MATCH($F$1,[1]characters!$2:$2,0)+2,FALSE)</f>
        <v>ヒューマン</v>
      </c>
      <c r="M126" s="6">
        <v>1</v>
      </c>
      <c r="N126" s="40">
        <f ca="1">VLOOKUP(D126,gacha_133_base!A:B,2,FALSE)</f>
        <v>2433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4"/>
        <v>01601</v>
      </c>
      <c r="B127" s="2">
        <f t="shared" si="7"/>
        <v>135</v>
      </c>
      <c r="C127" s="10" t="str">
        <f t="shared" ca="1" si="5"/>
        <v>0PremiumW3</v>
      </c>
      <c r="D127" s="10" t="str">
        <f t="shared" ca="1" si="6"/>
        <v>0PremiumW3</v>
      </c>
      <c r="E127" s="6">
        <v>0</v>
      </c>
      <c r="F127" s="7">
        <v>160</v>
      </c>
      <c r="G127" s="10" t="str">
        <f ca="1">VLOOKUP($F127,OFFSET([1]characters!$A$2,0,0,COUNTA([1]characters!$A:$A),MATCH(G$1,[1]characters!$2:$2,0)-MATCH($F$1,[1]characters!$2:$2,0)+1),MATCH(G$1,[1]characters!$2:$2,0)-MATCH($F$1,[1]characters!$2:$2,0)+1,FALSE)</f>
        <v>反逆者 クリエ</v>
      </c>
      <c r="H127" s="10" t="str">
        <f ca="1">VLOOKUP($F127,OFFSET([1]characters!$A$2,0,0,COUNTA([1]characters!$A:$A),MATCH(H$1,[1]characters!$2:$2,0)-MATCH($F$1,[1]characters!$2:$2,0)+1),MATCH(H$1,[1]characters!$2:$2,0)-MATCH($F$1,[1]characters!$2:$2,0)+1,FALSE)</f>
        <v>PremiumW</v>
      </c>
      <c r="I127" s="10">
        <f ca="1">VLOOKUP($F127,OFFSET([1]characters!$A$2,0,0,COUNTA([1]characters!$A:$A),MATCH(I$1,[1]characters!$2:$2,0)-MATCH($F$1,[1]characters!$2:$2,0)+1),MATCH(I$1,[1]characters!$2:$2,0)-MATCH($F$1,[1]characters!$2:$2,0)+1,FALSE)</f>
        <v>3</v>
      </c>
      <c r="J127" s="10" t="str">
        <f ca="1">VLOOKUP($F127,OFFSET([1]characters!$A$2,0,0,COUNTA([1]characters!$A:$A),MATCH(J$1,[1]characters!$2:$2,0)-MATCH($F$1,[1]characters!$2:$2,0)+1),MATCH(J$1,[1]characters!$2:$2,0)-MATCH($F$1,[1]characters!$2:$2,0)+1,FALSE)</f>
        <v>green</v>
      </c>
      <c r="K127" s="10" t="str">
        <f ca="1">VLOOKUP($F127,OFFSET([1]characters!$A$2,0,0,COUNTA([1]characters!$A:$A),MATCH("タイプ",[1]characters!$1:$1,0)-MATCH($F$1,[1]characters!$2:$2,0)+2),MATCH("タイプ",[1]characters!$1:$1,0)-MATCH($F$1,[1]characters!$2:$2,0)+2,FALSE)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7" s="10" t="str">
        <f ca="1">VLOOKUP($F127,OFFSET([1]characters!$A$2,0,0,COUNTA([1]characters!$A:$A),MATCH($L$1,[1]characters!$1:$1,0)-MATCH($F$1,[1]characters!$2:$2,0)+2),MATCH($L$1,[1]characters!$1:$1,0)-MATCH($F$1,[1]characters!$2:$2,0)+2,FALSE)</f>
        <v>ヒューマン</v>
      </c>
      <c r="M127" s="6">
        <v>1</v>
      </c>
      <c r="N127" s="40">
        <f ca="1">VLOOKUP(D127,gacha_133_base!A:B,2,FALSE)</f>
        <v>2433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4"/>
        <v>01621</v>
      </c>
      <c r="B128" s="2">
        <f t="shared" si="7"/>
        <v>135</v>
      </c>
      <c r="C128" s="10" t="str">
        <f t="shared" ca="1" si="5"/>
        <v>0PremiumW3</v>
      </c>
      <c r="D128" s="10" t="str">
        <f t="shared" ca="1" si="6"/>
        <v>0PremiumW3</v>
      </c>
      <c r="E128" s="6">
        <v>0</v>
      </c>
      <c r="F128" s="7">
        <v>162</v>
      </c>
      <c r="G128" s="10" t="str">
        <f ca="1">VLOOKUP($F128,OFFSET([1]characters!$A$2,0,0,COUNTA([1]characters!$A:$A),MATCH(G$1,[1]characters!$2:$2,0)-MATCH($F$1,[1]characters!$2:$2,0)+1),MATCH(G$1,[1]characters!$2:$2,0)-MATCH($F$1,[1]characters!$2:$2,0)+1,FALSE)</f>
        <v>狂女 クララ</v>
      </c>
      <c r="H128" s="10" t="str">
        <f ca="1">VLOOKUP($F128,OFFSET([1]characters!$A$2,0,0,COUNTA([1]characters!$A:$A),MATCH(H$1,[1]characters!$2:$2,0)-MATCH($F$1,[1]characters!$2:$2,0)+1),MATCH(H$1,[1]characters!$2:$2,0)-MATCH($F$1,[1]characters!$2:$2,0)+1,FALSE)</f>
        <v>PremiumW</v>
      </c>
      <c r="I128" s="10">
        <f ca="1">VLOOKUP($F128,OFFSET([1]characters!$A$2,0,0,COUNTA([1]characters!$A:$A),MATCH(I$1,[1]characters!$2:$2,0)-MATCH($F$1,[1]characters!$2:$2,0)+1),MATCH(I$1,[1]characters!$2:$2,0)-MATCH($F$1,[1]characters!$2:$2,0)+1,FALSE)</f>
        <v>3</v>
      </c>
      <c r="J128" s="10" t="str">
        <f ca="1">VLOOKUP($F128,OFFSET([1]characters!$A$2,0,0,COUNTA([1]characters!$A:$A),MATCH(J$1,[1]characters!$2:$2,0)-MATCH($F$1,[1]characters!$2:$2,0)+1),MATCH(J$1,[1]characters!$2:$2,0)-MATCH($F$1,[1]characters!$2:$2,0)+1,FALSE)</f>
        <v>blue</v>
      </c>
      <c r="K128" s="10" t="str">
        <f ca="1">VLOOKUP($F128,OFFSET([1]characters!$A$2,0,0,COUNTA([1]characters!$A:$A),MATCH("タイプ",[1]characters!$1:$1,0)-MATCH($F$1,[1]characters!$2:$2,0)+2),MATCH("タイプ",[1]characters!$1:$1,0)-MATCH($F$1,[1]characters!$2:$2,0)+2,FALSE)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8" s="10" t="str">
        <f ca="1">VLOOKUP($F128,OFFSET([1]characters!$A$2,0,0,COUNTA([1]characters!$A:$A),MATCH($L$1,[1]characters!$1:$1,0)-MATCH($F$1,[1]characters!$2:$2,0)+2),MATCH($L$1,[1]characters!$1:$1,0)-MATCH($F$1,[1]characters!$2:$2,0)+2,FALSE)</f>
        <v>ヒューマン</v>
      </c>
      <c r="M128" s="6">
        <v>1</v>
      </c>
      <c r="N128" s="40">
        <f ca="1">VLOOKUP(D128,gacha_133_base!A:B,2,FALSE)</f>
        <v>2433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4"/>
        <v>01641</v>
      </c>
      <c r="B129" s="2">
        <f t="shared" si="7"/>
        <v>135</v>
      </c>
      <c r="C129" s="10" t="str">
        <f t="shared" ca="1" si="5"/>
        <v>0PremiumW3</v>
      </c>
      <c r="D129" s="10" t="str">
        <f t="shared" ca="1" si="6"/>
        <v>0PremiumW3</v>
      </c>
      <c r="E129" s="6">
        <v>0</v>
      </c>
      <c r="F129" s="7">
        <v>164</v>
      </c>
      <c r="G129" s="10" t="str">
        <f ca="1">VLOOKUP($F129,OFFSET([1]characters!$A$2,0,0,COUNTA([1]characters!$A:$A),MATCH(G$1,[1]characters!$2:$2,0)-MATCH($F$1,[1]characters!$2:$2,0)+1),MATCH(G$1,[1]characters!$2:$2,0)-MATCH($F$1,[1]characters!$2:$2,0)+1,FALSE)</f>
        <v>イブとトモダチ</v>
      </c>
      <c r="H129" s="10" t="str">
        <f ca="1">VLOOKUP($F129,OFFSET([1]characters!$A$2,0,0,COUNTA([1]characters!$A:$A),MATCH(H$1,[1]characters!$2:$2,0)-MATCH($F$1,[1]characters!$2:$2,0)+1),MATCH(H$1,[1]characters!$2:$2,0)-MATCH($F$1,[1]characters!$2:$2,0)+1,FALSE)</f>
        <v>PremiumW</v>
      </c>
      <c r="I129" s="10">
        <f ca="1">VLOOKUP($F129,OFFSET([1]characters!$A$2,0,0,COUNTA([1]characters!$A:$A),MATCH(I$1,[1]characters!$2:$2,0)-MATCH($F$1,[1]characters!$2:$2,0)+1),MATCH(I$1,[1]characters!$2:$2,0)-MATCH($F$1,[1]characters!$2:$2,0)+1,FALSE)</f>
        <v>3</v>
      </c>
      <c r="J129" s="10" t="str">
        <f ca="1">VLOOKUP($F129,OFFSET([1]characters!$A$2,0,0,COUNTA([1]characters!$A:$A),MATCH(J$1,[1]characters!$2:$2,0)-MATCH($F$1,[1]characters!$2:$2,0)+1),MATCH(J$1,[1]characters!$2:$2,0)-MATCH($F$1,[1]characters!$2:$2,0)+1,FALSE)</f>
        <v>yellow</v>
      </c>
      <c r="K129" s="10" t="str">
        <f ca="1">VLOOKUP($F129,OFFSET([1]characters!$A$2,0,0,COUNTA([1]characters!$A:$A),MATCH("タイプ",[1]characters!$1:$1,0)-MATCH($F$1,[1]characters!$2:$2,0)+2),MATCH("タイプ",[1]characters!$1:$1,0)-MATCH($F$1,[1]characters!$2:$2,0)+2,FALSE)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9" s="10" t="str">
        <f ca="1">VLOOKUP($F129,OFFSET([1]characters!$A$2,0,0,COUNTA([1]characters!$A:$A),MATCH($L$1,[1]characters!$1:$1,0)-MATCH($F$1,[1]characters!$2:$2,0)+2),MATCH($L$1,[1]characters!$1:$1,0)-MATCH($F$1,[1]characters!$2:$2,0)+2,FALSE)</f>
        <v>ヒューマン</v>
      </c>
      <c r="M129" s="6">
        <v>1</v>
      </c>
      <c r="N129" s="40">
        <f ca="1">VLOOKUP(D129,gacha_133_base!A:B,2,FALSE)</f>
        <v>2433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si="4"/>
        <v>01661</v>
      </c>
      <c r="B130" s="2">
        <f t="shared" si="7"/>
        <v>135</v>
      </c>
      <c r="C130" s="10" t="str">
        <f t="shared" ca="1" si="5"/>
        <v>0PremiumN3</v>
      </c>
      <c r="D130" s="10" t="str">
        <f t="shared" ca="1" si="6"/>
        <v>0PremiumN3</v>
      </c>
      <c r="E130" s="6">
        <v>0</v>
      </c>
      <c r="F130" s="7">
        <v>166</v>
      </c>
      <c r="G130" s="10" t="str">
        <f ca="1">VLOOKUP($F130,OFFSET([1]characters!$A$2,0,0,COUNTA([1]characters!$A:$A),MATCH(G$1,[1]characters!$2:$2,0)-MATCH($F$1,[1]characters!$2:$2,0)+1),MATCH(G$1,[1]characters!$2:$2,0)-MATCH($F$1,[1]characters!$2:$2,0)+1,FALSE)</f>
        <v>ベリアル</v>
      </c>
      <c r="H130" s="10" t="str">
        <f ca="1">VLOOKUP($F130,OFFSET([1]characters!$A$2,0,0,COUNTA([1]characters!$A:$A),MATCH(H$1,[1]characters!$2:$2,0)-MATCH($F$1,[1]characters!$2:$2,0)+1),MATCH(H$1,[1]characters!$2:$2,0)-MATCH($F$1,[1]characters!$2:$2,0)+1,FALSE)</f>
        <v>PremiumN</v>
      </c>
      <c r="I130" s="10">
        <f ca="1">VLOOKUP($F130,OFFSET([1]characters!$A$2,0,0,COUNTA([1]characters!$A:$A),MATCH(I$1,[1]characters!$2:$2,0)-MATCH($F$1,[1]characters!$2:$2,0)+1),MATCH(I$1,[1]characters!$2:$2,0)-MATCH($F$1,[1]characters!$2:$2,0)+1,FALSE)</f>
        <v>3</v>
      </c>
      <c r="J130" s="10" t="str">
        <f ca="1">VLOOKUP($F130,OFFSET([1]characters!$A$2,0,0,COUNTA([1]characters!$A:$A),MATCH(J$1,[1]characters!$2:$2,0)-MATCH($F$1,[1]characters!$2:$2,0)+1),MATCH(J$1,[1]characters!$2:$2,0)-MATCH($F$1,[1]characters!$2:$2,0)+1,FALSE)</f>
        <v>red</v>
      </c>
      <c r="K130" s="10" t="str">
        <f ca="1">VLOOKUP($F130,OFFSET([1]characters!$A$2,0,0,COUNTA([1]characters!$A:$A),MATCH("タイプ",[1]characters!$1:$1,0)-MATCH($F$1,[1]characters!$2:$2,0)+2),MATCH("タイプ",[1]characters!$1:$1,0)-MATCH($F$1,[1]characters!$2:$2,0)+2,FALSE)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0" s="10" t="str">
        <f ca="1">VLOOKUP($F130,OFFSET([1]characters!$A$2,0,0,COUNTA([1]characters!$A:$A),MATCH($L$1,[1]characters!$1:$1,0)-MATCH($F$1,[1]characters!$2:$2,0)+2),MATCH($L$1,[1]characters!$1:$1,0)-MATCH($F$1,[1]characters!$2:$2,0)+2,FALSE)</f>
        <v>ゴッド</v>
      </c>
      <c r="M130" s="6">
        <v>1</v>
      </c>
      <c r="N130" s="40">
        <f ca="1">VLOOKUP(D130,gacha_133_base!A:B,2,FALSE)</f>
        <v>2460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4"/>
        <v>01691</v>
      </c>
      <c r="B131" s="2">
        <f t="shared" si="7"/>
        <v>135</v>
      </c>
      <c r="C131" s="10" t="str">
        <f t="shared" ca="1" si="5"/>
        <v>0PremiumN3</v>
      </c>
      <c r="D131" s="10" t="str">
        <f t="shared" ca="1" si="6"/>
        <v>0PremiumN3</v>
      </c>
      <c r="E131" s="6">
        <v>0</v>
      </c>
      <c r="F131" s="7">
        <v>169</v>
      </c>
      <c r="G131" s="10" t="str">
        <f ca="1">VLOOKUP($F131,OFFSET([1]characters!$A$2,0,0,COUNTA([1]characters!$A:$A),MATCH(G$1,[1]characters!$2:$2,0)-MATCH($F$1,[1]characters!$2:$2,0)+1),MATCH(G$1,[1]characters!$2:$2,0)-MATCH($F$1,[1]characters!$2:$2,0)+1,FALSE)</f>
        <v>オセ</v>
      </c>
      <c r="H131" s="10" t="str">
        <f ca="1">VLOOKUP($F131,OFFSET([1]characters!$A$2,0,0,COUNTA([1]characters!$A:$A),MATCH(H$1,[1]characters!$2:$2,0)-MATCH($F$1,[1]characters!$2:$2,0)+1),MATCH(H$1,[1]characters!$2:$2,0)-MATCH($F$1,[1]characters!$2:$2,0)+1,FALSE)</f>
        <v>PremiumN</v>
      </c>
      <c r="I131" s="10">
        <f ca="1">VLOOKUP($F131,OFFSET([1]characters!$A$2,0,0,COUNTA([1]characters!$A:$A),MATCH(I$1,[1]characters!$2:$2,0)-MATCH($F$1,[1]characters!$2:$2,0)+1),MATCH(I$1,[1]characters!$2:$2,0)-MATCH($F$1,[1]characters!$2:$2,0)+1,FALSE)</f>
        <v>3</v>
      </c>
      <c r="J131" s="10" t="str">
        <f ca="1">VLOOKUP($F131,OFFSET([1]characters!$A$2,0,0,COUNTA([1]characters!$A:$A),MATCH(J$1,[1]characters!$2:$2,0)-MATCH($F$1,[1]characters!$2:$2,0)+1),MATCH(J$1,[1]characters!$2:$2,0)-MATCH($F$1,[1]characters!$2:$2,0)+1,FALSE)</f>
        <v>green</v>
      </c>
      <c r="K131" s="10" t="str">
        <f ca="1">VLOOKUP($F131,OFFSET([1]characters!$A$2,0,0,COUNTA([1]characters!$A:$A),MATCH("タイプ",[1]characters!$1:$1,0)-MATCH($F$1,[1]characters!$2:$2,0)+2),MATCH("タイプ",[1]characters!$1:$1,0)-MATCH($F$1,[1]characters!$2:$2,0)+2,FALSE)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1" s="10" t="str">
        <f ca="1">VLOOKUP($F131,OFFSET([1]characters!$A$2,0,0,COUNTA([1]characters!$A:$A),MATCH($L$1,[1]characters!$1:$1,0)-MATCH($F$1,[1]characters!$2:$2,0)+2),MATCH($L$1,[1]characters!$1:$1,0)-MATCH($F$1,[1]characters!$2:$2,0)+2,FALSE)</f>
        <v>ゴッド</v>
      </c>
      <c r="M131" s="6">
        <v>1</v>
      </c>
      <c r="N131" s="40">
        <f ca="1">VLOOKUP(D131,gacha_133_base!A:B,2,FALSE)</f>
        <v>2460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4"/>
        <v>01721</v>
      </c>
      <c r="B132" s="2">
        <f t="shared" si="7"/>
        <v>135</v>
      </c>
      <c r="C132" s="10" t="str">
        <f t="shared" ca="1" si="5"/>
        <v>0PremiumN3</v>
      </c>
      <c r="D132" s="10" t="str">
        <f t="shared" ca="1" si="6"/>
        <v>0PremiumN3</v>
      </c>
      <c r="E132" s="6">
        <v>0</v>
      </c>
      <c r="F132" s="7">
        <v>172</v>
      </c>
      <c r="G132" s="10" t="str">
        <f ca="1">VLOOKUP($F132,OFFSET([1]characters!$A$2,0,0,COUNTA([1]characters!$A:$A),MATCH(G$1,[1]characters!$2:$2,0)-MATCH($F$1,[1]characters!$2:$2,0)+1),MATCH(G$1,[1]characters!$2:$2,0)-MATCH($F$1,[1]characters!$2:$2,0)+1,FALSE)</f>
        <v>フォルネウス</v>
      </c>
      <c r="H132" s="10" t="str">
        <f ca="1">VLOOKUP($F132,OFFSET([1]characters!$A$2,0,0,COUNTA([1]characters!$A:$A),MATCH(H$1,[1]characters!$2:$2,0)-MATCH($F$1,[1]characters!$2:$2,0)+1),MATCH(H$1,[1]characters!$2:$2,0)-MATCH($F$1,[1]characters!$2:$2,0)+1,FALSE)</f>
        <v>PremiumN</v>
      </c>
      <c r="I132" s="10">
        <f ca="1">VLOOKUP($F132,OFFSET([1]characters!$A$2,0,0,COUNTA([1]characters!$A:$A),MATCH(I$1,[1]characters!$2:$2,0)-MATCH($F$1,[1]characters!$2:$2,0)+1),MATCH(I$1,[1]characters!$2:$2,0)-MATCH($F$1,[1]characters!$2:$2,0)+1,FALSE)</f>
        <v>3</v>
      </c>
      <c r="J132" s="10" t="str">
        <f ca="1">VLOOKUP($F132,OFFSET([1]characters!$A$2,0,0,COUNTA([1]characters!$A:$A),MATCH(J$1,[1]characters!$2:$2,0)-MATCH($F$1,[1]characters!$2:$2,0)+1),MATCH(J$1,[1]characters!$2:$2,0)-MATCH($F$1,[1]characters!$2:$2,0)+1,FALSE)</f>
        <v>blue</v>
      </c>
      <c r="K132" s="10" t="str">
        <f ca="1">VLOOKUP($F132,OFFSET([1]characters!$A$2,0,0,COUNTA([1]characters!$A:$A),MATCH("タイプ",[1]characters!$1:$1,0)-MATCH($F$1,[1]characters!$2:$2,0)+2),MATCH("タイプ",[1]characters!$1:$1,0)-MATCH($F$1,[1]characters!$2:$2,0)+2,FALSE)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2" s="10" t="str">
        <f ca="1">VLOOKUP($F132,OFFSET([1]characters!$A$2,0,0,COUNTA([1]characters!$A:$A),MATCH($L$1,[1]characters!$1:$1,0)-MATCH($F$1,[1]characters!$2:$2,0)+2),MATCH($L$1,[1]characters!$1:$1,0)-MATCH($F$1,[1]characters!$2:$2,0)+2,FALSE)</f>
        <v>ゴッド</v>
      </c>
      <c r="M132" s="6">
        <v>1</v>
      </c>
      <c r="N132" s="40">
        <f ca="1">VLOOKUP(D132,gacha_133_base!A:B,2,FALSE)</f>
        <v>2460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4"/>
        <v>01751</v>
      </c>
      <c r="B133" s="2">
        <f t="shared" si="7"/>
        <v>135</v>
      </c>
      <c r="C133" s="10" t="str">
        <f t="shared" ca="1" si="5"/>
        <v>0PremiumN3</v>
      </c>
      <c r="D133" s="10" t="str">
        <f t="shared" ca="1" si="6"/>
        <v>0PremiumN3</v>
      </c>
      <c r="E133" s="6">
        <v>0</v>
      </c>
      <c r="F133" s="7">
        <v>175</v>
      </c>
      <c r="G133" s="10" t="str">
        <f ca="1">VLOOKUP($F133,OFFSET([1]characters!$A$2,0,0,COUNTA([1]characters!$A:$A),MATCH(G$1,[1]characters!$2:$2,0)-MATCH($F$1,[1]characters!$2:$2,0)+1),MATCH(G$1,[1]characters!$2:$2,0)-MATCH($F$1,[1]characters!$2:$2,0)+1,FALSE)</f>
        <v>バフォメット</v>
      </c>
      <c r="H133" s="10" t="str">
        <f ca="1">VLOOKUP($F133,OFFSET([1]characters!$A$2,0,0,COUNTA([1]characters!$A:$A),MATCH(H$1,[1]characters!$2:$2,0)-MATCH($F$1,[1]characters!$2:$2,0)+1),MATCH(H$1,[1]characters!$2:$2,0)-MATCH($F$1,[1]characters!$2:$2,0)+1,FALSE)</f>
        <v>PremiumN</v>
      </c>
      <c r="I133" s="10">
        <f ca="1">VLOOKUP($F133,OFFSET([1]characters!$A$2,0,0,COUNTA([1]characters!$A:$A),MATCH(I$1,[1]characters!$2:$2,0)-MATCH($F$1,[1]characters!$2:$2,0)+1),MATCH(I$1,[1]characters!$2:$2,0)-MATCH($F$1,[1]characters!$2:$2,0)+1,FALSE)</f>
        <v>3</v>
      </c>
      <c r="J133" s="10" t="str">
        <f ca="1">VLOOKUP($F133,OFFSET([1]characters!$A$2,0,0,COUNTA([1]characters!$A:$A),MATCH(J$1,[1]characters!$2:$2,0)-MATCH($F$1,[1]characters!$2:$2,0)+1),MATCH(J$1,[1]characters!$2:$2,0)-MATCH($F$1,[1]characters!$2:$2,0)+1,FALSE)</f>
        <v>yellow</v>
      </c>
      <c r="K133" s="10" t="str">
        <f ca="1">VLOOKUP($F133,OFFSET([1]characters!$A$2,0,0,COUNTA([1]characters!$A:$A),MATCH("タイプ",[1]characters!$1:$1,0)-MATCH($F$1,[1]characters!$2:$2,0)+2),MATCH("タイプ",[1]characters!$1:$1,0)-MATCH($F$1,[1]characters!$2:$2,0)+2,FALSE)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3" s="10" t="str">
        <f ca="1">VLOOKUP($F133,OFFSET([1]characters!$A$2,0,0,COUNTA([1]characters!$A:$A),MATCH($L$1,[1]characters!$1:$1,0)-MATCH($F$1,[1]characters!$2:$2,0)+2),MATCH($L$1,[1]characters!$1:$1,0)-MATCH($F$1,[1]characters!$2:$2,0)+2,FALSE)</f>
        <v>ゴッド</v>
      </c>
      <c r="M133" s="6">
        <v>1</v>
      </c>
      <c r="N133" s="40">
        <f ca="1">VLOOKUP(D133,gacha_133_base!A:B,2,FALSE)</f>
        <v>2460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4"/>
        <v>01781</v>
      </c>
      <c r="B134" s="2">
        <f t="shared" si="7"/>
        <v>135</v>
      </c>
      <c r="C134" s="10" t="str">
        <f t="shared" ca="1" si="5"/>
        <v>0PremiumN3</v>
      </c>
      <c r="D134" s="10" t="str">
        <f t="shared" ca="1" si="6"/>
        <v>0PremiumN3</v>
      </c>
      <c r="E134" s="6">
        <v>0</v>
      </c>
      <c r="F134" s="7">
        <v>178</v>
      </c>
      <c r="G134" s="10" t="str">
        <f ca="1">VLOOKUP($F134,OFFSET([1]characters!$A$2,0,0,COUNTA([1]characters!$A:$A),MATCH(G$1,[1]characters!$2:$2,0)-MATCH($F$1,[1]characters!$2:$2,0)+1),MATCH(G$1,[1]characters!$2:$2,0)-MATCH($F$1,[1]characters!$2:$2,0)+1,FALSE)</f>
        <v>ケルベロス</v>
      </c>
      <c r="H134" s="10" t="str">
        <f ca="1">VLOOKUP($F134,OFFSET([1]characters!$A$2,0,0,COUNTA([1]characters!$A:$A),MATCH(H$1,[1]characters!$2:$2,0)-MATCH($F$1,[1]characters!$2:$2,0)+1),MATCH(H$1,[1]characters!$2:$2,0)-MATCH($F$1,[1]characters!$2:$2,0)+1,FALSE)</f>
        <v>PremiumN</v>
      </c>
      <c r="I134" s="10">
        <f ca="1">VLOOKUP($F134,OFFSET([1]characters!$A$2,0,0,COUNTA([1]characters!$A:$A),MATCH(I$1,[1]characters!$2:$2,0)-MATCH($F$1,[1]characters!$2:$2,0)+1),MATCH(I$1,[1]characters!$2:$2,0)-MATCH($F$1,[1]characters!$2:$2,0)+1,FALSE)</f>
        <v>3</v>
      </c>
      <c r="J134" s="10" t="str">
        <f ca="1">VLOOKUP($F134,OFFSET([1]characters!$A$2,0,0,COUNTA([1]characters!$A:$A),MATCH(J$1,[1]characters!$2:$2,0)-MATCH($F$1,[1]characters!$2:$2,0)+1),MATCH(J$1,[1]characters!$2:$2,0)-MATCH($F$1,[1]characters!$2:$2,0)+1,FALSE)</f>
        <v>red</v>
      </c>
      <c r="K134" s="10" t="str">
        <f ca="1">VLOOKUP($F134,OFFSET([1]characters!$A$2,0,0,COUNTA([1]characters!$A:$A),MATCH("タイプ",[1]characters!$1:$1,0)-MATCH($F$1,[1]characters!$2:$2,0)+2),MATCH("タイプ",[1]characters!$1:$1,0)-MATCH($F$1,[1]characters!$2:$2,0)+2,FALSE)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4" s="10" t="str">
        <f ca="1">VLOOKUP($F134,OFFSET([1]characters!$A$2,0,0,COUNTA([1]characters!$A:$A),MATCH($L$1,[1]characters!$1:$1,0)-MATCH($F$1,[1]characters!$2:$2,0)+2),MATCH($L$1,[1]characters!$1:$1,0)-MATCH($F$1,[1]characters!$2:$2,0)+2,FALSE)</f>
        <v>アニマル</v>
      </c>
      <c r="M134" s="6">
        <v>1</v>
      </c>
      <c r="N134" s="40">
        <f ca="1">VLOOKUP(D134,gacha_133_base!A:B,2,FALSE)</f>
        <v>2460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4"/>
        <v>01811</v>
      </c>
      <c r="B135" s="2">
        <f t="shared" si="7"/>
        <v>135</v>
      </c>
      <c r="C135" s="10" t="str">
        <f t="shared" ca="1" si="5"/>
        <v>0PremiumN3</v>
      </c>
      <c r="D135" s="10" t="str">
        <f t="shared" ca="1" si="6"/>
        <v>0PremiumN3</v>
      </c>
      <c r="E135" s="6">
        <v>0</v>
      </c>
      <c r="F135" s="7">
        <v>181</v>
      </c>
      <c r="G135" s="10" t="str">
        <f ca="1">VLOOKUP($F135,OFFSET([1]characters!$A$2,0,0,COUNTA([1]characters!$A:$A),MATCH(G$1,[1]characters!$2:$2,0)-MATCH($F$1,[1]characters!$2:$2,0)+1),MATCH(G$1,[1]characters!$2:$2,0)-MATCH($F$1,[1]characters!$2:$2,0)+1,FALSE)</f>
        <v>ベヒモス</v>
      </c>
      <c r="H135" s="10" t="str">
        <f ca="1">VLOOKUP($F135,OFFSET([1]characters!$A$2,0,0,COUNTA([1]characters!$A:$A),MATCH(H$1,[1]characters!$2:$2,0)-MATCH($F$1,[1]characters!$2:$2,0)+1),MATCH(H$1,[1]characters!$2:$2,0)-MATCH($F$1,[1]characters!$2:$2,0)+1,FALSE)</f>
        <v>PremiumN</v>
      </c>
      <c r="I135" s="10">
        <f ca="1">VLOOKUP($F135,OFFSET([1]characters!$A$2,0,0,COUNTA([1]characters!$A:$A),MATCH(I$1,[1]characters!$2:$2,0)-MATCH($F$1,[1]characters!$2:$2,0)+1),MATCH(I$1,[1]characters!$2:$2,0)-MATCH($F$1,[1]characters!$2:$2,0)+1,FALSE)</f>
        <v>3</v>
      </c>
      <c r="J135" s="10" t="str">
        <f ca="1">VLOOKUP($F135,OFFSET([1]characters!$A$2,0,0,COUNTA([1]characters!$A:$A),MATCH(J$1,[1]characters!$2:$2,0)-MATCH($F$1,[1]characters!$2:$2,0)+1),MATCH(J$1,[1]characters!$2:$2,0)-MATCH($F$1,[1]characters!$2:$2,0)+1,FALSE)</f>
        <v>green</v>
      </c>
      <c r="K135" s="10" t="str">
        <f ca="1">VLOOKUP($F135,OFFSET([1]characters!$A$2,0,0,COUNTA([1]characters!$A:$A),MATCH("タイプ",[1]characters!$1:$1,0)-MATCH($F$1,[1]characters!$2:$2,0)+2),MATCH("タイプ",[1]characters!$1:$1,0)-MATCH($F$1,[1]characters!$2:$2,0)+2,FALSE)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5" s="10" t="str">
        <f ca="1">VLOOKUP($F135,OFFSET([1]characters!$A$2,0,0,COUNTA([1]characters!$A:$A),MATCH($L$1,[1]characters!$1:$1,0)-MATCH($F$1,[1]characters!$2:$2,0)+2),MATCH($L$1,[1]characters!$1:$1,0)-MATCH($F$1,[1]characters!$2:$2,0)+2,FALSE)</f>
        <v>アニマル</v>
      </c>
      <c r="M135" s="6">
        <v>1</v>
      </c>
      <c r="N135" s="40">
        <f ca="1">VLOOKUP(D135,gacha_133_base!A:B,2,FALSE)</f>
        <v>2460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4"/>
        <v>01841</v>
      </c>
      <c r="B136" s="2">
        <f t="shared" si="7"/>
        <v>135</v>
      </c>
      <c r="C136" s="10" t="str">
        <f t="shared" ca="1" si="5"/>
        <v>0PremiumN3</v>
      </c>
      <c r="D136" s="10" t="str">
        <f t="shared" ca="1" si="6"/>
        <v>0PremiumN3</v>
      </c>
      <c r="E136" s="6">
        <v>0</v>
      </c>
      <c r="F136" s="7">
        <v>184</v>
      </c>
      <c r="G136" s="10" t="str">
        <f ca="1">VLOOKUP($F136,OFFSET([1]characters!$A$2,0,0,COUNTA([1]characters!$A:$A),MATCH(G$1,[1]characters!$2:$2,0)-MATCH($F$1,[1]characters!$2:$2,0)+1),MATCH(G$1,[1]characters!$2:$2,0)-MATCH($F$1,[1]characters!$2:$2,0)+1,FALSE)</f>
        <v>クラーケン</v>
      </c>
      <c r="H136" s="10" t="str">
        <f ca="1">VLOOKUP($F136,OFFSET([1]characters!$A$2,0,0,COUNTA([1]characters!$A:$A),MATCH(H$1,[1]characters!$2:$2,0)-MATCH($F$1,[1]characters!$2:$2,0)+1),MATCH(H$1,[1]characters!$2:$2,0)-MATCH($F$1,[1]characters!$2:$2,0)+1,FALSE)</f>
        <v>PremiumN</v>
      </c>
      <c r="I136" s="10">
        <f ca="1">VLOOKUP($F136,OFFSET([1]characters!$A$2,0,0,COUNTA([1]characters!$A:$A),MATCH(I$1,[1]characters!$2:$2,0)-MATCH($F$1,[1]characters!$2:$2,0)+1),MATCH(I$1,[1]characters!$2:$2,0)-MATCH($F$1,[1]characters!$2:$2,0)+1,FALSE)</f>
        <v>3</v>
      </c>
      <c r="J136" s="10" t="str">
        <f ca="1">VLOOKUP($F136,OFFSET([1]characters!$A$2,0,0,COUNTA([1]characters!$A:$A),MATCH(J$1,[1]characters!$2:$2,0)-MATCH($F$1,[1]characters!$2:$2,0)+1),MATCH(J$1,[1]characters!$2:$2,0)-MATCH($F$1,[1]characters!$2:$2,0)+1,FALSE)</f>
        <v>blue</v>
      </c>
      <c r="K136" s="10" t="str">
        <f ca="1">VLOOKUP($F136,OFFSET([1]characters!$A$2,0,0,COUNTA([1]characters!$A:$A),MATCH("タイプ",[1]characters!$1:$1,0)-MATCH($F$1,[1]characters!$2:$2,0)+2),MATCH("タイプ",[1]characters!$1:$1,0)-MATCH($F$1,[1]characters!$2:$2,0)+2,FALSE)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36" s="10" t="str">
        <f ca="1">VLOOKUP($F136,OFFSET([1]characters!$A$2,0,0,COUNTA([1]characters!$A:$A),MATCH($L$1,[1]characters!$1:$1,0)-MATCH($F$1,[1]characters!$2:$2,0)+2),MATCH($L$1,[1]characters!$1:$1,0)-MATCH($F$1,[1]characters!$2:$2,0)+2,FALSE)</f>
        <v>アニマル</v>
      </c>
      <c r="M136" s="6">
        <v>1</v>
      </c>
      <c r="N136" s="40">
        <f ca="1">VLOOKUP(D136,gacha_133_base!A:B,2,FALSE)</f>
        <v>2460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4"/>
        <v>01871</v>
      </c>
      <c r="B137" s="2">
        <f t="shared" si="7"/>
        <v>135</v>
      </c>
      <c r="C137" s="10" t="str">
        <f t="shared" ca="1" si="5"/>
        <v>0PremiumN3</v>
      </c>
      <c r="D137" s="10" t="str">
        <f t="shared" ca="1" si="6"/>
        <v>0PremiumN3</v>
      </c>
      <c r="E137" s="6">
        <v>0</v>
      </c>
      <c r="F137" s="7">
        <v>187</v>
      </c>
      <c r="G137" s="10" t="str">
        <f ca="1">VLOOKUP($F137,OFFSET([1]characters!$A$2,0,0,COUNTA([1]characters!$A:$A),MATCH(G$1,[1]characters!$2:$2,0)-MATCH($F$1,[1]characters!$2:$2,0)+1),MATCH(G$1,[1]characters!$2:$2,0)-MATCH($F$1,[1]characters!$2:$2,0)+1,FALSE)</f>
        <v>ホルス</v>
      </c>
      <c r="H137" s="10" t="str">
        <f ca="1">VLOOKUP($F137,OFFSET([1]characters!$A$2,0,0,COUNTA([1]characters!$A:$A),MATCH(H$1,[1]characters!$2:$2,0)-MATCH($F$1,[1]characters!$2:$2,0)+1),MATCH(H$1,[1]characters!$2:$2,0)-MATCH($F$1,[1]characters!$2:$2,0)+1,FALSE)</f>
        <v>PremiumN</v>
      </c>
      <c r="I137" s="10">
        <f ca="1">VLOOKUP($F137,OFFSET([1]characters!$A$2,0,0,COUNTA([1]characters!$A:$A),MATCH(I$1,[1]characters!$2:$2,0)-MATCH($F$1,[1]characters!$2:$2,0)+1),MATCH(I$1,[1]characters!$2:$2,0)-MATCH($F$1,[1]characters!$2:$2,0)+1,FALSE)</f>
        <v>3</v>
      </c>
      <c r="J137" s="10" t="str">
        <f ca="1">VLOOKUP($F137,OFFSET([1]characters!$A$2,0,0,COUNTA([1]characters!$A:$A),MATCH(J$1,[1]characters!$2:$2,0)-MATCH($F$1,[1]characters!$2:$2,0)+1),MATCH(J$1,[1]characters!$2:$2,0)-MATCH($F$1,[1]characters!$2:$2,0)+1,FALSE)</f>
        <v>yellow</v>
      </c>
      <c r="K137" s="10" t="str">
        <f ca="1">VLOOKUP($F137,OFFSET([1]characters!$A$2,0,0,COUNTA([1]characters!$A:$A),MATCH("タイプ",[1]characters!$1:$1,0)-MATCH($F$1,[1]characters!$2:$2,0)+2),MATCH("タイプ",[1]characters!$1:$1,0)-MATCH($F$1,[1]characters!$2:$2,0)+2,FALSE)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37" s="10" t="str">
        <f ca="1">VLOOKUP($F137,OFFSET([1]characters!$A$2,0,0,COUNTA([1]characters!$A:$A),MATCH($L$1,[1]characters!$1:$1,0)-MATCH($F$1,[1]characters!$2:$2,0)+2),MATCH($L$1,[1]characters!$1:$1,0)-MATCH($F$1,[1]characters!$2:$2,0)+2,FALSE)</f>
        <v>アニマル</v>
      </c>
      <c r="M137" s="6">
        <v>1</v>
      </c>
      <c r="N137" s="40">
        <f ca="1">VLOOKUP(D137,gacha_133_base!A:B,2,FALSE)</f>
        <v>2460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4"/>
        <v>01901</v>
      </c>
      <c r="B138" s="2">
        <f t="shared" si="7"/>
        <v>135</v>
      </c>
      <c r="C138" s="10" t="str">
        <f t="shared" ca="1" si="5"/>
        <v>0PremiumN3</v>
      </c>
      <c r="D138" s="10" t="str">
        <f t="shared" ca="1" si="6"/>
        <v>0PremiumN3</v>
      </c>
      <c r="E138" s="6">
        <v>0</v>
      </c>
      <c r="F138" s="7">
        <v>190</v>
      </c>
      <c r="G138" s="10" t="str">
        <f ca="1">VLOOKUP($F138,OFFSET([1]characters!$A$2,0,0,COUNTA([1]characters!$A:$A),MATCH(G$1,[1]characters!$2:$2,0)-MATCH($F$1,[1]characters!$2:$2,0)+1),MATCH(G$1,[1]characters!$2:$2,0)-MATCH($F$1,[1]characters!$2:$2,0)+1,FALSE)</f>
        <v>卑弥呼</v>
      </c>
      <c r="H138" s="10" t="str">
        <f ca="1">VLOOKUP($F138,OFFSET([1]characters!$A$2,0,0,COUNTA([1]characters!$A:$A),MATCH(H$1,[1]characters!$2:$2,0)-MATCH($F$1,[1]characters!$2:$2,0)+1),MATCH(H$1,[1]characters!$2:$2,0)-MATCH($F$1,[1]characters!$2:$2,0)+1,FALSE)</f>
        <v>PremiumN</v>
      </c>
      <c r="I138" s="10">
        <f ca="1">VLOOKUP($F138,OFFSET([1]characters!$A$2,0,0,COUNTA([1]characters!$A:$A),MATCH(I$1,[1]characters!$2:$2,0)-MATCH($F$1,[1]characters!$2:$2,0)+1),MATCH(I$1,[1]characters!$2:$2,0)-MATCH($F$1,[1]characters!$2:$2,0)+1,FALSE)</f>
        <v>3</v>
      </c>
      <c r="J138" s="10" t="str">
        <f ca="1">VLOOKUP($F138,OFFSET([1]characters!$A$2,0,0,COUNTA([1]characters!$A:$A),MATCH(J$1,[1]characters!$2:$2,0)-MATCH($F$1,[1]characters!$2:$2,0)+1),MATCH(J$1,[1]characters!$2:$2,0)-MATCH($F$1,[1]characters!$2:$2,0)+1,FALSE)</f>
        <v>red</v>
      </c>
      <c r="K138" s="10" t="str">
        <f ca="1">VLOOKUP($F138,OFFSET([1]characters!$A$2,0,0,COUNTA([1]characters!$A:$A),MATCH("タイプ",[1]characters!$1:$1,0)-MATCH($F$1,[1]characters!$2:$2,0)+2),MATCH("タイプ",[1]characters!$1:$1,0)-MATCH($F$1,[1]characters!$2:$2,0)+2,FALSE)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8" s="10" t="str">
        <f ca="1">VLOOKUP($F138,OFFSET([1]characters!$A$2,0,0,COUNTA([1]characters!$A:$A),MATCH($L$1,[1]characters!$1:$1,0)-MATCH($F$1,[1]characters!$2:$2,0)+2),MATCH($L$1,[1]characters!$1:$1,0)-MATCH($F$1,[1]characters!$2:$2,0)+2,FALSE)</f>
        <v>ヒューマン</v>
      </c>
      <c r="M138" s="6">
        <v>1</v>
      </c>
      <c r="N138" s="40">
        <f ca="1">VLOOKUP(D138,gacha_133_base!A:B,2,FALSE)</f>
        <v>2460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4"/>
        <v>01931</v>
      </c>
      <c r="B139" s="2">
        <f t="shared" si="7"/>
        <v>135</v>
      </c>
      <c r="C139" s="10" t="str">
        <f t="shared" ref="C139:C202" ca="1" si="9">E139&amp;H139&amp;I139</f>
        <v>0PremiumN3</v>
      </c>
      <c r="D139" s="10" t="str">
        <f t="shared" ref="D139:D202" ca="1" si="10">E139&amp;H139&amp;I139</f>
        <v>0PremiumN3</v>
      </c>
      <c r="E139" s="6">
        <v>0</v>
      </c>
      <c r="F139" s="7">
        <v>193</v>
      </c>
      <c r="G139" s="10" t="str">
        <f ca="1">VLOOKUP($F139,OFFSET([1]characters!$A$2,0,0,COUNTA([1]characters!$A:$A),MATCH(G$1,[1]characters!$2:$2,0)-MATCH($F$1,[1]characters!$2:$2,0)+1),MATCH(G$1,[1]characters!$2:$2,0)-MATCH($F$1,[1]characters!$2:$2,0)+1,FALSE)</f>
        <v>ロビンフッド</v>
      </c>
      <c r="H139" s="10" t="str">
        <f ca="1">VLOOKUP($F139,OFFSET([1]characters!$A$2,0,0,COUNTA([1]characters!$A:$A),MATCH(H$1,[1]characters!$2:$2,0)-MATCH($F$1,[1]characters!$2:$2,0)+1),MATCH(H$1,[1]characters!$2:$2,0)-MATCH($F$1,[1]characters!$2:$2,0)+1,FALSE)</f>
        <v>PremiumN</v>
      </c>
      <c r="I139" s="10">
        <f ca="1">VLOOKUP($F139,OFFSET([1]characters!$A$2,0,0,COUNTA([1]characters!$A:$A),MATCH(I$1,[1]characters!$2:$2,0)-MATCH($F$1,[1]characters!$2:$2,0)+1),MATCH(I$1,[1]characters!$2:$2,0)-MATCH($F$1,[1]characters!$2:$2,0)+1,FALSE)</f>
        <v>3</v>
      </c>
      <c r="J139" s="10" t="str">
        <f ca="1">VLOOKUP($F139,OFFSET([1]characters!$A$2,0,0,COUNTA([1]characters!$A:$A),MATCH(J$1,[1]characters!$2:$2,0)-MATCH($F$1,[1]characters!$2:$2,0)+1),MATCH(J$1,[1]characters!$2:$2,0)-MATCH($F$1,[1]characters!$2:$2,0)+1,FALSE)</f>
        <v>green</v>
      </c>
      <c r="K139" s="10" t="str">
        <f ca="1">VLOOKUP($F139,OFFSET([1]characters!$A$2,0,0,COUNTA([1]characters!$A:$A),MATCH("タイプ",[1]characters!$1:$1,0)-MATCH($F$1,[1]characters!$2:$2,0)+2),MATCH("タイプ",[1]characters!$1:$1,0)-MATCH($F$1,[1]characters!$2:$2,0)+2,FALSE)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9" s="10" t="str">
        <f ca="1">VLOOKUP($F139,OFFSET([1]characters!$A$2,0,0,COUNTA([1]characters!$A:$A),MATCH($L$1,[1]characters!$1:$1,0)-MATCH($F$1,[1]characters!$2:$2,0)+2),MATCH($L$1,[1]characters!$1:$1,0)-MATCH($F$1,[1]characters!$2:$2,0)+2,FALSE)</f>
        <v>ヒューマン</v>
      </c>
      <c r="M139" s="6">
        <v>1</v>
      </c>
      <c r="N139" s="40">
        <f ca="1">VLOOKUP(D139,gacha_133_base!A:B,2,FALSE)</f>
        <v>2460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4"/>
        <v>01961</v>
      </c>
      <c r="B140" s="2">
        <f t="shared" ref="B140:B203" si="11">$B$2</f>
        <v>135</v>
      </c>
      <c r="C140" s="10" t="str">
        <f t="shared" ca="1" si="9"/>
        <v>0PremiumN3</v>
      </c>
      <c r="D140" s="10" t="str">
        <f t="shared" ca="1" si="10"/>
        <v>0PremiumN3</v>
      </c>
      <c r="E140" s="6">
        <v>0</v>
      </c>
      <c r="F140" s="7">
        <v>196</v>
      </c>
      <c r="G140" s="10" t="str">
        <f ca="1">VLOOKUP($F140,OFFSET([1]characters!$A$2,0,0,COUNTA([1]characters!$A:$A),MATCH(G$1,[1]characters!$2:$2,0)-MATCH($F$1,[1]characters!$2:$2,0)+1),MATCH(G$1,[1]characters!$2:$2,0)-MATCH($F$1,[1]characters!$2:$2,0)+1,FALSE)</f>
        <v>アキレス</v>
      </c>
      <c r="H140" s="10" t="str">
        <f ca="1">VLOOKUP($F140,OFFSET([1]characters!$A$2,0,0,COUNTA([1]characters!$A:$A),MATCH(H$1,[1]characters!$2:$2,0)-MATCH($F$1,[1]characters!$2:$2,0)+1),MATCH(H$1,[1]characters!$2:$2,0)-MATCH($F$1,[1]characters!$2:$2,0)+1,FALSE)</f>
        <v>PremiumN</v>
      </c>
      <c r="I140" s="10">
        <f ca="1">VLOOKUP($F140,OFFSET([1]characters!$A$2,0,0,COUNTA([1]characters!$A:$A),MATCH(I$1,[1]characters!$2:$2,0)-MATCH($F$1,[1]characters!$2:$2,0)+1),MATCH(I$1,[1]characters!$2:$2,0)-MATCH($F$1,[1]characters!$2:$2,0)+1,FALSE)</f>
        <v>3</v>
      </c>
      <c r="J140" s="10" t="str">
        <f ca="1">VLOOKUP($F140,OFFSET([1]characters!$A$2,0,0,COUNTA([1]characters!$A:$A),MATCH(J$1,[1]characters!$2:$2,0)-MATCH($F$1,[1]characters!$2:$2,0)+1),MATCH(J$1,[1]characters!$2:$2,0)-MATCH($F$1,[1]characters!$2:$2,0)+1,FALSE)</f>
        <v>yellow</v>
      </c>
      <c r="K140" s="10" t="str">
        <f ca="1">VLOOKUP($F140,OFFSET([1]characters!$A$2,0,0,COUNTA([1]characters!$A:$A),MATCH("タイプ",[1]characters!$1:$1,0)-MATCH($F$1,[1]characters!$2:$2,0)+2),MATCH("タイプ",[1]characters!$1:$1,0)-MATCH($F$1,[1]characters!$2:$2,0)+2,FALSE)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0" s="10" t="str">
        <f ca="1">VLOOKUP($F140,OFFSET([1]characters!$A$2,0,0,COUNTA([1]characters!$A:$A),MATCH($L$1,[1]characters!$1:$1,0)-MATCH($F$1,[1]characters!$2:$2,0)+2),MATCH($L$1,[1]characters!$1:$1,0)-MATCH($F$1,[1]characters!$2:$2,0)+2,FALSE)</f>
        <v>ヒューマン</v>
      </c>
      <c r="M140" s="6">
        <v>1</v>
      </c>
      <c r="N140" s="40">
        <f ca="1">VLOOKUP(D140,gacha_133_base!A:B,2,FALSE)</f>
        <v>2460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4"/>
        <v>01991</v>
      </c>
      <c r="B141" s="2">
        <f t="shared" si="11"/>
        <v>135</v>
      </c>
      <c r="C141" s="10" t="str">
        <f t="shared" ca="1" si="9"/>
        <v>0PremiumN3</v>
      </c>
      <c r="D141" s="10" t="str">
        <f t="shared" ca="1" si="10"/>
        <v>0PremiumN3</v>
      </c>
      <c r="E141" s="6">
        <v>0</v>
      </c>
      <c r="F141" s="7">
        <v>199</v>
      </c>
      <c r="G141" s="10" t="str">
        <f ca="1">VLOOKUP($F141,OFFSET([1]characters!$A$2,0,0,COUNTA([1]characters!$A:$A),MATCH(G$1,[1]characters!$2:$2,0)-MATCH($F$1,[1]characters!$2:$2,0)+1),MATCH(G$1,[1]characters!$2:$2,0)-MATCH($F$1,[1]characters!$2:$2,0)+1,FALSE)</f>
        <v>ジークフリート</v>
      </c>
      <c r="H141" s="10" t="str">
        <f ca="1">VLOOKUP($F141,OFFSET([1]characters!$A$2,0,0,COUNTA([1]characters!$A:$A),MATCH(H$1,[1]characters!$2:$2,0)-MATCH($F$1,[1]characters!$2:$2,0)+1),MATCH(H$1,[1]characters!$2:$2,0)-MATCH($F$1,[1]characters!$2:$2,0)+1,FALSE)</f>
        <v>PremiumN</v>
      </c>
      <c r="I141" s="10">
        <f ca="1">VLOOKUP($F141,OFFSET([1]characters!$A$2,0,0,COUNTA([1]characters!$A:$A),MATCH(I$1,[1]characters!$2:$2,0)-MATCH($F$1,[1]characters!$2:$2,0)+1),MATCH(I$1,[1]characters!$2:$2,0)-MATCH($F$1,[1]characters!$2:$2,0)+1,FALSE)</f>
        <v>3</v>
      </c>
      <c r="J141" s="10" t="str">
        <f ca="1">VLOOKUP($F141,OFFSET([1]characters!$A$2,0,0,COUNTA([1]characters!$A:$A),MATCH(J$1,[1]characters!$2:$2,0)-MATCH($F$1,[1]characters!$2:$2,0)+1),MATCH(J$1,[1]characters!$2:$2,0)-MATCH($F$1,[1]characters!$2:$2,0)+1,FALSE)</f>
        <v>blue</v>
      </c>
      <c r="K141" s="10" t="str">
        <f ca="1">VLOOKUP($F141,OFFSET([1]characters!$A$2,0,0,COUNTA([1]characters!$A:$A),MATCH("タイプ",[1]characters!$1:$1,0)-MATCH($F$1,[1]characters!$2:$2,0)+2),MATCH("タイプ",[1]characters!$1:$1,0)-MATCH($F$1,[1]characters!$2:$2,0)+2,FALSE)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1" s="10" t="str">
        <f ca="1">VLOOKUP($F141,OFFSET([1]characters!$A$2,0,0,COUNTA([1]characters!$A:$A),MATCH($L$1,[1]characters!$1:$1,0)-MATCH($F$1,[1]characters!$2:$2,0)+2),MATCH($L$1,[1]characters!$1:$1,0)-MATCH($F$1,[1]characters!$2:$2,0)+2,FALSE)</f>
        <v>ヒューマン</v>
      </c>
      <c r="M141" s="6">
        <v>1</v>
      </c>
      <c r="N141" s="40">
        <f ca="1">VLOOKUP(D141,gacha_133_base!A:B,2,FALSE)</f>
        <v>2460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4"/>
        <v>02021</v>
      </c>
      <c r="B142" s="2">
        <f t="shared" si="11"/>
        <v>135</v>
      </c>
      <c r="C142" s="10" t="str">
        <f t="shared" ca="1" si="9"/>
        <v>0PremiumN3</v>
      </c>
      <c r="D142" s="10" t="str">
        <f t="shared" ca="1" si="10"/>
        <v>0PremiumN3</v>
      </c>
      <c r="E142" s="6">
        <v>0</v>
      </c>
      <c r="F142" s="7">
        <v>202</v>
      </c>
      <c r="G142" s="10" t="str">
        <f ca="1">VLOOKUP($F142,OFFSET([1]characters!$A$2,0,0,COUNTA([1]characters!$A:$A),MATCH(G$1,[1]characters!$2:$2,0)-MATCH($F$1,[1]characters!$2:$2,0)+1),MATCH(G$1,[1]characters!$2:$2,0)-MATCH($F$1,[1]characters!$2:$2,0)+1,FALSE)</f>
        <v>プロメテウス</v>
      </c>
      <c r="H142" s="10" t="str">
        <f ca="1">VLOOKUP($F142,OFFSET([1]characters!$A$2,0,0,COUNTA([1]characters!$A:$A),MATCH(H$1,[1]characters!$2:$2,0)-MATCH($F$1,[1]characters!$2:$2,0)+1),MATCH(H$1,[1]characters!$2:$2,0)-MATCH($F$1,[1]characters!$2:$2,0)+1,FALSE)</f>
        <v>PremiumN</v>
      </c>
      <c r="I142" s="10">
        <f ca="1">VLOOKUP($F142,OFFSET([1]characters!$A$2,0,0,COUNTA([1]characters!$A:$A),MATCH(I$1,[1]characters!$2:$2,0)-MATCH($F$1,[1]characters!$2:$2,0)+1),MATCH(I$1,[1]characters!$2:$2,0)-MATCH($F$1,[1]characters!$2:$2,0)+1,FALSE)</f>
        <v>3</v>
      </c>
      <c r="J142" s="10" t="str">
        <f ca="1">VLOOKUP($F142,OFFSET([1]characters!$A$2,0,0,COUNTA([1]characters!$A:$A),MATCH(J$1,[1]characters!$2:$2,0)-MATCH($F$1,[1]characters!$2:$2,0)+1),MATCH(J$1,[1]characters!$2:$2,0)-MATCH($F$1,[1]characters!$2:$2,0)+1,FALSE)</f>
        <v>red</v>
      </c>
      <c r="K142" s="10" t="str">
        <f ca="1">VLOOKUP($F142,OFFSET([1]characters!$A$2,0,0,COUNTA([1]characters!$A:$A),MATCH("タイプ",[1]characters!$1:$1,0)-MATCH($F$1,[1]characters!$2:$2,0)+2),MATCH("タイプ",[1]characters!$1:$1,0)-MATCH($F$1,[1]characters!$2:$2,0)+2,FALSE)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2" s="10" t="str">
        <f ca="1">VLOOKUP($F142,OFFSET([1]characters!$A$2,0,0,COUNTA([1]characters!$A:$A),MATCH($L$1,[1]characters!$1:$1,0)-MATCH($F$1,[1]characters!$2:$2,0)+2),MATCH($L$1,[1]characters!$1:$1,0)-MATCH($F$1,[1]characters!$2:$2,0)+2,FALSE)</f>
        <v>ゴッド</v>
      </c>
      <c r="M142" s="6">
        <v>1</v>
      </c>
      <c r="N142" s="40">
        <f ca="1">VLOOKUP(D142,gacha_133_base!A:B,2,FALSE)</f>
        <v>2460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4"/>
        <v>02051</v>
      </c>
      <c r="B143" s="2">
        <f t="shared" si="11"/>
        <v>135</v>
      </c>
      <c r="C143" s="10" t="str">
        <f t="shared" ca="1" si="9"/>
        <v>0PremiumN3</v>
      </c>
      <c r="D143" s="10" t="str">
        <f t="shared" ca="1" si="10"/>
        <v>0PremiumN3</v>
      </c>
      <c r="E143" s="6">
        <v>0</v>
      </c>
      <c r="F143" s="7">
        <v>205</v>
      </c>
      <c r="G143" s="10" t="str">
        <f ca="1">VLOOKUP($F143,OFFSET([1]characters!$A$2,0,0,COUNTA([1]characters!$A:$A),MATCH(G$1,[1]characters!$2:$2,0)-MATCH($F$1,[1]characters!$2:$2,0)+1),MATCH(G$1,[1]characters!$2:$2,0)-MATCH($F$1,[1]characters!$2:$2,0)+1,FALSE)</f>
        <v>アフロディーテ</v>
      </c>
      <c r="H143" s="10" t="str">
        <f ca="1">VLOOKUP($F143,OFFSET([1]characters!$A$2,0,0,COUNTA([1]characters!$A:$A),MATCH(H$1,[1]characters!$2:$2,0)-MATCH($F$1,[1]characters!$2:$2,0)+1),MATCH(H$1,[1]characters!$2:$2,0)-MATCH($F$1,[1]characters!$2:$2,0)+1,FALSE)</f>
        <v>PremiumN</v>
      </c>
      <c r="I143" s="10">
        <f ca="1">VLOOKUP($F143,OFFSET([1]characters!$A$2,0,0,COUNTA([1]characters!$A:$A),MATCH(I$1,[1]characters!$2:$2,0)-MATCH($F$1,[1]characters!$2:$2,0)+1),MATCH(I$1,[1]characters!$2:$2,0)-MATCH($F$1,[1]characters!$2:$2,0)+1,FALSE)</f>
        <v>3</v>
      </c>
      <c r="J143" s="10" t="str">
        <f ca="1">VLOOKUP($F143,OFFSET([1]characters!$A$2,0,0,COUNTA([1]characters!$A:$A),MATCH(J$1,[1]characters!$2:$2,0)-MATCH($F$1,[1]characters!$2:$2,0)+1),MATCH(J$1,[1]characters!$2:$2,0)-MATCH($F$1,[1]characters!$2:$2,0)+1,FALSE)</f>
        <v>green</v>
      </c>
      <c r="K143" s="10" t="str">
        <f ca="1">VLOOKUP($F143,OFFSET([1]characters!$A$2,0,0,COUNTA([1]characters!$A:$A),MATCH("タイプ",[1]characters!$1:$1,0)-MATCH($F$1,[1]characters!$2:$2,0)+2),MATCH("タイプ",[1]characters!$1:$1,0)-MATCH($F$1,[1]characters!$2:$2,0)+2,FALSE)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3" s="10" t="str">
        <f ca="1">VLOOKUP($F143,OFFSET([1]characters!$A$2,0,0,COUNTA([1]characters!$A:$A),MATCH($L$1,[1]characters!$1:$1,0)-MATCH($F$1,[1]characters!$2:$2,0)+2),MATCH($L$1,[1]characters!$1:$1,0)-MATCH($F$1,[1]characters!$2:$2,0)+2,FALSE)</f>
        <v>ゴッド</v>
      </c>
      <c r="M143" s="6">
        <v>1</v>
      </c>
      <c r="N143" s="40">
        <f ca="1">VLOOKUP(D143,gacha_133_base!A:B,2,FALSE)</f>
        <v>2460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4"/>
        <v>02081</v>
      </c>
      <c r="B144" s="2">
        <f t="shared" si="11"/>
        <v>135</v>
      </c>
      <c r="C144" s="10" t="str">
        <f t="shared" ca="1" si="9"/>
        <v>0PremiumN3</v>
      </c>
      <c r="D144" s="10" t="str">
        <f t="shared" ca="1" si="10"/>
        <v>0PremiumN3</v>
      </c>
      <c r="E144" s="6">
        <v>0</v>
      </c>
      <c r="F144" s="7">
        <v>208</v>
      </c>
      <c r="G144" s="10" t="str">
        <f ca="1">VLOOKUP($F144,OFFSET([1]characters!$A$2,0,0,COUNTA([1]characters!$A:$A),MATCH(G$1,[1]characters!$2:$2,0)-MATCH($F$1,[1]characters!$2:$2,0)+1),MATCH(G$1,[1]characters!$2:$2,0)-MATCH($F$1,[1]characters!$2:$2,0)+1,FALSE)</f>
        <v>テティス</v>
      </c>
      <c r="H144" s="10" t="str">
        <f ca="1">VLOOKUP($F144,OFFSET([1]characters!$A$2,0,0,COUNTA([1]characters!$A:$A),MATCH(H$1,[1]characters!$2:$2,0)-MATCH($F$1,[1]characters!$2:$2,0)+1),MATCH(H$1,[1]characters!$2:$2,0)-MATCH($F$1,[1]characters!$2:$2,0)+1,FALSE)</f>
        <v>PremiumN</v>
      </c>
      <c r="I144" s="10">
        <f ca="1">VLOOKUP($F144,OFFSET([1]characters!$A$2,0,0,COUNTA([1]characters!$A:$A),MATCH(I$1,[1]characters!$2:$2,0)-MATCH($F$1,[1]characters!$2:$2,0)+1),MATCH(I$1,[1]characters!$2:$2,0)-MATCH($F$1,[1]characters!$2:$2,0)+1,FALSE)</f>
        <v>3</v>
      </c>
      <c r="J144" s="10" t="str">
        <f ca="1">VLOOKUP($F144,OFFSET([1]characters!$A$2,0,0,COUNTA([1]characters!$A:$A),MATCH(J$1,[1]characters!$2:$2,0)-MATCH($F$1,[1]characters!$2:$2,0)+1),MATCH(J$1,[1]characters!$2:$2,0)-MATCH($F$1,[1]characters!$2:$2,0)+1,FALSE)</f>
        <v>blue</v>
      </c>
      <c r="K144" s="10" t="str">
        <f ca="1">VLOOKUP($F144,OFFSET([1]characters!$A$2,0,0,COUNTA([1]characters!$A:$A),MATCH("タイプ",[1]characters!$1:$1,0)-MATCH($F$1,[1]characters!$2:$2,0)+2),MATCH("タイプ",[1]characters!$1:$1,0)-MATCH($F$1,[1]characters!$2:$2,0)+2,FALSE)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4" s="10" t="str">
        <f ca="1">VLOOKUP($F144,OFFSET([1]characters!$A$2,0,0,COUNTA([1]characters!$A:$A),MATCH($L$1,[1]characters!$1:$1,0)-MATCH($F$1,[1]characters!$2:$2,0)+2),MATCH($L$1,[1]characters!$1:$1,0)-MATCH($F$1,[1]characters!$2:$2,0)+2,FALSE)</f>
        <v>ゴッド</v>
      </c>
      <c r="M144" s="6">
        <v>1</v>
      </c>
      <c r="N144" s="40">
        <f ca="1">VLOOKUP(D144,gacha_133_base!A:B,2,FALSE)</f>
        <v>2460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4"/>
        <v>02111</v>
      </c>
      <c r="B145" s="2">
        <f t="shared" si="11"/>
        <v>135</v>
      </c>
      <c r="C145" s="10" t="str">
        <f t="shared" ca="1" si="9"/>
        <v>0PremiumN3</v>
      </c>
      <c r="D145" s="10" t="str">
        <f t="shared" ca="1" si="10"/>
        <v>0PremiumN3</v>
      </c>
      <c r="E145" s="6">
        <v>0</v>
      </c>
      <c r="F145" s="7">
        <v>211</v>
      </c>
      <c r="G145" s="10" t="str">
        <f ca="1">VLOOKUP($F145,OFFSET([1]characters!$A$2,0,0,COUNTA([1]characters!$A:$A),MATCH(G$1,[1]characters!$2:$2,0)-MATCH($F$1,[1]characters!$2:$2,0)+1),MATCH(G$1,[1]characters!$2:$2,0)-MATCH($F$1,[1]characters!$2:$2,0)+1,FALSE)</f>
        <v>アストライアー</v>
      </c>
      <c r="H145" s="10" t="str">
        <f ca="1">VLOOKUP($F145,OFFSET([1]characters!$A$2,0,0,COUNTA([1]characters!$A:$A),MATCH(H$1,[1]characters!$2:$2,0)-MATCH($F$1,[1]characters!$2:$2,0)+1),MATCH(H$1,[1]characters!$2:$2,0)-MATCH($F$1,[1]characters!$2:$2,0)+1,FALSE)</f>
        <v>PremiumN</v>
      </c>
      <c r="I145" s="10">
        <f ca="1">VLOOKUP($F145,OFFSET([1]characters!$A$2,0,0,COUNTA([1]characters!$A:$A),MATCH(I$1,[1]characters!$2:$2,0)-MATCH($F$1,[1]characters!$2:$2,0)+1),MATCH(I$1,[1]characters!$2:$2,0)-MATCH($F$1,[1]characters!$2:$2,0)+1,FALSE)</f>
        <v>3</v>
      </c>
      <c r="J145" s="10" t="str">
        <f ca="1">VLOOKUP($F145,OFFSET([1]characters!$A$2,0,0,COUNTA([1]characters!$A:$A),MATCH(J$1,[1]characters!$2:$2,0)-MATCH($F$1,[1]characters!$2:$2,0)+1),MATCH(J$1,[1]characters!$2:$2,0)-MATCH($F$1,[1]characters!$2:$2,0)+1,FALSE)</f>
        <v>yellow</v>
      </c>
      <c r="K145" s="10" t="str">
        <f ca="1">VLOOKUP($F145,OFFSET([1]characters!$A$2,0,0,COUNTA([1]characters!$A:$A),MATCH("タイプ",[1]characters!$1:$1,0)-MATCH($F$1,[1]characters!$2:$2,0)+2),MATCH("タイプ",[1]characters!$1:$1,0)-MATCH($F$1,[1]characters!$2:$2,0)+2,FALSE)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5" s="10" t="str">
        <f ca="1">VLOOKUP($F145,OFFSET([1]characters!$A$2,0,0,COUNTA([1]characters!$A:$A),MATCH($L$1,[1]characters!$1:$1,0)-MATCH($F$1,[1]characters!$2:$2,0)+2),MATCH($L$1,[1]characters!$1:$1,0)-MATCH($F$1,[1]characters!$2:$2,0)+2,FALSE)</f>
        <v>ゴッド</v>
      </c>
      <c r="M145" s="6">
        <v>1</v>
      </c>
      <c r="N145" s="40">
        <f ca="1">VLOOKUP(D145,gacha_133_base!A:B,2,FALSE)</f>
        <v>2460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4"/>
        <v>02141</v>
      </c>
      <c r="B146" s="2">
        <f t="shared" si="11"/>
        <v>135</v>
      </c>
      <c r="C146" s="10" t="str">
        <f t="shared" ca="1" si="9"/>
        <v>0PremiumN3</v>
      </c>
      <c r="D146" s="10" t="str">
        <f t="shared" ca="1" si="10"/>
        <v>0PremiumN3</v>
      </c>
      <c r="E146" s="6">
        <v>0</v>
      </c>
      <c r="F146" s="7">
        <v>214</v>
      </c>
      <c r="G146" s="10" t="str">
        <f ca="1">VLOOKUP($F146,OFFSET([1]characters!$A$2,0,0,COUNTA([1]characters!$A:$A),MATCH(G$1,[1]characters!$2:$2,0)-MATCH($F$1,[1]characters!$2:$2,0)+1),MATCH(G$1,[1]characters!$2:$2,0)-MATCH($F$1,[1]characters!$2:$2,0)+1,FALSE)</f>
        <v>アズラエル</v>
      </c>
      <c r="H146" s="10" t="str">
        <f ca="1">VLOOKUP($F146,OFFSET([1]characters!$A$2,0,0,COUNTA([1]characters!$A:$A),MATCH(H$1,[1]characters!$2:$2,0)-MATCH($F$1,[1]characters!$2:$2,0)+1),MATCH(H$1,[1]characters!$2:$2,0)-MATCH($F$1,[1]characters!$2:$2,0)+1,FALSE)</f>
        <v>PremiumN</v>
      </c>
      <c r="I146" s="10">
        <f ca="1">VLOOKUP($F146,OFFSET([1]characters!$A$2,0,0,COUNTA([1]characters!$A:$A),MATCH(I$1,[1]characters!$2:$2,0)-MATCH($F$1,[1]characters!$2:$2,0)+1),MATCH(I$1,[1]characters!$2:$2,0)-MATCH($F$1,[1]characters!$2:$2,0)+1,FALSE)</f>
        <v>3</v>
      </c>
      <c r="J146" s="10" t="str">
        <f ca="1">VLOOKUP($F146,OFFSET([1]characters!$A$2,0,0,COUNTA([1]characters!$A:$A),MATCH(J$1,[1]characters!$2:$2,0)-MATCH($F$1,[1]characters!$2:$2,0)+1),MATCH(J$1,[1]characters!$2:$2,0)-MATCH($F$1,[1]characters!$2:$2,0)+1,FALSE)</f>
        <v>red</v>
      </c>
      <c r="K146" s="10" t="str">
        <f ca="1">VLOOKUP($F146,OFFSET([1]characters!$A$2,0,0,COUNTA([1]characters!$A:$A),MATCH("タイプ",[1]characters!$1:$1,0)-MATCH($F$1,[1]characters!$2:$2,0)+2),MATCH("タイプ",[1]characters!$1:$1,0)-MATCH($F$1,[1]characters!$2:$2,0)+2,FALSE)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6" s="10" t="str">
        <f ca="1">VLOOKUP($F146,OFFSET([1]characters!$A$2,0,0,COUNTA([1]characters!$A:$A),MATCH($L$1,[1]characters!$1:$1,0)-MATCH($F$1,[1]characters!$2:$2,0)+2),MATCH($L$1,[1]characters!$1:$1,0)-MATCH($F$1,[1]characters!$2:$2,0)+2,FALSE)</f>
        <v>ゴッド</v>
      </c>
      <c r="M146" s="6">
        <v>1</v>
      </c>
      <c r="N146" s="40">
        <f ca="1">VLOOKUP(D146,gacha_133_base!A:B,2,FALSE)</f>
        <v>2460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4"/>
        <v>02171</v>
      </c>
      <c r="B147" s="2">
        <f t="shared" si="11"/>
        <v>135</v>
      </c>
      <c r="C147" s="10" t="str">
        <f t="shared" ca="1" si="9"/>
        <v>0PremiumN3</v>
      </c>
      <c r="D147" s="10" t="str">
        <f t="shared" ca="1" si="10"/>
        <v>0PremiumN3</v>
      </c>
      <c r="E147" s="6">
        <v>0</v>
      </c>
      <c r="F147" s="7">
        <v>217</v>
      </c>
      <c r="G147" s="10" t="str">
        <f ca="1">VLOOKUP($F147,OFFSET([1]characters!$A$2,0,0,COUNTA([1]characters!$A:$A),MATCH(G$1,[1]characters!$2:$2,0)-MATCH($F$1,[1]characters!$2:$2,0)+1),MATCH(G$1,[1]characters!$2:$2,0)-MATCH($F$1,[1]characters!$2:$2,0)+1,FALSE)</f>
        <v>ケツァクアトル</v>
      </c>
      <c r="H147" s="10" t="str">
        <f ca="1">VLOOKUP($F147,OFFSET([1]characters!$A$2,0,0,COUNTA([1]characters!$A:$A),MATCH(H$1,[1]characters!$2:$2,0)-MATCH($F$1,[1]characters!$2:$2,0)+1),MATCH(H$1,[1]characters!$2:$2,0)-MATCH($F$1,[1]characters!$2:$2,0)+1,FALSE)</f>
        <v>PremiumN</v>
      </c>
      <c r="I147" s="10">
        <f ca="1">VLOOKUP($F147,OFFSET([1]characters!$A$2,0,0,COUNTA([1]characters!$A:$A),MATCH(I$1,[1]characters!$2:$2,0)-MATCH($F$1,[1]characters!$2:$2,0)+1),MATCH(I$1,[1]characters!$2:$2,0)-MATCH($F$1,[1]characters!$2:$2,0)+1,FALSE)</f>
        <v>3</v>
      </c>
      <c r="J147" s="10" t="str">
        <f ca="1">VLOOKUP($F147,OFFSET([1]characters!$A$2,0,0,COUNTA([1]characters!$A:$A),MATCH(J$1,[1]characters!$2:$2,0)-MATCH($F$1,[1]characters!$2:$2,0)+1),MATCH(J$1,[1]characters!$2:$2,0)-MATCH($F$1,[1]characters!$2:$2,0)+1,FALSE)</f>
        <v>green</v>
      </c>
      <c r="K147" s="10" t="str">
        <f ca="1">VLOOKUP($F147,OFFSET([1]characters!$A$2,0,0,COUNTA([1]characters!$A:$A),MATCH("タイプ",[1]characters!$1:$1,0)-MATCH($F$1,[1]characters!$2:$2,0)+2),MATCH("タイプ",[1]characters!$1:$1,0)-MATCH($F$1,[1]characters!$2:$2,0)+2,FALSE)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47" s="10" t="str">
        <f ca="1">VLOOKUP($F147,OFFSET([1]characters!$A$2,0,0,COUNTA([1]characters!$A:$A),MATCH($L$1,[1]characters!$1:$1,0)-MATCH($F$1,[1]characters!$2:$2,0)+2),MATCH($L$1,[1]characters!$1:$1,0)-MATCH($F$1,[1]characters!$2:$2,0)+2,FALSE)</f>
        <v>ドラゴン</v>
      </c>
      <c r="M147" s="6">
        <v>1</v>
      </c>
      <c r="N147" s="40">
        <f ca="1">VLOOKUP(D147,gacha_133_base!A:B,2,FALSE)</f>
        <v>2460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4"/>
        <v>02201</v>
      </c>
      <c r="B148" s="2">
        <f t="shared" si="11"/>
        <v>135</v>
      </c>
      <c r="C148" s="10" t="str">
        <f t="shared" ca="1" si="9"/>
        <v>0PremiumN3</v>
      </c>
      <c r="D148" s="10" t="str">
        <f t="shared" ca="1" si="10"/>
        <v>0PremiumN3</v>
      </c>
      <c r="E148" s="6">
        <v>0</v>
      </c>
      <c r="F148" s="7">
        <v>220</v>
      </c>
      <c r="G148" s="10" t="str">
        <f ca="1">VLOOKUP($F148,OFFSET([1]characters!$A$2,0,0,COUNTA([1]characters!$A:$A),MATCH(G$1,[1]characters!$2:$2,0)-MATCH($F$1,[1]characters!$2:$2,0)+1),MATCH(G$1,[1]characters!$2:$2,0)-MATCH($F$1,[1]characters!$2:$2,0)+1,FALSE)</f>
        <v>ルキフグス</v>
      </c>
      <c r="H148" s="10" t="str">
        <f ca="1">VLOOKUP($F148,OFFSET([1]characters!$A$2,0,0,COUNTA([1]characters!$A:$A),MATCH(H$1,[1]characters!$2:$2,0)-MATCH($F$1,[1]characters!$2:$2,0)+1),MATCH(H$1,[1]characters!$2:$2,0)-MATCH($F$1,[1]characters!$2:$2,0)+1,FALSE)</f>
        <v>PremiumN</v>
      </c>
      <c r="I148" s="10">
        <f ca="1">VLOOKUP($F148,OFFSET([1]characters!$A$2,0,0,COUNTA([1]characters!$A:$A),MATCH(I$1,[1]characters!$2:$2,0)-MATCH($F$1,[1]characters!$2:$2,0)+1),MATCH(I$1,[1]characters!$2:$2,0)-MATCH($F$1,[1]characters!$2:$2,0)+1,FALSE)</f>
        <v>3</v>
      </c>
      <c r="J148" s="10" t="str">
        <f ca="1">VLOOKUP($F148,OFFSET([1]characters!$A$2,0,0,COUNTA([1]characters!$A:$A),MATCH(J$1,[1]characters!$2:$2,0)-MATCH($F$1,[1]characters!$2:$2,0)+1),MATCH(J$1,[1]characters!$2:$2,0)-MATCH($F$1,[1]characters!$2:$2,0)+1,FALSE)</f>
        <v>blue</v>
      </c>
      <c r="K148" s="10" t="str">
        <f ca="1">VLOOKUP($F148,OFFSET([1]characters!$A$2,0,0,COUNTA([1]characters!$A:$A),MATCH("タイプ",[1]characters!$1:$1,0)-MATCH($F$1,[1]characters!$2:$2,0)+2),MATCH("タイプ",[1]characters!$1:$1,0)-MATCH($F$1,[1]characters!$2:$2,0)+2,FALSE)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8" s="10" t="str">
        <f ca="1">VLOOKUP($F148,OFFSET([1]characters!$A$2,0,0,COUNTA([1]characters!$A:$A),MATCH($L$1,[1]characters!$1:$1,0)-MATCH($F$1,[1]characters!$2:$2,0)+2),MATCH($L$1,[1]characters!$1:$1,0)-MATCH($F$1,[1]characters!$2:$2,0)+2,FALSE)</f>
        <v>ゴッド</v>
      </c>
      <c r="M148" s="6">
        <v>1</v>
      </c>
      <c r="N148" s="40">
        <f ca="1">VLOOKUP(D148,gacha_133_base!A:B,2,FALSE)</f>
        <v>2460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4"/>
        <v>02231</v>
      </c>
      <c r="B149" s="2">
        <f t="shared" si="11"/>
        <v>135</v>
      </c>
      <c r="C149" s="10" t="str">
        <f t="shared" ca="1" si="9"/>
        <v>0PremiumN3</v>
      </c>
      <c r="D149" s="10" t="str">
        <f t="shared" ca="1" si="10"/>
        <v>0PremiumN3</v>
      </c>
      <c r="E149" s="6">
        <v>0</v>
      </c>
      <c r="F149" s="7">
        <v>223</v>
      </c>
      <c r="G149" s="10" t="str">
        <f ca="1">VLOOKUP($F149,OFFSET([1]characters!$A$2,0,0,COUNTA([1]characters!$A:$A),MATCH(G$1,[1]characters!$2:$2,0)-MATCH($F$1,[1]characters!$2:$2,0)+1),MATCH(G$1,[1]characters!$2:$2,0)-MATCH($F$1,[1]characters!$2:$2,0)+1,FALSE)</f>
        <v>ヘラクレス</v>
      </c>
      <c r="H149" s="10" t="str">
        <f ca="1">VLOOKUP($F149,OFFSET([1]characters!$A$2,0,0,COUNTA([1]characters!$A:$A),MATCH(H$1,[1]characters!$2:$2,0)-MATCH($F$1,[1]characters!$2:$2,0)+1),MATCH(H$1,[1]characters!$2:$2,0)-MATCH($F$1,[1]characters!$2:$2,0)+1,FALSE)</f>
        <v>PremiumN</v>
      </c>
      <c r="I149" s="10">
        <f ca="1">VLOOKUP($F149,OFFSET([1]characters!$A$2,0,0,COUNTA([1]characters!$A:$A),MATCH(I$1,[1]characters!$2:$2,0)-MATCH($F$1,[1]characters!$2:$2,0)+1),MATCH(I$1,[1]characters!$2:$2,0)-MATCH($F$1,[1]characters!$2:$2,0)+1,FALSE)</f>
        <v>3</v>
      </c>
      <c r="J149" s="10" t="str">
        <f ca="1">VLOOKUP($F149,OFFSET([1]characters!$A$2,0,0,COUNTA([1]characters!$A:$A),MATCH(J$1,[1]characters!$2:$2,0)-MATCH($F$1,[1]characters!$2:$2,0)+1),MATCH(J$1,[1]characters!$2:$2,0)-MATCH($F$1,[1]characters!$2:$2,0)+1,FALSE)</f>
        <v>yellow</v>
      </c>
      <c r="K149" s="10" t="str">
        <f ca="1">VLOOKUP($F149,OFFSET([1]characters!$A$2,0,0,COUNTA([1]characters!$A:$A),MATCH("タイプ",[1]characters!$1:$1,0)-MATCH($F$1,[1]characters!$2:$2,0)+2),MATCH("タイプ",[1]characters!$1:$1,0)-MATCH($F$1,[1]characters!$2:$2,0)+2,FALSE)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9" s="10" t="str">
        <f ca="1">VLOOKUP($F149,OFFSET([1]characters!$A$2,0,0,COUNTA([1]characters!$A:$A),MATCH($L$1,[1]characters!$1:$1,0)-MATCH($F$1,[1]characters!$2:$2,0)+2),MATCH($L$1,[1]characters!$1:$1,0)-MATCH($F$1,[1]characters!$2:$2,0)+2,FALSE)</f>
        <v>ヒューマン</v>
      </c>
      <c r="M149" s="6">
        <v>1</v>
      </c>
      <c r="N149" s="40">
        <f ca="1">VLOOKUP(D149,gacha_133_base!A:B,2,FALSE)</f>
        <v>2460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4"/>
        <v>02261</v>
      </c>
      <c r="B150" s="2">
        <f t="shared" si="11"/>
        <v>135</v>
      </c>
      <c r="C150" s="10" t="str">
        <f t="shared" ca="1" si="9"/>
        <v>0PremiumS3</v>
      </c>
      <c r="D150" s="10" t="str">
        <f t="shared" ca="1" si="10"/>
        <v>0PremiumS3</v>
      </c>
      <c r="E150" s="6">
        <v>0</v>
      </c>
      <c r="F150" s="7">
        <v>226</v>
      </c>
      <c r="G150" s="10" t="str">
        <f ca="1">VLOOKUP($F150,OFFSET([1]characters!$A$2,0,0,COUNTA([1]characters!$A:$A),MATCH(G$1,[1]characters!$2:$2,0)-MATCH($F$1,[1]characters!$2:$2,0)+1),MATCH(G$1,[1]characters!$2:$2,0)-MATCH($F$1,[1]characters!$2:$2,0)+1,FALSE)</f>
        <v>アレス</v>
      </c>
      <c r="H150" s="10" t="str">
        <f ca="1">VLOOKUP($F150,OFFSET([1]characters!$A$2,0,0,COUNTA([1]characters!$A:$A),MATCH(H$1,[1]characters!$2:$2,0)-MATCH($F$1,[1]characters!$2:$2,0)+1),MATCH(H$1,[1]characters!$2:$2,0)-MATCH($F$1,[1]characters!$2:$2,0)+1,FALSE)</f>
        <v>PremiumS</v>
      </c>
      <c r="I150" s="10">
        <f ca="1">VLOOKUP($F150,OFFSET([1]characters!$A$2,0,0,COUNTA([1]characters!$A:$A),MATCH(I$1,[1]characters!$2:$2,0)-MATCH($F$1,[1]characters!$2:$2,0)+1),MATCH(I$1,[1]characters!$2:$2,0)-MATCH($F$1,[1]characters!$2:$2,0)+1,FALSE)</f>
        <v>3</v>
      </c>
      <c r="J150" s="10" t="str">
        <f ca="1">VLOOKUP($F150,OFFSET([1]characters!$A$2,0,0,COUNTA([1]characters!$A:$A),MATCH(J$1,[1]characters!$2:$2,0)-MATCH($F$1,[1]characters!$2:$2,0)+1),MATCH(J$1,[1]characters!$2:$2,0)-MATCH($F$1,[1]characters!$2:$2,0)+1,FALSE)</f>
        <v>red</v>
      </c>
      <c r="K150" s="10" t="str">
        <f ca="1">VLOOKUP($F150,OFFSET([1]characters!$A$2,0,0,COUNTA([1]characters!$A:$A),MATCH("タイプ",[1]characters!$1:$1,0)-MATCH($F$1,[1]characters!$2:$2,0)+2),MATCH("タイプ",[1]characters!$1:$1,0)-MATCH($F$1,[1]characters!$2:$2,0)+2,FALSE)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0" s="10" t="str">
        <f ca="1">VLOOKUP($F150,OFFSET([1]characters!$A$2,0,0,COUNTA([1]characters!$A:$A),MATCH($L$1,[1]characters!$1:$1,0)-MATCH($F$1,[1]characters!$2:$2,0)+2),MATCH($L$1,[1]characters!$1:$1,0)-MATCH($F$1,[1]characters!$2:$2,0)+2,FALSE)</f>
        <v>ゴッド</v>
      </c>
      <c r="M150" s="6">
        <v>1</v>
      </c>
      <c r="N150" s="40">
        <f ca="1">VLOOKUP(D150,gacha_133_base!A:B,2,FALSE)</f>
        <v>228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4"/>
        <v>02291</v>
      </c>
      <c r="B151" s="2">
        <f t="shared" si="11"/>
        <v>135</v>
      </c>
      <c r="C151" s="10" t="str">
        <f t="shared" ca="1" si="9"/>
        <v>0PremiumS3</v>
      </c>
      <c r="D151" s="10" t="str">
        <f t="shared" ca="1" si="10"/>
        <v>0PremiumS3</v>
      </c>
      <c r="E151" s="6">
        <v>0</v>
      </c>
      <c r="F151" s="7">
        <v>229</v>
      </c>
      <c r="G151" s="10" t="str">
        <f ca="1">VLOOKUP($F151,OFFSET([1]characters!$A$2,0,0,COUNTA([1]characters!$A:$A),MATCH(G$1,[1]characters!$2:$2,0)-MATCH($F$1,[1]characters!$2:$2,0)+1),MATCH(G$1,[1]characters!$2:$2,0)-MATCH($F$1,[1]characters!$2:$2,0)+1,FALSE)</f>
        <v>ヨルムンガンド</v>
      </c>
      <c r="H151" s="10" t="str">
        <f ca="1">VLOOKUP($F151,OFFSET([1]characters!$A$2,0,0,COUNTA([1]characters!$A:$A),MATCH(H$1,[1]characters!$2:$2,0)-MATCH($F$1,[1]characters!$2:$2,0)+1),MATCH(H$1,[1]characters!$2:$2,0)-MATCH($F$1,[1]characters!$2:$2,0)+1,FALSE)</f>
        <v>PremiumS</v>
      </c>
      <c r="I151" s="10">
        <f ca="1">VLOOKUP($F151,OFFSET([1]characters!$A$2,0,0,COUNTA([1]characters!$A:$A),MATCH(I$1,[1]characters!$2:$2,0)-MATCH($F$1,[1]characters!$2:$2,0)+1),MATCH(I$1,[1]characters!$2:$2,0)-MATCH($F$1,[1]characters!$2:$2,0)+1,FALSE)</f>
        <v>3</v>
      </c>
      <c r="J151" s="10" t="str">
        <f ca="1">VLOOKUP($F151,OFFSET([1]characters!$A$2,0,0,COUNTA([1]characters!$A:$A),MATCH(J$1,[1]characters!$2:$2,0)-MATCH($F$1,[1]characters!$2:$2,0)+1),MATCH(J$1,[1]characters!$2:$2,0)-MATCH($F$1,[1]characters!$2:$2,0)+1,FALSE)</f>
        <v>green</v>
      </c>
      <c r="K151" s="10" t="str">
        <f ca="1">VLOOKUP($F151,OFFSET([1]characters!$A$2,0,0,COUNTA([1]characters!$A:$A),MATCH("タイプ",[1]characters!$1:$1,0)-MATCH($F$1,[1]characters!$2:$2,0)+2),MATCH("タイプ",[1]characters!$1:$1,0)-MATCH($F$1,[1]characters!$2:$2,0)+2,FALSE)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1" s="10" t="str">
        <f ca="1">VLOOKUP($F151,OFFSET([1]characters!$A$2,0,0,COUNTA([1]characters!$A:$A),MATCH($L$1,[1]characters!$1:$1,0)-MATCH($F$1,[1]characters!$2:$2,0)+2),MATCH($L$1,[1]characters!$1:$1,0)-MATCH($F$1,[1]characters!$2:$2,0)+2,FALSE)</f>
        <v>ドラゴン</v>
      </c>
      <c r="M151" s="6">
        <v>1</v>
      </c>
      <c r="N151" s="40">
        <f ca="1">VLOOKUP(D151,gacha_133_base!A:B,2,FALSE)</f>
        <v>228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4"/>
        <v>02321</v>
      </c>
      <c r="B152" s="2">
        <f t="shared" si="11"/>
        <v>135</v>
      </c>
      <c r="C152" s="10" t="str">
        <f t="shared" ca="1" si="9"/>
        <v>0PremiumS3</v>
      </c>
      <c r="D152" s="10" t="str">
        <f t="shared" ca="1" si="10"/>
        <v>0PremiumS3</v>
      </c>
      <c r="E152" s="6">
        <v>0</v>
      </c>
      <c r="F152" s="7">
        <v>232</v>
      </c>
      <c r="G152" s="10" t="str">
        <f ca="1">VLOOKUP($F152,OFFSET([1]characters!$A$2,0,0,COUNTA([1]characters!$A:$A),MATCH(G$1,[1]characters!$2:$2,0)-MATCH($F$1,[1]characters!$2:$2,0)+1),MATCH(G$1,[1]characters!$2:$2,0)-MATCH($F$1,[1]characters!$2:$2,0)+1,FALSE)</f>
        <v>パーシヴァル</v>
      </c>
      <c r="H152" s="10" t="str">
        <f ca="1">VLOOKUP($F152,OFFSET([1]characters!$A$2,0,0,COUNTA([1]characters!$A:$A),MATCH(H$1,[1]characters!$2:$2,0)-MATCH($F$1,[1]characters!$2:$2,0)+1),MATCH(H$1,[1]characters!$2:$2,0)-MATCH($F$1,[1]characters!$2:$2,0)+1,FALSE)</f>
        <v>PremiumS</v>
      </c>
      <c r="I152" s="10">
        <f ca="1">VLOOKUP($F152,OFFSET([1]characters!$A$2,0,0,COUNTA([1]characters!$A:$A),MATCH(I$1,[1]characters!$2:$2,0)-MATCH($F$1,[1]characters!$2:$2,0)+1),MATCH(I$1,[1]characters!$2:$2,0)-MATCH($F$1,[1]characters!$2:$2,0)+1,FALSE)</f>
        <v>3</v>
      </c>
      <c r="J152" s="10" t="str">
        <f ca="1">VLOOKUP($F152,OFFSET([1]characters!$A$2,0,0,COUNTA([1]characters!$A:$A),MATCH(J$1,[1]characters!$2:$2,0)-MATCH($F$1,[1]characters!$2:$2,0)+1),MATCH(J$1,[1]characters!$2:$2,0)-MATCH($F$1,[1]characters!$2:$2,0)+1,FALSE)</f>
        <v>blue</v>
      </c>
      <c r="K152" s="10" t="str">
        <f ca="1">VLOOKUP($F152,OFFSET([1]characters!$A$2,0,0,COUNTA([1]characters!$A:$A),MATCH("タイプ",[1]characters!$1:$1,0)-MATCH($F$1,[1]characters!$2:$2,0)+2),MATCH("タイプ",[1]characters!$1:$1,0)-MATCH($F$1,[1]characters!$2:$2,0)+2,FALSE)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2" s="10" t="str">
        <f ca="1">VLOOKUP($F152,OFFSET([1]characters!$A$2,0,0,COUNTA([1]characters!$A:$A),MATCH($L$1,[1]characters!$1:$1,0)-MATCH($F$1,[1]characters!$2:$2,0)+2),MATCH($L$1,[1]characters!$1:$1,0)-MATCH($F$1,[1]characters!$2:$2,0)+2,FALSE)</f>
        <v>ヒューマン</v>
      </c>
      <c r="M152" s="6">
        <v>1</v>
      </c>
      <c r="N152" s="40">
        <f ca="1">VLOOKUP(D152,gacha_133_base!A:B,2,FALSE)</f>
        <v>228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4"/>
        <v>02351</v>
      </c>
      <c r="B153" s="2">
        <f t="shared" si="11"/>
        <v>135</v>
      </c>
      <c r="C153" s="10" t="str">
        <f t="shared" ca="1" si="9"/>
        <v>0PremiumS3</v>
      </c>
      <c r="D153" s="10" t="str">
        <f t="shared" ca="1" si="10"/>
        <v>0PremiumS3</v>
      </c>
      <c r="E153" s="6">
        <v>0</v>
      </c>
      <c r="F153" s="7">
        <v>235</v>
      </c>
      <c r="G153" s="10" t="str">
        <f ca="1">VLOOKUP($F153,OFFSET([1]characters!$A$2,0,0,COUNTA([1]characters!$A:$A),MATCH(G$1,[1]characters!$2:$2,0)-MATCH($F$1,[1]characters!$2:$2,0)+1),MATCH(G$1,[1]characters!$2:$2,0)-MATCH($F$1,[1]characters!$2:$2,0)+1,FALSE)</f>
        <v>イザナミ</v>
      </c>
      <c r="H153" s="10" t="str">
        <f ca="1">VLOOKUP($F153,OFFSET([1]characters!$A$2,0,0,COUNTA([1]characters!$A:$A),MATCH(H$1,[1]characters!$2:$2,0)-MATCH($F$1,[1]characters!$2:$2,0)+1),MATCH(H$1,[1]characters!$2:$2,0)-MATCH($F$1,[1]characters!$2:$2,0)+1,FALSE)</f>
        <v>PremiumS</v>
      </c>
      <c r="I153" s="10">
        <f ca="1">VLOOKUP($F153,OFFSET([1]characters!$A$2,0,0,COUNTA([1]characters!$A:$A),MATCH(I$1,[1]characters!$2:$2,0)-MATCH($F$1,[1]characters!$2:$2,0)+1),MATCH(I$1,[1]characters!$2:$2,0)-MATCH($F$1,[1]characters!$2:$2,0)+1,FALSE)</f>
        <v>3</v>
      </c>
      <c r="J153" s="10" t="str">
        <f ca="1">VLOOKUP($F153,OFFSET([1]characters!$A$2,0,0,COUNTA([1]characters!$A:$A),MATCH(J$1,[1]characters!$2:$2,0)-MATCH($F$1,[1]characters!$2:$2,0)+1),MATCH(J$1,[1]characters!$2:$2,0)-MATCH($F$1,[1]characters!$2:$2,0)+1,FALSE)</f>
        <v>yellow</v>
      </c>
      <c r="K153" s="10" t="str">
        <f ca="1">VLOOKUP($F153,OFFSET([1]characters!$A$2,0,0,COUNTA([1]characters!$A:$A),MATCH("タイプ",[1]characters!$1:$1,0)-MATCH($F$1,[1]characters!$2:$2,0)+2),MATCH("タイプ",[1]characters!$1:$1,0)-MATCH($F$1,[1]characters!$2:$2,0)+2,FALSE)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3" s="10" t="str">
        <f ca="1">VLOOKUP($F153,OFFSET([1]characters!$A$2,0,0,COUNTA([1]characters!$A:$A),MATCH($L$1,[1]characters!$1:$1,0)-MATCH($F$1,[1]characters!$2:$2,0)+2),MATCH($L$1,[1]characters!$1:$1,0)-MATCH($F$1,[1]characters!$2:$2,0)+2,FALSE)</f>
        <v>ゴッド</v>
      </c>
      <c r="M153" s="6">
        <v>1</v>
      </c>
      <c r="N153" s="40">
        <f ca="1">VLOOKUP(D153,gacha_133_base!A:B,2,FALSE)</f>
        <v>228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4"/>
        <v>01271</v>
      </c>
      <c r="B154" s="2">
        <f t="shared" si="11"/>
        <v>135</v>
      </c>
      <c r="C154" s="10" t="str">
        <f t="shared" ca="1" si="9"/>
        <v>0PremiumW4</v>
      </c>
      <c r="D154" s="10" t="str">
        <f t="shared" ca="1" si="10"/>
        <v>0PremiumW4</v>
      </c>
      <c r="E154" s="6">
        <v>0</v>
      </c>
      <c r="F154" s="7">
        <v>127</v>
      </c>
      <c r="G154" s="10" t="str">
        <f ca="1">VLOOKUP($F154,OFFSET([1]characters!$A$2,0,0,COUNTA([1]characters!$A:$A),MATCH(G$1,[1]characters!$2:$2,0)-MATCH($F$1,[1]characters!$2:$2,0)+1),MATCH(G$1,[1]characters!$2:$2,0)-MATCH($F$1,[1]characters!$2:$2,0)+1,FALSE)</f>
        <v>狂喜の賢者 ユノ</v>
      </c>
      <c r="H154" s="10" t="str">
        <f ca="1">VLOOKUP($F154,OFFSET([1]characters!$A$2,0,0,COUNTA([1]characters!$A:$A),MATCH(H$1,[1]characters!$2:$2,0)-MATCH($F$1,[1]characters!$2:$2,0)+1),MATCH(H$1,[1]characters!$2:$2,0)-MATCH($F$1,[1]characters!$2:$2,0)+1,FALSE)</f>
        <v>PremiumW</v>
      </c>
      <c r="I154" s="10">
        <f ca="1">VLOOKUP($F154,OFFSET([1]characters!$A$2,0,0,COUNTA([1]characters!$A:$A),MATCH(I$1,[1]characters!$2:$2,0)-MATCH($F$1,[1]characters!$2:$2,0)+1),MATCH(I$1,[1]characters!$2:$2,0)-MATCH($F$1,[1]characters!$2:$2,0)+1,FALSE)</f>
        <v>4</v>
      </c>
      <c r="J154" s="10" t="str">
        <f ca="1">VLOOKUP($F154,OFFSET([1]characters!$A$2,0,0,COUNTA([1]characters!$A:$A),MATCH(J$1,[1]characters!$2:$2,0)-MATCH($F$1,[1]characters!$2:$2,0)+1),MATCH(J$1,[1]characters!$2:$2,0)-MATCH($F$1,[1]characters!$2:$2,0)+1,FALSE)</f>
        <v>red</v>
      </c>
      <c r="K154" s="10" t="str">
        <f ca="1">VLOOKUP($F154,OFFSET([1]characters!$A$2,0,0,COUNTA([1]characters!$A:$A),MATCH("タイプ",[1]characters!$1:$1,0)-MATCH($F$1,[1]characters!$2:$2,0)+2),MATCH("タイプ",[1]characters!$1:$1,0)-MATCH($F$1,[1]characters!$2:$2,0)+2,FALSE)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4" s="10" t="str">
        <f ca="1">VLOOKUP($F154,OFFSET([1]characters!$A$2,0,0,COUNTA([1]characters!$A:$A),MATCH($L$1,[1]characters!$1:$1,0)-MATCH($F$1,[1]characters!$2:$2,0)+2),MATCH($L$1,[1]characters!$1:$1,0)-MATCH($F$1,[1]characters!$2:$2,0)+2,FALSE)</f>
        <v>ヒューマン</v>
      </c>
      <c r="M154" s="6">
        <v>1</v>
      </c>
      <c r="N154" s="40">
        <f ca="1">VLOOKUP(D154,gacha_133_base!A:B,2,FALSE)</f>
        <v>801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si="4"/>
        <v>01291</v>
      </c>
      <c r="B155" s="2">
        <f t="shared" si="11"/>
        <v>135</v>
      </c>
      <c r="C155" s="10" t="str">
        <f t="shared" ca="1" si="9"/>
        <v>0PremiumW4</v>
      </c>
      <c r="D155" s="10" t="str">
        <f t="shared" ca="1" si="10"/>
        <v>0PremiumW4</v>
      </c>
      <c r="E155" s="6">
        <v>0</v>
      </c>
      <c r="F155" s="7">
        <v>129</v>
      </c>
      <c r="G155" s="10" t="str">
        <f ca="1">VLOOKUP($F155,OFFSET([1]characters!$A$2,0,0,COUNTA([1]characters!$A:$A),MATCH(G$1,[1]characters!$2:$2,0)-MATCH($F$1,[1]characters!$2:$2,0)+1),MATCH(G$1,[1]characters!$2:$2,0)-MATCH($F$1,[1]characters!$2:$2,0)+1,FALSE)</f>
        <v>孤高の狼憑き アマラ</v>
      </c>
      <c r="H155" s="10" t="str">
        <f ca="1">VLOOKUP($F155,OFFSET([1]characters!$A$2,0,0,COUNTA([1]characters!$A:$A),MATCH(H$1,[1]characters!$2:$2,0)-MATCH($F$1,[1]characters!$2:$2,0)+1),MATCH(H$1,[1]characters!$2:$2,0)-MATCH($F$1,[1]characters!$2:$2,0)+1,FALSE)</f>
        <v>PremiumW</v>
      </c>
      <c r="I155" s="10">
        <f ca="1">VLOOKUP($F155,OFFSET([1]characters!$A$2,0,0,COUNTA([1]characters!$A:$A),MATCH(I$1,[1]characters!$2:$2,0)-MATCH($F$1,[1]characters!$2:$2,0)+1),MATCH(I$1,[1]characters!$2:$2,0)-MATCH($F$1,[1]characters!$2:$2,0)+1,FALSE)</f>
        <v>4</v>
      </c>
      <c r="J155" s="10" t="str">
        <f ca="1">VLOOKUP($F155,OFFSET([1]characters!$A$2,0,0,COUNTA([1]characters!$A:$A),MATCH(J$1,[1]characters!$2:$2,0)-MATCH($F$1,[1]characters!$2:$2,0)+1),MATCH(J$1,[1]characters!$2:$2,0)-MATCH($F$1,[1]characters!$2:$2,0)+1,FALSE)</f>
        <v>green</v>
      </c>
      <c r="K155" s="10" t="str">
        <f ca="1">VLOOKUP($F155,OFFSET([1]characters!$A$2,0,0,COUNTA([1]characters!$A:$A),MATCH("タイプ",[1]characters!$1:$1,0)-MATCH($F$1,[1]characters!$2:$2,0)+2),MATCH("タイプ",[1]characters!$1:$1,0)-MATCH($F$1,[1]characters!$2:$2,0)+2,FALSE)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5" s="10" t="str">
        <f ca="1">VLOOKUP($F155,OFFSET([1]characters!$A$2,0,0,COUNTA([1]characters!$A:$A),MATCH($L$1,[1]characters!$1:$1,0)-MATCH($F$1,[1]characters!$2:$2,0)+2),MATCH($L$1,[1]characters!$1:$1,0)-MATCH($F$1,[1]characters!$2:$2,0)+2,FALSE)</f>
        <v>ヒューマン</v>
      </c>
      <c r="M155" s="6">
        <v>1</v>
      </c>
      <c r="N155" s="40">
        <f ca="1">VLOOKUP(D155,gacha_133_base!A:B,2,FALSE)</f>
        <v>801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4"/>
        <v>01311</v>
      </c>
      <c r="B156" s="2">
        <f t="shared" si="11"/>
        <v>135</v>
      </c>
      <c r="C156" s="10" t="str">
        <f t="shared" ca="1" si="9"/>
        <v>0PremiumW4</v>
      </c>
      <c r="D156" s="10" t="str">
        <f t="shared" ca="1" si="10"/>
        <v>0PremiumW4</v>
      </c>
      <c r="E156" s="6">
        <v>0</v>
      </c>
      <c r="F156" s="7">
        <v>131</v>
      </c>
      <c r="G156" s="10" t="str">
        <f ca="1">VLOOKUP($F156,OFFSET([1]characters!$A$2,0,0,COUNTA([1]characters!$A:$A),MATCH(G$1,[1]characters!$2:$2,0)-MATCH($F$1,[1]characters!$2:$2,0)+1),MATCH(G$1,[1]characters!$2:$2,0)-MATCH($F$1,[1]characters!$2:$2,0)+1,FALSE)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156" s="10" t="str">
        <f ca="1">VLOOKUP($F156,OFFSET([1]characters!$A$2,0,0,COUNTA([1]characters!$A:$A),MATCH(H$1,[1]characters!$2:$2,0)-MATCH($F$1,[1]characters!$2:$2,0)+1),MATCH(H$1,[1]characters!$2:$2,0)-MATCH($F$1,[1]characters!$2:$2,0)+1,FALSE)</f>
        <v>PremiumW</v>
      </c>
      <c r="I156" s="10">
        <f ca="1">VLOOKUP($F156,OFFSET([1]characters!$A$2,0,0,COUNTA([1]characters!$A:$A),MATCH(I$1,[1]characters!$2:$2,0)-MATCH($F$1,[1]characters!$2:$2,0)+1),MATCH(I$1,[1]characters!$2:$2,0)-MATCH($F$1,[1]characters!$2:$2,0)+1,FALSE)</f>
        <v>4</v>
      </c>
      <c r="J156" s="10" t="str">
        <f ca="1">VLOOKUP($F156,OFFSET([1]characters!$A$2,0,0,COUNTA([1]characters!$A:$A),MATCH(J$1,[1]characters!$2:$2,0)-MATCH($F$1,[1]characters!$2:$2,0)+1),MATCH(J$1,[1]characters!$2:$2,0)-MATCH($F$1,[1]characters!$2:$2,0)+1,FALSE)</f>
        <v>blue</v>
      </c>
      <c r="K156" s="10" t="str">
        <f ca="1">VLOOKUP($F156,OFFSET([1]characters!$A$2,0,0,COUNTA([1]characters!$A:$A),MATCH("タイプ",[1]characters!$1:$1,0)-MATCH($F$1,[1]characters!$2:$2,0)+2),MATCH("タイプ",[1]characters!$1:$1,0)-MATCH($F$1,[1]characters!$2:$2,0)+2,FALSE)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6" s="10" t="str">
        <f ca="1">VLOOKUP($F156,OFFSET([1]characters!$A$2,0,0,COUNTA([1]characters!$A:$A),MATCH($L$1,[1]characters!$1:$1,0)-MATCH($F$1,[1]characters!$2:$2,0)+2),MATCH($L$1,[1]characters!$1:$1,0)-MATCH($F$1,[1]characters!$2:$2,0)+2,FALSE)</f>
        <v>アニマル</v>
      </c>
      <c r="M156" s="6">
        <v>1</v>
      </c>
      <c r="N156" s="40">
        <f ca="1">VLOOKUP(D156,gacha_133_base!A:B,2,FALSE)</f>
        <v>801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4"/>
        <v>01331</v>
      </c>
      <c r="B157" s="2">
        <f t="shared" si="11"/>
        <v>135</v>
      </c>
      <c r="C157" s="10" t="str">
        <f t="shared" ca="1" si="9"/>
        <v>0PremiumW4</v>
      </c>
      <c r="D157" s="10" t="str">
        <f t="shared" ca="1" si="10"/>
        <v>0PremiumW4</v>
      </c>
      <c r="E157" s="6">
        <v>0</v>
      </c>
      <c r="F157" s="7">
        <v>133</v>
      </c>
      <c r="G157" s="10" t="str">
        <f ca="1">VLOOKUP($F157,OFFSET([1]characters!$A$2,0,0,COUNTA([1]characters!$A:$A),MATCH(G$1,[1]characters!$2:$2,0)-MATCH($F$1,[1]characters!$2:$2,0)+1),MATCH(G$1,[1]characters!$2:$2,0)-MATCH($F$1,[1]characters!$2:$2,0)+1,FALSE)</f>
        <v>迅雷の刀剣 ハヤト</v>
      </c>
      <c r="H157" s="10" t="str">
        <f ca="1">VLOOKUP($F157,OFFSET([1]characters!$A$2,0,0,COUNTA([1]characters!$A:$A),MATCH(H$1,[1]characters!$2:$2,0)-MATCH($F$1,[1]characters!$2:$2,0)+1),MATCH(H$1,[1]characters!$2:$2,0)-MATCH($F$1,[1]characters!$2:$2,0)+1,FALSE)</f>
        <v>PremiumW</v>
      </c>
      <c r="I157" s="10">
        <f ca="1">VLOOKUP($F157,OFFSET([1]characters!$A$2,0,0,COUNTA([1]characters!$A:$A),MATCH(I$1,[1]characters!$2:$2,0)-MATCH($F$1,[1]characters!$2:$2,0)+1),MATCH(I$1,[1]characters!$2:$2,0)-MATCH($F$1,[1]characters!$2:$2,0)+1,FALSE)</f>
        <v>4</v>
      </c>
      <c r="J157" s="10" t="str">
        <f ca="1">VLOOKUP($F157,OFFSET([1]characters!$A$2,0,0,COUNTA([1]characters!$A:$A),MATCH(J$1,[1]characters!$2:$2,0)-MATCH($F$1,[1]characters!$2:$2,0)+1),MATCH(J$1,[1]characters!$2:$2,0)-MATCH($F$1,[1]characters!$2:$2,0)+1,FALSE)</f>
        <v>yellow</v>
      </c>
      <c r="K157" s="10" t="str">
        <f ca="1">VLOOKUP($F157,OFFSET([1]characters!$A$2,0,0,COUNTA([1]characters!$A:$A),MATCH("タイプ",[1]characters!$1:$1,0)-MATCH($F$1,[1]characters!$2:$2,0)+2),MATCH("タイプ",[1]characters!$1:$1,0)-MATCH($F$1,[1]characters!$2:$2,0)+2,FALSE)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57" s="10" t="str">
        <f ca="1">VLOOKUP($F157,OFFSET([1]characters!$A$2,0,0,COUNTA([1]characters!$A:$A),MATCH($L$1,[1]characters!$1:$1,0)-MATCH($F$1,[1]characters!$2:$2,0)+2),MATCH($L$1,[1]characters!$1:$1,0)-MATCH($F$1,[1]characters!$2:$2,0)+2,FALSE)</f>
        <v>ヒューマン</v>
      </c>
      <c r="M157" s="6">
        <v>1</v>
      </c>
      <c r="N157" s="40">
        <f ca="1">VLOOKUP(D157,gacha_133_base!A:B,2,FALSE)</f>
        <v>801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4"/>
        <v>01351</v>
      </c>
      <c r="B158" s="2">
        <f t="shared" si="11"/>
        <v>135</v>
      </c>
      <c r="C158" s="10" t="str">
        <f t="shared" ca="1" si="9"/>
        <v>0PremiumW4</v>
      </c>
      <c r="D158" s="10" t="str">
        <f t="shared" ca="1" si="10"/>
        <v>0PremiumW4</v>
      </c>
      <c r="E158" s="6">
        <v>0</v>
      </c>
      <c r="F158" s="7">
        <v>135</v>
      </c>
      <c r="G158" s="10" t="str">
        <f ca="1">VLOOKUP($F158,OFFSET([1]characters!$A$2,0,0,COUNTA([1]characters!$A:$A),MATCH(G$1,[1]characters!$2:$2,0)-MATCH($F$1,[1]characters!$2:$2,0)+1),MATCH(G$1,[1]characters!$2:$2,0)-MATCH($F$1,[1]characters!$2:$2,0)+1,FALSE)</f>
        <v>京の炎華夕霧</v>
      </c>
      <c r="H158" s="10" t="str">
        <f ca="1">VLOOKUP($F158,OFFSET([1]characters!$A$2,0,0,COUNTA([1]characters!$A:$A),MATCH(H$1,[1]characters!$2:$2,0)-MATCH($F$1,[1]characters!$2:$2,0)+1),MATCH(H$1,[1]characters!$2:$2,0)-MATCH($F$1,[1]characters!$2:$2,0)+1,FALSE)</f>
        <v>PremiumW</v>
      </c>
      <c r="I158" s="10">
        <f ca="1">VLOOKUP($F158,OFFSET([1]characters!$A$2,0,0,COUNTA([1]characters!$A:$A),MATCH(I$1,[1]characters!$2:$2,0)-MATCH($F$1,[1]characters!$2:$2,0)+1),MATCH(I$1,[1]characters!$2:$2,0)-MATCH($F$1,[1]characters!$2:$2,0)+1,FALSE)</f>
        <v>4</v>
      </c>
      <c r="J158" s="10" t="str">
        <f ca="1">VLOOKUP($F158,OFFSET([1]characters!$A$2,0,0,COUNTA([1]characters!$A:$A),MATCH(J$1,[1]characters!$2:$2,0)-MATCH($F$1,[1]characters!$2:$2,0)+1),MATCH(J$1,[1]characters!$2:$2,0)-MATCH($F$1,[1]characters!$2:$2,0)+1,FALSE)</f>
        <v>red</v>
      </c>
      <c r="K158" s="10" t="str">
        <f ca="1">VLOOKUP($F158,OFFSET([1]characters!$A$2,0,0,COUNTA([1]characters!$A:$A),MATCH("タイプ",[1]characters!$1:$1,0)-MATCH($F$1,[1]characters!$2:$2,0)+2),MATCH("タイプ",[1]characters!$1:$1,0)-MATCH($F$1,[1]characters!$2:$2,0)+2,FALSE)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8" s="10" t="str">
        <f ca="1">VLOOKUP($F158,OFFSET([1]characters!$A$2,0,0,COUNTA([1]characters!$A:$A),MATCH($L$1,[1]characters!$1:$1,0)-MATCH($F$1,[1]characters!$2:$2,0)+2),MATCH($L$1,[1]characters!$1:$1,0)-MATCH($F$1,[1]characters!$2:$2,0)+2,FALSE)</f>
        <v>ヒューマン</v>
      </c>
      <c r="M158" s="6">
        <v>1</v>
      </c>
      <c r="N158" s="40">
        <f ca="1">VLOOKUP(D158,gacha_133_base!A:B,2,FALSE)</f>
        <v>801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4"/>
        <v>01371</v>
      </c>
      <c r="B159" s="2">
        <f t="shared" si="11"/>
        <v>135</v>
      </c>
      <c r="C159" s="10" t="str">
        <f t="shared" ca="1" si="9"/>
        <v>0PremiumW4</v>
      </c>
      <c r="D159" s="10" t="str">
        <f t="shared" ca="1" si="10"/>
        <v>0PremiumW4</v>
      </c>
      <c r="E159" s="6">
        <v>0</v>
      </c>
      <c r="F159" s="7">
        <v>137</v>
      </c>
      <c r="G159" s="10" t="str">
        <f ca="1">VLOOKUP($F159,OFFSET([1]characters!$A$2,0,0,COUNTA([1]characters!$A:$A),MATCH(G$1,[1]characters!$2:$2,0)-MATCH($F$1,[1]characters!$2:$2,0)+1),MATCH(G$1,[1]characters!$2:$2,0)-MATCH($F$1,[1]characters!$2:$2,0)+1,FALSE)</f>
        <v>清福の仕立屋 チハヤ</v>
      </c>
      <c r="H159" s="10" t="str">
        <f ca="1">VLOOKUP($F159,OFFSET([1]characters!$A$2,0,0,COUNTA([1]characters!$A:$A),MATCH(H$1,[1]characters!$2:$2,0)-MATCH($F$1,[1]characters!$2:$2,0)+1),MATCH(H$1,[1]characters!$2:$2,0)-MATCH($F$1,[1]characters!$2:$2,0)+1,FALSE)</f>
        <v>PremiumW</v>
      </c>
      <c r="I159" s="10">
        <f ca="1">VLOOKUP($F159,OFFSET([1]characters!$A$2,0,0,COUNTA([1]characters!$A:$A),MATCH(I$1,[1]characters!$2:$2,0)-MATCH($F$1,[1]characters!$2:$2,0)+1),MATCH(I$1,[1]characters!$2:$2,0)-MATCH($F$1,[1]characters!$2:$2,0)+1,FALSE)</f>
        <v>4</v>
      </c>
      <c r="J159" s="10" t="str">
        <f ca="1">VLOOKUP($F159,OFFSET([1]characters!$A$2,0,0,COUNTA([1]characters!$A:$A),MATCH(J$1,[1]characters!$2:$2,0)-MATCH($F$1,[1]characters!$2:$2,0)+1),MATCH(J$1,[1]characters!$2:$2,0)-MATCH($F$1,[1]characters!$2:$2,0)+1,FALSE)</f>
        <v>green</v>
      </c>
      <c r="K159" s="10" t="str">
        <f ca="1">VLOOKUP($F159,OFFSET([1]characters!$A$2,0,0,COUNTA([1]characters!$A:$A),MATCH("タイプ",[1]characters!$1:$1,0)-MATCH($F$1,[1]characters!$2:$2,0)+2),MATCH("タイプ",[1]characters!$1:$1,0)-MATCH($F$1,[1]characters!$2:$2,0)+2,FALSE)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9" s="10" t="str">
        <f ca="1">VLOOKUP($F159,OFFSET([1]characters!$A$2,0,0,COUNTA([1]characters!$A:$A),MATCH($L$1,[1]characters!$1:$1,0)-MATCH($F$1,[1]characters!$2:$2,0)+2),MATCH($L$1,[1]characters!$1:$1,0)-MATCH($F$1,[1]characters!$2:$2,0)+2,FALSE)</f>
        <v>ヒューマン</v>
      </c>
      <c r="M159" s="6">
        <v>1</v>
      </c>
      <c r="N159" s="40">
        <f ca="1">VLOOKUP(D159,gacha_133_base!A:B,2,FALSE)</f>
        <v>801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4"/>
        <v>01391</v>
      </c>
      <c r="B160" s="2">
        <f t="shared" si="11"/>
        <v>135</v>
      </c>
      <c r="C160" s="10" t="str">
        <f t="shared" ca="1" si="9"/>
        <v>0PremiumW4</v>
      </c>
      <c r="D160" s="10" t="str">
        <f t="shared" ca="1" si="10"/>
        <v>0PremiumW4</v>
      </c>
      <c r="E160" s="6">
        <v>0</v>
      </c>
      <c r="F160" s="7">
        <v>139</v>
      </c>
      <c r="G160" s="10" t="str">
        <f ca="1">VLOOKUP($F160,OFFSET([1]characters!$A$2,0,0,COUNTA([1]characters!$A:$A),MATCH(G$1,[1]characters!$2:$2,0)-MATCH($F$1,[1]characters!$2:$2,0)+1),MATCH(G$1,[1]characters!$2:$2,0)-MATCH($F$1,[1]characters!$2:$2,0)+1,FALSE)</f>
        <v>蒼昇刃姫 トモエ</v>
      </c>
      <c r="H160" s="10" t="str">
        <f ca="1">VLOOKUP($F160,OFFSET([1]characters!$A$2,0,0,COUNTA([1]characters!$A:$A),MATCH(H$1,[1]characters!$2:$2,0)-MATCH($F$1,[1]characters!$2:$2,0)+1),MATCH(H$1,[1]characters!$2:$2,0)-MATCH($F$1,[1]characters!$2:$2,0)+1,FALSE)</f>
        <v>PremiumW</v>
      </c>
      <c r="I160" s="10">
        <f ca="1">VLOOKUP($F160,OFFSET([1]characters!$A$2,0,0,COUNTA([1]characters!$A:$A),MATCH(I$1,[1]characters!$2:$2,0)-MATCH($F$1,[1]characters!$2:$2,0)+1),MATCH(I$1,[1]characters!$2:$2,0)-MATCH($F$1,[1]characters!$2:$2,0)+1,FALSE)</f>
        <v>4</v>
      </c>
      <c r="J160" s="10" t="str">
        <f ca="1">VLOOKUP($F160,OFFSET([1]characters!$A$2,0,0,COUNTA([1]characters!$A:$A),MATCH(J$1,[1]characters!$2:$2,0)-MATCH($F$1,[1]characters!$2:$2,0)+1),MATCH(J$1,[1]characters!$2:$2,0)-MATCH($F$1,[1]characters!$2:$2,0)+1,FALSE)</f>
        <v>blue</v>
      </c>
      <c r="K160" s="10" t="str">
        <f ca="1">VLOOKUP($F160,OFFSET([1]characters!$A$2,0,0,COUNTA([1]characters!$A:$A),MATCH("タイプ",[1]characters!$1:$1,0)-MATCH($F$1,[1]characters!$2:$2,0)+2),MATCH("タイプ",[1]characters!$1:$1,0)-MATCH($F$1,[1]characters!$2:$2,0)+2,FALSE)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0" s="10" t="str">
        <f ca="1">VLOOKUP($F160,OFFSET([1]characters!$A$2,0,0,COUNTA([1]characters!$A:$A),MATCH($L$1,[1]characters!$1:$1,0)-MATCH($F$1,[1]characters!$2:$2,0)+2),MATCH($L$1,[1]characters!$1:$1,0)-MATCH($F$1,[1]characters!$2:$2,0)+2,FALSE)</f>
        <v>ヒューマン</v>
      </c>
      <c r="M160" s="6">
        <v>1</v>
      </c>
      <c r="N160" s="40">
        <f ca="1">VLOOKUP(D160,gacha_133_base!A:B,2,FALSE)</f>
        <v>801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si="4"/>
        <v>01411</v>
      </c>
      <c r="B161" s="2">
        <f t="shared" si="11"/>
        <v>135</v>
      </c>
      <c r="C161" s="10" t="str">
        <f t="shared" ca="1" si="9"/>
        <v>0PremiumW4</v>
      </c>
      <c r="D161" s="10" t="str">
        <f t="shared" ca="1" si="10"/>
        <v>0PremiumW4</v>
      </c>
      <c r="E161" s="6">
        <v>0</v>
      </c>
      <c r="F161" s="7">
        <v>141</v>
      </c>
      <c r="G161" s="10" t="str">
        <f ca="1">VLOOKUP($F161,OFFSET([1]characters!$A$2,0,0,COUNTA([1]characters!$A:$A),MATCH(G$1,[1]characters!$2:$2,0)-MATCH($F$1,[1]characters!$2:$2,0)+1),MATCH(G$1,[1]characters!$2:$2,0)-MATCH($F$1,[1]characters!$2:$2,0)+1,FALSE)</f>
        <v>妖狐演舞 タマモ</v>
      </c>
      <c r="H161" s="10" t="str">
        <f ca="1">VLOOKUP($F161,OFFSET([1]characters!$A$2,0,0,COUNTA([1]characters!$A:$A),MATCH(H$1,[1]characters!$2:$2,0)-MATCH($F$1,[1]characters!$2:$2,0)+1),MATCH(H$1,[1]characters!$2:$2,0)-MATCH($F$1,[1]characters!$2:$2,0)+1,FALSE)</f>
        <v>PremiumW</v>
      </c>
      <c r="I161" s="10">
        <f ca="1">VLOOKUP($F161,OFFSET([1]characters!$A$2,0,0,COUNTA([1]characters!$A:$A),MATCH(I$1,[1]characters!$2:$2,0)-MATCH($F$1,[1]characters!$2:$2,0)+1),MATCH(I$1,[1]characters!$2:$2,0)-MATCH($F$1,[1]characters!$2:$2,0)+1,FALSE)</f>
        <v>4</v>
      </c>
      <c r="J161" s="10" t="str">
        <f ca="1">VLOOKUP($F161,OFFSET([1]characters!$A$2,0,0,COUNTA([1]characters!$A:$A),MATCH(J$1,[1]characters!$2:$2,0)-MATCH($F$1,[1]characters!$2:$2,0)+1),MATCH(J$1,[1]characters!$2:$2,0)-MATCH($F$1,[1]characters!$2:$2,0)+1,FALSE)</f>
        <v>yellow</v>
      </c>
      <c r="K161" s="10" t="str">
        <f ca="1">VLOOKUP($F161,OFFSET([1]characters!$A$2,0,0,COUNTA([1]characters!$A:$A),MATCH("タイプ",[1]characters!$1:$1,0)-MATCH($F$1,[1]characters!$2:$2,0)+2),MATCH("タイプ",[1]characters!$1:$1,0)-MATCH($F$1,[1]characters!$2:$2,0)+2,FALSE)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1" s="10" t="str">
        <f ca="1">VLOOKUP($F161,OFFSET([1]characters!$A$2,0,0,COUNTA([1]characters!$A:$A),MATCH($L$1,[1]characters!$1:$1,0)-MATCH($F$1,[1]characters!$2:$2,0)+2),MATCH($L$1,[1]characters!$1:$1,0)-MATCH($F$1,[1]characters!$2:$2,0)+2,FALSE)</f>
        <v>アニマル</v>
      </c>
      <c r="M161" s="6">
        <v>1</v>
      </c>
      <c r="N161" s="40">
        <f ca="1">VLOOKUP(D161,gacha_133_base!A:B,2,FALSE)</f>
        <v>801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4"/>
        <v>01431</v>
      </c>
      <c r="B162" s="2">
        <f t="shared" si="11"/>
        <v>135</v>
      </c>
      <c r="C162" s="10" t="str">
        <f t="shared" ca="1" si="9"/>
        <v>0PremiumW4</v>
      </c>
      <c r="D162" s="10" t="str">
        <f t="shared" ca="1" si="10"/>
        <v>0PremiumW4</v>
      </c>
      <c r="E162" s="6">
        <v>0</v>
      </c>
      <c r="F162" s="7">
        <v>143</v>
      </c>
      <c r="G162" s="10" t="str">
        <f ca="1">VLOOKUP($F162,OFFSET([1]characters!$A$2,0,0,COUNTA([1]characters!$A:$A),MATCH(G$1,[1]characters!$2:$2,0)-MATCH($F$1,[1]characters!$2:$2,0)+1),MATCH(G$1,[1]characters!$2:$2,0)-MATCH($F$1,[1]characters!$2:$2,0)+1,FALSE)</f>
        <v>深紅の死神 赤ずきん</v>
      </c>
      <c r="H162" s="10" t="str">
        <f ca="1">VLOOKUP($F162,OFFSET([1]characters!$A$2,0,0,COUNTA([1]characters!$A:$A),MATCH(H$1,[1]characters!$2:$2,0)-MATCH($F$1,[1]characters!$2:$2,0)+1),MATCH(H$1,[1]characters!$2:$2,0)-MATCH($F$1,[1]characters!$2:$2,0)+1,FALSE)</f>
        <v>PremiumW</v>
      </c>
      <c r="I162" s="10">
        <f ca="1">VLOOKUP($F162,OFFSET([1]characters!$A$2,0,0,COUNTA([1]characters!$A:$A),MATCH(I$1,[1]characters!$2:$2,0)-MATCH($F$1,[1]characters!$2:$2,0)+1),MATCH(I$1,[1]characters!$2:$2,0)-MATCH($F$1,[1]characters!$2:$2,0)+1,FALSE)</f>
        <v>4</v>
      </c>
      <c r="J162" s="10" t="str">
        <f ca="1">VLOOKUP($F162,OFFSET([1]characters!$A$2,0,0,COUNTA([1]characters!$A:$A),MATCH(J$1,[1]characters!$2:$2,0)-MATCH($F$1,[1]characters!$2:$2,0)+1),MATCH(J$1,[1]characters!$2:$2,0)-MATCH($F$1,[1]characters!$2:$2,0)+1,FALSE)</f>
        <v>red</v>
      </c>
      <c r="K162" s="10" t="str">
        <f ca="1">VLOOKUP($F162,OFFSET([1]characters!$A$2,0,0,COUNTA([1]characters!$A:$A),MATCH("タイプ",[1]characters!$1:$1,0)-MATCH($F$1,[1]characters!$2:$2,0)+2),MATCH("タイプ",[1]characters!$1:$1,0)-MATCH($F$1,[1]characters!$2:$2,0)+2,FALSE)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2" s="10" t="str">
        <f ca="1">VLOOKUP($F162,OFFSET([1]characters!$A$2,0,0,COUNTA([1]characters!$A:$A),MATCH($L$1,[1]characters!$1:$1,0)-MATCH($F$1,[1]characters!$2:$2,0)+2),MATCH($L$1,[1]characters!$1:$1,0)-MATCH($F$1,[1]characters!$2:$2,0)+2,FALSE)</f>
        <v>ヒューマン</v>
      </c>
      <c r="M162" s="6">
        <v>1</v>
      </c>
      <c r="N162" s="40">
        <f ca="1">VLOOKUP(D162,gacha_133_base!A:B,2,FALSE)</f>
        <v>801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ref="A163:A226" si="12">E163&amp;F163&amp;M163</f>
        <v>01451</v>
      </c>
      <c r="B163" s="2">
        <f t="shared" si="11"/>
        <v>135</v>
      </c>
      <c r="C163" s="10" t="str">
        <f t="shared" ca="1" si="9"/>
        <v>0PremiumW4</v>
      </c>
      <c r="D163" s="10" t="str">
        <f t="shared" ca="1" si="10"/>
        <v>0PremiumW4</v>
      </c>
      <c r="E163" s="6">
        <v>0</v>
      </c>
      <c r="F163" s="7">
        <v>145</v>
      </c>
      <c r="G163" s="10" t="str">
        <f ca="1">VLOOKUP($F163,OFFSET([1]characters!$A$2,0,0,COUNTA([1]characters!$A:$A),MATCH(G$1,[1]characters!$2:$2,0)-MATCH($F$1,[1]characters!$2:$2,0)+1),MATCH(G$1,[1]characters!$2:$2,0)-MATCH($F$1,[1]characters!$2:$2,0)+1,FALSE)</f>
        <v>魔性妖艶 かぐや</v>
      </c>
      <c r="H163" s="10" t="str">
        <f ca="1">VLOOKUP($F163,OFFSET([1]characters!$A$2,0,0,COUNTA([1]characters!$A:$A),MATCH(H$1,[1]characters!$2:$2,0)-MATCH($F$1,[1]characters!$2:$2,0)+1),MATCH(H$1,[1]characters!$2:$2,0)-MATCH($F$1,[1]characters!$2:$2,0)+1,FALSE)</f>
        <v>PremiumW</v>
      </c>
      <c r="I163" s="10">
        <f ca="1">VLOOKUP($F163,OFFSET([1]characters!$A$2,0,0,COUNTA([1]characters!$A:$A),MATCH(I$1,[1]characters!$2:$2,0)-MATCH($F$1,[1]characters!$2:$2,0)+1),MATCH(I$1,[1]characters!$2:$2,0)-MATCH($F$1,[1]characters!$2:$2,0)+1,FALSE)</f>
        <v>4</v>
      </c>
      <c r="J163" s="10" t="str">
        <f ca="1">VLOOKUP($F163,OFFSET([1]characters!$A$2,0,0,COUNTA([1]characters!$A:$A),MATCH(J$1,[1]characters!$2:$2,0)-MATCH($F$1,[1]characters!$2:$2,0)+1),MATCH(J$1,[1]characters!$2:$2,0)-MATCH($F$1,[1]characters!$2:$2,0)+1,FALSE)</f>
        <v>green</v>
      </c>
      <c r="K163" s="10" t="str">
        <f ca="1">VLOOKUP($F163,OFFSET([1]characters!$A$2,0,0,COUNTA([1]characters!$A:$A),MATCH("タイプ",[1]characters!$1:$1,0)-MATCH($F$1,[1]characters!$2:$2,0)+2),MATCH("タイプ",[1]characters!$1:$1,0)-MATCH($F$1,[1]characters!$2:$2,0)+2,FALSE)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63" s="10" t="str">
        <f ca="1">VLOOKUP($F163,OFFSET([1]characters!$A$2,0,0,COUNTA([1]characters!$A:$A),MATCH($L$1,[1]characters!$1:$1,0)-MATCH($F$1,[1]characters!$2:$2,0)+2),MATCH($L$1,[1]characters!$1:$1,0)-MATCH($F$1,[1]characters!$2:$2,0)+2,FALSE)</f>
        <v>ヒューマン</v>
      </c>
      <c r="M163" s="6">
        <v>1</v>
      </c>
      <c r="N163" s="40">
        <f ca="1">VLOOKUP(D163,gacha_133_base!A:B,2,FALSE)</f>
        <v>801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ht="21" customHeight="1">
      <c r="A164" s="8" t="str">
        <f t="shared" si="12"/>
        <v>01471</v>
      </c>
      <c r="B164" s="2">
        <f t="shared" si="11"/>
        <v>135</v>
      </c>
      <c r="C164" s="10" t="str">
        <f t="shared" ca="1" si="9"/>
        <v>0PremiumW4</v>
      </c>
      <c r="D164" s="10" t="str">
        <f t="shared" ca="1" si="10"/>
        <v>0PremiumW4</v>
      </c>
      <c r="E164" s="6">
        <v>0</v>
      </c>
      <c r="F164" s="7">
        <v>147</v>
      </c>
      <c r="G164" s="10" t="str">
        <f ca="1">VLOOKUP($F164,OFFSET([1]characters!$A$2,0,0,COUNTA([1]characters!$A:$A),MATCH(G$1,[1]characters!$2:$2,0)-MATCH($F$1,[1]characters!$2:$2,0)+1),MATCH(G$1,[1]characters!$2:$2,0)-MATCH($F$1,[1]characters!$2:$2,0)+1,FALSE)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64" s="10" t="str">
        <f ca="1">VLOOKUP($F164,OFFSET([1]characters!$A$2,0,0,COUNTA([1]characters!$A:$A),MATCH(H$1,[1]characters!$2:$2,0)-MATCH($F$1,[1]characters!$2:$2,0)+1),MATCH(H$1,[1]characters!$2:$2,0)-MATCH($F$1,[1]characters!$2:$2,0)+1,FALSE)</f>
        <v>PremiumW</v>
      </c>
      <c r="I164" s="10">
        <f ca="1">VLOOKUP($F164,OFFSET([1]characters!$A$2,0,0,COUNTA([1]characters!$A:$A),MATCH(I$1,[1]characters!$2:$2,0)-MATCH($F$1,[1]characters!$2:$2,0)+1),MATCH(I$1,[1]characters!$2:$2,0)-MATCH($F$1,[1]characters!$2:$2,0)+1,FALSE)</f>
        <v>4</v>
      </c>
      <c r="J164" s="10" t="str">
        <f ca="1">VLOOKUP($F164,OFFSET([1]characters!$A$2,0,0,COUNTA([1]characters!$A:$A),MATCH(J$1,[1]characters!$2:$2,0)-MATCH($F$1,[1]characters!$2:$2,0)+1),MATCH(J$1,[1]characters!$2:$2,0)-MATCH($F$1,[1]characters!$2:$2,0)+1,FALSE)</f>
        <v>blue</v>
      </c>
      <c r="K164" s="10" t="str">
        <f ca="1">VLOOKUP($F164,OFFSET([1]characters!$A$2,0,0,COUNTA([1]characters!$A:$A),MATCH("タイプ",[1]characters!$1:$1,0)-MATCH($F$1,[1]characters!$2:$2,0)+2),MATCH("タイプ",[1]characters!$1:$1,0)-MATCH($F$1,[1]characters!$2:$2,0)+2,FALSE)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64" s="10" t="str">
        <f ca="1">VLOOKUP($F164,OFFSET([1]characters!$A$2,0,0,COUNTA([1]characters!$A:$A),MATCH($L$1,[1]characters!$1:$1,0)-MATCH($F$1,[1]characters!$2:$2,0)+2),MATCH($L$1,[1]characters!$1:$1,0)-MATCH($F$1,[1]characters!$2:$2,0)+2,FALSE)</f>
        <v>ヒューマン</v>
      </c>
      <c r="M164" s="6">
        <v>1</v>
      </c>
      <c r="N164" s="40">
        <f ca="1">VLOOKUP(D164,gacha_133_base!A:B,2,FALSE)</f>
        <v>801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ht="21" customHeight="1">
      <c r="A165" s="8" t="str">
        <f t="shared" si="12"/>
        <v>01491</v>
      </c>
      <c r="B165" s="2">
        <f t="shared" si="11"/>
        <v>135</v>
      </c>
      <c r="C165" s="10" t="str">
        <f t="shared" ca="1" si="9"/>
        <v>0PremiumW4</v>
      </c>
      <c r="D165" s="10" t="str">
        <f t="shared" ca="1" si="10"/>
        <v>0PremiumW4</v>
      </c>
      <c r="E165" s="6">
        <v>0</v>
      </c>
      <c r="F165" s="7">
        <v>149</v>
      </c>
      <c r="G165" s="10" t="str">
        <f ca="1">VLOOKUP($F165,OFFSET([1]characters!$A$2,0,0,COUNTA([1]characters!$A:$A),MATCH(G$1,[1]characters!$2:$2,0)-MATCH($F$1,[1]characters!$2:$2,0)+1),MATCH(G$1,[1]characters!$2:$2,0)-MATCH($F$1,[1]characters!$2:$2,0)+1,FALSE)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65" s="10" t="str">
        <f ca="1">VLOOKUP($F165,OFFSET([1]characters!$A$2,0,0,COUNTA([1]characters!$A:$A),MATCH(H$1,[1]characters!$2:$2,0)-MATCH($F$1,[1]characters!$2:$2,0)+1),MATCH(H$1,[1]characters!$2:$2,0)-MATCH($F$1,[1]characters!$2:$2,0)+1,FALSE)</f>
        <v>PremiumW</v>
      </c>
      <c r="I165" s="10">
        <f ca="1">VLOOKUP($F165,OFFSET([1]characters!$A$2,0,0,COUNTA([1]characters!$A:$A),MATCH(I$1,[1]characters!$2:$2,0)-MATCH($F$1,[1]characters!$2:$2,0)+1),MATCH(I$1,[1]characters!$2:$2,0)-MATCH($F$1,[1]characters!$2:$2,0)+1,FALSE)</f>
        <v>4</v>
      </c>
      <c r="J165" s="10" t="str">
        <f ca="1">VLOOKUP($F165,OFFSET([1]characters!$A$2,0,0,COUNTA([1]characters!$A:$A),MATCH(J$1,[1]characters!$2:$2,0)-MATCH($F$1,[1]characters!$2:$2,0)+1),MATCH(J$1,[1]characters!$2:$2,0)-MATCH($F$1,[1]characters!$2:$2,0)+1,FALSE)</f>
        <v>yellow</v>
      </c>
      <c r="K165" s="10" t="str">
        <f ca="1">VLOOKUP($F165,OFFSET([1]characters!$A$2,0,0,COUNTA([1]characters!$A:$A),MATCH("タイプ",[1]characters!$1:$1,0)-MATCH($F$1,[1]characters!$2:$2,0)+2),MATCH("タイプ",[1]characters!$1:$1,0)-MATCH($F$1,[1]characters!$2:$2,0)+2,FALSE)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5" s="10" t="str">
        <f ca="1">VLOOKUP($F165,OFFSET([1]characters!$A$2,0,0,COUNTA([1]characters!$A:$A),MATCH($L$1,[1]characters!$1:$1,0)-MATCH($F$1,[1]characters!$2:$2,0)+2),MATCH($L$1,[1]characters!$1:$1,0)-MATCH($F$1,[1]characters!$2:$2,0)+2,FALSE)</f>
        <v>ヒューマン</v>
      </c>
      <c r="M165" s="6">
        <v>1</v>
      </c>
      <c r="N165" s="40">
        <f ca="1">VLOOKUP(D165,gacha_133_base!A:B,2,FALSE)</f>
        <v>801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>
      <c r="A166" s="8" t="str">
        <f t="shared" si="12"/>
        <v>01511</v>
      </c>
      <c r="B166" s="2">
        <f t="shared" si="11"/>
        <v>135</v>
      </c>
      <c r="C166" s="10" t="str">
        <f t="shared" ca="1" si="9"/>
        <v>0PremiumW4</v>
      </c>
      <c r="D166" s="10" t="str">
        <f t="shared" ca="1" si="10"/>
        <v>0PremiumW4</v>
      </c>
      <c r="E166" s="6">
        <v>0</v>
      </c>
      <c r="F166" s="7">
        <v>151</v>
      </c>
      <c r="G166" s="10" t="str">
        <f ca="1">VLOOKUP($F166,OFFSET([1]characters!$A$2,0,0,COUNTA([1]characters!$A:$A),MATCH(G$1,[1]characters!$2:$2,0)-MATCH($F$1,[1]characters!$2:$2,0)+1),MATCH(G$1,[1]characters!$2:$2,0)-MATCH($F$1,[1]characters!$2:$2,0)+1,FALSE)</f>
        <v>毒煙の処刑人サキ</v>
      </c>
      <c r="H166" s="10" t="str">
        <f ca="1">VLOOKUP($F166,OFFSET([1]characters!$A$2,0,0,COUNTA([1]characters!$A:$A),MATCH(H$1,[1]characters!$2:$2,0)-MATCH($F$1,[1]characters!$2:$2,0)+1),MATCH(H$1,[1]characters!$2:$2,0)-MATCH($F$1,[1]characters!$2:$2,0)+1,FALSE)</f>
        <v>PremiumW</v>
      </c>
      <c r="I166" s="10">
        <f ca="1">VLOOKUP($F166,OFFSET([1]characters!$A$2,0,0,COUNTA([1]characters!$A:$A),MATCH(I$1,[1]characters!$2:$2,0)-MATCH($F$1,[1]characters!$2:$2,0)+1),MATCH(I$1,[1]characters!$2:$2,0)-MATCH($F$1,[1]characters!$2:$2,0)+1,FALSE)</f>
        <v>4</v>
      </c>
      <c r="J166" s="10" t="str">
        <f ca="1">VLOOKUP($F166,OFFSET([1]characters!$A$2,0,0,COUNTA([1]characters!$A:$A),MATCH(J$1,[1]characters!$2:$2,0)-MATCH($F$1,[1]characters!$2:$2,0)+1),MATCH(J$1,[1]characters!$2:$2,0)-MATCH($F$1,[1]characters!$2:$2,0)+1,FALSE)</f>
        <v>red</v>
      </c>
      <c r="K166" s="10" t="str">
        <f ca="1">VLOOKUP($F166,OFFSET([1]characters!$A$2,0,0,COUNTA([1]characters!$A:$A),MATCH("タイプ",[1]characters!$1:$1,0)-MATCH($F$1,[1]characters!$2:$2,0)+2),MATCH("タイプ",[1]characters!$1:$1,0)-MATCH($F$1,[1]characters!$2:$2,0)+2,FALSE)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66" s="10" t="str">
        <f ca="1">VLOOKUP($F166,OFFSET([1]characters!$A$2,0,0,COUNTA([1]characters!$A:$A),MATCH($L$1,[1]characters!$1:$1,0)-MATCH($F$1,[1]characters!$2:$2,0)+2),MATCH($L$1,[1]characters!$1:$1,0)-MATCH($F$1,[1]characters!$2:$2,0)+2,FALSE)</f>
        <v>ヒューマン</v>
      </c>
      <c r="M166" s="6">
        <v>1</v>
      </c>
      <c r="N166" s="40">
        <f ca="1">VLOOKUP(D166,gacha_133_base!A:B,2,FALSE)</f>
        <v>801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>
      <c r="A167" s="8" t="str">
        <f t="shared" si="12"/>
        <v>01531</v>
      </c>
      <c r="B167" s="2">
        <f t="shared" si="11"/>
        <v>135</v>
      </c>
      <c r="C167" s="10" t="str">
        <f t="shared" ca="1" si="9"/>
        <v>0PremiumW4</v>
      </c>
      <c r="D167" s="10" t="str">
        <f t="shared" ca="1" si="10"/>
        <v>0PremiumW4</v>
      </c>
      <c r="E167" s="6">
        <v>0</v>
      </c>
      <c r="F167" s="7">
        <v>153</v>
      </c>
      <c r="G167" s="10" t="str">
        <f ca="1">VLOOKUP($F167,OFFSET([1]characters!$A$2,0,0,COUNTA([1]characters!$A:$A),MATCH(G$1,[1]characters!$2:$2,0)-MATCH($F$1,[1]characters!$2:$2,0)+1),MATCH(G$1,[1]characters!$2:$2,0)-MATCH($F$1,[1]characters!$2:$2,0)+1,FALSE)</f>
        <v>拳聖ランラン</v>
      </c>
      <c r="H167" s="10" t="str">
        <f ca="1">VLOOKUP($F167,OFFSET([1]characters!$A$2,0,0,COUNTA([1]characters!$A:$A),MATCH(H$1,[1]characters!$2:$2,0)-MATCH($F$1,[1]characters!$2:$2,0)+1),MATCH(H$1,[1]characters!$2:$2,0)-MATCH($F$1,[1]characters!$2:$2,0)+1,FALSE)</f>
        <v>PremiumW</v>
      </c>
      <c r="I167" s="10">
        <f ca="1">VLOOKUP($F167,OFFSET([1]characters!$A$2,0,0,COUNTA([1]characters!$A:$A),MATCH(I$1,[1]characters!$2:$2,0)-MATCH($F$1,[1]characters!$2:$2,0)+1),MATCH(I$1,[1]characters!$2:$2,0)-MATCH($F$1,[1]characters!$2:$2,0)+1,FALSE)</f>
        <v>4</v>
      </c>
      <c r="J167" s="10" t="str">
        <f ca="1">VLOOKUP($F167,OFFSET([1]characters!$A$2,0,0,COUNTA([1]characters!$A:$A),MATCH(J$1,[1]characters!$2:$2,0)-MATCH($F$1,[1]characters!$2:$2,0)+1),MATCH(J$1,[1]characters!$2:$2,0)-MATCH($F$1,[1]characters!$2:$2,0)+1,FALSE)</f>
        <v>green</v>
      </c>
      <c r="K167" s="10" t="str">
        <f ca="1">VLOOKUP($F167,OFFSET([1]characters!$A$2,0,0,COUNTA([1]characters!$A:$A),MATCH("タイプ",[1]characters!$1:$1,0)-MATCH($F$1,[1]characters!$2:$2,0)+2),MATCH("タイプ",[1]characters!$1:$1,0)-MATCH($F$1,[1]characters!$2:$2,0)+2,FALSE)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7" s="10" t="str">
        <f ca="1">VLOOKUP($F167,OFFSET([1]characters!$A$2,0,0,COUNTA([1]characters!$A:$A),MATCH($L$1,[1]characters!$1:$1,0)-MATCH($F$1,[1]characters!$2:$2,0)+2),MATCH($L$1,[1]characters!$1:$1,0)-MATCH($F$1,[1]characters!$2:$2,0)+2,FALSE)</f>
        <v>ヒューマン</v>
      </c>
      <c r="M167" s="6">
        <v>1</v>
      </c>
      <c r="N167" s="40">
        <f ca="1">VLOOKUP(D167,gacha_133_base!A:B,2,FALSE)</f>
        <v>801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>
      <c r="A168" s="8" t="str">
        <f t="shared" si="12"/>
        <v>01551</v>
      </c>
      <c r="B168" s="2">
        <f t="shared" si="11"/>
        <v>135</v>
      </c>
      <c r="C168" s="10" t="str">
        <f t="shared" ca="1" si="9"/>
        <v>0PremiumW4</v>
      </c>
      <c r="D168" s="10" t="str">
        <f t="shared" ca="1" si="10"/>
        <v>0PremiumW4</v>
      </c>
      <c r="E168" s="6">
        <v>0</v>
      </c>
      <c r="F168" s="7">
        <v>155</v>
      </c>
      <c r="G168" s="10" t="str">
        <f ca="1">VLOOKUP($F168,OFFSET([1]characters!$A$2,0,0,COUNTA([1]characters!$A:$A),MATCH(G$1,[1]characters!$2:$2,0)-MATCH($F$1,[1]characters!$2:$2,0)+1),MATCH(G$1,[1]characters!$2:$2,0)-MATCH($F$1,[1]characters!$2:$2,0)+1,FALSE)</f>
        <v>隻眼の掃除屋 ハンナ</v>
      </c>
      <c r="H168" s="10" t="str">
        <f ca="1">VLOOKUP($F168,OFFSET([1]characters!$A$2,0,0,COUNTA([1]characters!$A:$A),MATCH(H$1,[1]characters!$2:$2,0)-MATCH($F$1,[1]characters!$2:$2,0)+1),MATCH(H$1,[1]characters!$2:$2,0)-MATCH($F$1,[1]characters!$2:$2,0)+1,FALSE)</f>
        <v>PremiumW</v>
      </c>
      <c r="I168" s="10">
        <f ca="1">VLOOKUP($F168,OFFSET([1]characters!$A$2,0,0,COUNTA([1]characters!$A:$A),MATCH(I$1,[1]characters!$2:$2,0)-MATCH($F$1,[1]characters!$2:$2,0)+1),MATCH(I$1,[1]characters!$2:$2,0)-MATCH($F$1,[1]characters!$2:$2,0)+1,FALSE)</f>
        <v>4</v>
      </c>
      <c r="J168" s="10" t="str">
        <f ca="1">VLOOKUP($F168,OFFSET([1]characters!$A$2,0,0,COUNTA([1]characters!$A:$A),MATCH(J$1,[1]characters!$2:$2,0)-MATCH($F$1,[1]characters!$2:$2,0)+1),MATCH(J$1,[1]characters!$2:$2,0)-MATCH($F$1,[1]characters!$2:$2,0)+1,FALSE)</f>
        <v>blue</v>
      </c>
      <c r="K168" s="10" t="str">
        <f ca="1">VLOOKUP($F168,OFFSET([1]characters!$A$2,0,0,COUNTA([1]characters!$A:$A),MATCH("タイプ",[1]characters!$1:$1,0)-MATCH($F$1,[1]characters!$2:$2,0)+2),MATCH("タイプ",[1]characters!$1:$1,0)-MATCH($F$1,[1]characters!$2:$2,0)+2,FALSE)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8" s="10" t="str">
        <f ca="1">VLOOKUP($F168,OFFSET([1]characters!$A$2,0,0,COUNTA([1]characters!$A:$A),MATCH($L$1,[1]characters!$1:$1,0)-MATCH($F$1,[1]characters!$2:$2,0)+2),MATCH($L$1,[1]characters!$1:$1,0)-MATCH($F$1,[1]characters!$2:$2,0)+2,FALSE)</f>
        <v>ヒューマン</v>
      </c>
      <c r="M168" s="6">
        <v>1</v>
      </c>
      <c r="N168" s="40">
        <f ca="1">VLOOKUP(D168,gacha_133_base!A:B,2,FALSE)</f>
        <v>801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>
      <c r="A169" s="8" t="str">
        <f t="shared" si="12"/>
        <v>01571</v>
      </c>
      <c r="B169" s="2">
        <f t="shared" si="11"/>
        <v>135</v>
      </c>
      <c r="C169" s="10" t="str">
        <f t="shared" ca="1" si="9"/>
        <v>0PremiumW4</v>
      </c>
      <c r="D169" s="10" t="str">
        <f t="shared" ca="1" si="10"/>
        <v>0PremiumW4</v>
      </c>
      <c r="E169" s="6">
        <v>0</v>
      </c>
      <c r="F169" s="7">
        <v>157</v>
      </c>
      <c r="G169" s="10" t="str">
        <f ca="1">VLOOKUP($F169,OFFSET([1]characters!$A$2,0,0,COUNTA([1]characters!$A:$A),MATCH(G$1,[1]characters!$2:$2,0)-MATCH($F$1,[1]characters!$2:$2,0)+1),MATCH(G$1,[1]characters!$2:$2,0)-MATCH($F$1,[1]characters!$2:$2,0)+1,FALSE)</f>
        <v>雷光舞姫 エレナ</v>
      </c>
      <c r="H169" s="10" t="str">
        <f ca="1">VLOOKUP($F169,OFFSET([1]characters!$A$2,0,0,COUNTA([1]characters!$A:$A),MATCH(H$1,[1]characters!$2:$2,0)-MATCH($F$1,[1]characters!$2:$2,0)+1),MATCH(H$1,[1]characters!$2:$2,0)-MATCH($F$1,[1]characters!$2:$2,0)+1,FALSE)</f>
        <v>PremiumW</v>
      </c>
      <c r="I169" s="10">
        <f ca="1">VLOOKUP($F169,OFFSET([1]characters!$A$2,0,0,COUNTA([1]characters!$A:$A),MATCH(I$1,[1]characters!$2:$2,0)-MATCH($F$1,[1]characters!$2:$2,0)+1),MATCH(I$1,[1]characters!$2:$2,0)-MATCH($F$1,[1]characters!$2:$2,0)+1,FALSE)</f>
        <v>4</v>
      </c>
      <c r="J169" s="10" t="str">
        <f ca="1">VLOOKUP($F169,OFFSET([1]characters!$A$2,0,0,COUNTA([1]characters!$A:$A),MATCH(J$1,[1]characters!$2:$2,0)-MATCH($F$1,[1]characters!$2:$2,0)+1),MATCH(J$1,[1]characters!$2:$2,0)-MATCH($F$1,[1]characters!$2:$2,0)+1,FALSE)</f>
        <v>yellow</v>
      </c>
      <c r="K169" s="10" t="str">
        <f ca="1">VLOOKUP($F169,OFFSET([1]characters!$A$2,0,0,COUNTA([1]characters!$A:$A),MATCH("タイプ",[1]characters!$1:$1,0)-MATCH($F$1,[1]characters!$2:$2,0)+2),MATCH("タイプ",[1]characters!$1:$1,0)-MATCH($F$1,[1]characters!$2:$2,0)+2,FALSE)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9" s="10" t="str">
        <f ca="1">VLOOKUP($F169,OFFSET([1]characters!$A$2,0,0,COUNTA([1]characters!$A:$A),MATCH($L$1,[1]characters!$1:$1,0)-MATCH($F$1,[1]characters!$2:$2,0)+2),MATCH($L$1,[1]characters!$1:$1,0)-MATCH($F$1,[1]characters!$2:$2,0)+2,FALSE)</f>
        <v>ヒューマン</v>
      </c>
      <c r="M169" s="6">
        <v>1</v>
      </c>
      <c r="N169" s="40">
        <f ca="1">VLOOKUP(D169,gacha_133_base!A:B,2,FALSE)</f>
        <v>801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>
      <c r="A170" s="8" t="str">
        <f t="shared" si="12"/>
        <v>01591</v>
      </c>
      <c r="B170" s="2">
        <f t="shared" si="11"/>
        <v>135</v>
      </c>
      <c r="C170" s="10" t="str">
        <f t="shared" ca="1" si="9"/>
        <v>0PremiumW4</v>
      </c>
      <c r="D170" s="10" t="str">
        <f t="shared" ca="1" si="10"/>
        <v>0PremiumW4</v>
      </c>
      <c r="E170" s="6">
        <v>0</v>
      </c>
      <c r="F170" s="7">
        <v>159</v>
      </c>
      <c r="G170" s="10" t="str">
        <f ca="1">VLOOKUP($F170,OFFSET([1]characters!$A$2,0,0,COUNTA([1]characters!$A:$A),MATCH(G$1,[1]characters!$2:$2,0)-MATCH($F$1,[1]characters!$2:$2,0)+1),MATCH(G$1,[1]characters!$2:$2,0)-MATCH($F$1,[1]characters!$2:$2,0)+1,FALSE)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70" s="10" t="str">
        <f ca="1">VLOOKUP($F170,OFFSET([1]characters!$A$2,0,0,COUNTA([1]characters!$A:$A),MATCH(H$1,[1]characters!$2:$2,0)-MATCH($F$1,[1]characters!$2:$2,0)+1),MATCH(H$1,[1]characters!$2:$2,0)-MATCH($F$1,[1]characters!$2:$2,0)+1,FALSE)</f>
        <v>PremiumW</v>
      </c>
      <c r="I170" s="10">
        <f ca="1">VLOOKUP($F170,OFFSET([1]characters!$A$2,0,0,COUNTA([1]characters!$A:$A),MATCH(I$1,[1]characters!$2:$2,0)-MATCH($F$1,[1]characters!$2:$2,0)+1),MATCH(I$1,[1]characters!$2:$2,0)-MATCH($F$1,[1]characters!$2:$2,0)+1,FALSE)</f>
        <v>4</v>
      </c>
      <c r="J170" s="10" t="str">
        <f ca="1">VLOOKUP($F170,OFFSET([1]characters!$A$2,0,0,COUNTA([1]characters!$A:$A),MATCH(J$1,[1]characters!$2:$2,0)-MATCH($F$1,[1]characters!$2:$2,0)+1),MATCH(J$1,[1]characters!$2:$2,0)-MATCH($F$1,[1]characters!$2:$2,0)+1,FALSE)</f>
        <v>red</v>
      </c>
      <c r="K170" s="10" t="str">
        <f ca="1">VLOOKUP($F170,OFFSET([1]characters!$A$2,0,0,COUNTA([1]characters!$A:$A),MATCH("タイプ",[1]characters!$1:$1,0)-MATCH($F$1,[1]characters!$2:$2,0)+2),MATCH("タイプ",[1]characters!$1:$1,0)-MATCH($F$1,[1]characters!$2:$2,0)+2,FALSE)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0" s="10" t="str">
        <f ca="1">VLOOKUP($F170,OFFSET([1]characters!$A$2,0,0,COUNTA([1]characters!$A:$A),MATCH($L$1,[1]characters!$1:$1,0)-MATCH($F$1,[1]characters!$2:$2,0)+2),MATCH($L$1,[1]characters!$1:$1,0)-MATCH($F$1,[1]characters!$2:$2,0)+2,FALSE)</f>
        <v>ヒューマン</v>
      </c>
      <c r="M170" s="6">
        <v>1</v>
      </c>
      <c r="N170" s="40">
        <f ca="1">VLOOKUP(D170,gacha_133_base!A:B,2,FALSE)</f>
        <v>801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>
      <c r="A171" s="8" t="str">
        <f t="shared" si="12"/>
        <v>01611</v>
      </c>
      <c r="B171" s="2">
        <f t="shared" si="11"/>
        <v>135</v>
      </c>
      <c r="C171" s="10" t="str">
        <f t="shared" ca="1" si="9"/>
        <v>0PremiumW4</v>
      </c>
      <c r="D171" s="10" t="str">
        <f t="shared" ca="1" si="10"/>
        <v>0PremiumW4</v>
      </c>
      <c r="E171" s="6">
        <v>0</v>
      </c>
      <c r="F171" s="7">
        <v>161</v>
      </c>
      <c r="G171" s="10" t="str">
        <f ca="1">VLOOKUP($F171,OFFSET([1]characters!$A$2,0,0,COUNTA([1]characters!$A:$A),MATCH(G$1,[1]characters!$2:$2,0)-MATCH($F$1,[1]characters!$2:$2,0)+1),MATCH(G$1,[1]characters!$2:$2,0)-MATCH($F$1,[1]characters!$2:$2,0)+1,FALSE)</f>
        <v>咆哮の先導者 クリエ</v>
      </c>
      <c r="H171" s="10" t="str">
        <f ca="1">VLOOKUP($F171,OFFSET([1]characters!$A$2,0,0,COUNTA([1]characters!$A:$A),MATCH(H$1,[1]characters!$2:$2,0)-MATCH($F$1,[1]characters!$2:$2,0)+1),MATCH(H$1,[1]characters!$2:$2,0)-MATCH($F$1,[1]characters!$2:$2,0)+1,FALSE)</f>
        <v>PremiumW</v>
      </c>
      <c r="I171" s="10">
        <f ca="1">VLOOKUP($F171,OFFSET([1]characters!$A$2,0,0,COUNTA([1]characters!$A:$A),MATCH(I$1,[1]characters!$2:$2,0)-MATCH($F$1,[1]characters!$2:$2,0)+1),MATCH(I$1,[1]characters!$2:$2,0)-MATCH($F$1,[1]characters!$2:$2,0)+1,FALSE)</f>
        <v>4</v>
      </c>
      <c r="J171" s="10" t="str">
        <f ca="1">VLOOKUP($F171,OFFSET([1]characters!$A$2,0,0,COUNTA([1]characters!$A:$A),MATCH(J$1,[1]characters!$2:$2,0)-MATCH($F$1,[1]characters!$2:$2,0)+1),MATCH(J$1,[1]characters!$2:$2,0)-MATCH($F$1,[1]characters!$2:$2,0)+1,FALSE)</f>
        <v>green</v>
      </c>
      <c r="K171" s="10" t="str">
        <f ca="1">VLOOKUP($F171,OFFSET([1]characters!$A$2,0,0,COUNTA([1]characters!$A:$A),MATCH("タイプ",[1]characters!$1:$1,0)-MATCH($F$1,[1]characters!$2:$2,0)+2),MATCH("タイプ",[1]characters!$1:$1,0)-MATCH($F$1,[1]characters!$2:$2,0)+2,FALSE)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1" s="10" t="str">
        <f ca="1">VLOOKUP($F171,OFFSET([1]characters!$A$2,0,0,COUNTA([1]characters!$A:$A),MATCH($L$1,[1]characters!$1:$1,0)-MATCH($F$1,[1]characters!$2:$2,0)+2),MATCH($L$1,[1]characters!$1:$1,0)-MATCH($F$1,[1]characters!$2:$2,0)+2,FALSE)</f>
        <v>ヒューマン</v>
      </c>
      <c r="M171" s="6">
        <v>1</v>
      </c>
      <c r="N171" s="40">
        <f ca="1">VLOOKUP(D171,gacha_133_base!A:B,2,FALSE)</f>
        <v>801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>
      <c r="A172" s="8" t="str">
        <f t="shared" si="12"/>
        <v>01631</v>
      </c>
      <c r="B172" s="2">
        <f t="shared" si="11"/>
        <v>135</v>
      </c>
      <c r="C172" s="10" t="str">
        <f t="shared" ca="1" si="9"/>
        <v>0PremiumW4</v>
      </c>
      <c r="D172" s="10" t="str">
        <f t="shared" ca="1" si="10"/>
        <v>0PremiumW4</v>
      </c>
      <c r="E172" s="6">
        <v>0</v>
      </c>
      <c r="F172" s="7">
        <v>163</v>
      </c>
      <c r="G172" s="10" t="str">
        <f ca="1">VLOOKUP($F172,OFFSET([1]characters!$A$2,0,0,COUNTA([1]characters!$A:$A),MATCH(G$1,[1]characters!$2:$2,0)-MATCH($F$1,[1]characters!$2:$2,0)+1),MATCH(G$1,[1]characters!$2:$2,0)-MATCH($F$1,[1]characters!$2:$2,0)+1,FALSE)</f>
        <v>冷酷な狂嬢 クララ</v>
      </c>
      <c r="H172" s="10" t="str">
        <f ca="1">VLOOKUP($F172,OFFSET([1]characters!$A$2,0,0,COUNTA([1]characters!$A:$A),MATCH(H$1,[1]characters!$2:$2,0)-MATCH($F$1,[1]characters!$2:$2,0)+1),MATCH(H$1,[1]characters!$2:$2,0)-MATCH($F$1,[1]characters!$2:$2,0)+1,FALSE)</f>
        <v>PremiumW</v>
      </c>
      <c r="I172" s="10">
        <f ca="1">VLOOKUP($F172,OFFSET([1]characters!$A$2,0,0,COUNTA([1]characters!$A:$A),MATCH(I$1,[1]characters!$2:$2,0)-MATCH($F$1,[1]characters!$2:$2,0)+1),MATCH(I$1,[1]characters!$2:$2,0)-MATCH($F$1,[1]characters!$2:$2,0)+1,FALSE)</f>
        <v>4</v>
      </c>
      <c r="J172" s="10" t="str">
        <f ca="1">VLOOKUP($F172,OFFSET([1]characters!$A$2,0,0,COUNTA([1]characters!$A:$A),MATCH(J$1,[1]characters!$2:$2,0)-MATCH($F$1,[1]characters!$2:$2,0)+1),MATCH(J$1,[1]characters!$2:$2,0)-MATCH($F$1,[1]characters!$2:$2,0)+1,FALSE)</f>
        <v>blue</v>
      </c>
      <c r="K172" s="10" t="str">
        <f ca="1">VLOOKUP($F172,OFFSET([1]characters!$A$2,0,0,COUNTA([1]characters!$A:$A),MATCH("タイプ",[1]characters!$1:$1,0)-MATCH($F$1,[1]characters!$2:$2,0)+2),MATCH("タイプ",[1]characters!$1:$1,0)-MATCH($F$1,[1]characters!$2:$2,0)+2,FALSE)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2" s="10" t="str">
        <f ca="1">VLOOKUP($F172,OFFSET([1]characters!$A$2,0,0,COUNTA([1]characters!$A:$A),MATCH($L$1,[1]characters!$1:$1,0)-MATCH($F$1,[1]characters!$2:$2,0)+2),MATCH($L$1,[1]characters!$1:$1,0)-MATCH($F$1,[1]characters!$2:$2,0)+2,FALSE)</f>
        <v>ヒューマン</v>
      </c>
      <c r="M172" s="6">
        <v>1</v>
      </c>
      <c r="N172" s="40">
        <f ca="1">VLOOKUP(D172,gacha_133_base!A:B,2,FALSE)</f>
        <v>801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>
      <c r="A173" s="8" t="str">
        <f t="shared" si="12"/>
        <v>01651</v>
      </c>
      <c r="B173" s="2">
        <f t="shared" si="11"/>
        <v>135</v>
      </c>
      <c r="C173" s="10" t="str">
        <f t="shared" ca="1" si="9"/>
        <v>0PremiumW4</v>
      </c>
      <c r="D173" s="10" t="str">
        <f t="shared" ca="1" si="10"/>
        <v>0PremiumW4</v>
      </c>
      <c r="E173" s="6">
        <v>0</v>
      </c>
      <c r="F173" s="7">
        <v>165</v>
      </c>
      <c r="G173" s="10" t="str">
        <f ca="1">VLOOKUP($F173,OFFSET([1]characters!$A$2,0,0,COUNTA([1]characters!$A:$A),MATCH(G$1,[1]characters!$2:$2,0)-MATCH($F$1,[1]characters!$2:$2,0)+1),MATCH(G$1,[1]characters!$2:$2,0)-MATCH($F$1,[1]characters!$2:$2,0)+1,FALSE)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173" s="10" t="str">
        <f ca="1">VLOOKUP($F173,OFFSET([1]characters!$A$2,0,0,COUNTA([1]characters!$A:$A),MATCH(H$1,[1]characters!$2:$2,0)-MATCH($F$1,[1]characters!$2:$2,0)+1),MATCH(H$1,[1]characters!$2:$2,0)-MATCH($F$1,[1]characters!$2:$2,0)+1,FALSE)</f>
        <v>PremiumW</v>
      </c>
      <c r="I173" s="10">
        <f ca="1">VLOOKUP($F173,OFFSET([1]characters!$A$2,0,0,COUNTA([1]characters!$A:$A),MATCH(I$1,[1]characters!$2:$2,0)-MATCH($F$1,[1]characters!$2:$2,0)+1),MATCH(I$1,[1]characters!$2:$2,0)-MATCH($F$1,[1]characters!$2:$2,0)+1,FALSE)</f>
        <v>4</v>
      </c>
      <c r="J173" s="10" t="str">
        <f ca="1">VLOOKUP($F173,OFFSET([1]characters!$A$2,0,0,COUNTA([1]characters!$A:$A),MATCH(J$1,[1]characters!$2:$2,0)-MATCH($F$1,[1]characters!$2:$2,0)+1),MATCH(J$1,[1]characters!$2:$2,0)-MATCH($F$1,[1]characters!$2:$2,0)+1,FALSE)</f>
        <v>yellow</v>
      </c>
      <c r="K173" s="10" t="str">
        <f ca="1">VLOOKUP($F173,OFFSET([1]characters!$A$2,0,0,COUNTA([1]characters!$A:$A),MATCH("タイプ",[1]characters!$1:$1,0)-MATCH($F$1,[1]characters!$2:$2,0)+2),MATCH("タイプ",[1]characters!$1:$1,0)-MATCH($F$1,[1]characters!$2:$2,0)+2,FALSE)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73" s="10" t="str">
        <f ca="1">VLOOKUP($F173,OFFSET([1]characters!$A$2,0,0,COUNTA([1]characters!$A:$A),MATCH($L$1,[1]characters!$1:$1,0)-MATCH($F$1,[1]characters!$2:$2,0)+2),MATCH($L$1,[1]characters!$1:$1,0)-MATCH($F$1,[1]characters!$2:$2,0)+2,FALSE)</f>
        <v>ヒューマン</v>
      </c>
      <c r="M173" s="6">
        <v>1</v>
      </c>
      <c r="N173" s="40">
        <f ca="1">VLOOKUP(D173,gacha_133_base!A:B,2,FALSE)</f>
        <v>801</v>
      </c>
      <c r="O173" s="28">
        <v>0</v>
      </c>
      <c r="P173" s="28">
        <v>0</v>
      </c>
      <c r="Q173" s="28">
        <v>0</v>
      </c>
      <c r="R173" s="28">
        <v>0</v>
      </c>
      <c r="S173" s="28">
        <v>1</v>
      </c>
    </row>
    <row r="174" spans="1:19" ht="21" customHeight="1">
      <c r="A174" s="8" t="str">
        <f t="shared" si="12"/>
        <v>01671</v>
      </c>
      <c r="B174" s="2">
        <f t="shared" si="11"/>
        <v>135</v>
      </c>
      <c r="C174" s="10" t="str">
        <f t="shared" ca="1" si="9"/>
        <v>0PremiumN4</v>
      </c>
      <c r="D174" s="10" t="str">
        <f t="shared" ca="1" si="10"/>
        <v>0PremiumN4</v>
      </c>
      <c r="E174" s="6">
        <v>0</v>
      </c>
      <c r="F174" s="7">
        <v>167</v>
      </c>
      <c r="G174" s="10" t="str">
        <f ca="1">VLOOKUP($F174,OFFSET([1]characters!$A$2,0,0,COUNTA([1]characters!$A:$A),MATCH(G$1,[1]characters!$2:$2,0)-MATCH($F$1,[1]characters!$2:$2,0)+1),MATCH(G$1,[1]characters!$2:$2,0)-MATCH($F$1,[1]characters!$2:$2,0)+1,FALSE)</f>
        <v>逆徒 ベリアル</v>
      </c>
      <c r="H174" s="10" t="str">
        <f ca="1">VLOOKUP($F174,OFFSET([1]characters!$A$2,0,0,COUNTA([1]characters!$A:$A),MATCH(H$1,[1]characters!$2:$2,0)-MATCH($F$1,[1]characters!$2:$2,0)+1),MATCH(H$1,[1]characters!$2:$2,0)-MATCH($F$1,[1]characters!$2:$2,0)+1,FALSE)</f>
        <v>PremiumN</v>
      </c>
      <c r="I174" s="10">
        <f ca="1">VLOOKUP($F174,OFFSET([1]characters!$A$2,0,0,COUNTA([1]characters!$A:$A),MATCH(I$1,[1]characters!$2:$2,0)-MATCH($F$1,[1]characters!$2:$2,0)+1),MATCH(I$1,[1]characters!$2:$2,0)-MATCH($F$1,[1]characters!$2:$2,0)+1,FALSE)</f>
        <v>4</v>
      </c>
      <c r="J174" s="10" t="str">
        <f ca="1">VLOOKUP($F174,OFFSET([1]characters!$A$2,0,0,COUNTA([1]characters!$A:$A),MATCH(J$1,[1]characters!$2:$2,0)-MATCH($F$1,[1]characters!$2:$2,0)+1),MATCH(J$1,[1]characters!$2:$2,0)-MATCH($F$1,[1]characters!$2:$2,0)+1,FALSE)</f>
        <v>red</v>
      </c>
      <c r="K174" s="10" t="str">
        <f ca="1">VLOOKUP($F174,OFFSET([1]characters!$A$2,0,0,COUNTA([1]characters!$A:$A),MATCH("タイプ",[1]characters!$1:$1,0)-MATCH($F$1,[1]characters!$2:$2,0)+2),MATCH("タイプ",[1]characters!$1:$1,0)-MATCH($F$1,[1]characters!$2:$2,0)+2,FALSE)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4" s="10" t="str">
        <f ca="1">VLOOKUP($F174,OFFSET([1]characters!$A$2,0,0,COUNTA([1]characters!$A:$A),MATCH($L$1,[1]characters!$1:$1,0)-MATCH($F$1,[1]characters!$2:$2,0)+2),MATCH($L$1,[1]characters!$1:$1,0)-MATCH($F$1,[1]characters!$2:$2,0)+2,FALSE)</f>
        <v>ゴッド</v>
      </c>
      <c r="M174" s="6">
        <v>1</v>
      </c>
      <c r="N174" s="40">
        <f ca="1">VLOOKUP(D174,gacha_133_base!A:B,2,FALSE)</f>
        <v>758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>
      <c r="A175" s="8" t="str">
        <f t="shared" si="12"/>
        <v>01701</v>
      </c>
      <c r="B175" s="2">
        <f t="shared" si="11"/>
        <v>135</v>
      </c>
      <c r="C175" s="10" t="str">
        <f t="shared" ca="1" si="9"/>
        <v>0PremiumN4</v>
      </c>
      <c r="D175" s="10" t="str">
        <f t="shared" ca="1" si="10"/>
        <v>0PremiumN4</v>
      </c>
      <c r="E175" s="6">
        <v>0</v>
      </c>
      <c r="F175" s="7">
        <v>170</v>
      </c>
      <c r="G175" s="10" t="str">
        <f ca="1">VLOOKUP($F175,OFFSET([1]characters!$A$2,0,0,COUNTA([1]characters!$A:$A),MATCH(G$1,[1]characters!$2:$2,0)-MATCH($F$1,[1]characters!$2:$2,0)+1),MATCH(G$1,[1]characters!$2:$2,0)-MATCH($F$1,[1]characters!$2:$2,0)+1,FALSE)</f>
        <v>識徒 オセ</v>
      </c>
      <c r="H175" s="10" t="str">
        <f ca="1">VLOOKUP($F175,OFFSET([1]characters!$A$2,0,0,COUNTA([1]characters!$A:$A),MATCH(H$1,[1]characters!$2:$2,0)-MATCH($F$1,[1]characters!$2:$2,0)+1),MATCH(H$1,[1]characters!$2:$2,0)-MATCH($F$1,[1]characters!$2:$2,0)+1,FALSE)</f>
        <v>PremiumN</v>
      </c>
      <c r="I175" s="10">
        <f ca="1">VLOOKUP($F175,OFFSET([1]characters!$A$2,0,0,COUNTA([1]characters!$A:$A),MATCH(I$1,[1]characters!$2:$2,0)-MATCH($F$1,[1]characters!$2:$2,0)+1),MATCH(I$1,[1]characters!$2:$2,0)-MATCH($F$1,[1]characters!$2:$2,0)+1,FALSE)</f>
        <v>4</v>
      </c>
      <c r="J175" s="10" t="str">
        <f ca="1">VLOOKUP($F175,OFFSET([1]characters!$A$2,0,0,COUNTA([1]characters!$A:$A),MATCH(J$1,[1]characters!$2:$2,0)-MATCH($F$1,[1]characters!$2:$2,0)+1),MATCH(J$1,[1]characters!$2:$2,0)-MATCH($F$1,[1]characters!$2:$2,0)+1,FALSE)</f>
        <v>green</v>
      </c>
      <c r="K175" s="10" t="str">
        <f ca="1">VLOOKUP($F175,OFFSET([1]characters!$A$2,0,0,COUNTA([1]characters!$A:$A),MATCH("タイプ",[1]characters!$1:$1,0)-MATCH($F$1,[1]characters!$2:$2,0)+2),MATCH("タイプ",[1]characters!$1:$1,0)-MATCH($F$1,[1]characters!$2:$2,0)+2,FALSE)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5" s="10" t="str">
        <f ca="1">VLOOKUP($F175,OFFSET([1]characters!$A$2,0,0,COUNTA([1]characters!$A:$A),MATCH($L$1,[1]characters!$1:$1,0)-MATCH($F$1,[1]characters!$2:$2,0)+2),MATCH($L$1,[1]characters!$1:$1,0)-MATCH($F$1,[1]characters!$2:$2,0)+2,FALSE)</f>
        <v>ゴッド</v>
      </c>
      <c r="M175" s="6">
        <v>1</v>
      </c>
      <c r="N175" s="40">
        <f ca="1">VLOOKUP(D175,gacha_133_base!A:B,2,FALSE)</f>
        <v>758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>
      <c r="A176" s="8" t="str">
        <f t="shared" si="12"/>
        <v>01731</v>
      </c>
      <c r="B176" s="2">
        <f t="shared" si="11"/>
        <v>135</v>
      </c>
      <c r="C176" s="10" t="str">
        <f t="shared" ca="1" si="9"/>
        <v>0PremiumN4</v>
      </c>
      <c r="D176" s="10" t="str">
        <f t="shared" ca="1" si="10"/>
        <v>0PremiumN4</v>
      </c>
      <c r="E176" s="6">
        <v>0</v>
      </c>
      <c r="F176" s="7">
        <v>173</v>
      </c>
      <c r="G176" s="10" t="str">
        <f ca="1">VLOOKUP($F176,OFFSET([1]characters!$A$2,0,0,COUNTA([1]characters!$A:$A),MATCH(G$1,[1]characters!$2:$2,0)-MATCH($F$1,[1]characters!$2:$2,0)+1),MATCH(G$1,[1]characters!$2:$2,0)-MATCH($F$1,[1]characters!$2:$2,0)+1,FALSE)</f>
        <v>公爵 フォルネウス</v>
      </c>
      <c r="H176" s="10" t="str">
        <f ca="1">VLOOKUP($F176,OFFSET([1]characters!$A$2,0,0,COUNTA([1]characters!$A:$A),MATCH(H$1,[1]characters!$2:$2,0)-MATCH($F$1,[1]characters!$2:$2,0)+1),MATCH(H$1,[1]characters!$2:$2,0)-MATCH($F$1,[1]characters!$2:$2,0)+1,FALSE)</f>
        <v>PremiumN</v>
      </c>
      <c r="I176" s="10">
        <f ca="1">VLOOKUP($F176,OFFSET([1]characters!$A$2,0,0,COUNTA([1]characters!$A:$A),MATCH(I$1,[1]characters!$2:$2,0)-MATCH($F$1,[1]characters!$2:$2,0)+1),MATCH(I$1,[1]characters!$2:$2,0)-MATCH($F$1,[1]characters!$2:$2,0)+1,FALSE)</f>
        <v>4</v>
      </c>
      <c r="J176" s="10" t="str">
        <f ca="1">VLOOKUP($F176,OFFSET([1]characters!$A$2,0,0,COUNTA([1]characters!$A:$A),MATCH(J$1,[1]characters!$2:$2,0)-MATCH($F$1,[1]characters!$2:$2,0)+1),MATCH(J$1,[1]characters!$2:$2,0)-MATCH($F$1,[1]characters!$2:$2,0)+1,FALSE)</f>
        <v>blue</v>
      </c>
      <c r="K176" s="10" t="str">
        <f ca="1">VLOOKUP($F176,OFFSET([1]characters!$A$2,0,0,COUNTA([1]characters!$A:$A),MATCH("タイプ",[1]characters!$1:$1,0)-MATCH($F$1,[1]characters!$2:$2,0)+2),MATCH("タイプ",[1]characters!$1:$1,0)-MATCH($F$1,[1]characters!$2:$2,0)+2,FALSE)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6" s="10" t="str">
        <f ca="1">VLOOKUP($F176,OFFSET([1]characters!$A$2,0,0,COUNTA([1]characters!$A:$A),MATCH($L$1,[1]characters!$1:$1,0)-MATCH($F$1,[1]characters!$2:$2,0)+2),MATCH($L$1,[1]characters!$1:$1,0)-MATCH($F$1,[1]characters!$2:$2,0)+2,FALSE)</f>
        <v>ゴッド</v>
      </c>
      <c r="M176" s="6">
        <v>1</v>
      </c>
      <c r="N176" s="40">
        <f ca="1">VLOOKUP(D176,gacha_133_base!A:B,2,FALSE)</f>
        <v>758</v>
      </c>
      <c r="O176" s="28">
        <v>0</v>
      </c>
      <c r="P176" s="28">
        <v>0</v>
      </c>
      <c r="Q176" s="28">
        <v>0</v>
      </c>
      <c r="R176" s="28">
        <v>0</v>
      </c>
      <c r="S176" s="28">
        <v>1</v>
      </c>
    </row>
    <row r="177" spans="1:19" ht="21" customHeight="1">
      <c r="A177" s="8" t="str">
        <f t="shared" si="12"/>
        <v>01761</v>
      </c>
      <c r="B177" s="2">
        <f t="shared" si="11"/>
        <v>135</v>
      </c>
      <c r="C177" s="10" t="str">
        <f t="shared" ca="1" si="9"/>
        <v>0PremiumN4</v>
      </c>
      <c r="D177" s="10" t="str">
        <f t="shared" ca="1" si="10"/>
        <v>0PremiumN4</v>
      </c>
      <c r="E177" s="6">
        <v>0</v>
      </c>
      <c r="F177" s="7">
        <v>176</v>
      </c>
      <c r="G177" s="10" t="str">
        <f ca="1">VLOOKUP($F177,OFFSET([1]characters!$A$2,0,0,COUNTA([1]characters!$A:$A),MATCH(G$1,[1]characters!$2:$2,0)-MATCH($F$1,[1]characters!$2:$2,0)+1),MATCH(G$1,[1]characters!$2:$2,0)-MATCH($F$1,[1]characters!$2:$2,0)+1,FALSE)</f>
        <v>異教徒 バフォメット</v>
      </c>
      <c r="H177" s="10" t="str">
        <f ca="1">VLOOKUP($F177,OFFSET([1]characters!$A$2,0,0,COUNTA([1]characters!$A:$A),MATCH(H$1,[1]characters!$2:$2,0)-MATCH($F$1,[1]characters!$2:$2,0)+1),MATCH(H$1,[1]characters!$2:$2,0)-MATCH($F$1,[1]characters!$2:$2,0)+1,FALSE)</f>
        <v>PremiumN</v>
      </c>
      <c r="I177" s="10">
        <f ca="1">VLOOKUP($F177,OFFSET([1]characters!$A$2,0,0,COUNTA([1]characters!$A:$A),MATCH(I$1,[1]characters!$2:$2,0)-MATCH($F$1,[1]characters!$2:$2,0)+1),MATCH(I$1,[1]characters!$2:$2,0)-MATCH($F$1,[1]characters!$2:$2,0)+1,FALSE)</f>
        <v>4</v>
      </c>
      <c r="J177" s="10" t="str">
        <f ca="1">VLOOKUP($F177,OFFSET([1]characters!$A$2,0,0,COUNTA([1]characters!$A:$A),MATCH(J$1,[1]characters!$2:$2,0)-MATCH($F$1,[1]characters!$2:$2,0)+1),MATCH(J$1,[1]characters!$2:$2,0)-MATCH($F$1,[1]characters!$2:$2,0)+1,FALSE)</f>
        <v>yellow</v>
      </c>
      <c r="K177" s="10" t="str">
        <f ca="1">VLOOKUP($F177,OFFSET([1]characters!$A$2,0,0,COUNTA([1]characters!$A:$A),MATCH("タイプ",[1]characters!$1:$1,0)-MATCH($F$1,[1]characters!$2:$2,0)+2),MATCH("タイプ",[1]characters!$1:$1,0)-MATCH($F$1,[1]characters!$2:$2,0)+2,FALSE)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7" s="10" t="str">
        <f ca="1">VLOOKUP($F177,OFFSET([1]characters!$A$2,0,0,COUNTA([1]characters!$A:$A),MATCH($L$1,[1]characters!$1:$1,0)-MATCH($F$1,[1]characters!$2:$2,0)+2),MATCH($L$1,[1]characters!$1:$1,0)-MATCH($F$1,[1]characters!$2:$2,0)+2,FALSE)</f>
        <v>ゴッド</v>
      </c>
      <c r="M177" s="6">
        <v>1</v>
      </c>
      <c r="N177" s="40">
        <f ca="1">VLOOKUP(D177,gacha_133_base!A:B,2,FALSE)</f>
        <v>758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>
      <c r="A178" s="8" t="str">
        <f t="shared" si="12"/>
        <v>01791</v>
      </c>
      <c r="B178" s="2">
        <f t="shared" si="11"/>
        <v>135</v>
      </c>
      <c r="C178" s="10" t="str">
        <f t="shared" ca="1" si="9"/>
        <v>0PremiumN4</v>
      </c>
      <c r="D178" s="10" t="str">
        <f t="shared" ca="1" si="10"/>
        <v>0PremiumN4</v>
      </c>
      <c r="E178" s="6">
        <v>0</v>
      </c>
      <c r="F178" s="7">
        <v>179</v>
      </c>
      <c r="G178" s="10" t="str">
        <f ca="1">VLOOKUP($F178,OFFSET([1]characters!$A$2,0,0,COUNTA([1]characters!$A:$A),MATCH(G$1,[1]characters!$2:$2,0)-MATCH($F$1,[1]characters!$2:$2,0)+1),MATCH(G$1,[1]characters!$2:$2,0)-MATCH($F$1,[1]characters!$2:$2,0)+1,FALSE)</f>
        <v>番犬 ケルベロス</v>
      </c>
      <c r="H178" s="10" t="str">
        <f ca="1">VLOOKUP($F178,OFFSET([1]characters!$A$2,0,0,COUNTA([1]characters!$A:$A),MATCH(H$1,[1]characters!$2:$2,0)-MATCH($F$1,[1]characters!$2:$2,0)+1),MATCH(H$1,[1]characters!$2:$2,0)-MATCH($F$1,[1]characters!$2:$2,0)+1,FALSE)</f>
        <v>PremiumN</v>
      </c>
      <c r="I178" s="10">
        <f ca="1">VLOOKUP($F178,OFFSET([1]characters!$A$2,0,0,COUNTA([1]characters!$A:$A),MATCH(I$1,[1]characters!$2:$2,0)-MATCH($F$1,[1]characters!$2:$2,0)+1),MATCH(I$1,[1]characters!$2:$2,0)-MATCH($F$1,[1]characters!$2:$2,0)+1,FALSE)</f>
        <v>4</v>
      </c>
      <c r="J178" s="10" t="str">
        <f ca="1">VLOOKUP($F178,OFFSET([1]characters!$A$2,0,0,COUNTA([1]characters!$A:$A),MATCH(J$1,[1]characters!$2:$2,0)-MATCH($F$1,[1]characters!$2:$2,0)+1),MATCH(J$1,[1]characters!$2:$2,0)-MATCH($F$1,[1]characters!$2:$2,0)+1,FALSE)</f>
        <v>red</v>
      </c>
      <c r="K178" s="10" t="str">
        <f ca="1">VLOOKUP($F178,OFFSET([1]characters!$A$2,0,0,COUNTA([1]characters!$A:$A),MATCH("タイプ",[1]characters!$1:$1,0)-MATCH($F$1,[1]characters!$2:$2,0)+2),MATCH("タイプ",[1]characters!$1:$1,0)-MATCH($F$1,[1]characters!$2:$2,0)+2,FALSE)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8" s="10" t="str">
        <f ca="1">VLOOKUP($F178,OFFSET([1]characters!$A$2,0,0,COUNTA([1]characters!$A:$A),MATCH($L$1,[1]characters!$1:$1,0)-MATCH($F$1,[1]characters!$2:$2,0)+2),MATCH($L$1,[1]characters!$1:$1,0)-MATCH($F$1,[1]characters!$2:$2,0)+2,FALSE)</f>
        <v>アニマル</v>
      </c>
      <c r="M178" s="6">
        <v>1</v>
      </c>
      <c r="N178" s="40">
        <f ca="1">VLOOKUP(D178,gacha_133_base!A:B,2,FALSE)</f>
        <v>758</v>
      </c>
      <c r="O178" s="28">
        <v>0</v>
      </c>
      <c r="P178" s="28">
        <v>0</v>
      </c>
      <c r="Q178" s="28">
        <v>0</v>
      </c>
      <c r="R178" s="28">
        <v>0</v>
      </c>
      <c r="S178" s="28">
        <v>1</v>
      </c>
    </row>
    <row r="179" spans="1:19" ht="21" customHeight="1">
      <c r="A179" s="8" t="str">
        <f t="shared" si="12"/>
        <v>01821</v>
      </c>
      <c r="B179" s="2">
        <f t="shared" si="11"/>
        <v>135</v>
      </c>
      <c r="C179" s="10" t="str">
        <f t="shared" ca="1" si="9"/>
        <v>0PremiumN4</v>
      </c>
      <c r="D179" s="10" t="str">
        <f t="shared" ca="1" si="10"/>
        <v>0PremiumN4</v>
      </c>
      <c r="E179" s="6">
        <v>0</v>
      </c>
      <c r="F179" s="7">
        <v>182</v>
      </c>
      <c r="G179" s="10" t="str">
        <f ca="1">VLOOKUP($F179,OFFSET([1]characters!$A$2,0,0,COUNTA([1]characters!$A:$A),MATCH(G$1,[1]characters!$2:$2,0)-MATCH($F$1,[1]characters!$2:$2,0)+1),MATCH(G$1,[1]characters!$2:$2,0)-MATCH($F$1,[1]characters!$2:$2,0)+1,FALSE)</f>
        <v>放蕩者 ベヒモス</v>
      </c>
      <c r="H179" s="10" t="str">
        <f ca="1">VLOOKUP($F179,OFFSET([1]characters!$A$2,0,0,COUNTA([1]characters!$A:$A),MATCH(H$1,[1]characters!$2:$2,0)-MATCH($F$1,[1]characters!$2:$2,0)+1),MATCH(H$1,[1]characters!$2:$2,0)-MATCH($F$1,[1]characters!$2:$2,0)+1,FALSE)</f>
        <v>PremiumN</v>
      </c>
      <c r="I179" s="10">
        <f ca="1">VLOOKUP($F179,OFFSET([1]characters!$A$2,0,0,COUNTA([1]characters!$A:$A),MATCH(I$1,[1]characters!$2:$2,0)-MATCH($F$1,[1]characters!$2:$2,0)+1),MATCH(I$1,[1]characters!$2:$2,0)-MATCH($F$1,[1]characters!$2:$2,0)+1,FALSE)</f>
        <v>4</v>
      </c>
      <c r="J179" s="10" t="str">
        <f ca="1">VLOOKUP($F179,OFFSET([1]characters!$A$2,0,0,COUNTA([1]characters!$A:$A),MATCH(J$1,[1]characters!$2:$2,0)-MATCH($F$1,[1]characters!$2:$2,0)+1),MATCH(J$1,[1]characters!$2:$2,0)-MATCH($F$1,[1]characters!$2:$2,0)+1,FALSE)</f>
        <v>green</v>
      </c>
      <c r="K179" s="10" t="str">
        <f ca="1">VLOOKUP($F179,OFFSET([1]characters!$A$2,0,0,COUNTA([1]characters!$A:$A),MATCH("タイプ",[1]characters!$1:$1,0)-MATCH($F$1,[1]characters!$2:$2,0)+2),MATCH("タイプ",[1]characters!$1:$1,0)-MATCH($F$1,[1]characters!$2:$2,0)+2,FALSE)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9" s="10" t="str">
        <f ca="1">VLOOKUP($F179,OFFSET([1]characters!$A$2,0,0,COUNTA([1]characters!$A:$A),MATCH($L$1,[1]characters!$1:$1,0)-MATCH($F$1,[1]characters!$2:$2,0)+2),MATCH($L$1,[1]characters!$1:$1,0)-MATCH($F$1,[1]characters!$2:$2,0)+2,FALSE)</f>
        <v>アニマル</v>
      </c>
      <c r="M179" s="6">
        <v>1</v>
      </c>
      <c r="N179" s="40">
        <f ca="1">VLOOKUP(D179,gacha_133_base!A:B,2,FALSE)</f>
        <v>758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>
      <c r="A180" s="8" t="str">
        <f t="shared" si="12"/>
        <v>01851</v>
      </c>
      <c r="B180" s="2">
        <f t="shared" si="11"/>
        <v>135</v>
      </c>
      <c r="C180" s="10" t="str">
        <f t="shared" ca="1" si="9"/>
        <v>0PremiumN4</v>
      </c>
      <c r="D180" s="10" t="str">
        <f t="shared" ca="1" si="10"/>
        <v>0PremiumN4</v>
      </c>
      <c r="E180" s="6">
        <v>0</v>
      </c>
      <c r="F180" s="7">
        <v>185</v>
      </c>
      <c r="G180" s="10" t="str">
        <f ca="1">VLOOKUP($F180,OFFSET([1]characters!$A$2,0,0,COUNTA([1]characters!$A:$A),MATCH(G$1,[1]characters!$2:$2,0)-MATCH($F$1,[1]characters!$2:$2,0)+1),MATCH(G$1,[1]characters!$2:$2,0)-MATCH($F$1,[1]characters!$2:$2,0)+1,FALSE)</f>
        <v>海姫 クラーケン</v>
      </c>
      <c r="H180" s="10" t="str">
        <f ca="1">VLOOKUP($F180,OFFSET([1]characters!$A$2,0,0,COUNTA([1]characters!$A:$A),MATCH(H$1,[1]characters!$2:$2,0)-MATCH($F$1,[1]characters!$2:$2,0)+1),MATCH(H$1,[1]characters!$2:$2,0)-MATCH($F$1,[1]characters!$2:$2,0)+1,FALSE)</f>
        <v>PremiumN</v>
      </c>
      <c r="I180" s="10">
        <f ca="1">VLOOKUP($F180,OFFSET([1]characters!$A$2,0,0,COUNTA([1]characters!$A:$A),MATCH(I$1,[1]characters!$2:$2,0)-MATCH($F$1,[1]characters!$2:$2,0)+1),MATCH(I$1,[1]characters!$2:$2,0)-MATCH($F$1,[1]characters!$2:$2,0)+1,FALSE)</f>
        <v>4</v>
      </c>
      <c r="J180" s="10" t="str">
        <f ca="1">VLOOKUP($F180,OFFSET([1]characters!$A$2,0,0,COUNTA([1]characters!$A:$A),MATCH(J$1,[1]characters!$2:$2,0)-MATCH($F$1,[1]characters!$2:$2,0)+1),MATCH(J$1,[1]characters!$2:$2,0)-MATCH($F$1,[1]characters!$2:$2,0)+1,FALSE)</f>
        <v>blue</v>
      </c>
      <c r="K180" s="10" t="str">
        <f ca="1">VLOOKUP($F180,OFFSET([1]characters!$A$2,0,0,COUNTA([1]characters!$A:$A),MATCH("タイプ",[1]characters!$1:$1,0)-MATCH($F$1,[1]characters!$2:$2,0)+2),MATCH("タイプ",[1]characters!$1:$1,0)-MATCH($F$1,[1]characters!$2:$2,0)+2,FALSE)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0" s="10" t="str">
        <f ca="1">VLOOKUP($F180,OFFSET([1]characters!$A$2,0,0,COUNTA([1]characters!$A:$A),MATCH($L$1,[1]characters!$1:$1,0)-MATCH($F$1,[1]characters!$2:$2,0)+2),MATCH($L$1,[1]characters!$1:$1,0)-MATCH($F$1,[1]characters!$2:$2,0)+2,FALSE)</f>
        <v>アニマル</v>
      </c>
      <c r="M180" s="6">
        <v>1</v>
      </c>
      <c r="N180" s="40">
        <f ca="1">VLOOKUP(D180,gacha_133_base!A:B,2,FALSE)</f>
        <v>758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>
      <c r="A181" s="8" t="str">
        <f t="shared" si="12"/>
        <v>01881</v>
      </c>
      <c r="B181" s="2">
        <f t="shared" si="11"/>
        <v>135</v>
      </c>
      <c r="C181" s="10" t="str">
        <f t="shared" ca="1" si="9"/>
        <v>0PremiumN4</v>
      </c>
      <c r="D181" s="10" t="str">
        <f t="shared" ca="1" si="10"/>
        <v>0PremiumN4</v>
      </c>
      <c r="E181" s="6">
        <v>0</v>
      </c>
      <c r="F181" s="7">
        <v>188</v>
      </c>
      <c r="G181" s="10" t="str">
        <f ca="1">VLOOKUP($F181,OFFSET([1]characters!$A$2,0,0,COUNTA([1]characters!$A:$A),MATCH(G$1,[1]characters!$2:$2,0)-MATCH($F$1,[1]characters!$2:$2,0)+1),MATCH(G$1,[1]characters!$2:$2,0)-MATCH($F$1,[1]characters!$2:$2,0)+1,FALSE)</f>
        <v>猛禽 ホルス</v>
      </c>
      <c r="H181" s="10" t="str">
        <f ca="1">VLOOKUP($F181,OFFSET([1]characters!$A$2,0,0,COUNTA([1]characters!$A:$A),MATCH(H$1,[1]characters!$2:$2,0)-MATCH($F$1,[1]characters!$2:$2,0)+1),MATCH(H$1,[1]characters!$2:$2,0)-MATCH($F$1,[1]characters!$2:$2,0)+1,FALSE)</f>
        <v>PremiumN</v>
      </c>
      <c r="I181" s="10">
        <f ca="1">VLOOKUP($F181,OFFSET([1]characters!$A$2,0,0,COUNTA([1]characters!$A:$A),MATCH(I$1,[1]characters!$2:$2,0)-MATCH($F$1,[1]characters!$2:$2,0)+1),MATCH(I$1,[1]characters!$2:$2,0)-MATCH($F$1,[1]characters!$2:$2,0)+1,FALSE)</f>
        <v>4</v>
      </c>
      <c r="J181" s="10" t="str">
        <f ca="1">VLOOKUP($F181,OFFSET([1]characters!$A$2,0,0,COUNTA([1]characters!$A:$A),MATCH(J$1,[1]characters!$2:$2,0)-MATCH($F$1,[1]characters!$2:$2,0)+1),MATCH(J$1,[1]characters!$2:$2,0)-MATCH($F$1,[1]characters!$2:$2,0)+1,FALSE)</f>
        <v>yellow</v>
      </c>
      <c r="K181" s="10" t="str">
        <f ca="1">VLOOKUP($F181,OFFSET([1]characters!$A$2,0,0,COUNTA([1]characters!$A:$A),MATCH("タイプ",[1]characters!$1:$1,0)-MATCH($F$1,[1]characters!$2:$2,0)+2),MATCH("タイプ",[1]characters!$1:$1,0)-MATCH($F$1,[1]characters!$2:$2,0)+2,FALSE)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1" s="10" t="str">
        <f ca="1">VLOOKUP($F181,OFFSET([1]characters!$A$2,0,0,COUNTA([1]characters!$A:$A),MATCH($L$1,[1]characters!$1:$1,0)-MATCH($F$1,[1]characters!$2:$2,0)+2),MATCH($L$1,[1]characters!$1:$1,0)-MATCH($F$1,[1]characters!$2:$2,0)+2,FALSE)</f>
        <v>アニマル</v>
      </c>
      <c r="M181" s="6">
        <v>1</v>
      </c>
      <c r="N181" s="40">
        <f ca="1">VLOOKUP(D181,gacha_133_base!A:B,2,FALSE)</f>
        <v>758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>
      <c r="A182" s="8" t="str">
        <f t="shared" si="12"/>
        <v>01911</v>
      </c>
      <c r="B182" s="2">
        <f t="shared" si="11"/>
        <v>135</v>
      </c>
      <c r="C182" s="10" t="str">
        <f t="shared" ca="1" si="9"/>
        <v>0PremiumN4</v>
      </c>
      <c r="D182" s="10" t="str">
        <f t="shared" ca="1" si="10"/>
        <v>0PremiumN4</v>
      </c>
      <c r="E182" s="6">
        <v>0</v>
      </c>
      <c r="F182" s="7">
        <v>191</v>
      </c>
      <c r="G182" s="10" t="str">
        <f ca="1">VLOOKUP($F182,OFFSET([1]characters!$A$2,0,0,COUNTA([1]characters!$A:$A),MATCH(G$1,[1]characters!$2:$2,0)-MATCH($F$1,[1]characters!$2:$2,0)+1),MATCH(G$1,[1]characters!$2:$2,0)-MATCH($F$1,[1]characters!$2:$2,0)+1,FALSE)</f>
        <v>始祖 卑弥呼</v>
      </c>
      <c r="H182" s="10" t="str">
        <f ca="1">VLOOKUP($F182,OFFSET([1]characters!$A$2,0,0,COUNTA([1]characters!$A:$A),MATCH(H$1,[1]characters!$2:$2,0)-MATCH($F$1,[1]characters!$2:$2,0)+1),MATCH(H$1,[1]characters!$2:$2,0)-MATCH($F$1,[1]characters!$2:$2,0)+1,FALSE)</f>
        <v>PremiumN</v>
      </c>
      <c r="I182" s="10">
        <f ca="1">VLOOKUP($F182,OFFSET([1]characters!$A$2,0,0,COUNTA([1]characters!$A:$A),MATCH(I$1,[1]characters!$2:$2,0)-MATCH($F$1,[1]characters!$2:$2,0)+1),MATCH(I$1,[1]characters!$2:$2,0)-MATCH($F$1,[1]characters!$2:$2,0)+1,FALSE)</f>
        <v>4</v>
      </c>
      <c r="J182" s="10" t="str">
        <f ca="1">VLOOKUP($F182,OFFSET([1]characters!$A$2,0,0,COUNTA([1]characters!$A:$A),MATCH(J$1,[1]characters!$2:$2,0)-MATCH($F$1,[1]characters!$2:$2,0)+1),MATCH(J$1,[1]characters!$2:$2,0)-MATCH($F$1,[1]characters!$2:$2,0)+1,FALSE)</f>
        <v>red</v>
      </c>
      <c r="K182" s="10" t="str">
        <f ca="1">VLOOKUP($F182,OFFSET([1]characters!$A$2,0,0,COUNTA([1]characters!$A:$A),MATCH("タイプ",[1]characters!$1:$1,0)-MATCH($F$1,[1]characters!$2:$2,0)+2),MATCH("タイプ",[1]characters!$1:$1,0)-MATCH($F$1,[1]characters!$2:$2,0)+2,FALSE)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2" s="10" t="str">
        <f ca="1">VLOOKUP($F182,OFFSET([1]characters!$A$2,0,0,COUNTA([1]characters!$A:$A),MATCH($L$1,[1]characters!$1:$1,0)-MATCH($F$1,[1]characters!$2:$2,0)+2),MATCH($L$1,[1]characters!$1:$1,0)-MATCH($F$1,[1]characters!$2:$2,0)+2,FALSE)</f>
        <v>ヒューマン</v>
      </c>
      <c r="M182" s="6">
        <v>1</v>
      </c>
      <c r="N182" s="40">
        <f ca="1">VLOOKUP(D182,gacha_133_base!A:B,2,FALSE)</f>
        <v>758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8" t="str">
        <f t="shared" si="12"/>
        <v>01941</v>
      </c>
      <c r="B183" s="2">
        <f t="shared" si="11"/>
        <v>135</v>
      </c>
      <c r="C183" s="10" t="str">
        <f t="shared" ca="1" si="9"/>
        <v>0PremiumN4</v>
      </c>
      <c r="D183" s="10" t="str">
        <f t="shared" ca="1" si="10"/>
        <v>0PremiumN4</v>
      </c>
      <c r="E183" s="6">
        <v>0</v>
      </c>
      <c r="F183" s="7">
        <v>194</v>
      </c>
      <c r="G183" s="10" t="str">
        <f ca="1">VLOOKUP($F183,OFFSET([1]characters!$A$2,0,0,COUNTA([1]characters!$A:$A),MATCH(G$1,[1]characters!$2:$2,0)-MATCH($F$1,[1]characters!$2:$2,0)+1),MATCH(G$1,[1]characters!$2:$2,0)-MATCH($F$1,[1]characters!$2:$2,0)+1,FALSE)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183" s="10" t="str">
        <f ca="1">VLOOKUP($F183,OFFSET([1]characters!$A$2,0,0,COUNTA([1]characters!$A:$A),MATCH(H$1,[1]characters!$2:$2,0)-MATCH($F$1,[1]characters!$2:$2,0)+1),MATCH(H$1,[1]characters!$2:$2,0)-MATCH($F$1,[1]characters!$2:$2,0)+1,FALSE)</f>
        <v>PremiumN</v>
      </c>
      <c r="I183" s="10">
        <f ca="1">VLOOKUP($F183,OFFSET([1]characters!$A$2,0,0,COUNTA([1]characters!$A:$A),MATCH(I$1,[1]characters!$2:$2,0)-MATCH($F$1,[1]characters!$2:$2,0)+1),MATCH(I$1,[1]characters!$2:$2,0)-MATCH($F$1,[1]characters!$2:$2,0)+1,FALSE)</f>
        <v>4</v>
      </c>
      <c r="J183" s="10" t="str">
        <f ca="1">VLOOKUP($F183,OFFSET([1]characters!$A$2,0,0,COUNTA([1]characters!$A:$A),MATCH(J$1,[1]characters!$2:$2,0)-MATCH($F$1,[1]characters!$2:$2,0)+1),MATCH(J$1,[1]characters!$2:$2,0)-MATCH($F$1,[1]characters!$2:$2,0)+1,FALSE)</f>
        <v>green</v>
      </c>
      <c r="K183" s="10" t="str">
        <f ca="1">VLOOKUP($F183,OFFSET([1]characters!$A$2,0,0,COUNTA([1]characters!$A:$A),MATCH("タイプ",[1]characters!$1:$1,0)-MATCH($F$1,[1]characters!$2:$2,0)+2),MATCH("タイプ",[1]characters!$1:$1,0)-MATCH($F$1,[1]characters!$2:$2,0)+2,FALSE)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3" s="10" t="str">
        <f ca="1">VLOOKUP($F183,OFFSET([1]characters!$A$2,0,0,COUNTA([1]characters!$A:$A),MATCH($L$1,[1]characters!$1:$1,0)-MATCH($F$1,[1]characters!$2:$2,0)+2),MATCH($L$1,[1]characters!$1:$1,0)-MATCH($F$1,[1]characters!$2:$2,0)+2,FALSE)</f>
        <v>ヒューマン</v>
      </c>
      <c r="M183" s="6">
        <v>1</v>
      </c>
      <c r="N183" s="40">
        <f ca="1">VLOOKUP(D183,gacha_133_base!A:B,2,FALSE)</f>
        <v>758</v>
      </c>
      <c r="O183" s="28">
        <v>0</v>
      </c>
      <c r="P183" s="28">
        <v>0</v>
      </c>
      <c r="Q183" s="28">
        <v>0</v>
      </c>
      <c r="R183" s="28">
        <v>0</v>
      </c>
      <c r="S183" s="28">
        <v>1</v>
      </c>
    </row>
    <row r="184" spans="1:19" ht="21" customHeight="1">
      <c r="A184" s="8" t="str">
        <f t="shared" si="12"/>
        <v>01971</v>
      </c>
      <c r="B184" s="2">
        <f t="shared" si="11"/>
        <v>135</v>
      </c>
      <c r="C184" s="10" t="str">
        <f t="shared" ca="1" si="9"/>
        <v>0PremiumN4</v>
      </c>
      <c r="D184" s="10" t="str">
        <f t="shared" ca="1" si="10"/>
        <v>0PremiumN4</v>
      </c>
      <c r="E184" s="6">
        <v>0</v>
      </c>
      <c r="F184" s="7">
        <v>197</v>
      </c>
      <c r="G184" s="10" t="str">
        <f ca="1">VLOOKUP($F184,OFFSET([1]characters!$A$2,0,0,COUNTA([1]characters!$A:$A),MATCH(G$1,[1]characters!$2:$2,0)-MATCH($F$1,[1]characters!$2:$2,0)+1),MATCH(G$1,[1]characters!$2:$2,0)-MATCH($F$1,[1]characters!$2:$2,0)+1,FALSE)</f>
        <v>鉄腕 アキレス</v>
      </c>
      <c r="H184" s="10" t="str">
        <f ca="1">VLOOKUP($F184,OFFSET([1]characters!$A$2,0,0,COUNTA([1]characters!$A:$A),MATCH(H$1,[1]characters!$2:$2,0)-MATCH($F$1,[1]characters!$2:$2,0)+1),MATCH(H$1,[1]characters!$2:$2,0)-MATCH($F$1,[1]characters!$2:$2,0)+1,FALSE)</f>
        <v>PremiumN</v>
      </c>
      <c r="I184" s="10">
        <f ca="1">VLOOKUP($F184,OFFSET([1]characters!$A$2,0,0,COUNTA([1]characters!$A:$A),MATCH(I$1,[1]characters!$2:$2,0)-MATCH($F$1,[1]characters!$2:$2,0)+1),MATCH(I$1,[1]characters!$2:$2,0)-MATCH($F$1,[1]characters!$2:$2,0)+1,FALSE)</f>
        <v>4</v>
      </c>
      <c r="J184" s="10" t="str">
        <f ca="1">VLOOKUP($F184,OFFSET([1]characters!$A$2,0,0,COUNTA([1]characters!$A:$A),MATCH(J$1,[1]characters!$2:$2,0)-MATCH($F$1,[1]characters!$2:$2,0)+1),MATCH(J$1,[1]characters!$2:$2,0)-MATCH($F$1,[1]characters!$2:$2,0)+1,FALSE)</f>
        <v>yellow</v>
      </c>
      <c r="K184" s="10" t="str">
        <f ca="1">VLOOKUP($F184,OFFSET([1]characters!$A$2,0,0,COUNTA([1]characters!$A:$A),MATCH("タイプ",[1]characters!$1:$1,0)-MATCH($F$1,[1]characters!$2:$2,0)+2),MATCH("タイプ",[1]characters!$1:$1,0)-MATCH($F$1,[1]characters!$2:$2,0)+2,FALSE)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4" s="10" t="str">
        <f ca="1">VLOOKUP($F184,OFFSET([1]characters!$A$2,0,0,COUNTA([1]characters!$A:$A),MATCH($L$1,[1]characters!$1:$1,0)-MATCH($F$1,[1]characters!$2:$2,0)+2),MATCH($L$1,[1]characters!$1:$1,0)-MATCH($F$1,[1]characters!$2:$2,0)+2,FALSE)</f>
        <v>ヒューマン</v>
      </c>
      <c r="M184" s="6">
        <v>1</v>
      </c>
      <c r="N184" s="40">
        <f ca="1">VLOOKUP(D184,gacha_133_base!A:B,2,FALSE)</f>
        <v>758</v>
      </c>
      <c r="O184" s="28">
        <v>0</v>
      </c>
      <c r="P184" s="28">
        <v>0</v>
      </c>
      <c r="Q184" s="28">
        <v>0</v>
      </c>
      <c r="R184" s="28">
        <v>0</v>
      </c>
      <c r="S184" s="28">
        <v>1</v>
      </c>
    </row>
    <row r="185" spans="1:19" ht="21" customHeight="1">
      <c r="A185" s="8" t="str">
        <f t="shared" si="12"/>
        <v>02001</v>
      </c>
      <c r="B185" s="2">
        <f t="shared" si="11"/>
        <v>135</v>
      </c>
      <c r="C185" s="10" t="str">
        <f t="shared" ca="1" si="9"/>
        <v>0PremiumN4</v>
      </c>
      <c r="D185" s="10" t="str">
        <f t="shared" ca="1" si="10"/>
        <v>0PremiumN4</v>
      </c>
      <c r="E185" s="6">
        <v>0</v>
      </c>
      <c r="F185" s="7">
        <v>200</v>
      </c>
      <c r="G185" s="10" t="str">
        <f ca="1">VLOOKUP($F185,OFFSET([1]characters!$A$2,0,0,COUNTA([1]characters!$A:$A),MATCH(G$1,[1]characters!$2:$2,0)-MATCH($F$1,[1]characters!$2:$2,0)+1),MATCH(G$1,[1]characters!$2:$2,0)-MATCH($F$1,[1]characters!$2:$2,0)+1,FALSE)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185" s="10" t="str">
        <f ca="1">VLOOKUP($F185,OFFSET([1]characters!$A$2,0,0,COUNTA([1]characters!$A:$A),MATCH(H$1,[1]characters!$2:$2,0)-MATCH($F$1,[1]characters!$2:$2,0)+1),MATCH(H$1,[1]characters!$2:$2,0)-MATCH($F$1,[1]characters!$2:$2,0)+1,FALSE)</f>
        <v>PremiumN</v>
      </c>
      <c r="I185" s="10">
        <f ca="1">VLOOKUP($F185,OFFSET([1]characters!$A$2,0,0,COUNTA([1]characters!$A:$A),MATCH(I$1,[1]characters!$2:$2,0)-MATCH($F$1,[1]characters!$2:$2,0)+1),MATCH(I$1,[1]characters!$2:$2,0)-MATCH($F$1,[1]characters!$2:$2,0)+1,FALSE)</f>
        <v>4</v>
      </c>
      <c r="J185" s="10" t="str">
        <f ca="1">VLOOKUP($F185,OFFSET([1]characters!$A$2,0,0,COUNTA([1]characters!$A:$A),MATCH(J$1,[1]characters!$2:$2,0)-MATCH($F$1,[1]characters!$2:$2,0)+1),MATCH(J$1,[1]characters!$2:$2,0)-MATCH($F$1,[1]characters!$2:$2,0)+1,FALSE)</f>
        <v>blue</v>
      </c>
      <c r="K185" s="10" t="str">
        <f ca="1">VLOOKUP($F185,OFFSET([1]characters!$A$2,0,0,COUNTA([1]characters!$A:$A),MATCH("タイプ",[1]characters!$1:$1,0)-MATCH($F$1,[1]characters!$2:$2,0)+2),MATCH("タイプ",[1]characters!$1:$1,0)-MATCH($F$1,[1]characters!$2:$2,0)+2,FALSE)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5" s="10" t="str">
        <f ca="1">VLOOKUP($F185,OFFSET([1]characters!$A$2,0,0,COUNTA([1]characters!$A:$A),MATCH($L$1,[1]characters!$1:$1,0)-MATCH($F$1,[1]characters!$2:$2,0)+2),MATCH($L$1,[1]characters!$1:$1,0)-MATCH($F$1,[1]characters!$2:$2,0)+2,FALSE)</f>
        <v>ヒューマン</v>
      </c>
      <c r="M185" s="6">
        <v>1</v>
      </c>
      <c r="N185" s="40">
        <f ca="1">VLOOKUP(D185,gacha_133_base!A:B,2,FALSE)</f>
        <v>758</v>
      </c>
      <c r="O185" s="28">
        <v>0</v>
      </c>
      <c r="P185" s="28">
        <v>0</v>
      </c>
      <c r="Q185" s="28">
        <v>0</v>
      </c>
      <c r="R185" s="28">
        <v>0</v>
      </c>
      <c r="S185" s="28">
        <v>1</v>
      </c>
    </row>
    <row r="186" spans="1:19" ht="21" customHeight="1">
      <c r="A186" s="8" t="str">
        <f t="shared" si="12"/>
        <v>02031</v>
      </c>
      <c r="B186" s="2">
        <f t="shared" si="11"/>
        <v>135</v>
      </c>
      <c r="C186" s="10" t="str">
        <f t="shared" ca="1" si="9"/>
        <v>0PremiumN4</v>
      </c>
      <c r="D186" s="10" t="str">
        <f t="shared" ca="1" si="10"/>
        <v>0PremiumN4</v>
      </c>
      <c r="E186" s="6">
        <v>0</v>
      </c>
      <c r="F186" s="7">
        <v>203</v>
      </c>
      <c r="G186" s="10" t="str">
        <f ca="1">VLOOKUP($F186,OFFSET([1]characters!$A$2,0,0,COUNTA([1]characters!$A:$A),MATCH(G$1,[1]characters!$2:$2,0)-MATCH($F$1,[1]characters!$2:$2,0)+1),MATCH(G$1,[1]characters!$2:$2,0)-MATCH($F$1,[1]characters!$2:$2,0)+1,FALSE)</f>
        <v>焔神 プロメテウス</v>
      </c>
      <c r="H186" s="10" t="str">
        <f ca="1">VLOOKUP($F186,OFFSET([1]characters!$A$2,0,0,COUNTA([1]characters!$A:$A),MATCH(H$1,[1]characters!$2:$2,0)-MATCH($F$1,[1]characters!$2:$2,0)+1),MATCH(H$1,[1]characters!$2:$2,0)-MATCH($F$1,[1]characters!$2:$2,0)+1,FALSE)</f>
        <v>PremiumN</v>
      </c>
      <c r="I186" s="10">
        <f ca="1">VLOOKUP($F186,OFFSET([1]characters!$A$2,0,0,COUNTA([1]characters!$A:$A),MATCH(I$1,[1]characters!$2:$2,0)-MATCH($F$1,[1]characters!$2:$2,0)+1),MATCH(I$1,[1]characters!$2:$2,0)-MATCH($F$1,[1]characters!$2:$2,0)+1,FALSE)</f>
        <v>4</v>
      </c>
      <c r="J186" s="10" t="str">
        <f ca="1">VLOOKUP($F186,OFFSET([1]characters!$A$2,0,0,COUNTA([1]characters!$A:$A),MATCH(J$1,[1]characters!$2:$2,0)-MATCH($F$1,[1]characters!$2:$2,0)+1),MATCH(J$1,[1]characters!$2:$2,0)-MATCH($F$1,[1]characters!$2:$2,0)+1,FALSE)</f>
        <v>red</v>
      </c>
      <c r="K186" s="10" t="str">
        <f ca="1">VLOOKUP($F186,OFFSET([1]characters!$A$2,0,0,COUNTA([1]characters!$A:$A),MATCH("タイプ",[1]characters!$1:$1,0)-MATCH($F$1,[1]characters!$2:$2,0)+2),MATCH("タイプ",[1]characters!$1:$1,0)-MATCH($F$1,[1]characters!$2:$2,0)+2,FALSE)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6" s="10" t="str">
        <f ca="1">VLOOKUP($F186,OFFSET([1]characters!$A$2,0,0,COUNTA([1]characters!$A:$A),MATCH($L$1,[1]characters!$1:$1,0)-MATCH($F$1,[1]characters!$2:$2,0)+2),MATCH($L$1,[1]characters!$1:$1,0)-MATCH($F$1,[1]characters!$2:$2,0)+2,FALSE)</f>
        <v>ゴッド</v>
      </c>
      <c r="M186" s="6">
        <v>1</v>
      </c>
      <c r="N186" s="40">
        <f ca="1">VLOOKUP(D186,gacha_133_base!A:B,2,FALSE)</f>
        <v>758</v>
      </c>
      <c r="O186" s="28">
        <v>0</v>
      </c>
      <c r="P186" s="28">
        <v>0</v>
      </c>
      <c r="Q186" s="28">
        <v>0</v>
      </c>
      <c r="R186" s="28">
        <v>0</v>
      </c>
      <c r="S186" s="28">
        <v>1</v>
      </c>
    </row>
    <row r="187" spans="1:19" ht="21" customHeight="1">
      <c r="A187" s="8" t="str">
        <f t="shared" si="12"/>
        <v>02061</v>
      </c>
      <c r="B187" s="2">
        <f t="shared" si="11"/>
        <v>135</v>
      </c>
      <c r="C187" s="10" t="str">
        <f t="shared" ca="1" si="9"/>
        <v>0PremiumN4</v>
      </c>
      <c r="D187" s="10" t="str">
        <f t="shared" ca="1" si="10"/>
        <v>0PremiumN4</v>
      </c>
      <c r="E187" s="6">
        <v>0</v>
      </c>
      <c r="F187" s="7">
        <v>206</v>
      </c>
      <c r="G187" s="10" t="str">
        <f ca="1">VLOOKUP($F187,OFFSET([1]characters!$A$2,0,0,COUNTA([1]characters!$A:$A),MATCH(G$1,[1]characters!$2:$2,0)-MATCH($F$1,[1]characters!$2:$2,0)+1),MATCH(G$1,[1]characters!$2:$2,0)-MATCH($F$1,[1]characters!$2:$2,0)+1,FALSE)</f>
        <v>美神 アフロディーテ</v>
      </c>
      <c r="H187" s="10" t="str">
        <f ca="1">VLOOKUP($F187,OFFSET([1]characters!$A$2,0,0,COUNTA([1]characters!$A:$A),MATCH(H$1,[1]characters!$2:$2,0)-MATCH($F$1,[1]characters!$2:$2,0)+1),MATCH(H$1,[1]characters!$2:$2,0)-MATCH($F$1,[1]characters!$2:$2,0)+1,FALSE)</f>
        <v>PremiumN</v>
      </c>
      <c r="I187" s="10">
        <f ca="1">VLOOKUP($F187,OFFSET([1]characters!$A$2,0,0,COUNTA([1]characters!$A:$A),MATCH(I$1,[1]characters!$2:$2,0)-MATCH($F$1,[1]characters!$2:$2,0)+1),MATCH(I$1,[1]characters!$2:$2,0)-MATCH($F$1,[1]characters!$2:$2,0)+1,FALSE)</f>
        <v>4</v>
      </c>
      <c r="J187" s="10" t="str">
        <f ca="1">VLOOKUP($F187,OFFSET([1]characters!$A$2,0,0,COUNTA([1]characters!$A:$A),MATCH(J$1,[1]characters!$2:$2,0)-MATCH($F$1,[1]characters!$2:$2,0)+1),MATCH(J$1,[1]characters!$2:$2,0)-MATCH($F$1,[1]characters!$2:$2,0)+1,FALSE)</f>
        <v>green</v>
      </c>
      <c r="K187" s="10" t="str">
        <f ca="1">VLOOKUP($F187,OFFSET([1]characters!$A$2,0,0,COUNTA([1]characters!$A:$A),MATCH("タイプ",[1]characters!$1:$1,0)-MATCH($F$1,[1]characters!$2:$2,0)+2),MATCH("タイプ",[1]characters!$1:$1,0)-MATCH($F$1,[1]characters!$2:$2,0)+2,FALSE)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7" s="10" t="str">
        <f ca="1">VLOOKUP($F187,OFFSET([1]characters!$A$2,0,0,COUNTA([1]characters!$A:$A),MATCH($L$1,[1]characters!$1:$1,0)-MATCH($F$1,[1]characters!$2:$2,0)+2),MATCH($L$1,[1]characters!$1:$1,0)-MATCH($F$1,[1]characters!$2:$2,0)+2,FALSE)</f>
        <v>ゴッド</v>
      </c>
      <c r="M187" s="6">
        <v>1</v>
      </c>
      <c r="N187" s="40">
        <f ca="1">VLOOKUP(D187,gacha_133_base!A:B,2,FALSE)</f>
        <v>758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8" t="str">
        <f t="shared" si="12"/>
        <v>02091</v>
      </c>
      <c r="B188" s="2">
        <f t="shared" si="11"/>
        <v>135</v>
      </c>
      <c r="C188" s="10" t="str">
        <f t="shared" ca="1" si="9"/>
        <v>0PremiumN4</v>
      </c>
      <c r="D188" s="10" t="str">
        <f t="shared" ca="1" si="10"/>
        <v>0PremiumN4</v>
      </c>
      <c r="E188" s="6">
        <v>0</v>
      </c>
      <c r="F188" s="7">
        <v>209</v>
      </c>
      <c r="G188" s="10" t="str">
        <f ca="1">VLOOKUP($F188,OFFSET([1]characters!$A$2,0,0,COUNTA([1]characters!$A:$A),MATCH(G$1,[1]characters!$2:$2,0)-MATCH($F$1,[1]characters!$2:$2,0)+1),MATCH(G$1,[1]characters!$2:$2,0)-MATCH($F$1,[1]characters!$2:$2,0)+1,FALSE)</f>
        <v>孤神 テティス</v>
      </c>
      <c r="H188" s="10" t="str">
        <f ca="1">VLOOKUP($F188,OFFSET([1]characters!$A$2,0,0,COUNTA([1]characters!$A:$A),MATCH(H$1,[1]characters!$2:$2,0)-MATCH($F$1,[1]characters!$2:$2,0)+1),MATCH(H$1,[1]characters!$2:$2,0)-MATCH($F$1,[1]characters!$2:$2,0)+1,FALSE)</f>
        <v>PremiumN</v>
      </c>
      <c r="I188" s="10">
        <f ca="1">VLOOKUP($F188,OFFSET([1]characters!$A$2,0,0,COUNTA([1]characters!$A:$A),MATCH(I$1,[1]characters!$2:$2,0)-MATCH($F$1,[1]characters!$2:$2,0)+1),MATCH(I$1,[1]characters!$2:$2,0)-MATCH($F$1,[1]characters!$2:$2,0)+1,FALSE)</f>
        <v>4</v>
      </c>
      <c r="J188" s="10" t="str">
        <f ca="1">VLOOKUP($F188,OFFSET([1]characters!$A$2,0,0,COUNTA([1]characters!$A:$A),MATCH(J$1,[1]characters!$2:$2,0)-MATCH($F$1,[1]characters!$2:$2,0)+1),MATCH(J$1,[1]characters!$2:$2,0)-MATCH($F$1,[1]characters!$2:$2,0)+1,FALSE)</f>
        <v>blue</v>
      </c>
      <c r="K188" s="10" t="str">
        <f ca="1">VLOOKUP($F188,OFFSET([1]characters!$A$2,0,0,COUNTA([1]characters!$A:$A),MATCH("タイプ",[1]characters!$1:$1,0)-MATCH($F$1,[1]characters!$2:$2,0)+2),MATCH("タイプ",[1]characters!$1:$1,0)-MATCH($F$1,[1]characters!$2:$2,0)+2,FALSE)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8" s="10" t="str">
        <f ca="1">VLOOKUP($F188,OFFSET([1]characters!$A$2,0,0,COUNTA([1]characters!$A:$A),MATCH($L$1,[1]characters!$1:$1,0)-MATCH($F$1,[1]characters!$2:$2,0)+2),MATCH($L$1,[1]characters!$1:$1,0)-MATCH($F$1,[1]characters!$2:$2,0)+2,FALSE)</f>
        <v>ゴッド</v>
      </c>
      <c r="M188" s="6">
        <v>1</v>
      </c>
      <c r="N188" s="40">
        <f ca="1">VLOOKUP(D188,gacha_133_base!A:B,2,FALSE)</f>
        <v>758</v>
      </c>
      <c r="O188" s="28">
        <v>0</v>
      </c>
      <c r="P188" s="28">
        <v>0</v>
      </c>
      <c r="Q188" s="28">
        <v>0</v>
      </c>
      <c r="R188" s="28">
        <v>0</v>
      </c>
      <c r="S188" s="28">
        <v>1</v>
      </c>
    </row>
    <row r="189" spans="1:19" ht="21" customHeight="1">
      <c r="A189" s="8" t="str">
        <f t="shared" si="12"/>
        <v>02121</v>
      </c>
      <c r="B189" s="2">
        <f t="shared" si="11"/>
        <v>135</v>
      </c>
      <c r="C189" s="10" t="str">
        <f t="shared" ca="1" si="9"/>
        <v>0PremiumN4</v>
      </c>
      <c r="D189" s="10" t="str">
        <f t="shared" ca="1" si="10"/>
        <v>0PremiumN4</v>
      </c>
      <c r="E189" s="6">
        <v>0</v>
      </c>
      <c r="F189" s="7">
        <v>212</v>
      </c>
      <c r="G189" s="10" t="str">
        <f ca="1">VLOOKUP($F189,OFFSET([1]characters!$A$2,0,0,COUNTA([1]characters!$A:$A),MATCH(G$1,[1]characters!$2:$2,0)-MATCH($F$1,[1]characters!$2:$2,0)+1),MATCH(G$1,[1]characters!$2:$2,0)-MATCH($F$1,[1]characters!$2:$2,0)+1,FALSE)</f>
        <v>星神 アストライアー</v>
      </c>
      <c r="H189" s="10" t="str">
        <f ca="1">VLOOKUP($F189,OFFSET([1]characters!$A$2,0,0,COUNTA([1]characters!$A:$A),MATCH(H$1,[1]characters!$2:$2,0)-MATCH($F$1,[1]characters!$2:$2,0)+1),MATCH(H$1,[1]characters!$2:$2,0)-MATCH($F$1,[1]characters!$2:$2,0)+1,FALSE)</f>
        <v>PremiumN</v>
      </c>
      <c r="I189" s="10">
        <f ca="1">VLOOKUP($F189,OFFSET([1]characters!$A$2,0,0,COUNTA([1]characters!$A:$A),MATCH(I$1,[1]characters!$2:$2,0)-MATCH($F$1,[1]characters!$2:$2,0)+1),MATCH(I$1,[1]characters!$2:$2,0)-MATCH($F$1,[1]characters!$2:$2,0)+1,FALSE)</f>
        <v>4</v>
      </c>
      <c r="J189" s="10" t="str">
        <f ca="1">VLOOKUP($F189,OFFSET([1]characters!$A$2,0,0,COUNTA([1]characters!$A:$A),MATCH(J$1,[1]characters!$2:$2,0)-MATCH($F$1,[1]characters!$2:$2,0)+1),MATCH(J$1,[1]characters!$2:$2,0)-MATCH($F$1,[1]characters!$2:$2,0)+1,FALSE)</f>
        <v>yellow</v>
      </c>
      <c r="K189" s="10" t="str">
        <f ca="1">VLOOKUP($F189,OFFSET([1]characters!$A$2,0,0,COUNTA([1]characters!$A:$A),MATCH("タイプ",[1]characters!$1:$1,0)-MATCH($F$1,[1]characters!$2:$2,0)+2),MATCH("タイプ",[1]characters!$1:$1,0)-MATCH($F$1,[1]characters!$2:$2,0)+2,FALSE)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9" s="10" t="str">
        <f ca="1">VLOOKUP($F189,OFFSET([1]characters!$A$2,0,0,COUNTA([1]characters!$A:$A),MATCH($L$1,[1]characters!$1:$1,0)-MATCH($F$1,[1]characters!$2:$2,0)+2),MATCH($L$1,[1]characters!$1:$1,0)-MATCH($F$1,[1]characters!$2:$2,0)+2,FALSE)</f>
        <v>ゴッド</v>
      </c>
      <c r="M189" s="6">
        <v>1</v>
      </c>
      <c r="N189" s="40">
        <f ca="1">VLOOKUP(D189,gacha_133_base!A:B,2,FALSE)</f>
        <v>758</v>
      </c>
      <c r="O189" s="28">
        <v>0</v>
      </c>
      <c r="P189" s="28">
        <v>0</v>
      </c>
      <c r="Q189" s="28">
        <v>0</v>
      </c>
      <c r="R189" s="28">
        <v>0</v>
      </c>
      <c r="S189" s="28">
        <v>1</v>
      </c>
    </row>
    <row r="190" spans="1:19" ht="21" customHeight="1">
      <c r="A190" s="8" t="str">
        <f t="shared" si="12"/>
        <v>02151</v>
      </c>
      <c r="B190" s="2">
        <f t="shared" si="11"/>
        <v>135</v>
      </c>
      <c r="C190" s="10" t="str">
        <f t="shared" ca="1" si="9"/>
        <v>0PremiumN4</v>
      </c>
      <c r="D190" s="10" t="str">
        <f t="shared" ca="1" si="10"/>
        <v>0PremiumN4</v>
      </c>
      <c r="E190" s="6">
        <v>0</v>
      </c>
      <c r="F190" s="7">
        <v>215</v>
      </c>
      <c r="G190" s="10" t="str">
        <f ca="1">VLOOKUP($F190,OFFSET([1]characters!$A$2,0,0,COUNTA([1]characters!$A:$A),MATCH(G$1,[1]characters!$2:$2,0)-MATCH($F$1,[1]characters!$2:$2,0)+1),MATCH(G$1,[1]characters!$2:$2,0)-MATCH($F$1,[1]characters!$2:$2,0)+1,FALSE)</f>
        <v>死導者 アズラエル</v>
      </c>
      <c r="H190" s="10" t="str">
        <f ca="1">VLOOKUP($F190,OFFSET([1]characters!$A$2,0,0,COUNTA([1]characters!$A:$A),MATCH(H$1,[1]characters!$2:$2,0)-MATCH($F$1,[1]characters!$2:$2,0)+1),MATCH(H$1,[1]characters!$2:$2,0)-MATCH($F$1,[1]characters!$2:$2,0)+1,FALSE)</f>
        <v>PremiumN</v>
      </c>
      <c r="I190" s="10">
        <f ca="1">VLOOKUP($F190,OFFSET([1]characters!$A$2,0,0,COUNTA([1]characters!$A:$A),MATCH(I$1,[1]characters!$2:$2,0)-MATCH($F$1,[1]characters!$2:$2,0)+1),MATCH(I$1,[1]characters!$2:$2,0)-MATCH($F$1,[1]characters!$2:$2,0)+1,FALSE)</f>
        <v>4</v>
      </c>
      <c r="J190" s="10" t="str">
        <f ca="1">VLOOKUP($F190,OFFSET([1]characters!$A$2,0,0,COUNTA([1]characters!$A:$A),MATCH(J$1,[1]characters!$2:$2,0)-MATCH($F$1,[1]characters!$2:$2,0)+1),MATCH(J$1,[1]characters!$2:$2,0)-MATCH($F$1,[1]characters!$2:$2,0)+1,FALSE)</f>
        <v>red</v>
      </c>
      <c r="K190" s="10" t="str">
        <f ca="1">VLOOKUP($F190,OFFSET([1]characters!$A$2,0,0,COUNTA([1]characters!$A:$A),MATCH("タイプ",[1]characters!$1:$1,0)-MATCH($F$1,[1]characters!$2:$2,0)+2),MATCH("タイプ",[1]characters!$1:$1,0)-MATCH($F$1,[1]characters!$2:$2,0)+2,FALSE)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0" s="10" t="str">
        <f ca="1">VLOOKUP($F190,OFFSET([1]characters!$A$2,0,0,COUNTA([1]characters!$A:$A),MATCH($L$1,[1]characters!$1:$1,0)-MATCH($F$1,[1]characters!$2:$2,0)+2),MATCH($L$1,[1]characters!$1:$1,0)-MATCH($F$1,[1]characters!$2:$2,0)+2,FALSE)</f>
        <v>ゴッド</v>
      </c>
      <c r="M190" s="6">
        <v>1</v>
      </c>
      <c r="N190" s="40">
        <f ca="1">VLOOKUP(D190,gacha_133_base!A:B,2,FALSE)</f>
        <v>758</v>
      </c>
      <c r="O190" s="28">
        <v>0</v>
      </c>
      <c r="P190" s="28">
        <v>0</v>
      </c>
      <c r="Q190" s="28">
        <v>0</v>
      </c>
      <c r="R190" s="28">
        <v>0</v>
      </c>
      <c r="S190" s="28">
        <v>1</v>
      </c>
    </row>
    <row r="191" spans="1:19" ht="21" customHeight="1">
      <c r="A191" s="8" t="str">
        <f t="shared" si="12"/>
        <v>02181</v>
      </c>
      <c r="B191" s="2">
        <f t="shared" si="11"/>
        <v>135</v>
      </c>
      <c r="C191" s="10" t="str">
        <f t="shared" ca="1" si="9"/>
        <v>0PremiumN4</v>
      </c>
      <c r="D191" s="10" t="str">
        <f t="shared" ca="1" si="10"/>
        <v>0PremiumN4</v>
      </c>
      <c r="E191" s="6">
        <v>0</v>
      </c>
      <c r="F191" s="7">
        <v>218</v>
      </c>
      <c r="G191" s="10" t="str">
        <f ca="1">VLOOKUP($F191,OFFSET([1]characters!$A$2,0,0,COUNTA([1]characters!$A:$A),MATCH(G$1,[1]characters!$2:$2,0)-MATCH($F$1,[1]characters!$2:$2,0)+1),MATCH(G$1,[1]characters!$2:$2,0)-MATCH($F$1,[1]characters!$2:$2,0)+1,FALSE)</f>
        <v>聖蛇 ケツァクアトル</v>
      </c>
      <c r="H191" s="10" t="str">
        <f ca="1">VLOOKUP($F191,OFFSET([1]characters!$A$2,0,0,COUNTA([1]characters!$A:$A),MATCH(H$1,[1]characters!$2:$2,0)-MATCH($F$1,[1]characters!$2:$2,0)+1),MATCH(H$1,[1]characters!$2:$2,0)-MATCH($F$1,[1]characters!$2:$2,0)+1,FALSE)</f>
        <v>PremiumN</v>
      </c>
      <c r="I191" s="10">
        <f ca="1">VLOOKUP($F191,OFFSET([1]characters!$A$2,0,0,COUNTA([1]characters!$A:$A),MATCH(I$1,[1]characters!$2:$2,0)-MATCH($F$1,[1]characters!$2:$2,0)+1),MATCH(I$1,[1]characters!$2:$2,0)-MATCH($F$1,[1]characters!$2:$2,0)+1,FALSE)</f>
        <v>4</v>
      </c>
      <c r="J191" s="10" t="str">
        <f ca="1">VLOOKUP($F191,OFFSET([1]characters!$A$2,0,0,COUNTA([1]characters!$A:$A),MATCH(J$1,[1]characters!$2:$2,0)-MATCH($F$1,[1]characters!$2:$2,0)+1),MATCH(J$1,[1]characters!$2:$2,0)-MATCH($F$1,[1]characters!$2:$2,0)+1,FALSE)</f>
        <v>green</v>
      </c>
      <c r="K191" s="10" t="str">
        <f ca="1">VLOOKUP($F191,OFFSET([1]characters!$A$2,0,0,COUNTA([1]characters!$A:$A),MATCH("タイプ",[1]characters!$1:$1,0)-MATCH($F$1,[1]characters!$2:$2,0)+2),MATCH("タイプ",[1]characters!$1:$1,0)-MATCH($F$1,[1]characters!$2:$2,0)+2,FALSE)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91" s="10" t="str">
        <f ca="1">VLOOKUP($F191,OFFSET([1]characters!$A$2,0,0,COUNTA([1]characters!$A:$A),MATCH($L$1,[1]characters!$1:$1,0)-MATCH($F$1,[1]characters!$2:$2,0)+2),MATCH($L$1,[1]characters!$1:$1,0)-MATCH($F$1,[1]characters!$2:$2,0)+2,FALSE)</f>
        <v>ドラゴン</v>
      </c>
      <c r="M191" s="6">
        <v>1</v>
      </c>
      <c r="N191" s="40">
        <f ca="1">VLOOKUP(D191,gacha_133_base!A:B,2,FALSE)</f>
        <v>758</v>
      </c>
      <c r="O191" s="28">
        <v>0</v>
      </c>
      <c r="P191" s="28">
        <v>0</v>
      </c>
      <c r="Q191" s="28">
        <v>0</v>
      </c>
      <c r="R191" s="28">
        <v>0</v>
      </c>
      <c r="S191" s="28">
        <v>1</v>
      </c>
    </row>
    <row r="192" spans="1:19" ht="21" customHeight="1">
      <c r="A192" s="8" t="str">
        <f t="shared" si="12"/>
        <v>02211</v>
      </c>
      <c r="B192" s="2">
        <f t="shared" si="11"/>
        <v>135</v>
      </c>
      <c r="C192" s="10" t="str">
        <f t="shared" ca="1" si="9"/>
        <v>0PremiumN4</v>
      </c>
      <c r="D192" s="10" t="str">
        <f t="shared" ca="1" si="10"/>
        <v>0PremiumN4</v>
      </c>
      <c r="E192" s="6">
        <v>0</v>
      </c>
      <c r="F192" s="7">
        <v>221</v>
      </c>
      <c r="G192" s="10" t="str">
        <f ca="1">VLOOKUP($F192,OFFSET([1]characters!$A$2,0,0,COUNTA([1]characters!$A:$A),MATCH(G$1,[1]characters!$2:$2,0)-MATCH($F$1,[1]characters!$2:$2,0)+1),MATCH(G$1,[1]characters!$2:$2,0)-MATCH($F$1,[1]characters!$2:$2,0)+1,FALSE)</f>
        <v>宰相 ルキフグス</v>
      </c>
      <c r="H192" s="10" t="str">
        <f ca="1">VLOOKUP($F192,OFFSET([1]characters!$A$2,0,0,COUNTA([1]characters!$A:$A),MATCH(H$1,[1]characters!$2:$2,0)-MATCH($F$1,[1]characters!$2:$2,0)+1),MATCH(H$1,[1]characters!$2:$2,0)-MATCH($F$1,[1]characters!$2:$2,0)+1,FALSE)</f>
        <v>PremiumN</v>
      </c>
      <c r="I192" s="10">
        <f ca="1">VLOOKUP($F192,OFFSET([1]characters!$A$2,0,0,COUNTA([1]characters!$A:$A),MATCH(I$1,[1]characters!$2:$2,0)-MATCH($F$1,[1]characters!$2:$2,0)+1),MATCH(I$1,[1]characters!$2:$2,0)-MATCH($F$1,[1]characters!$2:$2,0)+1,FALSE)</f>
        <v>4</v>
      </c>
      <c r="J192" s="10" t="str">
        <f ca="1">VLOOKUP($F192,OFFSET([1]characters!$A$2,0,0,COUNTA([1]characters!$A:$A),MATCH(J$1,[1]characters!$2:$2,0)-MATCH($F$1,[1]characters!$2:$2,0)+1),MATCH(J$1,[1]characters!$2:$2,0)-MATCH($F$1,[1]characters!$2:$2,0)+1,FALSE)</f>
        <v>blue</v>
      </c>
      <c r="K192" s="10" t="str">
        <f ca="1">VLOOKUP($F192,OFFSET([1]characters!$A$2,0,0,COUNTA([1]characters!$A:$A),MATCH("タイプ",[1]characters!$1:$1,0)-MATCH($F$1,[1]characters!$2:$2,0)+2),MATCH("タイプ",[1]characters!$1:$1,0)-MATCH($F$1,[1]characters!$2:$2,0)+2,FALSE)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2" s="10" t="str">
        <f ca="1">VLOOKUP($F192,OFFSET([1]characters!$A$2,0,0,COUNTA([1]characters!$A:$A),MATCH($L$1,[1]characters!$1:$1,0)-MATCH($F$1,[1]characters!$2:$2,0)+2),MATCH($L$1,[1]characters!$1:$1,0)-MATCH($F$1,[1]characters!$2:$2,0)+2,FALSE)</f>
        <v>ゴッド</v>
      </c>
      <c r="M192" s="6">
        <v>1</v>
      </c>
      <c r="N192" s="40">
        <f ca="1">VLOOKUP(D192,gacha_133_base!A:B,2,FALSE)</f>
        <v>758</v>
      </c>
      <c r="O192" s="28">
        <v>0</v>
      </c>
      <c r="P192" s="28">
        <v>0</v>
      </c>
      <c r="Q192" s="28">
        <v>0</v>
      </c>
      <c r="R192" s="28">
        <v>0</v>
      </c>
      <c r="S192" s="28">
        <v>1</v>
      </c>
    </row>
    <row r="193" spans="1:19" ht="21" customHeight="1">
      <c r="A193" s="8" t="str">
        <f t="shared" si="12"/>
        <v>02241</v>
      </c>
      <c r="B193" s="2">
        <f t="shared" si="11"/>
        <v>135</v>
      </c>
      <c r="C193" s="10" t="str">
        <f t="shared" ca="1" si="9"/>
        <v>0PremiumN4</v>
      </c>
      <c r="D193" s="10" t="str">
        <f t="shared" ca="1" si="10"/>
        <v>0PremiumN4</v>
      </c>
      <c r="E193" s="6">
        <v>0</v>
      </c>
      <c r="F193" s="7">
        <v>224</v>
      </c>
      <c r="G193" s="10" t="str">
        <f ca="1">VLOOKUP($F193,OFFSET([1]characters!$A$2,0,0,COUNTA([1]characters!$A:$A),MATCH(G$1,[1]characters!$2:$2,0)-MATCH($F$1,[1]characters!$2:$2,0)+1),MATCH(G$1,[1]characters!$2:$2,0)-MATCH($F$1,[1]characters!$2:$2,0)+1,FALSE)</f>
        <v>巨腕 ヘラクレス</v>
      </c>
      <c r="H193" s="10" t="str">
        <f ca="1">VLOOKUP($F193,OFFSET([1]characters!$A$2,0,0,COUNTA([1]characters!$A:$A),MATCH(H$1,[1]characters!$2:$2,0)-MATCH($F$1,[1]characters!$2:$2,0)+1),MATCH(H$1,[1]characters!$2:$2,0)-MATCH($F$1,[1]characters!$2:$2,0)+1,FALSE)</f>
        <v>PremiumN</v>
      </c>
      <c r="I193" s="10">
        <f ca="1">VLOOKUP($F193,OFFSET([1]characters!$A$2,0,0,COUNTA([1]characters!$A:$A),MATCH(I$1,[1]characters!$2:$2,0)-MATCH($F$1,[1]characters!$2:$2,0)+1),MATCH(I$1,[1]characters!$2:$2,0)-MATCH($F$1,[1]characters!$2:$2,0)+1,FALSE)</f>
        <v>4</v>
      </c>
      <c r="J193" s="10" t="str">
        <f ca="1">VLOOKUP($F193,OFFSET([1]characters!$A$2,0,0,COUNTA([1]characters!$A:$A),MATCH(J$1,[1]characters!$2:$2,0)-MATCH($F$1,[1]characters!$2:$2,0)+1),MATCH(J$1,[1]characters!$2:$2,0)-MATCH($F$1,[1]characters!$2:$2,0)+1,FALSE)</f>
        <v>yellow</v>
      </c>
      <c r="K193" s="10" t="str">
        <f ca="1">VLOOKUP($F193,OFFSET([1]characters!$A$2,0,0,COUNTA([1]characters!$A:$A),MATCH("タイプ",[1]characters!$1:$1,0)-MATCH($F$1,[1]characters!$2:$2,0)+2),MATCH("タイプ",[1]characters!$1:$1,0)-MATCH($F$1,[1]characters!$2:$2,0)+2,FALSE)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3" s="10" t="str">
        <f ca="1">VLOOKUP($F193,OFFSET([1]characters!$A$2,0,0,COUNTA([1]characters!$A:$A),MATCH($L$1,[1]characters!$1:$1,0)-MATCH($F$1,[1]characters!$2:$2,0)+2),MATCH($L$1,[1]characters!$1:$1,0)-MATCH($F$1,[1]characters!$2:$2,0)+2,FALSE)</f>
        <v>ヒューマン</v>
      </c>
      <c r="M193" s="6">
        <v>1</v>
      </c>
      <c r="N193" s="40">
        <f ca="1">VLOOKUP(D193,gacha_133_base!A:B,2,FALSE)</f>
        <v>758</v>
      </c>
      <c r="O193" s="28">
        <v>0</v>
      </c>
      <c r="P193" s="28">
        <v>0</v>
      </c>
      <c r="Q193" s="28">
        <v>0</v>
      </c>
      <c r="R193" s="28">
        <v>0</v>
      </c>
      <c r="S193" s="28">
        <v>1</v>
      </c>
    </row>
    <row r="194" spans="1:19" ht="21" customHeight="1">
      <c r="A194" s="8" t="str">
        <f t="shared" si="12"/>
        <v>02271</v>
      </c>
      <c r="B194" s="2">
        <f t="shared" si="11"/>
        <v>135</v>
      </c>
      <c r="C194" s="10" t="str">
        <f t="shared" ca="1" si="9"/>
        <v>0PremiumS4</v>
      </c>
      <c r="D194" s="10" t="str">
        <f t="shared" ca="1" si="10"/>
        <v>0PremiumS4</v>
      </c>
      <c r="E194" s="6">
        <v>0</v>
      </c>
      <c r="F194" s="7">
        <v>227</v>
      </c>
      <c r="G194" s="10" t="str">
        <f ca="1">VLOOKUP($F194,OFFSET([1]characters!$A$2,0,0,COUNTA([1]characters!$A:$A),MATCH(G$1,[1]characters!$2:$2,0)-MATCH($F$1,[1]characters!$2:$2,0)+1),MATCH(G$1,[1]characters!$2:$2,0)-MATCH($F$1,[1]characters!$2:$2,0)+1,FALSE)</f>
        <v>滅弾 アレス</v>
      </c>
      <c r="H194" s="10" t="str">
        <f ca="1">VLOOKUP($F194,OFFSET([1]characters!$A$2,0,0,COUNTA([1]characters!$A:$A),MATCH(H$1,[1]characters!$2:$2,0)-MATCH($F$1,[1]characters!$2:$2,0)+1),MATCH(H$1,[1]characters!$2:$2,0)-MATCH($F$1,[1]characters!$2:$2,0)+1,FALSE)</f>
        <v>PremiumS</v>
      </c>
      <c r="I194" s="10">
        <f ca="1">VLOOKUP($F194,OFFSET([1]characters!$A$2,0,0,COUNTA([1]characters!$A:$A),MATCH(I$1,[1]characters!$2:$2,0)-MATCH($F$1,[1]characters!$2:$2,0)+1),MATCH(I$1,[1]characters!$2:$2,0)-MATCH($F$1,[1]characters!$2:$2,0)+1,FALSE)</f>
        <v>4</v>
      </c>
      <c r="J194" s="10" t="str">
        <f ca="1">VLOOKUP($F194,OFFSET([1]characters!$A$2,0,0,COUNTA([1]characters!$A:$A),MATCH(J$1,[1]characters!$2:$2,0)-MATCH($F$1,[1]characters!$2:$2,0)+1),MATCH(J$1,[1]characters!$2:$2,0)-MATCH($F$1,[1]characters!$2:$2,0)+1,FALSE)</f>
        <v>red</v>
      </c>
      <c r="K194" s="10" t="str">
        <f ca="1">VLOOKUP($F194,OFFSET([1]characters!$A$2,0,0,COUNTA([1]characters!$A:$A),MATCH("タイプ",[1]characters!$1:$1,0)-MATCH($F$1,[1]characters!$2:$2,0)+2),MATCH("タイプ",[1]characters!$1:$1,0)-MATCH($F$1,[1]characters!$2:$2,0)+2,FALSE)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4" s="10" t="str">
        <f ca="1">VLOOKUP($F194,OFFSET([1]characters!$A$2,0,0,COUNTA([1]characters!$A:$A),MATCH($L$1,[1]characters!$1:$1,0)-MATCH($F$1,[1]characters!$2:$2,0)+2),MATCH($L$1,[1]characters!$1:$1,0)-MATCH($F$1,[1]characters!$2:$2,0)+2,FALSE)</f>
        <v>ゴッド</v>
      </c>
      <c r="M194" s="6">
        <v>1</v>
      </c>
      <c r="N194" s="40">
        <f ca="1">VLOOKUP(D194,gacha_133_base!A:B,2,FALSE)</f>
        <v>80</v>
      </c>
      <c r="O194" s="28">
        <v>0</v>
      </c>
      <c r="P194" s="28">
        <v>0</v>
      </c>
      <c r="Q194" s="28">
        <v>0</v>
      </c>
      <c r="R194" s="28">
        <v>0</v>
      </c>
      <c r="S194" s="28">
        <v>1</v>
      </c>
    </row>
    <row r="195" spans="1:19" ht="21" customHeight="1">
      <c r="A195" s="8" t="str">
        <f t="shared" si="12"/>
        <v>02301</v>
      </c>
      <c r="B195" s="2">
        <f t="shared" si="11"/>
        <v>135</v>
      </c>
      <c r="C195" s="10" t="str">
        <f t="shared" ca="1" si="9"/>
        <v>0PremiumS4</v>
      </c>
      <c r="D195" s="10" t="str">
        <f t="shared" ca="1" si="10"/>
        <v>0PremiumS4</v>
      </c>
      <c r="E195" s="6">
        <v>0</v>
      </c>
      <c r="F195" s="7">
        <v>230</v>
      </c>
      <c r="G195" s="10" t="str">
        <f ca="1">VLOOKUP($F195,OFFSET([1]characters!$A$2,0,0,COUNTA([1]characters!$A:$A),MATCH(G$1,[1]characters!$2:$2,0)-MATCH($F$1,[1]characters!$2:$2,0)+1),MATCH(G$1,[1]characters!$2:$2,0)-MATCH($F$1,[1]characters!$2:$2,0)+1,FALSE)</f>
        <v>毒銃 ヨルムンガンド</v>
      </c>
      <c r="H195" s="10" t="str">
        <f ca="1">VLOOKUP($F195,OFFSET([1]characters!$A$2,0,0,COUNTA([1]characters!$A:$A),MATCH(H$1,[1]characters!$2:$2,0)-MATCH($F$1,[1]characters!$2:$2,0)+1),MATCH(H$1,[1]characters!$2:$2,0)-MATCH($F$1,[1]characters!$2:$2,0)+1,FALSE)</f>
        <v>PremiumS</v>
      </c>
      <c r="I195" s="10">
        <f ca="1">VLOOKUP($F195,OFFSET([1]characters!$A$2,0,0,COUNTA([1]characters!$A:$A),MATCH(I$1,[1]characters!$2:$2,0)-MATCH($F$1,[1]characters!$2:$2,0)+1),MATCH(I$1,[1]characters!$2:$2,0)-MATCH($F$1,[1]characters!$2:$2,0)+1,FALSE)</f>
        <v>4</v>
      </c>
      <c r="J195" s="10" t="str">
        <f ca="1">VLOOKUP($F195,OFFSET([1]characters!$A$2,0,0,COUNTA([1]characters!$A:$A),MATCH(J$1,[1]characters!$2:$2,0)-MATCH($F$1,[1]characters!$2:$2,0)+1),MATCH(J$1,[1]characters!$2:$2,0)-MATCH($F$1,[1]characters!$2:$2,0)+1,FALSE)</f>
        <v>green</v>
      </c>
      <c r="K195" s="10" t="str">
        <f ca="1">VLOOKUP($F195,OFFSET([1]characters!$A$2,0,0,COUNTA([1]characters!$A:$A),MATCH("タイプ",[1]characters!$1:$1,0)-MATCH($F$1,[1]characters!$2:$2,0)+2),MATCH("タイプ",[1]characters!$1:$1,0)-MATCH($F$1,[1]characters!$2:$2,0)+2,FALSE)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95" s="10" t="str">
        <f ca="1">VLOOKUP($F195,OFFSET([1]characters!$A$2,0,0,COUNTA([1]characters!$A:$A),MATCH($L$1,[1]characters!$1:$1,0)-MATCH($F$1,[1]characters!$2:$2,0)+2),MATCH($L$1,[1]characters!$1:$1,0)-MATCH($F$1,[1]characters!$2:$2,0)+2,FALSE)</f>
        <v>ドラゴン</v>
      </c>
      <c r="M195" s="6">
        <v>1</v>
      </c>
      <c r="N195" s="40">
        <f ca="1">VLOOKUP(D195,gacha_133_base!A:B,2,FALSE)</f>
        <v>80</v>
      </c>
      <c r="O195" s="28">
        <v>0</v>
      </c>
      <c r="P195" s="28">
        <v>0</v>
      </c>
      <c r="Q195" s="28">
        <v>0</v>
      </c>
      <c r="R195" s="28">
        <v>0</v>
      </c>
      <c r="S195" s="28">
        <v>1</v>
      </c>
    </row>
    <row r="196" spans="1:19" ht="21" customHeight="1">
      <c r="A196" s="8" t="str">
        <f t="shared" si="12"/>
        <v>02331</v>
      </c>
      <c r="B196" s="2">
        <f t="shared" si="11"/>
        <v>135</v>
      </c>
      <c r="C196" s="10" t="str">
        <f t="shared" ca="1" si="9"/>
        <v>0PremiumS4</v>
      </c>
      <c r="D196" s="10" t="str">
        <f t="shared" ca="1" si="10"/>
        <v>0PremiumS4</v>
      </c>
      <c r="E196" s="6">
        <v>0</v>
      </c>
      <c r="F196" s="7">
        <v>233</v>
      </c>
      <c r="G196" s="10" t="str">
        <f ca="1">VLOOKUP($F196,OFFSET([1]characters!$A$2,0,0,COUNTA([1]characters!$A:$A),MATCH(G$1,[1]characters!$2:$2,0)-MATCH($F$1,[1]characters!$2:$2,0)+1),MATCH(G$1,[1]characters!$2:$2,0)-MATCH($F$1,[1]characters!$2:$2,0)+1,FALSE)</f>
        <v>遂行 パーシヴァル</v>
      </c>
      <c r="H196" s="10" t="str">
        <f ca="1">VLOOKUP($F196,OFFSET([1]characters!$A$2,0,0,COUNTA([1]characters!$A:$A),MATCH(H$1,[1]characters!$2:$2,0)-MATCH($F$1,[1]characters!$2:$2,0)+1),MATCH(H$1,[1]characters!$2:$2,0)-MATCH($F$1,[1]characters!$2:$2,0)+1,FALSE)</f>
        <v>PremiumS</v>
      </c>
      <c r="I196" s="10">
        <f ca="1">VLOOKUP($F196,OFFSET([1]characters!$A$2,0,0,COUNTA([1]characters!$A:$A),MATCH(I$1,[1]characters!$2:$2,0)-MATCH($F$1,[1]characters!$2:$2,0)+1),MATCH(I$1,[1]characters!$2:$2,0)-MATCH($F$1,[1]characters!$2:$2,0)+1,FALSE)</f>
        <v>4</v>
      </c>
      <c r="J196" s="10" t="str">
        <f ca="1">VLOOKUP($F196,OFFSET([1]characters!$A$2,0,0,COUNTA([1]characters!$A:$A),MATCH(J$1,[1]characters!$2:$2,0)-MATCH($F$1,[1]characters!$2:$2,0)+1),MATCH(J$1,[1]characters!$2:$2,0)-MATCH($F$1,[1]characters!$2:$2,0)+1,FALSE)</f>
        <v>blue</v>
      </c>
      <c r="K196" s="10" t="str">
        <f ca="1">VLOOKUP($F196,OFFSET([1]characters!$A$2,0,0,COUNTA([1]characters!$A:$A),MATCH("タイプ",[1]characters!$1:$1,0)-MATCH($F$1,[1]characters!$2:$2,0)+2),MATCH("タイプ",[1]characters!$1:$1,0)-MATCH($F$1,[1]characters!$2:$2,0)+2,FALSE)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96" s="10" t="str">
        <f ca="1">VLOOKUP($F196,OFFSET([1]characters!$A$2,0,0,COUNTA([1]characters!$A:$A),MATCH($L$1,[1]characters!$1:$1,0)-MATCH($F$1,[1]characters!$2:$2,0)+2),MATCH($L$1,[1]characters!$1:$1,0)-MATCH($F$1,[1]characters!$2:$2,0)+2,FALSE)</f>
        <v>ヒューマン</v>
      </c>
      <c r="M196" s="6">
        <v>1</v>
      </c>
      <c r="N196" s="40">
        <f ca="1">VLOOKUP(D196,gacha_133_base!A:B,2,FALSE)</f>
        <v>80</v>
      </c>
      <c r="O196" s="28">
        <v>0</v>
      </c>
      <c r="P196" s="28">
        <v>0</v>
      </c>
      <c r="Q196" s="28">
        <v>0</v>
      </c>
      <c r="R196" s="28">
        <v>0</v>
      </c>
      <c r="S196" s="28">
        <v>1</v>
      </c>
    </row>
    <row r="197" spans="1:19" ht="21" customHeight="1">
      <c r="A197" s="8" t="str">
        <f t="shared" si="12"/>
        <v>02361</v>
      </c>
      <c r="B197" s="2">
        <f t="shared" si="11"/>
        <v>135</v>
      </c>
      <c r="C197" s="10" t="str">
        <f t="shared" ca="1" si="9"/>
        <v>0PremiumS4</v>
      </c>
      <c r="D197" s="10" t="str">
        <f t="shared" ca="1" si="10"/>
        <v>0PremiumS4</v>
      </c>
      <c r="E197" s="6">
        <v>0</v>
      </c>
      <c r="F197" s="7">
        <v>236</v>
      </c>
      <c r="G197" s="10" t="str">
        <f ca="1">VLOOKUP($F197,OFFSET([1]characters!$A$2,0,0,COUNTA([1]characters!$A:$A),MATCH(G$1,[1]characters!$2:$2,0)-MATCH($F$1,[1]characters!$2:$2,0)+1),MATCH(G$1,[1]characters!$2:$2,0)-MATCH($F$1,[1]characters!$2:$2,0)+1,FALSE)</f>
        <v>神産 イザナミ</v>
      </c>
      <c r="H197" s="10" t="str">
        <f ca="1">VLOOKUP($F197,OFFSET([1]characters!$A$2,0,0,COUNTA([1]characters!$A:$A),MATCH(H$1,[1]characters!$2:$2,0)-MATCH($F$1,[1]characters!$2:$2,0)+1),MATCH(H$1,[1]characters!$2:$2,0)-MATCH($F$1,[1]characters!$2:$2,0)+1,FALSE)</f>
        <v>PremiumS</v>
      </c>
      <c r="I197" s="10">
        <f ca="1">VLOOKUP($F197,OFFSET([1]characters!$A$2,0,0,COUNTA([1]characters!$A:$A),MATCH(I$1,[1]characters!$2:$2,0)-MATCH($F$1,[1]characters!$2:$2,0)+1),MATCH(I$1,[1]characters!$2:$2,0)-MATCH($F$1,[1]characters!$2:$2,0)+1,FALSE)</f>
        <v>4</v>
      </c>
      <c r="J197" s="10" t="str">
        <f ca="1">VLOOKUP($F197,OFFSET([1]characters!$A$2,0,0,COUNTA([1]characters!$A:$A),MATCH(J$1,[1]characters!$2:$2,0)-MATCH($F$1,[1]characters!$2:$2,0)+1),MATCH(J$1,[1]characters!$2:$2,0)-MATCH($F$1,[1]characters!$2:$2,0)+1,FALSE)</f>
        <v>yellow</v>
      </c>
      <c r="K197" s="10" t="str">
        <f ca="1">VLOOKUP($F197,OFFSET([1]characters!$A$2,0,0,COUNTA([1]characters!$A:$A),MATCH("タイプ",[1]characters!$1:$1,0)-MATCH($F$1,[1]characters!$2:$2,0)+2),MATCH("タイプ",[1]characters!$1:$1,0)-MATCH($F$1,[1]characters!$2:$2,0)+2,FALSE)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7" s="10" t="str">
        <f ca="1">VLOOKUP($F197,OFFSET([1]characters!$A$2,0,0,COUNTA([1]characters!$A:$A),MATCH($L$1,[1]characters!$1:$1,0)-MATCH($F$1,[1]characters!$2:$2,0)+2),MATCH($L$1,[1]characters!$1:$1,0)-MATCH($F$1,[1]characters!$2:$2,0)+2,FALSE)</f>
        <v>ゴッド</v>
      </c>
      <c r="M197" s="6">
        <v>1</v>
      </c>
      <c r="N197" s="40">
        <f ca="1">VLOOKUP(D197,gacha_133_base!A:B,2,FALSE)</f>
        <v>80</v>
      </c>
      <c r="O197" s="28">
        <v>0</v>
      </c>
      <c r="P197" s="28">
        <v>0</v>
      </c>
      <c r="Q197" s="28">
        <v>0</v>
      </c>
      <c r="R197" s="28">
        <v>0</v>
      </c>
      <c r="S197" s="28">
        <v>1</v>
      </c>
    </row>
    <row r="198" spans="1:19" ht="21" customHeight="1">
      <c r="A198" s="8" t="str">
        <f t="shared" si="12"/>
        <v>01681</v>
      </c>
      <c r="B198" s="2">
        <f t="shared" si="11"/>
        <v>135</v>
      </c>
      <c r="C198" s="10" t="str">
        <f t="shared" ca="1" si="9"/>
        <v>0PremiumN5</v>
      </c>
      <c r="D198" s="10" t="str">
        <f t="shared" ca="1" si="10"/>
        <v>0PremiumN5</v>
      </c>
      <c r="E198" s="6">
        <v>0</v>
      </c>
      <c r="F198" s="7">
        <v>168</v>
      </c>
      <c r="G198" s="10" t="str">
        <f ca="1">VLOOKUP($F198,OFFSET([1]characters!$A$2,0,0,COUNTA([1]characters!$A:$A),MATCH(G$1,[1]characters!$2:$2,0)-MATCH($F$1,[1]characters!$2:$2,0)+1),MATCH(G$1,[1]characters!$2:$2,0)-MATCH($F$1,[1]characters!$2:$2,0)+1,FALSE)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198" s="10" t="str">
        <f ca="1">VLOOKUP($F198,OFFSET([1]characters!$A$2,0,0,COUNTA([1]characters!$A:$A),MATCH(H$1,[1]characters!$2:$2,0)-MATCH($F$1,[1]characters!$2:$2,0)+1),MATCH(H$1,[1]characters!$2:$2,0)-MATCH($F$1,[1]characters!$2:$2,0)+1,FALSE)</f>
        <v>PremiumN</v>
      </c>
      <c r="I198" s="10">
        <f ca="1">VLOOKUP($F198,OFFSET([1]characters!$A$2,0,0,COUNTA([1]characters!$A:$A),MATCH(I$1,[1]characters!$2:$2,0)-MATCH($F$1,[1]characters!$2:$2,0)+1),MATCH(I$1,[1]characters!$2:$2,0)-MATCH($F$1,[1]characters!$2:$2,0)+1,FALSE)</f>
        <v>5</v>
      </c>
      <c r="J198" s="10" t="str">
        <f ca="1">VLOOKUP($F198,OFFSET([1]characters!$A$2,0,0,COUNTA([1]characters!$A:$A),MATCH(J$1,[1]characters!$2:$2,0)-MATCH($F$1,[1]characters!$2:$2,0)+1),MATCH(J$1,[1]characters!$2:$2,0)-MATCH($F$1,[1]characters!$2:$2,0)+1,FALSE)</f>
        <v>red</v>
      </c>
      <c r="K198" s="10" t="str">
        <f ca="1">VLOOKUP($F198,OFFSET([1]characters!$A$2,0,0,COUNTA([1]characters!$A:$A),MATCH("タイプ",[1]characters!$1:$1,0)-MATCH($F$1,[1]characters!$2:$2,0)+2),MATCH("タイプ",[1]characters!$1:$1,0)-MATCH($F$1,[1]characters!$2:$2,0)+2,FALSE)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8" s="10" t="str">
        <f ca="1">VLOOKUP($F198,OFFSET([1]characters!$A$2,0,0,COUNTA([1]characters!$A:$A),MATCH($L$1,[1]characters!$1:$1,0)-MATCH($F$1,[1]characters!$2:$2,0)+2),MATCH($L$1,[1]characters!$1:$1,0)-MATCH($F$1,[1]characters!$2:$2,0)+2,FALSE)</f>
        <v>ゴッド</v>
      </c>
      <c r="M198" s="6">
        <v>1</v>
      </c>
      <c r="N198" s="40">
        <f ca="1">VLOOKUP(D198,gacha_133_base!A:B,2,FALSE)</f>
        <v>247</v>
      </c>
      <c r="O198" s="28">
        <v>0</v>
      </c>
      <c r="P198" s="28">
        <v>0</v>
      </c>
      <c r="Q198" s="28">
        <v>0</v>
      </c>
      <c r="R198" s="28">
        <v>0</v>
      </c>
      <c r="S198" s="28">
        <v>1</v>
      </c>
    </row>
    <row r="199" spans="1:19" ht="21" customHeight="1">
      <c r="A199" s="8" t="str">
        <f t="shared" si="12"/>
        <v>01711</v>
      </c>
      <c r="B199" s="2">
        <f t="shared" si="11"/>
        <v>135</v>
      </c>
      <c r="C199" s="10" t="str">
        <f t="shared" ca="1" si="9"/>
        <v>0PremiumN5</v>
      </c>
      <c r="D199" s="10" t="str">
        <f t="shared" ca="1" si="10"/>
        <v>0PremiumN5</v>
      </c>
      <c r="E199" s="6">
        <v>0</v>
      </c>
      <c r="F199" s="7">
        <v>171</v>
      </c>
      <c r="G199" s="10" t="str">
        <f ca="1">VLOOKUP($F199,OFFSET([1]characters!$A$2,0,0,COUNTA([1]characters!$A:$A),MATCH(G$1,[1]characters!$2:$2,0)-MATCH($F$1,[1]characters!$2:$2,0)+1),MATCH(G$1,[1]characters!$2:$2,0)-MATCH($F$1,[1]characters!$2:$2,0)+1,FALSE)</f>
        <v>精解の預知者 オセ</v>
      </c>
      <c r="H199" s="10" t="str">
        <f ca="1">VLOOKUP($F199,OFFSET([1]characters!$A$2,0,0,COUNTA([1]characters!$A:$A),MATCH(H$1,[1]characters!$2:$2,0)-MATCH($F$1,[1]characters!$2:$2,0)+1),MATCH(H$1,[1]characters!$2:$2,0)-MATCH($F$1,[1]characters!$2:$2,0)+1,FALSE)</f>
        <v>PremiumN</v>
      </c>
      <c r="I199" s="10">
        <f ca="1">VLOOKUP($F199,OFFSET([1]characters!$A$2,0,0,COUNTA([1]characters!$A:$A),MATCH(I$1,[1]characters!$2:$2,0)-MATCH($F$1,[1]characters!$2:$2,0)+1),MATCH(I$1,[1]characters!$2:$2,0)-MATCH($F$1,[1]characters!$2:$2,0)+1,FALSE)</f>
        <v>5</v>
      </c>
      <c r="J199" s="10" t="str">
        <f ca="1">VLOOKUP($F199,OFFSET([1]characters!$A$2,0,0,COUNTA([1]characters!$A:$A),MATCH(J$1,[1]characters!$2:$2,0)-MATCH($F$1,[1]characters!$2:$2,0)+1),MATCH(J$1,[1]characters!$2:$2,0)-MATCH($F$1,[1]characters!$2:$2,0)+1,FALSE)</f>
        <v>green</v>
      </c>
      <c r="K199" s="10" t="str">
        <f ca="1">VLOOKUP($F199,OFFSET([1]characters!$A$2,0,0,COUNTA([1]characters!$A:$A),MATCH("タイプ",[1]characters!$1:$1,0)-MATCH($F$1,[1]characters!$2:$2,0)+2),MATCH("タイプ",[1]characters!$1:$1,0)-MATCH($F$1,[1]characters!$2:$2,0)+2,FALSE)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9" s="10" t="str">
        <f ca="1">VLOOKUP($F199,OFFSET([1]characters!$A$2,0,0,COUNTA([1]characters!$A:$A),MATCH($L$1,[1]characters!$1:$1,0)-MATCH($F$1,[1]characters!$2:$2,0)+2),MATCH($L$1,[1]characters!$1:$1,0)-MATCH($F$1,[1]characters!$2:$2,0)+2,FALSE)</f>
        <v>ゴッド</v>
      </c>
      <c r="M199" s="6">
        <v>1</v>
      </c>
      <c r="N199" s="40">
        <f ca="1">VLOOKUP(D199,gacha_133_base!A:B,2,FALSE)</f>
        <v>247</v>
      </c>
      <c r="O199" s="28">
        <v>0</v>
      </c>
      <c r="P199" s="28">
        <v>0</v>
      </c>
      <c r="Q199" s="28">
        <v>0</v>
      </c>
      <c r="R199" s="28">
        <v>0</v>
      </c>
      <c r="S199" s="28">
        <v>1</v>
      </c>
    </row>
    <row r="200" spans="1:19" ht="21" customHeight="1">
      <c r="A200" s="8" t="str">
        <f t="shared" si="12"/>
        <v>01741</v>
      </c>
      <c r="B200" s="2">
        <f t="shared" si="11"/>
        <v>135</v>
      </c>
      <c r="C200" s="10" t="str">
        <f t="shared" ca="1" si="9"/>
        <v>0PremiumN5</v>
      </c>
      <c r="D200" s="10" t="str">
        <f t="shared" ca="1" si="10"/>
        <v>0PremiumN5</v>
      </c>
      <c r="E200" s="6">
        <v>0</v>
      </c>
      <c r="F200" s="7">
        <v>174</v>
      </c>
      <c r="G200" s="10" t="str">
        <f ca="1">VLOOKUP($F200,OFFSET([1]characters!$A$2,0,0,COUNTA([1]characters!$A:$A),MATCH(G$1,[1]characters!$2:$2,0)-MATCH($F$1,[1]characters!$2:$2,0)+1),MATCH(G$1,[1]characters!$2:$2,0)-MATCH($F$1,[1]characters!$2:$2,0)+1,FALSE)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200" s="10" t="str">
        <f ca="1">VLOOKUP($F200,OFFSET([1]characters!$A$2,0,0,COUNTA([1]characters!$A:$A),MATCH(H$1,[1]characters!$2:$2,0)-MATCH($F$1,[1]characters!$2:$2,0)+1),MATCH(H$1,[1]characters!$2:$2,0)-MATCH($F$1,[1]characters!$2:$2,0)+1,FALSE)</f>
        <v>PremiumN</v>
      </c>
      <c r="I200" s="10">
        <f ca="1">VLOOKUP($F200,OFFSET([1]characters!$A$2,0,0,COUNTA([1]characters!$A:$A),MATCH(I$1,[1]characters!$2:$2,0)-MATCH($F$1,[1]characters!$2:$2,0)+1),MATCH(I$1,[1]characters!$2:$2,0)-MATCH($F$1,[1]characters!$2:$2,0)+1,FALSE)</f>
        <v>5</v>
      </c>
      <c r="J200" s="10" t="str">
        <f ca="1">VLOOKUP($F200,OFFSET([1]characters!$A$2,0,0,COUNTA([1]characters!$A:$A),MATCH(J$1,[1]characters!$2:$2,0)-MATCH($F$1,[1]characters!$2:$2,0)+1),MATCH(J$1,[1]characters!$2:$2,0)-MATCH($F$1,[1]characters!$2:$2,0)+1,FALSE)</f>
        <v>blue</v>
      </c>
      <c r="K200" s="10" t="str">
        <f ca="1">VLOOKUP($F200,OFFSET([1]characters!$A$2,0,0,COUNTA([1]characters!$A:$A),MATCH("タイプ",[1]characters!$1:$1,0)-MATCH($F$1,[1]characters!$2:$2,0)+2),MATCH("タイプ",[1]characters!$1:$1,0)-MATCH($F$1,[1]characters!$2:$2,0)+2,FALSE)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0" s="10" t="str">
        <f ca="1">VLOOKUP($F200,OFFSET([1]characters!$A$2,0,0,COUNTA([1]characters!$A:$A),MATCH($L$1,[1]characters!$1:$1,0)-MATCH($F$1,[1]characters!$2:$2,0)+2),MATCH($L$1,[1]characters!$1:$1,0)-MATCH($F$1,[1]characters!$2:$2,0)+2,FALSE)</f>
        <v>ゴッド</v>
      </c>
      <c r="M200" s="6">
        <v>1</v>
      </c>
      <c r="N200" s="40">
        <f ca="1">VLOOKUP(D200,gacha_133_base!A:B,2,FALSE)</f>
        <v>247</v>
      </c>
      <c r="O200" s="28">
        <v>0</v>
      </c>
      <c r="P200" s="28">
        <v>0</v>
      </c>
      <c r="Q200" s="28">
        <v>0</v>
      </c>
      <c r="R200" s="28">
        <v>0</v>
      </c>
      <c r="S200" s="28">
        <v>1</v>
      </c>
    </row>
    <row r="201" spans="1:19" ht="21" customHeight="1">
      <c r="A201" s="8" t="str">
        <f t="shared" si="12"/>
        <v>01771</v>
      </c>
      <c r="B201" s="2">
        <f t="shared" si="11"/>
        <v>135</v>
      </c>
      <c r="C201" s="10" t="str">
        <f t="shared" ca="1" si="9"/>
        <v>0PremiumN5</v>
      </c>
      <c r="D201" s="10" t="str">
        <f t="shared" ca="1" si="10"/>
        <v>0PremiumN5</v>
      </c>
      <c r="E201" s="6">
        <v>0</v>
      </c>
      <c r="F201" s="7">
        <v>177</v>
      </c>
      <c r="G201" s="10" t="str">
        <f ca="1">VLOOKUP($F201,OFFSET([1]characters!$A$2,0,0,COUNTA([1]characters!$A:$A),MATCH(G$1,[1]characters!$2:$2,0)-MATCH($F$1,[1]characters!$2:$2,0)+1),MATCH(G$1,[1]characters!$2:$2,0)-MATCH($F$1,[1]characters!$2:$2,0)+1,FALSE)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201" s="10" t="str">
        <f ca="1">VLOOKUP($F201,OFFSET([1]characters!$A$2,0,0,COUNTA([1]characters!$A:$A),MATCH(H$1,[1]characters!$2:$2,0)-MATCH($F$1,[1]characters!$2:$2,0)+1),MATCH(H$1,[1]characters!$2:$2,0)-MATCH($F$1,[1]characters!$2:$2,0)+1,FALSE)</f>
        <v>PremiumN</v>
      </c>
      <c r="I201" s="10">
        <f ca="1">VLOOKUP($F201,OFFSET([1]characters!$A$2,0,0,COUNTA([1]characters!$A:$A),MATCH(I$1,[1]characters!$2:$2,0)-MATCH($F$1,[1]characters!$2:$2,0)+1),MATCH(I$1,[1]characters!$2:$2,0)-MATCH($F$1,[1]characters!$2:$2,0)+1,FALSE)</f>
        <v>5</v>
      </c>
      <c r="J201" s="10" t="str">
        <f ca="1">VLOOKUP($F201,OFFSET([1]characters!$A$2,0,0,COUNTA([1]characters!$A:$A),MATCH(J$1,[1]characters!$2:$2,0)-MATCH($F$1,[1]characters!$2:$2,0)+1),MATCH(J$1,[1]characters!$2:$2,0)-MATCH($F$1,[1]characters!$2:$2,0)+1,FALSE)</f>
        <v>yellow</v>
      </c>
      <c r="K201" s="10" t="str">
        <f ca="1">VLOOKUP($F201,OFFSET([1]characters!$A$2,0,0,COUNTA([1]characters!$A:$A),MATCH("タイプ",[1]characters!$1:$1,0)-MATCH($F$1,[1]characters!$2:$2,0)+2),MATCH("タイプ",[1]characters!$1:$1,0)-MATCH($F$1,[1]characters!$2:$2,0)+2,FALSE)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1" s="10" t="str">
        <f ca="1">VLOOKUP($F201,OFFSET([1]characters!$A$2,0,0,COUNTA([1]characters!$A:$A),MATCH($L$1,[1]characters!$1:$1,0)-MATCH($F$1,[1]characters!$2:$2,0)+2),MATCH($L$1,[1]characters!$1:$1,0)-MATCH($F$1,[1]characters!$2:$2,0)+2,FALSE)</f>
        <v>ゴッド</v>
      </c>
      <c r="M201" s="6">
        <v>1</v>
      </c>
      <c r="N201" s="40">
        <f ca="1">VLOOKUP(D201,gacha_133_base!A:B,2,FALSE)</f>
        <v>247</v>
      </c>
      <c r="O201" s="28">
        <v>0</v>
      </c>
      <c r="P201" s="28">
        <v>0</v>
      </c>
      <c r="Q201" s="28">
        <v>0</v>
      </c>
      <c r="R201" s="28">
        <v>0</v>
      </c>
      <c r="S201" s="28">
        <v>1</v>
      </c>
    </row>
    <row r="202" spans="1:19" ht="21" customHeight="1">
      <c r="A202" s="8" t="str">
        <f t="shared" si="12"/>
        <v>01801</v>
      </c>
      <c r="B202" s="2">
        <f t="shared" si="11"/>
        <v>135</v>
      </c>
      <c r="C202" s="10" t="str">
        <f t="shared" ca="1" si="9"/>
        <v>0PremiumN5</v>
      </c>
      <c r="D202" s="10" t="str">
        <f t="shared" ca="1" si="10"/>
        <v>0PremiumN5</v>
      </c>
      <c r="E202" s="6">
        <v>0</v>
      </c>
      <c r="F202" s="7">
        <v>180</v>
      </c>
      <c r="G202" s="10" t="str">
        <f ca="1">VLOOKUP($F202,OFFSET([1]characters!$A$2,0,0,COUNTA([1]characters!$A:$A),MATCH(G$1,[1]characters!$2:$2,0)-MATCH($F$1,[1]characters!$2:$2,0)+1),MATCH(G$1,[1]characters!$2:$2,0)-MATCH($F$1,[1]characters!$2:$2,0)+1,FALSE)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202" s="10" t="str">
        <f ca="1">VLOOKUP($F202,OFFSET([1]characters!$A$2,0,0,COUNTA([1]characters!$A:$A),MATCH(H$1,[1]characters!$2:$2,0)-MATCH($F$1,[1]characters!$2:$2,0)+1),MATCH(H$1,[1]characters!$2:$2,0)-MATCH($F$1,[1]characters!$2:$2,0)+1,FALSE)</f>
        <v>PremiumN</v>
      </c>
      <c r="I202" s="10">
        <f ca="1">VLOOKUP($F202,OFFSET([1]characters!$A$2,0,0,COUNTA([1]characters!$A:$A),MATCH(I$1,[1]characters!$2:$2,0)-MATCH($F$1,[1]characters!$2:$2,0)+1),MATCH(I$1,[1]characters!$2:$2,0)-MATCH($F$1,[1]characters!$2:$2,0)+1,FALSE)</f>
        <v>5</v>
      </c>
      <c r="J202" s="10" t="str">
        <f ca="1">VLOOKUP($F202,OFFSET([1]characters!$A$2,0,0,COUNTA([1]characters!$A:$A),MATCH(J$1,[1]characters!$2:$2,0)-MATCH($F$1,[1]characters!$2:$2,0)+1),MATCH(J$1,[1]characters!$2:$2,0)-MATCH($F$1,[1]characters!$2:$2,0)+1,FALSE)</f>
        <v>red</v>
      </c>
      <c r="K202" s="10" t="str">
        <f ca="1">VLOOKUP($F202,OFFSET([1]characters!$A$2,0,0,COUNTA([1]characters!$A:$A),MATCH("タイプ",[1]characters!$1:$1,0)-MATCH($F$1,[1]characters!$2:$2,0)+2),MATCH("タイプ",[1]characters!$1:$1,0)-MATCH($F$1,[1]characters!$2:$2,0)+2,FALSE)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2" s="10" t="str">
        <f ca="1">VLOOKUP($F202,OFFSET([1]characters!$A$2,0,0,COUNTA([1]characters!$A:$A),MATCH($L$1,[1]characters!$1:$1,0)-MATCH($F$1,[1]characters!$2:$2,0)+2),MATCH($L$1,[1]characters!$1:$1,0)-MATCH($F$1,[1]characters!$2:$2,0)+2,FALSE)</f>
        <v>アニマル</v>
      </c>
      <c r="M202" s="6">
        <v>1</v>
      </c>
      <c r="N202" s="40">
        <f ca="1">VLOOKUP(D202,gacha_133_base!A:B,2,FALSE)</f>
        <v>247</v>
      </c>
      <c r="O202" s="28">
        <v>0</v>
      </c>
      <c r="P202" s="28">
        <v>0</v>
      </c>
      <c r="Q202" s="28">
        <v>0</v>
      </c>
      <c r="R202" s="28">
        <v>0</v>
      </c>
      <c r="S202" s="28">
        <v>1</v>
      </c>
    </row>
    <row r="203" spans="1:19" ht="21" customHeight="1">
      <c r="A203" s="8" t="str">
        <f t="shared" si="12"/>
        <v>01831</v>
      </c>
      <c r="B203" s="2">
        <f t="shared" si="11"/>
        <v>135</v>
      </c>
      <c r="C203" s="10" t="str">
        <f t="shared" ref="C203:C266" ca="1" si="13">E203&amp;H203&amp;I203</f>
        <v>0PremiumN5</v>
      </c>
      <c r="D203" s="10" t="str">
        <f t="shared" ref="D203:D263" ca="1" si="14">E203&amp;H203&amp;I203</f>
        <v>0PremiumN5</v>
      </c>
      <c r="E203" s="6">
        <v>0</v>
      </c>
      <c r="F203" s="7">
        <v>183</v>
      </c>
      <c r="G203" s="10" t="str">
        <f ca="1">VLOOKUP($F203,OFFSET([1]characters!$A$2,0,0,COUNTA([1]characters!$A:$A),MATCH(G$1,[1]characters!$2:$2,0)-MATCH($F$1,[1]characters!$2:$2,0)+1),MATCH(G$1,[1]characters!$2:$2,0)-MATCH($F$1,[1]characters!$2:$2,0)+1,FALSE)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203" s="10" t="str">
        <f ca="1">VLOOKUP($F203,OFFSET([1]characters!$A$2,0,0,COUNTA([1]characters!$A:$A),MATCH(H$1,[1]characters!$2:$2,0)-MATCH($F$1,[1]characters!$2:$2,0)+1),MATCH(H$1,[1]characters!$2:$2,0)-MATCH($F$1,[1]characters!$2:$2,0)+1,FALSE)</f>
        <v>PremiumN</v>
      </c>
      <c r="I203" s="10">
        <f ca="1">VLOOKUP($F203,OFFSET([1]characters!$A$2,0,0,COUNTA([1]characters!$A:$A),MATCH(I$1,[1]characters!$2:$2,0)-MATCH($F$1,[1]characters!$2:$2,0)+1),MATCH(I$1,[1]characters!$2:$2,0)-MATCH($F$1,[1]characters!$2:$2,0)+1,FALSE)</f>
        <v>5</v>
      </c>
      <c r="J203" s="10" t="str">
        <f ca="1">VLOOKUP($F203,OFFSET([1]characters!$A$2,0,0,COUNTA([1]characters!$A:$A),MATCH(J$1,[1]characters!$2:$2,0)-MATCH($F$1,[1]characters!$2:$2,0)+1),MATCH(J$1,[1]characters!$2:$2,0)-MATCH($F$1,[1]characters!$2:$2,0)+1,FALSE)</f>
        <v>green</v>
      </c>
      <c r="K203" s="10" t="str">
        <f ca="1">VLOOKUP($F203,OFFSET([1]characters!$A$2,0,0,COUNTA([1]characters!$A:$A),MATCH("タイプ",[1]characters!$1:$1,0)-MATCH($F$1,[1]characters!$2:$2,0)+2),MATCH("タイプ",[1]characters!$1:$1,0)-MATCH($F$1,[1]characters!$2:$2,0)+2,FALSE)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3" s="10" t="str">
        <f ca="1">VLOOKUP($F203,OFFSET([1]characters!$A$2,0,0,COUNTA([1]characters!$A:$A),MATCH($L$1,[1]characters!$1:$1,0)-MATCH($F$1,[1]characters!$2:$2,0)+2),MATCH($L$1,[1]characters!$1:$1,0)-MATCH($F$1,[1]characters!$2:$2,0)+2,FALSE)</f>
        <v>アニマル</v>
      </c>
      <c r="M203" s="6">
        <v>1</v>
      </c>
      <c r="N203" s="40">
        <f ca="1">VLOOKUP(D203,gacha_133_base!A:B,2,FALSE)</f>
        <v>247</v>
      </c>
      <c r="O203" s="28">
        <v>0</v>
      </c>
      <c r="P203" s="28">
        <v>0</v>
      </c>
      <c r="Q203" s="28">
        <v>0</v>
      </c>
      <c r="R203" s="28">
        <v>0</v>
      </c>
      <c r="S203" s="28">
        <v>1</v>
      </c>
    </row>
    <row r="204" spans="1:19" ht="21" customHeight="1">
      <c r="A204" s="8" t="str">
        <f t="shared" si="12"/>
        <v>01861</v>
      </c>
      <c r="B204" s="2">
        <f t="shared" ref="B204:B267" si="15">$B$2</f>
        <v>135</v>
      </c>
      <c r="C204" s="10" t="str">
        <f t="shared" ca="1" si="13"/>
        <v>0PremiumN5</v>
      </c>
      <c r="D204" s="10" t="str">
        <f t="shared" ca="1" si="14"/>
        <v>0PremiumN5</v>
      </c>
      <c r="E204" s="6">
        <v>0</v>
      </c>
      <c r="F204" s="7">
        <v>186</v>
      </c>
      <c r="G204" s="10" t="str">
        <f ca="1">VLOOKUP($F204,OFFSET([1]characters!$A$2,0,0,COUNTA([1]characters!$A:$A),MATCH(G$1,[1]characters!$2:$2,0)-MATCH($F$1,[1]characters!$2:$2,0)+1),MATCH(G$1,[1]characters!$2:$2,0)-MATCH($F$1,[1]characters!$2:$2,0)+1,FALSE)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204" s="10" t="str">
        <f ca="1">VLOOKUP($F204,OFFSET([1]characters!$A$2,0,0,COUNTA([1]characters!$A:$A),MATCH(H$1,[1]characters!$2:$2,0)-MATCH($F$1,[1]characters!$2:$2,0)+1),MATCH(H$1,[1]characters!$2:$2,0)-MATCH($F$1,[1]characters!$2:$2,0)+1,FALSE)</f>
        <v>PremiumN</v>
      </c>
      <c r="I204" s="10">
        <f ca="1">VLOOKUP($F204,OFFSET([1]characters!$A$2,0,0,COUNTA([1]characters!$A:$A),MATCH(I$1,[1]characters!$2:$2,0)-MATCH($F$1,[1]characters!$2:$2,0)+1),MATCH(I$1,[1]characters!$2:$2,0)-MATCH($F$1,[1]characters!$2:$2,0)+1,FALSE)</f>
        <v>5</v>
      </c>
      <c r="J204" s="10" t="str">
        <f ca="1">VLOOKUP($F204,OFFSET([1]characters!$A$2,0,0,COUNTA([1]characters!$A:$A),MATCH(J$1,[1]characters!$2:$2,0)-MATCH($F$1,[1]characters!$2:$2,0)+1),MATCH(J$1,[1]characters!$2:$2,0)-MATCH($F$1,[1]characters!$2:$2,0)+1,FALSE)</f>
        <v>blue</v>
      </c>
      <c r="K204" s="10" t="str">
        <f ca="1">VLOOKUP($F204,OFFSET([1]characters!$A$2,0,0,COUNTA([1]characters!$A:$A),MATCH("タイプ",[1]characters!$1:$1,0)-MATCH($F$1,[1]characters!$2:$2,0)+2),MATCH("タイプ",[1]characters!$1:$1,0)-MATCH($F$1,[1]characters!$2:$2,0)+2,FALSE)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04" s="10" t="str">
        <f ca="1">VLOOKUP($F204,OFFSET([1]characters!$A$2,0,0,COUNTA([1]characters!$A:$A),MATCH($L$1,[1]characters!$1:$1,0)-MATCH($F$1,[1]characters!$2:$2,0)+2),MATCH($L$1,[1]characters!$1:$1,0)-MATCH($F$1,[1]characters!$2:$2,0)+2,FALSE)</f>
        <v>アニマル</v>
      </c>
      <c r="M204" s="6">
        <v>1</v>
      </c>
      <c r="N204" s="40">
        <f ca="1">VLOOKUP(D204,gacha_133_base!A:B,2,FALSE)</f>
        <v>247</v>
      </c>
      <c r="O204" s="28">
        <v>0</v>
      </c>
      <c r="P204" s="28">
        <v>0</v>
      </c>
      <c r="Q204" s="28">
        <v>0</v>
      </c>
      <c r="R204" s="28">
        <v>0</v>
      </c>
      <c r="S204" s="28">
        <v>1</v>
      </c>
    </row>
    <row r="205" spans="1:19" ht="21" customHeight="1">
      <c r="A205" s="8" t="str">
        <f t="shared" si="12"/>
        <v>01891</v>
      </c>
      <c r="B205" s="2">
        <f t="shared" si="15"/>
        <v>135</v>
      </c>
      <c r="C205" s="10" t="str">
        <f t="shared" ca="1" si="13"/>
        <v>0PremiumN5</v>
      </c>
      <c r="D205" s="10" t="str">
        <f t="shared" ca="1" si="14"/>
        <v>0PremiumN5</v>
      </c>
      <c r="E205" s="6">
        <v>0</v>
      </c>
      <c r="F205" s="7">
        <v>189</v>
      </c>
      <c r="G205" s="10" t="str">
        <f ca="1">VLOOKUP($F205,OFFSET([1]characters!$A$2,0,0,COUNTA([1]characters!$A:$A),MATCH(G$1,[1]characters!$2:$2,0)-MATCH($F$1,[1]characters!$2:$2,0)+1),MATCH(G$1,[1]characters!$2:$2,0)-MATCH($F$1,[1]characters!$2:$2,0)+1,FALSE)</f>
        <v>迅雷の王禽 ホルス</v>
      </c>
      <c r="H205" s="10" t="str">
        <f ca="1">VLOOKUP($F205,OFFSET([1]characters!$A$2,0,0,COUNTA([1]characters!$A:$A),MATCH(H$1,[1]characters!$2:$2,0)-MATCH($F$1,[1]characters!$2:$2,0)+1),MATCH(H$1,[1]characters!$2:$2,0)-MATCH($F$1,[1]characters!$2:$2,0)+1,FALSE)</f>
        <v>PremiumN</v>
      </c>
      <c r="I205" s="10">
        <f ca="1">VLOOKUP($F205,OFFSET([1]characters!$A$2,0,0,COUNTA([1]characters!$A:$A),MATCH(I$1,[1]characters!$2:$2,0)-MATCH($F$1,[1]characters!$2:$2,0)+1),MATCH(I$1,[1]characters!$2:$2,0)-MATCH($F$1,[1]characters!$2:$2,0)+1,FALSE)</f>
        <v>5</v>
      </c>
      <c r="J205" s="10" t="str">
        <f ca="1">VLOOKUP($F205,OFFSET([1]characters!$A$2,0,0,COUNTA([1]characters!$A:$A),MATCH(J$1,[1]characters!$2:$2,0)-MATCH($F$1,[1]characters!$2:$2,0)+1),MATCH(J$1,[1]characters!$2:$2,0)-MATCH($F$1,[1]characters!$2:$2,0)+1,FALSE)</f>
        <v>yellow</v>
      </c>
      <c r="K205" s="10" t="str">
        <f ca="1">VLOOKUP($F205,OFFSET([1]characters!$A$2,0,0,COUNTA([1]characters!$A:$A),MATCH("タイプ",[1]characters!$1:$1,0)-MATCH($F$1,[1]characters!$2:$2,0)+2),MATCH("タイプ",[1]characters!$1:$1,0)-MATCH($F$1,[1]characters!$2:$2,0)+2,FALSE)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5" s="10" t="str">
        <f ca="1">VLOOKUP($F205,OFFSET([1]characters!$A$2,0,0,COUNTA([1]characters!$A:$A),MATCH($L$1,[1]characters!$1:$1,0)-MATCH($F$1,[1]characters!$2:$2,0)+2),MATCH($L$1,[1]characters!$1:$1,0)-MATCH($F$1,[1]characters!$2:$2,0)+2,FALSE)</f>
        <v>アニマル</v>
      </c>
      <c r="M205" s="6">
        <v>1</v>
      </c>
      <c r="N205" s="40">
        <f ca="1">VLOOKUP(D205,gacha_133_base!A:B,2,FALSE)</f>
        <v>247</v>
      </c>
      <c r="O205" s="28">
        <v>0</v>
      </c>
      <c r="P205" s="28">
        <v>0</v>
      </c>
      <c r="Q205" s="28">
        <v>0</v>
      </c>
      <c r="R205" s="28">
        <v>0</v>
      </c>
      <c r="S205" s="28">
        <v>1</v>
      </c>
    </row>
    <row r="206" spans="1:19" ht="21" customHeight="1">
      <c r="A206" s="8" t="str">
        <f t="shared" si="12"/>
        <v>01921</v>
      </c>
      <c r="B206" s="2">
        <f t="shared" si="15"/>
        <v>135</v>
      </c>
      <c r="C206" s="10" t="str">
        <f t="shared" ca="1" si="13"/>
        <v>0PremiumN5</v>
      </c>
      <c r="D206" s="10" t="str">
        <f t="shared" ca="1" si="14"/>
        <v>0PremiumN5</v>
      </c>
      <c r="E206" s="6">
        <v>0</v>
      </c>
      <c r="F206" s="7">
        <v>192</v>
      </c>
      <c r="G206" s="10" t="str">
        <f ca="1">VLOOKUP($F206,OFFSET([1]characters!$A$2,0,0,COUNTA([1]characters!$A:$A),MATCH(G$1,[1]characters!$2:$2,0)-MATCH($F$1,[1]characters!$2:$2,0)+1),MATCH(G$1,[1]characters!$2:$2,0)-MATCH($F$1,[1]characters!$2:$2,0)+1,FALSE)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206" s="10" t="str">
        <f ca="1">VLOOKUP($F206,OFFSET([1]characters!$A$2,0,0,COUNTA([1]characters!$A:$A),MATCH(H$1,[1]characters!$2:$2,0)-MATCH($F$1,[1]characters!$2:$2,0)+1),MATCH(H$1,[1]characters!$2:$2,0)-MATCH($F$1,[1]characters!$2:$2,0)+1,FALSE)</f>
        <v>PremiumN</v>
      </c>
      <c r="I206" s="10">
        <f ca="1">VLOOKUP($F206,OFFSET([1]characters!$A$2,0,0,COUNTA([1]characters!$A:$A),MATCH(I$1,[1]characters!$2:$2,0)-MATCH($F$1,[1]characters!$2:$2,0)+1),MATCH(I$1,[1]characters!$2:$2,0)-MATCH($F$1,[1]characters!$2:$2,0)+1,FALSE)</f>
        <v>5</v>
      </c>
      <c r="J206" s="10" t="str">
        <f ca="1">VLOOKUP($F206,OFFSET([1]characters!$A$2,0,0,COUNTA([1]characters!$A:$A),MATCH(J$1,[1]characters!$2:$2,0)-MATCH($F$1,[1]characters!$2:$2,0)+1),MATCH(J$1,[1]characters!$2:$2,0)-MATCH($F$1,[1]characters!$2:$2,0)+1,FALSE)</f>
        <v>red</v>
      </c>
      <c r="K206" s="10" t="str">
        <f ca="1">VLOOKUP($F206,OFFSET([1]characters!$A$2,0,0,COUNTA([1]characters!$A:$A),MATCH("タイプ",[1]characters!$1:$1,0)-MATCH($F$1,[1]characters!$2:$2,0)+2),MATCH("タイプ",[1]characters!$1:$1,0)-MATCH($F$1,[1]characters!$2:$2,0)+2,FALSE)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6" s="10" t="str">
        <f ca="1">VLOOKUP($F206,OFFSET([1]characters!$A$2,0,0,COUNTA([1]characters!$A:$A),MATCH($L$1,[1]characters!$1:$1,0)-MATCH($F$1,[1]characters!$2:$2,0)+2),MATCH($L$1,[1]characters!$1:$1,0)-MATCH($F$1,[1]characters!$2:$2,0)+2,FALSE)</f>
        <v>ヒューマン</v>
      </c>
      <c r="M206" s="6">
        <v>1</v>
      </c>
      <c r="N206" s="40">
        <f ca="1">VLOOKUP(D206,gacha_133_base!A:B,2,FALSE)</f>
        <v>247</v>
      </c>
      <c r="O206" s="28">
        <v>0</v>
      </c>
      <c r="P206" s="28">
        <v>0</v>
      </c>
      <c r="Q206" s="28">
        <v>0</v>
      </c>
      <c r="R206" s="28">
        <v>0</v>
      </c>
      <c r="S206" s="28">
        <v>1</v>
      </c>
    </row>
    <row r="207" spans="1:19" ht="21" customHeight="1">
      <c r="A207" s="8" t="str">
        <f t="shared" si="12"/>
        <v>01951</v>
      </c>
      <c r="B207" s="2">
        <f t="shared" si="15"/>
        <v>135</v>
      </c>
      <c r="C207" s="10" t="str">
        <f t="shared" ca="1" si="13"/>
        <v>0PremiumN5</v>
      </c>
      <c r="D207" s="10" t="str">
        <f t="shared" ca="1" si="14"/>
        <v>0PremiumN5</v>
      </c>
      <c r="E207" s="6">
        <v>0</v>
      </c>
      <c r="F207" s="7">
        <v>195</v>
      </c>
      <c r="G207" s="10" t="str">
        <f ca="1">VLOOKUP($F207,OFFSET([1]characters!$A$2,0,0,COUNTA([1]characters!$A:$A),MATCH(G$1,[1]characters!$2:$2,0)-MATCH($F$1,[1]characters!$2:$2,0)+1),MATCH(G$1,[1]characters!$2:$2,0)-MATCH($F$1,[1]characters!$2:$2,0)+1,FALSE)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207" s="10" t="str">
        <f ca="1">VLOOKUP($F207,OFFSET([1]characters!$A$2,0,0,COUNTA([1]characters!$A:$A),MATCH(H$1,[1]characters!$2:$2,0)-MATCH($F$1,[1]characters!$2:$2,0)+1),MATCH(H$1,[1]characters!$2:$2,0)-MATCH($F$1,[1]characters!$2:$2,0)+1,FALSE)</f>
        <v>PremiumN</v>
      </c>
      <c r="I207" s="10">
        <f ca="1">VLOOKUP($F207,OFFSET([1]characters!$A$2,0,0,COUNTA([1]characters!$A:$A),MATCH(I$1,[1]characters!$2:$2,0)-MATCH($F$1,[1]characters!$2:$2,0)+1),MATCH(I$1,[1]characters!$2:$2,0)-MATCH($F$1,[1]characters!$2:$2,0)+1,FALSE)</f>
        <v>5</v>
      </c>
      <c r="J207" s="10" t="str">
        <f ca="1">VLOOKUP($F207,OFFSET([1]characters!$A$2,0,0,COUNTA([1]characters!$A:$A),MATCH(J$1,[1]characters!$2:$2,0)-MATCH($F$1,[1]characters!$2:$2,0)+1),MATCH(J$1,[1]characters!$2:$2,0)-MATCH($F$1,[1]characters!$2:$2,0)+1,FALSE)</f>
        <v>green</v>
      </c>
      <c r="K207" s="10" t="str">
        <f ca="1">VLOOKUP($F207,OFFSET([1]characters!$A$2,0,0,COUNTA([1]characters!$A:$A),MATCH("タイプ",[1]characters!$1:$1,0)-MATCH($F$1,[1]characters!$2:$2,0)+2),MATCH("タイプ",[1]characters!$1:$1,0)-MATCH($F$1,[1]characters!$2:$2,0)+2,FALSE)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7" s="10" t="str">
        <f ca="1">VLOOKUP($F207,OFFSET([1]characters!$A$2,0,0,COUNTA([1]characters!$A:$A),MATCH($L$1,[1]characters!$1:$1,0)-MATCH($F$1,[1]characters!$2:$2,0)+2),MATCH($L$1,[1]characters!$1:$1,0)-MATCH($F$1,[1]characters!$2:$2,0)+2,FALSE)</f>
        <v>ヒューマン</v>
      </c>
      <c r="M207" s="6">
        <v>1</v>
      </c>
      <c r="N207" s="40">
        <f ca="1">VLOOKUP(D207,gacha_133_base!A:B,2,FALSE)</f>
        <v>247</v>
      </c>
      <c r="O207" s="28">
        <v>0</v>
      </c>
      <c r="P207" s="28">
        <v>0</v>
      </c>
      <c r="Q207" s="28">
        <v>0</v>
      </c>
      <c r="R207" s="28">
        <v>0</v>
      </c>
      <c r="S207" s="28">
        <v>1</v>
      </c>
    </row>
    <row r="208" spans="1:19" ht="21" customHeight="1">
      <c r="A208" s="8" t="str">
        <f t="shared" si="12"/>
        <v>01981</v>
      </c>
      <c r="B208" s="2">
        <f t="shared" si="15"/>
        <v>135</v>
      </c>
      <c r="C208" s="10" t="str">
        <f t="shared" ca="1" si="13"/>
        <v>0PremiumN5</v>
      </c>
      <c r="D208" s="10" t="str">
        <f t="shared" ca="1" si="14"/>
        <v>0PremiumN5</v>
      </c>
      <c r="E208" s="6">
        <v>0</v>
      </c>
      <c r="F208" s="7">
        <v>198</v>
      </c>
      <c r="G208" s="10" t="str">
        <f ca="1">VLOOKUP($F208,OFFSET([1]characters!$A$2,0,0,COUNTA([1]characters!$A:$A),MATCH(G$1,[1]characters!$2:$2,0)-MATCH($F$1,[1]characters!$2:$2,0)+1),MATCH(G$1,[1]characters!$2:$2,0)-MATCH($F$1,[1]characters!$2:$2,0)+1,FALSE)</f>
        <v>砕骨の剛腕 アキレス</v>
      </c>
      <c r="H208" s="10" t="str">
        <f ca="1">VLOOKUP($F208,OFFSET([1]characters!$A$2,0,0,COUNTA([1]characters!$A:$A),MATCH(H$1,[1]characters!$2:$2,0)-MATCH($F$1,[1]characters!$2:$2,0)+1),MATCH(H$1,[1]characters!$2:$2,0)-MATCH($F$1,[1]characters!$2:$2,0)+1,FALSE)</f>
        <v>PremiumN</v>
      </c>
      <c r="I208" s="10">
        <f ca="1">VLOOKUP($F208,OFFSET([1]characters!$A$2,0,0,COUNTA([1]characters!$A:$A),MATCH(I$1,[1]characters!$2:$2,0)-MATCH($F$1,[1]characters!$2:$2,0)+1),MATCH(I$1,[1]characters!$2:$2,0)-MATCH($F$1,[1]characters!$2:$2,0)+1,FALSE)</f>
        <v>5</v>
      </c>
      <c r="J208" s="10" t="str">
        <f ca="1">VLOOKUP($F208,OFFSET([1]characters!$A$2,0,0,COUNTA([1]characters!$A:$A),MATCH(J$1,[1]characters!$2:$2,0)-MATCH($F$1,[1]characters!$2:$2,0)+1),MATCH(J$1,[1]characters!$2:$2,0)-MATCH($F$1,[1]characters!$2:$2,0)+1,FALSE)</f>
        <v>yellow</v>
      </c>
      <c r="K208" s="10" t="str">
        <f ca="1">VLOOKUP($F208,OFFSET([1]characters!$A$2,0,0,COUNTA([1]characters!$A:$A),MATCH("タイプ",[1]characters!$1:$1,0)-MATCH($F$1,[1]characters!$2:$2,0)+2),MATCH("タイプ",[1]characters!$1:$1,0)-MATCH($F$1,[1]characters!$2:$2,0)+2,FALSE)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8" s="10" t="str">
        <f ca="1">VLOOKUP($F208,OFFSET([1]characters!$A$2,0,0,COUNTA([1]characters!$A:$A),MATCH($L$1,[1]characters!$1:$1,0)-MATCH($F$1,[1]characters!$2:$2,0)+2),MATCH($L$1,[1]characters!$1:$1,0)-MATCH($F$1,[1]characters!$2:$2,0)+2,FALSE)</f>
        <v>ヒューマン</v>
      </c>
      <c r="M208" s="6">
        <v>1</v>
      </c>
      <c r="N208" s="40">
        <f ca="1">VLOOKUP(D208,gacha_133_base!A:B,2,FALSE)</f>
        <v>247</v>
      </c>
      <c r="O208" s="28">
        <v>0</v>
      </c>
      <c r="P208" s="28">
        <v>0</v>
      </c>
      <c r="Q208" s="28">
        <v>0</v>
      </c>
      <c r="R208" s="28">
        <v>0</v>
      </c>
      <c r="S208" s="28">
        <v>1</v>
      </c>
    </row>
    <row r="209" spans="1:19" ht="21" customHeight="1">
      <c r="A209" s="8" t="str">
        <f t="shared" si="12"/>
        <v>02011</v>
      </c>
      <c r="B209" s="2">
        <f t="shared" si="15"/>
        <v>135</v>
      </c>
      <c r="C209" s="10" t="str">
        <f t="shared" ca="1" si="13"/>
        <v>0PremiumN5</v>
      </c>
      <c r="D209" s="10" t="str">
        <f t="shared" ca="1" si="14"/>
        <v>0PremiumN5</v>
      </c>
      <c r="E209" s="6">
        <v>0</v>
      </c>
      <c r="F209" s="7">
        <v>201</v>
      </c>
      <c r="G209" s="10" t="str">
        <f ca="1">VLOOKUP($F209,OFFSET([1]characters!$A$2,0,0,COUNTA([1]characters!$A:$A),MATCH(G$1,[1]characters!$2:$2,0)-MATCH($F$1,[1]characters!$2:$2,0)+1),MATCH(G$1,[1]characters!$2:$2,0)-MATCH($F$1,[1]characters!$2:$2,0)+1,FALSE)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209" s="10" t="str">
        <f ca="1">VLOOKUP($F209,OFFSET([1]characters!$A$2,0,0,COUNTA([1]characters!$A:$A),MATCH(H$1,[1]characters!$2:$2,0)-MATCH($F$1,[1]characters!$2:$2,0)+1),MATCH(H$1,[1]characters!$2:$2,0)-MATCH($F$1,[1]characters!$2:$2,0)+1,FALSE)</f>
        <v>PremiumN</v>
      </c>
      <c r="I209" s="10">
        <f ca="1">VLOOKUP($F209,OFFSET([1]characters!$A$2,0,0,COUNTA([1]characters!$A:$A),MATCH(I$1,[1]characters!$2:$2,0)-MATCH($F$1,[1]characters!$2:$2,0)+1),MATCH(I$1,[1]characters!$2:$2,0)-MATCH($F$1,[1]characters!$2:$2,0)+1,FALSE)</f>
        <v>5</v>
      </c>
      <c r="J209" s="10" t="str">
        <f ca="1">VLOOKUP($F209,OFFSET([1]characters!$A$2,0,0,COUNTA([1]characters!$A:$A),MATCH(J$1,[1]characters!$2:$2,0)-MATCH($F$1,[1]characters!$2:$2,0)+1),MATCH(J$1,[1]characters!$2:$2,0)-MATCH($F$1,[1]characters!$2:$2,0)+1,FALSE)</f>
        <v>blue</v>
      </c>
      <c r="K209" s="10" t="str">
        <f ca="1">VLOOKUP($F209,OFFSET([1]characters!$A$2,0,0,COUNTA([1]characters!$A:$A),MATCH("タイプ",[1]characters!$1:$1,0)-MATCH($F$1,[1]characters!$2:$2,0)+2),MATCH("タイプ",[1]characters!$1:$1,0)-MATCH($F$1,[1]characters!$2:$2,0)+2,FALSE)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9" s="10" t="str">
        <f ca="1">VLOOKUP($F209,OFFSET([1]characters!$A$2,0,0,COUNTA([1]characters!$A:$A),MATCH($L$1,[1]characters!$1:$1,0)-MATCH($F$1,[1]characters!$2:$2,0)+2),MATCH($L$1,[1]characters!$1:$1,0)-MATCH($F$1,[1]characters!$2:$2,0)+2,FALSE)</f>
        <v>ヒューマン</v>
      </c>
      <c r="M209" s="6">
        <v>1</v>
      </c>
      <c r="N209" s="40">
        <f ca="1">VLOOKUP(D209,gacha_133_base!A:B,2,FALSE)</f>
        <v>247</v>
      </c>
      <c r="O209" s="28">
        <v>0</v>
      </c>
      <c r="P209" s="28">
        <v>0</v>
      </c>
      <c r="Q209" s="28">
        <v>0</v>
      </c>
      <c r="R209" s="28">
        <v>0</v>
      </c>
      <c r="S209" s="28">
        <v>1</v>
      </c>
    </row>
    <row r="210" spans="1:19" ht="21" customHeight="1">
      <c r="A210" s="8" t="str">
        <f t="shared" si="12"/>
        <v>02041</v>
      </c>
      <c r="B210" s="2">
        <f t="shared" si="15"/>
        <v>135</v>
      </c>
      <c r="C210" s="10" t="str">
        <f t="shared" ca="1" si="13"/>
        <v>0PremiumN5</v>
      </c>
      <c r="D210" s="10" t="str">
        <f t="shared" ca="1" si="14"/>
        <v>0PremiumN5</v>
      </c>
      <c r="E210" s="6">
        <v>0</v>
      </c>
      <c r="F210" s="7">
        <v>204</v>
      </c>
      <c r="G210" s="10" t="str">
        <f ca="1">VLOOKUP($F210,OFFSET([1]characters!$A$2,0,0,COUNTA([1]characters!$A:$A),MATCH(G$1,[1]characters!$2:$2,0)-MATCH($F$1,[1]characters!$2:$2,0)+1),MATCH(G$1,[1]characters!$2:$2,0)-MATCH($F$1,[1]characters!$2:$2,0)+1,FALSE)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210" s="10" t="str">
        <f ca="1">VLOOKUP($F210,OFFSET([1]characters!$A$2,0,0,COUNTA([1]characters!$A:$A),MATCH(H$1,[1]characters!$2:$2,0)-MATCH($F$1,[1]characters!$2:$2,0)+1),MATCH(H$1,[1]characters!$2:$2,0)-MATCH($F$1,[1]characters!$2:$2,0)+1,FALSE)</f>
        <v>PremiumN</v>
      </c>
      <c r="I210" s="10">
        <f ca="1">VLOOKUP($F210,OFFSET([1]characters!$A$2,0,0,COUNTA([1]characters!$A:$A),MATCH(I$1,[1]characters!$2:$2,0)-MATCH($F$1,[1]characters!$2:$2,0)+1),MATCH(I$1,[1]characters!$2:$2,0)-MATCH($F$1,[1]characters!$2:$2,0)+1,FALSE)</f>
        <v>5</v>
      </c>
      <c r="J210" s="10" t="str">
        <f ca="1">VLOOKUP($F210,OFFSET([1]characters!$A$2,0,0,COUNTA([1]characters!$A:$A),MATCH(J$1,[1]characters!$2:$2,0)-MATCH($F$1,[1]characters!$2:$2,0)+1),MATCH(J$1,[1]characters!$2:$2,0)-MATCH($F$1,[1]characters!$2:$2,0)+1,FALSE)</f>
        <v>red</v>
      </c>
      <c r="K210" s="10" t="str">
        <f ca="1">VLOOKUP($F210,OFFSET([1]characters!$A$2,0,0,COUNTA([1]characters!$A:$A),MATCH("タイプ",[1]characters!$1:$1,0)-MATCH($F$1,[1]characters!$2:$2,0)+2),MATCH("タイプ",[1]characters!$1:$1,0)-MATCH($F$1,[1]characters!$2:$2,0)+2,FALSE)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0" s="10" t="str">
        <f ca="1">VLOOKUP($F210,OFFSET([1]characters!$A$2,0,0,COUNTA([1]characters!$A:$A),MATCH($L$1,[1]characters!$1:$1,0)-MATCH($F$1,[1]characters!$2:$2,0)+2),MATCH($L$1,[1]characters!$1:$1,0)-MATCH($F$1,[1]characters!$2:$2,0)+2,FALSE)</f>
        <v>ゴッド</v>
      </c>
      <c r="M210" s="6">
        <v>1</v>
      </c>
      <c r="N210" s="40">
        <f ca="1">VLOOKUP(D210,gacha_133_base!A:B,2,FALSE)</f>
        <v>247</v>
      </c>
      <c r="O210" s="28">
        <v>0</v>
      </c>
      <c r="P210" s="28">
        <v>0</v>
      </c>
      <c r="Q210" s="28">
        <v>0</v>
      </c>
      <c r="R210" s="28">
        <v>0</v>
      </c>
      <c r="S210" s="28">
        <v>1</v>
      </c>
    </row>
    <row r="211" spans="1:19" ht="21" customHeight="1">
      <c r="A211" s="8" t="str">
        <f t="shared" si="12"/>
        <v>02071</v>
      </c>
      <c r="B211" s="2">
        <f t="shared" si="15"/>
        <v>135</v>
      </c>
      <c r="C211" s="10" t="str">
        <f t="shared" ca="1" si="13"/>
        <v>0PremiumN5</v>
      </c>
      <c r="D211" s="10" t="str">
        <f t="shared" ca="1" si="14"/>
        <v>0PremiumN5</v>
      </c>
      <c r="E211" s="6">
        <v>0</v>
      </c>
      <c r="F211" s="7">
        <v>207</v>
      </c>
      <c r="G211" s="10" t="str">
        <f ca="1">VLOOKUP($F211,OFFSET([1]characters!$A$2,0,0,COUNTA([1]characters!$A:$A),MATCH(G$1,[1]characters!$2:$2,0)-MATCH($F$1,[1]characters!$2:$2,0)+1),MATCH(G$1,[1]characters!$2:$2,0)-MATCH($F$1,[1]characters!$2:$2,0)+1,FALSE)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211" s="10" t="str">
        <f ca="1">VLOOKUP($F211,OFFSET([1]characters!$A$2,0,0,COUNTA([1]characters!$A:$A),MATCH(H$1,[1]characters!$2:$2,0)-MATCH($F$1,[1]characters!$2:$2,0)+1),MATCH(H$1,[1]characters!$2:$2,0)-MATCH($F$1,[1]characters!$2:$2,0)+1,FALSE)</f>
        <v>PremiumN</v>
      </c>
      <c r="I211" s="10">
        <f ca="1">VLOOKUP($F211,OFFSET([1]characters!$A$2,0,0,COUNTA([1]characters!$A:$A),MATCH(I$1,[1]characters!$2:$2,0)-MATCH($F$1,[1]characters!$2:$2,0)+1),MATCH(I$1,[1]characters!$2:$2,0)-MATCH($F$1,[1]characters!$2:$2,0)+1,FALSE)</f>
        <v>5</v>
      </c>
      <c r="J211" s="10" t="str">
        <f ca="1">VLOOKUP($F211,OFFSET([1]characters!$A$2,0,0,COUNTA([1]characters!$A:$A),MATCH(J$1,[1]characters!$2:$2,0)-MATCH($F$1,[1]characters!$2:$2,0)+1),MATCH(J$1,[1]characters!$2:$2,0)-MATCH($F$1,[1]characters!$2:$2,0)+1,FALSE)</f>
        <v>green</v>
      </c>
      <c r="K211" s="10" t="str">
        <f ca="1">VLOOKUP($F211,OFFSET([1]characters!$A$2,0,0,COUNTA([1]characters!$A:$A),MATCH("タイプ",[1]characters!$1:$1,0)-MATCH($F$1,[1]characters!$2:$2,0)+2),MATCH("タイプ",[1]characters!$1:$1,0)-MATCH($F$1,[1]characters!$2:$2,0)+2,FALSE)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1" s="10" t="str">
        <f ca="1">VLOOKUP($F211,OFFSET([1]characters!$A$2,0,0,COUNTA([1]characters!$A:$A),MATCH($L$1,[1]characters!$1:$1,0)-MATCH($F$1,[1]characters!$2:$2,0)+2),MATCH($L$1,[1]characters!$1:$1,0)-MATCH($F$1,[1]characters!$2:$2,0)+2,FALSE)</f>
        <v>ゴッド</v>
      </c>
      <c r="M211" s="6">
        <v>1</v>
      </c>
      <c r="N211" s="40">
        <f ca="1">VLOOKUP(D211,gacha_133_base!A:B,2,FALSE)</f>
        <v>247</v>
      </c>
      <c r="O211" s="28">
        <v>0</v>
      </c>
      <c r="P211" s="28">
        <v>0</v>
      </c>
      <c r="Q211" s="28">
        <v>0</v>
      </c>
      <c r="R211" s="28">
        <v>0</v>
      </c>
      <c r="S211" s="28">
        <v>1</v>
      </c>
    </row>
    <row r="212" spans="1:19" ht="21" customHeight="1">
      <c r="A212" s="8" t="str">
        <f t="shared" si="12"/>
        <v>02101</v>
      </c>
      <c r="B212" s="2">
        <f t="shared" si="15"/>
        <v>135</v>
      </c>
      <c r="C212" s="10" t="str">
        <f t="shared" ca="1" si="13"/>
        <v>0PremiumN5</v>
      </c>
      <c r="D212" s="10" t="str">
        <f t="shared" ca="1" si="14"/>
        <v>0PremiumN5</v>
      </c>
      <c r="E212" s="6">
        <v>0</v>
      </c>
      <c r="F212" s="7">
        <v>210</v>
      </c>
      <c r="G212" s="10" t="str">
        <f ca="1">VLOOKUP($F212,OFFSET([1]characters!$A$2,0,0,COUNTA([1]characters!$A:$A),MATCH(G$1,[1]characters!$2:$2,0)-MATCH($F$1,[1]characters!$2:$2,0)+1),MATCH(G$1,[1]characters!$2:$2,0)-MATCH($F$1,[1]characters!$2:$2,0)+1,FALSE)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212" s="10" t="str">
        <f ca="1">VLOOKUP($F212,OFFSET([1]characters!$A$2,0,0,COUNTA([1]characters!$A:$A),MATCH(H$1,[1]characters!$2:$2,0)-MATCH($F$1,[1]characters!$2:$2,0)+1),MATCH(H$1,[1]characters!$2:$2,0)-MATCH($F$1,[1]characters!$2:$2,0)+1,FALSE)</f>
        <v>PremiumN</v>
      </c>
      <c r="I212" s="10">
        <f ca="1">VLOOKUP($F212,OFFSET([1]characters!$A$2,0,0,COUNTA([1]characters!$A:$A),MATCH(I$1,[1]characters!$2:$2,0)-MATCH($F$1,[1]characters!$2:$2,0)+1),MATCH(I$1,[1]characters!$2:$2,0)-MATCH($F$1,[1]characters!$2:$2,0)+1,FALSE)</f>
        <v>5</v>
      </c>
      <c r="J212" s="10" t="str">
        <f ca="1">VLOOKUP($F212,OFFSET([1]characters!$A$2,0,0,COUNTA([1]characters!$A:$A),MATCH(J$1,[1]characters!$2:$2,0)-MATCH($F$1,[1]characters!$2:$2,0)+1),MATCH(J$1,[1]characters!$2:$2,0)-MATCH($F$1,[1]characters!$2:$2,0)+1,FALSE)</f>
        <v>blue</v>
      </c>
      <c r="K212" s="10" t="str">
        <f ca="1">VLOOKUP($F212,OFFSET([1]characters!$A$2,0,0,COUNTA([1]characters!$A:$A),MATCH("タイプ",[1]characters!$1:$1,0)-MATCH($F$1,[1]characters!$2:$2,0)+2),MATCH("タイプ",[1]characters!$1:$1,0)-MATCH($F$1,[1]characters!$2:$2,0)+2,FALSE)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2" s="10" t="str">
        <f ca="1">VLOOKUP($F212,OFFSET([1]characters!$A$2,0,0,COUNTA([1]characters!$A:$A),MATCH($L$1,[1]characters!$1:$1,0)-MATCH($F$1,[1]characters!$2:$2,0)+2),MATCH($L$1,[1]characters!$1:$1,0)-MATCH($F$1,[1]characters!$2:$2,0)+2,FALSE)</f>
        <v>ゴッド</v>
      </c>
      <c r="M212" s="6">
        <v>1</v>
      </c>
      <c r="N212" s="40">
        <f ca="1">VLOOKUP(D212,gacha_133_base!A:B,2,FALSE)</f>
        <v>247</v>
      </c>
      <c r="O212" s="28">
        <v>0</v>
      </c>
      <c r="P212" s="28">
        <v>0</v>
      </c>
      <c r="Q212" s="28">
        <v>0</v>
      </c>
      <c r="R212" s="28">
        <v>0</v>
      </c>
      <c r="S212" s="28">
        <v>1</v>
      </c>
    </row>
    <row r="213" spans="1:19" ht="21" customHeight="1">
      <c r="A213" s="8" t="str">
        <f t="shared" si="12"/>
        <v>02131</v>
      </c>
      <c r="B213" s="2">
        <f t="shared" si="15"/>
        <v>135</v>
      </c>
      <c r="C213" s="10" t="str">
        <f t="shared" ca="1" si="13"/>
        <v>0PremiumN5</v>
      </c>
      <c r="D213" s="10" t="str">
        <f t="shared" ca="1" si="14"/>
        <v>0PremiumN5</v>
      </c>
      <c r="E213" s="6">
        <v>0</v>
      </c>
      <c r="F213" s="7">
        <v>213</v>
      </c>
      <c r="G213" s="10" t="str">
        <f ca="1">VLOOKUP($F213,OFFSET([1]characters!$A$2,0,0,COUNTA([1]characters!$A:$A),MATCH(G$1,[1]characters!$2:$2,0)-MATCH($F$1,[1]characters!$2:$2,0)+1),MATCH(G$1,[1]characters!$2:$2,0)-MATCH($F$1,[1]characters!$2:$2,0)+1,FALSE)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213" s="10" t="str">
        <f ca="1">VLOOKUP($F213,OFFSET([1]characters!$A$2,0,0,COUNTA([1]characters!$A:$A),MATCH(H$1,[1]characters!$2:$2,0)-MATCH($F$1,[1]characters!$2:$2,0)+1),MATCH(H$1,[1]characters!$2:$2,0)-MATCH($F$1,[1]characters!$2:$2,0)+1,FALSE)</f>
        <v>PremiumN</v>
      </c>
      <c r="I213" s="10">
        <f ca="1">VLOOKUP($F213,OFFSET([1]characters!$A$2,0,0,COUNTA([1]characters!$A:$A),MATCH(I$1,[1]characters!$2:$2,0)-MATCH($F$1,[1]characters!$2:$2,0)+1),MATCH(I$1,[1]characters!$2:$2,0)-MATCH($F$1,[1]characters!$2:$2,0)+1,FALSE)</f>
        <v>5</v>
      </c>
      <c r="J213" s="10" t="str">
        <f ca="1">VLOOKUP($F213,OFFSET([1]characters!$A$2,0,0,COUNTA([1]characters!$A:$A),MATCH(J$1,[1]characters!$2:$2,0)-MATCH($F$1,[1]characters!$2:$2,0)+1),MATCH(J$1,[1]characters!$2:$2,0)-MATCH($F$1,[1]characters!$2:$2,0)+1,FALSE)</f>
        <v>yellow</v>
      </c>
      <c r="K213" s="10" t="str">
        <f ca="1">VLOOKUP($F213,OFFSET([1]characters!$A$2,0,0,COUNTA([1]characters!$A:$A),MATCH("タイプ",[1]characters!$1:$1,0)-MATCH($F$1,[1]characters!$2:$2,0)+2),MATCH("タイプ",[1]characters!$1:$1,0)-MATCH($F$1,[1]characters!$2:$2,0)+2,FALSE)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3" s="10" t="str">
        <f ca="1">VLOOKUP($F213,OFFSET([1]characters!$A$2,0,0,COUNTA([1]characters!$A:$A),MATCH($L$1,[1]characters!$1:$1,0)-MATCH($F$1,[1]characters!$2:$2,0)+2),MATCH($L$1,[1]characters!$1:$1,0)-MATCH($F$1,[1]characters!$2:$2,0)+2,FALSE)</f>
        <v>ゴッド</v>
      </c>
      <c r="M213" s="6">
        <v>1</v>
      </c>
      <c r="N213" s="40">
        <f ca="1">VLOOKUP(D213,gacha_133_base!A:B,2,FALSE)</f>
        <v>247</v>
      </c>
      <c r="O213" s="28">
        <v>0</v>
      </c>
      <c r="P213" s="28">
        <v>0</v>
      </c>
      <c r="Q213" s="28">
        <v>0</v>
      </c>
      <c r="R213" s="28">
        <v>0</v>
      </c>
      <c r="S213" s="28">
        <v>1</v>
      </c>
    </row>
    <row r="214" spans="1:19" ht="21" customHeight="1">
      <c r="A214" s="8" t="str">
        <f t="shared" si="12"/>
        <v>02161</v>
      </c>
      <c r="B214" s="2">
        <f t="shared" si="15"/>
        <v>135</v>
      </c>
      <c r="C214" s="10" t="str">
        <f t="shared" ca="1" si="13"/>
        <v>0PremiumN5</v>
      </c>
      <c r="D214" s="10" t="str">
        <f t="shared" ca="1" si="14"/>
        <v>0PremiumN5</v>
      </c>
      <c r="E214" s="6">
        <v>0</v>
      </c>
      <c r="F214" s="7">
        <v>216</v>
      </c>
      <c r="G214" s="10" t="str">
        <f ca="1">VLOOKUP($F214,OFFSET([1]characters!$A$2,0,0,COUNTA([1]characters!$A:$A),MATCH(G$1,[1]characters!$2:$2,0)-MATCH($F$1,[1]characters!$2:$2,0)+1),MATCH(G$1,[1]characters!$2:$2,0)-MATCH($F$1,[1]characters!$2:$2,0)+1,FALSE)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214" s="10" t="str">
        <f ca="1">VLOOKUP($F214,OFFSET([1]characters!$A$2,0,0,COUNTA([1]characters!$A:$A),MATCH(H$1,[1]characters!$2:$2,0)-MATCH($F$1,[1]characters!$2:$2,0)+1),MATCH(H$1,[1]characters!$2:$2,0)-MATCH($F$1,[1]characters!$2:$2,0)+1,FALSE)</f>
        <v>PremiumN</v>
      </c>
      <c r="I214" s="10">
        <f ca="1">VLOOKUP($F214,OFFSET([1]characters!$A$2,0,0,COUNTA([1]characters!$A:$A),MATCH(I$1,[1]characters!$2:$2,0)-MATCH($F$1,[1]characters!$2:$2,0)+1),MATCH(I$1,[1]characters!$2:$2,0)-MATCH($F$1,[1]characters!$2:$2,0)+1,FALSE)</f>
        <v>5</v>
      </c>
      <c r="J214" s="10" t="str">
        <f ca="1">VLOOKUP($F214,OFFSET([1]characters!$A$2,0,0,COUNTA([1]characters!$A:$A),MATCH(J$1,[1]characters!$2:$2,0)-MATCH($F$1,[1]characters!$2:$2,0)+1),MATCH(J$1,[1]characters!$2:$2,0)-MATCH($F$1,[1]characters!$2:$2,0)+1,FALSE)</f>
        <v>red</v>
      </c>
      <c r="K214" s="10" t="str">
        <f ca="1">VLOOKUP($F214,OFFSET([1]characters!$A$2,0,0,COUNTA([1]characters!$A:$A),MATCH("タイプ",[1]characters!$1:$1,0)-MATCH($F$1,[1]characters!$2:$2,0)+2),MATCH("タイプ",[1]characters!$1:$1,0)-MATCH($F$1,[1]characters!$2:$2,0)+2,FALSE)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4" s="10" t="str">
        <f ca="1">VLOOKUP($F214,OFFSET([1]characters!$A$2,0,0,COUNTA([1]characters!$A:$A),MATCH($L$1,[1]characters!$1:$1,0)-MATCH($F$1,[1]characters!$2:$2,0)+2),MATCH($L$1,[1]characters!$1:$1,0)-MATCH($F$1,[1]characters!$2:$2,0)+2,FALSE)</f>
        <v>ゴッド</v>
      </c>
      <c r="M214" s="6">
        <v>1</v>
      </c>
      <c r="N214" s="40">
        <f ca="1">VLOOKUP(D214,gacha_133_base!A:B,2,FALSE)</f>
        <v>247</v>
      </c>
      <c r="O214" s="28">
        <v>0</v>
      </c>
      <c r="P214" s="28">
        <v>0</v>
      </c>
      <c r="Q214" s="28">
        <v>0</v>
      </c>
      <c r="R214" s="28">
        <v>0</v>
      </c>
      <c r="S214" s="28">
        <v>1</v>
      </c>
    </row>
    <row r="215" spans="1:19" ht="21" customHeight="1">
      <c r="A215" s="8" t="str">
        <f t="shared" si="12"/>
        <v>02191</v>
      </c>
      <c r="B215" s="2">
        <f t="shared" si="15"/>
        <v>135</v>
      </c>
      <c r="C215" s="10" t="str">
        <f t="shared" ca="1" si="13"/>
        <v>0PremiumN5</v>
      </c>
      <c r="D215" s="10" t="str">
        <f t="shared" ca="1" si="14"/>
        <v>0PremiumN5</v>
      </c>
      <c r="E215" s="6">
        <v>0</v>
      </c>
      <c r="F215" s="7">
        <v>219</v>
      </c>
      <c r="G215" s="10" t="str">
        <f ca="1">VLOOKUP($F215,OFFSET([1]characters!$A$2,0,0,COUNTA([1]characters!$A:$A),MATCH(G$1,[1]characters!$2:$2,0)-MATCH($F$1,[1]characters!$2:$2,0)+1),MATCH(G$1,[1]characters!$2:$2,0)-MATCH($F$1,[1]characters!$2:$2,0)+1,FALSE)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215" s="10" t="str">
        <f ca="1">VLOOKUP($F215,OFFSET([1]characters!$A$2,0,0,COUNTA([1]characters!$A:$A),MATCH(H$1,[1]characters!$2:$2,0)-MATCH($F$1,[1]characters!$2:$2,0)+1),MATCH(H$1,[1]characters!$2:$2,0)-MATCH($F$1,[1]characters!$2:$2,0)+1,FALSE)</f>
        <v>PremiumN</v>
      </c>
      <c r="I215" s="10">
        <f ca="1">VLOOKUP($F215,OFFSET([1]characters!$A$2,0,0,COUNTA([1]characters!$A:$A),MATCH(I$1,[1]characters!$2:$2,0)-MATCH($F$1,[1]characters!$2:$2,0)+1),MATCH(I$1,[1]characters!$2:$2,0)-MATCH($F$1,[1]characters!$2:$2,0)+1,FALSE)</f>
        <v>5</v>
      </c>
      <c r="J215" s="10" t="str">
        <f ca="1">VLOOKUP($F215,OFFSET([1]characters!$A$2,0,0,COUNTA([1]characters!$A:$A),MATCH(J$1,[1]characters!$2:$2,0)-MATCH($F$1,[1]characters!$2:$2,0)+1),MATCH(J$1,[1]characters!$2:$2,0)-MATCH($F$1,[1]characters!$2:$2,0)+1,FALSE)</f>
        <v>green</v>
      </c>
      <c r="K215" s="10" t="str">
        <f ca="1">VLOOKUP($F215,OFFSET([1]characters!$A$2,0,0,COUNTA([1]characters!$A:$A),MATCH("タイプ",[1]characters!$1:$1,0)-MATCH($F$1,[1]characters!$2:$2,0)+2),MATCH("タイプ",[1]characters!$1:$1,0)-MATCH($F$1,[1]characters!$2:$2,0)+2,FALSE)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5" s="10" t="str">
        <f ca="1">VLOOKUP($F215,OFFSET([1]characters!$A$2,0,0,COUNTA([1]characters!$A:$A),MATCH($L$1,[1]characters!$1:$1,0)-MATCH($F$1,[1]characters!$2:$2,0)+2),MATCH($L$1,[1]characters!$1:$1,0)-MATCH($F$1,[1]characters!$2:$2,0)+2,FALSE)</f>
        <v>ドラゴン</v>
      </c>
      <c r="M215" s="6">
        <v>1</v>
      </c>
      <c r="N215" s="40">
        <f ca="1">VLOOKUP(D215,gacha_133_base!A:B,2,FALSE)</f>
        <v>247</v>
      </c>
      <c r="O215" s="28">
        <v>0</v>
      </c>
      <c r="P215" s="28">
        <v>0</v>
      </c>
      <c r="Q215" s="28">
        <v>0</v>
      </c>
      <c r="R215" s="28">
        <v>0</v>
      </c>
      <c r="S215" s="28">
        <v>1</v>
      </c>
    </row>
    <row r="216" spans="1:19" ht="21" customHeight="1">
      <c r="A216" s="8" t="str">
        <f t="shared" si="12"/>
        <v>02221</v>
      </c>
      <c r="B216" s="2">
        <f t="shared" si="15"/>
        <v>135</v>
      </c>
      <c r="C216" s="10" t="str">
        <f t="shared" ca="1" si="13"/>
        <v>0PremiumN5</v>
      </c>
      <c r="D216" s="10" t="str">
        <f t="shared" ca="1" si="14"/>
        <v>0PremiumN5</v>
      </c>
      <c r="E216" s="6">
        <v>0</v>
      </c>
      <c r="F216" s="7">
        <v>222</v>
      </c>
      <c r="G216" s="10" t="str">
        <f ca="1">VLOOKUP($F216,OFFSET([1]characters!$A$2,0,0,COUNTA([1]characters!$A:$A),MATCH(G$1,[1]characters!$2:$2,0)-MATCH($F$1,[1]characters!$2:$2,0)+1),MATCH(G$1,[1]characters!$2:$2,0)-MATCH($F$1,[1]characters!$2:$2,0)+1,FALSE)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216" s="10" t="str">
        <f ca="1">VLOOKUP($F216,OFFSET([1]characters!$A$2,0,0,COUNTA([1]characters!$A:$A),MATCH(H$1,[1]characters!$2:$2,0)-MATCH($F$1,[1]characters!$2:$2,0)+1),MATCH(H$1,[1]characters!$2:$2,0)-MATCH($F$1,[1]characters!$2:$2,0)+1,FALSE)</f>
        <v>PremiumN</v>
      </c>
      <c r="I216" s="10">
        <f ca="1">VLOOKUP($F216,OFFSET([1]characters!$A$2,0,0,COUNTA([1]characters!$A:$A),MATCH(I$1,[1]characters!$2:$2,0)-MATCH($F$1,[1]characters!$2:$2,0)+1),MATCH(I$1,[1]characters!$2:$2,0)-MATCH($F$1,[1]characters!$2:$2,0)+1,FALSE)</f>
        <v>5</v>
      </c>
      <c r="J216" s="10" t="str">
        <f ca="1">VLOOKUP($F216,OFFSET([1]characters!$A$2,0,0,COUNTA([1]characters!$A:$A),MATCH(J$1,[1]characters!$2:$2,0)-MATCH($F$1,[1]characters!$2:$2,0)+1),MATCH(J$1,[1]characters!$2:$2,0)-MATCH($F$1,[1]characters!$2:$2,0)+1,FALSE)</f>
        <v>blue</v>
      </c>
      <c r="K216" s="10" t="str">
        <f ca="1">VLOOKUP($F216,OFFSET([1]characters!$A$2,0,0,COUNTA([1]characters!$A:$A),MATCH("タイプ",[1]characters!$1:$1,0)-MATCH($F$1,[1]characters!$2:$2,0)+2),MATCH("タイプ",[1]characters!$1:$1,0)-MATCH($F$1,[1]characters!$2:$2,0)+2,FALSE)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6" s="10" t="str">
        <f ca="1">VLOOKUP($F216,OFFSET([1]characters!$A$2,0,0,COUNTA([1]characters!$A:$A),MATCH($L$1,[1]characters!$1:$1,0)-MATCH($F$1,[1]characters!$2:$2,0)+2),MATCH($L$1,[1]characters!$1:$1,0)-MATCH($F$1,[1]characters!$2:$2,0)+2,FALSE)</f>
        <v>ゴッド</v>
      </c>
      <c r="M216" s="6">
        <v>1</v>
      </c>
      <c r="N216" s="40">
        <f ca="1">VLOOKUP(D216,gacha_133_base!A:B,2,FALSE)</f>
        <v>247</v>
      </c>
      <c r="O216" s="28">
        <v>0</v>
      </c>
      <c r="P216" s="28">
        <v>0</v>
      </c>
      <c r="Q216" s="28">
        <v>0</v>
      </c>
      <c r="R216" s="28">
        <v>0</v>
      </c>
      <c r="S216" s="28">
        <v>1</v>
      </c>
    </row>
    <row r="217" spans="1:19" ht="21" customHeight="1">
      <c r="A217" s="8" t="str">
        <f t="shared" si="12"/>
        <v>02251</v>
      </c>
      <c r="B217" s="2">
        <f t="shared" si="15"/>
        <v>135</v>
      </c>
      <c r="C217" s="10" t="str">
        <f t="shared" ca="1" si="13"/>
        <v>0PremiumN5</v>
      </c>
      <c r="D217" s="10" t="str">
        <f t="shared" ca="1" si="14"/>
        <v>0PremiumN5</v>
      </c>
      <c r="E217" s="6">
        <v>0</v>
      </c>
      <c r="F217" s="7">
        <v>225</v>
      </c>
      <c r="G217" s="10" t="str">
        <f ca="1">VLOOKUP($F217,OFFSET([1]characters!$A$2,0,0,COUNTA([1]characters!$A:$A),MATCH(G$1,[1]characters!$2:$2,0)-MATCH($F$1,[1]characters!$2:$2,0)+1),MATCH(G$1,[1]characters!$2:$2,0)-MATCH($F$1,[1]characters!$2:$2,0)+1,FALSE)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217" s="10" t="str">
        <f ca="1">VLOOKUP($F217,OFFSET([1]characters!$A$2,0,0,COUNTA([1]characters!$A:$A),MATCH(H$1,[1]characters!$2:$2,0)-MATCH($F$1,[1]characters!$2:$2,0)+1),MATCH(H$1,[1]characters!$2:$2,0)-MATCH($F$1,[1]characters!$2:$2,0)+1,FALSE)</f>
        <v>PremiumN</v>
      </c>
      <c r="I217" s="10">
        <f ca="1">VLOOKUP($F217,OFFSET([1]characters!$A$2,0,0,COUNTA([1]characters!$A:$A),MATCH(I$1,[1]characters!$2:$2,0)-MATCH($F$1,[1]characters!$2:$2,0)+1),MATCH(I$1,[1]characters!$2:$2,0)-MATCH($F$1,[1]characters!$2:$2,0)+1,FALSE)</f>
        <v>5</v>
      </c>
      <c r="J217" s="10" t="str">
        <f ca="1">VLOOKUP($F217,OFFSET([1]characters!$A$2,0,0,COUNTA([1]characters!$A:$A),MATCH(J$1,[1]characters!$2:$2,0)-MATCH($F$1,[1]characters!$2:$2,0)+1),MATCH(J$1,[1]characters!$2:$2,0)-MATCH($F$1,[1]characters!$2:$2,0)+1,FALSE)</f>
        <v>yellow</v>
      </c>
      <c r="K217" s="10" t="str">
        <f ca="1">VLOOKUP($F217,OFFSET([1]characters!$A$2,0,0,COUNTA([1]characters!$A:$A),MATCH("タイプ",[1]characters!$1:$1,0)-MATCH($F$1,[1]characters!$2:$2,0)+2),MATCH("タイプ",[1]characters!$1:$1,0)-MATCH($F$1,[1]characters!$2:$2,0)+2,FALSE)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7" s="10" t="str">
        <f ca="1">VLOOKUP($F217,OFFSET([1]characters!$A$2,0,0,COUNTA([1]characters!$A:$A),MATCH($L$1,[1]characters!$1:$1,0)-MATCH($F$1,[1]characters!$2:$2,0)+2),MATCH($L$1,[1]characters!$1:$1,0)-MATCH($F$1,[1]characters!$2:$2,0)+2,FALSE)</f>
        <v>ヒューマン</v>
      </c>
      <c r="M217" s="6">
        <v>1</v>
      </c>
      <c r="N217" s="40">
        <f ca="1">VLOOKUP(D217,gacha_133_base!A:B,2,FALSE)</f>
        <v>247</v>
      </c>
      <c r="O217" s="28">
        <v>0</v>
      </c>
      <c r="P217" s="28">
        <v>0</v>
      </c>
      <c r="Q217" s="28">
        <v>0</v>
      </c>
      <c r="R217" s="28">
        <v>0</v>
      </c>
      <c r="S217" s="28">
        <v>1</v>
      </c>
    </row>
    <row r="218" spans="1:19" ht="21" customHeight="1">
      <c r="A218" s="8" t="str">
        <f t="shared" si="12"/>
        <v>02281</v>
      </c>
      <c r="B218" s="2">
        <f t="shared" si="15"/>
        <v>135</v>
      </c>
      <c r="C218" s="10" t="str">
        <f t="shared" ca="1" si="13"/>
        <v>0PremiumS5</v>
      </c>
      <c r="D218" s="10" t="str">
        <f t="shared" ca="1" si="14"/>
        <v>0PremiumS5</v>
      </c>
      <c r="E218" s="6">
        <v>0</v>
      </c>
      <c r="F218" s="7">
        <v>228</v>
      </c>
      <c r="G218" s="10" t="str">
        <f ca="1">VLOOKUP($F218,OFFSET([1]characters!$A$2,0,0,COUNTA([1]characters!$A:$A),MATCH(G$1,[1]characters!$2:$2,0)-MATCH($F$1,[1]characters!$2:$2,0)+1),MATCH(G$1,[1]characters!$2:$2,0)-MATCH($F$1,[1]characters!$2:$2,0)+1,FALSE)</f>
        <v>殲滅の掃射砲 アレス</v>
      </c>
      <c r="H218" s="10" t="str">
        <f ca="1">VLOOKUP($F218,OFFSET([1]characters!$A$2,0,0,COUNTA([1]characters!$A:$A),MATCH(H$1,[1]characters!$2:$2,0)-MATCH($F$1,[1]characters!$2:$2,0)+1),MATCH(H$1,[1]characters!$2:$2,0)-MATCH($F$1,[1]characters!$2:$2,0)+1,FALSE)</f>
        <v>PremiumS</v>
      </c>
      <c r="I218" s="10">
        <f ca="1">VLOOKUP($F218,OFFSET([1]characters!$A$2,0,0,COUNTA([1]characters!$A:$A),MATCH(I$1,[1]characters!$2:$2,0)-MATCH($F$1,[1]characters!$2:$2,0)+1),MATCH(I$1,[1]characters!$2:$2,0)-MATCH($F$1,[1]characters!$2:$2,0)+1,FALSE)</f>
        <v>5</v>
      </c>
      <c r="J218" s="10" t="str">
        <f ca="1">VLOOKUP($F218,OFFSET([1]characters!$A$2,0,0,COUNTA([1]characters!$A:$A),MATCH(J$1,[1]characters!$2:$2,0)-MATCH($F$1,[1]characters!$2:$2,0)+1),MATCH(J$1,[1]characters!$2:$2,0)-MATCH($F$1,[1]characters!$2:$2,0)+1,FALSE)</f>
        <v>red</v>
      </c>
      <c r="K218" s="10" t="str">
        <f ca="1">VLOOKUP($F218,OFFSET([1]characters!$A$2,0,0,COUNTA([1]characters!$A:$A),MATCH("タイプ",[1]characters!$1:$1,0)-MATCH($F$1,[1]characters!$2:$2,0)+2),MATCH("タイプ",[1]characters!$1:$1,0)-MATCH($F$1,[1]characters!$2:$2,0)+2,FALSE)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8" s="10" t="str">
        <f ca="1">VLOOKUP($F218,OFFSET([1]characters!$A$2,0,0,COUNTA([1]characters!$A:$A),MATCH($L$1,[1]characters!$1:$1,0)-MATCH($F$1,[1]characters!$2:$2,0)+2),MATCH($L$1,[1]characters!$1:$1,0)-MATCH($F$1,[1]characters!$2:$2,0)+2,FALSE)</f>
        <v>ゴッド</v>
      </c>
      <c r="M218" s="6">
        <v>1</v>
      </c>
      <c r="N218" s="40">
        <f ca="1">VLOOKUP(D218,gacha_133_base!A:B,2,FALSE)</f>
        <v>13</v>
      </c>
      <c r="O218" s="28">
        <v>0</v>
      </c>
      <c r="P218" s="28">
        <v>0</v>
      </c>
      <c r="Q218" s="28">
        <v>0</v>
      </c>
      <c r="R218" s="28">
        <v>0</v>
      </c>
      <c r="S218" s="28">
        <v>1</v>
      </c>
    </row>
    <row r="219" spans="1:19" ht="21" customHeight="1">
      <c r="A219" s="8" t="str">
        <f t="shared" si="12"/>
        <v>02311</v>
      </c>
      <c r="B219" s="2">
        <f t="shared" si="15"/>
        <v>135</v>
      </c>
      <c r="C219" s="10" t="str">
        <f t="shared" ca="1" si="13"/>
        <v>0PremiumS5</v>
      </c>
      <c r="D219" s="10" t="str">
        <f t="shared" ca="1" si="14"/>
        <v>0PremiumS5</v>
      </c>
      <c r="E219" s="6">
        <v>0</v>
      </c>
      <c r="F219" s="7">
        <v>231</v>
      </c>
      <c r="G219" s="10" t="str">
        <f ca="1">VLOOKUP($F219,OFFSET([1]characters!$A$2,0,0,COUNTA([1]characters!$A:$A),MATCH(G$1,[1]characters!$2:$2,0)-MATCH($F$1,[1]characters!$2:$2,0)+1),MATCH(G$1,[1]characters!$2:$2,0)-MATCH($F$1,[1]characters!$2:$2,0)+1,FALSE)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219" s="10" t="str">
        <f ca="1">VLOOKUP($F219,OFFSET([1]characters!$A$2,0,0,COUNTA([1]characters!$A:$A),MATCH(H$1,[1]characters!$2:$2,0)-MATCH($F$1,[1]characters!$2:$2,0)+1),MATCH(H$1,[1]characters!$2:$2,0)-MATCH($F$1,[1]characters!$2:$2,0)+1,FALSE)</f>
        <v>PremiumS</v>
      </c>
      <c r="I219" s="10">
        <f ca="1">VLOOKUP($F219,OFFSET([1]characters!$A$2,0,0,COUNTA([1]characters!$A:$A),MATCH(I$1,[1]characters!$2:$2,0)-MATCH($F$1,[1]characters!$2:$2,0)+1),MATCH(I$1,[1]characters!$2:$2,0)-MATCH($F$1,[1]characters!$2:$2,0)+1,FALSE)</f>
        <v>5</v>
      </c>
      <c r="J219" s="10" t="str">
        <f ca="1">VLOOKUP($F219,OFFSET([1]characters!$A$2,0,0,COUNTA([1]characters!$A:$A),MATCH(J$1,[1]characters!$2:$2,0)-MATCH($F$1,[1]characters!$2:$2,0)+1),MATCH(J$1,[1]characters!$2:$2,0)-MATCH($F$1,[1]characters!$2:$2,0)+1,FALSE)</f>
        <v>green</v>
      </c>
      <c r="K219" s="10" t="str">
        <f ca="1">VLOOKUP($F219,OFFSET([1]characters!$A$2,0,0,COUNTA([1]characters!$A:$A),MATCH("タイプ",[1]characters!$1:$1,0)-MATCH($F$1,[1]characters!$2:$2,0)+2),MATCH("タイプ",[1]characters!$1:$1,0)-MATCH($F$1,[1]characters!$2:$2,0)+2,FALSE)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9" s="10" t="str">
        <f ca="1">VLOOKUP($F219,OFFSET([1]characters!$A$2,0,0,COUNTA([1]characters!$A:$A),MATCH($L$1,[1]characters!$1:$1,0)-MATCH($F$1,[1]characters!$2:$2,0)+2),MATCH($L$1,[1]characters!$1:$1,0)-MATCH($F$1,[1]characters!$2:$2,0)+2,FALSE)</f>
        <v>ドラゴン</v>
      </c>
      <c r="M219" s="6">
        <v>1</v>
      </c>
      <c r="N219" s="40">
        <f ca="1">VLOOKUP(D219,gacha_133_base!A:B,2,FALSE)</f>
        <v>13</v>
      </c>
      <c r="O219" s="28">
        <v>0</v>
      </c>
      <c r="P219" s="28">
        <v>0</v>
      </c>
      <c r="Q219" s="28">
        <v>0</v>
      </c>
      <c r="R219" s="28">
        <v>0</v>
      </c>
      <c r="S219" s="28">
        <v>1</v>
      </c>
    </row>
    <row r="220" spans="1:19" ht="21" customHeight="1">
      <c r="A220" s="8" t="str">
        <f t="shared" si="12"/>
        <v>02341</v>
      </c>
      <c r="B220" s="2">
        <f t="shared" si="15"/>
        <v>135</v>
      </c>
      <c r="C220" s="10" t="str">
        <f t="shared" ca="1" si="13"/>
        <v>0PremiumS5</v>
      </c>
      <c r="D220" s="10" t="str">
        <f t="shared" ca="1" si="14"/>
        <v>0PremiumS5</v>
      </c>
      <c r="E220" s="6">
        <v>0</v>
      </c>
      <c r="F220" s="7">
        <v>234</v>
      </c>
      <c r="G220" s="10" t="str">
        <f ca="1">VLOOKUP($F220,OFFSET([1]characters!$A$2,0,0,COUNTA([1]characters!$A:$A),MATCH(G$1,[1]characters!$2:$2,0)-MATCH($F$1,[1]characters!$2:$2,0)+1),MATCH(G$1,[1]characters!$2:$2,0)-MATCH($F$1,[1]characters!$2:$2,0)+1,FALSE)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220" s="10" t="str">
        <f ca="1">VLOOKUP($F220,OFFSET([1]characters!$A$2,0,0,COUNTA([1]characters!$A:$A),MATCH(H$1,[1]characters!$2:$2,0)-MATCH($F$1,[1]characters!$2:$2,0)+1),MATCH(H$1,[1]characters!$2:$2,0)-MATCH($F$1,[1]characters!$2:$2,0)+1,FALSE)</f>
        <v>PremiumS</v>
      </c>
      <c r="I220" s="10">
        <f ca="1">VLOOKUP($F220,OFFSET([1]characters!$A$2,0,0,COUNTA([1]characters!$A:$A),MATCH(I$1,[1]characters!$2:$2,0)-MATCH($F$1,[1]characters!$2:$2,0)+1),MATCH(I$1,[1]characters!$2:$2,0)-MATCH($F$1,[1]characters!$2:$2,0)+1,FALSE)</f>
        <v>5</v>
      </c>
      <c r="J220" s="10" t="str">
        <f ca="1">VLOOKUP($F220,OFFSET([1]characters!$A$2,0,0,COUNTA([1]characters!$A:$A),MATCH(J$1,[1]characters!$2:$2,0)-MATCH($F$1,[1]characters!$2:$2,0)+1),MATCH(J$1,[1]characters!$2:$2,0)-MATCH($F$1,[1]characters!$2:$2,0)+1,FALSE)</f>
        <v>blue</v>
      </c>
      <c r="K220" s="10" t="str">
        <f ca="1">VLOOKUP($F220,OFFSET([1]characters!$A$2,0,0,COUNTA([1]characters!$A:$A),MATCH("タイプ",[1]characters!$1:$1,0)-MATCH($F$1,[1]characters!$2:$2,0)+2),MATCH("タイプ",[1]characters!$1:$1,0)-MATCH($F$1,[1]characters!$2:$2,0)+2,FALSE)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20" s="10" t="str">
        <f ca="1">VLOOKUP($F220,OFFSET([1]characters!$A$2,0,0,COUNTA([1]characters!$A:$A),MATCH($L$1,[1]characters!$1:$1,0)-MATCH($F$1,[1]characters!$2:$2,0)+2),MATCH($L$1,[1]characters!$1:$1,0)-MATCH($F$1,[1]characters!$2:$2,0)+2,FALSE)</f>
        <v>ヒューマン</v>
      </c>
      <c r="M220" s="6">
        <v>1</v>
      </c>
      <c r="N220" s="40">
        <f ca="1">VLOOKUP(D220,gacha_133_base!A:B,2,FALSE)</f>
        <v>13</v>
      </c>
      <c r="O220" s="28">
        <v>0</v>
      </c>
      <c r="P220" s="28">
        <v>0</v>
      </c>
      <c r="Q220" s="28">
        <v>0</v>
      </c>
      <c r="R220" s="28">
        <v>0</v>
      </c>
      <c r="S220" s="28">
        <v>1</v>
      </c>
    </row>
    <row r="221" spans="1:19" s="26" customFormat="1" ht="21" customHeight="1" thickBot="1">
      <c r="A221" s="22" t="str">
        <f t="shared" si="12"/>
        <v>02371</v>
      </c>
      <c r="B221" s="2">
        <f t="shared" si="15"/>
        <v>135</v>
      </c>
      <c r="C221" s="10" t="str">
        <f t="shared" ca="1" si="13"/>
        <v>0PremiumS5</v>
      </c>
      <c r="D221" s="10" t="str">
        <f t="shared" ca="1" si="14"/>
        <v>0PremiumS5</v>
      </c>
      <c r="E221" s="6">
        <v>0</v>
      </c>
      <c r="F221" s="7">
        <v>237</v>
      </c>
      <c r="G221" s="10" t="str">
        <f ca="1">VLOOKUP($F221,OFFSET([1]characters!$A$2,0,0,COUNTA([1]characters!$A:$A),MATCH(G$1,[1]characters!$2:$2,0)-MATCH($F$1,[1]characters!$2:$2,0)+1),MATCH(G$1,[1]characters!$2:$2,0)-MATCH($F$1,[1]characters!$2:$2,0)+1,FALSE)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221" s="10" t="str">
        <f ca="1">VLOOKUP($F221,OFFSET([1]characters!$A$2,0,0,COUNTA([1]characters!$A:$A),MATCH(H$1,[1]characters!$2:$2,0)-MATCH($F$1,[1]characters!$2:$2,0)+1),MATCH(H$1,[1]characters!$2:$2,0)-MATCH($F$1,[1]characters!$2:$2,0)+1,FALSE)</f>
        <v>PremiumS</v>
      </c>
      <c r="I221" s="10">
        <f ca="1">VLOOKUP($F221,OFFSET([1]characters!$A$2,0,0,COUNTA([1]characters!$A:$A),MATCH(I$1,[1]characters!$2:$2,0)-MATCH($F$1,[1]characters!$2:$2,0)+1),MATCH(I$1,[1]characters!$2:$2,0)-MATCH($F$1,[1]characters!$2:$2,0)+1,FALSE)</f>
        <v>5</v>
      </c>
      <c r="J221" s="10" t="str">
        <f ca="1">VLOOKUP($F221,OFFSET([1]characters!$A$2,0,0,COUNTA([1]characters!$A:$A),MATCH(J$1,[1]characters!$2:$2,0)-MATCH($F$1,[1]characters!$2:$2,0)+1),MATCH(J$1,[1]characters!$2:$2,0)-MATCH($F$1,[1]characters!$2:$2,0)+1,FALSE)</f>
        <v>yellow</v>
      </c>
      <c r="K221" s="10" t="str">
        <f ca="1">VLOOKUP($F221,OFFSET([1]characters!$A$2,0,0,COUNTA([1]characters!$A:$A),MATCH("タイプ",[1]characters!$1:$1,0)-MATCH($F$1,[1]characters!$2:$2,0)+2),MATCH("タイプ",[1]characters!$1:$1,0)-MATCH($F$1,[1]characters!$2:$2,0)+2,FALSE)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1" s="10" t="str">
        <f ca="1">VLOOKUP($F221,OFFSET([1]characters!$A$2,0,0,COUNTA([1]characters!$A:$A),MATCH($L$1,[1]characters!$1:$1,0)-MATCH($F$1,[1]characters!$2:$2,0)+2),MATCH($L$1,[1]characters!$1:$1,0)-MATCH($F$1,[1]characters!$2:$2,0)+2,FALSE)</f>
        <v>ゴッド</v>
      </c>
      <c r="M221" s="6">
        <v>1</v>
      </c>
      <c r="N221" s="40">
        <f ca="1">VLOOKUP(D221,gacha_133_base!A:B,2,FALSE)</f>
        <v>13</v>
      </c>
      <c r="O221" s="28">
        <v>0</v>
      </c>
      <c r="P221" s="28">
        <v>0</v>
      </c>
      <c r="Q221" s="28">
        <v>0</v>
      </c>
      <c r="R221" s="28">
        <v>0</v>
      </c>
      <c r="S221" s="28">
        <v>1</v>
      </c>
    </row>
    <row r="222" spans="1:19" ht="21" customHeight="1">
      <c r="A222" s="8" t="str">
        <f t="shared" si="12"/>
        <v>02381</v>
      </c>
      <c r="B222" s="2">
        <f t="shared" si="15"/>
        <v>135</v>
      </c>
      <c r="C222" s="10" t="str">
        <f t="shared" ca="1" si="13"/>
        <v>0PremiumS3</v>
      </c>
      <c r="D222" s="10" t="str">
        <f t="shared" ca="1" si="14"/>
        <v>0PremiumS3</v>
      </c>
      <c r="E222" s="6">
        <v>0</v>
      </c>
      <c r="F222" s="19">
        <v>238</v>
      </c>
      <c r="G222" s="10" t="str">
        <f ca="1">VLOOKUP($F222,OFFSET([1]characters!$A$2,0,0,COUNTA([1]characters!$A:$A),MATCH(G$1,[1]characters!$2:$2,0)-MATCH($F$1,[1]characters!$2:$2,0)+1),MATCH(G$1,[1]characters!$2:$2,0)-MATCH($F$1,[1]characters!$2:$2,0)+1,FALSE)</f>
        <v>ウリエル</v>
      </c>
      <c r="H222" s="10" t="str">
        <f ca="1">VLOOKUP($F222,OFFSET([1]characters!$A$2,0,0,COUNTA([1]characters!$A:$A),MATCH(H$1,[1]characters!$2:$2,0)-MATCH($F$1,[1]characters!$2:$2,0)+1),MATCH(H$1,[1]characters!$2:$2,0)-MATCH($F$1,[1]characters!$2:$2,0)+1,FALSE)</f>
        <v>PremiumS</v>
      </c>
      <c r="I222" s="10">
        <f ca="1">VLOOKUP($F222,OFFSET([1]characters!$A$2,0,0,COUNTA([1]characters!$A:$A),MATCH(I$1,[1]characters!$2:$2,0)-MATCH($F$1,[1]characters!$2:$2,0)+1),MATCH(I$1,[1]characters!$2:$2,0)-MATCH($F$1,[1]characters!$2:$2,0)+1,FALSE)</f>
        <v>3</v>
      </c>
      <c r="J222" s="10" t="str">
        <f ca="1">VLOOKUP($F222,OFFSET([1]characters!$A$2,0,0,COUNTA([1]characters!$A:$A),MATCH(J$1,[1]characters!$2:$2,0)-MATCH($F$1,[1]characters!$2:$2,0)+1),MATCH(J$1,[1]characters!$2:$2,0)-MATCH($F$1,[1]characters!$2:$2,0)+1,FALSE)</f>
        <v>red</v>
      </c>
      <c r="K222" s="10" t="str">
        <f ca="1">VLOOKUP($F222,OFFSET([1]characters!$A$2,0,0,COUNTA([1]characters!$A:$A),MATCH("タイプ",[1]characters!$1:$1,0)-MATCH($F$1,[1]characters!$2:$2,0)+2),MATCH("タイプ",[1]characters!$1:$1,0)-MATCH($F$1,[1]characters!$2:$2,0)+2,FALSE)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2" s="10" t="str">
        <f ca="1">VLOOKUP($F222,OFFSET([1]characters!$A$2,0,0,COUNTA([1]characters!$A:$A),MATCH($L$1,[1]characters!$1:$1,0)-MATCH($F$1,[1]characters!$2:$2,0)+2),MATCH($L$1,[1]characters!$1:$1,0)-MATCH($F$1,[1]characters!$2:$2,0)+2,FALSE)</f>
        <v>マシン</v>
      </c>
      <c r="M222" s="6">
        <v>1</v>
      </c>
      <c r="N222" s="40">
        <f ca="1">VLOOKUP(D222,gacha_133_base!A:B,2,FALSE)</f>
        <v>228</v>
      </c>
      <c r="O222" s="28">
        <v>0</v>
      </c>
      <c r="P222" s="28">
        <v>0</v>
      </c>
      <c r="Q222" s="28">
        <v>0</v>
      </c>
      <c r="R222" s="28">
        <v>0</v>
      </c>
      <c r="S222" s="28">
        <v>1</v>
      </c>
    </row>
    <row r="223" spans="1:19" ht="21" customHeight="1">
      <c r="A223" s="8" t="str">
        <f t="shared" si="12"/>
        <v>02391</v>
      </c>
      <c r="B223" s="2">
        <f t="shared" si="15"/>
        <v>135</v>
      </c>
      <c r="C223" s="10" t="str">
        <f t="shared" ca="1" si="13"/>
        <v>0PremiumS4</v>
      </c>
      <c r="D223" s="10" t="str">
        <f t="shared" ca="1" si="14"/>
        <v>0PremiumS4</v>
      </c>
      <c r="E223" s="6">
        <v>0</v>
      </c>
      <c r="F223" s="19">
        <v>239</v>
      </c>
      <c r="G223" s="10" t="str">
        <f ca="1">VLOOKUP($F223,OFFSET([1]characters!$A$2,0,0,COUNTA([1]characters!$A:$A),MATCH(G$1,[1]characters!$2:$2,0)-MATCH($F$1,[1]characters!$2:$2,0)+1),MATCH(G$1,[1]characters!$2:$2,0)-MATCH($F$1,[1]characters!$2:$2,0)+1,FALSE)</f>
        <v>豪炎の天使 ウリエル</v>
      </c>
      <c r="H223" s="10" t="str">
        <f ca="1">VLOOKUP($F223,OFFSET([1]characters!$A$2,0,0,COUNTA([1]characters!$A:$A),MATCH(H$1,[1]characters!$2:$2,0)-MATCH($F$1,[1]characters!$2:$2,0)+1),MATCH(H$1,[1]characters!$2:$2,0)-MATCH($F$1,[1]characters!$2:$2,0)+1,FALSE)</f>
        <v>PremiumS</v>
      </c>
      <c r="I223" s="10">
        <f ca="1">VLOOKUP($F223,OFFSET([1]characters!$A$2,0,0,COUNTA([1]characters!$A:$A),MATCH(I$1,[1]characters!$2:$2,0)-MATCH($F$1,[1]characters!$2:$2,0)+1),MATCH(I$1,[1]characters!$2:$2,0)-MATCH($F$1,[1]characters!$2:$2,0)+1,FALSE)</f>
        <v>4</v>
      </c>
      <c r="J223" s="10" t="str">
        <f ca="1">VLOOKUP($F223,OFFSET([1]characters!$A$2,0,0,COUNTA([1]characters!$A:$A),MATCH(J$1,[1]characters!$2:$2,0)-MATCH($F$1,[1]characters!$2:$2,0)+1),MATCH(J$1,[1]characters!$2:$2,0)-MATCH($F$1,[1]characters!$2:$2,0)+1,FALSE)</f>
        <v>red</v>
      </c>
      <c r="K223" s="10" t="str">
        <f ca="1">VLOOKUP($F223,OFFSET([1]characters!$A$2,0,0,COUNTA([1]characters!$A:$A),MATCH("タイプ",[1]characters!$1:$1,0)-MATCH($F$1,[1]characters!$2:$2,0)+2),MATCH("タイプ",[1]characters!$1:$1,0)-MATCH($F$1,[1]characters!$2:$2,0)+2,FALSE)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3" s="10" t="str">
        <f ca="1">VLOOKUP($F223,OFFSET([1]characters!$A$2,0,0,COUNTA([1]characters!$A:$A),MATCH($L$1,[1]characters!$1:$1,0)-MATCH($F$1,[1]characters!$2:$2,0)+2),MATCH($L$1,[1]characters!$1:$1,0)-MATCH($F$1,[1]characters!$2:$2,0)+2,FALSE)</f>
        <v>マシン</v>
      </c>
      <c r="M223" s="6">
        <v>1</v>
      </c>
      <c r="N223" s="40">
        <f ca="1">VLOOKUP(D223,gacha_133_base!A:B,2,FALSE)</f>
        <v>80</v>
      </c>
      <c r="O223" s="28">
        <v>0</v>
      </c>
      <c r="P223" s="28">
        <v>0</v>
      </c>
      <c r="Q223" s="28">
        <v>0</v>
      </c>
      <c r="R223" s="28">
        <v>0</v>
      </c>
      <c r="S223" s="28">
        <v>1</v>
      </c>
    </row>
    <row r="224" spans="1:19" ht="21" customHeight="1">
      <c r="A224" s="8" t="str">
        <f t="shared" si="12"/>
        <v>02401</v>
      </c>
      <c r="B224" s="2">
        <f t="shared" si="15"/>
        <v>135</v>
      </c>
      <c r="C224" s="10" t="str">
        <f t="shared" ca="1" si="13"/>
        <v>0PremiumS5</v>
      </c>
      <c r="D224" s="10" t="str">
        <f t="shared" ca="1" si="14"/>
        <v>0PremiumS5</v>
      </c>
      <c r="E224" s="6">
        <v>0</v>
      </c>
      <c r="F224" s="19">
        <v>240</v>
      </c>
      <c r="G224" s="10" t="str">
        <f ca="1">VLOOKUP($F224,OFFSET([1]characters!$A$2,0,0,COUNTA([1]characters!$A:$A),MATCH(G$1,[1]characters!$2:$2,0)-MATCH($F$1,[1]characters!$2:$2,0)+1),MATCH(G$1,[1]characters!$2:$2,0)-MATCH($F$1,[1]characters!$2:$2,0)+1,FALSE)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224" s="10" t="str">
        <f ca="1">VLOOKUP($F224,OFFSET([1]characters!$A$2,0,0,COUNTA([1]characters!$A:$A),MATCH(H$1,[1]characters!$2:$2,0)-MATCH($F$1,[1]characters!$2:$2,0)+1),MATCH(H$1,[1]characters!$2:$2,0)-MATCH($F$1,[1]characters!$2:$2,0)+1,FALSE)</f>
        <v>PremiumS</v>
      </c>
      <c r="I224" s="10">
        <f ca="1">VLOOKUP($F224,OFFSET([1]characters!$A$2,0,0,COUNTA([1]characters!$A:$A),MATCH(I$1,[1]characters!$2:$2,0)-MATCH($F$1,[1]characters!$2:$2,0)+1),MATCH(I$1,[1]characters!$2:$2,0)-MATCH($F$1,[1]characters!$2:$2,0)+1,FALSE)</f>
        <v>5</v>
      </c>
      <c r="J224" s="10" t="str">
        <f ca="1">VLOOKUP($F224,OFFSET([1]characters!$A$2,0,0,COUNTA([1]characters!$A:$A),MATCH(J$1,[1]characters!$2:$2,0)-MATCH($F$1,[1]characters!$2:$2,0)+1),MATCH(J$1,[1]characters!$2:$2,0)-MATCH($F$1,[1]characters!$2:$2,0)+1,FALSE)</f>
        <v>red</v>
      </c>
      <c r="K224" s="10" t="str">
        <f ca="1">VLOOKUP($F224,OFFSET([1]characters!$A$2,0,0,COUNTA([1]characters!$A:$A),MATCH("タイプ",[1]characters!$1:$1,0)-MATCH($F$1,[1]characters!$2:$2,0)+2),MATCH("タイプ",[1]characters!$1:$1,0)-MATCH($F$1,[1]characters!$2:$2,0)+2,FALSE)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24" s="10" t="str">
        <f ca="1">VLOOKUP($F224,OFFSET([1]characters!$A$2,0,0,COUNTA([1]characters!$A:$A),MATCH($L$1,[1]characters!$1:$1,0)-MATCH($F$1,[1]characters!$2:$2,0)+2),MATCH($L$1,[1]characters!$1:$1,0)-MATCH($F$1,[1]characters!$2:$2,0)+2,FALSE)</f>
        <v>マシン</v>
      </c>
      <c r="M224" s="6">
        <v>1</v>
      </c>
      <c r="N224" s="40">
        <f ca="1">VLOOKUP(D224,gacha_133_base!A:B,2,FALSE)</f>
        <v>13</v>
      </c>
      <c r="O224" s="28">
        <v>0</v>
      </c>
      <c r="P224" s="28">
        <v>0</v>
      </c>
      <c r="Q224" s="28">
        <v>0</v>
      </c>
      <c r="R224" s="28">
        <v>0</v>
      </c>
      <c r="S224" s="28">
        <v>1</v>
      </c>
    </row>
    <row r="225" spans="1:19" ht="21" customHeight="1">
      <c r="A225" s="8" t="str">
        <f t="shared" si="12"/>
        <v>02411</v>
      </c>
      <c r="B225" s="2">
        <f t="shared" si="15"/>
        <v>135</v>
      </c>
      <c r="C225" s="10" t="str">
        <f t="shared" ca="1" si="13"/>
        <v>0PremiumS3</v>
      </c>
      <c r="D225" s="10" t="str">
        <f t="shared" ca="1" si="14"/>
        <v>0PremiumS3</v>
      </c>
      <c r="E225" s="6">
        <v>0</v>
      </c>
      <c r="F225" s="19">
        <v>241</v>
      </c>
      <c r="G225" s="10" t="str">
        <f ca="1">VLOOKUP($F225,OFFSET([1]characters!$A$2,0,0,COUNTA([1]characters!$A:$A),MATCH(G$1,[1]characters!$2:$2,0)-MATCH($F$1,[1]characters!$2:$2,0)+1),MATCH(G$1,[1]characters!$2:$2,0)-MATCH($F$1,[1]characters!$2:$2,0)+1,FALSE)</f>
        <v>ガブリエル</v>
      </c>
      <c r="H225" s="10" t="str">
        <f ca="1">VLOOKUP($F225,OFFSET([1]characters!$A$2,0,0,COUNTA([1]characters!$A:$A),MATCH(H$1,[1]characters!$2:$2,0)-MATCH($F$1,[1]characters!$2:$2,0)+1),MATCH(H$1,[1]characters!$2:$2,0)-MATCH($F$1,[1]characters!$2:$2,0)+1,FALSE)</f>
        <v>PremiumS</v>
      </c>
      <c r="I225" s="10">
        <f ca="1">VLOOKUP($F225,OFFSET([1]characters!$A$2,0,0,COUNTA([1]characters!$A:$A),MATCH(I$1,[1]characters!$2:$2,0)-MATCH($F$1,[1]characters!$2:$2,0)+1),MATCH(I$1,[1]characters!$2:$2,0)-MATCH($F$1,[1]characters!$2:$2,0)+1,FALSE)</f>
        <v>3</v>
      </c>
      <c r="J225" s="10" t="str">
        <f ca="1">VLOOKUP($F225,OFFSET([1]characters!$A$2,0,0,COUNTA([1]characters!$A:$A),MATCH(J$1,[1]characters!$2:$2,0)-MATCH($F$1,[1]characters!$2:$2,0)+1),MATCH(J$1,[1]characters!$2:$2,0)-MATCH($F$1,[1]characters!$2:$2,0)+1,FALSE)</f>
        <v>green</v>
      </c>
      <c r="K225" s="10" t="str">
        <f ca="1">VLOOKUP($F225,OFFSET([1]characters!$A$2,0,0,COUNTA([1]characters!$A:$A),MATCH("タイプ",[1]characters!$1:$1,0)-MATCH($F$1,[1]characters!$2:$2,0)+2),MATCH("タイプ",[1]characters!$1:$1,0)-MATCH($F$1,[1]characters!$2:$2,0)+2,FALSE)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5" s="10" t="str">
        <f ca="1">VLOOKUP($F225,OFFSET([1]characters!$A$2,0,0,COUNTA([1]characters!$A:$A),MATCH($L$1,[1]characters!$1:$1,0)-MATCH($F$1,[1]characters!$2:$2,0)+2),MATCH($L$1,[1]characters!$1:$1,0)-MATCH($F$1,[1]characters!$2:$2,0)+2,FALSE)</f>
        <v>マシン</v>
      </c>
      <c r="M225" s="6">
        <v>1</v>
      </c>
      <c r="N225" s="40">
        <f ca="1">VLOOKUP(D225,gacha_133_base!A:B,2,FALSE)</f>
        <v>228</v>
      </c>
      <c r="O225" s="28">
        <v>0</v>
      </c>
      <c r="P225" s="28">
        <v>0</v>
      </c>
      <c r="Q225" s="28">
        <v>0</v>
      </c>
      <c r="R225" s="28">
        <v>0</v>
      </c>
      <c r="S225" s="28">
        <v>1</v>
      </c>
    </row>
    <row r="226" spans="1:19" ht="21" customHeight="1">
      <c r="A226" s="8" t="str">
        <f t="shared" si="12"/>
        <v>02421</v>
      </c>
      <c r="B226" s="2">
        <f t="shared" si="15"/>
        <v>135</v>
      </c>
      <c r="C226" s="10" t="str">
        <f t="shared" ca="1" si="13"/>
        <v>0PremiumS4</v>
      </c>
      <c r="D226" s="10" t="str">
        <f t="shared" ca="1" si="14"/>
        <v>0PremiumS4</v>
      </c>
      <c r="E226" s="6">
        <v>0</v>
      </c>
      <c r="F226" s="19">
        <v>242</v>
      </c>
      <c r="G226" s="10" t="str">
        <f ca="1">VLOOKUP($F226,OFFSET([1]characters!$A$2,0,0,COUNTA([1]characters!$A:$A),MATCH(G$1,[1]characters!$2:$2,0)-MATCH($F$1,[1]characters!$2:$2,0)+1),MATCH(G$1,[1]characters!$2:$2,0)-MATCH($F$1,[1]characters!$2:$2,0)+1,FALSE)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226" s="10" t="str">
        <f ca="1">VLOOKUP($F226,OFFSET([1]characters!$A$2,0,0,COUNTA([1]characters!$A:$A),MATCH(H$1,[1]characters!$2:$2,0)-MATCH($F$1,[1]characters!$2:$2,0)+1),MATCH(H$1,[1]characters!$2:$2,0)-MATCH($F$1,[1]characters!$2:$2,0)+1,FALSE)</f>
        <v>PremiumS</v>
      </c>
      <c r="I226" s="10">
        <f ca="1">VLOOKUP($F226,OFFSET([1]characters!$A$2,0,0,COUNTA([1]characters!$A:$A),MATCH(I$1,[1]characters!$2:$2,0)-MATCH($F$1,[1]characters!$2:$2,0)+1),MATCH(I$1,[1]characters!$2:$2,0)-MATCH($F$1,[1]characters!$2:$2,0)+1,FALSE)</f>
        <v>4</v>
      </c>
      <c r="J226" s="10" t="str">
        <f ca="1">VLOOKUP($F226,OFFSET([1]characters!$A$2,0,0,COUNTA([1]characters!$A:$A),MATCH(J$1,[1]characters!$2:$2,0)-MATCH($F$1,[1]characters!$2:$2,0)+1),MATCH(J$1,[1]characters!$2:$2,0)-MATCH($F$1,[1]characters!$2:$2,0)+1,FALSE)</f>
        <v>green</v>
      </c>
      <c r="K226" s="10" t="str">
        <f ca="1">VLOOKUP($F226,OFFSET([1]characters!$A$2,0,0,COUNTA([1]characters!$A:$A),MATCH("タイプ",[1]characters!$1:$1,0)-MATCH($F$1,[1]characters!$2:$2,0)+2),MATCH("タイプ",[1]characters!$1:$1,0)-MATCH($F$1,[1]characters!$2:$2,0)+2,FALSE)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6" s="10" t="str">
        <f ca="1">VLOOKUP($F226,OFFSET([1]characters!$A$2,0,0,COUNTA([1]characters!$A:$A),MATCH($L$1,[1]characters!$1:$1,0)-MATCH($F$1,[1]characters!$2:$2,0)+2),MATCH($L$1,[1]characters!$1:$1,0)-MATCH($F$1,[1]characters!$2:$2,0)+2,FALSE)</f>
        <v>マシン</v>
      </c>
      <c r="M226" s="6">
        <v>1</v>
      </c>
      <c r="N226" s="40">
        <f ca="1">VLOOKUP(D226,gacha_133_base!A:B,2,FALSE)</f>
        <v>80</v>
      </c>
      <c r="O226" s="28">
        <v>0</v>
      </c>
      <c r="P226" s="28">
        <v>0</v>
      </c>
      <c r="Q226" s="28">
        <v>0</v>
      </c>
      <c r="R226" s="28">
        <v>0</v>
      </c>
      <c r="S226" s="28">
        <v>1</v>
      </c>
    </row>
    <row r="227" spans="1:19" ht="21" customHeight="1">
      <c r="A227" s="8" t="str">
        <f t="shared" ref="A227:A273" si="16">E227&amp;F227&amp;M227</f>
        <v>02431</v>
      </c>
      <c r="B227" s="2">
        <f t="shared" si="15"/>
        <v>135</v>
      </c>
      <c r="C227" s="10" t="str">
        <f t="shared" ca="1" si="13"/>
        <v>0PremiumS5</v>
      </c>
      <c r="D227" s="10" t="str">
        <f t="shared" ca="1" si="14"/>
        <v>0PremiumS5</v>
      </c>
      <c r="E227" s="6">
        <v>0</v>
      </c>
      <c r="F227" s="19">
        <v>243</v>
      </c>
      <c r="G227" s="10" t="str">
        <f ca="1">VLOOKUP($F227,OFFSET([1]characters!$A$2,0,0,COUNTA([1]characters!$A:$A),MATCH(G$1,[1]characters!$2:$2,0)-MATCH($F$1,[1]characters!$2:$2,0)+1),MATCH(G$1,[1]characters!$2:$2,0)-MATCH($F$1,[1]characters!$2:$2,0)+1,FALSE)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227" s="10" t="str">
        <f ca="1">VLOOKUP($F227,OFFSET([1]characters!$A$2,0,0,COUNTA([1]characters!$A:$A),MATCH(H$1,[1]characters!$2:$2,0)-MATCH($F$1,[1]characters!$2:$2,0)+1),MATCH(H$1,[1]characters!$2:$2,0)-MATCH($F$1,[1]characters!$2:$2,0)+1,FALSE)</f>
        <v>PremiumS</v>
      </c>
      <c r="I227" s="10">
        <f ca="1">VLOOKUP($F227,OFFSET([1]characters!$A$2,0,0,COUNTA([1]characters!$A:$A),MATCH(I$1,[1]characters!$2:$2,0)-MATCH($F$1,[1]characters!$2:$2,0)+1),MATCH(I$1,[1]characters!$2:$2,0)-MATCH($F$1,[1]characters!$2:$2,0)+1,FALSE)</f>
        <v>5</v>
      </c>
      <c r="J227" s="10" t="str">
        <f ca="1">VLOOKUP($F227,OFFSET([1]characters!$A$2,0,0,COUNTA([1]characters!$A:$A),MATCH(J$1,[1]characters!$2:$2,0)-MATCH($F$1,[1]characters!$2:$2,0)+1),MATCH(J$1,[1]characters!$2:$2,0)-MATCH($F$1,[1]characters!$2:$2,0)+1,FALSE)</f>
        <v>green</v>
      </c>
      <c r="K227" s="10" t="str">
        <f ca="1">VLOOKUP($F227,OFFSET([1]characters!$A$2,0,0,COUNTA([1]characters!$A:$A),MATCH("タイプ",[1]characters!$1:$1,0)-MATCH($F$1,[1]characters!$2:$2,0)+2),MATCH("タイプ",[1]characters!$1:$1,0)-MATCH($F$1,[1]characters!$2:$2,0)+2,FALSE)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7" s="10" t="str">
        <f ca="1">VLOOKUP($F227,OFFSET([1]characters!$A$2,0,0,COUNTA([1]characters!$A:$A),MATCH($L$1,[1]characters!$1:$1,0)-MATCH($F$1,[1]characters!$2:$2,0)+2),MATCH($L$1,[1]characters!$1:$1,0)-MATCH($F$1,[1]characters!$2:$2,0)+2,FALSE)</f>
        <v>マシン</v>
      </c>
      <c r="M227" s="6">
        <v>1</v>
      </c>
      <c r="N227" s="40">
        <f ca="1">VLOOKUP(D227,gacha_133_base!A:B,2,FALSE)</f>
        <v>13</v>
      </c>
      <c r="O227" s="28">
        <v>0</v>
      </c>
      <c r="P227" s="28">
        <v>0</v>
      </c>
      <c r="Q227" s="28">
        <v>0</v>
      </c>
      <c r="R227" s="28">
        <v>0</v>
      </c>
      <c r="S227" s="28">
        <v>1</v>
      </c>
    </row>
    <row r="228" spans="1:19" ht="21" customHeight="1">
      <c r="A228" s="8" t="str">
        <f t="shared" si="16"/>
        <v>02441</v>
      </c>
      <c r="B228" s="2">
        <f t="shared" si="15"/>
        <v>135</v>
      </c>
      <c r="C228" s="10" t="str">
        <f t="shared" ca="1" si="13"/>
        <v>0PremiumS3</v>
      </c>
      <c r="D228" s="10" t="str">
        <f t="shared" ca="1" si="14"/>
        <v>0PremiumS3</v>
      </c>
      <c r="E228" s="6">
        <v>0</v>
      </c>
      <c r="F228" s="19">
        <v>244</v>
      </c>
      <c r="G228" s="10" t="str">
        <f ca="1">VLOOKUP($F228,OFFSET([1]characters!$A$2,0,0,COUNTA([1]characters!$A:$A),MATCH(G$1,[1]characters!$2:$2,0)-MATCH($F$1,[1]characters!$2:$2,0)+1),MATCH(G$1,[1]characters!$2:$2,0)-MATCH($F$1,[1]characters!$2:$2,0)+1,FALSE)</f>
        <v>ラファエル</v>
      </c>
      <c r="H228" s="10" t="str">
        <f ca="1">VLOOKUP($F228,OFFSET([1]characters!$A$2,0,0,COUNTA([1]characters!$A:$A),MATCH(H$1,[1]characters!$2:$2,0)-MATCH($F$1,[1]characters!$2:$2,0)+1),MATCH(H$1,[1]characters!$2:$2,0)-MATCH($F$1,[1]characters!$2:$2,0)+1,FALSE)</f>
        <v>PremiumS</v>
      </c>
      <c r="I228" s="10">
        <f ca="1">VLOOKUP($F228,OFFSET([1]characters!$A$2,0,0,COUNTA([1]characters!$A:$A),MATCH(I$1,[1]characters!$2:$2,0)-MATCH($F$1,[1]characters!$2:$2,0)+1),MATCH(I$1,[1]characters!$2:$2,0)-MATCH($F$1,[1]characters!$2:$2,0)+1,FALSE)</f>
        <v>3</v>
      </c>
      <c r="J228" s="10" t="str">
        <f ca="1">VLOOKUP($F228,OFFSET([1]characters!$A$2,0,0,COUNTA([1]characters!$A:$A),MATCH(J$1,[1]characters!$2:$2,0)-MATCH($F$1,[1]characters!$2:$2,0)+1),MATCH(J$1,[1]characters!$2:$2,0)-MATCH($F$1,[1]characters!$2:$2,0)+1,FALSE)</f>
        <v>blue</v>
      </c>
      <c r="K228" s="10" t="str">
        <f ca="1">VLOOKUP($F228,OFFSET([1]characters!$A$2,0,0,COUNTA([1]characters!$A:$A),MATCH("タイプ",[1]characters!$1:$1,0)-MATCH($F$1,[1]characters!$2:$2,0)+2),MATCH("タイプ",[1]characters!$1:$1,0)-MATCH($F$1,[1]characters!$2:$2,0)+2,FALSE)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8" s="10" t="str">
        <f ca="1">VLOOKUP($F228,OFFSET([1]characters!$A$2,0,0,COUNTA([1]characters!$A:$A),MATCH($L$1,[1]characters!$1:$1,0)-MATCH($F$1,[1]characters!$2:$2,0)+2),MATCH($L$1,[1]characters!$1:$1,0)-MATCH($F$1,[1]characters!$2:$2,0)+2,FALSE)</f>
        <v>マシン</v>
      </c>
      <c r="M228" s="6">
        <v>1</v>
      </c>
      <c r="N228" s="40">
        <f ca="1">VLOOKUP(D228,gacha_133_base!A:B,2,FALSE)</f>
        <v>228</v>
      </c>
      <c r="O228" s="28">
        <v>0</v>
      </c>
      <c r="P228" s="28">
        <v>0</v>
      </c>
      <c r="Q228" s="28">
        <v>0</v>
      </c>
      <c r="R228" s="28">
        <v>0</v>
      </c>
      <c r="S228" s="28">
        <v>1</v>
      </c>
    </row>
    <row r="229" spans="1:19" ht="21" customHeight="1">
      <c r="A229" s="8" t="str">
        <f t="shared" si="16"/>
        <v>02451</v>
      </c>
      <c r="B229" s="2">
        <f t="shared" si="15"/>
        <v>135</v>
      </c>
      <c r="C229" s="10" t="str">
        <f t="shared" ca="1" si="13"/>
        <v>0PremiumS4</v>
      </c>
      <c r="D229" s="10" t="str">
        <f t="shared" ca="1" si="14"/>
        <v>0PremiumS4</v>
      </c>
      <c r="E229" s="6">
        <v>0</v>
      </c>
      <c r="F229" s="19">
        <v>245</v>
      </c>
      <c r="G229" s="10" t="str">
        <f ca="1">VLOOKUP($F229,OFFSET([1]characters!$A$2,0,0,COUNTA([1]characters!$A:$A),MATCH(G$1,[1]characters!$2:$2,0)-MATCH($F$1,[1]characters!$2:$2,0)+1),MATCH(G$1,[1]characters!$2:$2,0)-MATCH($F$1,[1]characters!$2:$2,0)+1,FALSE)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229" s="10" t="str">
        <f ca="1">VLOOKUP($F229,OFFSET([1]characters!$A$2,0,0,COUNTA([1]characters!$A:$A),MATCH(H$1,[1]characters!$2:$2,0)-MATCH($F$1,[1]characters!$2:$2,0)+1),MATCH(H$1,[1]characters!$2:$2,0)-MATCH($F$1,[1]characters!$2:$2,0)+1,FALSE)</f>
        <v>PremiumS</v>
      </c>
      <c r="I229" s="10">
        <f ca="1">VLOOKUP($F229,OFFSET([1]characters!$A$2,0,0,COUNTA([1]characters!$A:$A),MATCH(I$1,[1]characters!$2:$2,0)-MATCH($F$1,[1]characters!$2:$2,0)+1),MATCH(I$1,[1]characters!$2:$2,0)-MATCH($F$1,[1]characters!$2:$2,0)+1,FALSE)</f>
        <v>4</v>
      </c>
      <c r="J229" s="10" t="str">
        <f ca="1">VLOOKUP($F229,OFFSET([1]characters!$A$2,0,0,COUNTA([1]characters!$A:$A),MATCH(J$1,[1]characters!$2:$2,0)-MATCH($F$1,[1]characters!$2:$2,0)+1),MATCH(J$1,[1]characters!$2:$2,0)-MATCH($F$1,[1]characters!$2:$2,0)+1,FALSE)</f>
        <v>blue</v>
      </c>
      <c r="K229" s="10" t="str">
        <f ca="1">VLOOKUP($F229,OFFSET([1]characters!$A$2,0,0,COUNTA([1]characters!$A:$A),MATCH("タイプ",[1]characters!$1:$1,0)-MATCH($F$1,[1]characters!$2:$2,0)+2),MATCH("タイプ",[1]characters!$1:$1,0)-MATCH($F$1,[1]characters!$2:$2,0)+2,FALSE)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9" s="10" t="str">
        <f ca="1">VLOOKUP($F229,OFFSET([1]characters!$A$2,0,0,COUNTA([1]characters!$A:$A),MATCH($L$1,[1]characters!$1:$1,0)-MATCH($F$1,[1]characters!$2:$2,0)+2),MATCH($L$1,[1]characters!$1:$1,0)-MATCH($F$1,[1]characters!$2:$2,0)+2,FALSE)</f>
        <v>マシン</v>
      </c>
      <c r="M229" s="6">
        <v>1</v>
      </c>
      <c r="N229" s="40">
        <f ca="1">VLOOKUP(D229,gacha_133_base!A:B,2,FALSE)</f>
        <v>80</v>
      </c>
      <c r="O229" s="28">
        <v>0</v>
      </c>
      <c r="P229" s="28">
        <v>0</v>
      </c>
      <c r="Q229" s="28">
        <v>0</v>
      </c>
      <c r="R229" s="28">
        <v>0</v>
      </c>
      <c r="S229" s="28">
        <v>1</v>
      </c>
    </row>
    <row r="230" spans="1:19" ht="21" customHeight="1">
      <c r="A230" s="8" t="str">
        <f t="shared" si="16"/>
        <v>02461</v>
      </c>
      <c r="B230" s="2">
        <f t="shared" si="15"/>
        <v>135</v>
      </c>
      <c r="C230" s="10" t="str">
        <f t="shared" ca="1" si="13"/>
        <v>0PremiumS5</v>
      </c>
      <c r="D230" s="10" t="str">
        <f t="shared" ca="1" si="14"/>
        <v>0PremiumS5</v>
      </c>
      <c r="E230" s="6">
        <v>0</v>
      </c>
      <c r="F230" s="19">
        <v>246</v>
      </c>
      <c r="G230" s="10" t="str">
        <f ca="1">VLOOKUP($F230,OFFSET([1]characters!$A$2,0,0,COUNTA([1]characters!$A:$A),MATCH(G$1,[1]characters!$2:$2,0)-MATCH($F$1,[1]characters!$2:$2,0)+1),MATCH(G$1,[1]characters!$2:$2,0)-MATCH($F$1,[1]characters!$2:$2,0)+1,FALSE)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230" s="10" t="str">
        <f ca="1">VLOOKUP($F230,OFFSET([1]characters!$A$2,0,0,COUNTA([1]characters!$A:$A),MATCH(H$1,[1]characters!$2:$2,0)-MATCH($F$1,[1]characters!$2:$2,0)+1),MATCH(H$1,[1]characters!$2:$2,0)-MATCH($F$1,[1]characters!$2:$2,0)+1,FALSE)</f>
        <v>PremiumS</v>
      </c>
      <c r="I230" s="10">
        <f ca="1">VLOOKUP($F230,OFFSET([1]characters!$A$2,0,0,COUNTA([1]characters!$A:$A),MATCH(I$1,[1]characters!$2:$2,0)-MATCH($F$1,[1]characters!$2:$2,0)+1),MATCH(I$1,[1]characters!$2:$2,0)-MATCH($F$1,[1]characters!$2:$2,0)+1,FALSE)</f>
        <v>5</v>
      </c>
      <c r="J230" s="10" t="str">
        <f ca="1">VLOOKUP($F230,OFFSET([1]characters!$A$2,0,0,COUNTA([1]characters!$A:$A),MATCH(J$1,[1]characters!$2:$2,0)-MATCH($F$1,[1]characters!$2:$2,0)+1),MATCH(J$1,[1]characters!$2:$2,0)-MATCH($F$1,[1]characters!$2:$2,0)+1,FALSE)</f>
        <v>blue</v>
      </c>
      <c r="K230" s="10" t="str">
        <f ca="1">VLOOKUP($F230,OFFSET([1]characters!$A$2,0,0,COUNTA([1]characters!$A:$A),MATCH("タイプ",[1]characters!$1:$1,0)-MATCH($F$1,[1]characters!$2:$2,0)+2),MATCH("タイプ",[1]characters!$1:$1,0)-MATCH($F$1,[1]characters!$2:$2,0)+2,FALSE)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0" s="10" t="str">
        <f ca="1">VLOOKUP($F230,OFFSET([1]characters!$A$2,0,0,COUNTA([1]characters!$A:$A),MATCH($L$1,[1]characters!$1:$1,0)-MATCH($F$1,[1]characters!$2:$2,0)+2),MATCH($L$1,[1]characters!$1:$1,0)-MATCH($F$1,[1]characters!$2:$2,0)+2,FALSE)</f>
        <v>マシン</v>
      </c>
      <c r="M230" s="6">
        <v>1</v>
      </c>
      <c r="N230" s="40">
        <f ca="1">VLOOKUP(D230,gacha_133_base!A:B,2,FALSE)</f>
        <v>13</v>
      </c>
      <c r="O230" s="28">
        <v>0</v>
      </c>
      <c r="P230" s="28">
        <v>0</v>
      </c>
      <c r="Q230" s="28">
        <v>0</v>
      </c>
      <c r="R230" s="28">
        <v>0</v>
      </c>
      <c r="S230" s="28">
        <v>1</v>
      </c>
    </row>
    <row r="231" spans="1:19" ht="21" customHeight="1">
      <c r="A231" s="8" t="str">
        <f t="shared" si="16"/>
        <v>02471</v>
      </c>
      <c r="B231" s="2">
        <f t="shared" si="15"/>
        <v>135</v>
      </c>
      <c r="C231" s="10" t="str">
        <f t="shared" ca="1" si="13"/>
        <v>0PremiumS3</v>
      </c>
      <c r="D231" s="10" t="str">
        <f t="shared" ca="1" si="14"/>
        <v>0PremiumS3</v>
      </c>
      <c r="E231" s="6">
        <v>0</v>
      </c>
      <c r="F231" s="19">
        <v>247</v>
      </c>
      <c r="G231" s="10" t="str">
        <f ca="1">VLOOKUP($F231,OFFSET([1]characters!$A$2,0,0,COUNTA([1]characters!$A:$A),MATCH(G$1,[1]characters!$2:$2,0)-MATCH($F$1,[1]characters!$2:$2,0)+1),MATCH(G$1,[1]characters!$2:$2,0)-MATCH($F$1,[1]characters!$2:$2,0)+1,FALSE)</f>
        <v>ミカエル</v>
      </c>
      <c r="H231" s="10" t="str">
        <f ca="1">VLOOKUP($F231,OFFSET([1]characters!$A$2,0,0,COUNTA([1]characters!$A:$A),MATCH(H$1,[1]characters!$2:$2,0)-MATCH($F$1,[1]characters!$2:$2,0)+1),MATCH(H$1,[1]characters!$2:$2,0)-MATCH($F$1,[1]characters!$2:$2,0)+1,FALSE)</f>
        <v>PremiumS</v>
      </c>
      <c r="I231" s="10">
        <f ca="1">VLOOKUP($F231,OFFSET([1]characters!$A$2,0,0,COUNTA([1]characters!$A:$A),MATCH(I$1,[1]characters!$2:$2,0)-MATCH($F$1,[1]characters!$2:$2,0)+1),MATCH(I$1,[1]characters!$2:$2,0)-MATCH($F$1,[1]characters!$2:$2,0)+1,FALSE)</f>
        <v>3</v>
      </c>
      <c r="J231" s="10" t="str">
        <f ca="1">VLOOKUP($F231,OFFSET([1]characters!$A$2,0,0,COUNTA([1]characters!$A:$A),MATCH(J$1,[1]characters!$2:$2,0)-MATCH($F$1,[1]characters!$2:$2,0)+1),MATCH(J$1,[1]characters!$2:$2,0)-MATCH($F$1,[1]characters!$2:$2,0)+1,FALSE)</f>
        <v>yellow</v>
      </c>
      <c r="K231" s="10" t="str">
        <f ca="1">VLOOKUP($F231,OFFSET([1]characters!$A$2,0,0,COUNTA([1]characters!$A:$A),MATCH("タイプ",[1]characters!$1:$1,0)-MATCH($F$1,[1]characters!$2:$2,0)+2),MATCH("タイプ",[1]characters!$1:$1,0)-MATCH($F$1,[1]characters!$2:$2,0)+2,FALSE)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1" s="10" t="str">
        <f ca="1">VLOOKUP($F231,OFFSET([1]characters!$A$2,0,0,COUNTA([1]characters!$A:$A),MATCH($L$1,[1]characters!$1:$1,0)-MATCH($F$1,[1]characters!$2:$2,0)+2),MATCH($L$1,[1]characters!$1:$1,0)-MATCH($F$1,[1]characters!$2:$2,0)+2,FALSE)</f>
        <v>マシン</v>
      </c>
      <c r="M231" s="6">
        <v>1</v>
      </c>
      <c r="N231" s="40">
        <f ca="1">VLOOKUP(D231,gacha_133_base!A:B,2,FALSE)</f>
        <v>228</v>
      </c>
      <c r="O231" s="28">
        <v>0</v>
      </c>
      <c r="P231" s="28">
        <v>0</v>
      </c>
      <c r="Q231" s="28">
        <v>0</v>
      </c>
      <c r="R231" s="28">
        <v>0</v>
      </c>
      <c r="S231" s="28">
        <v>1</v>
      </c>
    </row>
    <row r="232" spans="1:19" ht="21" customHeight="1">
      <c r="A232" s="8" t="str">
        <f t="shared" si="16"/>
        <v>02481</v>
      </c>
      <c r="B232" s="2">
        <f t="shared" si="15"/>
        <v>135</v>
      </c>
      <c r="C232" s="10" t="str">
        <f t="shared" ca="1" si="13"/>
        <v>0PremiumS4</v>
      </c>
      <c r="D232" s="10" t="str">
        <f t="shared" ca="1" si="14"/>
        <v>0PremiumS4</v>
      </c>
      <c r="E232" s="6">
        <v>0</v>
      </c>
      <c r="F232" s="19">
        <v>248</v>
      </c>
      <c r="G232" s="10" t="str">
        <f ca="1">VLOOKUP($F232,OFFSET([1]characters!$A$2,0,0,COUNTA([1]characters!$A:$A),MATCH(G$1,[1]characters!$2:$2,0)-MATCH($F$1,[1]characters!$2:$2,0)+1),MATCH(G$1,[1]characters!$2:$2,0)-MATCH($F$1,[1]characters!$2:$2,0)+1,FALSE)</f>
        <v>彩電の天使 ミカエル</v>
      </c>
      <c r="H232" s="10" t="str">
        <f ca="1">VLOOKUP($F232,OFFSET([1]characters!$A$2,0,0,COUNTA([1]characters!$A:$A),MATCH(H$1,[1]characters!$2:$2,0)-MATCH($F$1,[1]characters!$2:$2,0)+1),MATCH(H$1,[1]characters!$2:$2,0)-MATCH($F$1,[1]characters!$2:$2,0)+1,FALSE)</f>
        <v>PremiumS</v>
      </c>
      <c r="I232" s="10">
        <f ca="1">VLOOKUP($F232,OFFSET([1]characters!$A$2,0,0,COUNTA([1]characters!$A:$A),MATCH(I$1,[1]characters!$2:$2,0)-MATCH($F$1,[1]characters!$2:$2,0)+1),MATCH(I$1,[1]characters!$2:$2,0)-MATCH($F$1,[1]characters!$2:$2,0)+1,FALSE)</f>
        <v>4</v>
      </c>
      <c r="J232" s="10" t="str">
        <f ca="1">VLOOKUP($F232,OFFSET([1]characters!$A$2,0,0,COUNTA([1]characters!$A:$A),MATCH(J$1,[1]characters!$2:$2,0)-MATCH($F$1,[1]characters!$2:$2,0)+1),MATCH(J$1,[1]characters!$2:$2,0)-MATCH($F$1,[1]characters!$2:$2,0)+1,FALSE)</f>
        <v>yellow</v>
      </c>
      <c r="K232" s="10" t="str">
        <f ca="1">VLOOKUP($F232,OFFSET([1]characters!$A$2,0,0,COUNTA([1]characters!$A:$A),MATCH("タイプ",[1]characters!$1:$1,0)-MATCH($F$1,[1]characters!$2:$2,0)+2),MATCH("タイプ",[1]characters!$1:$1,0)-MATCH($F$1,[1]characters!$2:$2,0)+2,FALSE)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2" s="10" t="str">
        <f ca="1">VLOOKUP($F232,OFFSET([1]characters!$A$2,0,0,COUNTA([1]characters!$A:$A),MATCH($L$1,[1]characters!$1:$1,0)-MATCH($F$1,[1]characters!$2:$2,0)+2),MATCH($L$1,[1]characters!$1:$1,0)-MATCH($F$1,[1]characters!$2:$2,0)+2,FALSE)</f>
        <v>マシン</v>
      </c>
      <c r="M232" s="6">
        <v>1</v>
      </c>
      <c r="N232" s="40">
        <f ca="1">VLOOKUP(D232,gacha_133_base!A:B,2,FALSE)</f>
        <v>80</v>
      </c>
      <c r="O232" s="28">
        <v>0</v>
      </c>
      <c r="P232" s="28">
        <v>0</v>
      </c>
      <c r="Q232" s="28">
        <v>0</v>
      </c>
      <c r="R232" s="28">
        <v>0</v>
      </c>
      <c r="S232" s="28">
        <v>1</v>
      </c>
    </row>
    <row r="233" spans="1:19" s="26" customFormat="1" ht="21" customHeight="1" thickBot="1">
      <c r="A233" s="22" t="str">
        <f t="shared" si="16"/>
        <v>02491</v>
      </c>
      <c r="B233" s="2">
        <f t="shared" si="15"/>
        <v>135</v>
      </c>
      <c r="C233" s="10" t="str">
        <f t="shared" ca="1" si="13"/>
        <v>0PremiumS5</v>
      </c>
      <c r="D233" s="10" t="str">
        <f t="shared" ca="1" si="14"/>
        <v>0PremiumS5</v>
      </c>
      <c r="E233" s="6">
        <v>0</v>
      </c>
      <c r="F233" s="19">
        <v>249</v>
      </c>
      <c r="G233" s="10" t="str">
        <f ca="1">VLOOKUP($F233,OFFSET([1]characters!$A$2,0,0,COUNTA([1]characters!$A:$A),MATCH(G$1,[1]characters!$2:$2,0)-MATCH($F$1,[1]characters!$2:$2,0)+1),MATCH(G$1,[1]characters!$2:$2,0)-MATCH($F$1,[1]characters!$2:$2,0)+1,FALSE)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233" s="10" t="str">
        <f ca="1">VLOOKUP($F233,OFFSET([1]characters!$A$2,0,0,COUNTA([1]characters!$A:$A),MATCH(H$1,[1]characters!$2:$2,0)-MATCH($F$1,[1]characters!$2:$2,0)+1),MATCH(H$1,[1]characters!$2:$2,0)-MATCH($F$1,[1]characters!$2:$2,0)+1,FALSE)</f>
        <v>PremiumS</v>
      </c>
      <c r="I233" s="10">
        <f ca="1">VLOOKUP($F233,OFFSET([1]characters!$A$2,0,0,COUNTA([1]characters!$A:$A),MATCH(I$1,[1]characters!$2:$2,0)-MATCH($F$1,[1]characters!$2:$2,0)+1),MATCH(I$1,[1]characters!$2:$2,0)-MATCH($F$1,[1]characters!$2:$2,0)+1,FALSE)</f>
        <v>5</v>
      </c>
      <c r="J233" s="10" t="str">
        <f ca="1">VLOOKUP($F233,OFFSET([1]characters!$A$2,0,0,COUNTA([1]characters!$A:$A),MATCH(J$1,[1]characters!$2:$2,0)-MATCH($F$1,[1]characters!$2:$2,0)+1),MATCH(J$1,[1]characters!$2:$2,0)-MATCH($F$1,[1]characters!$2:$2,0)+1,FALSE)</f>
        <v>yellow</v>
      </c>
      <c r="K233" s="10" t="str">
        <f ca="1">VLOOKUP($F233,OFFSET([1]characters!$A$2,0,0,COUNTA([1]characters!$A:$A),MATCH("タイプ",[1]characters!$1:$1,0)-MATCH($F$1,[1]characters!$2:$2,0)+2),MATCH("タイプ",[1]characters!$1:$1,0)-MATCH($F$1,[1]characters!$2:$2,0)+2,FALSE)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3" s="10" t="str">
        <f ca="1">VLOOKUP($F233,OFFSET([1]characters!$A$2,0,0,COUNTA([1]characters!$A:$A),MATCH($L$1,[1]characters!$1:$1,0)-MATCH($F$1,[1]characters!$2:$2,0)+2),MATCH($L$1,[1]characters!$1:$1,0)-MATCH($F$1,[1]characters!$2:$2,0)+2,FALSE)</f>
        <v>マシン</v>
      </c>
      <c r="M233" s="6">
        <v>1</v>
      </c>
      <c r="N233" s="40">
        <f ca="1">VLOOKUP(D233,gacha_133_base!A:B,2,FALSE)</f>
        <v>13</v>
      </c>
      <c r="O233" s="28">
        <v>0</v>
      </c>
      <c r="P233" s="28">
        <v>0</v>
      </c>
      <c r="Q233" s="28">
        <v>0</v>
      </c>
      <c r="R233" s="28">
        <v>0</v>
      </c>
      <c r="S233" s="28">
        <v>1</v>
      </c>
    </row>
    <row r="234" spans="1:19" s="26" customFormat="1" ht="21" customHeight="1" thickBot="1">
      <c r="A234" s="22" t="str">
        <f t="shared" si="16"/>
        <v>02501</v>
      </c>
      <c r="B234" s="2">
        <f t="shared" si="15"/>
        <v>135</v>
      </c>
      <c r="C234" s="10" t="str">
        <f t="shared" ca="1" si="13"/>
        <v>0PremiumS3</v>
      </c>
      <c r="D234" s="10" t="str">
        <f t="shared" ca="1" si="14"/>
        <v>0PremiumS3</v>
      </c>
      <c r="E234" s="6">
        <v>0</v>
      </c>
      <c r="F234" s="7">
        <v>250</v>
      </c>
      <c r="G234" s="10" t="str">
        <f ca="1">VLOOKUP($F234,OFFSET([1]characters!$A$2,0,0,COUNTA([1]characters!$A:$A),MATCH(G$1,[1]characters!$2:$2,0)-MATCH($F$1,[1]characters!$2:$2,0)+1),MATCH(G$1,[1]characters!$2:$2,0)-MATCH($F$1,[1]characters!$2:$2,0)+1,FALSE)</f>
        <v>マンモン</v>
      </c>
      <c r="H234" s="10" t="str">
        <f ca="1">VLOOKUP($F234,OFFSET([1]characters!$A$2,0,0,COUNTA([1]characters!$A:$A),MATCH(H$1,[1]characters!$2:$2,0)-MATCH($F$1,[1]characters!$2:$2,0)+1),MATCH(H$1,[1]characters!$2:$2,0)-MATCH($F$1,[1]characters!$2:$2,0)+1,FALSE)</f>
        <v>PremiumS</v>
      </c>
      <c r="I234" s="10">
        <f ca="1">VLOOKUP($F234,OFFSET([1]characters!$A$2,0,0,COUNTA([1]characters!$A:$A),MATCH(I$1,[1]characters!$2:$2,0)-MATCH($F$1,[1]characters!$2:$2,0)+1),MATCH(I$1,[1]characters!$2:$2,0)-MATCH($F$1,[1]characters!$2:$2,0)+1,FALSE)</f>
        <v>3</v>
      </c>
      <c r="J234" s="10" t="str">
        <f ca="1">VLOOKUP($F234,OFFSET([1]characters!$A$2,0,0,COUNTA([1]characters!$A:$A),MATCH(J$1,[1]characters!$2:$2,0)-MATCH($F$1,[1]characters!$2:$2,0)+1),MATCH(J$1,[1]characters!$2:$2,0)-MATCH($F$1,[1]characters!$2:$2,0)+1,FALSE)</f>
        <v>red</v>
      </c>
      <c r="K234" s="10" t="str">
        <f ca="1">VLOOKUP($F234,OFFSET([1]characters!$A$2,0,0,COUNTA([1]characters!$A:$A),MATCH("タイプ",[1]characters!$1:$1,0)-MATCH($F$1,[1]characters!$2:$2,0)+2),MATCH("タイプ",[1]characters!$1:$1,0)-MATCH($F$1,[1]characters!$2:$2,0)+2,FALSE)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4" s="10" t="str">
        <f ca="1">VLOOKUP($F234,OFFSET([1]characters!$A$2,0,0,COUNTA([1]characters!$A:$A),MATCH($L$1,[1]characters!$1:$1,0)-MATCH($F$1,[1]characters!$2:$2,0)+2),MATCH($L$1,[1]characters!$1:$1,0)-MATCH($F$1,[1]characters!$2:$2,0)+2,FALSE)</f>
        <v>ゴッド</v>
      </c>
      <c r="M234" s="6">
        <v>1</v>
      </c>
      <c r="N234" s="40">
        <f ca="1">VLOOKUP(D234,gacha_133_base!A:B,2,FALSE)</f>
        <v>228</v>
      </c>
      <c r="O234" s="28">
        <v>0</v>
      </c>
      <c r="P234" s="28">
        <v>0</v>
      </c>
      <c r="Q234" s="28">
        <v>0</v>
      </c>
      <c r="R234" s="28">
        <v>0</v>
      </c>
      <c r="S234" s="28">
        <v>1</v>
      </c>
    </row>
    <row r="235" spans="1:19" ht="21" customHeight="1" thickBot="1">
      <c r="A235" s="22" t="str">
        <f t="shared" si="16"/>
        <v>02511</v>
      </c>
      <c r="B235" s="2">
        <f t="shared" si="15"/>
        <v>135</v>
      </c>
      <c r="C235" s="10" t="str">
        <f t="shared" ca="1" si="13"/>
        <v>0PremiumS4</v>
      </c>
      <c r="D235" s="10" t="str">
        <f t="shared" ca="1" si="14"/>
        <v>0PremiumS4</v>
      </c>
      <c r="E235" s="6">
        <v>0</v>
      </c>
      <c r="F235" s="7">
        <v>251</v>
      </c>
      <c r="G235" s="10" t="str">
        <f ca="1">VLOOKUP($F235,OFFSET([1]characters!$A$2,0,0,COUNTA([1]characters!$A:$A),MATCH(G$1,[1]characters!$2:$2,0)-MATCH($F$1,[1]characters!$2:$2,0)+1),MATCH(G$1,[1]characters!$2:$2,0)-MATCH($F$1,[1]characters!$2:$2,0)+1,FALSE)</f>
        <v>強欲 マンモン</v>
      </c>
      <c r="H235" s="10" t="str">
        <f ca="1">VLOOKUP($F235,OFFSET([1]characters!$A$2,0,0,COUNTA([1]characters!$A:$A),MATCH(H$1,[1]characters!$2:$2,0)-MATCH($F$1,[1]characters!$2:$2,0)+1),MATCH(H$1,[1]characters!$2:$2,0)-MATCH($F$1,[1]characters!$2:$2,0)+1,FALSE)</f>
        <v>PremiumS</v>
      </c>
      <c r="I235" s="10">
        <f ca="1">VLOOKUP($F235,OFFSET([1]characters!$A$2,0,0,COUNTA([1]characters!$A:$A),MATCH(I$1,[1]characters!$2:$2,0)-MATCH($F$1,[1]characters!$2:$2,0)+1),MATCH(I$1,[1]characters!$2:$2,0)-MATCH($F$1,[1]characters!$2:$2,0)+1,FALSE)</f>
        <v>4</v>
      </c>
      <c r="J235" s="10" t="str">
        <f ca="1">VLOOKUP($F235,OFFSET([1]characters!$A$2,0,0,COUNTA([1]characters!$A:$A),MATCH(J$1,[1]characters!$2:$2,0)-MATCH($F$1,[1]characters!$2:$2,0)+1),MATCH(J$1,[1]characters!$2:$2,0)-MATCH($F$1,[1]characters!$2:$2,0)+1,FALSE)</f>
        <v>red</v>
      </c>
      <c r="K235" s="10" t="str">
        <f ca="1">VLOOKUP($F235,OFFSET([1]characters!$A$2,0,0,COUNTA([1]characters!$A:$A),MATCH("タイプ",[1]characters!$1:$1,0)-MATCH($F$1,[1]characters!$2:$2,0)+2),MATCH("タイプ",[1]characters!$1:$1,0)-MATCH($F$1,[1]characters!$2:$2,0)+2,FALSE)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5" s="10" t="str">
        <f ca="1">VLOOKUP($F235,OFFSET([1]characters!$A$2,0,0,COUNTA([1]characters!$A:$A),MATCH($L$1,[1]characters!$1:$1,0)-MATCH($F$1,[1]characters!$2:$2,0)+2),MATCH($L$1,[1]characters!$1:$1,0)-MATCH($F$1,[1]characters!$2:$2,0)+2,FALSE)</f>
        <v>ゴッド</v>
      </c>
      <c r="M235" s="6">
        <v>1</v>
      </c>
      <c r="N235" s="40">
        <f ca="1">VLOOKUP(D235,gacha_133_base!A:B,2,FALSE)</f>
        <v>80</v>
      </c>
      <c r="O235" s="28">
        <v>0</v>
      </c>
      <c r="P235" s="28">
        <v>0</v>
      </c>
      <c r="Q235" s="28">
        <v>0</v>
      </c>
      <c r="R235" s="28">
        <v>0</v>
      </c>
      <c r="S235" s="28">
        <v>1</v>
      </c>
    </row>
    <row r="236" spans="1:19" ht="21" customHeight="1" thickBot="1">
      <c r="A236" s="22" t="str">
        <f t="shared" si="16"/>
        <v>02521</v>
      </c>
      <c r="B236" s="2">
        <f t="shared" si="15"/>
        <v>135</v>
      </c>
      <c r="C236" s="10" t="str">
        <f t="shared" ca="1" si="13"/>
        <v>0PremiumS5</v>
      </c>
      <c r="D236" s="10" t="str">
        <f t="shared" ca="1" si="14"/>
        <v>0PremiumS5</v>
      </c>
      <c r="E236" s="6">
        <v>0</v>
      </c>
      <c r="F236" s="7">
        <v>252</v>
      </c>
      <c r="G236" s="10" t="str">
        <f ca="1">VLOOKUP($F236,OFFSET([1]characters!$A$2,0,0,COUNTA([1]characters!$A:$A),MATCH(G$1,[1]characters!$2:$2,0)-MATCH($F$1,[1]characters!$2:$2,0)+1),MATCH(G$1,[1]characters!$2:$2,0)-MATCH($F$1,[1]characters!$2:$2,0)+1,FALSE)</f>
        <v>強欲の沸騰 マンモン</v>
      </c>
      <c r="H236" s="10" t="str">
        <f ca="1">VLOOKUP($F236,OFFSET([1]characters!$A$2,0,0,COUNTA([1]characters!$A:$A),MATCH(H$1,[1]characters!$2:$2,0)-MATCH($F$1,[1]characters!$2:$2,0)+1),MATCH(H$1,[1]characters!$2:$2,0)-MATCH($F$1,[1]characters!$2:$2,0)+1,FALSE)</f>
        <v>PremiumS</v>
      </c>
      <c r="I236" s="10">
        <f ca="1">VLOOKUP($F236,OFFSET([1]characters!$A$2,0,0,COUNTA([1]characters!$A:$A),MATCH(I$1,[1]characters!$2:$2,0)-MATCH($F$1,[1]characters!$2:$2,0)+1),MATCH(I$1,[1]characters!$2:$2,0)-MATCH($F$1,[1]characters!$2:$2,0)+1,FALSE)</f>
        <v>5</v>
      </c>
      <c r="J236" s="10" t="str">
        <f ca="1">VLOOKUP($F236,OFFSET([1]characters!$A$2,0,0,COUNTA([1]characters!$A:$A),MATCH(J$1,[1]characters!$2:$2,0)-MATCH($F$1,[1]characters!$2:$2,0)+1),MATCH(J$1,[1]characters!$2:$2,0)-MATCH($F$1,[1]characters!$2:$2,0)+1,FALSE)</f>
        <v>red</v>
      </c>
      <c r="K236" s="10" t="str">
        <f ca="1">VLOOKUP($F236,OFFSET([1]characters!$A$2,0,0,COUNTA([1]characters!$A:$A),MATCH("タイプ",[1]characters!$1:$1,0)-MATCH($F$1,[1]characters!$2:$2,0)+2),MATCH("タイプ",[1]characters!$1:$1,0)-MATCH($F$1,[1]characters!$2:$2,0)+2,FALSE)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6" s="10" t="str">
        <f ca="1">VLOOKUP($F236,OFFSET([1]characters!$A$2,0,0,COUNTA([1]characters!$A:$A),MATCH($L$1,[1]characters!$1:$1,0)-MATCH($F$1,[1]characters!$2:$2,0)+2),MATCH($L$1,[1]characters!$1:$1,0)-MATCH($F$1,[1]characters!$2:$2,0)+2,FALSE)</f>
        <v>ゴッド</v>
      </c>
      <c r="M236" s="6">
        <v>1</v>
      </c>
      <c r="N236" s="40">
        <f ca="1">VLOOKUP(D236,gacha_133_base!A:B,2,FALSE)</f>
        <v>13</v>
      </c>
      <c r="O236" s="28">
        <v>0</v>
      </c>
      <c r="P236" s="28">
        <v>0</v>
      </c>
      <c r="Q236" s="28">
        <v>0</v>
      </c>
      <c r="R236" s="28">
        <v>0</v>
      </c>
      <c r="S236" s="28">
        <v>1</v>
      </c>
    </row>
    <row r="237" spans="1:19" ht="21" customHeight="1" thickBot="1">
      <c r="A237" s="22" t="str">
        <f t="shared" si="16"/>
        <v>02531</v>
      </c>
      <c r="B237" s="2">
        <f t="shared" si="15"/>
        <v>135</v>
      </c>
      <c r="C237" s="10" t="str">
        <f t="shared" ca="1" si="13"/>
        <v>0PremiumS3</v>
      </c>
      <c r="D237" s="10" t="str">
        <f t="shared" ca="1" si="14"/>
        <v>0PremiumS3</v>
      </c>
      <c r="E237" s="6">
        <v>0</v>
      </c>
      <c r="F237" s="7">
        <v>253</v>
      </c>
      <c r="G237" s="10" t="str">
        <f ca="1">VLOOKUP($F237,OFFSET([1]characters!$A$2,0,0,COUNTA([1]characters!$A:$A),MATCH(G$1,[1]characters!$2:$2,0)-MATCH($F$1,[1]characters!$2:$2,0)+1),MATCH(G$1,[1]characters!$2:$2,0)-MATCH($F$1,[1]characters!$2:$2,0)+1,FALSE)</f>
        <v>ベルフェゴール</v>
      </c>
      <c r="H237" s="10" t="str">
        <f ca="1">VLOOKUP($F237,OFFSET([1]characters!$A$2,0,0,COUNTA([1]characters!$A:$A),MATCH(H$1,[1]characters!$2:$2,0)-MATCH($F$1,[1]characters!$2:$2,0)+1),MATCH(H$1,[1]characters!$2:$2,0)-MATCH($F$1,[1]characters!$2:$2,0)+1,FALSE)</f>
        <v>PremiumS</v>
      </c>
      <c r="I237" s="10">
        <f ca="1">VLOOKUP($F237,OFFSET([1]characters!$A$2,0,0,COUNTA([1]characters!$A:$A),MATCH(I$1,[1]characters!$2:$2,0)-MATCH($F$1,[1]characters!$2:$2,0)+1),MATCH(I$1,[1]characters!$2:$2,0)-MATCH($F$1,[1]characters!$2:$2,0)+1,FALSE)</f>
        <v>3</v>
      </c>
      <c r="J237" s="10" t="str">
        <f ca="1">VLOOKUP($F237,OFFSET([1]characters!$A$2,0,0,COUNTA([1]characters!$A:$A),MATCH(J$1,[1]characters!$2:$2,0)-MATCH($F$1,[1]characters!$2:$2,0)+1),MATCH(J$1,[1]characters!$2:$2,0)-MATCH($F$1,[1]characters!$2:$2,0)+1,FALSE)</f>
        <v>green</v>
      </c>
      <c r="K237" s="10" t="str">
        <f ca="1">VLOOKUP($F237,OFFSET([1]characters!$A$2,0,0,COUNTA([1]characters!$A:$A),MATCH("タイプ",[1]characters!$1:$1,0)-MATCH($F$1,[1]characters!$2:$2,0)+2),MATCH("タイプ",[1]characters!$1:$1,0)-MATCH($F$1,[1]characters!$2:$2,0)+2,FALSE)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7" s="10" t="str">
        <f ca="1">VLOOKUP($F237,OFFSET([1]characters!$A$2,0,0,COUNTA([1]characters!$A:$A),MATCH($L$1,[1]characters!$1:$1,0)-MATCH($F$1,[1]characters!$2:$2,0)+2),MATCH($L$1,[1]characters!$1:$1,0)-MATCH($F$1,[1]characters!$2:$2,0)+2,FALSE)</f>
        <v>ゴッド</v>
      </c>
      <c r="M237" s="6">
        <v>1</v>
      </c>
      <c r="N237" s="40">
        <f ca="1">VLOOKUP(D237,gacha_133_base!A:B,2,FALSE)</f>
        <v>228</v>
      </c>
      <c r="O237" s="28">
        <v>0</v>
      </c>
      <c r="P237" s="28">
        <v>0</v>
      </c>
      <c r="Q237" s="28">
        <v>0</v>
      </c>
      <c r="R237" s="28">
        <v>0</v>
      </c>
      <c r="S237" s="28">
        <v>1</v>
      </c>
    </row>
    <row r="238" spans="1:19" ht="21" customHeight="1" thickBot="1">
      <c r="A238" s="22" t="str">
        <f t="shared" si="16"/>
        <v>02541</v>
      </c>
      <c r="B238" s="2">
        <f t="shared" si="15"/>
        <v>135</v>
      </c>
      <c r="C238" s="10" t="str">
        <f t="shared" ca="1" si="13"/>
        <v>0PremiumS4</v>
      </c>
      <c r="D238" s="10" t="str">
        <f t="shared" ca="1" si="14"/>
        <v>0PremiumS4</v>
      </c>
      <c r="E238" s="6">
        <v>0</v>
      </c>
      <c r="F238" s="7">
        <v>254</v>
      </c>
      <c r="G238" s="10" t="str">
        <f ca="1">VLOOKUP($F238,OFFSET([1]characters!$A$2,0,0,COUNTA([1]characters!$A:$A),MATCH(G$1,[1]characters!$2:$2,0)-MATCH($F$1,[1]characters!$2:$2,0)+1),MATCH(G$1,[1]characters!$2:$2,0)-MATCH($F$1,[1]characters!$2:$2,0)+1,FALSE)</f>
        <v>怠惰 ベルフェゴール</v>
      </c>
      <c r="H238" s="10" t="str">
        <f ca="1">VLOOKUP($F238,OFFSET([1]characters!$A$2,0,0,COUNTA([1]characters!$A:$A),MATCH(H$1,[1]characters!$2:$2,0)-MATCH($F$1,[1]characters!$2:$2,0)+1),MATCH(H$1,[1]characters!$2:$2,0)-MATCH($F$1,[1]characters!$2:$2,0)+1,FALSE)</f>
        <v>PremiumS</v>
      </c>
      <c r="I238" s="10">
        <f ca="1">VLOOKUP($F238,OFFSET([1]characters!$A$2,0,0,COUNTA([1]characters!$A:$A),MATCH(I$1,[1]characters!$2:$2,0)-MATCH($F$1,[1]characters!$2:$2,0)+1),MATCH(I$1,[1]characters!$2:$2,0)-MATCH($F$1,[1]characters!$2:$2,0)+1,FALSE)</f>
        <v>4</v>
      </c>
      <c r="J238" s="10" t="str">
        <f ca="1">VLOOKUP($F238,OFFSET([1]characters!$A$2,0,0,COUNTA([1]characters!$A:$A),MATCH(J$1,[1]characters!$2:$2,0)-MATCH($F$1,[1]characters!$2:$2,0)+1),MATCH(J$1,[1]characters!$2:$2,0)-MATCH($F$1,[1]characters!$2:$2,0)+1,FALSE)</f>
        <v>green</v>
      </c>
      <c r="K238" s="10" t="str">
        <f ca="1">VLOOKUP($F238,OFFSET([1]characters!$A$2,0,0,COUNTA([1]characters!$A:$A),MATCH("タイプ",[1]characters!$1:$1,0)-MATCH($F$1,[1]characters!$2:$2,0)+2),MATCH("タイプ",[1]characters!$1:$1,0)-MATCH($F$1,[1]characters!$2:$2,0)+2,FALSE)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8" s="10" t="str">
        <f ca="1">VLOOKUP($F238,OFFSET([1]characters!$A$2,0,0,COUNTA([1]characters!$A:$A),MATCH($L$1,[1]characters!$1:$1,0)-MATCH($F$1,[1]characters!$2:$2,0)+2),MATCH($L$1,[1]characters!$1:$1,0)-MATCH($F$1,[1]characters!$2:$2,0)+2,FALSE)</f>
        <v>ゴッド</v>
      </c>
      <c r="M238" s="6">
        <v>1</v>
      </c>
      <c r="N238" s="40">
        <f ca="1">VLOOKUP(D238,gacha_133_base!A:B,2,FALSE)</f>
        <v>80</v>
      </c>
      <c r="O238" s="28">
        <v>0</v>
      </c>
      <c r="P238" s="28">
        <v>0</v>
      </c>
      <c r="Q238" s="28">
        <v>0</v>
      </c>
      <c r="R238" s="28">
        <v>0</v>
      </c>
      <c r="S238" s="28">
        <v>1</v>
      </c>
    </row>
    <row r="239" spans="1:19" ht="21" customHeight="1" thickBot="1">
      <c r="A239" s="22" t="str">
        <f t="shared" si="16"/>
        <v>02551</v>
      </c>
      <c r="B239" s="2">
        <f t="shared" si="15"/>
        <v>135</v>
      </c>
      <c r="C239" s="10" t="str">
        <f t="shared" ca="1" si="13"/>
        <v>0PremiumS5</v>
      </c>
      <c r="D239" s="10" t="str">
        <f t="shared" ca="1" si="14"/>
        <v>0PremiumS5</v>
      </c>
      <c r="E239" s="6">
        <v>0</v>
      </c>
      <c r="F239" s="7">
        <v>255</v>
      </c>
      <c r="G239" s="10" t="str">
        <f ca="1">VLOOKUP($F239,OFFSET([1]characters!$A$2,0,0,COUNTA([1]characters!$A:$A),MATCH(G$1,[1]characters!$2:$2,0)-MATCH($F$1,[1]characters!$2:$2,0)+1),MATCH(G$1,[1]characters!$2:$2,0)-MATCH($F$1,[1]characters!$2:$2,0)+1,FALSE)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239" s="10" t="str">
        <f ca="1">VLOOKUP($F239,OFFSET([1]characters!$A$2,0,0,COUNTA([1]characters!$A:$A),MATCH(H$1,[1]characters!$2:$2,0)-MATCH($F$1,[1]characters!$2:$2,0)+1),MATCH(H$1,[1]characters!$2:$2,0)-MATCH($F$1,[1]characters!$2:$2,0)+1,FALSE)</f>
        <v>PremiumS</v>
      </c>
      <c r="I239" s="10">
        <f ca="1">VLOOKUP($F239,OFFSET([1]characters!$A$2,0,0,COUNTA([1]characters!$A:$A),MATCH(I$1,[1]characters!$2:$2,0)-MATCH($F$1,[1]characters!$2:$2,0)+1),MATCH(I$1,[1]characters!$2:$2,0)-MATCH($F$1,[1]characters!$2:$2,0)+1,FALSE)</f>
        <v>5</v>
      </c>
      <c r="J239" s="10" t="str">
        <f ca="1">VLOOKUP($F239,OFFSET([1]characters!$A$2,0,0,COUNTA([1]characters!$A:$A),MATCH(J$1,[1]characters!$2:$2,0)-MATCH($F$1,[1]characters!$2:$2,0)+1),MATCH(J$1,[1]characters!$2:$2,0)-MATCH($F$1,[1]characters!$2:$2,0)+1,FALSE)</f>
        <v>green</v>
      </c>
      <c r="K239" s="10" t="str">
        <f ca="1">VLOOKUP($F239,OFFSET([1]characters!$A$2,0,0,COUNTA([1]characters!$A:$A),MATCH("タイプ",[1]characters!$1:$1,0)-MATCH($F$1,[1]characters!$2:$2,0)+2),MATCH("タイプ",[1]characters!$1:$1,0)-MATCH($F$1,[1]characters!$2:$2,0)+2,FALSE)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9" s="10" t="str">
        <f ca="1">VLOOKUP($F239,OFFSET([1]characters!$A$2,0,0,COUNTA([1]characters!$A:$A),MATCH($L$1,[1]characters!$1:$1,0)-MATCH($F$1,[1]characters!$2:$2,0)+2),MATCH($L$1,[1]characters!$1:$1,0)-MATCH($F$1,[1]characters!$2:$2,0)+2,FALSE)</f>
        <v>ゴッド</v>
      </c>
      <c r="M239" s="6">
        <v>1</v>
      </c>
      <c r="N239" s="40">
        <f ca="1">VLOOKUP(D239,gacha_133_base!A:B,2,FALSE)</f>
        <v>13</v>
      </c>
      <c r="O239" s="28">
        <v>0</v>
      </c>
      <c r="P239" s="28">
        <v>0</v>
      </c>
      <c r="Q239" s="28">
        <v>0</v>
      </c>
      <c r="R239" s="28">
        <v>0</v>
      </c>
      <c r="S239" s="28">
        <v>1</v>
      </c>
    </row>
    <row r="240" spans="1:19" ht="21" customHeight="1" thickBot="1">
      <c r="A240" s="22" t="str">
        <f t="shared" si="16"/>
        <v>02561</v>
      </c>
      <c r="B240" s="2">
        <f t="shared" si="15"/>
        <v>135</v>
      </c>
      <c r="C240" s="10" t="str">
        <f t="shared" ca="1" si="13"/>
        <v>0PremiumS3</v>
      </c>
      <c r="D240" s="10" t="str">
        <f t="shared" ca="1" si="14"/>
        <v>0PremiumS3</v>
      </c>
      <c r="E240" s="6">
        <v>0</v>
      </c>
      <c r="F240" s="7">
        <v>256</v>
      </c>
      <c r="G240" s="10" t="str">
        <f ca="1">VLOOKUP($F240,OFFSET([1]characters!$A$2,0,0,COUNTA([1]characters!$A:$A),MATCH(G$1,[1]characters!$2:$2,0)-MATCH($F$1,[1]characters!$2:$2,0)+1),MATCH(G$1,[1]characters!$2:$2,0)-MATCH($F$1,[1]characters!$2:$2,0)+1,FALSE)</f>
        <v>アスモデウス</v>
      </c>
      <c r="H240" s="10" t="str">
        <f ca="1">VLOOKUP($F240,OFFSET([1]characters!$A$2,0,0,COUNTA([1]characters!$A:$A),MATCH(H$1,[1]characters!$2:$2,0)-MATCH($F$1,[1]characters!$2:$2,0)+1),MATCH(H$1,[1]characters!$2:$2,0)-MATCH($F$1,[1]characters!$2:$2,0)+1,FALSE)</f>
        <v>PremiumS</v>
      </c>
      <c r="I240" s="10">
        <f ca="1">VLOOKUP($F240,OFFSET([1]characters!$A$2,0,0,COUNTA([1]characters!$A:$A),MATCH(I$1,[1]characters!$2:$2,0)-MATCH($F$1,[1]characters!$2:$2,0)+1),MATCH(I$1,[1]characters!$2:$2,0)-MATCH($F$1,[1]characters!$2:$2,0)+1,FALSE)</f>
        <v>3</v>
      </c>
      <c r="J240" s="10" t="str">
        <f ca="1">VLOOKUP($F240,OFFSET([1]characters!$A$2,0,0,COUNTA([1]characters!$A:$A),MATCH(J$1,[1]characters!$2:$2,0)-MATCH($F$1,[1]characters!$2:$2,0)+1),MATCH(J$1,[1]characters!$2:$2,0)-MATCH($F$1,[1]characters!$2:$2,0)+1,FALSE)</f>
        <v>blue</v>
      </c>
      <c r="K240" s="10" t="str">
        <f ca="1">VLOOKUP($F240,OFFSET([1]characters!$A$2,0,0,COUNTA([1]characters!$A:$A),MATCH("タイプ",[1]characters!$1:$1,0)-MATCH($F$1,[1]characters!$2:$2,0)+2),MATCH("タイプ",[1]characters!$1:$1,0)-MATCH($F$1,[1]characters!$2:$2,0)+2,FALSE)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0" s="10" t="str">
        <f ca="1">VLOOKUP($F240,OFFSET([1]characters!$A$2,0,0,COUNTA([1]characters!$A:$A),MATCH($L$1,[1]characters!$1:$1,0)-MATCH($F$1,[1]characters!$2:$2,0)+2),MATCH($L$1,[1]characters!$1:$1,0)-MATCH($F$1,[1]characters!$2:$2,0)+2,FALSE)</f>
        <v>ゴッド</v>
      </c>
      <c r="M240" s="6">
        <v>1</v>
      </c>
      <c r="N240" s="40">
        <f ca="1">VLOOKUP(D240,gacha_133_base!A:B,2,FALSE)</f>
        <v>228</v>
      </c>
      <c r="O240" s="28">
        <v>0</v>
      </c>
      <c r="P240" s="28">
        <v>0</v>
      </c>
      <c r="Q240" s="28">
        <v>0</v>
      </c>
      <c r="R240" s="28">
        <v>0</v>
      </c>
      <c r="S240" s="28">
        <v>1</v>
      </c>
    </row>
    <row r="241" spans="1:19" ht="21" customHeight="1" thickBot="1">
      <c r="A241" s="22" t="str">
        <f t="shared" si="16"/>
        <v>02571</v>
      </c>
      <c r="B241" s="2">
        <f t="shared" si="15"/>
        <v>135</v>
      </c>
      <c r="C241" s="10" t="str">
        <f t="shared" ca="1" si="13"/>
        <v>0PremiumS4</v>
      </c>
      <c r="D241" s="10" t="str">
        <f t="shared" ca="1" si="14"/>
        <v>0PremiumS4</v>
      </c>
      <c r="E241" s="6">
        <v>0</v>
      </c>
      <c r="F241" s="7">
        <v>257</v>
      </c>
      <c r="G241" s="10" t="str">
        <f ca="1">VLOOKUP($F241,OFFSET([1]characters!$A$2,0,0,COUNTA([1]characters!$A:$A),MATCH(G$1,[1]characters!$2:$2,0)-MATCH($F$1,[1]characters!$2:$2,0)+1),MATCH(G$1,[1]characters!$2:$2,0)-MATCH($F$1,[1]characters!$2:$2,0)+1,FALSE)</f>
        <v>色欲 アスモデウス</v>
      </c>
      <c r="H241" s="10" t="str">
        <f ca="1">VLOOKUP($F241,OFFSET([1]characters!$A$2,0,0,COUNTA([1]characters!$A:$A),MATCH(H$1,[1]characters!$2:$2,0)-MATCH($F$1,[1]characters!$2:$2,0)+1),MATCH(H$1,[1]characters!$2:$2,0)-MATCH($F$1,[1]characters!$2:$2,0)+1,FALSE)</f>
        <v>PremiumS</v>
      </c>
      <c r="I241" s="10">
        <f ca="1">VLOOKUP($F241,OFFSET([1]characters!$A$2,0,0,COUNTA([1]characters!$A:$A),MATCH(I$1,[1]characters!$2:$2,0)-MATCH($F$1,[1]characters!$2:$2,0)+1),MATCH(I$1,[1]characters!$2:$2,0)-MATCH($F$1,[1]characters!$2:$2,0)+1,FALSE)</f>
        <v>4</v>
      </c>
      <c r="J241" s="10" t="str">
        <f ca="1">VLOOKUP($F241,OFFSET([1]characters!$A$2,0,0,COUNTA([1]characters!$A:$A),MATCH(J$1,[1]characters!$2:$2,0)-MATCH($F$1,[1]characters!$2:$2,0)+1),MATCH(J$1,[1]characters!$2:$2,0)-MATCH($F$1,[1]characters!$2:$2,0)+1,FALSE)</f>
        <v>blue</v>
      </c>
      <c r="K241" s="10" t="str">
        <f ca="1">VLOOKUP($F241,OFFSET([1]characters!$A$2,0,0,COUNTA([1]characters!$A:$A),MATCH("タイプ",[1]characters!$1:$1,0)-MATCH($F$1,[1]characters!$2:$2,0)+2),MATCH("タイプ",[1]characters!$1:$1,0)-MATCH($F$1,[1]characters!$2:$2,0)+2,FALSE)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1" s="10" t="str">
        <f ca="1">VLOOKUP($F241,OFFSET([1]characters!$A$2,0,0,COUNTA([1]characters!$A:$A),MATCH($L$1,[1]characters!$1:$1,0)-MATCH($F$1,[1]characters!$2:$2,0)+2),MATCH($L$1,[1]characters!$1:$1,0)-MATCH($F$1,[1]characters!$2:$2,0)+2,FALSE)</f>
        <v>ゴッド</v>
      </c>
      <c r="M241" s="6">
        <v>1</v>
      </c>
      <c r="N241" s="40">
        <f ca="1">VLOOKUP(D241,gacha_133_base!A:B,2,FALSE)</f>
        <v>80</v>
      </c>
      <c r="O241" s="28">
        <v>0</v>
      </c>
      <c r="P241" s="28">
        <v>0</v>
      </c>
      <c r="Q241" s="28">
        <v>0</v>
      </c>
      <c r="R241" s="28">
        <v>0</v>
      </c>
      <c r="S241" s="28">
        <v>1</v>
      </c>
    </row>
    <row r="242" spans="1:19" ht="21" customHeight="1" thickBot="1">
      <c r="A242" s="22" t="str">
        <f t="shared" si="16"/>
        <v>02581</v>
      </c>
      <c r="B242" s="2">
        <f t="shared" si="15"/>
        <v>135</v>
      </c>
      <c r="C242" s="10" t="str">
        <f t="shared" ca="1" si="13"/>
        <v>0PremiumS5</v>
      </c>
      <c r="D242" s="10" t="str">
        <f t="shared" ca="1" si="14"/>
        <v>0PremiumS5</v>
      </c>
      <c r="E242" s="6">
        <v>0</v>
      </c>
      <c r="F242" s="7">
        <v>258</v>
      </c>
      <c r="G242" s="10" t="str">
        <f ca="1">VLOOKUP($F242,OFFSET([1]characters!$A$2,0,0,COUNTA([1]characters!$A:$A),MATCH(G$1,[1]characters!$2:$2,0)-MATCH($F$1,[1]characters!$2:$2,0)+1),MATCH(G$1,[1]characters!$2:$2,0)-MATCH($F$1,[1]characters!$2:$2,0)+1,FALSE)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242" s="10" t="str">
        <f ca="1">VLOOKUP($F242,OFFSET([1]characters!$A$2,0,0,COUNTA([1]characters!$A:$A),MATCH(H$1,[1]characters!$2:$2,0)-MATCH($F$1,[1]characters!$2:$2,0)+1),MATCH(H$1,[1]characters!$2:$2,0)-MATCH($F$1,[1]characters!$2:$2,0)+1,FALSE)</f>
        <v>PremiumS</v>
      </c>
      <c r="I242" s="10">
        <f ca="1">VLOOKUP($F242,OFFSET([1]characters!$A$2,0,0,COUNTA([1]characters!$A:$A),MATCH(I$1,[1]characters!$2:$2,0)-MATCH($F$1,[1]characters!$2:$2,0)+1),MATCH(I$1,[1]characters!$2:$2,0)-MATCH($F$1,[1]characters!$2:$2,0)+1,FALSE)</f>
        <v>5</v>
      </c>
      <c r="J242" s="10" t="str">
        <f ca="1">VLOOKUP($F242,OFFSET([1]characters!$A$2,0,0,COUNTA([1]characters!$A:$A),MATCH(J$1,[1]characters!$2:$2,0)-MATCH($F$1,[1]characters!$2:$2,0)+1),MATCH(J$1,[1]characters!$2:$2,0)-MATCH($F$1,[1]characters!$2:$2,0)+1,FALSE)</f>
        <v>blue</v>
      </c>
      <c r="K242" s="10" t="str">
        <f ca="1">VLOOKUP($F242,OFFSET([1]characters!$A$2,0,0,COUNTA([1]characters!$A:$A),MATCH("タイプ",[1]characters!$1:$1,0)-MATCH($F$1,[1]characters!$2:$2,0)+2),MATCH("タイプ",[1]characters!$1:$1,0)-MATCH($F$1,[1]characters!$2:$2,0)+2,FALSE)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2" s="10" t="str">
        <f ca="1">VLOOKUP($F242,OFFSET([1]characters!$A$2,0,0,COUNTA([1]characters!$A:$A),MATCH($L$1,[1]characters!$1:$1,0)-MATCH($F$1,[1]characters!$2:$2,0)+2),MATCH($L$1,[1]characters!$1:$1,0)-MATCH($F$1,[1]characters!$2:$2,0)+2,FALSE)</f>
        <v>ゴッド</v>
      </c>
      <c r="M242" s="6">
        <v>1</v>
      </c>
      <c r="N242" s="40">
        <f ca="1">VLOOKUP(D242,gacha_133_base!A:B,2,FALSE)</f>
        <v>13</v>
      </c>
      <c r="O242" s="28">
        <v>0</v>
      </c>
      <c r="P242" s="28">
        <v>0</v>
      </c>
      <c r="Q242" s="28">
        <v>0</v>
      </c>
      <c r="R242" s="28">
        <v>0</v>
      </c>
      <c r="S242" s="28">
        <v>1</v>
      </c>
    </row>
    <row r="243" spans="1:19" ht="21" customHeight="1" thickBot="1">
      <c r="A243" s="22" t="str">
        <f t="shared" si="16"/>
        <v>02591</v>
      </c>
      <c r="B243" s="2">
        <f t="shared" si="15"/>
        <v>135</v>
      </c>
      <c r="C243" s="10" t="str">
        <f t="shared" ca="1" si="13"/>
        <v>0PremiumS3</v>
      </c>
      <c r="D243" s="10" t="str">
        <f t="shared" ca="1" si="14"/>
        <v>0PremiumS3</v>
      </c>
      <c r="E243" s="6">
        <v>0</v>
      </c>
      <c r="F243" s="7">
        <v>259</v>
      </c>
      <c r="G243" s="10" t="str">
        <f ca="1">VLOOKUP($F243,OFFSET([1]characters!$A$2,0,0,COUNTA([1]characters!$A:$A),MATCH(G$1,[1]characters!$2:$2,0)-MATCH($F$1,[1]characters!$2:$2,0)+1),MATCH(G$1,[1]characters!$2:$2,0)-MATCH($F$1,[1]characters!$2:$2,0)+1,FALSE)</f>
        <v>ウロボロス</v>
      </c>
      <c r="H243" s="10" t="str">
        <f ca="1">VLOOKUP($F243,OFFSET([1]characters!$A$2,0,0,COUNTA([1]characters!$A:$A),MATCH(H$1,[1]characters!$2:$2,0)-MATCH($F$1,[1]characters!$2:$2,0)+1),MATCH(H$1,[1]characters!$2:$2,0)-MATCH($F$1,[1]characters!$2:$2,0)+1,FALSE)</f>
        <v>PremiumS</v>
      </c>
      <c r="I243" s="10">
        <f ca="1">VLOOKUP($F243,OFFSET([1]characters!$A$2,0,0,COUNTA([1]characters!$A:$A),MATCH(I$1,[1]characters!$2:$2,0)-MATCH($F$1,[1]characters!$2:$2,0)+1),MATCH(I$1,[1]characters!$2:$2,0)-MATCH($F$1,[1]characters!$2:$2,0)+1,FALSE)</f>
        <v>3</v>
      </c>
      <c r="J243" s="10" t="str">
        <f ca="1">VLOOKUP($F243,OFFSET([1]characters!$A$2,0,0,COUNTA([1]characters!$A:$A),MATCH(J$1,[1]characters!$2:$2,0)-MATCH($F$1,[1]characters!$2:$2,0)+1),MATCH(J$1,[1]characters!$2:$2,0)-MATCH($F$1,[1]characters!$2:$2,0)+1,FALSE)</f>
        <v>yellow</v>
      </c>
      <c r="K243" s="10" t="str">
        <f ca="1">VLOOKUP($F243,OFFSET([1]characters!$A$2,0,0,COUNTA([1]characters!$A:$A),MATCH("タイプ",[1]characters!$1:$1,0)-MATCH($F$1,[1]characters!$2:$2,0)+2),MATCH("タイプ",[1]characters!$1:$1,0)-MATCH($F$1,[1]characters!$2:$2,0)+2,FALSE)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3" s="10" t="str">
        <f ca="1">VLOOKUP($F243,OFFSET([1]characters!$A$2,0,0,COUNTA([1]characters!$A:$A),MATCH($L$1,[1]characters!$1:$1,0)-MATCH($F$1,[1]characters!$2:$2,0)+2),MATCH($L$1,[1]characters!$1:$1,0)-MATCH($F$1,[1]characters!$2:$2,0)+2,FALSE)</f>
        <v>ドラゴン</v>
      </c>
      <c r="M243" s="6">
        <v>1</v>
      </c>
      <c r="N243" s="40">
        <f ca="1">VLOOKUP(D243,gacha_133_base!A:B,2,FALSE)</f>
        <v>228</v>
      </c>
      <c r="O243" s="28">
        <v>0</v>
      </c>
      <c r="P243" s="28">
        <v>0</v>
      </c>
      <c r="Q243" s="28">
        <v>0</v>
      </c>
      <c r="R243" s="28">
        <v>0</v>
      </c>
      <c r="S243" s="28">
        <v>1</v>
      </c>
    </row>
    <row r="244" spans="1:19" ht="21" customHeight="1" thickBot="1">
      <c r="A244" s="22" t="str">
        <f t="shared" si="16"/>
        <v>02601</v>
      </c>
      <c r="B244" s="2">
        <f t="shared" si="15"/>
        <v>135</v>
      </c>
      <c r="C244" s="10" t="str">
        <f t="shared" ca="1" si="13"/>
        <v>0PremiumS4</v>
      </c>
      <c r="D244" s="10" t="str">
        <f t="shared" ca="1" si="14"/>
        <v>0PremiumS4</v>
      </c>
      <c r="E244" s="6">
        <v>0</v>
      </c>
      <c r="F244" s="7">
        <v>260</v>
      </c>
      <c r="G244" s="10" t="str">
        <f ca="1">VLOOKUP($F244,OFFSET([1]characters!$A$2,0,0,COUNTA([1]characters!$A:$A),MATCH(G$1,[1]characters!$2:$2,0)-MATCH($F$1,[1]characters!$2:$2,0)+1),MATCH(G$1,[1]characters!$2:$2,0)-MATCH($F$1,[1]characters!$2:$2,0)+1,FALSE)</f>
        <v>輪廻 ウロボロス</v>
      </c>
      <c r="H244" s="10" t="str">
        <f ca="1">VLOOKUP($F244,OFFSET([1]characters!$A$2,0,0,COUNTA([1]characters!$A:$A),MATCH(H$1,[1]characters!$2:$2,0)-MATCH($F$1,[1]characters!$2:$2,0)+1),MATCH(H$1,[1]characters!$2:$2,0)-MATCH($F$1,[1]characters!$2:$2,0)+1,FALSE)</f>
        <v>PremiumS</v>
      </c>
      <c r="I244" s="10">
        <f ca="1">VLOOKUP($F244,OFFSET([1]characters!$A$2,0,0,COUNTA([1]characters!$A:$A),MATCH(I$1,[1]characters!$2:$2,0)-MATCH($F$1,[1]characters!$2:$2,0)+1),MATCH(I$1,[1]characters!$2:$2,0)-MATCH($F$1,[1]characters!$2:$2,0)+1,FALSE)</f>
        <v>4</v>
      </c>
      <c r="J244" s="10" t="str">
        <f ca="1">VLOOKUP($F244,OFFSET([1]characters!$A$2,0,0,COUNTA([1]characters!$A:$A),MATCH(J$1,[1]characters!$2:$2,0)-MATCH($F$1,[1]characters!$2:$2,0)+1),MATCH(J$1,[1]characters!$2:$2,0)-MATCH($F$1,[1]characters!$2:$2,0)+1,FALSE)</f>
        <v>yellow</v>
      </c>
      <c r="K244" s="10" t="str">
        <f ca="1">VLOOKUP($F244,OFFSET([1]characters!$A$2,0,0,COUNTA([1]characters!$A:$A),MATCH("タイプ",[1]characters!$1:$1,0)-MATCH($F$1,[1]characters!$2:$2,0)+2),MATCH("タイプ",[1]characters!$1:$1,0)-MATCH($F$1,[1]characters!$2:$2,0)+2,FALSE)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4" s="10" t="str">
        <f ca="1">VLOOKUP($F244,OFFSET([1]characters!$A$2,0,0,COUNTA([1]characters!$A:$A),MATCH($L$1,[1]characters!$1:$1,0)-MATCH($F$1,[1]characters!$2:$2,0)+2),MATCH($L$1,[1]characters!$1:$1,0)-MATCH($F$1,[1]characters!$2:$2,0)+2,FALSE)</f>
        <v>ドラゴン</v>
      </c>
      <c r="M244" s="6">
        <v>1</v>
      </c>
      <c r="N244" s="40">
        <f ca="1">VLOOKUP(D244,gacha_133_base!A:B,2,FALSE)</f>
        <v>80</v>
      </c>
      <c r="O244" s="28">
        <v>0</v>
      </c>
      <c r="P244" s="28">
        <v>0</v>
      </c>
      <c r="Q244" s="28">
        <v>0</v>
      </c>
      <c r="R244" s="28">
        <v>0</v>
      </c>
      <c r="S244" s="28">
        <v>1</v>
      </c>
    </row>
    <row r="245" spans="1:19" ht="21" customHeight="1" thickBot="1">
      <c r="A245" s="22" t="str">
        <f t="shared" si="16"/>
        <v>02611</v>
      </c>
      <c r="B245" s="2">
        <f t="shared" si="15"/>
        <v>135</v>
      </c>
      <c r="C245" s="10" t="str">
        <f t="shared" ca="1" si="13"/>
        <v>0PremiumS5</v>
      </c>
      <c r="D245" s="10" t="str">
        <f t="shared" ca="1" si="14"/>
        <v>0PremiumS5</v>
      </c>
      <c r="E245" s="6">
        <v>0</v>
      </c>
      <c r="F245" s="7">
        <v>261</v>
      </c>
      <c r="G245" s="10" t="str">
        <f ca="1">VLOOKUP($F245,OFFSET([1]characters!$A$2,0,0,COUNTA([1]characters!$A:$A),MATCH(G$1,[1]characters!$2:$2,0)-MATCH($F$1,[1]characters!$2:$2,0)+1),MATCH(G$1,[1]characters!$2:$2,0)-MATCH($F$1,[1]characters!$2:$2,0)+1,FALSE)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245" s="10" t="str">
        <f ca="1">VLOOKUP($F245,OFFSET([1]characters!$A$2,0,0,COUNTA([1]characters!$A:$A),MATCH(H$1,[1]characters!$2:$2,0)-MATCH($F$1,[1]characters!$2:$2,0)+1),MATCH(H$1,[1]characters!$2:$2,0)-MATCH($F$1,[1]characters!$2:$2,0)+1,FALSE)</f>
        <v>PremiumS</v>
      </c>
      <c r="I245" s="10">
        <f ca="1">VLOOKUP($F245,OFFSET([1]characters!$A$2,0,0,COUNTA([1]characters!$A:$A),MATCH(I$1,[1]characters!$2:$2,0)-MATCH($F$1,[1]characters!$2:$2,0)+1),MATCH(I$1,[1]characters!$2:$2,0)-MATCH($F$1,[1]characters!$2:$2,0)+1,FALSE)</f>
        <v>5</v>
      </c>
      <c r="J245" s="10" t="str">
        <f ca="1">VLOOKUP($F245,OFFSET([1]characters!$A$2,0,0,COUNTA([1]characters!$A:$A),MATCH(J$1,[1]characters!$2:$2,0)-MATCH($F$1,[1]characters!$2:$2,0)+1),MATCH(J$1,[1]characters!$2:$2,0)-MATCH($F$1,[1]characters!$2:$2,0)+1,FALSE)</f>
        <v>yellow</v>
      </c>
      <c r="K245" s="10" t="str">
        <f ca="1">VLOOKUP($F245,OFFSET([1]characters!$A$2,0,0,COUNTA([1]characters!$A:$A),MATCH("タイプ",[1]characters!$1:$1,0)-MATCH($F$1,[1]characters!$2:$2,0)+2),MATCH("タイプ",[1]characters!$1:$1,0)-MATCH($F$1,[1]characters!$2:$2,0)+2,FALSE)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5" s="10" t="str">
        <f ca="1">VLOOKUP($F245,OFFSET([1]characters!$A$2,0,0,COUNTA([1]characters!$A:$A),MATCH($L$1,[1]characters!$1:$1,0)-MATCH($F$1,[1]characters!$2:$2,0)+2),MATCH($L$1,[1]characters!$1:$1,0)-MATCH($F$1,[1]characters!$2:$2,0)+2,FALSE)</f>
        <v>ドラゴン</v>
      </c>
      <c r="M245" s="6">
        <v>1</v>
      </c>
      <c r="N245" s="40">
        <f ca="1">VLOOKUP(D245,gacha_133_base!A:B,2,FALSE)</f>
        <v>13</v>
      </c>
      <c r="O245" s="28">
        <v>0</v>
      </c>
      <c r="P245" s="28">
        <v>0</v>
      </c>
      <c r="Q245" s="28">
        <v>0</v>
      </c>
      <c r="R245" s="28">
        <v>0</v>
      </c>
      <c r="S245" s="28">
        <v>1</v>
      </c>
    </row>
    <row r="246" spans="1:19" ht="21" customHeight="1" thickBot="1">
      <c r="A246" s="22" t="str">
        <f t="shared" si="16"/>
        <v>03201</v>
      </c>
      <c r="B246" s="2">
        <f t="shared" si="15"/>
        <v>135</v>
      </c>
      <c r="C246" s="10" t="str">
        <f t="shared" ca="1" si="13"/>
        <v>0PremiumSS4</v>
      </c>
      <c r="D246" s="10" t="str">
        <f t="shared" ca="1" si="14"/>
        <v>0PremiumSS4</v>
      </c>
      <c r="E246" s="21">
        <v>0</v>
      </c>
      <c r="F246" s="27">
        <v>320</v>
      </c>
      <c r="G246" s="20" t="str">
        <f ca="1">VLOOKUP($F246,OFFSET([1]characters!$A$2,0,0,COUNTA([1]characters!$A:$A),MATCH(G$1,[1]characters!$2:$2,0)-MATCH($F$1,[1]characters!$2:$2,0)+1),MATCH(G$1,[1]characters!$2:$2,0)-MATCH($F$1,[1]characters!$2:$2,0)+1,FALSE)</f>
        <v>烈志士 近藤勇</v>
      </c>
      <c r="H246" s="20" t="str">
        <f ca="1">VLOOKUP($F246,OFFSET([1]characters!$A$2,0,0,COUNTA([1]characters!$A:$A),MATCH(H$1,[1]characters!$2:$2,0)-MATCH($F$1,[1]characters!$2:$2,0)+1),MATCH(H$1,[1]characters!$2:$2,0)-MATCH($F$1,[1]characters!$2:$2,0)+1,FALSE)</f>
        <v>PremiumSS</v>
      </c>
      <c r="I246" s="20">
        <f ca="1">VLOOKUP($F246,OFFSET([1]characters!$A$2,0,0,COUNTA([1]characters!$A:$A),MATCH(I$1,[1]characters!$2:$2,0)-MATCH($F$1,[1]characters!$2:$2,0)+1),MATCH(I$1,[1]characters!$2:$2,0)-MATCH($F$1,[1]characters!$2:$2,0)+1,FALSE)</f>
        <v>4</v>
      </c>
      <c r="J246" s="20" t="str">
        <f ca="1">VLOOKUP($F246,OFFSET([1]characters!$A$2,0,0,COUNTA([1]characters!$A:$A),MATCH(J$1,[1]characters!$2:$2,0)-MATCH($F$1,[1]characters!$2:$2,0)+1),MATCH(J$1,[1]characters!$2:$2,0)-MATCH($F$1,[1]characters!$2:$2,0)+1,FALSE)</f>
        <v>red</v>
      </c>
      <c r="K246" s="20" t="str">
        <f ca="1">VLOOKUP($F246,OFFSET([1]characters!$A$2,0,0,COUNTA([1]characters!$A:$A),MATCH("タイプ",[1]characters!$1:$1,0)-MATCH($F$1,[1]characters!$2:$2,0)+2),MATCH("タイプ",[1]characters!$1:$1,0)-MATCH($F$1,[1]characters!$2:$2,0)+2,FALSE)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6" s="20" t="str">
        <f ca="1">VLOOKUP($F246,OFFSET([1]characters!$A$2,0,0,COUNTA([1]characters!$A:$A),MATCH($L$1,[1]characters!$1:$1,0)-MATCH($F$1,[1]characters!$2:$2,0)+2),MATCH($L$1,[1]characters!$1:$1,0)-MATCH($F$1,[1]characters!$2:$2,0)+2,FALSE)</f>
        <v>ヒューマン</v>
      </c>
      <c r="M246" s="21">
        <v>1</v>
      </c>
      <c r="N246" s="40">
        <f ca="1">VLOOKUP(D246,gacha_133_base!A:B,2,FALSE)</f>
        <v>144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2" t="str">
        <f t="shared" si="16"/>
        <v>03211</v>
      </c>
      <c r="B247" s="2">
        <f t="shared" si="15"/>
        <v>135</v>
      </c>
      <c r="C247" s="10" t="str">
        <f t="shared" ca="1" si="13"/>
        <v>0PremiumSS5</v>
      </c>
      <c r="D247" s="10" t="str">
        <f t="shared" ca="1" si="14"/>
        <v>0PremiumSS5</v>
      </c>
      <c r="E247" s="21">
        <v>0</v>
      </c>
      <c r="F247" s="7">
        <v>321</v>
      </c>
      <c r="G247" s="10" t="str">
        <f ca="1">VLOOKUP($F247,OFFSET([1]characters!$A$2,0,0,COUNTA([1]characters!$A:$A),MATCH(G$1,[1]characters!$2:$2,0)-MATCH($F$1,[1]characters!$2:$2,0)+1),MATCH(G$1,[1]characters!$2:$2,0)-MATCH($F$1,[1]characters!$2:$2,0)+1,FALSE)</f>
        <v>巌鉄の烈志士 近藤勇</v>
      </c>
      <c r="H247" s="10" t="str">
        <f ca="1">VLOOKUP($F247,OFFSET([1]characters!$A$2,0,0,COUNTA([1]characters!$A:$A),MATCH(H$1,[1]characters!$2:$2,0)-MATCH($F$1,[1]characters!$2:$2,0)+1),MATCH(H$1,[1]characters!$2:$2,0)-MATCH($F$1,[1]characters!$2:$2,0)+1,FALSE)</f>
        <v>PremiumSS</v>
      </c>
      <c r="I247" s="10">
        <f ca="1">VLOOKUP($F247,OFFSET([1]characters!$A$2,0,0,COUNTA([1]characters!$A:$A),MATCH(I$1,[1]characters!$2:$2,0)-MATCH($F$1,[1]characters!$2:$2,0)+1),MATCH(I$1,[1]characters!$2:$2,0)-MATCH($F$1,[1]characters!$2:$2,0)+1,FALSE)</f>
        <v>5</v>
      </c>
      <c r="J247" s="10" t="str">
        <f ca="1">VLOOKUP($F247,OFFSET([1]characters!$A$2,0,0,COUNTA([1]characters!$A:$A),MATCH(J$1,[1]characters!$2:$2,0)-MATCH($F$1,[1]characters!$2:$2,0)+1),MATCH(J$1,[1]characters!$2:$2,0)-MATCH($F$1,[1]characters!$2:$2,0)+1,FALSE)</f>
        <v>red</v>
      </c>
      <c r="K247" s="10" t="str">
        <f ca="1">VLOOKUP($F247,OFFSET([1]characters!$A$2,0,0,COUNTA([1]characters!$A:$A),MATCH("タイプ",[1]characters!$1:$1,0)-MATCH($F$1,[1]characters!$2:$2,0)+2),MATCH("タイプ",[1]characters!$1:$1,0)-MATCH($F$1,[1]characters!$2:$2,0)+2,FALSE)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7" s="10" t="str">
        <f ca="1">VLOOKUP($F247,OFFSET([1]characters!$A$2,0,0,COUNTA([1]characters!$A:$A),MATCH($L$1,[1]characters!$1:$1,0)-MATCH($F$1,[1]characters!$2:$2,0)+2),MATCH($L$1,[1]characters!$1:$1,0)-MATCH($F$1,[1]characters!$2:$2,0)+2,FALSE)</f>
        <v>ヒューマン</v>
      </c>
      <c r="M247" s="6">
        <v>1</v>
      </c>
      <c r="N247" s="40">
        <f ca="1">VLOOKUP(D247,gacha_133_base!A:B,2,FALSE)</f>
        <v>48</v>
      </c>
      <c r="O247" s="28">
        <v>0</v>
      </c>
      <c r="P247" s="28">
        <v>0</v>
      </c>
      <c r="Q247" s="28">
        <v>0</v>
      </c>
      <c r="R247" s="28">
        <v>0</v>
      </c>
      <c r="S247" s="28">
        <v>1</v>
      </c>
    </row>
    <row r="248" spans="1:19" ht="21" customHeight="1" thickBot="1">
      <c r="A248" s="22" t="str">
        <f t="shared" si="16"/>
        <v>03221</v>
      </c>
      <c r="B248" s="2">
        <f t="shared" si="15"/>
        <v>135</v>
      </c>
      <c r="C248" s="10" t="str">
        <f t="shared" ca="1" si="13"/>
        <v>0PremiumSS4</v>
      </c>
      <c r="D248" s="10" t="str">
        <f t="shared" ca="1" si="14"/>
        <v>0PremiumSS4</v>
      </c>
      <c r="E248" s="21">
        <v>0</v>
      </c>
      <c r="F248" s="7">
        <v>322</v>
      </c>
      <c r="G248" s="10" t="str">
        <f ca="1">VLOOKUP($F248,OFFSET([1]characters!$A$2,0,0,COUNTA([1]characters!$A:$A),MATCH(G$1,[1]characters!$2:$2,0)-MATCH($F$1,[1]characters!$2:$2,0)+1),MATCH(G$1,[1]characters!$2:$2,0)-MATCH($F$1,[1]characters!$2:$2,0)+1,FALSE)</f>
        <v>愛志士 土方歳三</v>
      </c>
      <c r="H248" s="10" t="str">
        <f ca="1">VLOOKUP($F248,OFFSET([1]characters!$A$2,0,0,COUNTA([1]characters!$A:$A),MATCH(H$1,[1]characters!$2:$2,0)-MATCH($F$1,[1]characters!$2:$2,0)+1),MATCH(H$1,[1]characters!$2:$2,0)-MATCH($F$1,[1]characters!$2:$2,0)+1,FALSE)</f>
        <v>PremiumSS</v>
      </c>
      <c r="I248" s="10">
        <f ca="1">VLOOKUP($F248,OFFSET([1]characters!$A$2,0,0,COUNTA([1]characters!$A:$A),MATCH(I$1,[1]characters!$2:$2,0)-MATCH($F$1,[1]characters!$2:$2,0)+1),MATCH(I$1,[1]characters!$2:$2,0)-MATCH($F$1,[1]characters!$2:$2,0)+1,FALSE)</f>
        <v>4</v>
      </c>
      <c r="J248" s="10" t="str">
        <f ca="1">VLOOKUP($F248,OFFSET([1]characters!$A$2,0,0,COUNTA([1]characters!$A:$A),MATCH(J$1,[1]characters!$2:$2,0)-MATCH($F$1,[1]characters!$2:$2,0)+1),MATCH(J$1,[1]characters!$2:$2,0)-MATCH($F$1,[1]characters!$2:$2,0)+1,FALSE)</f>
        <v>green</v>
      </c>
      <c r="K248" s="10" t="str">
        <f ca="1">VLOOKUP($F248,OFFSET([1]characters!$A$2,0,0,COUNTA([1]characters!$A:$A),MATCH("タイプ",[1]characters!$1:$1,0)-MATCH($F$1,[1]characters!$2:$2,0)+2),MATCH("タイプ",[1]characters!$1:$1,0)-MATCH($F$1,[1]characters!$2:$2,0)+2,FALSE)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8" s="10" t="str">
        <f ca="1">VLOOKUP($F248,OFFSET([1]characters!$A$2,0,0,COUNTA([1]characters!$A:$A),MATCH($L$1,[1]characters!$1:$1,0)-MATCH($F$1,[1]characters!$2:$2,0)+2),MATCH($L$1,[1]characters!$1:$1,0)-MATCH($F$1,[1]characters!$2:$2,0)+2,FALSE)</f>
        <v>ヒューマン</v>
      </c>
      <c r="M248" s="6">
        <v>1</v>
      </c>
      <c r="N248" s="40">
        <f ca="1">VLOOKUP(D248,gacha_133_base!A:B,2,FALSE)</f>
        <v>144</v>
      </c>
      <c r="O248" s="28">
        <v>0</v>
      </c>
      <c r="P248" s="28">
        <v>0</v>
      </c>
      <c r="Q248" s="28">
        <v>0</v>
      </c>
      <c r="R248" s="28">
        <v>0</v>
      </c>
      <c r="S248" s="28">
        <v>1</v>
      </c>
    </row>
    <row r="249" spans="1:19" ht="21" customHeight="1" thickBot="1">
      <c r="A249" s="22" t="str">
        <f t="shared" si="16"/>
        <v>03231</v>
      </c>
      <c r="B249" s="2">
        <f t="shared" si="15"/>
        <v>135</v>
      </c>
      <c r="C249" s="10" t="str">
        <f t="shared" ca="1" si="13"/>
        <v>0PremiumSS5</v>
      </c>
      <c r="D249" s="10" t="str">
        <f t="shared" ca="1" si="14"/>
        <v>0PremiumSS5</v>
      </c>
      <c r="E249" s="21">
        <v>0</v>
      </c>
      <c r="F249" s="7">
        <v>323</v>
      </c>
      <c r="G249" s="10" t="str">
        <f ca="1">VLOOKUP($F249,OFFSET([1]characters!$A$2,0,0,COUNTA([1]characters!$A:$A),MATCH(G$1,[1]characters!$2:$2,0)-MATCH($F$1,[1]characters!$2:$2,0)+1),MATCH(G$1,[1]characters!$2:$2,0)-MATCH($F$1,[1]characters!$2:$2,0)+1,FALSE)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249" s="10" t="str">
        <f ca="1">VLOOKUP($F249,OFFSET([1]characters!$A$2,0,0,COUNTA([1]characters!$A:$A),MATCH(H$1,[1]characters!$2:$2,0)-MATCH($F$1,[1]characters!$2:$2,0)+1),MATCH(H$1,[1]characters!$2:$2,0)-MATCH($F$1,[1]characters!$2:$2,0)+1,FALSE)</f>
        <v>PremiumSS</v>
      </c>
      <c r="I249" s="10">
        <f ca="1">VLOOKUP($F249,OFFSET([1]characters!$A$2,0,0,COUNTA([1]characters!$A:$A),MATCH(I$1,[1]characters!$2:$2,0)-MATCH($F$1,[1]characters!$2:$2,0)+1),MATCH(I$1,[1]characters!$2:$2,0)-MATCH($F$1,[1]characters!$2:$2,0)+1,FALSE)</f>
        <v>5</v>
      </c>
      <c r="J249" s="10" t="str">
        <f ca="1">VLOOKUP($F249,OFFSET([1]characters!$A$2,0,0,COUNTA([1]characters!$A:$A),MATCH(J$1,[1]characters!$2:$2,0)-MATCH($F$1,[1]characters!$2:$2,0)+1),MATCH(J$1,[1]characters!$2:$2,0)-MATCH($F$1,[1]characters!$2:$2,0)+1,FALSE)</f>
        <v>green</v>
      </c>
      <c r="K249" s="10" t="str">
        <f ca="1">VLOOKUP($F249,OFFSET([1]characters!$A$2,0,0,COUNTA([1]characters!$A:$A),MATCH("タイプ",[1]characters!$1:$1,0)-MATCH($F$1,[1]characters!$2:$2,0)+2),MATCH("タイプ",[1]characters!$1:$1,0)-MATCH($F$1,[1]characters!$2:$2,0)+2,FALSE)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9" s="10" t="str">
        <f ca="1">VLOOKUP($F249,OFFSET([1]characters!$A$2,0,0,COUNTA([1]characters!$A:$A),MATCH($L$1,[1]characters!$1:$1,0)-MATCH($F$1,[1]characters!$2:$2,0)+2),MATCH($L$1,[1]characters!$1:$1,0)-MATCH($F$1,[1]characters!$2:$2,0)+2,FALSE)</f>
        <v>ヒューマン</v>
      </c>
      <c r="M249" s="6">
        <v>1</v>
      </c>
      <c r="N249" s="40">
        <f ca="1">VLOOKUP(D249,gacha_133_base!A:B,2,FALSE)</f>
        <v>48</v>
      </c>
      <c r="O249" s="28">
        <v>0</v>
      </c>
      <c r="P249" s="28">
        <v>0</v>
      </c>
      <c r="Q249" s="28">
        <v>0</v>
      </c>
      <c r="R249" s="28">
        <v>0</v>
      </c>
      <c r="S249" s="28">
        <v>1</v>
      </c>
    </row>
    <row r="250" spans="1:19" ht="21" customHeight="1" thickBot="1">
      <c r="A250" s="22" t="str">
        <f t="shared" si="16"/>
        <v>03241</v>
      </c>
      <c r="B250" s="2">
        <f t="shared" si="15"/>
        <v>135</v>
      </c>
      <c r="C250" s="10" t="str">
        <f t="shared" ca="1" si="13"/>
        <v>0PremiumSS4</v>
      </c>
      <c r="D250" s="10" t="str">
        <f t="shared" ca="1" si="14"/>
        <v>0PremiumSS4</v>
      </c>
      <c r="E250" s="21">
        <v>0</v>
      </c>
      <c r="F250" s="7">
        <v>324</v>
      </c>
      <c r="G250" s="10" t="str">
        <f ca="1">VLOOKUP($F250,OFFSET([1]characters!$A$2,0,0,COUNTA([1]characters!$A:$A),MATCH(G$1,[1]characters!$2:$2,0)-MATCH($F$1,[1]characters!$2:$2,0)+1),MATCH(G$1,[1]characters!$2:$2,0)-MATCH($F$1,[1]characters!$2:$2,0)+1,FALSE)</f>
        <v>凛志士 沖田総司</v>
      </c>
      <c r="H250" s="10" t="str">
        <f ca="1">VLOOKUP($F250,OFFSET([1]characters!$A$2,0,0,COUNTA([1]characters!$A:$A),MATCH(H$1,[1]characters!$2:$2,0)-MATCH($F$1,[1]characters!$2:$2,0)+1),MATCH(H$1,[1]characters!$2:$2,0)-MATCH($F$1,[1]characters!$2:$2,0)+1,FALSE)</f>
        <v>PremiumSS</v>
      </c>
      <c r="I250" s="10">
        <f ca="1">VLOOKUP($F250,OFFSET([1]characters!$A$2,0,0,COUNTA([1]characters!$A:$A),MATCH(I$1,[1]characters!$2:$2,0)-MATCH($F$1,[1]characters!$2:$2,0)+1),MATCH(I$1,[1]characters!$2:$2,0)-MATCH($F$1,[1]characters!$2:$2,0)+1,FALSE)</f>
        <v>4</v>
      </c>
      <c r="J250" s="10" t="str">
        <f ca="1">VLOOKUP($F250,OFFSET([1]characters!$A$2,0,0,COUNTA([1]characters!$A:$A),MATCH(J$1,[1]characters!$2:$2,0)-MATCH($F$1,[1]characters!$2:$2,0)+1),MATCH(J$1,[1]characters!$2:$2,0)-MATCH($F$1,[1]characters!$2:$2,0)+1,FALSE)</f>
        <v>blue</v>
      </c>
      <c r="K250" s="10" t="str">
        <f ca="1">VLOOKUP($F250,OFFSET([1]characters!$A$2,0,0,COUNTA([1]characters!$A:$A),MATCH("タイプ",[1]characters!$1:$1,0)-MATCH($F$1,[1]characters!$2:$2,0)+2),MATCH("タイプ",[1]characters!$1:$1,0)-MATCH($F$1,[1]characters!$2:$2,0)+2,FALSE)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0" s="10" t="str">
        <f ca="1">VLOOKUP($F250,OFFSET([1]characters!$A$2,0,0,COUNTA([1]characters!$A:$A),MATCH($L$1,[1]characters!$1:$1,0)-MATCH($F$1,[1]characters!$2:$2,0)+2),MATCH($L$1,[1]characters!$1:$1,0)-MATCH($F$1,[1]characters!$2:$2,0)+2,FALSE)</f>
        <v>ヒューマン</v>
      </c>
      <c r="M250" s="6">
        <v>1</v>
      </c>
      <c r="N250" s="40">
        <f ca="1">VLOOKUP(D250,gacha_133_base!A:B,2,FALSE)</f>
        <v>144</v>
      </c>
      <c r="O250" s="28">
        <v>0</v>
      </c>
      <c r="P250" s="28">
        <v>0</v>
      </c>
      <c r="Q250" s="28">
        <v>0</v>
      </c>
      <c r="R250" s="28">
        <v>0</v>
      </c>
      <c r="S250" s="28">
        <v>1</v>
      </c>
    </row>
    <row r="251" spans="1:19" ht="21" customHeight="1" thickBot="1">
      <c r="A251" s="22" t="str">
        <f t="shared" si="16"/>
        <v>03251</v>
      </c>
      <c r="B251" s="2">
        <f t="shared" si="15"/>
        <v>135</v>
      </c>
      <c r="C251" s="10" t="str">
        <f t="shared" ca="1" si="13"/>
        <v>0PremiumSS5</v>
      </c>
      <c r="D251" s="10" t="str">
        <f t="shared" ca="1" si="14"/>
        <v>0PremiumSS5</v>
      </c>
      <c r="E251" s="21">
        <v>0</v>
      </c>
      <c r="F251" s="7">
        <v>325</v>
      </c>
      <c r="G251" s="10" t="str">
        <f ca="1">VLOOKUP($F251,OFFSET([1]characters!$A$2,0,0,COUNTA([1]characters!$A:$A),MATCH(G$1,[1]characters!$2:$2,0)-MATCH($F$1,[1]characters!$2:$2,0)+1),MATCH(G$1,[1]characters!$2:$2,0)-MATCH($F$1,[1]characters!$2:$2,0)+1,FALSE)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251" s="10" t="str">
        <f ca="1">VLOOKUP($F251,OFFSET([1]characters!$A$2,0,0,COUNTA([1]characters!$A:$A),MATCH(H$1,[1]characters!$2:$2,0)-MATCH($F$1,[1]characters!$2:$2,0)+1),MATCH(H$1,[1]characters!$2:$2,0)-MATCH($F$1,[1]characters!$2:$2,0)+1,FALSE)</f>
        <v>PremiumSS</v>
      </c>
      <c r="I251" s="10">
        <f ca="1">VLOOKUP($F251,OFFSET([1]characters!$A$2,0,0,COUNTA([1]characters!$A:$A),MATCH(I$1,[1]characters!$2:$2,0)-MATCH($F$1,[1]characters!$2:$2,0)+1),MATCH(I$1,[1]characters!$2:$2,0)-MATCH($F$1,[1]characters!$2:$2,0)+1,FALSE)</f>
        <v>5</v>
      </c>
      <c r="J251" s="10" t="str">
        <f ca="1">VLOOKUP($F251,OFFSET([1]characters!$A$2,0,0,COUNTA([1]characters!$A:$A),MATCH(J$1,[1]characters!$2:$2,0)-MATCH($F$1,[1]characters!$2:$2,0)+1),MATCH(J$1,[1]characters!$2:$2,0)-MATCH($F$1,[1]characters!$2:$2,0)+1,FALSE)</f>
        <v>blue</v>
      </c>
      <c r="K251" s="10" t="str">
        <f ca="1">VLOOKUP($F251,OFFSET([1]characters!$A$2,0,0,COUNTA([1]characters!$A:$A),MATCH("タイプ",[1]characters!$1:$1,0)-MATCH($F$1,[1]characters!$2:$2,0)+2),MATCH("タイプ",[1]characters!$1:$1,0)-MATCH($F$1,[1]characters!$2:$2,0)+2,FALSE)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1" s="10" t="str">
        <f ca="1">VLOOKUP($F251,OFFSET([1]characters!$A$2,0,0,COUNTA([1]characters!$A:$A),MATCH($L$1,[1]characters!$1:$1,0)-MATCH($F$1,[1]characters!$2:$2,0)+2),MATCH($L$1,[1]characters!$1:$1,0)-MATCH($F$1,[1]characters!$2:$2,0)+2,FALSE)</f>
        <v>ヒューマン</v>
      </c>
      <c r="M251" s="6">
        <v>1</v>
      </c>
      <c r="N251" s="40">
        <f ca="1">VLOOKUP(D251,gacha_133_base!A:B,2,FALSE)</f>
        <v>48</v>
      </c>
      <c r="O251" s="28">
        <v>0</v>
      </c>
      <c r="P251" s="28">
        <v>0</v>
      </c>
      <c r="Q251" s="28">
        <v>0</v>
      </c>
      <c r="R251" s="28">
        <v>0</v>
      </c>
      <c r="S251" s="28">
        <v>1</v>
      </c>
    </row>
    <row r="252" spans="1:19" ht="21" customHeight="1" thickBot="1">
      <c r="A252" s="22" t="str">
        <f t="shared" si="16"/>
        <v>03261</v>
      </c>
      <c r="B252" s="2">
        <f t="shared" si="15"/>
        <v>135</v>
      </c>
      <c r="C252" s="10" t="str">
        <f t="shared" ca="1" si="13"/>
        <v>0PremiumSS4</v>
      </c>
      <c r="D252" s="10" t="str">
        <f t="shared" ca="1" si="14"/>
        <v>0PremiumSS4</v>
      </c>
      <c r="E252" s="21">
        <v>0</v>
      </c>
      <c r="F252" s="33">
        <v>326</v>
      </c>
      <c r="G252" s="34" t="str">
        <f ca="1">VLOOKUP($F252,OFFSET([1]characters!$A$2,0,0,COUNTA([1]characters!$A:$A),MATCH(G$1,[1]characters!$2:$2,0)-MATCH($F$1,[1]characters!$2:$2,0)+1),MATCH(G$1,[1]characters!$2:$2,0)-MATCH($F$1,[1]characters!$2:$2,0)+1,FALSE)</f>
        <v>妖志士 斎藤一</v>
      </c>
      <c r="H252" s="34" t="str">
        <f ca="1">VLOOKUP($F252,OFFSET([1]characters!$A$2,0,0,COUNTA([1]characters!$A:$A),MATCH(H$1,[1]characters!$2:$2,0)-MATCH($F$1,[1]characters!$2:$2,0)+1),MATCH(H$1,[1]characters!$2:$2,0)-MATCH($F$1,[1]characters!$2:$2,0)+1,FALSE)</f>
        <v>PremiumSS</v>
      </c>
      <c r="I252" s="34">
        <f ca="1">VLOOKUP($F252,OFFSET([1]characters!$A$2,0,0,COUNTA([1]characters!$A:$A),MATCH(I$1,[1]characters!$2:$2,0)-MATCH($F$1,[1]characters!$2:$2,0)+1),MATCH(I$1,[1]characters!$2:$2,0)-MATCH($F$1,[1]characters!$2:$2,0)+1,FALSE)</f>
        <v>4</v>
      </c>
      <c r="J252" s="34" t="str">
        <f ca="1">VLOOKUP($F252,OFFSET([1]characters!$A$2,0,0,COUNTA([1]characters!$A:$A),MATCH(J$1,[1]characters!$2:$2,0)-MATCH($F$1,[1]characters!$2:$2,0)+1),MATCH(J$1,[1]characters!$2:$2,0)-MATCH($F$1,[1]characters!$2:$2,0)+1,FALSE)</f>
        <v>yellow</v>
      </c>
      <c r="K252" s="34" t="str">
        <f ca="1">VLOOKUP($F252,OFFSET([1]characters!$A$2,0,0,COUNTA([1]characters!$A:$A),MATCH("タイプ",[1]characters!$1:$1,0)-MATCH($F$1,[1]characters!$2:$2,0)+2),MATCH("タイプ",[1]characters!$1:$1,0)-MATCH($F$1,[1]characters!$2:$2,0)+2,FALSE)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2" s="34" t="str">
        <f ca="1">VLOOKUP($F252,OFFSET([1]characters!$A$2,0,0,COUNTA([1]characters!$A:$A),MATCH($L$1,[1]characters!$1:$1,0)-MATCH($F$1,[1]characters!$2:$2,0)+2),MATCH($L$1,[1]characters!$1:$1,0)-MATCH($F$1,[1]characters!$2:$2,0)+2,FALSE)</f>
        <v>ヒューマン</v>
      </c>
      <c r="M252" s="32">
        <v>1</v>
      </c>
      <c r="N252" s="40">
        <f ca="1">VLOOKUP(D252,gacha_133_base!A:B,2,FALSE)</f>
        <v>144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2" t="str">
        <f t="shared" si="16"/>
        <v>03271</v>
      </c>
      <c r="B253" s="2">
        <f t="shared" si="15"/>
        <v>135</v>
      </c>
      <c r="C253" s="10" t="str">
        <f t="shared" ca="1" si="13"/>
        <v>0PremiumSS5</v>
      </c>
      <c r="D253" s="10" t="str">
        <f t="shared" ca="1" si="14"/>
        <v>0PremiumSS5</v>
      </c>
      <c r="E253" s="38">
        <v>0</v>
      </c>
      <c r="F253" s="7">
        <v>327</v>
      </c>
      <c r="G253" s="10" t="str">
        <f ca="1">VLOOKUP($F253,OFFSET([1]characters!$A$2,0,0,COUNTA([1]characters!$A:$A),MATCH(G$1,[1]characters!$2:$2,0)-MATCH($F$1,[1]characters!$2:$2,0)+1),MATCH(G$1,[1]characters!$2:$2,0)-MATCH($F$1,[1]characters!$2:$2,0)+1,FALSE)</f>
        <v>千殺の妖志士 斎藤一</v>
      </c>
      <c r="H253" s="10" t="str">
        <f ca="1">VLOOKUP($F253,OFFSET([1]characters!$A$2,0,0,COUNTA([1]characters!$A:$A),MATCH(H$1,[1]characters!$2:$2,0)-MATCH($F$1,[1]characters!$2:$2,0)+1),MATCH(H$1,[1]characters!$2:$2,0)-MATCH($F$1,[1]characters!$2:$2,0)+1,FALSE)</f>
        <v>PremiumSS</v>
      </c>
      <c r="I253" s="10">
        <f ca="1">VLOOKUP($F253,OFFSET([1]characters!$A$2,0,0,COUNTA([1]characters!$A:$A),MATCH(I$1,[1]characters!$2:$2,0)-MATCH($F$1,[1]characters!$2:$2,0)+1),MATCH(I$1,[1]characters!$2:$2,0)-MATCH($F$1,[1]characters!$2:$2,0)+1,FALSE)</f>
        <v>5</v>
      </c>
      <c r="J253" s="10" t="str">
        <f ca="1">VLOOKUP($F253,OFFSET([1]characters!$A$2,0,0,COUNTA([1]characters!$A:$A),MATCH(J$1,[1]characters!$2:$2,0)-MATCH($F$1,[1]characters!$2:$2,0)+1),MATCH(J$1,[1]characters!$2:$2,0)-MATCH($F$1,[1]characters!$2:$2,0)+1,FALSE)</f>
        <v>yellow</v>
      </c>
      <c r="K253" s="10" t="str">
        <f ca="1">VLOOKUP($F253,OFFSET([1]characters!$A$2,0,0,COUNTA([1]characters!$A:$A),MATCH("タイプ",[1]characters!$1:$1,0)-MATCH($F$1,[1]characters!$2:$2,0)+2),MATCH("タイプ",[1]characters!$1:$1,0)-MATCH($F$1,[1]characters!$2:$2,0)+2,FALSE)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3" s="10" t="str">
        <f ca="1">VLOOKUP($F253,OFFSET([1]characters!$A$2,0,0,COUNTA([1]characters!$A:$A),MATCH($L$1,[1]characters!$1:$1,0)-MATCH($F$1,[1]characters!$2:$2,0)+2),MATCH($L$1,[1]characters!$1:$1,0)-MATCH($F$1,[1]characters!$2:$2,0)+2,FALSE)</f>
        <v>ヒューマン</v>
      </c>
      <c r="M253" s="6">
        <v>1</v>
      </c>
      <c r="N253" s="40">
        <f ca="1">VLOOKUP(D253,gacha_133_base!A:B,2,FALSE)</f>
        <v>48</v>
      </c>
      <c r="O253" s="28">
        <v>0</v>
      </c>
      <c r="P253" s="28">
        <v>0</v>
      </c>
      <c r="Q253" s="28">
        <v>0</v>
      </c>
      <c r="R253" s="28">
        <v>0</v>
      </c>
      <c r="S253" s="28">
        <v>1</v>
      </c>
    </row>
    <row r="254" spans="1:19" ht="21" customHeight="1" thickBot="1">
      <c r="A254" s="22" t="str">
        <f t="shared" si="16"/>
        <v>03801</v>
      </c>
      <c r="B254" s="2">
        <f t="shared" si="15"/>
        <v>135</v>
      </c>
      <c r="C254" s="10" t="str">
        <f t="shared" ca="1" si="13"/>
        <v>0PremiumS3</v>
      </c>
      <c r="D254" s="10" t="str">
        <f t="shared" ca="1" si="14"/>
        <v>0PremiumS3</v>
      </c>
      <c r="E254" s="38">
        <v>0</v>
      </c>
      <c r="F254" s="27">
        <v>380</v>
      </c>
      <c r="G254" s="20" t="str">
        <f ca="1">VLOOKUP($F254,OFFSET([1]characters!$A$2,0,0,COUNTA([1]characters!$A:$A),MATCH(G$1,[1]characters!$2:$2,0)-MATCH($F$1,[1]characters!$2:$2,0)+1),MATCH(G$1,[1]characters!$2:$2,0)-MATCH($F$1,[1]characters!$2:$2,0)+1,FALSE)</f>
        <v>バハムート</v>
      </c>
      <c r="H254" s="20" t="str">
        <f ca="1">VLOOKUP($F254,OFFSET([1]characters!$A$2,0,0,COUNTA([1]characters!$A:$A),MATCH(H$1,[1]characters!$2:$2,0)-MATCH($F$1,[1]characters!$2:$2,0)+1),MATCH(H$1,[1]characters!$2:$2,0)-MATCH($F$1,[1]characters!$2:$2,0)+1,FALSE)</f>
        <v>PremiumS</v>
      </c>
      <c r="I254" s="20">
        <f ca="1">VLOOKUP($F254,OFFSET([1]characters!$A$2,0,0,COUNTA([1]characters!$A:$A),MATCH(I$1,[1]characters!$2:$2,0)-MATCH($F$1,[1]characters!$2:$2,0)+1),MATCH(I$1,[1]characters!$2:$2,0)-MATCH($F$1,[1]characters!$2:$2,0)+1,FALSE)</f>
        <v>3</v>
      </c>
      <c r="J254" s="20" t="str">
        <f ca="1">VLOOKUP($F254,OFFSET([1]characters!$A$2,0,0,COUNTA([1]characters!$A:$A),MATCH(J$1,[1]characters!$2:$2,0)-MATCH($F$1,[1]characters!$2:$2,0)+1),MATCH(J$1,[1]characters!$2:$2,0)-MATCH($F$1,[1]characters!$2:$2,0)+1,FALSE)</f>
        <v>red</v>
      </c>
      <c r="K254" s="20" t="str">
        <f ca="1">VLOOKUP($F254,OFFSET([1]characters!$A$2,0,0,COUNTA([1]characters!$A:$A),MATCH("タイプ",[1]characters!$1:$1,0)-MATCH($F$1,[1]characters!$2:$2,0)+2),MATCH("タイプ",[1]characters!$1:$1,0)-MATCH($F$1,[1]characters!$2:$2,0)+2,FALSE)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4" s="20" t="str">
        <f ca="1">VLOOKUP($F254,OFFSET([1]characters!$A$2,0,0,COUNTA([1]characters!$A:$A),MATCH($L$1,[1]characters!$1:$1,0)-MATCH($F$1,[1]characters!$2:$2,0)+2),MATCH($L$1,[1]characters!$1:$1,0)-MATCH($F$1,[1]characters!$2:$2,0)+2,FALSE)</f>
        <v>ドラゴン</v>
      </c>
      <c r="M254" s="21">
        <v>1</v>
      </c>
      <c r="N254" s="40">
        <f ca="1">VLOOKUP(D254,gacha_133_base!A:B,2,FALSE)</f>
        <v>228</v>
      </c>
      <c r="O254" s="18">
        <v>0</v>
      </c>
      <c r="P254" s="18">
        <v>0</v>
      </c>
      <c r="Q254" s="18">
        <v>0</v>
      </c>
      <c r="R254" s="18">
        <v>0</v>
      </c>
      <c r="S254" s="18">
        <v>1</v>
      </c>
    </row>
    <row r="255" spans="1:19" ht="21" customHeight="1" thickBot="1">
      <c r="A255" s="22" t="str">
        <f t="shared" si="16"/>
        <v>03811</v>
      </c>
      <c r="B255" s="2">
        <f t="shared" si="15"/>
        <v>135</v>
      </c>
      <c r="C255" s="10" t="str">
        <f t="shared" ca="1" si="13"/>
        <v>0PremiumS4</v>
      </c>
      <c r="D255" s="10" t="str">
        <f t="shared" ca="1" si="14"/>
        <v>0PremiumS4</v>
      </c>
      <c r="E255" s="38">
        <v>0</v>
      </c>
      <c r="F255" s="27">
        <v>381</v>
      </c>
      <c r="G255" s="10" t="str">
        <f ca="1">VLOOKUP($F255,OFFSET([1]characters!$A$2,0,0,COUNTA([1]characters!$A:$A),MATCH(G$1,[1]characters!$2:$2,0)-MATCH($F$1,[1]characters!$2:$2,0)+1),MATCH(G$1,[1]characters!$2:$2,0)-MATCH($F$1,[1]characters!$2:$2,0)+1,FALSE)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255" s="10" t="str">
        <f ca="1">VLOOKUP($F255,OFFSET([1]characters!$A$2,0,0,COUNTA([1]characters!$A:$A),MATCH(H$1,[1]characters!$2:$2,0)-MATCH($F$1,[1]characters!$2:$2,0)+1),MATCH(H$1,[1]characters!$2:$2,0)-MATCH($F$1,[1]characters!$2:$2,0)+1,FALSE)</f>
        <v>PremiumS</v>
      </c>
      <c r="I255" s="10">
        <f ca="1">VLOOKUP($F255,OFFSET([1]characters!$A$2,0,0,COUNTA([1]characters!$A:$A),MATCH(I$1,[1]characters!$2:$2,0)-MATCH($F$1,[1]characters!$2:$2,0)+1),MATCH(I$1,[1]characters!$2:$2,0)-MATCH($F$1,[1]characters!$2:$2,0)+1,FALSE)</f>
        <v>4</v>
      </c>
      <c r="J255" s="10" t="str">
        <f ca="1">VLOOKUP($F255,OFFSET([1]characters!$A$2,0,0,COUNTA([1]characters!$A:$A),MATCH(J$1,[1]characters!$2:$2,0)-MATCH($F$1,[1]characters!$2:$2,0)+1),MATCH(J$1,[1]characters!$2:$2,0)-MATCH($F$1,[1]characters!$2:$2,0)+1,FALSE)</f>
        <v>red</v>
      </c>
      <c r="K255" s="10" t="str">
        <f ca="1">VLOOKUP($F255,OFFSET([1]characters!$A$2,0,0,COUNTA([1]characters!$A:$A),MATCH("タイプ",[1]characters!$1:$1,0)-MATCH($F$1,[1]characters!$2:$2,0)+2),MATCH("タイプ",[1]characters!$1:$1,0)-MATCH($F$1,[1]characters!$2:$2,0)+2,FALSE)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5" s="10" t="str">
        <f ca="1">VLOOKUP($F255,OFFSET([1]characters!$A$2,0,0,COUNTA([1]characters!$A:$A),MATCH($L$1,[1]characters!$1:$1,0)-MATCH($F$1,[1]characters!$2:$2,0)+2),MATCH($L$1,[1]characters!$1:$1,0)-MATCH($F$1,[1]characters!$2:$2,0)+2,FALSE)</f>
        <v>ドラゴン</v>
      </c>
      <c r="M255" s="6">
        <v>1</v>
      </c>
      <c r="N255" s="40">
        <f ca="1">VLOOKUP(D255,gacha_133_base!A:B,2,FALSE)</f>
        <v>80</v>
      </c>
      <c r="O255" s="28">
        <v>0</v>
      </c>
      <c r="P255" s="28">
        <v>0</v>
      </c>
      <c r="Q255" s="28">
        <v>0</v>
      </c>
      <c r="R255" s="28">
        <v>0</v>
      </c>
      <c r="S255" s="28">
        <v>1</v>
      </c>
    </row>
    <row r="256" spans="1:19" ht="21" customHeight="1" thickBot="1">
      <c r="A256" s="22" t="str">
        <f t="shared" si="16"/>
        <v>03821</v>
      </c>
      <c r="B256" s="2">
        <f t="shared" si="15"/>
        <v>135</v>
      </c>
      <c r="C256" s="10" t="str">
        <f t="shared" ca="1" si="13"/>
        <v>0PremiumS5</v>
      </c>
      <c r="D256" s="10" t="str">
        <f t="shared" ca="1" si="14"/>
        <v>0PremiumS5</v>
      </c>
      <c r="E256" s="38">
        <v>0</v>
      </c>
      <c r="F256" s="27">
        <v>382</v>
      </c>
      <c r="G256" s="10" t="str">
        <f ca="1">VLOOKUP($F256,OFFSET([1]characters!$A$2,0,0,COUNTA([1]characters!$A:$A),MATCH(G$1,[1]characters!$2:$2,0)-MATCH($F$1,[1]characters!$2:$2,0)+1),MATCH(G$1,[1]characters!$2:$2,0)-MATCH($F$1,[1]characters!$2:$2,0)+1,FALSE)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256" s="10" t="str">
        <f ca="1">VLOOKUP($F256,OFFSET([1]characters!$A$2,0,0,COUNTA([1]characters!$A:$A),MATCH(H$1,[1]characters!$2:$2,0)-MATCH($F$1,[1]characters!$2:$2,0)+1),MATCH(H$1,[1]characters!$2:$2,0)-MATCH($F$1,[1]characters!$2:$2,0)+1,FALSE)</f>
        <v>PremiumS</v>
      </c>
      <c r="I256" s="10">
        <f ca="1">VLOOKUP($F256,OFFSET([1]characters!$A$2,0,0,COUNTA([1]characters!$A:$A),MATCH(I$1,[1]characters!$2:$2,0)-MATCH($F$1,[1]characters!$2:$2,0)+1),MATCH(I$1,[1]characters!$2:$2,0)-MATCH($F$1,[1]characters!$2:$2,0)+1,FALSE)</f>
        <v>5</v>
      </c>
      <c r="J256" s="10" t="str">
        <f ca="1">VLOOKUP($F256,OFFSET([1]characters!$A$2,0,0,COUNTA([1]characters!$A:$A),MATCH(J$1,[1]characters!$2:$2,0)-MATCH($F$1,[1]characters!$2:$2,0)+1),MATCH(J$1,[1]characters!$2:$2,0)-MATCH($F$1,[1]characters!$2:$2,0)+1,FALSE)</f>
        <v>red</v>
      </c>
      <c r="K256" s="10" t="str">
        <f ca="1">VLOOKUP($F256,OFFSET([1]characters!$A$2,0,0,COUNTA([1]characters!$A:$A),MATCH("タイプ",[1]characters!$1:$1,0)-MATCH($F$1,[1]characters!$2:$2,0)+2),MATCH("タイプ",[1]characters!$1:$1,0)-MATCH($F$1,[1]characters!$2:$2,0)+2,FALSE)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56" s="10" t="str">
        <f ca="1">VLOOKUP($F256,OFFSET([1]characters!$A$2,0,0,COUNTA([1]characters!$A:$A),MATCH($L$1,[1]characters!$1:$1,0)-MATCH($F$1,[1]characters!$2:$2,0)+2),MATCH($L$1,[1]characters!$1:$1,0)-MATCH($F$1,[1]characters!$2:$2,0)+2,FALSE)</f>
        <v>ドラゴン</v>
      </c>
      <c r="M256" s="6">
        <v>1</v>
      </c>
      <c r="N256" s="40">
        <f ca="1">VLOOKUP(D256,gacha_133_base!A:B,2,FALSE)</f>
        <v>13</v>
      </c>
      <c r="O256" s="28">
        <v>0</v>
      </c>
      <c r="P256" s="28">
        <v>0</v>
      </c>
      <c r="Q256" s="28">
        <v>0</v>
      </c>
      <c r="R256" s="28">
        <v>0</v>
      </c>
      <c r="S256" s="28">
        <v>1</v>
      </c>
    </row>
    <row r="257" spans="1:19" ht="21" customHeight="1" thickBot="1">
      <c r="A257" s="22" t="str">
        <f t="shared" si="16"/>
        <v>03831</v>
      </c>
      <c r="B257" s="2">
        <f t="shared" si="15"/>
        <v>135</v>
      </c>
      <c r="C257" s="10" t="str">
        <f t="shared" ca="1" si="13"/>
        <v>0PremiumSS4</v>
      </c>
      <c r="D257" s="10" t="str">
        <f t="shared" ca="1" si="14"/>
        <v>0PremiumSS4</v>
      </c>
      <c r="E257" s="38">
        <v>0</v>
      </c>
      <c r="F257" s="27">
        <v>383</v>
      </c>
      <c r="G257" s="10" t="str">
        <f ca="1">VLOOKUP($F257,OFFSET([1]characters!$A$2,0,0,COUNTA([1]characters!$A:$A),MATCH(G$1,[1]characters!$2:$2,0)-MATCH($F$1,[1]characters!$2:$2,0)+1),MATCH(G$1,[1]characters!$2:$2,0)-MATCH($F$1,[1]characters!$2:$2,0)+1,FALSE)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257" s="10" t="str">
        <f ca="1">VLOOKUP($F257,OFFSET([1]characters!$A$2,0,0,COUNTA([1]characters!$A:$A),MATCH(H$1,[1]characters!$2:$2,0)-MATCH($F$1,[1]characters!$2:$2,0)+1),MATCH(H$1,[1]characters!$2:$2,0)-MATCH($F$1,[1]characters!$2:$2,0)+1,FALSE)</f>
        <v>PremiumSS</v>
      </c>
      <c r="I257" s="10">
        <f ca="1">VLOOKUP($F257,OFFSET([1]characters!$A$2,0,0,COUNTA([1]characters!$A:$A),MATCH(I$1,[1]characters!$2:$2,0)-MATCH($F$1,[1]characters!$2:$2,0)+1),MATCH(I$1,[1]characters!$2:$2,0)-MATCH($F$1,[1]characters!$2:$2,0)+1,FALSE)</f>
        <v>4</v>
      </c>
      <c r="J257" s="10" t="str">
        <f ca="1">VLOOKUP($F257,OFFSET([1]characters!$A$2,0,0,COUNTA([1]characters!$A:$A),MATCH(J$1,[1]characters!$2:$2,0)-MATCH($F$1,[1]characters!$2:$2,0)+1),MATCH(J$1,[1]characters!$2:$2,0)-MATCH($F$1,[1]characters!$2:$2,0)+1,FALSE)</f>
        <v>green</v>
      </c>
      <c r="K257" s="10" t="str">
        <f ca="1">VLOOKUP($F257,OFFSET([1]characters!$A$2,0,0,COUNTA([1]characters!$A:$A),MATCH("タイプ",[1]characters!$1:$1,0)-MATCH($F$1,[1]characters!$2:$2,0)+2),MATCH("タイプ",[1]characters!$1:$1,0)-MATCH($F$1,[1]characters!$2:$2,0)+2,FALSE)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7" s="10" t="str">
        <f ca="1">VLOOKUP($F257,OFFSET([1]characters!$A$2,0,0,COUNTA([1]characters!$A:$A),MATCH($L$1,[1]characters!$1:$1,0)-MATCH($F$1,[1]characters!$2:$2,0)+2),MATCH($L$1,[1]characters!$1:$1,0)-MATCH($F$1,[1]characters!$2:$2,0)+2,FALSE)</f>
        <v>ドラゴン</v>
      </c>
      <c r="M257" s="6">
        <v>1</v>
      </c>
      <c r="N257" s="40">
        <f ca="1">VLOOKUP(D257,gacha_133_base!A:B,2,FALSE)</f>
        <v>144</v>
      </c>
      <c r="O257" s="28">
        <v>0</v>
      </c>
      <c r="P257" s="28">
        <v>0</v>
      </c>
      <c r="Q257" s="28">
        <v>0</v>
      </c>
      <c r="R257" s="28">
        <v>0</v>
      </c>
      <c r="S257" s="28">
        <v>1</v>
      </c>
    </row>
    <row r="258" spans="1:19" ht="21" customHeight="1" thickBot="1">
      <c r="A258" s="22" t="str">
        <f t="shared" si="16"/>
        <v>03841</v>
      </c>
      <c r="B258" s="2">
        <f t="shared" si="15"/>
        <v>135</v>
      </c>
      <c r="C258" s="10" t="str">
        <f t="shared" ca="1" si="13"/>
        <v>0PremiumSS5</v>
      </c>
      <c r="D258" s="10" t="str">
        <f t="shared" ca="1" si="14"/>
        <v>0PremiumSS5</v>
      </c>
      <c r="E258" s="38">
        <v>0</v>
      </c>
      <c r="F258" s="27">
        <v>384</v>
      </c>
      <c r="G258" s="10" t="str">
        <f ca="1">VLOOKUP($F258,OFFSET([1]characters!$A$2,0,0,COUNTA([1]characters!$A:$A),MATCH(G$1,[1]characters!$2:$2,0)-MATCH($F$1,[1]characters!$2:$2,0)+1),MATCH(G$1,[1]characters!$2:$2,0)-MATCH($F$1,[1]characters!$2:$2,0)+1,FALSE)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258" s="10" t="str">
        <f ca="1">VLOOKUP($F258,OFFSET([1]characters!$A$2,0,0,COUNTA([1]characters!$A:$A),MATCH(H$1,[1]characters!$2:$2,0)-MATCH($F$1,[1]characters!$2:$2,0)+1),MATCH(H$1,[1]characters!$2:$2,0)-MATCH($F$1,[1]characters!$2:$2,0)+1,FALSE)</f>
        <v>PremiumSS</v>
      </c>
      <c r="I258" s="10">
        <f ca="1">VLOOKUP($F258,OFFSET([1]characters!$A$2,0,0,COUNTA([1]characters!$A:$A),MATCH(I$1,[1]characters!$2:$2,0)-MATCH($F$1,[1]characters!$2:$2,0)+1),MATCH(I$1,[1]characters!$2:$2,0)-MATCH($F$1,[1]characters!$2:$2,0)+1,FALSE)</f>
        <v>5</v>
      </c>
      <c r="J258" s="10" t="str">
        <f ca="1">VLOOKUP($F258,OFFSET([1]characters!$A$2,0,0,COUNTA([1]characters!$A:$A),MATCH(J$1,[1]characters!$2:$2,0)-MATCH($F$1,[1]characters!$2:$2,0)+1),MATCH(J$1,[1]characters!$2:$2,0)-MATCH($F$1,[1]characters!$2:$2,0)+1,FALSE)</f>
        <v>green</v>
      </c>
      <c r="K258" s="10" t="str">
        <f ca="1">VLOOKUP($F258,OFFSET([1]characters!$A$2,0,0,COUNTA([1]characters!$A:$A),MATCH("タイプ",[1]characters!$1:$1,0)-MATCH($F$1,[1]characters!$2:$2,0)+2),MATCH("タイプ",[1]characters!$1:$1,0)-MATCH($F$1,[1]characters!$2:$2,0)+2,FALSE)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8" s="10" t="str">
        <f ca="1">VLOOKUP($F258,OFFSET([1]characters!$A$2,0,0,COUNTA([1]characters!$A:$A),MATCH($L$1,[1]characters!$1:$1,0)-MATCH($F$1,[1]characters!$2:$2,0)+2),MATCH($L$1,[1]characters!$1:$1,0)-MATCH($F$1,[1]characters!$2:$2,0)+2,FALSE)</f>
        <v>ドラゴン</v>
      </c>
      <c r="M258" s="6">
        <v>1</v>
      </c>
      <c r="N258" s="40">
        <f ca="1">VLOOKUP(D258,gacha_133_base!A:B,2,FALSE)</f>
        <v>48</v>
      </c>
      <c r="O258" s="28">
        <v>0</v>
      </c>
      <c r="P258" s="28">
        <v>0</v>
      </c>
      <c r="Q258" s="28">
        <v>0</v>
      </c>
      <c r="R258" s="28">
        <v>0</v>
      </c>
      <c r="S258" s="28">
        <v>1</v>
      </c>
    </row>
    <row r="259" spans="1:19" ht="21" customHeight="1" thickBot="1">
      <c r="A259" s="22" t="str">
        <f t="shared" si="16"/>
        <v>03851</v>
      </c>
      <c r="B259" s="2">
        <f t="shared" si="15"/>
        <v>135</v>
      </c>
      <c r="C259" s="10" t="str">
        <f t="shared" ca="1" si="13"/>
        <v>0PremiumSS4</v>
      </c>
      <c r="D259" s="10" t="str">
        <f t="shared" ca="1" si="14"/>
        <v>0PremiumSS4</v>
      </c>
      <c r="E259" s="38">
        <v>0</v>
      </c>
      <c r="F259" s="27">
        <v>385</v>
      </c>
      <c r="G259" s="10" t="str">
        <f ca="1">VLOOKUP($F259,OFFSET([1]characters!$A$2,0,0,COUNTA([1]characters!$A:$A),MATCH(G$1,[1]characters!$2:$2,0)-MATCH($F$1,[1]characters!$2:$2,0)+1),MATCH(G$1,[1]characters!$2:$2,0)-MATCH($F$1,[1]characters!$2:$2,0)+1,FALSE)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259" s="10" t="str">
        <f ca="1">VLOOKUP($F259,OFFSET([1]characters!$A$2,0,0,COUNTA([1]characters!$A:$A),MATCH(H$1,[1]characters!$2:$2,0)-MATCH($F$1,[1]characters!$2:$2,0)+1),MATCH(H$1,[1]characters!$2:$2,0)-MATCH($F$1,[1]characters!$2:$2,0)+1,FALSE)</f>
        <v>PremiumSS</v>
      </c>
      <c r="I259" s="10">
        <f ca="1">VLOOKUP($F259,OFFSET([1]characters!$A$2,0,0,COUNTA([1]characters!$A:$A),MATCH(I$1,[1]characters!$2:$2,0)-MATCH($F$1,[1]characters!$2:$2,0)+1),MATCH(I$1,[1]characters!$2:$2,0)-MATCH($F$1,[1]characters!$2:$2,0)+1,FALSE)</f>
        <v>4</v>
      </c>
      <c r="J259" s="10" t="str">
        <f ca="1">VLOOKUP($F259,OFFSET([1]characters!$A$2,0,0,COUNTA([1]characters!$A:$A),MATCH(J$1,[1]characters!$2:$2,0)-MATCH($F$1,[1]characters!$2:$2,0)+1),MATCH(J$1,[1]characters!$2:$2,0)-MATCH($F$1,[1]characters!$2:$2,0)+1,FALSE)</f>
        <v>blue</v>
      </c>
      <c r="K259" s="10" t="str">
        <f ca="1">VLOOKUP($F259,OFFSET([1]characters!$A$2,0,0,COUNTA([1]characters!$A:$A),MATCH("タイプ",[1]characters!$1:$1,0)-MATCH($F$1,[1]characters!$2:$2,0)+2),MATCH("タイプ",[1]characters!$1:$1,0)-MATCH($F$1,[1]characters!$2:$2,0)+2,FALSE)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9" s="10" t="str">
        <f ca="1">VLOOKUP($F259,OFFSET([1]characters!$A$2,0,0,COUNTA([1]characters!$A:$A),MATCH($L$1,[1]characters!$1:$1,0)-MATCH($F$1,[1]characters!$2:$2,0)+2),MATCH($L$1,[1]characters!$1:$1,0)-MATCH($F$1,[1]characters!$2:$2,0)+2,FALSE)</f>
        <v>ドラゴン</v>
      </c>
      <c r="M259" s="6">
        <v>1</v>
      </c>
      <c r="N259" s="40">
        <f ca="1">VLOOKUP(D259,gacha_133_base!A:B,2,FALSE)</f>
        <v>144</v>
      </c>
      <c r="O259" s="28">
        <v>0</v>
      </c>
      <c r="P259" s="28">
        <v>0</v>
      </c>
      <c r="Q259" s="28">
        <v>0</v>
      </c>
      <c r="R259" s="28">
        <v>0</v>
      </c>
      <c r="S259" s="28">
        <v>1</v>
      </c>
    </row>
    <row r="260" spans="1:19" ht="21" customHeight="1" thickBot="1">
      <c r="A260" s="22" t="str">
        <f t="shared" si="16"/>
        <v>03861</v>
      </c>
      <c r="B260" s="2">
        <f t="shared" si="15"/>
        <v>135</v>
      </c>
      <c r="C260" s="10" t="str">
        <f t="shared" ca="1" si="13"/>
        <v>0PremiumSS5</v>
      </c>
      <c r="D260" s="10" t="str">
        <f t="shared" ca="1" si="14"/>
        <v>0PremiumSS5</v>
      </c>
      <c r="E260" s="38">
        <v>0</v>
      </c>
      <c r="F260" s="31">
        <v>386</v>
      </c>
      <c r="G260" s="34" t="str">
        <f ca="1">VLOOKUP($F260,OFFSET([1]characters!$A$2,0,0,COUNTA([1]characters!$A:$A),MATCH(G$1,[1]characters!$2:$2,0)-MATCH($F$1,[1]characters!$2:$2,0)+1),MATCH(G$1,[1]characters!$2:$2,0)-MATCH($F$1,[1]characters!$2:$2,0)+1,FALSE)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260" s="34" t="str">
        <f ca="1">VLOOKUP($F260,OFFSET([1]characters!$A$2,0,0,COUNTA([1]characters!$A:$A),MATCH(H$1,[1]characters!$2:$2,0)-MATCH($F$1,[1]characters!$2:$2,0)+1),MATCH(H$1,[1]characters!$2:$2,0)-MATCH($F$1,[1]characters!$2:$2,0)+1,FALSE)</f>
        <v>PremiumSS</v>
      </c>
      <c r="I260" s="34">
        <f ca="1">VLOOKUP($F260,OFFSET([1]characters!$A$2,0,0,COUNTA([1]characters!$A:$A),MATCH(I$1,[1]characters!$2:$2,0)-MATCH($F$1,[1]characters!$2:$2,0)+1),MATCH(I$1,[1]characters!$2:$2,0)-MATCH($F$1,[1]characters!$2:$2,0)+1,FALSE)</f>
        <v>5</v>
      </c>
      <c r="J260" s="34" t="str">
        <f ca="1">VLOOKUP($F260,OFFSET([1]characters!$A$2,0,0,COUNTA([1]characters!$A:$A),MATCH(J$1,[1]characters!$2:$2,0)-MATCH($F$1,[1]characters!$2:$2,0)+1),MATCH(J$1,[1]characters!$2:$2,0)-MATCH($F$1,[1]characters!$2:$2,0)+1,FALSE)</f>
        <v>blue</v>
      </c>
      <c r="K260" s="34" t="str">
        <f ca="1">VLOOKUP($F260,OFFSET([1]characters!$A$2,0,0,COUNTA([1]characters!$A:$A),MATCH("タイプ",[1]characters!$1:$1,0)-MATCH($F$1,[1]characters!$2:$2,0)+2),MATCH("タイプ",[1]characters!$1:$1,0)-MATCH($F$1,[1]characters!$2:$2,0)+2,FALSE)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0" s="34" t="str">
        <f ca="1">VLOOKUP($F260,OFFSET([1]characters!$A$2,0,0,COUNTA([1]characters!$A:$A),MATCH($L$1,[1]characters!$1:$1,0)-MATCH($F$1,[1]characters!$2:$2,0)+2),MATCH($L$1,[1]characters!$1:$1,0)-MATCH($F$1,[1]characters!$2:$2,0)+2,FALSE)</f>
        <v>ドラゴン</v>
      </c>
      <c r="M260" s="32">
        <v>1</v>
      </c>
      <c r="N260" s="40">
        <f ca="1">VLOOKUP(D260,gacha_133_base!A:B,2,FALSE)</f>
        <v>48</v>
      </c>
      <c r="O260" s="35">
        <v>0</v>
      </c>
      <c r="P260" s="35">
        <v>0</v>
      </c>
      <c r="Q260" s="35">
        <v>0</v>
      </c>
      <c r="R260" s="35">
        <v>0</v>
      </c>
      <c r="S260" s="35">
        <v>1</v>
      </c>
    </row>
    <row r="261" spans="1:19" ht="21" customHeight="1" thickBot="1">
      <c r="A261" s="22" t="str">
        <f t="shared" si="16"/>
        <v>03871</v>
      </c>
      <c r="B261" s="2">
        <f t="shared" si="15"/>
        <v>135</v>
      </c>
      <c r="C261" s="10" t="str">
        <f t="shared" ca="1" si="13"/>
        <v>0PremiumS3</v>
      </c>
      <c r="D261" s="10" t="str">
        <f t="shared" ca="1" si="14"/>
        <v>0PremiumS3</v>
      </c>
      <c r="E261" s="38">
        <v>0</v>
      </c>
      <c r="F261" s="7">
        <v>387</v>
      </c>
      <c r="G261" s="10" t="str">
        <f ca="1">VLOOKUP($F261,OFFSET([1]characters!$A$2,0,0,COUNTA([1]characters!$A:$A),MATCH(G$1,[1]characters!$2:$2,0)-MATCH($F$1,[1]characters!$2:$2,0)+1),MATCH(G$1,[1]characters!$2:$2,0)-MATCH($F$1,[1]characters!$2:$2,0)+1,FALSE)</f>
        <v>スフィンクス</v>
      </c>
      <c r="H261" s="10" t="str">
        <f ca="1">VLOOKUP($F261,OFFSET([1]characters!$A$2,0,0,COUNTA([1]characters!$A:$A),MATCH(H$1,[1]characters!$2:$2,0)-MATCH($F$1,[1]characters!$2:$2,0)+1),MATCH(H$1,[1]characters!$2:$2,0)-MATCH($F$1,[1]characters!$2:$2,0)+1,FALSE)</f>
        <v>PremiumS</v>
      </c>
      <c r="I261" s="10">
        <f ca="1">VLOOKUP($F261,OFFSET([1]characters!$A$2,0,0,COUNTA([1]characters!$A:$A),MATCH(I$1,[1]characters!$2:$2,0)-MATCH($F$1,[1]characters!$2:$2,0)+1),MATCH(I$1,[1]characters!$2:$2,0)-MATCH($F$1,[1]characters!$2:$2,0)+1,FALSE)</f>
        <v>3</v>
      </c>
      <c r="J261" s="10" t="str">
        <f ca="1">VLOOKUP($F261,OFFSET([1]characters!$A$2,0,0,COUNTA([1]characters!$A:$A),MATCH(J$1,[1]characters!$2:$2,0)-MATCH($F$1,[1]characters!$2:$2,0)+1),MATCH(J$1,[1]characters!$2:$2,0)-MATCH($F$1,[1]characters!$2:$2,0)+1,FALSE)</f>
        <v>yellow</v>
      </c>
      <c r="K261" s="10" t="str">
        <f ca="1">VLOOKUP($F261,OFFSET([1]characters!$A$2,0,0,COUNTA([1]characters!$A:$A),MATCH("タイプ",[1]characters!$1:$1,0)-MATCH($F$1,[1]characters!$2:$2,0)+2),MATCH("タイプ",[1]characters!$1:$1,0)-MATCH($F$1,[1]characters!$2:$2,0)+2,FALSE)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1" s="10" t="str">
        <f ca="1">VLOOKUP($F261,OFFSET([1]characters!$A$2,0,0,COUNTA([1]characters!$A:$A),MATCH($L$1,[1]characters!$1:$1,0)-MATCH($F$1,[1]characters!$2:$2,0)+2),MATCH($L$1,[1]characters!$1:$1,0)-MATCH($F$1,[1]characters!$2:$2,0)+2,FALSE)</f>
        <v>アニマル</v>
      </c>
      <c r="M261" s="6">
        <v>1</v>
      </c>
      <c r="N261" s="40">
        <f ca="1">VLOOKUP(D261,gacha_133_base!A:B,2,FALSE)</f>
        <v>228</v>
      </c>
      <c r="O261" s="28">
        <v>0</v>
      </c>
      <c r="P261" s="28">
        <v>0</v>
      </c>
      <c r="Q261" s="28">
        <v>0</v>
      </c>
      <c r="R261" s="28">
        <v>0</v>
      </c>
      <c r="S261" s="28">
        <v>1</v>
      </c>
    </row>
    <row r="262" spans="1:19" ht="21" customHeight="1">
      <c r="A262" s="30" t="str">
        <f t="shared" si="16"/>
        <v>03881</v>
      </c>
      <c r="B262" s="2">
        <f t="shared" si="15"/>
        <v>135</v>
      </c>
      <c r="C262" s="10" t="str">
        <f t="shared" ca="1" si="13"/>
        <v>0PremiumS4</v>
      </c>
      <c r="D262" s="10" t="str">
        <f t="shared" ca="1" si="14"/>
        <v>0PremiumS4</v>
      </c>
      <c r="E262" s="38">
        <v>0</v>
      </c>
      <c r="F262" s="33">
        <v>388</v>
      </c>
      <c r="G262" s="34" t="str">
        <f ca="1">VLOOKUP($F262,OFFSET([1]characters!$A$2,0,0,COUNTA([1]characters!$A:$A),MATCH(G$1,[1]characters!$2:$2,0)-MATCH($F$1,[1]characters!$2:$2,0)+1),MATCH(G$1,[1]characters!$2:$2,0)-MATCH($F$1,[1]characters!$2:$2,0)+1,FALSE)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262" s="34" t="str">
        <f ca="1">VLOOKUP($F262,OFFSET([1]characters!$A$2,0,0,COUNTA([1]characters!$A:$A),MATCH(H$1,[1]characters!$2:$2,0)-MATCH($F$1,[1]characters!$2:$2,0)+1),MATCH(H$1,[1]characters!$2:$2,0)-MATCH($F$1,[1]characters!$2:$2,0)+1,FALSE)</f>
        <v>PremiumS</v>
      </c>
      <c r="I262" s="34">
        <f ca="1">VLOOKUP($F262,OFFSET([1]characters!$A$2,0,0,COUNTA([1]characters!$A:$A),MATCH(I$1,[1]characters!$2:$2,0)-MATCH($F$1,[1]characters!$2:$2,0)+1),MATCH(I$1,[1]characters!$2:$2,0)-MATCH($F$1,[1]characters!$2:$2,0)+1,FALSE)</f>
        <v>4</v>
      </c>
      <c r="J262" s="34" t="str">
        <f ca="1">VLOOKUP($F262,OFFSET([1]characters!$A$2,0,0,COUNTA([1]characters!$A:$A),MATCH(J$1,[1]characters!$2:$2,0)-MATCH($F$1,[1]characters!$2:$2,0)+1),MATCH(J$1,[1]characters!$2:$2,0)-MATCH($F$1,[1]characters!$2:$2,0)+1,FALSE)</f>
        <v>yellow</v>
      </c>
      <c r="K262" s="34" t="str">
        <f ca="1">VLOOKUP($F262,OFFSET([1]characters!$A$2,0,0,COUNTA([1]characters!$A:$A),MATCH("タイプ",[1]characters!$1:$1,0)-MATCH($F$1,[1]characters!$2:$2,0)+2),MATCH("タイプ",[1]characters!$1:$1,0)-MATCH($F$1,[1]characters!$2:$2,0)+2,FALSE)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2" s="34" t="str">
        <f ca="1">VLOOKUP($F262,OFFSET([1]characters!$A$2,0,0,COUNTA([1]characters!$A:$A),MATCH($L$1,[1]characters!$1:$1,0)-MATCH($F$1,[1]characters!$2:$2,0)+2),MATCH($L$1,[1]characters!$1:$1,0)-MATCH($F$1,[1]characters!$2:$2,0)+2,FALSE)</f>
        <v>アニマル</v>
      </c>
      <c r="M262" s="32">
        <v>1</v>
      </c>
      <c r="N262" s="40">
        <f ca="1">VLOOKUP(D262,gacha_133_base!A:B,2,FALSE)</f>
        <v>80</v>
      </c>
      <c r="O262" s="35">
        <v>0</v>
      </c>
      <c r="P262" s="35">
        <v>0</v>
      </c>
      <c r="Q262" s="35">
        <v>0</v>
      </c>
      <c r="R262" s="35">
        <v>0</v>
      </c>
      <c r="S262" s="35">
        <v>1</v>
      </c>
    </row>
    <row r="263" spans="1:19" s="37" customFormat="1" ht="21" customHeight="1" thickBot="1">
      <c r="A263" s="36" t="str">
        <f t="shared" si="16"/>
        <v>03891</v>
      </c>
      <c r="B263" s="2">
        <f t="shared" si="15"/>
        <v>135</v>
      </c>
      <c r="C263" s="10" t="str">
        <f t="shared" ca="1" si="13"/>
        <v>0PremiumS5</v>
      </c>
      <c r="D263" s="10" t="str">
        <f t="shared" ca="1" si="14"/>
        <v>0PremiumS5</v>
      </c>
      <c r="E263" s="38">
        <v>0</v>
      </c>
      <c r="F263" s="25">
        <v>389</v>
      </c>
      <c r="G263" s="23" t="str">
        <f ca="1">VLOOKUP($F263,OFFSET([1]characters!$A$2,0,0,COUNTA([1]characters!$A:$A),MATCH(G$1,[1]characters!$2:$2,0)-MATCH($F$1,[1]characters!$2:$2,0)+1),MATCH(G$1,[1]characters!$2:$2,0)-MATCH($F$1,[1]characters!$2:$2,0)+1,FALSE)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263" s="23" t="str">
        <f ca="1">VLOOKUP($F263,OFFSET([1]characters!$A$2,0,0,COUNTA([1]characters!$A:$A),MATCH(H$1,[1]characters!$2:$2,0)-MATCH($F$1,[1]characters!$2:$2,0)+1),MATCH(H$1,[1]characters!$2:$2,0)-MATCH($F$1,[1]characters!$2:$2,0)+1,FALSE)</f>
        <v>PremiumS</v>
      </c>
      <c r="I263" s="23">
        <f ca="1">VLOOKUP($F263,OFFSET([1]characters!$A$2,0,0,COUNTA([1]characters!$A:$A),MATCH(I$1,[1]characters!$2:$2,0)-MATCH($F$1,[1]characters!$2:$2,0)+1),MATCH(I$1,[1]characters!$2:$2,0)-MATCH($F$1,[1]characters!$2:$2,0)+1,FALSE)</f>
        <v>5</v>
      </c>
      <c r="J263" s="23" t="str">
        <f ca="1">VLOOKUP($F263,OFFSET([1]characters!$A$2,0,0,COUNTA([1]characters!$A:$A),MATCH(J$1,[1]characters!$2:$2,0)-MATCH($F$1,[1]characters!$2:$2,0)+1),MATCH(J$1,[1]characters!$2:$2,0)-MATCH($F$1,[1]characters!$2:$2,0)+1,FALSE)</f>
        <v>yellow</v>
      </c>
      <c r="K263" s="23" t="str">
        <f ca="1">VLOOKUP($F263,OFFSET([1]characters!$A$2,0,0,COUNTA([1]characters!$A:$A),MATCH("タイプ",[1]characters!$1:$1,0)-MATCH($F$1,[1]characters!$2:$2,0)+2),MATCH("タイプ",[1]characters!$1:$1,0)-MATCH($F$1,[1]characters!$2:$2,0)+2,FALSE)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3" s="23" t="str">
        <f ca="1">VLOOKUP($F263,OFFSET([1]characters!$A$2,0,0,COUNTA([1]characters!$A:$A),MATCH($L$1,[1]characters!$1:$1,0)-MATCH($F$1,[1]characters!$2:$2,0)+2),MATCH($L$1,[1]characters!$1:$1,0)-MATCH($F$1,[1]characters!$2:$2,0)+2,FALSE)</f>
        <v>アニマル</v>
      </c>
      <c r="M263" s="24">
        <v>1</v>
      </c>
      <c r="N263" s="40">
        <f ca="1">VLOOKUP(D263,gacha_133_base!A:B,2,FALSE)</f>
        <v>13</v>
      </c>
      <c r="O263" s="29">
        <v>0</v>
      </c>
      <c r="P263" s="29">
        <v>0</v>
      </c>
      <c r="Q263" s="29">
        <v>0</v>
      </c>
      <c r="R263" s="29">
        <v>0</v>
      </c>
      <c r="S263" s="29">
        <v>1</v>
      </c>
    </row>
    <row r="264" spans="1:19" ht="21" customHeight="1" thickBot="1">
      <c r="A264" s="22" t="str">
        <f t="shared" si="16"/>
        <v>03901</v>
      </c>
      <c r="B264" s="2">
        <f t="shared" si="15"/>
        <v>135</v>
      </c>
      <c r="C264" s="10" t="str">
        <f t="shared" ca="1" si="13"/>
        <v>0PremiumSS4</v>
      </c>
      <c r="D264" s="10" t="str">
        <f ca="1">E264&amp;H264&amp;I264&amp;"pick"</f>
        <v>0PremiumSS4pick</v>
      </c>
      <c r="E264" s="38">
        <v>0</v>
      </c>
      <c r="F264" s="31">
        <v>390</v>
      </c>
      <c r="G264" s="34" t="str">
        <f ca="1">VLOOKUP($F264,OFFSET([1]characters!$A$2,0,0,COUNTA([1]characters!$A:$A),MATCH(G$1,[1]characters!$2:$2,0)-MATCH($F$1,[1]characters!$2:$2,0)+1),MATCH(G$1,[1]characters!$2:$2,0)-MATCH($F$1,[1]characters!$2:$2,0)+1,FALSE)</f>
        <v>華環の旅客 親指姫</v>
      </c>
      <c r="H264" s="34" t="str">
        <f ca="1">VLOOKUP($F264,OFFSET([1]characters!$A$2,0,0,COUNTA([1]characters!$A:$A),MATCH(H$1,[1]characters!$2:$2,0)-MATCH($F$1,[1]characters!$2:$2,0)+1),MATCH(H$1,[1]characters!$2:$2,0)-MATCH($F$1,[1]characters!$2:$2,0)+1,FALSE)</f>
        <v>PremiumSS</v>
      </c>
      <c r="I264" s="34">
        <f ca="1">VLOOKUP($F264,OFFSET([1]characters!$A$2,0,0,COUNTA([1]characters!$A:$A),MATCH(I$1,[1]characters!$2:$2,0)-MATCH($F$1,[1]characters!$2:$2,0)+1),MATCH(I$1,[1]characters!$2:$2,0)-MATCH($F$1,[1]characters!$2:$2,0)+1,FALSE)</f>
        <v>4</v>
      </c>
      <c r="J264" s="34" t="str">
        <f ca="1">VLOOKUP($F264,OFFSET([1]characters!$A$2,0,0,COUNTA([1]characters!$A:$A),MATCH(J$1,[1]characters!$2:$2,0)-MATCH($F$1,[1]characters!$2:$2,0)+1),MATCH(J$1,[1]characters!$2:$2,0)-MATCH($F$1,[1]characters!$2:$2,0)+1,FALSE)</f>
        <v>red</v>
      </c>
      <c r="K264" s="34" t="str">
        <f ca="1">VLOOKUP($F264,OFFSET([1]characters!$A$2,0,0,COUNTA([1]characters!$A:$A),MATCH("タイプ",[1]characters!$1:$1,0)-MATCH($F$1,[1]characters!$2:$2,0)+2),MATCH("タイプ",[1]characters!$1:$1,0)-MATCH($F$1,[1]characters!$2:$2,0)+2,FALSE)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4" s="34" t="str">
        <f ca="1">VLOOKUP($F264,OFFSET([1]characters!$A$2,0,0,COUNTA([1]characters!$A:$A),MATCH($L$1,[1]characters!$1:$1,0)-MATCH($F$1,[1]characters!$2:$2,0)+2),MATCH($L$1,[1]characters!$1:$1,0)-MATCH($F$1,[1]characters!$2:$2,0)+2,FALSE)</f>
        <v>ヒューマン</v>
      </c>
      <c r="M264" s="32">
        <v>1</v>
      </c>
      <c r="N264" s="40">
        <f ca="1">VLOOKUP(D264,gacha_133_base!A:B,2,FALSE)</f>
        <v>1348</v>
      </c>
      <c r="O264" s="35">
        <v>0</v>
      </c>
      <c r="P264" s="35">
        <v>0</v>
      </c>
      <c r="Q264" s="35">
        <v>0</v>
      </c>
      <c r="R264" s="35">
        <v>0</v>
      </c>
      <c r="S264" s="35">
        <v>1</v>
      </c>
    </row>
    <row r="265" spans="1:19" ht="21" customHeight="1" thickBot="1">
      <c r="A265" s="22" t="str">
        <f t="shared" si="16"/>
        <v>03911</v>
      </c>
      <c r="B265" s="2">
        <f t="shared" si="15"/>
        <v>135</v>
      </c>
      <c r="C265" s="10" t="str">
        <f t="shared" ca="1" si="13"/>
        <v>0PremiumSS5</v>
      </c>
      <c r="D265" s="10" t="str">
        <f t="shared" ref="D265:D273" ca="1" si="17">E265&amp;H265&amp;I265&amp;"pick"</f>
        <v>0PremiumSS5pick</v>
      </c>
      <c r="E265" s="38">
        <v>0</v>
      </c>
      <c r="F265" s="7">
        <v>391</v>
      </c>
      <c r="G265" s="10" t="str">
        <f ca="1">VLOOKUP($F265,OFFSET([1]characters!$A$2,0,0,COUNTA([1]characters!$A:$A),MATCH(G$1,[1]characters!$2:$2,0)-MATCH($F$1,[1]characters!$2:$2,0)+1),MATCH(G$1,[1]characters!$2:$2,0)-MATCH($F$1,[1]characters!$2:$2,0)+1,FALSE)</f>
        <v>燕翼の旅人 親指姫</v>
      </c>
      <c r="H265" s="10" t="str">
        <f ca="1">VLOOKUP($F265,OFFSET([1]characters!$A$2,0,0,COUNTA([1]characters!$A:$A),MATCH(H$1,[1]characters!$2:$2,0)-MATCH($F$1,[1]characters!$2:$2,0)+1),MATCH(H$1,[1]characters!$2:$2,0)-MATCH($F$1,[1]characters!$2:$2,0)+1,FALSE)</f>
        <v>PremiumSS</v>
      </c>
      <c r="I265" s="10">
        <f ca="1">VLOOKUP($F265,OFFSET([1]characters!$A$2,0,0,COUNTA([1]characters!$A:$A),MATCH(I$1,[1]characters!$2:$2,0)-MATCH($F$1,[1]characters!$2:$2,0)+1),MATCH(I$1,[1]characters!$2:$2,0)-MATCH($F$1,[1]characters!$2:$2,0)+1,FALSE)</f>
        <v>5</v>
      </c>
      <c r="J265" s="10" t="str">
        <f ca="1">VLOOKUP($F265,OFFSET([1]characters!$A$2,0,0,COUNTA([1]characters!$A:$A),MATCH(J$1,[1]characters!$2:$2,0)-MATCH($F$1,[1]characters!$2:$2,0)+1),MATCH(J$1,[1]characters!$2:$2,0)-MATCH($F$1,[1]characters!$2:$2,0)+1,FALSE)</f>
        <v>red</v>
      </c>
      <c r="K265" s="10" t="str">
        <f ca="1">VLOOKUP($F265,OFFSET([1]characters!$A$2,0,0,COUNTA([1]characters!$A:$A),MATCH("タイプ",[1]characters!$1:$1,0)-MATCH($F$1,[1]characters!$2:$2,0)+2),MATCH("タイプ",[1]characters!$1:$1,0)-MATCH($F$1,[1]characters!$2:$2,0)+2,FALSE)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65" s="10" t="str">
        <f ca="1">VLOOKUP($F265,OFFSET([1]characters!$A$2,0,0,COUNTA([1]characters!$A:$A),MATCH($L$1,[1]characters!$1:$1,0)-MATCH($F$1,[1]characters!$2:$2,0)+2),MATCH($L$1,[1]characters!$1:$1,0)-MATCH($F$1,[1]characters!$2:$2,0)+2,FALSE)</f>
        <v>ヒューマン</v>
      </c>
      <c r="M265" s="6">
        <v>1</v>
      </c>
      <c r="N265" s="40">
        <f ca="1">VLOOKUP(D265,gacha_133_base!A:B,2,FALSE)</f>
        <v>193</v>
      </c>
      <c r="O265" s="28">
        <v>0</v>
      </c>
      <c r="P265" s="28">
        <v>0</v>
      </c>
      <c r="Q265" s="28">
        <v>0</v>
      </c>
      <c r="R265" s="28">
        <v>0</v>
      </c>
      <c r="S265" s="28">
        <v>1</v>
      </c>
    </row>
    <row r="266" spans="1:19" ht="21" customHeight="1">
      <c r="A266" s="30" t="str">
        <f t="shared" si="16"/>
        <v>03921</v>
      </c>
      <c r="B266" s="2">
        <f t="shared" si="15"/>
        <v>135</v>
      </c>
      <c r="C266" s="10" t="str">
        <f t="shared" ca="1" si="13"/>
        <v>0PremiumS3</v>
      </c>
      <c r="D266" s="10" t="str">
        <f t="shared" ca="1" si="17"/>
        <v>0PremiumS3pick</v>
      </c>
      <c r="E266" s="38">
        <v>0</v>
      </c>
      <c r="F266" s="33">
        <v>392</v>
      </c>
      <c r="G266" s="34" t="str">
        <f ca="1">VLOOKUP($F266,OFFSET([1]characters!$A$2,0,0,COUNTA([1]characters!$A:$A),MATCH(G$1,[1]characters!$2:$2,0)-MATCH($F$1,[1]characters!$2:$2,0)+1),MATCH(G$1,[1]characters!$2:$2,0)-MATCH($F$1,[1]characters!$2:$2,0)+1,FALSE)</f>
        <v>ピーターパン</v>
      </c>
      <c r="H266" s="34" t="str">
        <f ca="1">VLOOKUP($F266,OFFSET([1]characters!$A$2,0,0,COUNTA([1]characters!$A:$A),MATCH(H$1,[1]characters!$2:$2,0)-MATCH($F$1,[1]characters!$2:$2,0)+1),MATCH(H$1,[1]characters!$2:$2,0)-MATCH($F$1,[1]characters!$2:$2,0)+1,FALSE)</f>
        <v>PremiumS</v>
      </c>
      <c r="I266" s="34">
        <f ca="1">VLOOKUP($F266,OFFSET([1]characters!$A$2,0,0,COUNTA([1]characters!$A:$A),MATCH(I$1,[1]characters!$2:$2,0)-MATCH($F$1,[1]characters!$2:$2,0)+1),MATCH(I$1,[1]characters!$2:$2,0)-MATCH($F$1,[1]characters!$2:$2,0)+1,FALSE)</f>
        <v>3</v>
      </c>
      <c r="J266" s="34" t="str">
        <f ca="1">VLOOKUP($F266,OFFSET([1]characters!$A$2,0,0,COUNTA([1]characters!$A:$A),MATCH(J$1,[1]characters!$2:$2,0)-MATCH($F$1,[1]characters!$2:$2,0)+1),MATCH(J$1,[1]characters!$2:$2,0)-MATCH($F$1,[1]characters!$2:$2,0)+1,FALSE)</f>
        <v>green</v>
      </c>
      <c r="K266" s="34" t="str">
        <f ca="1">VLOOKUP($F266,OFFSET([1]characters!$A$2,0,0,COUNTA([1]characters!$A:$A),MATCH("タイプ",[1]characters!$1:$1,0)-MATCH($F$1,[1]characters!$2:$2,0)+2),MATCH("タイプ",[1]characters!$1:$1,0)-MATCH($F$1,[1]characters!$2:$2,0)+2,FALSE)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6" s="34" t="str">
        <f ca="1">VLOOKUP($F266,OFFSET([1]characters!$A$2,0,0,COUNTA([1]characters!$A:$A),MATCH($L$1,[1]characters!$1:$1,0)-MATCH($F$1,[1]characters!$2:$2,0)+2),MATCH($L$1,[1]characters!$1:$1,0)-MATCH($F$1,[1]characters!$2:$2,0)+2,FALSE)</f>
        <v>ヒューマン</v>
      </c>
      <c r="M266" s="32">
        <v>1</v>
      </c>
      <c r="N266" s="40">
        <f ca="1">VLOOKUP(D266,gacha_133_base!A:B,2,FALSE)</f>
        <v>4374</v>
      </c>
      <c r="O266" s="35">
        <v>0</v>
      </c>
      <c r="P266" s="35">
        <v>0</v>
      </c>
      <c r="Q266" s="35">
        <v>0</v>
      </c>
      <c r="R266" s="35">
        <v>0</v>
      </c>
      <c r="S266" s="35">
        <v>1</v>
      </c>
    </row>
    <row r="267" spans="1:19" ht="21" customHeight="1" thickBot="1">
      <c r="A267" s="36" t="str">
        <f t="shared" si="16"/>
        <v>03931</v>
      </c>
      <c r="B267" s="2">
        <f t="shared" si="15"/>
        <v>135</v>
      </c>
      <c r="C267" s="10" t="str">
        <f t="shared" ref="C267:C273" ca="1" si="18">E267&amp;H267&amp;I267</f>
        <v>0PremiumS4</v>
      </c>
      <c r="D267" s="10" t="str">
        <f t="shared" ca="1" si="17"/>
        <v>0PremiumS4pick</v>
      </c>
      <c r="E267" s="38">
        <v>0</v>
      </c>
      <c r="F267" s="25">
        <v>393</v>
      </c>
      <c r="G267" s="23" t="str">
        <f ca="1">VLOOKUP($F267,OFFSET([1]characters!$A$2,0,0,COUNTA([1]characters!$A:$A),MATCH(G$1,[1]characters!$2:$2,0)-MATCH($F$1,[1]characters!$2:$2,0)+1),MATCH(G$1,[1]characters!$2:$2,0)-MATCH($F$1,[1]characters!$2:$2,0)+1,FALSE)</f>
        <v>影縫い ピーターパン</v>
      </c>
      <c r="H267" s="23" t="str">
        <f ca="1">VLOOKUP($F267,OFFSET([1]characters!$A$2,0,0,COUNTA([1]characters!$A:$A),MATCH(H$1,[1]characters!$2:$2,0)-MATCH($F$1,[1]characters!$2:$2,0)+1),MATCH(H$1,[1]characters!$2:$2,0)-MATCH($F$1,[1]characters!$2:$2,0)+1,FALSE)</f>
        <v>PremiumS</v>
      </c>
      <c r="I267" s="23">
        <f ca="1">VLOOKUP($F267,OFFSET([1]characters!$A$2,0,0,COUNTA([1]characters!$A:$A),MATCH(I$1,[1]characters!$2:$2,0)-MATCH($F$1,[1]characters!$2:$2,0)+1),MATCH(I$1,[1]characters!$2:$2,0)-MATCH($F$1,[1]characters!$2:$2,0)+1,FALSE)</f>
        <v>4</v>
      </c>
      <c r="J267" s="23" t="str">
        <f ca="1">VLOOKUP($F267,OFFSET([1]characters!$A$2,0,0,COUNTA([1]characters!$A:$A),MATCH(J$1,[1]characters!$2:$2,0)-MATCH($F$1,[1]characters!$2:$2,0)+1),MATCH(J$1,[1]characters!$2:$2,0)-MATCH($F$1,[1]characters!$2:$2,0)+1,FALSE)</f>
        <v>green</v>
      </c>
      <c r="K267" s="23" t="str">
        <f ca="1">VLOOKUP($F267,OFFSET([1]characters!$A$2,0,0,COUNTA([1]characters!$A:$A),MATCH("タイプ",[1]characters!$1:$1,0)-MATCH($F$1,[1]characters!$2:$2,0)+2),MATCH("タイプ",[1]characters!$1:$1,0)-MATCH($F$1,[1]characters!$2:$2,0)+2,FALSE)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7" s="23" t="str">
        <f ca="1">VLOOKUP($F267,OFFSET([1]characters!$A$2,0,0,COUNTA([1]characters!$A:$A),MATCH($L$1,[1]characters!$1:$1,0)-MATCH($F$1,[1]characters!$2:$2,0)+2),MATCH($L$1,[1]characters!$1:$1,0)-MATCH($F$1,[1]characters!$2:$2,0)+2,FALSE)</f>
        <v>ヒューマン</v>
      </c>
      <c r="M267" s="24">
        <v>1</v>
      </c>
      <c r="N267" s="40">
        <f ca="1">VLOOKUP(D267,gacha_133_base!A:B,2,FALSE)</f>
        <v>1540</v>
      </c>
      <c r="O267" s="29">
        <v>0</v>
      </c>
      <c r="P267" s="29">
        <v>0</v>
      </c>
      <c r="Q267" s="29">
        <v>0</v>
      </c>
      <c r="R267" s="29">
        <v>0</v>
      </c>
      <c r="S267" s="29">
        <v>1</v>
      </c>
    </row>
    <row r="268" spans="1:19" ht="21" customHeight="1" thickBot="1">
      <c r="A268" s="22" t="str">
        <f t="shared" si="16"/>
        <v>03941</v>
      </c>
      <c r="B268" s="2">
        <f t="shared" ref="B268:B273" si="19">$B$2</f>
        <v>135</v>
      </c>
      <c r="C268" s="10" t="str">
        <f t="shared" ca="1" si="18"/>
        <v>0PremiumS5</v>
      </c>
      <c r="D268" s="10" t="str">
        <f t="shared" ca="1" si="17"/>
        <v>0PremiumS5pick</v>
      </c>
      <c r="E268" s="38">
        <v>0</v>
      </c>
      <c r="F268" s="31">
        <v>394</v>
      </c>
      <c r="G268" s="34" t="str">
        <f ca="1">VLOOKUP($F268,OFFSET([1]characters!$A$2,0,0,COUNTA([1]characters!$A:$A),MATCH(G$1,[1]characters!$2:$2,0)-MATCH($F$1,[1]characters!$2:$2,0)+1),MATCH(G$1,[1]characters!$2:$2,0)-MATCH($F$1,[1]characters!$2:$2,0)+1,FALSE)</f>
        <v>影求の悪童 ピーターパン</v>
      </c>
      <c r="H268" s="34" t="str">
        <f ca="1">VLOOKUP($F268,OFFSET([1]characters!$A$2,0,0,COUNTA([1]characters!$A:$A),MATCH(H$1,[1]characters!$2:$2,0)-MATCH($F$1,[1]characters!$2:$2,0)+1),MATCH(H$1,[1]characters!$2:$2,0)-MATCH($F$1,[1]characters!$2:$2,0)+1,FALSE)</f>
        <v>PremiumS</v>
      </c>
      <c r="I268" s="34">
        <f ca="1">VLOOKUP($F268,OFFSET([1]characters!$A$2,0,0,COUNTA([1]characters!$A:$A),MATCH(I$1,[1]characters!$2:$2,0)-MATCH($F$1,[1]characters!$2:$2,0)+1),MATCH(I$1,[1]characters!$2:$2,0)-MATCH($F$1,[1]characters!$2:$2,0)+1,FALSE)</f>
        <v>5</v>
      </c>
      <c r="J268" s="34" t="str">
        <f ca="1">VLOOKUP($F268,OFFSET([1]characters!$A$2,0,0,COUNTA([1]characters!$A:$A),MATCH(J$1,[1]characters!$2:$2,0)-MATCH($F$1,[1]characters!$2:$2,0)+1),MATCH(J$1,[1]characters!$2:$2,0)-MATCH($F$1,[1]characters!$2:$2,0)+1,FALSE)</f>
        <v>green</v>
      </c>
      <c r="K268" s="34" t="str">
        <f ca="1">VLOOKUP($F268,OFFSET([1]characters!$A$2,0,0,COUNTA([1]characters!$A:$A),MATCH("タイプ",[1]characters!$1:$1,0)-MATCH($F$1,[1]characters!$2:$2,0)+2),MATCH("タイプ",[1]characters!$1:$1,0)-MATCH($F$1,[1]characters!$2:$2,0)+2,FALSE)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68" s="34" t="str">
        <f ca="1">VLOOKUP($F268,OFFSET([1]characters!$A$2,0,0,COUNTA([1]characters!$A:$A),MATCH($L$1,[1]characters!$1:$1,0)-MATCH($F$1,[1]characters!$2:$2,0)+2),MATCH($L$1,[1]characters!$1:$1,0)-MATCH($F$1,[1]characters!$2:$2,0)+2,FALSE)</f>
        <v>ヒューマン</v>
      </c>
      <c r="M268" s="32">
        <v>1</v>
      </c>
      <c r="N268" s="40">
        <f ca="1">VLOOKUP(D268,gacha_133_base!A:B,2,FALSE)</f>
        <v>246</v>
      </c>
      <c r="O268" s="35">
        <v>0</v>
      </c>
      <c r="P268" s="35">
        <v>0</v>
      </c>
      <c r="Q268" s="35">
        <v>0</v>
      </c>
      <c r="R268" s="35">
        <v>0</v>
      </c>
      <c r="S268" s="35">
        <v>1</v>
      </c>
    </row>
    <row r="269" spans="1:19" ht="21" customHeight="1" thickBot="1">
      <c r="A269" s="22" t="str">
        <f t="shared" si="16"/>
        <v>03951</v>
      </c>
      <c r="B269" s="2">
        <f t="shared" si="19"/>
        <v>135</v>
      </c>
      <c r="C269" s="10" t="str">
        <f t="shared" ca="1" si="18"/>
        <v>0PremiumS3</v>
      </c>
      <c r="D269" s="10" t="str">
        <f t="shared" ca="1" si="17"/>
        <v>0PremiumS3pick</v>
      </c>
      <c r="E269" s="38">
        <v>0</v>
      </c>
      <c r="F269" s="7">
        <v>395</v>
      </c>
      <c r="G269" s="10" t="str">
        <f ca="1">VLOOKUP($F269,OFFSET([1]characters!$A$2,0,0,COUNTA([1]characters!$A:$A),MATCH(G$1,[1]characters!$2:$2,0)-MATCH($F$1,[1]characters!$2:$2,0)+1),MATCH(G$1,[1]characters!$2:$2,0)-MATCH($F$1,[1]characters!$2:$2,0)+1,FALSE)</f>
        <v>乙姫（亀）</v>
      </c>
      <c r="H269" s="10" t="str">
        <f ca="1">VLOOKUP($F269,OFFSET([1]characters!$A$2,0,0,COUNTA([1]characters!$A:$A),MATCH(H$1,[1]characters!$2:$2,0)-MATCH($F$1,[1]characters!$2:$2,0)+1),MATCH(H$1,[1]characters!$2:$2,0)-MATCH($F$1,[1]characters!$2:$2,0)+1,FALSE)</f>
        <v>PremiumS</v>
      </c>
      <c r="I269" s="10">
        <f ca="1">VLOOKUP($F269,OFFSET([1]characters!$A$2,0,0,COUNTA([1]characters!$A:$A),MATCH(I$1,[1]characters!$2:$2,0)-MATCH($F$1,[1]characters!$2:$2,0)+1),MATCH(I$1,[1]characters!$2:$2,0)-MATCH($F$1,[1]characters!$2:$2,0)+1,FALSE)</f>
        <v>3</v>
      </c>
      <c r="J269" s="10" t="str">
        <f ca="1">VLOOKUP($F269,OFFSET([1]characters!$A$2,0,0,COUNTA([1]characters!$A:$A),MATCH(J$1,[1]characters!$2:$2,0)-MATCH($F$1,[1]characters!$2:$2,0)+1),MATCH(J$1,[1]characters!$2:$2,0)-MATCH($F$1,[1]characters!$2:$2,0)+1,FALSE)</f>
        <v>blue</v>
      </c>
      <c r="K269" s="10" t="str">
        <f ca="1">VLOOKUP($F269,OFFSET([1]characters!$A$2,0,0,COUNTA([1]characters!$A:$A),MATCH("タイプ",[1]characters!$1:$1,0)-MATCH($F$1,[1]characters!$2:$2,0)+2),MATCH("タイプ",[1]characters!$1:$1,0)-MATCH($F$1,[1]characters!$2:$2,0)+2,FALSE)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69" s="10" t="str">
        <f ca="1">VLOOKUP($F269,OFFSET([1]characters!$A$2,0,0,COUNTA([1]characters!$A:$A),MATCH($L$1,[1]characters!$1:$1,0)-MATCH($F$1,[1]characters!$2:$2,0)+2),MATCH($L$1,[1]characters!$1:$1,0)-MATCH($F$1,[1]characters!$2:$2,0)+2,FALSE)</f>
        <v>ヒューマン</v>
      </c>
      <c r="M269" s="6">
        <v>1</v>
      </c>
      <c r="N269" s="40">
        <f ca="1">VLOOKUP(D269,gacha_133_base!A:B,2,FALSE)</f>
        <v>4374</v>
      </c>
      <c r="O269" s="28">
        <v>0</v>
      </c>
      <c r="P269" s="28">
        <v>0</v>
      </c>
      <c r="Q269" s="28">
        <v>0</v>
      </c>
      <c r="R269" s="28">
        <v>0</v>
      </c>
      <c r="S269" s="28">
        <v>1</v>
      </c>
    </row>
    <row r="270" spans="1:19" ht="21" customHeight="1">
      <c r="A270" s="30" t="str">
        <f t="shared" si="16"/>
        <v>03961</v>
      </c>
      <c r="B270" s="2">
        <f t="shared" si="19"/>
        <v>135</v>
      </c>
      <c r="C270" s="10" t="str">
        <f t="shared" ca="1" si="18"/>
        <v>0PremiumS4</v>
      </c>
      <c r="D270" s="10" t="str">
        <f t="shared" ca="1" si="17"/>
        <v>0PremiumS4pick</v>
      </c>
      <c r="E270" s="38">
        <v>0</v>
      </c>
      <c r="F270" s="33">
        <v>396</v>
      </c>
      <c r="G270" s="34" t="str">
        <f ca="1">VLOOKUP($F270,OFFSET([1]characters!$A$2,0,0,COUNTA([1]characters!$A:$A),MATCH(G$1,[1]characters!$2:$2,0)-MATCH($F$1,[1]characters!$2:$2,0)+1),MATCH(G$1,[1]characters!$2:$2,0)-MATCH($F$1,[1]characters!$2:$2,0)+1,FALSE)</f>
        <v>竜宮の水雷 乙姫</v>
      </c>
      <c r="H270" s="34" t="str">
        <f ca="1">VLOOKUP($F270,OFFSET([1]characters!$A$2,0,0,COUNTA([1]characters!$A:$A),MATCH(H$1,[1]characters!$2:$2,0)-MATCH($F$1,[1]characters!$2:$2,0)+1),MATCH(H$1,[1]characters!$2:$2,0)-MATCH($F$1,[1]characters!$2:$2,0)+1,FALSE)</f>
        <v>PremiumS</v>
      </c>
      <c r="I270" s="34">
        <f ca="1">VLOOKUP($F270,OFFSET([1]characters!$A$2,0,0,COUNTA([1]characters!$A:$A),MATCH(I$1,[1]characters!$2:$2,0)-MATCH($F$1,[1]characters!$2:$2,0)+1),MATCH(I$1,[1]characters!$2:$2,0)-MATCH($F$1,[1]characters!$2:$2,0)+1,FALSE)</f>
        <v>4</v>
      </c>
      <c r="J270" s="34" t="str">
        <f ca="1">VLOOKUP($F270,OFFSET([1]characters!$A$2,0,0,COUNTA([1]characters!$A:$A),MATCH(J$1,[1]characters!$2:$2,0)-MATCH($F$1,[1]characters!$2:$2,0)+1),MATCH(J$1,[1]characters!$2:$2,0)-MATCH($F$1,[1]characters!$2:$2,0)+1,FALSE)</f>
        <v>blue</v>
      </c>
      <c r="K270" s="34" t="str">
        <f ca="1">VLOOKUP($F270,OFFSET([1]characters!$A$2,0,0,COUNTA([1]characters!$A:$A),MATCH("タイプ",[1]characters!$1:$1,0)-MATCH($F$1,[1]characters!$2:$2,0)+2),MATCH("タイプ",[1]characters!$1:$1,0)-MATCH($F$1,[1]characters!$2:$2,0)+2,FALSE)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0" s="34" t="str">
        <f ca="1">VLOOKUP($F270,OFFSET([1]characters!$A$2,0,0,COUNTA([1]characters!$A:$A),MATCH($L$1,[1]characters!$1:$1,0)-MATCH($F$1,[1]characters!$2:$2,0)+2),MATCH($L$1,[1]characters!$1:$1,0)-MATCH($F$1,[1]characters!$2:$2,0)+2,FALSE)</f>
        <v>ヒューマン</v>
      </c>
      <c r="M270" s="32">
        <v>1</v>
      </c>
      <c r="N270" s="40">
        <f ca="1">VLOOKUP(D270,gacha_133_base!A:B,2,FALSE)</f>
        <v>1540</v>
      </c>
      <c r="O270" s="35">
        <v>0</v>
      </c>
      <c r="P270" s="35">
        <v>0</v>
      </c>
      <c r="Q270" s="35">
        <v>0</v>
      </c>
      <c r="R270" s="35">
        <v>0</v>
      </c>
      <c r="S270" s="35">
        <v>1</v>
      </c>
    </row>
    <row r="271" spans="1:19" ht="21" customHeight="1" thickBot="1">
      <c r="A271" s="36" t="str">
        <f t="shared" si="16"/>
        <v>03971</v>
      </c>
      <c r="B271" s="2">
        <f t="shared" si="19"/>
        <v>135</v>
      </c>
      <c r="C271" s="10" t="str">
        <f t="shared" ca="1" si="18"/>
        <v>0PremiumS5</v>
      </c>
      <c r="D271" s="10" t="str">
        <f t="shared" ca="1" si="17"/>
        <v>0PremiumS5pick</v>
      </c>
      <c r="E271" s="38">
        <v>0</v>
      </c>
      <c r="F271" s="25">
        <v>397</v>
      </c>
      <c r="G271" s="23" t="str">
        <f ca="1">VLOOKUP($F271,OFFSET([1]characters!$A$2,0,0,COUNTA([1]characters!$A:$A),MATCH(G$1,[1]characters!$2:$2,0)-MATCH($F$1,[1]characters!$2:$2,0)+1),MATCH(G$1,[1]characters!$2:$2,0)-MATCH($F$1,[1]characters!$2:$2,0)+1,FALSE)</f>
        <v>禁断の追箱 乙姫</v>
      </c>
      <c r="H271" s="23" t="str">
        <f ca="1">VLOOKUP($F271,OFFSET([1]characters!$A$2,0,0,COUNTA([1]characters!$A:$A),MATCH(H$1,[1]characters!$2:$2,0)-MATCH($F$1,[1]characters!$2:$2,0)+1),MATCH(H$1,[1]characters!$2:$2,0)-MATCH($F$1,[1]characters!$2:$2,0)+1,FALSE)</f>
        <v>PremiumS</v>
      </c>
      <c r="I271" s="23">
        <f ca="1">VLOOKUP($F271,OFFSET([1]characters!$A$2,0,0,COUNTA([1]characters!$A:$A),MATCH(I$1,[1]characters!$2:$2,0)-MATCH($F$1,[1]characters!$2:$2,0)+1),MATCH(I$1,[1]characters!$2:$2,0)-MATCH($F$1,[1]characters!$2:$2,0)+1,FALSE)</f>
        <v>5</v>
      </c>
      <c r="J271" s="23" t="str">
        <f ca="1">VLOOKUP($F271,OFFSET([1]characters!$A$2,0,0,COUNTA([1]characters!$A:$A),MATCH(J$1,[1]characters!$2:$2,0)-MATCH($F$1,[1]characters!$2:$2,0)+1),MATCH(J$1,[1]characters!$2:$2,0)-MATCH($F$1,[1]characters!$2:$2,0)+1,FALSE)</f>
        <v>blue</v>
      </c>
      <c r="K271" s="23" t="str">
        <f ca="1">VLOOKUP($F271,OFFSET([1]characters!$A$2,0,0,COUNTA([1]characters!$A:$A),MATCH("タイプ",[1]characters!$1:$1,0)-MATCH($F$1,[1]characters!$2:$2,0)+2),MATCH("タイプ",[1]characters!$1:$1,0)-MATCH($F$1,[1]characters!$2:$2,0)+2,FALSE)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1" s="23" t="str">
        <f ca="1">VLOOKUP($F271,OFFSET([1]characters!$A$2,0,0,COUNTA([1]characters!$A:$A),MATCH($L$1,[1]characters!$1:$1,0)-MATCH($F$1,[1]characters!$2:$2,0)+2),MATCH($L$1,[1]characters!$1:$1,0)-MATCH($F$1,[1]characters!$2:$2,0)+2,FALSE)</f>
        <v>ヒューマン</v>
      </c>
      <c r="M271" s="24">
        <v>1</v>
      </c>
      <c r="N271" s="40">
        <f ca="1">VLOOKUP(D271,gacha_133_base!A:B,2,FALSE)</f>
        <v>246</v>
      </c>
      <c r="O271" s="29">
        <v>0</v>
      </c>
      <c r="P271" s="29">
        <v>0</v>
      </c>
      <c r="Q271" s="29">
        <v>0</v>
      </c>
      <c r="R271" s="29">
        <v>0</v>
      </c>
      <c r="S271" s="29">
        <v>1</v>
      </c>
    </row>
    <row r="272" spans="1:19" ht="21" customHeight="1" thickBot="1">
      <c r="A272" s="22" t="str">
        <f t="shared" si="16"/>
        <v>03981</v>
      </c>
      <c r="B272" s="2">
        <f t="shared" si="19"/>
        <v>135</v>
      </c>
      <c r="C272" s="10" t="str">
        <f t="shared" ca="1" si="18"/>
        <v>0PremiumSS4</v>
      </c>
      <c r="D272" s="10" t="str">
        <f t="shared" ca="1" si="17"/>
        <v>0PremiumSS4pick</v>
      </c>
      <c r="E272" s="38">
        <v>0</v>
      </c>
      <c r="F272" s="31">
        <v>398</v>
      </c>
      <c r="G272" s="34" t="str">
        <f ca="1">VLOOKUP($F272,OFFSET([1]characters!$A$2,0,0,COUNTA([1]characters!$A:$A),MATCH(G$1,[1]characters!$2:$2,0)-MATCH($F$1,[1]characters!$2:$2,0)+1),MATCH(G$1,[1]characters!$2:$2,0)-MATCH($F$1,[1]characters!$2:$2,0)+1,FALSE)</f>
        <v>ヘンゼル＆グレーテル</v>
      </c>
      <c r="H272" s="34" t="str">
        <f ca="1">VLOOKUP($F272,OFFSET([1]characters!$A$2,0,0,COUNTA([1]characters!$A:$A),MATCH(H$1,[1]characters!$2:$2,0)-MATCH($F$1,[1]characters!$2:$2,0)+1),MATCH(H$1,[1]characters!$2:$2,0)-MATCH($F$1,[1]characters!$2:$2,0)+1,FALSE)</f>
        <v>PremiumSS</v>
      </c>
      <c r="I272" s="34">
        <f ca="1">VLOOKUP($F272,OFFSET([1]characters!$A$2,0,0,COUNTA([1]characters!$A:$A),MATCH(I$1,[1]characters!$2:$2,0)-MATCH($F$1,[1]characters!$2:$2,0)+1),MATCH(I$1,[1]characters!$2:$2,0)-MATCH($F$1,[1]characters!$2:$2,0)+1,FALSE)</f>
        <v>4</v>
      </c>
      <c r="J272" s="34" t="str">
        <f ca="1">VLOOKUP($F272,OFFSET([1]characters!$A$2,0,0,COUNTA([1]characters!$A:$A),MATCH(J$1,[1]characters!$2:$2,0)-MATCH($F$1,[1]characters!$2:$2,0)+1),MATCH(J$1,[1]characters!$2:$2,0)-MATCH($F$1,[1]characters!$2:$2,0)+1,FALSE)</f>
        <v>yellow</v>
      </c>
      <c r="K272" s="34" t="str">
        <f ca="1">VLOOKUP($F272,OFFSET([1]characters!$A$2,0,0,COUNTA([1]characters!$A:$A),MATCH("タイプ",[1]characters!$1:$1,0)-MATCH($F$1,[1]characters!$2:$2,0)+2),MATCH("タイプ",[1]characters!$1:$1,0)-MATCH($F$1,[1]characters!$2:$2,0)+2,FALSE)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72" s="34" t="str">
        <f ca="1">VLOOKUP($F272,OFFSET([1]characters!$A$2,0,0,COUNTA([1]characters!$A:$A),MATCH($L$1,[1]characters!$1:$1,0)-MATCH($F$1,[1]characters!$2:$2,0)+2),MATCH($L$1,[1]characters!$1:$1,0)-MATCH($F$1,[1]characters!$2:$2,0)+2,FALSE)</f>
        <v>ヒューマン</v>
      </c>
      <c r="M272" s="32">
        <v>1</v>
      </c>
      <c r="N272" s="40">
        <f ca="1">VLOOKUP(D272,gacha_133_base!A:B,2,FALSE)</f>
        <v>1348</v>
      </c>
      <c r="O272" s="35">
        <v>0</v>
      </c>
      <c r="P272" s="35">
        <v>0</v>
      </c>
      <c r="Q272" s="35">
        <v>0</v>
      </c>
      <c r="R272" s="35">
        <v>0</v>
      </c>
      <c r="S272" s="35">
        <v>1</v>
      </c>
    </row>
    <row r="273" spans="1:19" ht="21" customHeight="1" thickBot="1">
      <c r="A273" s="22" t="str">
        <f t="shared" si="16"/>
        <v>03991</v>
      </c>
      <c r="B273" s="2">
        <f t="shared" si="19"/>
        <v>135</v>
      </c>
      <c r="C273" s="10" t="str">
        <f t="shared" ca="1" si="18"/>
        <v>0PremiumSS5</v>
      </c>
      <c r="D273" s="10" t="str">
        <f t="shared" ca="1" si="17"/>
        <v>0PremiumSS5pick</v>
      </c>
      <c r="E273" s="38">
        <v>0</v>
      </c>
      <c r="F273" s="25">
        <v>399</v>
      </c>
      <c r="G273" s="23" t="str">
        <f ca="1">VLOOKUP($F273,OFFSET([1]characters!$A$2,0,0,COUNTA([1]characters!$A:$A),MATCH(G$1,[1]characters!$2:$2,0)-MATCH($F$1,[1]characters!$2:$2,0)+1),MATCH(G$1,[1]characters!$2:$2,0)-MATCH($F$1,[1]characters!$2:$2,0)+1,FALSE)</f>
        <v>信愛の兄妹 ヘンゼル＆グレーテル</v>
      </c>
      <c r="H273" s="23" t="str">
        <f ca="1">VLOOKUP($F273,OFFSET([1]characters!$A$2,0,0,COUNTA([1]characters!$A:$A),MATCH(H$1,[1]characters!$2:$2,0)-MATCH($F$1,[1]characters!$2:$2,0)+1),MATCH(H$1,[1]characters!$2:$2,0)-MATCH($F$1,[1]characters!$2:$2,0)+1,FALSE)</f>
        <v>PremiumSS</v>
      </c>
      <c r="I273" s="23">
        <f ca="1">VLOOKUP($F273,OFFSET([1]characters!$A$2,0,0,COUNTA([1]characters!$A:$A),MATCH(I$1,[1]characters!$2:$2,0)-MATCH($F$1,[1]characters!$2:$2,0)+1),MATCH(I$1,[1]characters!$2:$2,0)-MATCH($F$1,[1]characters!$2:$2,0)+1,FALSE)</f>
        <v>5</v>
      </c>
      <c r="J273" s="23" t="str">
        <f ca="1">VLOOKUP($F273,OFFSET([1]characters!$A$2,0,0,COUNTA([1]characters!$A:$A),MATCH(J$1,[1]characters!$2:$2,0)-MATCH($F$1,[1]characters!$2:$2,0)+1),MATCH(J$1,[1]characters!$2:$2,0)-MATCH($F$1,[1]characters!$2:$2,0)+1,FALSE)</f>
        <v>yellow</v>
      </c>
      <c r="K273" s="23" t="str">
        <f ca="1">VLOOKUP($F273,OFFSET([1]characters!$A$2,0,0,COUNTA([1]characters!$A:$A),MATCH("タイプ",[1]characters!$1:$1,0)-MATCH($F$1,[1]characters!$2:$2,0)+2),MATCH("タイプ",[1]characters!$1:$1,0)-MATCH($F$1,[1]characters!$2:$2,0)+2,FALSE)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73" s="23" t="str">
        <f ca="1">VLOOKUP($F273,OFFSET([1]characters!$A$2,0,0,COUNTA([1]characters!$A:$A),MATCH($L$1,[1]characters!$1:$1,0)-MATCH($F$1,[1]characters!$2:$2,0)+2),MATCH($L$1,[1]characters!$1:$1,0)-MATCH($F$1,[1]characters!$2:$2,0)+2,FALSE)</f>
        <v>ヒューマン</v>
      </c>
      <c r="M273" s="24">
        <v>1</v>
      </c>
      <c r="N273" s="40">
        <f ca="1">VLOOKUP(D273,gacha_133_base!A:B,2,FALSE)</f>
        <v>193</v>
      </c>
      <c r="O273" s="29">
        <v>0</v>
      </c>
      <c r="P273" s="29">
        <v>0</v>
      </c>
      <c r="Q273" s="29">
        <v>0</v>
      </c>
      <c r="R273" s="29">
        <v>0</v>
      </c>
      <c r="S273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K27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D13" sqref="D13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gacha_unit_tables_133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133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2100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133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2100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133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2100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133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2100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133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2100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133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2100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133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2100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133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2100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133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2100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133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2100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133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2100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133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2100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133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2100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133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2100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133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2100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133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2100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133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2100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133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2100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133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2100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133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2100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133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2076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133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2076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133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2076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133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2076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133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2076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133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2076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133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2076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133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2076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133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2076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133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2076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133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2076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133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2076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133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2076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133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2076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133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2076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133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2076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133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2076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133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2076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133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2076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133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2076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133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200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133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200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133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200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133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200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133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174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133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174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133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174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133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174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133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174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133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174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133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174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133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174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133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174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133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174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133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174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133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174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133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174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133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174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133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174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133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174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133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174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133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174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133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174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133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174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133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8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133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8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133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133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8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133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200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133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8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133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200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133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8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133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200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133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8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133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200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133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8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133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200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133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8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133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200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133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8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133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200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133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8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133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200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133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8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133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120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133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5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133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120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133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5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133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120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133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5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133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120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133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5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133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200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133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8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133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120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133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133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120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133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5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133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200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133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8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13901</v>
      </c>
      <c r="B103" s="16">
        <f t="shared" si="6"/>
        <v>133</v>
      </c>
      <c r="C103" s="16">
        <f t="shared" si="6"/>
        <v>1</v>
      </c>
      <c r="D103" s="16">
        <f t="shared" si="6"/>
        <v>390</v>
      </c>
      <c r="E103" s="16">
        <f t="shared" si="6"/>
        <v>1</v>
      </c>
      <c r="F103" s="16">
        <f t="shared" si="6"/>
        <v>960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13911</v>
      </c>
      <c r="B104" s="16">
        <f t="shared" si="6"/>
        <v>133</v>
      </c>
      <c r="C104" s="16">
        <f t="shared" si="6"/>
        <v>1</v>
      </c>
      <c r="D104" s="16">
        <f t="shared" si="6"/>
        <v>391</v>
      </c>
      <c r="E104" s="16">
        <f t="shared" si="6"/>
        <v>1</v>
      </c>
      <c r="F104" s="16">
        <f t="shared" si="6"/>
        <v>40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13931</v>
      </c>
      <c r="B105" s="16">
        <f t="shared" si="6"/>
        <v>133</v>
      </c>
      <c r="C105" s="16">
        <f t="shared" si="6"/>
        <v>1</v>
      </c>
      <c r="D105" s="16">
        <f t="shared" si="6"/>
        <v>393</v>
      </c>
      <c r="E105" s="16">
        <f t="shared" si="6"/>
        <v>1</v>
      </c>
      <c r="F105" s="16">
        <f t="shared" si="6"/>
        <v>3840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13941</v>
      </c>
      <c r="B106" s="16">
        <f t="shared" si="6"/>
        <v>133</v>
      </c>
      <c r="C106" s="16">
        <f t="shared" si="6"/>
        <v>1</v>
      </c>
      <c r="D106" s="16">
        <f t="shared" si="6"/>
        <v>394</v>
      </c>
      <c r="E106" s="16">
        <f t="shared" si="6"/>
        <v>1</v>
      </c>
      <c r="F106" s="16">
        <f t="shared" si="6"/>
        <v>160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13961</v>
      </c>
      <c r="B107" s="16">
        <f t="shared" si="6"/>
        <v>133</v>
      </c>
      <c r="C107" s="16">
        <f t="shared" si="6"/>
        <v>1</v>
      </c>
      <c r="D107" s="16">
        <f t="shared" si="6"/>
        <v>396</v>
      </c>
      <c r="E107" s="16">
        <f t="shared" si="6"/>
        <v>1</v>
      </c>
      <c r="F107" s="16">
        <f t="shared" si="6"/>
        <v>3840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13971</v>
      </c>
      <c r="B108" s="16">
        <f t="shared" si="6"/>
        <v>133</v>
      </c>
      <c r="C108" s="16">
        <f t="shared" si="6"/>
        <v>1</v>
      </c>
      <c r="D108" s="16">
        <f t="shared" si="6"/>
        <v>397</v>
      </c>
      <c r="E108" s="16">
        <f t="shared" si="6"/>
        <v>1</v>
      </c>
      <c r="F108" s="16">
        <f t="shared" si="6"/>
        <v>160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01261</v>
      </c>
      <c r="B109" s="16">
        <f t="shared" si="6"/>
        <v>133</v>
      </c>
      <c r="C109" s="16">
        <f t="shared" si="6"/>
        <v>0</v>
      </c>
      <c r="D109" s="16">
        <f t="shared" si="6"/>
        <v>126</v>
      </c>
      <c r="E109" s="16">
        <f t="shared" si="6"/>
        <v>1</v>
      </c>
      <c r="F109" s="16">
        <f t="shared" si="6"/>
        <v>2433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01281</v>
      </c>
      <c r="B110" s="16">
        <f t="shared" si="6"/>
        <v>133</v>
      </c>
      <c r="C110" s="16">
        <f t="shared" si="6"/>
        <v>0</v>
      </c>
      <c r="D110" s="16">
        <f t="shared" si="6"/>
        <v>128</v>
      </c>
      <c r="E110" s="16">
        <f t="shared" si="6"/>
        <v>1</v>
      </c>
      <c r="F110" s="16">
        <f t="shared" si="6"/>
        <v>2433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01301</v>
      </c>
      <c r="B111" s="16">
        <f t="shared" si="6"/>
        <v>133</v>
      </c>
      <c r="C111" s="16">
        <f t="shared" si="6"/>
        <v>0</v>
      </c>
      <c r="D111" s="16">
        <f t="shared" si="6"/>
        <v>130</v>
      </c>
      <c r="E111" s="16">
        <f t="shared" si="6"/>
        <v>1</v>
      </c>
      <c r="F111" s="16">
        <f t="shared" si="6"/>
        <v>2433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01321</v>
      </c>
      <c r="B112" s="16">
        <f t="shared" si="6"/>
        <v>133</v>
      </c>
      <c r="C112" s="16">
        <f t="shared" si="6"/>
        <v>0</v>
      </c>
      <c r="D112" s="16">
        <f t="shared" si="6"/>
        <v>132</v>
      </c>
      <c r="E112" s="16">
        <f t="shared" si="6"/>
        <v>1</v>
      </c>
      <c r="F112" s="16">
        <f t="shared" si="6"/>
        <v>2433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01341</v>
      </c>
      <c r="B113" s="16">
        <f t="shared" si="6"/>
        <v>133</v>
      </c>
      <c r="C113" s="16">
        <f t="shared" si="6"/>
        <v>0</v>
      </c>
      <c r="D113" s="16">
        <f t="shared" si="6"/>
        <v>134</v>
      </c>
      <c r="E113" s="16">
        <f t="shared" si="6"/>
        <v>1</v>
      </c>
      <c r="F113" s="16">
        <f t="shared" si="6"/>
        <v>2433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01361</v>
      </c>
      <c r="B114" s="16">
        <f t="shared" si="6"/>
        <v>133</v>
      </c>
      <c r="C114" s="16">
        <f t="shared" si="6"/>
        <v>0</v>
      </c>
      <c r="D114" s="16">
        <f t="shared" si="6"/>
        <v>136</v>
      </c>
      <c r="E114" s="16">
        <f t="shared" si="6"/>
        <v>1</v>
      </c>
      <c r="F114" s="16">
        <f t="shared" si="6"/>
        <v>2433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01381</v>
      </c>
      <c r="B115" s="16">
        <f t="shared" si="6"/>
        <v>133</v>
      </c>
      <c r="C115" s="16">
        <f t="shared" si="6"/>
        <v>0</v>
      </c>
      <c r="D115" s="16">
        <f t="shared" si="6"/>
        <v>138</v>
      </c>
      <c r="E115" s="16">
        <f t="shared" si="6"/>
        <v>1</v>
      </c>
      <c r="F115" s="16">
        <f t="shared" si="6"/>
        <v>2433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01401</v>
      </c>
      <c r="B116" s="16">
        <f t="shared" si="6"/>
        <v>133</v>
      </c>
      <c r="C116" s="16">
        <f t="shared" si="6"/>
        <v>0</v>
      </c>
      <c r="D116" s="16">
        <f t="shared" si="6"/>
        <v>140</v>
      </c>
      <c r="E116" s="16">
        <f t="shared" si="6"/>
        <v>1</v>
      </c>
      <c r="F116" s="16">
        <f t="shared" si="6"/>
        <v>2433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01421</v>
      </c>
      <c r="B117" s="16">
        <f t="shared" si="6"/>
        <v>133</v>
      </c>
      <c r="C117" s="16">
        <f t="shared" si="6"/>
        <v>0</v>
      </c>
      <c r="D117" s="16">
        <f t="shared" si="6"/>
        <v>142</v>
      </c>
      <c r="E117" s="16">
        <f t="shared" si="6"/>
        <v>1</v>
      </c>
      <c r="F117" s="16">
        <f t="shared" si="6"/>
        <v>2433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01441</v>
      </c>
      <c r="B118" s="16">
        <f t="shared" si="6"/>
        <v>133</v>
      </c>
      <c r="C118" s="16">
        <f t="shared" si="6"/>
        <v>0</v>
      </c>
      <c r="D118" s="16">
        <f t="shared" si="6"/>
        <v>144</v>
      </c>
      <c r="E118" s="16">
        <f t="shared" si="6"/>
        <v>1</v>
      </c>
      <c r="F118" s="16">
        <f t="shared" si="6"/>
        <v>2433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01461</v>
      </c>
      <c r="B119" s="16">
        <f t="shared" si="6"/>
        <v>133</v>
      </c>
      <c r="C119" s="16">
        <f t="shared" si="6"/>
        <v>0</v>
      </c>
      <c r="D119" s="16">
        <f t="shared" si="6"/>
        <v>146</v>
      </c>
      <c r="E119" s="16">
        <f t="shared" si="6"/>
        <v>1</v>
      </c>
      <c r="F119" s="16">
        <f t="shared" si="6"/>
        <v>2433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01481</v>
      </c>
      <c r="B120" s="16">
        <f t="shared" si="6"/>
        <v>133</v>
      </c>
      <c r="C120" s="16">
        <f t="shared" si="6"/>
        <v>0</v>
      </c>
      <c r="D120" s="16">
        <f t="shared" si="6"/>
        <v>148</v>
      </c>
      <c r="E120" s="16">
        <f t="shared" si="6"/>
        <v>1</v>
      </c>
      <c r="F120" s="16">
        <f t="shared" si="6"/>
        <v>2433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01501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133</v>
      </c>
      <c r="C121" s="16">
        <f t="shared" si="7"/>
        <v>0</v>
      </c>
      <c r="D121" s="16">
        <f t="shared" si="7"/>
        <v>150</v>
      </c>
      <c r="E121" s="16">
        <f t="shared" si="7"/>
        <v>1</v>
      </c>
      <c r="F121" s="16">
        <f t="shared" si="7"/>
        <v>2433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01521</v>
      </c>
      <c r="B122" s="16">
        <f t="shared" si="7"/>
        <v>133</v>
      </c>
      <c r="C122" s="16">
        <f t="shared" si="7"/>
        <v>0</v>
      </c>
      <c r="D122" s="16">
        <f t="shared" si="7"/>
        <v>152</v>
      </c>
      <c r="E122" s="16">
        <f t="shared" si="7"/>
        <v>1</v>
      </c>
      <c r="F122" s="16">
        <f t="shared" si="7"/>
        <v>2433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01541</v>
      </c>
      <c r="B123" s="16">
        <f t="shared" si="7"/>
        <v>133</v>
      </c>
      <c r="C123" s="16">
        <f t="shared" si="7"/>
        <v>0</v>
      </c>
      <c r="D123" s="16">
        <f t="shared" si="7"/>
        <v>154</v>
      </c>
      <c r="E123" s="16">
        <f t="shared" si="7"/>
        <v>1</v>
      </c>
      <c r="F123" s="16">
        <f t="shared" si="7"/>
        <v>2433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01561</v>
      </c>
      <c r="B124" s="16">
        <f t="shared" si="7"/>
        <v>133</v>
      </c>
      <c r="C124" s="16">
        <f t="shared" si="7"/>
        <v>0</v>
      </c>
      <c r="D124" s="16">
        <f t="shared" si="7"/>
        <v>156</v>
      </c>
      <c r="E124" s="16">
        <f t="shared" si="7"/>
        <v>1</v>
      </c>
      <c r="F124" s="16">
        <f t="shared" si="7"/>
        <v>2433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01581</v>
      </c>
      <c r="B125" s="16">
        <f t="shared" si="7"/>
        <v>133</v>
      </c>
      <c r="C125" s="16">
        <f t="shared" si="7"/>
        <v>0</v>
      </c>
      <c r="D125" s="16">
        <f t="shared" si="7"/>
        <v>158</v>
      </c>
      <c r="E125" s="16">
        <f t="shared" si="7"/>
        <v>1</v>
      </c>
      <c r="F125" s="16">
        <f t="shared" si="7"/>
        <v>2433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01601</v>
      </c>
      <c r="B126" s="16">
        <f t="shared" si="7"/>
        <v>133</v>
      </c>
      <c r="C126" s="16">
        <f t="shared" si="7"/>
        <v>0</v>
      </c>
      <c r="D126" s="16">
        <f t="shared" si="7"/>
        <v>160</v>
      </c>
      <c r="E126" s="16">
        <f t="shared" si="7"/>
        <v>1</v>
      </c>
      <c r="F126" s="16">
        <f t="shared" si="7"/>
        <v>2433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01621</v>
      </c>
      <c r="B127" s="16">
        <f t="shared" si="7"/>
        <v>133</v>
      </c>
      <c r="C127" s="16">
        <f t="shared" si="7"/>
        <v>0</v>
      </c>
      <c r="D127" s="16">
        <f t="shared" si="7"/>
        <v>162</v>
      </c>
      <c r="E127" s="16">
        <f t="shared" si="7"/>
        <v>1</v>
      </c>
      <c r="F127" s="16">
        <f t="shared" si="7"/>
        <v>2433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01641</v>
      </c>
      <c r="B128" s="16">
        <f t="shared" si="7"/>
        <v>133</v>
      </c>
      <c r="C128" s="16">
        <f t="shared" si="7"/>
        <v>0</v>
      </c>
      <c r="D128" s="16">
        <f t="shared" si="7"/>
        <v>164</v>
      </c>
      <c r="E128" s="16">
        <f t="shared" si="7"/>
        <v>1</v>
      </c>
      <c r="F128" s="16">
        <f t="shared" si="7"/>
        <v>2433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01661</v>
      </c>
      <c r="B129" s="16">
        <f t="shared" si="7"/>
        <v>133</v>
      </c>
      <c r="C129" s="16">
        <f t="shared" si="7"/>
        <v>0</v>
      </c>
      <c r="D129" s="16">
        <f t="shared" si="7"/>
        <v>166</v>
      </c>
      <c r="E129" s="16">
        <f t="shared" si="7"/>
        <v>1</v>
      </c>
      <c r="F129" s="16">
        <f t="shared" si="7"/>
        <v>2460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01691</v>
      </c>
      <c r="B130" s="16">
        <f t="shared" si="7"/>
        <v>133</v>
      </c>
      <c r="C130" s="16">
        <f t="shared" si="7"/>
        <v>0</v>
      </c>
      <c r="D130" s="16">
        <f t="shared" si="7"/>
        <v>169</v>
      </c>
      <c r="E130" s="16">
        <f t="shared" si="7"/>
        <v>1</v>
      </c>
      <c r="F130" s="16">
        <f t="shared" si="7"/>
        <v>2460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01721</v>
      </c>
      <c r="B131" s="16">
        <f t="shared" si="7"/>
        <v>133</v>
      </c>
      <c r="C131" s="16">
        <f t="shared" si="7"/>
        <v>0</v>
      </c>
      <c r="D131" s="16">
        <f t="shared" si="7"/>
        <v>172</v>
      </c>
      <c r="E131" s="16">
        <f t="shared" si="7"/>
        <v>1</v>
      </c>
      <c r="F131" s="16">
        <f t="shared" si="7"/>
        <v>2460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01751</v>
      </c>
      <c r="B132" s="16">
        <f t="shared" si="7"/>
        <v>133</v>
      </c>
      <c r="C132" s="16">
        <f t="shared" si="7"/>
        <v>0</v>
      </c>
      <c r="D132" s="16">
        <f t="shared" si="7"/>
        <v>175</v>
      </c>
      <c r="E132" s="16">
        <f t="shared" si="7"/>
        <v>1</v>
      </c>
      <c r="F132" s="16">
        <f t="shared" si="7"/>
        <v>2460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01781</v>
      </c>
      <c r="B133" s="16">
        <f t="shared" si="7"/>
        <v>133</v>
      </c>
      <c r="C133" s="16">
        <f t="shared" si="7"/>
        <v>0</v>
      </c>
      <c r="D133" s="16">
        <f t="shared" si="7"/>
        <v>178</v>
      </c>
      <c r="E133" s="16">
        <f t="shared" si="7"/>
        <v>1</v>
      </c>
      <c r="F133" s="16">
        <f t="shared" si="7"/>
        <v>2460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01811</v>
      </c>
      <c r="B134" s="16">
        <f t="shared" si="7"/>
        <v>133</v>
      </c>
      <c r="C134" s="16">
        <f t="shared" si="7"/>
        <v>0</v>
      </c>
      <c r="D134" s="16">
        <f t="shared" si="7"/>
        <v>181</v>
      </c>
      <c r="E134" s="16">
        <f t="shared" si="7"/>
        <v>1</v>
      </c>
      <c r="F134" s="16">
        <f t="shared" si="7"/>
        <v>2460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01841</v>
      </c>
      <c r="B135" s="16">
        <f t="shared" si="7"/>
        <v>133</v>
      </c>
      <c r="C135" s="16">
        <f t="shared" si="7"/>
        <v>0</v>
      </c>
      <c r="D135" s="16">
        <f t="shared" si="7"/>
        <v>184</v>
      </c>
      <c r="E135" s="16">
        <f t="shared" si="7"/>
        <v>1</v>
      </c>
      <c r="F135" s="16">
        <f t="shared" si="7"/>
        <v>2460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01871</v>
      </c>
      <c r="B136" s="16">
        <f t="shared" si="7"/>
        <v>133</v>
      </c>
      <c r="C136" s="16">
        <f t="shared" si="7"/>
        <v>0</v>
      </c>
      <c r="D136" s="16">
        <f t="shared" si="7"/>
        <v>187</v>
      </c>
      <c r="E136" s="16">
        <f t="shared" si="7"/>
        <v>1</v>
      </c>
      <c r="F136" s="16">
        <f t="shared" si="7"/>
        <v>2460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01901</v>
      </c>
      <c r="B137" s="16">
        <f t="shared" si="7"/>
        <v>133</v>
      </c>
      <c r="C137" s="16">
        <f t="shared" si="7"/>
        <v>0</v>
      </c>
      <c r="D137" s="16">
        <f t="shared" si="7"/>
        <v>190</v>
      </c>
      <c r="E137" s="16">
        <f t="shared" si="7"/>
        <v>1</v>
      </c>
      <c r="F137" s="16">
        <f t="shared" si="7"/>
        <v>2460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01931</v>
      </c>
      <c r="B138" s="16">
        <f t="shared" si="7"/>
        <v>133</v>
      </c>
      <c r="C138" s="16">
        <f t="shared" si="7"/>
        <v>0</v>
      </c>
      <c r="D138" s="16">
        <f t="shared" si="7"/>
        <v>193</v>
      </c>
      <c r="E138" s="16">
        <f t="shared" si="7"/>
        <v>1</v>
      </c>
      <c r="F138" s="16">
        <f t="shared" si="7"/>
        <v>2460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01961</v>
      </c>
      <c r="B139" s="16">
        <f t="shared" si="7"/>
        <v>133</v>
      </c>
      <c r="C139" s="16">
        <f t="shared" si="7"/>
        <v>0</v>
      </c>
      <c r="D139" s="16">
        <f t="shared" si="7"/>
        <v>196</v>
      </c>
      <c r="E139" s="16">
        <f t="shared" si="7"/>
        <v>1</v>
      </c>
      <c r="F139" s="16">
        <f t="shared" si="7"/>
        <v>2460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01991</v>
      </c>
      <c r="B140" s="16">
        <f t="shared" si="7"/>
        <v>133</v>
      </c>
      <c r="C140" s="16">
        <f t="shared" si="7"/>
        <v>0</v>
      </c>
      <c r="D140" s="16">
        <f t="shared" si="7"/>
        <v>199</v>
      </c>
      <c r="E140" s="16">
        <f t="shared" si="7"/>
        <v>1</v>
      </c>
      <c r="F140" s="16">
        <f t="shared" si="7"/>
        <v>2460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02021</v>
      </c>
      <c r="B141" s="16">
        <f t="shared" si="7"/>
        <v>133</v>
      </c>
      <c r="C141" s="16">
        <f t="shared" si="7"/>
        <v>0</v>
      </c>
      <c r="D141" s="16">
        <f t="shared" si="7"/>
        <v>202</v>
      </c>
      <c r="E141" s="16">
        <f t="shared" si="7"/>
        <v>1</v>
      </c>
      <c r="F141" s="16">
        <f t="shared" si="7"/>
        <v>2460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02051</v>
      </c>
      <c r="B142" s="16">
        <f t="shared" si="7"/>
        <v>133</v>
      </c>
      <c r="C142" s="16">
        <f t="shared" si="7"/>
        <v>0</v>
      </c>
      <c r="D142" s="16">
        <f t="shared" si="7"/>
        <v>205</v>
      </c>
      <c r="E142" s="16">
        <f t="shared" si="7"/>
        <v>1</v>
      </c>
      <c r="F142" s="16">
        <f t="shared" si="7"/>
        <v>2460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02081</v>
      </c>
      <c r="B143" s="16">
        <f t="shared" si="7"/>
        <v>133</v>
      </c>
      <c r="C143" s="16">
        <f t="shared" si="7"/>
        <v>0</v>
      </c>
      <c r="D143" s="16">
        <f t="shared" si="7"/>
        <v>208</v>
      </c>
      <c r="E143" s="16">
        <f t="shared" si="7"/>
        <v>1</v>
      </c>
      <c r="F143" s="16">
        <f t="shared" si="7"/>
        <v>2460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02111</v>
      </c>
      <c r="B144" s="16">
        <f t="shared" si="7"/>
        <v>133</v>
      </c>
      <c r="C144" s="16">
        <f t="shared" si="7"/>
        <v>0</v>
      </c>
      <c r="D144" s="16">
        <f t="shared" si="7"/>
        <v>211</v>
      </c>
      <c r="E144" s="16">
        <f t="shared" si="7"/>
        <v>1</v>
      </c>
      <c r="F144" s="16">
        <f t="shared" si="7"/>
        <v>2460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02141</v>
      </c>
      <c r="B145" s="16">
        <f t="shared" si="7"/>
        <v>133</v>
      </c>
      <c r="C145" s="16">
        <f t="shared" si="7"/>
        <v>0</v>
      </c>
      <c r="D145" s="16">
        <f t="shared" si="7"/>
        <v>214</v>
      </c>
      <c r="E145" s="16">
        <f t="shared" si="7"/>
        <v>1</v>
      </c>
      <c r="F145" s="16">
        <f t="shared" si="7"/>
        <v>2460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02171</v>
      </c>
      <c r="B146" s="16">
        <f t="shared" si="7"/>
        <v>133</v>
      </c>
      <c r="C146" s="16">
        <f t="shared" si="7"/>
        <v>0</v>
      </c>
      <c r="D146" s="16">
        <f t="shared" si="7"/>
        <v>217</v>
      </c>
      <c r="E146" s="16">
        <f t="shared" si="7"/>
        <v>1</v>
      </c>
      <c r="F146" s="16">
        <f t="shared" si="7"/>
        <v>2460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02201</v>
      </c>
      <c r="B147" s="16">
        <f t="shared" si="9"/>
        <v>133</v>
      </c>
      <c r="C147" s="16">
        <f t="shared" si="9"/>
        <v>0</v>
      </c>
      <c r="D147" s="16">
        <f t="shared" si="9"/>
        <v>220</v>
      </c>
      <c r="E147" s="16">
        <f t="shared" si="9"/>
        <v>1</v>
      </c>
      <c r="F147" s="16">
        <f t="shared" si="9"/>
        <v>2460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02231</v>
      </c>
      <c r="B148" s="16">
        <f t="shared" si="9"/>
        <v>133</v>
      </c>
      <c r="C148" s="16">
        <f t="shared" si="9"/>
        <v>0</v>
      </c>
      <c r="D148" s="16">
        <f t="shared" si="9"/>
        <v>223</v>
      </c>
      <c r="E148" s="16">
        <f t="shared" si="9"/>
        <v>1</v>
      </c>
      <c r="F148" s="16">
        <f t="shared" si="9"/>
        <v>2460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02261</v>
      </c>
      <c r="B149" s="16">
        <f t="shared" si="9"/>
        <v>133</v>
      </c>
      <c r="C149" s="16">
        <f t="shared" si="9"/>
        <v>0</v>
      </c>
      <c r="D149" s="16">
        <f t="shared" si="9"/>
        <v>226</v>
      </c>
      <c r="E149" s="16">
        <f t="shared" si="9"/>
        <v>1</v>
      </c>
      <c r="F149" s="16">
        <f t="shared" si="9"/>
        <v>4374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02291</v>
      </c>
      <c r="B150" s="16">
        <f t="shared" si="9"/>
        <v>133</v>
      </c>
      <c r="C150" s="16">
        <f t="shared" si="9"/>
        <v>0</v>
      </c>
      <c r="D150" s="16">
        <f t="shared" si="9"/>
        <v>229</v>
      </c>
      <c r="E150" s="16">
        <f t="shared" si="9"/>
        <v>1</v>
      </c>
      <c r="F150" s="16">
        <f t="shared" si="9"/>
        <v>4374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02321</v>
      </c>
      <c r="B151" s="16">
        <f t="shared" si="9"/>
        <v>133</v>
      </c>
      <c r="C151" s="16">
        <f t="shared" si="9"/>
        <v>0</v>
      </c>
      <c r="D151" s="16">
        <f t="shared" si="9"/>
        <v>232</v>
      </c>
      <c r="E151" s="16">
        <f t="shared" si="9"/>
        <v>1</v>
      </c>
      <c r="F151" s="16">
        <f t="shared" si="9"/>
        <v>4374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02351</v>
      </c>
      <c r="B152" s="16">
        <f t="shared" si="9"/>
        <v>133</v>
      </c>
      <c r="C152" s="16">
        <f t="shared" si="9"/>
        <v>0</v>
      </c>
      <c r="D152" s="16">
        <f t="shared" si="9"/>
        <v>235</v>
      </c>
      <c r="E152" s="16">
        <f t="shared" si="9"/>
        <v>1</v>
      </c>
      <c r="F152" s="16">
        <f t="shared" si="9"/>
        <v>4374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01271</v>
      </c>
      <c r="B153" s="16">
        <f t="shared" si="9"/>
        <v>133</v>
      </c>
      <c r="C153" s="16">
        <f t="shared" si="9"/>
        <v>0</v>
      </c>
      <c r="D153" s="16">
        <f t="shared" si="9"/>
        <v>127</v>
      </c>
      <c r="E153" s="16">
        <f t="shared" si="9"/>
        <v>1</v>
      </c>
      <c r="F153" s="16">
        <f t="shared" si="9"/>
        <v>801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01291</v>
      </c>
      <c r="B154" s="16">
        <f t="shared" si="9"/>
        <v>133</v>
      </c>
      <c r="C154" s="16">
        <f t="shared" si="9"/>
        <v>0</v>
      </c>
      <c r="D154" s="16">
        <f t="shared" si="9"/>
        <v>129</v>
      </c>
      <c r="E154" s="16">
        <f t="shared" si="9"/>
        <v>1</v>
      </c>
      <c r="F154" s="16">
        <f t="shared" si="9"/>
        <v>801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01311</v>
      </c>
      <c r="B155" s="16">
        <f t="shared" si="9"/>
        <v>133</v>
      </c>
      <c r="C155" s="16">
        <f t="shared" si="9"/>
        <v>0</v>
      </c>
      <c r="D155" s="16">
        <f t="shared" si="9"/>
        <v>131</v>
      </c>
      <c r="E155" s="16">
        <f t="shared" si="9"/>
        <v>1</v>
      </c>
      <c r="F155" s="16">
        <f t="shared" si="9"/>
        <v>801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01331</v>
      </c>
      <c r="B156" s="16">
        <f t="shared" si="9"/>
        <v>133</v>
      </c>
      <c r="C156" s="16">
        <f t="shared" si="9"/>
        <v>0</v>
      </c>
      <c r="D156" s="16">
        <f t="shared" si="9"/>
        <v>133</v>
      </c>
      <c r="E156" s="16">
        <f t="shared" si="9"/>
        <v>1</v>
      </c>
      <c r="F156" s="16">
        <f t="shared" si="9"/>
        <v>801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01351</v>
      </c>
      <c r="B157" s="16">
        <f t="shared" si="9"/>
        <v>133</v>
      </c>
      <c r="C157" s="16">
        <f t="shared" si="9"/>
        <v>0</v>
      </c>
      <c r="D157" s="16">
        <f t="shared" si="9"/>
        <v>135</v>
      </c>
      <c r="E157" s="16">
        <f t="shared" si="9"/>
        <v>1</v>
      </c>
      <c r="F157" s="16">
        <f t="shared" si="9"/>
        <v>801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01371</v>
      </c>
      <c r="B158" s="16">
        <f t="shared" si="9"/>
        <v>133</v>
      </c>
      <c r="C158" s="16">
        <f t="shared" si="9"/>
        <v>0</v>
      </c>
      <c r="D158" s="16">
        <f t="shared" si="9"/>
        <v>137</v>
      </c>
      <c r="E158" s="16">
        <f t="shared" si="9"/>
        <v>1</v>
      </c>
      <c r="F158" s="16">
        <f t="shared" si="9"/>
        <v>801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01391</v>
      </c>
      <c r="B159" s="16">
        <f t="shared" si="9"/>
        <v>133</v>
      </c>
      <c r="C159" s="16">
        <f t="shared" si="9"/>
        <v>0</v>
      </c>
      <c r="D159" s="16">
        <f t="shared" si="9"/>
        <v>139</v>
      </c>
      <c r="E159" s="16">
        <f t="shared" si="9"/>
        <v>1</v>
      </c>
      <c r="F159" s="16">
        <f t="shared" si="9"/>
        <v>801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01411</v>
      </c>
      <c r="B160" s="16">
        <f t="shared" si="9"/>
        <v>133</v>
      </c>
      <c r="C160" s="16">
        <f t="shared" si="9"/>
        <v>0</v>
      </c>
      <c r="D160" s="16">
        <f t="shared" si="9"/>
        <v>141</v>
      </c>
      <c r="E160" s="16">
        <f t="shared" si="9"/>
        <v>1</v>
      </c>
      <c r="F160" s="16">
        <f t="shared" si="9"/>
        <v>801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01431</v>
      </c>
      <c r="B161" s="16">
        <f t="shared" si="9"/>
        <v>133</v>
      </c>
      <c r="C161" s="16">
        <f t="shared" si="9"/>
        <v>0</v>
      </c>
      <c r="D161" s="16">
        <f t="shared" si="9"/>
        <v>143</v>
      </c>
      <c r="E161" s="16">
        <f t="shared" si="9"/>
        <v>1</v>
      </c>
      <c r="F161" s="16">
        <f t="shared" si="9"/>
        <v>801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01451</v>
      </c>
      <c r="B162" s="16">
        <f t="shared" si="9"/>
        <v>133</v>
      </c>
      <c r="C162" s="16">
        <f t="shared" si="9"/>
        <v>0</v>
      </c>
      <c r="D162" s="16">
        <f t="shared" si="9"/>
        <v>145</v>
      </c>
      <c r="E162" s="16">
        <f t="shared" si="9"/>
        <v>1</v>
      </c>
      <c r="F162" s="16">
        <f t="shared" si="9"/>
        <v>801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01471</v>
      </c>
      <c r="B163" s="16">
        <f t="shared" si="9"/>
        <v>133</v>
      </c>
      <c r="C163" s="16">
        <f t="shared" si="9"/>
        <v>0</v>
      </c>
      <c r="D163" s="16">
        <f t="shared" si="9"/>
        <v>147</v>
      </c>
      <c r="E163" s="16">
        <f t="shared" si="9"/>
        <v>1</v>
      </c>
      <c r="F163" s="16">
        <f t="shared" si="9"/>
        <v>801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01491</v>
      </c>
      <c r="B164" s="16">
        <f t="shared" si="9"/>
        <v>133</v>
      </c>
      <c r="C164" s="16">
        <f t="shared" si="9"/>
        <v>0</v>
      </c>
      <c r="D164" s="16">
        <f t="shared" si="9"/>
        <v>149</v>
      </c>
      <c r="E164" s="16">
        <f t="shared" si="9"/>
        <v>1</v>
      </c>
      <c r="F164" s="16">
        <f t="shared" si="9"/>
        <v>801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01511</v>
      </c>
      <c r="B165" s="16">
        <f t="shared" si="9"/>
        <v>133</v>
      </c>
      <c r="C165" s="16">
        <f t="shared" si="9"/>
        <v>0</v>
      </c>
      <c r="D165" s="16">
        <f t="shared" si="9"/>
        <v>151</v>
      </c>
      <c r="E165" s="16">
        <f t="shared" si="9"/>
        <v>1</v>
      </c>
      <c r="F165" s="16">
        <f t="shared" si="9"/>
        <v>801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01531</v>
      </c>
      <c r="B166" s="16">
        <f t="shared" si="9"/>
        <v>133</v>
      </c>
      <c r="C166" s="16">
        <f t="shared" si="9"/>
        <v>0</v>
      </c>
      <c r="D166" s="16">
        <f t="shared" si="9"/>
        <v>153</v>
      </c>
      <c r="E166" s="16">
        <f t="shared" si="9"/>
        <v>1</v>
      </c>
      <c r="F166" s="16">
        <f t="shared" si="9"/>
        <v>801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01551</v>
      </c>
      <c r="B167" s="16">
        <f t="shared" si="9"/>
        <v>133</v>
      </c>
      <c r="C167" s="16">
        <f t="shared" si="9"/>
        <v>0</v>
      </c>
      <c r="D167" s="16">
        <f t="shared" si="9"/>
        <v>155</v>
      </c>
      <c r="E167" s="16">
        <f t="shared" si="9"/>
        <v>1</v>
      </c>
      <c r="F167" s="16">
        <f t="shared" si="9"/>
        <v>801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01571</v>
      </c>
      <c r="B168" s="16">
        <f t="shared" si="9"/>
        <v>133</v>
      </c>
      <c r="C168" s="16">
        <f t="shared" si="9"/>
        <v>0</v>
      </c>
      <c r="D168" s="16">
        <f t="shared" si="9"/>
        <v>157</v>
      </c>
      <c r="E168" s="16">
        <f t="shared" si="9"/>
        <v>1</v>
      </c>
      <c r="F168" s="16">
        <f t="shared" si="9"/>
        <v>801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01591</v>
      </c>
      <c r="B169" s="16">
        <f t="shared" si="9"/>
        <v>133</v>
      </c>
      <c r="C169" s="16">
        <f t="shared" si="9"/>
        <v>0</v>
      </c>
      <c r="D169" s="16">
        <f t="shared" si="9"/>
        <v>159</v>
      </c>
      <c r="E169" s="16">
        <f t="shared" si="9"/>
        <v>1</v>
      </c>
      <c r="F169" s="16">
        <f t="shared" si="9"/>
        <v>801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01611</v>
      </c>
      <c r="B170" s="16">
        <f t="shared" si="9"/>
        <v>133</v>
      </c>
      <c r="C170" s="16">
        <f t="shared" si="9"/>
        <v>0</v>
      </c>
      <c r="D170" s="16">
        <f t="shared" si="9"/>
        <v>161</v>
      </c>
      <c r="E170" s="16">
        <f t="shared" si="9"/>
        <v>1</v>
      </c>
      <c r="F170" s="16">
        <f t="shared" si="9"/>
        <v>801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01631</v>
      </c>
      <c r="B171" s="16">
        <f t="shared" si="9"/>
        <v>133</v>
      </c>
      <c r="C171" s="16">
        <f t="shared" si="9"/>
        <v>0</v>
      </c>
      <c r="D171" s="16">
        <f t="shared" si="9"/>
        <v>163</v>
      </c>
      <c r="E171" s="16">
        <f t="shared" si="9"/>
        <v>1</v>
      </c>
      <c r="F171" s="16">
        <f t="shared" si="9"/>
        <v>801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01651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133</v>
      </c>
      <c r="C172" s="16">
        <f t="shared" si="10"/>
        <v>0</v>
      </c>
      <c r="D172" s="16">
        <f t="shared" si="10"/>
        <v>165</v>
      </c>
      <c r="E172" s="16">
        <f t="shared" si="10"/>
        <v>1</v>
      </c>
      <c r="F172" s="16">
        <f t="shared" si="10"/>
        <v>801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01671</v>
      </c>
      <c r="B173" s="16">
        <f t="shared" si="10"/>
        <v>133</v>
      </c>
      <c r="C173" s="16">
        <f t="shared" si="10"/>
        <v>0</v>
      </c>
      <c r="D173" s="16">
        <f t="shared" si="10"/>
        <v>167</v>
      </c>
      <c r="E173" s="16">
        <f t="shared" si="10"/>
        <v>1</v>
      </c>
      <c r="F173" s="16">
        <f t="shared" si="10"/>
        <v>758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01701</v>
      </c>
      <c r="B174" s="16">
        <f t="shared" si="10"/>
        <v>133</v>
      </c>
      <c r="C174" s="16">
        <f t="shared" si="10"/>
        <v>0</v>
      </c>
      <c r="D174" s="16">
        <f t="shared" si="10"/>
        <v>170</v>
      </c>
      <c r="E174" s="16">
        <f t="shared" si="10"/>
        <v>1</v>
      </c>
      <c r="F174" s="16">
        <f t="shared" si="10"/>
        <v>758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01731</v>
      </c>
      <c r="B175" s="16">
        <f t="shared" si="10"/>
        <v>133</v>
      </c>
      <c r="C175" s="16">
        <f t="shared" si="10"/>
        <v>0</v>
      </c>
      <c r="D175" s="16">
        <f t="shared" si="10"/>
        <v>173</v>
      </c>
      <c r="E175" s="16">
        <f t="shared" si="10"/>
        <v>1</v>
      </c>
      <c r="F175" s="16">
        <f t="shared" si="10"/>
        <v>758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01761</v>
      </c>
      <c r="B176" s="16">
        <f t="shared" si="10"/>
        <v>133</v>
      </c>
      <c r="C176" s="16">
        <f t="shared" si="10"/>
        <v>0</v>
      </c>
      <c r="D176" s="16">
        <f t="shared" si="10"/>
        <v>176</v>
      </c>
      <c r="E176" s="16">
        <f t="shared" si="10"/>
        <v>1</v>
      </c>
      <c r="F176" s="16">
        <f t="shared" si="10"/>
        <v>758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01791</v>
      </c>
      <c r="B177" s="16">
        <f t="shared" si="10"/>
        <v>133</v>
      </c>
      <c r="C177" s="16">
        <f t="shared" si="10"/>
        <v>0</v>
      </c>
      <c r="D177" s="16">
        <f t="shared" si="10"/>
        <v>179</v>
      </c>
      <c r="E177" s="16">
        <f t="shared" si="10"/>
        <v>1</v>
      </c>
      <c r="F177" s="16">
        <f t="shared" si="10"/>
        <v>758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01821</v>
      </c>
      <c r="B178" s="16">
        <f t="shared" si="10"/>
        <v>133</v>
      </c>
      <c r="C178" s="16">
        <f t="shared" si="10"/>
        <v>0</v>
      </c>
      <c r="D178" s="16">
        <f t="shared" si="10"/>
        <v>182</v>
      </c>
      <c r="E178" s="16">
        <f t="shared" si="10"/>
        <v>1</v>
      </c>
      <c r="F178" s="16">
        <f t="shared" si="10"/>
        <v>758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01851</v>
      </c>
      <c r="B179" s="16">
        <f t="shared" si="10"/>
        <v>133</v>
      </c>
      <c r="C179" s="16">
        <f t="shared" si="10"/>
        <v>0</v>
      </c>
      <c r="D179" s="16">
        <f t="shared" si="10"/>
        <v>185</v>
      </c>
      <c r="E179" s="16">
        <f t="shared" si="10"/>
        <v>1</v>
      </c>
      <c r="F179" s="16">
        <f t="shared" si="10"/>
        <v>758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01881</v>
      </c>
      <c r="B180" s="16">
        <f t="shared" si="10"/>
        <v>133</v>
      </c>
      <c r="C180" s="16">
        <f t="shared" si="10"/>
        <v>0</v>
      </c>
      <c r="D180" s="16">
        <f t="shared" si="10"/>
        <v>188</v>
      </c>
      <c r="E180" s="16">
        <f t="shared" si="10"/>
        <v>1</v>
      </c>
      <c r="F180" s="16">
        <f t="shared" si="10"/>
        <v>758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01911</v>
      </c>
      <c r="B181" s="16">
        <f t="shared" si="10"/>
        <v>133</v>
      </c>
      <c r="C181" s="16">
        <f t="shared" si="10"/>
        <v>0</v>
      </c>
      <c r="D181" s="16">
        <f t="shared" si="10"/>
        <v>191</v>
      </c>
      <c r="E181" s="16">
        <f t="shared" si="10"/>
        <v>1</v>
      </c>
      <c r="F181" s="16">
        <f t="shared" si="10"/>
        <v>758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01941</v>
      </c>
      <c r="B182" s="16">
        <f t="shared" si="10"/>
        <v>133</v>
      </c>
      <c r="C182" s="16">
        <f t="shared" si="10"/>
        <v>0</v>
      </c>
      <c r="D182" s="16">
        <f t="shared" si="10"/>
        <v>194</v>
      </c>
      <c r="E182" s="16">
        <f t="shared" si="10"/>
        <v>1</v>
      </c>
      <c r="F182" s="16">
        <f t="shared" si="10"/>
        <v>758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01971</v>
      </c>
      <c r="B183" s="16">
        <f t="shared" si="10"/>
        <v>133</v>
      </c>
      <c r="C183" s="16">
        <f t="shared" si="10"/>
        <v>0</v>
      </c>
      <c r="D183" s="16">
        <f t="shared" si="10"/>
        <v>197</v>
      </c>
      <c r="E183" s="16">
        <f t="shared" si="10"/>
        <v>1</v>
      </c>
      <c r="F183" s="16">
        <f t="shared" si="10"/>
        <v>758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02001</v>
      </c>
      <c r="B184" s="16">
        <f t="shared" si="10"/>
        <v>133</v>
      </c>
      <c r="C184" s="16">
        <f t="shared" si="10"/>
        <v>0</v>
      </c>
      <c r="D184" s="16">
        <f t="shared" si="10"/>
        <v>200</v>
      </c>
      <c r="E184" s="16">
        <f t="shared" si="10"/>
        <v>1</v>
      </c>
      <c r="F184" s="16">
        <f t="shared" si="10"/>
        <v>758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02031</v>
      </c>
      <c r="B185" s="16">
        <f t="shared" si="10"/>
        <v>133</v>
      </c>
      <c r="C185" s="16">
        <f t="shared" si="10"/>
        <v>0</v>
      </c>
      <c r="D185" s="16">
        <f t="shared" si="10"/>
        <v>203</v>
      </c>
      <c r="E185" s="16">
        <f t="shared" si="10"/>
        <v>1</v>
      </c>
      <c r="F185" s="16">
        <f t="shared" si="10"/>
        <v>758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02061</v>
      </c>
      <c r="B186" s="16">
        <f t="shared" si="10"/>
        <v>133</v>
      </c>
      <c r="C186" s="16">
        <f t="shared" si="10"/>
        <v>0</v>
      </c>
      <c r="D186" s="16">
        <f t="shared" si="10"/>
        <v>206</v>
      </c>
      <c r="E186" s="16">
        <f t="shared" si="10"/>
        <v>1</v>
      </c>
      <c r="F186" s="16">
        <f t="shared" si="10"/>
        <v>758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02091</v>
      </c>
      <c r="B187" s="16">
        <f t="shared" si="10"/>
        <v>133</v>
      </c>
      <c r="C187" s="16">
        <f t="shared" si="10"/>
        <v>0</v>
      </c>
      <c r="D187" s="16">
        <f t="shared" si="10"/>
        <v>209</v>
      </c>
      <c r="E187" s="16">
        <f t="shared" si="10"/>
        <v>1</v>
      </c>
      <c r="F187" s="16">
        <f t="shared" si="10"/>
        <v>758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02121</v>
      </c>
      <c r="B188" s="16">
        <f t="shared" si="10"/>
        <v>133</v>
      </c>
      <c r="C188" s="16">
        <f t="shared" si="10"/>
        <v>0</v>
      </c>
      <c r="D188" s="16">
        <f t="shared" si="10"/>
        <v>212</v>
      </c>
      <c r="E188" s="16">
        <f t="shared" si="10"/>
        <v>1</v>
      </c>
      <c r="F188" s="16">
        <f t="shared" si="10"/>
        <v>758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02151</v>
      </c>
      <c r="B189" s="16">
        <f t="shared" si="10"/>
        <v>133</v>
      </c>
      <c r="C189" s="16">
        <f t="shared" si="10"/>
        <v>0</v>
      </c>
      <c r="D189" s="16">
        <f t="shared" si="10"/>
        <v>215</v>
      </c>
      <c r="E189" s="16">
        <f t="shared" si="10"/>
        <v>1</v>
      </c>
      <c r="F189" s="16">
        <f t="shared" si="10"/>
        <v>758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02181</v>
      </c>
      <c r="B190" s="16">
        <f t="shared" si="10"/>
        <v>133</v>
      </c>
      <c r="C190" s="16">
        <f t="shared" si="10"/>
        <v>0</v>
      </c>
      <c r="D190" s="16">
        <f t="shared" si="10"/>
        <v>218</v>
      </c>
      <c r="E190" s="16">
        <f t="shared" si="10"/>
        <v>1</v>
      </c>
      <c r="F190" s="16">
        <f t="shared" si="10"/>
        <v>758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02211</v>
      </c>
      <c r="B191" s="16">
        <f t="shared" si="10"/>
        <v>133</v>
      </c>
      <c r="C191" s="16">
        <f t="shared" si="10"/>
        <v>0</v>
      </c>
      <c r="D191" s="16">
        <f t="shared" si="10"/>
        <v>221</v>
      </c>
      <c r="E191" s="16">
        <f t="shared" si="10"/>
        <v>1</v>
      </c>
      <c r="F191" s="16">
        <f t="shared" si="10"/>
        <v>758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02241</v>
      </c>
      <c r="B192" s="16">
        <f t="shared" si="10"/>
        <v>133</v>
      </c>
      <c r="C192" s="16">
        <f t="shared" si="10"/>
        <v>0</v>
      </c>
      <c r="D192" s="16">
        <f t="shared" si="10"/>
        <v>224</v>
      </c>
      <c r="E192" s="16">
        <f t="shared" si="10"/>
        <v>1</v>
      </c>
      <c r="F192" s="16">
        <f t="shared" si="10"/>
        <v>758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02271</v>
      </c>
      <c r="B193" s="16">
        <f t="shared" si="10"/>
        <v>133</v>
      </c>
      <c r="C193" s="16">
        <f t="shared" si="10"/>
        <v>0</v>
      </c>
      <c r="D193" s="16">
        <f t="shared" si="10"/>
        <v>227</v>
      </c>
      <c r="E193" s="16">
        <f t="shared" si="10"/>
        <v>1</v>
      </c>
      <c r="F193" s="16">
        <f t="shared" si="10"/>
        <v>80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02301</v>
      </c>
      <c r="B194" s="16">
        <f t="shared" si="10"/>
        <v>133</v>
      </c>
      <c r="C194" s="16">
        <f t="shared" si="10"/>
        <v>0</v>
      </c>
      <c r="D194" s="16">
        <f t="shared" si="10"/>
        <v>230</v>
      </c>
      <c r="E194" s="16">
        <f t="shared" si="10"/>
        <v>1</v>
      </c>
      <c r="F194" s="16">
        <f t="shared" si="10"/>
        <v>80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8" si="11">INDIRECT(ADDRESS(ROW()+$A$1,COLUMN(),1,TRUE,$C$1))</f>
        <v>02331</v>
      </c>
      <c r="B195" s="16">
        <f t="shared" si="10"/>
        <v>133</v>
      </c>
      <c r="C195" s="16">
        <f t="shared" si="10"/>
        <v>0</v>
      </c>
      <c r="D195" s="16">
        <f t="shared" si="10"/>
        <v>233</v>
      </c>
      <c r="E195" s="16">
        <f t="shared" si="10"/>
        <v>1</v>
      </c>
      <c r="F195" s="16">
        <f t="shared" si="10"/>
        <v>80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02361</v>
      </c>
      <c r="B196" s="16">
        <f t="shared" si="10"/>
        <v>133</v>
      </c>
      <c r="C196" s="16">
        <f t="shared" si="10"/>
        <v>0</v>
      </c>
      <c r="D196" s="16">
        <f t="shared" si="10"/>
        <v>236</v>
      </c>
      <c r="E196" s="16">
        <f t="shared" si="10"/>
        <v>1</v>
      </c>
      <c r="F196" s="16">
        <f t="shared" si="10"/>
        <v>80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01681</v>
      </c>
      <c r="B197" s="16">
        <f t="shared" si="10"/>
        <v>133</v>
      </c>
      <c r="C197" s="16">
        <f t="shared" si="10"/>
        <v>0</v>
      </c>
      <c r="D197" s="16">
        <f t="shared" si="10"/>
        <v>168</v>
      </c>
      <c r="E197" s="16">
        <f t="shared" si="10"/>
        <v>1</v>
      </c>
      <c r="F197" s="16">
        <f t="shared" si="10"/>
        <v>247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01711</v>
      </c>
      <c r="B198" s="16">
        <f t="shared" si="12"/>
        <v>133</v>
      </c>
      <c r="C198" s="16">
        <f t="shared" si="12"/>
        <v>0</v>
      </c>
      <c r="D198" s="16">
        <f t="shared" si="12"/>
        <v>171</v>
      </c>
      <c r="E198" s="16">
        <f t="shared" si="12"/>
        <v>1</v>
      </c>
      <c r="F198" s="16">
        <f t="shared" si="12"/>
        <v>247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01741</v>
      </c>
      <c r="B199" s="16">
        <f t="shared" si="12"/>
        <v>133</v>
      </c>
      <c r="C199" s="16">
        <f t="shared" si="12"/>
        <v>0</v>
      </c>
      <c r="D199" s="16">
        <f t="shared" si="12"/>
        <v>174</v>
      </c>
      <c r="E199" s="16">
        <f t="shared" si="12"/>
        <v>1</v>
      </c>
      <c r="F199" s="16">
        <f t="shared" si="12"/>
        <v>247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01771</v>
      </c>
      <c r="B200" s="16">
        <f t="shared" si="12"/>
        <v>133</v>
      </c>
      <c r="C200" s="16">
        <f t="shared" si="12"/>
        <v>0</v>
      </c>
      <c r="D200" s="16">
        <f t="shared" si="12"/>
        <v>177</v>
      </c>
      <c r="E200" s="16">
        <f t="shared" si="12"/>
        <v>1</v>
      </c>
      <c r="F200" s="16">
        <f t="shared" si="12"/>
        <v>247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01801</v>
      </c>
      <c r="B201" s="16">
        <f t="shared" si="12"/>
        <v>133</v>
      </c>
      <c r="C201" s="16">
        <f t="shared" si="12"/>
        <v>0</v>
      </c>
      <c r="D201" s="16">
        <f t="shared" si="12"/>
        <v>180</v>
      </c>
      <c r="E201" s="16">
        <f t="shared" si="12"/>
        <v>1</v>
      </c>
      <c r="F201" s="16">
        <f t="shared" si="12"/>
        <v>247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01831</v>
      </c>
      <c r="B202" s="16">
        <f t="shared" si="12"/>
        <v>133</v>
      </c>
      <c r="C202" s="16">
        <f t="shared" si="12"/>
        <v>0</v>
      </c>
      <c r="D202" s="16">
        <f t="shared" si="12"/>
        <v>183</v>
      </c>
      <c r="E202" s="16">
        <f t="shared" si="12"/>
        <v>1</v>
      </c>
      <c r="F202" s="16">
        <f t="shared" si="12"/>
        <v>247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01861</v>
      </c>
      <c r="B203" s="16">
        <f t="shared" si="12"/>
        <v>133</v>
      </c>
      <c r="C203" s="16">
        <f t="shared" si="12"/>
        <v>0</v>
      </c>
      <c r="D203" s="16">
        <f t="shared" si="12"/>
        <v>186</v>
      </c>
      <c r="E203" s="16">
        <f t="shared" si="12"/>
        <v>1</v>
      </c>
      <c r="F203" s="16">
        <f t="shared" si="12"/>
        <v>247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01891</v>
      </c>
      <c r="B204" s="16">
        <f t="shared" si="12"/>
        <v>133</v>
      </c>
      <c r="C204" s="16">
        <f t="shared" si="12"/>
        <v>0</v>
      </c>
      <c r="D204" s="16">
        <f t="shared" si="12"/>
        <v>189</v>
      </c>
      <c r="E204" s="16">
        <f t="shared" si="12"/>
        <v>1</v>
      </c>
      <c r="F204" s="16">
        <f t="shared" si="12"/>
        <v>247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01921</v>
      </c>
      <c r="B205" s="16">
        <f t="shared" si="12"/>
        <v>133</v>
      </c>
      <c r="C205" s="16">
        <f t="shared" si="12"/>
        <v>0</v>
      </c>
      <c r="D205" s="16">
        <f t="shared" si="12"/>
        <v>192</v>
      </c>
      <c r="E205" s="16">
        <f t="shared" si="12"/>
        <v>1</v>
      </c>
      <c r="F205" s="16">
        <f t="shared" si="12"/>
        <v>247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01951</v>
      </c>
      <c r="B206" s="16">
        <f t="shared" si="12"/>
        <v>133</v>
      </c>
      <c r="C206" s="16">
        <f t="shared" si="12"/>
        <v>0</v>
      </c>
      <c r="D206" s="16">
        <f t="shared" si="12"/>
        <v>195</v>
      </c>
      <c r="E206" s="16">
        <f t="shared" si="12"/>
        <v>1</v>
      </c>
      <c r="F206" s="16">
        <f t="shared" si="12"/>
        <v>247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01981</v>
      </c>
      <c r="B207" s="16">
        <f t="shared" si="12"/>
        <v>133</v>
      </c>
      <c r="C207" s="16">
        <f t="shared" si="12"/>
        <v>0</v>
      </c>
      <c r="D207" s="16">
        <f t="shared" si="12"/>
        <v>198</v>
      </c>
      <c r="E207" s="16">
        <f t="shared" si="12"/>
        <v>1</v>
      </c>
      <c r="F207" s="16">
        <f t="shared" si="12"/>
        <v>247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02011</v>
      </c>
      <c r="B208" s="16">
        <f t="shared" si="12"/>
        <v>133</v>
      </c>
      <c r="C208" s="16">
        <f t="shared" si="12"/>
        <v>0</v>
      </c>
      <c r="D208" s="16">
        <f t="shared" si="12"/>
        <v>201</v>
      </c>
      <c r="E208" s="16">
        <f t="shared" si="12"/>
        <v>1</v>
      </c>
      <c r="F208" s="16">
        <f t="shared" si="12"/>
        <v>247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02041</v>
      </c>
      <c r="B209" s="16">
        <f t="shared" si="12"/>
        <v>133</v>
      </c>
      <c r="C209" s="16">
        <f t="shared" si="12"/>
        <v>0</v>
      </c>
      <c r="D209" s="16">
        <f t="shared" si="12"/>
        <v>204</v>
      </c>
      <c r="E209" s="16">
        <f t="shared" si="12"/>
        <v>1</v>
      </c>
      <c r="F209" s="16">
        <f t="shared" si="12"/>
        <v>247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02071</v>
      </c>
      <c r="B210" s="16">
        <f t="shared" si="12"/>
        <v>133</v>
      </c>
      <c r="C210" s="16">
        <f t="shared" si="12"/>
        <v>0</v>
      </c>
      <c r="D210" s="16">
        <f t="shared" si="12"/>
        <v>207</v>
      </c>
      <c r="E210" s="16">
        <f t="shared" si="12"/>
        <v>1</v>
      </c>
      <c r="F210" s="16">
        <f t="shared" si="12"/>
        <v>247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02101</v>
      </c>
      <c r="B211" s="16">
        <f t="shared" si="12"/>
        <v>133</v>
      </c>
      <c r="C211" s="16">
        <f t="shared" si="12"/>
        <v>0</v>
      </c>
      <c r="D211" s="16">
        <f t="shared" si="12"/>
        <v>210</v>
      </c>
      <c r="E211" s="16">
        <f t="shared" si="12"/>
        <v>1</v>
      </c>
      <c r="F211" s="16">
        <f t="shared" si="12"/>
        <v>247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02131</v>
      </c>
      <c r="B212" s="16">
        <f t="shared" si="12"/>
        <v>133</v>
      </c>
      <c r="C212" s="16">
        <f t="shared" si="12"/>
        <v>0</v>
      </c>
      <c r="D212" s="16">
        <f t="shared" si="12"/>
        <v>213</v>
      </c>
      <c r="E212" s="16">
        <f t="shared" si="12"/>
        <v>1</v>
      </c>
      <c r="F212" s="16">
        <f t="shared" si="12"/>
        <v>247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02161</v>
      </c>
      <c r="B213" s="16">
        <f t="shared" si="12"/>
        <v>133</v>
      </c>
      <c r="C213" s="16">
        <f t="shared" si="12"/>
        <v>0</v>
      </c>
      <c r="D213" s="16">
        <f t="shared" si="12"/>
        <v>216</v>
      </c>
      <c r="E213" s="16">
        <f t="shared" si="12"/>
        <v>1</v>
      </c>
      <c r="F213" s="16">
        <f t="shared" si="12"/>
        <v>247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02191</v>
      </c>
      <c r="B214" s="16">
        <f t="shared" si="12"/>
        <v>133</v>
      </c>
      <c r="C214" s="16">
        <f t="shared" si="12"/>
        <v>0</v>
      </c>
      <c r="D214" s="16">
        <f t="shared" si="12"/>
        <v>219</v>
      </c>
      <c r="E214" s="16">
        <f t="shared" si="12"/>
        <v>1</v>
      </c>
      <c r="F214" s="16">
        <f t="shared" si="12"/>
        <v>247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02221</v>
      </c>
      <c r="B215" s="16">
        <f t="shared" si="12"/>
        <v>133</v>
      </c>
      <c r="C215" s="16">
        <f t="shared" si="12"/>
        <v>0</v>
      </c>
      <c r="D215" s="16">
        <f t="shared" si="12"/>
        <v>222</v>
      </c>
      <c r="E215" s="16">
        <f t="shared" si="12"/>
        <v>1</v>
      </c>
      <c r="F215" s="16">
        <f t="shared" si="12"/>
        <v>247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02251</v>
      </c>
      <c r="B216" s="16">
        <f t="shared" si="12"/>
        <v>133</v>
      </c>
      <c r="C216" s="16">
        <f t="shared" si="12"/>
        <v>0</v>
      </c>
      <c r="D216" s="16">
        <f t="shared" si="12"/>
        <v>225</v>
      </c>
      <c r="E216" s="16">
        <f t="shared" si="12"/>
        <v>1</v>
      </c>
      <c r="F216" s="16">
        <f t="shared" si="12"/>
        <v>247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02281</v>
      </c>
      <c r="B217" s="16">
        <f t="shared" si="12"/>
        <v>133</v>
      </c>
      <c r="C217" s="16">
        <f t="shared" si="12"/>
        <v>0</v>
      </c>
      <c r="D217" s="16">
        <f t="shared" si="12"/>
        <v>228</v>
      </c>
      <c r="E217" s="16">
        <f t="shared" si="12"/>
        <v>1</v>
      </c>
      <c r="F217" s="16">
        <f t="shared" si="12"/>
        <v>13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02311</v>
      </c>
      <c r="B218" s="16">
        <f t="shared" si="12"/>
        <v>133</v>
      </c>
      <c r="C218" s="16">
        <f t="shared" si="12"/>
        <v>0</v>
      </c>
      <c r="D218" s="16">
        <f t="shared" si="12"/>
        <v>231</v>
      </c>
      <c r="E218" s="16">
        <f t="shared" si="12"/>
        <v>1</v>
      </c>
      <c r="F218" s="16">
        <f t="shared" si="12"/>
        <v>13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02341</v>
      </c>
      <c r="B219" s="16">
        <f t="shared" si="12"/>
        <v>133</v>
      </c>
      <c r="C219" s="16">
        <f t="shared" si="12"/>
        <v>0</v>
      </c>
      <c r="D219" s="16">
        <f t="shared" si="12"/>
        <v>234</v>
      </c>
      <c r="E219" s="16">
        <f t="shared" si="12"/>
        <v>1</v>
      </c>
      <c r="F219" s="16">
        <f t="shared" si="12"/>
        <v>13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02371</v>
      </c>
      <c r="B220" s="16">
        <f t="shared" si="12"/>
        <v>133</v>
      </c>
      <c r="C220" s="16">
        <f t="shared" si="12"/>
        <v>0</v>
      </c>
      <c r="D220" s="16">
        <f t="shared" si="12"/>
        <v>237</v>
      </c>
      <c r="E220" s="16">
        <f t="shared" si="12"/>
        <v>1</v>
      </c>
      <c r="F220" s="16">
        <f t="shared" si="12"/>
        <v>13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02381</v>
      </c>
      <c r="B221" s="16">
        <f t="shared" si="12"/>
        <v>133</v>
      </c>
      <c r="C221" s="16">
        <f t="shared" si="12"/>
        <v>0</v>
      </c>
      <c r="D221" s="16">
        <f t="shared" si="12"/>
        <v>238</v>
      </c>
      <c r="E221" s="16">
        <f t="shared" si="12"/>
        <v>1</v>
      </c>
      <c r="F221" s="16">
        <f t="shared" si="12"/>
        <v>4374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02391</v>
      </c>
      <c r="B222" s="16">
        <f t="shared" si="12"/>
        <v>133</v>
      </c>
      <c r="C222" s="16">
        <f t="shared" si="12"/>
        <v>0</v>
      </c>
      <c r="D222" s="16">
        <f t="shared" si="12"/>
        <v>239</v>
      </c>
      <c r="E222" s="16">
        <f t="shared" si="12"/>
        <v>1</v>
      </c>
      <c r="F222" s="16">
        <f t="shared" si="12"/>
        <v>80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02401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133</v>
      </c>
      <c r="C223" s="16">
        <f t="shared" si="13"/>
        <v>0</v>
      </c>
      <c r="D223" s="16">
        <f t="shared" si="13"/>
        <v>240</v>
      </c>
      <c r="E223" s="16">
        <f t="shared" si="13"/>
        <v>1</v>
      </c>
      <c r="F223" s="16">
        <f t="shared" si="13"/>
        <v>13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02411</v>
      </c>
      <c r="B224" s="16">
        <f t="shared" si="13"/>
        <v>133</v>
      </c>
      <c r="C224" s="16">
        <f t="shared" si="13"/>
        <v>0</v>
      </c>
      <c r="D224" s="16">
        <f t="shared" si="13"/>
        <v>241</v>
      </c>
      <c r="E224" s="16">
        <f t="shared" si="13"/>
        <v>1</v>
      </c>
      <c r="F224" s="16">
        <f t="shared" si="13"/>
        <v>4374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02421</v>
      </c>
      <c r="B225" s="16">
        <f t="shared" si="13"/>
        <v>133</v>
      </c>
      <c r="C225" s="16">
        <f t="shared" si="13"/>
        <v>0</v>
      </c>
      <c r="D225" s="16">
        <f t="shared" si="13"/>
        <v>242</v>
      </c>
      <c r="E225" s="16">
        <f t="shared" si="13"/>
        <v>1</v>
      </c>
      <c r="F225" s="16">
        <f t="shared" si="13"/>
        <v>80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02431</v>
      </c>
      <c r="B226" s="16">
        <f t="shared" si="13"/>
        <v>133</v>
      </c>
      <c r="C226" s="16">
        <f t="shared" si="13"/>
        <v>0</v>
      </c>
      <c r="D226" s="16">
        <f t="shared" si="13"/>
        <v>243</v>
      </c>
      <c r="E226" s="16">
        <f t="shared" si="13"/>
        <v>1</v>
      </c>
      <c r="F226" s="16">
        <f t="shared" si="13"/>
        <v>13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02441</v>
      </c>
      <c r="B227" s="16">
        <f t="shared" si="13"/>
        <v>133</v>
      </c>
      <c r="C227" s="16">
        <f t="shared" si="13"/>
        <v>0</v>
      </c>
      <c r="D227" s="16">
        <f t="shared" si="13"/>
        <v>244</v>
      </c>
      <c r="E227" s="16">
        <f t="shared" si="13"/>
        <v>1</v>
      </c>
      <c r="F227" s="16">
        <f t="shared" si="13"/>
        <v>4374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02451</v>
      </c>
      <c r="B228" s="16">
        <f t="shared" si="13"/>
        <v>133</v>
      </c>
      <c r="C228" s="16">
        <f t="shared" si="13"/>
        <v>0</v>
      </c>
      <c r="D228" s="16">
        <f t="shared" si="13"/>
        <v>245</v>
      </c>
      <c r="E228" s="16">
        <f t="shared" si="13"/>
        <v>1</v>
      </c>
      <c r="F228" s="16">
        <f t="shared" si="13"/>
        <v>80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02461</v>
      </c>
      <c r="B229" s="16">
        <f t="shared" si="13"/>
        <v>133</v>
      </c>
      <c r="C229" s="16">
        <f t="shared" si="13"/>
        <v>0</v>
      </c>
      <c r="D229" s="16">
        <f t="shared" si="13"/>
        <v>246</v>
      </c>
      <c r="E229" s="16">
        <f t="shared" si="13"/>
        <v>1</v>
      </c>
      <c r="F229" s="16">
        <f t="shared" si="13"/>
        <v>13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02471</v>
      </c>
      <c r="B230" s="16">
        <f t="shared" si="13"/>
        <v>133</v>
      </c>
      <c r="C230" s="16">
        <f t="shared" si="13"/>
        <v>0</v>
      </c>
      <c r="D230" s="16">
        <f t="shared" si="13"/>
        <v>247</v>
      </c>
      <c r="E230" s="16">
        <f t="shared" si="13"/>
        <v>1</v>
      </c>
      <c r="F230" s="16">
        <f t="shared" si="13"/>
        <v>4374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02481</v>
      </c>
      <c r="B231" s="16">
        <f t="shared" si="13"/>
        <v>133</v>
      </c>
      <c r="C231" s="16">
        <f t="shared" si="13"/>
        <v>0</v>
      </c>
      <c r="D231" s="16">
        <f t="shared" si="13"/>
        <v>248</v>
      </c>
      <c r="E231" s="16">
        <f t="shared" si="13"/>
        <v>1</v>
      </c>
      <c r="F231" s="16">
        <f t="shared" si="13"/>
        <v>80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02491</v>
      </c>
      <c r="B232" s="16">
        <f t="shared" si="13"/>
        <v>133</v>
      </c>
      <c r="C232" s="16">
        <f t="shared" si="13"/>
        <v>0</v>
      </c>
      <c r="D232" s="16">
        <f t="shared" si="13"/>
        <v>249</v>
      </c>
      <c r="E232" s="16">
        <f t="shared" si="13"/>
        <v>1</v>
      </c>
      <c r="F232" s="16">
        <f t="shared" si="13"/>
        <v>13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02501</v>
      </c>
      <c r="B233" s="16">
        <f t="shared" si="13"/>
        <v>133</v>
      </c>
      <c r="C233" s="16">
        <f t="shared" si="13"/>
        <v>0</v>
      </c>
      <c r="D233" s="16">
        <f t="shared" si="13"/>
        <v>250</v>
      </c>
      <c r="E233" s="16">
        <f t="shared" si="13"/>
        <v>1</v>
      </c>
      <c r="F233" s="16">
        <f t="shared" si="13"/>
        <v>4374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02511</v>
      </c>
      <c r="B234" s="16">
        <f t="shared" si="13"/>
        <v>133</v>
      </c>
      <c r="C234" s="16">
        <f t="shared" si="13"/>
        <v>0</v>
      </c>
      <c r="D234" s="16">
        <f t="shared" si="13"/>
        <v>251</v>
      </c>
      <c r="E234" s="16">
        <f t="shared" si="13"/>
        <v>1</v>
      </c>
      <c r="F234" s="16">
        <f t="shared" si="13"/>
        <v>80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02521</v>
      </c>
      <c r="B235" s="16">
        <f t="shared" si="13"/>
        <v>133</v>
      </c>
      <c r="C235" s="16">
        <f t="shared" si="13"/>
        <v>0</v>
      </c>
      <c r="D235" s="16">
        <f t="shared" si="13"/>
        <v>252</v>
      </c>
      <c r="E235" s="16">
        <f t="shared" si="13"/>
        <v>1</v>
      </c>
      <c r="F235" s="16">
        <f t="shared" si="13"/>
        <v>13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02531</v>
      </c>
      <c r="B236" s="16">
        <f t="shared" si="13"/>
        <v>133</v>
      </c>
      <c r="C236" s="16">
        <f t="shared" si="13"/>
        <v>0</v>
      </c>
      <c r="D236" s="16">
        <f t="shared" si="13"/>
        <v>253</v>
      </c>
      <c r="E236" s="16">
        <f t="shared" si="13"/>
        <v>1</v>
      </c>
      <c r="F236" s="16">
        <f t="shared" si="13"/>
        <v>4374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02541</v>
      </c>
      <c r="B237" s="16">
        <f t="shared" si="13"/>
        <v>133</v>
      </c>
      <c r="C237" s="16">
        <f t="shared" si="13"/>
        <v>0</v>
      </c>
      <c r="D237" s="16">
        <f t="shared" si="13"/>
        <v>254</v>
      </c>
      <c r="E237" s="16">
        <f t="shared" si="13"/>
        <v>1</v>
      </c>
      <c r="F237" s="16">
        <f t="shared" si="13"/>
        <v>80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02551</v>
      </c>
      <c r="B238" s="16">
        <f t="shared" si="13"/>
        <v>133</v>
      </c>
      <c r="C238" s="16">
        <f t="shared" si="13"/>
        <v>0</v>
      </c>
      <c r="D238" s="16">
        <f t="shared" si="13"/>
        <v>255</v>
      </c>
      <c r="E238" s="16">
        <f t="shared" si="13"/>
        <v>1</v>
      </c>
      <c r="F238" s="16">
        <f t="shared" si="13"/>
        <v>13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02561</v>
      </c>
      <c r="B239" s="16">
        <f t="shared" si="13"/>
        <v>133</v>
      </c>
      <c r="C239" s="16">
        <f t="shared" si="13"/>
        <v>0</v>
      </c>
      <c r="D239" s="16">
        <f t="shared" si="13"/>
        <v>256</v>
      </c>
      <c r="E239" s="16">
        <f t="shared" si="13"/>
        <v>1</v>
      </c>
      <c r="F239" s="16">
        <f t="shared" si="13"/>
        <v>4374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02571</v>
      </c>
      <c r="B240" s="16">
        <f t="shared" si="13"/>
        <v>133</v>
      </c>
      <c r="C240" s="16">
        <f t="shared" si="13"/>
        <v>0</v>
      </c>
      <c r="D240" s="16">
        <f t="shared" si="13"/>
        <v>257</v>
      </c>
      <c r="E240" s="16">
        <f t="shared" si="13"/>
        <v>1</v>
      </c>
      <c r="F240" s="16">
        <f t="shared" si="13"/>
        <v>80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02581</v>
      </c>
      <c r="B241" s="16">
        <f t="shared" si="13"/>
        <v>133</v>
      </c>
      <c r="C241" s="16">
        <f t="shared" si="13"/>
        <v>0</v>
      </c>
      <c r="D241" s="16">
        <f t="shared" si="13"/>
        <v>258</v>
      </c>
      <c r="E241" s="16">
        <f t="shared" si="13"/>
        <v>1</v>
      </c>
      <c r="F241" s="16">
        <f t="shared" si="13"/>
        <v>13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02591</v>
      </c>
      <c r="B242" s="16">
        <f t="shared" si="13"/>
        <v>133</v>
      </c>
      <c r="C242" s="16">
        <f t="shared" si="13"/>
        <v>0</v>
      </c>
      <c r="D242" s="16">
        <f t="shared" si="13"/>
        <v>259</v>
      </c>
      <c r="E242" s="16">
        <f t="shared" si="13"/>
        <v>1</v>
      </c>
      <c r="F242" s="16">
        <f t="shared" si="13"/>
        <v>4374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02601</v>
      </c>
      <c r="B243" s="16">
        <f t="shared" si="13"/>
        <v>133</v>
      </c>
      <c r="C243" s="16">
        <f t="shared" si="13"/>
        <v>0</v>
      </c>
      <c r="D243" s="16">
        <f t="shared" si="13"/>
        <v>260</v>
      </c>
      <c r="E243" s="16">
        <f t="shared" si="13"/>
        <v>1</v>
      </c>
      <c r="F243" s="16">
        <f t="shared" si="13"/>
        <v>80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02611</v>
      </c>
      <c r="B244" s="16">
        <f t="shared" si="13"/>
        <v>133</v>
      </c>
      <c r="C244" s="16">
        <f t="shared" si="13"/>
        <v>0</v>
      </c>
      <c r="D244" s="16">
        <f t="shared" si="13"/>
        <v>261</v>
      </c>
      <c r="E244" s="16">
        <f t="shared" si="13"/>
        <v>1</v>
      </c>
      <c r="F244" s="16">
        <f t="shared" si="13"/>
        <v>13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03201</v>
      </c>
      <c r="B245" s="16">
        <f t="shared" si="13"/>
        <v>133</v>
      </c>
      <c r="C245" s="16">
        <f t="shared" si="13"/>
        <v>0</v>
      </c>
      <c r="D245" s="16">
        <f t="shared" si="13"/>
        <v>320</v>
      </c>
      <c r="E245" s="16">
        <f t="shared" si="13"/>
        <v>1</v>
      </c>
      <c r="F245" s="16">
        <f t="shared" si="13"/>
        <v>144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03211</v>
      </c>
      <c r="B246" s="16">
        <f t="shared" si="13"/>
        <v>133</v>
      </c>
      <c r="C246" s="16">
        <f t="shared" si="13"/>
        <v>0</v>
      </c>
      <c r="D246" s="16">
        <f t="shared" si="13"/>
        <v>321</v>
      </c>
      <c r="E246" s="16">
        <f t="shared" si="13"/>
        <v>1</v>
      </c>
      <c r="F246" s="16">
        <f t="shared" si="13"/>
        <v>48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03221</v>
      </c>
      <c r="B247" s="16">
        <f t="shared" si="13"/>
        <v>133</v>
      </c>
      <c r="C247" s="16">
        <f t="shared" si="13"/>
        <v>0</v>
      </c>
      <c r="D247" s="16">
        <f t="shared" si="13"/>
        <v>322</v>
      </c>
      <c r="E247" s="16">
        <f t="shared" si="13"/>
        <v>1</v>
      </c>
      <c r="F247" s="16">
        <f t="shared" si="13"/>
        <v>144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03231</v>
      </c>
      <c r="B248" s="16">
        <f t="shared" si="13"/>
        <v>133</v>
      </c>
      <c r="C248" s="16">
        <f t="shared" si="13"/>
        <v>0</v>
      </c>
      <c r="D248" s="16">
        <f t="shared" si="13"/>
        <v>323</v>
      </c>
      <c r="E248" s="16">
        <f t="shared" si="13"/>
        <v>1</v>
      </c>
      <c r="F248" s="16">
        <f t="shared" si="13"/>
        <v>48</v>
      </c>
      <c r="G248" s="16">
        <f t="shared" ref="B248:K272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03241</v>
      </c>
      <c r="B249" s="16">
        <f t="shared" si="14"/>
        <v>133</v>
      </c>
      <c r="C249" s="16">
        <f t="shared" si="14"/>
        <v>0</v>
      </c>
      <c r="D249" s="16">
        <f t="shared" si="14"/>
        <v>324</v>
      </c>
      <c r="E249" s="16">
        <f t="shared" si="14"/>
        <v>1</v>
      </c>
      <c r="F249" s="16">
        <f t="shared" si="14"/>
        <v>144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03251</v>
      </c>
      <c r="B250" s="16">
        <f t="shared" si="14"/>
        <v>133</v>
      </c>
      <c r="C250" s="16">
        <f t="shared" si="14"/>
        <v>0</v>
      </c>
      <c r="D250" s="16">
        <f t="shared" si="14"/>
        <v>325</v>
      </c>
      <c r="E250" s="16">
        <f t="shared" si="14"/>
        <v>1</v>
      </c>
      <c r="F250" s="16">
        <f t="shared" si="14"/>
        <v>48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03261</v>
      </c>
      <c r="B251" s="16">
        <f t="shared" si="14"/>
        <v>133</v>
      </c>
      <c r="C251" s="16">
        <f t="shared" si="14"/>
        <v>0</v>
      </c>
      <c r="D251" s="16">
        <f t="shared" si="14"/>
        <v>326</v>
      </c>
      <c r="E251" s="16">
        <f t="shared" si="14"/>
        <v>1</v>
      </c>
      <c r="F251" s="16">
        <f t="shared" si="14"/>
        <v>144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03271</v>
      </c>
      <c r="B252" s="16">
        <f t="shared" si="14"/>
        <v>133</v>
      </c>
      <c r="C252" s="16">
        <f t="shared" si="14"/>
        <v>0</v>
      </c>
      <c r="D252" s="16">
        <f t="shared" si="14"/>
        <v>327</v>
      </c>
      <c r="E252" s="16">
        <f t="shared" si="14"/>
        <v>1</v>
      </c>
      <c r="F252" s="16">
        <f t="shared" si="14"/>
        <v>48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03801</v>
      </c>
      <c r="B253" s="16">
        <f t="shared" si="14"/>
        <v>133</v>
      </c>
      <c r="C253" s="16">
        <f t="shared" si="14"/>
        <v>0</v>
      </c>
      <c r="D253" s="16">
        <f t="shared" si="14"/>
        <v>380</v>
      </c>
      <c r="E253" s="16">
        <f t="shared" si="14"/>
        <v>1</v>
      </c>
      <c r="F253" s="16">
        <f t="shared" si="14"/>
        <v>4374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03811</v>
      </c>
      <c r="B254" s="16">
        <f t="shared" si="14"/>
        <v>133</v>
      </c>
      <c r="C254" s="16">
        <f t="shared" si="14"/>
        <v>0</v>
      </c>
      <c r="D254" s="16">
        <f t="shared" si="14"/>
        <v>381</v>
      </c>
      <c r="E254" s="16">
        <f t="shared" si="14"/>
        <v>1</v>
      </c>
      <c r="F254" s="16">
        <f t="shared" si="14"/>
        <v>80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03821</v>
      </c>
      <c r="B255" s="16">
        <f t="shared" si="14"/>
        <v>133</v>
      </c>
      <c r="C255" s="16">
        <f t="shared" si="14"/>
        <v>0</v>
      </c>
      <c r="D255" s="16">
        <f t="shared" si="14"/>
        <v>382</v>
      </c>
      <c r="E255" s="16">
        <f t="shared" si="14"/>
        <v>1</v>
      </c>
      <c r="F255" s="16">
        <f t="shared" si="14"/>
        <v>13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03831</v>
      </c>
      <c r="B256" s="16">
        <f t="shared" si="14"/>
        <v>133</v>
      </c>
      <c r="C256" s="16">
        <f t="shared" si="14"/>
        <v>0</v>
      </c>
      <c r="D256" s="16">
        <f t="shared" si="14"/>
        <v>383</v>
      </c>
      <c r="E256" s="16">
        <f t="shared" si="14"/>
        <v>1</v>
      </c>
      <c r="F256" s="16">
        <f t="shared" si="14"/>
        <v>144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  <row r="257" spans="1:11">
      <c r="A257" s="15" t="str">
        <f t="shared" si="11"/>
        <v>03841</v>
      </c>
      <c r="B257" s="16">
        <f t="shared" si="14"/>
        <v>133</v>
      </c>
      <c r="C257" s="16">
        <f t="shared" si="14"/>
        <v>0</v>
      </c>
      <c r="D257" s="16">
        <f t="shared" si="14"/>
        <v>384</v>
      </c>
      <c r="E257" s="16">
        <f t="shared" si="14"/>
        <v>1</v>
      </c>
      <c r="F257" s="16">
        <f t="shared" si="14"/>
        <v>48</v>
      </c>
      <c r="G257" s="16">
        <f t="shared" si="14"/>
        <v>0</v>
      </c>
      <c r="H257" s="16">
        <f t="shared" si="14"/>
        <v>0</v>
      </c>
      <c r="I257" s="16">
        <f t="shared" si="14"/>
        <v>0</v>
      </c>
      <c r="J257" s="16">
        <f t="shared" si="14"/>
        <v>0</v>
      </c>
      <c r="K257" s="16">
        <f t="shared" si="14"/>
        <v>1</v>
      </c>
    </row>
    <row r="258" spans="1:11">
      <c r="A258" s="15" t="str">
        <f t="shared" si="11"/>
        <v>03851</v>
      </c>
      <c r="B258" s="16">
        <f t="shared" si="14"/>
        <v>133</v>
      </c>
      <c r="C258" s="16">
        <f t="shared" si="14"/>
        <v>0</v>
      </c>
      <c r="D258" s="16">
        <f t="shared" si="14"/>
        <v>385</v>
      </c>
      <c r="E258" s="16">
        <f t="shared" si="14"/>
        <v>1</v>
      </c>
      <c r="F258" s="16">
        <f t="shared" si="14"/>
        <v>144</v>
      </c>
      <c r="G258" s="16">
        <f t="shared" si="14"/>
        <v>0</v>
      </c>
      <c r="H258" s="16">
        <f t="shared" si="14"/>
        <v>0</v>
      </c>
      <c r="I258" s="16">
        <f t="shared" si="14"/>
        <v>0</v>
      </c>
      <c r="J258" s="16">
        <f t="shared" si="14"/>
        <v>0</v>
      </c>
      <c r="K258" s="16">
        <f t="shared" si="14"/>
        <v>1</v>
      </c>
    </row>
    <row r="259" spans="1:11">
      <c r="A259" s="15" t="str">
        <f t="shared" ref="A259:A272" si="15">INDIRECT(ADDRESS(ROW()+$A$1,COLUMN(),1,TRUE,$C$1))</f>
        <v>03861</v>
      </c>
      <c r="B259" s="16">
        <f t="shared" si="14"/>
        <v>133</v>
      </c>
      <c r="C259" s="16">
        <f t="shared" si="14"/>
        <v>0</v>
      </c>
      <c r="D259" s="16">
        <f t="shared" si="14"/>
        <v>386</v>
      </c>
      <c r="E259" s="16">
        <f t="shared" si="14"/>
        <v>1</v>
      </c>
      <c r="F259" s="16">
        <f t="shared" si="14"/>
        <v>48</v>
      </c>
      <c r="G259" s="16">
        <f t="shared" si="14"/>
        <v>0</v>
      </c>
      <c r="H259" s="16">
        <f t="shared" si="14"/>
        <v>0</v>
      </c>
      <c r="I259" s="16">
        <f t="shared" si="14"/>
        <v>0</v>
      </c>
      <c r="J259" s="16">
        <f t="shared" si="14"/>
        <v>0</v>
      </c>
      <c r="K259" s="16">
        <f t="shared" si="14"/>
        <v>1</v>
      </c>
    </row>
    <row r="260" spans="1:11">
      <c r="A260" s="15" t="str">
        <f t="shared" si="15"/>
        <v>03871</v>
      </c>
      <c r="B260" s="16">
        <f t="shared" si="14"/>
        <v>133</v>
      </c>
      <c r="C260" s="16">
        <f t="shared" si="14"/>
        <v>0</v>
      </c>
      <c r="D260" s="16">
        <f t="shared" si="14"/>
        <v>387</v>
      </c>
      <c r="E260" s="16">
        <f t="shared" si="14"/>
        <v>1</v>
      </c>
      <c r="F260" s="16">
        <f t="shared" si="14"/>
        <v>4374</v>
      </c>
      <c r="G260" s="16">
        <f t="shared" si="14"/>
        <v>0</v>
      </c>
      <c r="H260" s="16">
        <f t="shared" si="14"/>
        <v>0</v>
      </c>
      <c r="I260" s="16">
        <f t="shared" si="14"/>
        <v>0</v>
      </c>
      <c r="J260" s="16">
        <f t="shared" si="14"/>
        <v>0</v>
      </c>
      <c r="K260" s="16">
        <f t="shared" si="14"/>
        <v>1</v>
      </c>
    </row>
    <row r="261" spans="1:11">
      <c r="A261" s="15" t="str">
        <f t="shared" si="15"/>
        <v>03881</v>
      </c>
      <c r="B261" s="16">
        <f t="shared" si="14"/>
        <v>133</v>
      </c>
      <c r="C261" s="16">
        <f t="shared" si="14"/>
        <v>0</v>
      </c>
      <c r="D261" s="16">
        <f t="shared" si="14"/>
        <v>388</v>
      </c>
      <c r="E261" s="16">
        <f t="shared" si="14"/>
        <v>1</v>
      </c>
      <c r="F261" s="16">
        <f t="shared" si="14"/>
        <v>80</v>
      </c>
      <c r="G261" s="16">
        <f t="shared" si="14"/>
        <v>0</v>
      </c>
      <c r="H261" s="16">
        <f t="shared" si="14"/>
        <v>0</v>
      </c>
      <c r="I261" s="16">
        <f t="shared" si="14"/>
        <v>0</v>
      </c>
      <c r="J261" s="16">
        <f t="shared" si="14"/>
        <v>0</v>
      </c>
      <c r="K261" s="16">
        <f t="shared" si="14"/>
        <v>1</v>
      </c>
    </row>
    <row r="262" spans="1:11">
      <c r="A262" s="15" t="str">
        <f t="shared" si="15"/>
        <v>03891</v>
      </c>
      <c r="B262" s="16">
        <f t="shared" si="14"/>
        <v>133</v>
      </c>
      <c r="C262" s="16">
        <f t="shared" si="14"/>
        <v>0</v>
      </c>
      <c r="D262" s="16">
        <f t="shared" si="14"/>
        <v>389</v>
      </c>
      <c r="E262" s="16">
        <f t="shared" si="14"/>
        <v>1</v>
      </c>
      <c r="F262" s="16">
        <f t="shared" si="14"/>
        <v>13</v>
      </c>
      <c r="G262" s="16">
        <f t="shared" si="14"/>
        <v>0</v>
      </c>
      <c r="H262" s="16">
        <f t="shared" si="14"/>
        <v>0</v>
      </c>
      <c r="I262" s="16">
        <f t="shared" si="14"/>
        <v>0</v>
      </c>
      <c r="J262" s="16">
        <f t="shared" si="14"/>
        <v>0</v>
      </c>
      <c r="K262" s="16">
        <f t="shared" si="14"/>
        <v>1</v>
      </c>
    </row>
    <row r="263" spans="1:11">
      <c r="A263" s="15" t="str">
        <f t="shared" si="15"/>
        <v>03901</v>
      </c>
      <c r="B263" s="16">
        <f t="shared" si="14"/>
        <v>133</v>
      </c>
      <c r="C263" s="16">
        <f t="shared" si="14"/>
        <v>0</v>
      </c>
      <c r="D263" s="16">
        <f t="shared" si="14"/>
        <v>390</v>
      </c>
      <c r="E263" s="16">
        <f t="shared" si="14"/>
        <v>1</v>
      </c>
      <c r="F263" s="16">
        <f t="shared" si="14"/>
        <v>1348</v>
      </c>
      <c r="G263" s="16">
        <f t="shared" si="14"/>
        <v>0</v>
      </c>
      <c r="H263" s="16">
        <f t="shared" si="14"/>
        <v>0</v>
      </c>
      <c r="I263" s="16">
        <f t="shared" si="14"/>
        <v>0</v>
      </c>
      <c r="J263" s="16">
        <f t="shared" si="14"/>
        <v>0</v>
      </c>
      <c r="K263" s="16">
        <f t="shared" si="14"/>
        <v>1</v>
      </c>
    </row>
    <row r="264" spans="1:11">
      <c r="A264" s="15" t="str">
        <f t="shared" si="15"/>
        <v>03911</v>
      </c>
      <c r="B264" s="16">
        <f t="shared" si="14"/>
        <v>133</v>
      </c>
      <c r="C264" s="16">
        <f t="shared" si="14"/>
        <v>0</v>
      </c>
      <c r="D264" s="16">
        <f t="shared" si="14"/>
        <v>391</v>
      </c>
      <c r="E264" s="16">
        <f t="shared" si="14"/>
        <v>1</v>
      </c>
      <c r="F264" s="16">
        <f t="shared" si="14"/>
        <v>193</v>
      </c>
      <c r="G264" s="16">
        <f t="shared" si="14"/>
        <v>0</v>
      </c>
      <c r="H264" s="16">
        <f t="shared" si="14"/>
        <v>0</v>
      </c>
      <c r="I264" s="16">
        <f t="shared" si="14"/>
        <v>0</v>
      </c>
      <c r="J264" s="16">
        <f t="shared" si="14"/>
        <v>0</v>
      </c>
      <c r="K264" s="16">
        <f t="shared" si="14"/>
        <v>1</v>
      </c>
    </row>
    <row r="265" spans="1:11">
      <c r="A265" s="15" t="str">
        <f t="shared" si="15"/>
        <v>03921</v>
      </c>
      <c r="B265" s="16">
        <f t="shared" si="14"/>
        <v>133</v>
      </c>
      <c r="C265" s="16">
        <f t="shared" si="14"/>
        <v>0</v>
      </c>
      <c r="D265" s="16">
        <f t="shared" si="14"/>
        <v>392</v>
      </c>
      <c r="E265" s="16">
        <f t="shared" si="14"/>
        <v>1</v>
      </c>
      <c r="F265" s="16">
        <f t="shared" si="14"/>
        <v>228</v>
      </c>
      <c r="G265" s="16">
        <f t="shared" si="14"/>
        <v>0</v>
      </c>
      <c r="H265" s="16">
        <f t="shared" si="14"/>
        <v>0</v>
      </c>
      <c r="I265" s="16">
        <f t="shared" si="14"/>
        <v>0</v>
      </c>
      <c r="J265" s="16">
        <f t="shared" si="14"/>
        <v>0</v>
      </c>
      <c r="K265" s="16">
        <f t="shared" si="14"/>
        <v>1</v>
      </c>
    </row>
    <row r="266" spans="1:11">
      <c r="A266" s="15" t="str">
        <f t="shared" si="15"/>
        <v>03931</v>
      </c>
      <c r="B266" s="16">
        <f t="shared" si="14"/>
        <v>133</v>
      </c>
      <c r="C266" s="16">
        <f t="shared" si="14"/>
        <v>0</v>
      </c>
      <c r="D266" s="16">
        <f t="shared" si="14"/>
        <v>393</v>
      </c>
      <c r="E266" s="16">
        <f t="shared" si="14"/>
        <v>1</v>
      </c>
      <c r="F266" s="16">
        <f t="shared" si="14"/>
        <v>1540</v>
      </c>
      <c r="G266" s="16">
        <f t="shared" si="14"/>
        <v>0</v>
      </c>
      <c r="H266" s="16">
        <f t="shared" si="14"/>
        <v>0</v>
      </c>
      <c r="I266" s="16">
        <f t="shared" si="14"/>
        <v>0</v>
      </c>
      <c r="J266" s="16">
        <f t="shared" si="14"/>
        <v>0</v>
      </c>
      <c r="K266" s="16">
        <f t="shared" si="14"/>
        <v>1</v>
      </c>
    </row>
    <row r="267" spans="1:11">
      <c r="A267" s="15" t="str">
        <f t="shared" si="15"/>
        <v>03941</v>
      </c>
      <c r="B267" s="16">
        <f t="shared" si="14"/>
        <v>133</v>
      </c>
      <c r="C267" s="16">
        <f t="shared" si="14"/>
        <v>0</v>
      </c>
      <c r="D267" s="16">
        <f t="shared" si="14"/>
        <v>394</v>
      </c>
      <c r="E267" s="16">
        <f t="shared" si="14"/>
        <v>1</v>
      </c>
      <c r="F267" s="16">
        <f t="shared" si="14"/>
        <v>246</v>
      </c>
      <c r="G267" s="16">
        <f t="shared" si="14"/>
        <v>0</v>
      </c>
      <c r="H267" s="16">
        <f t="shared" si="14"/>
        <v>0</v>
      </c>
      <c r="I267" s="16">
        <f t="shared" si="14"/>
        <v>0</v>
      </c>
      <c r="J267" s="16">
        <f t="shared" si="14"/>
        <v>0</v>
      </c>
      <c r="K267" s="16">
        <f t="shared" si="14"/>
        <v>1</v>
      </c>
    </row>
    <row r="268" spans="1:11">
      <c r="A268" s="15" t="str">
        <f t="shared" si="15"/>
        <v>03951</v>
      </c>
      <c r="B268" s="16">
        <f t="shared" si="14"/>
        <v>133</v>
      </c>
      <c r="C268" s="16">
        <f t="shared" si="14"/>
        <v>0</v>
      </c>
      <c r="D268" s="16">
        <f t="shared" si="14"/>
        <v>395</v>
      </c>
      <c r="E268" s="16">
        <f t="shared" si="14"/>
        <v>1</v>
      </c>
      <c r="F268" s="16">
        <f t="shared" si="14"/>
        <v>228</v>
      </c>
      <c r="G268" s="16">
        <f t="shared" si="14"/>
        <v>0</v>
      </c>
      <c r="H268" s="16">
        <f t="shared" si="14"/>
        <v>0</v>
      </c>
      <c r="I268" s="16">
        <f t="shared" si="14"/>
        <v>0</v>
      </c>
      <c r="J268" s="16">
        <f t="shared" si="14"/>
        <v>0</v>
      </c>
      <c r="K268" s="16">
        <f t="shared" si="14"/>
        <v>1</v>
      </c>
    </row>
    <row r="269" spans="1:11">
      <c r="A269" s="15" t="str">
        <f t="shared" si="15"/>
        <v>03961</v>
      </c>
      <c r="B269" s="16">
        <f t="shared" si="14"/>
        <v>133</v>
      </c>
      <c r="C269" s="16">
        <f t="shared" si="14"/>
        <v>0</v>
      </c>
      <c r="D269" s="16">
        <f t="shared" si="14"/>
        <v>396</v>
      </c>
      <c r="E269" s="16">
        <f t="shared" si="14"/>
        <v>1</v>
      </c>
      <c r="F269" s="16">
        <f t="shared" si="14"/>
        <v>1540</v>
      </c>
      <c r="G269" s="16">
        <f t="shared" si="14"/>
        <v>0</v>
      </c>
      <c r="H269" s="16">
        <f t="shared" si="14"/>
        <v>0</v>
      </c>
      <c r="I269" s="16">
        <f t="shared" si="14"/>
        <v>0</v>
      </c>
      <c r="J269" s="16">
        <f t="shared" si="14"/>
        <v>0</v>
      </c>
      <c r="K269" s="16">
        <f t="shared" si="14"/>
        <v>1</v>
      </c>
    </row>
    <row r="270" spans="1:11">
      <c r="A270" s="15" t="str">
        <f t="shared" si="15"/>
        <v>03971</v>
      </c>
      <c r="B270" s="16">
        <f t="shared" si="14"/>
        <v>133</v>
      </c>
      <c r="C270" s="16">
        <f t="shared" si="14"/>
        <v>0</v>
      </c>
      <c r="D270" s="16">
        <f t="shared" si="14"/>
        <v>397</v>
      </c>
      <c r="E270" s="16">
        <f t="shared" si="14"/>
        <v>1</v>
      </c>
      <c r="F270" s="16">
        <f t="shared" si="14"/>
        <v>246</v>
      </c>
      <c r="G270" s="16">
        <f t="shared" si="14"/>
        <v>0</v>
      </c>
      <c r="H270" s="16">
        <f t="shared" si="14"/>
        <v>0</v>
      </c>
      <c r="I270" s="16">
        <f t="shared" si="14"/>
        <v>0</v>
      </c>
      <c r="J270" s="16">
        <f t="shared" si="14"/>
        <v>0</v>
      </c>
      <c r="K270" s="16">
        <f t="shared" si="14"/>
        <v>1</v>
      </c>
    </row>
    <row r="271" spans="1:11">
      <c r="A271" s="15" t="str">
        <f t="shared" si="15"/>
        <v>03981</v>
      </c>
      <c r="B271" s="16">
        <f t="shared" si="14"/>
        <v>133</v>
      </c>
      <c r="C271" s="16">
        <f t="shared" si="14"/>
        <v>0</v>
      </c>
      <c r="D271" s="16">
        <f t="shared" si="14"/>
        <v>398</v>
      </c>
      <c r="E271" s="16">
        <f t="shared" si="14"/>
        <v>1</v>
      </c>
      <c r="F271" s="16">
        <f t="shared" si="14"/>
        <v>1348</v>
      </c>
      <c r="G271" s="16">
        <f t="shared" si="14"/>
        <v>0</v>
      </c>
      <c r="H271" s="16">
        <f t="shared" si="14"/>
        <v>0</v>
      </c>
      <c r="I271" s="16">
        <f t="shared" si="14"/>
        <v>0</v>
      </c>
      <c r="J271" s="16">
        <f t="shared" si="14"/>
        <v>0</v>
      </c>
      <c r="K271" s="16">
        <f t="shared" si="14"/>
        <v>1</v>
      </c>
    </row>
    <row r="272" spans="1:11">
      <c r="A272" s="15" t="str">
        <f t="shared" si="15"/>
        <v>03991</v>
      </c>
      <c r="B272" s="16">
        <f t="shared" si="14"/>
        <v>133</v>
      </c>
      <c r="C272" s="16">
        <f t="shared" si="14"/>
        <v>0</v>
      </c>
      <c r="D272" s="16">
        <f t="shared" si="14"/>
        <v>399</v>
      </c>
      <c r="E272" s="16">
        <f t="shared" si="14"/>
        <v>1</v>
      </c>
      <c r="F272" s="16">
        <f t="shared" si="14"/>
        <v>193</v>
      </c>
      <c r="G272" s="16">
        <f t="shared" si="14"/>
        <v>0</v>
      </c>
      <c r="H272" s="16">
        <f t="shared" si="14"/>
        <v>0</v>
      </c>
      <c r="I272" s="16">
        <f t="shared" si="14"/>
        <v>0</v>
      </c>
      <c r="J272" s="16">
        <f t="shared" si="14"/>
        <v>0</v>
      </c>
      <c r="K272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K27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M24" sqref="M24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gacha_unit_tables_134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134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2100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134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2100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134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2100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134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2100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134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2100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134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2100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134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2100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134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2100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134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2100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134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2100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134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2100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134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2100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134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2100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134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2100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134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2100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134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2100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134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2100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134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2100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134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2100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134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2100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134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2076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134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2076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134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2076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134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2076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134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2076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134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2076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134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2076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134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2076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134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2076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134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2076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134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2076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134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2076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134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2076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134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2076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134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2076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134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2076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134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2076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134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2076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134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2076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134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2076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134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200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134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200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134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200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134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200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134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174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134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174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134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174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134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174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134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174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134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174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134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174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134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174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134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174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134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174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134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174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134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174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134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174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134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174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134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174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134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174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134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174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134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174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134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174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134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174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134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8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134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8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134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134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8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134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200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134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8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134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200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134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8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134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200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134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8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134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200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134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8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134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200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134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8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134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200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134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8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134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200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134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8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134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200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134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8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134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120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134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5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134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120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134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5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134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120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134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5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134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120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134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5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134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200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134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8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134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120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134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134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120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134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5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134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200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134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8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13901</v>
      </c>
      <c r="B103" s="16">
        <f t="shared" si="6"/>
        <v>134</v>
      </c>
      <c r="C103" s="16">
        <f t="shared" si="6"/>
        <v>1</v>
      </c>
      <c r="D103" s="16">
        <f t="shared" si="6"/>
        <v>390</v>
      </c>
      <c r="E103" s="16">
        <f t="shared" si="6"/>
        <v>1</v>
      </c>
      <c r="F103" s="16">
        <f t="shared" si="6"/>
        <v>960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13911</v>
      </c>
      <c r="B104" s="16">
        <f t="shared" si="6"/>
        <v>134</v>
      </c>
      <c r="C104" s="16">
        <f t="shared" si="6"/>
        <v>1</v>
      </c>
      <c r="D104" s="16">
        <f t="shared" si="6"/>
        <v>391</v>
      </c>
      <c r="E104" s="16">
        <f t="shared" si="6"/>
        <v>1</v>
      </c>
      <c r="F104" s="16">
        <f t="shared" si="6"/>
        <v>40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13931</v>
      </c>
      <c r="B105" s="16">
        <f t="shared" si="6"/>
        <v>134</v>
      </c>
      <c r="C105" s="16">
        <f t="shared" si="6"/>
        <v>1</v>
      </c>
      <c r="D105" s="16">
        <f t="shared" si="6"/>
        <v>393</v>
      </c>
      <c r="E105" s="16">
        <f t="shared" si="6"/>
        <v>1</v>
      </c>
      <c r="F105" s="16">
        <f t="shared" si="6"/>
        <v>3840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13941</v>
      </c>
      <c r="B106" s="16">
        <f t="shared" si="6"/>
        <v>134</v>
      </c>
      <c r="C106" s="16">
        <f t="shared" si="6"/>
        <v>1</v>
      </c>
      <c r="D106" s="16">
        <f t="shared" si="6"/>
        <v>394</v>
      </c>
      <c r="E106" s="16">
        <f t="shared" si="6"/>
        <v>1</v>
      </c>
      <c r="F106" s="16">
        <f t="shared" si="6"/>
        <v>160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13961</v>
      </c>
      <c r="B107" s="16">
        <f t="shared" si="6"/>
        <v>134</v>
      </c>
      <c r="C107" s="16">
        <f t="shared" si="6"/>
        <v>1</v>
      </c>
      <c r="D107" s="16">
        <f t="shared" si="6"/>
        <v>396</v>
      </c>
      <c r="E107" s="16">
        <f t="shared" si="6"/>
        <v>1</v>
      </c>
      <c r="F107" s="16">
        <f t="shared" si="6"/>
        <v>3840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13971</v>
      </c>
      <c r="B108" s="16">
        <f t="shared" si="6"/>
        <v>134</v>
      </c>
      <c r="C108" s="16">
        <f t="shared" si="6"/>
        <v>1</v>
      </c>
      <c r="D108" s="16">
        <f t="shared" si="6"/>
        <v>397</v>
      </c>
      <c r="E108" s="16">
        <f t="shared" si="6"/>
        <v>1</v>
      </c>
      <c r="F108" s="16">
        <f t="shared" si="6"/>
        <v>160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01261</v>
      </c>
      <c r="B109" s="16">
        <f t="shared" si="6"/>
        <v>134</v>
      </c>
      <c r="C109" s="16">
        <f t="shared" si="6"/>
        <v>0</v>
      </c>
      <c r="D109" s="16">
        <f t="shared" si="6"/>
        <v>126</v>
      </c>
      <c r="E109" s="16">
        <f t="shared" si="6"/>
        <v>1</v>
      </c>
      <c r="F109" s="16">
        <f t="shared" si="6"/>
        <v>2433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01281</v>
      </c>
      <c r="B110" s="16">
        <f t="shared" si="6"/>
        <v>134</v>
      </c>
      <c r="C110" s="16">
        <f t="shared" si="6"/>
        <v>0</v>
      </c>
      <c r="D110" s="16">
        <f t="shared" si="6"/>
        <v>128</v>
      </c>
      <c r="E110" s="16">
        <f t="shared" si="6"/>
        <v>1</v>
      </c>
      <c r="F110" s="16">
        <f t="shared" si="6"/>
        <v>2433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01301</v>
      </c>
      <c r="B111" s="16">
        <f t="shared" si="6"/>
        <v>134</v>
      </c>
      <c r="C111" s="16">
        <f t="shared" si="6"/>
        <v>0</v>
      </c>
      <c r="D111" s="16">
        <f t="shared" si="6"/>
        <v>130</v>
      </c>
      <c r="E111" s="16">
        <f t="shared" si="6"/>
        <v>1</v>
      </c>
      <c r="F111" s="16">
        <f t="shared" si="6"/>
        <v>2433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01321</v>
      </c>
      <c r="B112" s="16">
        <f t="shared" si="6"/>
        <v>134</v>
      </c>
      <c r="C112" s="16">
        <f t="shared" si="6"/>
        <v>0</v>
      </c>
      <c r="D112" s="16">
        <f t="shared" si="6"/>
        <v>132</v>
      </c>
      <c r="E112" s="16">
        <f t="shared" si="6"/>
        <v>1</v>
      </c>
      <c r="F112" s="16">
        <f t="shared" si="6"/>
        <v>2433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01341</v>
      </c>
      <c r="B113" s="16">
        <f t="shared" si="6"/>
        <v>134</v>
      </c>
      <c r="C113" s="16">
        <f t="shared" si="6"/>
        <v>0</v>
      </c>
      <c r="D113" s="16">
        <f t="shared" si="6"/>
        <v>134</v>
      </c>
      <c r="E113" s="16">
        <f t="shared" si="6"/>
        <v>1</v>
      </c>
      <c r="F113" s="16">
        <f t="shared" si="6"/>
        <v>2433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01361</v>
      </c>
      <c r="B114" s="16">
        <f t="shared" si="6"/>
        <v>134</v>
      </c>
      <c r="C114" s="16">
        <f t="shared" si="6"/>
        <v>0</v>
      </c>
      <c r="D114" s="16">
        <f t="shared" si="6"/>
        <v>136</v>
      </c>
      <c r="E114" s="16">
        <f t="shared" si="6"/>
        <v>1</v>
      </c>
      <c r="F114" s="16">
        <f t="shared" si="6"/>
        <v>2433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01381</v>
      </c>
      <c r="B115" s="16">
        <f t="shared" si="6"/>
        <v>134</v>
      </c>
      <c r="C115" s="16">
        <f t="shared" si="6"/>
        <v>0</v>
      </c>
      <c r="D115" s="16">
        <f t="shared" si="6"/>
        <v>138</v>
      </c>
      <c r="E115" s="16">
        <f t="shared" si="6"/>
        <v>1</v>
      </c>
      <c r="F115" s="16">
        <f t="shared" si="6"/>
        <v>2433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01401</v>
      </c>
      <c r="B116" s="16">
        <f t="shared" si="6"/>
        <v>134</v>
      </c>
      <c r="C116" s="16">
        <f t="shared" si="6"/>
        <v>0</v>
      </c>
      <c r="D116" s="16">
        <f t="shared" si="6"/>
        <v>140</v>
      </c>
      <c r="E116" s="16">
        <f t="shared" si="6"/>
        <v>1</v>
      </c>
      <c r="F116" s="16">
        <f t="shared" si="6"/>
        <v>2433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01421</v>
      </c>
      <c r="B117" s="16">
        <f t="shared" si="6"/>
        <v>134</v>
      </c>
      <c r="C117" s="16">
        <f t="shared" si="6"/>
        <v>0</v>
      </c>
      <c r="D117" s="16">
        <f t="shared" si="6"/>
        <v>142</v>
      </c>
      <c r="E117" s="16">
        <f t="shared" si="6"/>
        <v>1</v>
      </c>
      <c r="F117" s="16">
        <f t="shared" si="6"/>
        <v>2433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01441</v>
      </c>
      <c r="B118" s="16">
        <f t="shared" si="6"/>
        <v>134</v>
      </c>
      <c r="C118" s="16">
        <f t="shared" si="6"/>
        <v>0</v>
      </c>
      <c r="D118" s="16">
        <f t="shared" si="6"/>
        <v>144</v>
      </c>
      <c r="E118" s="16">
        <f t="shared" si="6"/>
        <v>1</v>
      </c>
      <c r="F118" s="16">
        <f t="shared" si="6"/>
        <v>2433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01461</v>
      </c>
      <c r="B119" s="16">
        <f t="shared" si="6"/>
        <v>134</v>
      </c>
      <c r="C119" s="16">
        <f t="shared" si="6"/>
        <v>0</v>
      </c>
      <c r="D119" s="16">
        <f t="shared" si="6"/>
        <v>146</v>
      </c>
      <c r="E119" s="16">
        <f t="shared" si="6"/>
        <v>1</v>
      </c>
      <c r="F119" s="16">
        <f t="shared" si="6"/>
        <v>2433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01481</v>
      </c>
      <c r="B120" s="16">
        <f t="shared" si="6"/>
        <v>134</v>
      </c>
      <c r="C120" s="16">
        <f t="shared" si="6"/>
        <v>0</v>
      </c>
      <c r="D120" s="16">
        <f t="shared" si="6"/>
        <v>148</v>
      </c>
      <c r="E120" s="16">
        <f t="shared" si="6"/>
        <v>1</v>
      </c>
      <c r="F120" s="16">
        <f t="shared" si="6"/>
        <v>2433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01501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134</v>
      </c>
      <c r="C121" s="16">
        <f t="shared" si="7"/>
        <v>0</v>
      </c>
      <c r="D121" s="16">
        <f t="shared" si="7"/>
        <v>150</v>
      </c>
      <c r="E121" s="16">
        <f t="shared" si="7"/>
        <v>1</v>
      </c>
      <c r="F121" s="16">
        <f t="shared" si="7"/>
        <v>2433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01521</v>
      </c>
      <c r="B122" s="16">
        <f t="shared" si="7"/>
        <v>134</v>
      </c>
      <c r="C122" s="16">
        <f t="shared" si="7"/>
        <v>0</v>
      </c>
      <c r="D122" s="16">
        <f t="shared" si="7"/>
        <v>152</v>
      </c>
      <c r="E122" s="16">
        <f t="shared" si="7"/>
        <v>1</v>
      </c>
      <c r="F122" s="16">
        <f t="shared" si="7"/>
        <v>2433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01541</v>
      </c>
      <c r="B123" s="16">
        <f t="shared" si="7"/>
        <v>134</v>
      </c>
      <c r="C123" s="16">
        <f t="shared" si="7"/>
        <v>0</v>
      </c>
      <c r="D123" s="16">
        <f t="shared" si="7"/>
        <v>154</v>
      </c>
      <c r="E123" s="16">
        <f t="shared" si="7"/>
        <v>1</v>
      </c>
      <c r="F123" s="16">
        <f t="shared" si="7"/>
        <v>2433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01561</v>
      </c>
      <c r="B124" s="16">
        <f t="shared" si="7"/>
        <v>134</v>
      </c>
      <c r="C124" s="16">
        <f t="shared" si="7"/>
        <v>0</v>
      </c>
      <c r="D124" s="16">
        <f t="shared" si="7"/>
        <v>156</v>
      </c>
      <c r="E124" s="16">
        <f t="shared" si="7"/>
        <v>1</v>
      </c>
      <c r="F124" s="16">
        <f t="shared" si="7"/>
        <v>2433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01581</v>
      </c>
      <c r="B125" s="16">
        <f t="shared" si="7"/>
        <v>134</v>
      </c>
      <c r="C125" s="16">
        <f t="shared" si="7"/>
        <v>0</v>
      </c>
      <c r="D125" s="16">
        <f t="shared" si="7"/>
        <v>158</v>
      </c>
      <c r="E125" s="16">
        <f t="shared" si="7"/>
        <v>1</v>
      </c>
      <c r="F125" s="16">
        <f t="shared" si="7"/>
        <v>2433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01601</v>
      </c>
      <c r="B126" s="16">
        <f t="shared" si="7"/>
        <v>134</v>
      </c>
      <c r="C126" s="16">
        <f t="shared" si="7"/>
        <v>0</v>
      </c>
      <c r="D126" s="16">
        <f t="shared" si="7"/>
        <v>160</v>
      </c>
      <c r="E126" s="16">
        <f t="shared" si="7"/>
        <v>1</v>
      </c>
      <c r="F126" s="16">
        <f t="shared" si="7"/>
        <v>2433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01621</v>
      </c>
      <c r="B127" s="16">
        <f t="shared" si="7"/>
        <v>134</v>
      </c>
      <c r="C127" s="16">
        <f t="shared" si="7"/>
        <v>0</v>
      </c>
      <c r="D127" s="16">
        <f t="shared" si="7"/>
        <v>162</v>
      </c>
      <c r="E127" s="16">
        <f t="shared" si="7"/>
        <v>1</v>
      </c>
      <c r="F127" s="16">
        <f t="shared" si="7"/>
        <v>2433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01641</v>
      </c>
      <c r="B128" s="16">
        <f t="shared" si="7"/>
        <v>134</v>
      </c>
      <c r="C128" s="16">
        <f t="shared" si="7"/>
        <v>0</v>
      </c>
      <c r="D128" s="16">
        <f t="shared" si="7"/>
        <v>164</v>
      </c>
      <c r="E128" s="16">
        <f t="shared" si="7"/>
        <v>1</v>
      </c>
      <c r="F128" s="16">
        <f t="shared" si="7"/>
        <v>2433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01661</v>
      </c>
      <c r="B129" s="16">
        <f t="shared" si="7"/>
        <v>134</v>
      </c>
      <c r="C129" s="16">
        <f t="shared" si="7"/>
        <v>0</v>
      </c>
      <c r="D129" s="16">
        <f t="shared" si="7"/>
        <v>166</v>
      </c>
      <c r="E129" s="16">
        <f t="shared" si="7"/>
        <v>1</v>
      </c>
      <c r="F129" s="16">
        <f t="shared" si="7"/>
        <v>2460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01691</v>
      </c>
      <c r="B130" s="16">
        <f t="shared" si="7"/>
        <v>134</v>
      </c>
      <c r="C130" s="16">
        <f t="shared" si="7"/>
        <v>0</v>
      </c>
      <c r="D130" s="16">
        <f t="shared" si="7"/>
        <v>169</v>
      </c>
      <c r="E130" s="16">
        <f t="shared" si="7"/>
        <v>1</v>
      </c>
      <c r="F130" s="16">
        <f t="shared" si="7"/>
        <v>2460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01721</v>
      </c>
      <c r="B131" s="16">
        <f t="shared" si="7"/>
        <v>134</v>
      </c>
      <c r="C131" s="16">
        <f t="shared" si="7"/>
        <v>0</v>
      </c>
      <c r="D131" s="16">
        <f t="shared" si="7"/>
        <v>172</v>
      </c>
      <c r="E131" s="16">
        <f t="shared" si="7"/>
        <v>1</v>
      </c>
      <c r="F131" s="16">
        <f t="shared" si="7"/>
        <v>2460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01751</v>
      </c>
      <c r="B132" s="16">
        <f t="shared" si="7"/>
        <v>134</v>
      </c>
      <c r="C132" s="16">
        <f t="shared" si="7"/>
        <v>0</v>
      </c>
      <c r="D132" s="16">
        <f t="shared" si="7"/>
        <v>175</v>
      </c>
      <c r="E132" s="16">
        <f t="shared" si="7"/>
        <v>1</v>
      </c>
      <c r="F132" s="16">
        <f t="shared" si="7"/>
        <v>2460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01781</v>
      </c>
      <c r="B133" s="16">
        <f t="shared" si="7"/>
        <v>134</v>
      </c>
      <c r="C133" s="16">
        <f t="shared" si="7"/>
        <v>0</v>
      </c>
      <c r="D133" s="16">
        <f t="shared" si="7"/>
        <v>178</v>
      </c>
      <c r="E133" s="16">
        <f t="shared" si="7"/>
        <v>1</v>
      </c>
      <c r="F133" s="16">
        <f t="shared" si="7"/>
        <v>2460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01811</v>
      </c>
      <c r="B134" s="16">
        <f t="shared" si="7"/>
        <v>134</v>
      </c>
      <c r="C134" s="16">
        <f t="shared" si="7"/>
        <v>0</v>
      </c>
      <c r="D134" s="16">
        <f t="shared" si="7"/>
        <v>181</v>
      </c>
      <c r="E134" s="16">
        <f t="shared" si="7"/>
        <v>1</v>
      </c>
      <c r="F134" s="16">
        <f t="shared" si="7"/>
        <v>2460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01841</v>
      </c>
      <c r="B135" s="16">
        <f t="shared" si="7"/>
        <v>134</v>
      </c>
      <c r="C135" s="16">
        <f t="shared" si="7"/>
        <v>0</v>
      </c>
      <c r="D135" s="16">
        <f t="shared" si="7"/>
        <v>184</v>
      </c>
      <c r="E135" s="16">
        <f t="shared" si="7"/>
        <v>1</v>
      </c>
      <c r="F135" s="16">
        <f t="shared" si="7"/>
        <v>2460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01871</v>
      </c>
      <c r="B136" s="16">
        <f t="shared" si="7"/>
        <v>134</v>
      </c>
      <c r="C136" s="16">
        <f t="shared" si="7"/>
        <v>0</v>
      </c>
      <c r="D136" s="16">
        <f t="shared" si="7"/>
        <v>187</v>
      </c>
      <c r="E136" s="16">
        <f t="shared" si="7"/>
        <v>1</v>
      </c>
      <c r="F136" s="16">
        <f t="shared" si="7"/>
        <v>2460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01901</v>
      </c>
      <c r="B137" s="16">
        <f t="shared" si="7"/>
        <v>134</v>
      </c>
      <c r="C137" s="16">
        <f t="shared" si="7"/>
        <v>0</v>
      </c>
      <c r="D137" s="16">
        <f t="shared" si="7"/>
        <v>190</v>
      </c>
      <c r="E137" s="16">
        <f t="shared" si="7"/>
        <v>1</v>
      </c>
      <c r="F137" s="16">
        <f t="shared" si="7"/>
        <v>2460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01931</v>
      </c>
      <c r="B138" s="16">
        <f t="shared" si="7"/>
        <v>134</v>
      </c>
      <c r="C138" s="16">
        <f t="shared" si="7"/>
        <v>0</v>
      </c>
      <c r="D138" s="16">
        <f t="shared" si="7"/>
        <v>193</v>
      </c>
      <c r="E138" s="16">
        <f t="shared" si="7"/>
        <v>1</v>
      </c>
      <c r="F138" s="16">
        <f t="shared" si="7"/>
        <v>2460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01961</v>
      </c>
      <c r="B139" s="16">
        <f t="shared" si="7"/>
        <v>134</v>
      </c>
      <c r="C139" s="16">
        <f t="shared" si="7"/>
        <v>0</v>
      </c>
      <c r="D139" s="16">
        <f t="shared" si="7"/>
        <v>196</v>
      </c>
      <c r="E139" s="16">
        <f t="shared" si="7"/>
        <v>1</v>
      </c>
      <c r="F139" s="16">
        <f t="shared" si="7"/>
        <v>2460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01991</v>
      </c>
      <c r="B140" s="16">
        <f t="shared" si="7"/>
        <v>134</v>
      </c>
      <c r="C140" s="16">
        <f t="shared" si="7"/>
        <v>0</v>
      </c>
      <c r="D140" s="16">
        <f t="shared" si="7"/>
        <v>199</v>
      </c>
      <c r="E140" s="16">
        <f t="shared" si="7"/>
        <v>1</v>
      </c>
      <c r="F140" s="16">
        <f t="shared" si="7"/>
        <v>2460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02021</v>
      </c>
      <c r="B141" s="16">
        <f t="shared" si="7"/>
        <v>134</v>
      </c>
      <c r="C141" s="16">
        <f t="shared" si="7"/>
        <v>0</v>
      </c>
      <c r="D141" s="16">
        <f t="shared" si="7"/>
        <v>202</v>
      </c>
      <c r="E141" s="16">
        <f t="shared" si="7"/>
        <v>1</v>
      </c>
      <c r="F141" s="16">
        <f t="shared" si="7"/>
        <v>2460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02051</v>
      </c>
      <c r="B142" s="16">
        <f t="shared" si="7"/>
        <v>134</v>
      </c>
      <c r="C142" s="16">
        <f t="shared" si="7"/>
        <v>0</v>
      </c>
      <c r="D142" s="16">
        <f t="shared" si="7"/>
        <v>205</v>
      </c>
      <c r="E142" s="16">
        <f t="shared" si="7"/>
        <v>1</v>
      </c>
      <c r="F142" s="16">
        <f t="shared" si="7"/>
        <v>2460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02081</v>
      </c>
      <c r="B143" s="16">
        <f t="shared" si="7"/>
        <v>134</v>
      </c>
      <c r="C143" s="16">
        <f t="shared" si="7"/>
        <v>0</v>
      </c>
      <c r="D143" s="16">
        <f t="shared" si="7"/>
        <v>208</v>
      </c>
      <c r="E143" s="16">
        <f t="shared" si="7"/>
        <v>1</v>
      </c>
      <c r="F143" s="16">
        <f t="shared" si="7"/>
        <v>2460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02111</v>
      </c>
      <c r="B144" s="16">
        <f t="shared" si="7"/>
        <v>134</v>
      </c>
      <c r="C144" s="16">
        <f t="shared" si="7"/>
        <v>0</v>
      </c>
      <c r="D144" s="16">
        <f t="shared" si="7"/>
        <v>211</v>
      </c>
      <c r="E144" s="16">
        <f t="shared" si="7"/>
        <v>1</v>
      </c>
      <c r="F144" s="16">
        <f t="shared" si="7"/>
        <v>2460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02141</v>
      </c>
      <c r="B145" s="16">
        <f t="shared" si="7"/>
        <v>134</v>
      </c>
      <c r="C145" s="16">
        <f t="shared" si="7"/>
        <v>0</v>
      </c>
      <c r="D145" s="16">
        <f t="shared" si="7"/>
        <v>214</v>
      </c>
      <c r="E145" s="16">
        <f t="shared" si="7"/>
        <v>1</v>
      </c>
      <c r="F145" s="16">
        <f t="shared" si="7"/>
        <v>2460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02171</v>
      </c>
      <c r="B146" s="16">
        <f t="shared" si="7"/>
        <v>134</v>
      </c>
      <c r="C146" s="16">
        <f t="shared" si="7"/>
        <v>0</v>
      </c>
      <c r="D146" s="16">
        <f t="shared" si="7"/>
        <v>217</v>
      </c>
      <c r="E146" s="16">
        <f t="shared" si="7"/>
        <v>1</v>
      </c>
      <c r="F146" s="16">
        <f t="shared" si="7"/>
        <v>2460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02201</v>
      </c>
      <c r="B147" s="16">
        <f t="shared" si="9"/>
        <v>134</v>
      </c>
      <c r="C147" s="16">
        <f t="shared" si="9"/>
        <v>0</v>
      </c>
      <c r="D147" s="16">
        <f t="shared" si="9"/>
        <v>220</v>
      </c>
      <c r="E147" s="16">
        <f t="shared" si="9"/>
        <v>1</v>
      </c>
      <c r="F147" s="16">
        <f t="shared" si="9"/>
        <v>2460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02231</v>
      </c>
      <c r="B148" s="16">
        <f t="shared" si="9"/>
        <v>134</v>
      </c>
      <c r="C148" s="16">
        <f t="shared" si="9"/>
        <v>0</v>
      </c>
      <c r="D148" s="16">
        <f t="shared" si="9"/>
        <v>223</v>
      </c>
      <c r="E148" s="16">
        <f t="shared" si="9"/>
        <v>1</v>
      </c>
      <c r="F148" s="16">
        <f t="shared" si="9"/>
        <v>2460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02261</v>
      </c>
      <c r="B149" s="16">
        <f t="shared" si="9"/>
        <v>134</v>
      </c>
      <c r="C149" s="16">
        <f t="shared" si="9"/>
        <v>0</v>
      </c>
      <c r="D149" s="16">
        <f t="shared" si="9"/>
        <v>226</v>
      </c>
      <c r="E149" s="16">
        <f t="shared" si="9"/>
        <v>1</v>
      </c>
      <c r="F149" s="16">
        <f t="shared" si="9"/>
        <v>4374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02291</v>
      </c>
      <c r="B150" s="16">
        <f t="shared" si="9"/>
        <v>134</v>
      </c>
      <c r="C150" s="16">
        <f t="shared" si="9"/>
        <v>0</v>
      </c>
      <c r="D150" s="16">
        <f t="shared" si="9"/>
        <v>229</v>
      </c>
      <c r="E150" s="16">
        <f t="shared" si="9"/>
        <v>1</v>
      </c>
      <c r="F150" s="16">
        <f t="shared" si="9"/>
        <v>4374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02321</v>
      </c>
      <c r="B151" s="16">
        <f t="shared" si="9"/>
        <v>134</v>
      </c>
      <c r="C151" s="16">
        <f t="shared" si="9"/>
        <v>0</v>
      </c>
      <c r="D151" s="16">
        <f t="shared" si="9"/>
        <v>232</v>
      </c>
      <c r="E151" s="16">
        <f t="shared" si="9"/>
        <v>1</v>
      </c>
      <c r="F151" s="16">
        <f t="shared" si="9"/>
        <v>4374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02351</v>
      </c>
      <c r="B152" s="16">
        <f t="shared" si="9"/>
        <v>134</v>
      </c>
      <c r="C152" s="16">
        <f t="shared" si="9"/>
        <v>0</v>
      </c>
      <c r="D152" s="16">
        <f t="shared" si="9"/>
        <v>235</v>
      </c>
      <c r="E152" s="16">
        <f t="shared" si="9"/>
        <v>1</v>
      </c>
      <c r="F152" s="16">
        <f t="shared" si="9"/>
        <v>4374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01271</v>
      </c>
      <c r="B153" s="16">
        <f t="shared" si="9"/>
        <v>134</v>
      </c>
      <c r="C153" s="16">
        <f t="shared" si="9"/>
        <v>0</v>
      </c>
      <c r="D153" s="16">
        <f t="shared" si="9"/>
        <v>127</v>
      </c>
      <c r="E153" s="16">
        <f t="shared" si="9"/>
        <v>1</v>
      </c>
      <c r="F153" s="16">
        <f t="shared" si="9"/>
        <v>801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01291</v>
      </c>
      <c r="B154" s="16">
        <f t="shared" si="9"/>
        <v>134</v>
      </c>
      <c r="C154" s="16">
        <f t="shared" si="9"/>
        <v>0</v>
      </c>
      <c r="D154" s="16">
        <f t="shared" si="9"/>
        <v>129</v>
      </c>
      <c r="E154" s="16">
        <f t="shared" si="9"/>
        <v>1</v>
      </c>
      <c r="F154" s="16">
        <f t="shared" si="9"/>
        <v>801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01311</v>
      </c>
      <c r="B155" s="16">
        <f t="shared" si="9"/>
        <v>134</v>
      </c>
      <c r="C155" s="16">
        <f t="shared" si="9"/>
        <v>0</v>
      </c>
      <c r="D155" s="16">
        <f t="shared" si="9"/>
        <v>131</v>
      </c>
      <c r="E155" s="16">
        <f t="shared" si="9"/>
        <v>1</v>
      </c>
      <c r="F155" s="16">
        <f t="shared" si="9"/>
        <v>801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01331</v>
      </c>
      <c r="B156" s="16">
        <f t="shared" si="9"/>
        <v>134</v>
      </c>
      <c r="C156" s="16">
        <f t="shared" si="9"/>
        <v>0</v>
      </c>
      <c r="D156" s="16">
        <f t="shared" si="9"/>
        <v>133</v>
      </c>
      <c r="E156" s="16">
        <f t="shared" si="9"/>
        <v>1</v>
      </c>
      <c r="F156" s="16">
        <f t="shared" si="9"/>
        <v>801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01351</v>
      </c>
      <c r="B157" s="16">
        <f t="shared" si="9"/>
        <v>134</v>
      </c>
      <c r="C157" s="16">
        <f t="shared" si="9"/>
        <v>0</v>
      </c>
      <c r="D157" s="16">
        <f t="shared" si="9"/>
        <v>135</v>
      </c>
      <c r="E157" s="16">
        <f t="shared" si="9"/>
        <v>1</v>
      </c>
      <c r="F157" s="16">
        <f t="shared" si="9"/>
        <v>801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01371</v>
      </c>
      <c r="B158" s="16">
        <f t="shared" si="9"/>
        <v>134</v>
      </c>
      <c r="C158" s="16">
        <f t="shared" si="9"/>
        <v>0</v>
      </c>
      <c r="D158" s="16">
        <f t="shared" si="9"/>
        <v>137</v>
      </c>
      <c r="E158" s="16">
        <f t="shared" si="9"/>
        <v>1</v>
      </c>
      <c r="F158" s="16">
        <f t="shared" si="9"/>
        <v>801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01391</v>
      </c>
      <c r="B159" s="16">
        <f t="shared" si="9"/>
        <v>134</v>
      </c>
      <c r="C159" s="16">
        <f t="shared" si="9"/>
        <v>0</v>
      </c>
      <c r="D159" s="16">
        <f t="shared" si="9"/>
        <v>139</v>
      </c>
      <c r="E159" s="16">
        <f t="shared" si="9"/>
        <v>1</v>
      </c>
      <c r="F159" s="16">
        <f t="shared" si="9"/>
        <v>801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01411</v>
      </c>
      <c r="B160" s="16">
        <f t="shared" si="9"/>
        <v>134</v>
      </c>
      <c r="C160" s="16">
        <f t="shared" si="9"/>
        <v>0</v>
      </c>
      <c r="D160" s="16">
        <f t="shared" si="9"/>
        <v>141</v>
      </c>
      <c r="E160" s="16">
        <f t="shared" si="9"/>
        <v>1</v>
      </c>
      <c r="F160" s="16">
        <f t="shared" si="9"/>
        <v>801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01431</v>
      </c>
      <c r="B161" s="16">
        <f t="shared" si="9"/>
        <v>134</v>
      </c>
      <c r="C161" s="16">
        <f t="shared" si="9"/>
        <v>0</v>
      </c>
      <c r="D161" s="16">
        <f t="shared" si="9"/>
        <v>143</v>
      </c>
      <c r="E161" s="16">
        <f t="shared" si="9"/>
        <v>1</v>
      </c>
      <c r="F161" s="16">
        <f t="shared" si="9"/>
        <v>801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01451</v>
      </c>
      <c r="B162" s="16">
        <f t="shared" si="9"/>
        <v>134</v>
      </c>
      <c r="C162" s="16">
        <f t="shared" si="9"/>
        <v>0</v>
      </c>
      <c r="D162" s="16">
        <f t="shared" si="9"/>
        <v>145</v>
      </c>
      <c r="E162" s="16">
        <f t="shared" si="9"/>
        <v>1</v>
      </c>
      <c r="F162" s="16">
        <f t="shared" si="9"/>
        <v>801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01471</v>
      </c>
      <c r="B163" s="16">
        <f t="shared" si="9"/>
        <v>134</v>
      </c>
      <c r="C163" s="16">
        <f t="shared" si="9"/>
        <v>0</v>
      </c>
      <c r="D163" s="16">
        <f t="shared" si="9"/>
        <v>147</v>
      </c>
      <c r="E163" s="16">
        <f t="shared" si="9"/>
        <v>1</v>
      </c>
      <c r="F163" s="16">
        <f t="shared" si="9"/>
        <v>801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01491</v>
      </c>
      <c r="B164" s="16">
        <f t="shared" si="9"/>
        <v>134</v>
      </c>
      <c r="C164" s="16">
        <f t="shared" si="9"/>
        <v>0</v>
      </c>
      <c r="D164" s="16">
        <f t="shared" si="9"/>
        <v>149</v>
      </c>
      <c r="E164" s="16">
        <f t="shared" si="9"/>
        <v>1</v>
      </c>
      <c r="F164" s="16">
        <f t="shared" si="9"/>
        <v>801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01511</v>
      </c>
      <c r="B165" s="16">
        <f t="shared" si="9"/>
        <v>134</v>
      </c>
      <c r="C165" s="16">
        <f t="shared" si="9"/>
        <v>0</v>
      </c>
      <c r="D165" s="16">
        <f t="shared" si="9"/>
        <v>151</v>
      </c>
      <c r="E165" s="16">
        <f t="shared" si="9"/>
        <v>1</v>
      </c>
      <c r="F165" s="16">
        <f t="shared" si="9"/>
        <v>801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01531</v>
      </c>
      <c r="B166" s="16">
        <f t="shared" si="9"/>
        <v>134</v>
      </c>
      <c r="C166" s="16">
        <f t="shared" si="9"/>
        <v>0</v>
      </c>
      <c r="D166" s="16">
        <f t="shared" si="9"/>
        <v>153</v>
      </c>
      <c r="E166" s="16">
        <f t="shared" si="9"/>
        <v>1</v>
      </c>
      <c r="F166" s="16">
        <f t="shared" si="9"/>
        <v>801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01551</v>
      </c>
      <c r="B167" s="16">
        <f t="shared" si="9"/>
        <v>134</v>
      </c>
      <c r="C167" s="16">
        <f t="shared" si="9"/>
        <v>0</v>
      </c>
      <c r="D167" s="16">
        <f t="shared" si="9"/>
        <v>155</v>
      </c>
      <c r="E167" s="16">
        <f t="shared" si="9"/>
        <v>1</v>
      </c>
      <c r="F167" s="16">
        <f t="shared" si="9"/>
        <v>801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01571</v>
      </c>
      <c r="B168" s="16">
        <f t="shared" si="9"/>
        <v>134</v>
      </c>
      <c r="C168" s="16">
        <f t="shared" si="9"/>
        <v>0</v>
      </c>
      <c r="D168" s="16">
        <f t="shared" si="9"/>
        <v>157</v>
      </c>
      <c r="E168" s="16">
        <f t="shared" si="9"/>
        <v>1</v>
      </c>
      <c r="F168" s="16">
        <f t="shared" si="9"/>
        <v>801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01591</v>
      </c>
      <c r="B169" s="16">
        <f t="shared" si="9"/>
        <v>134</v>
      </c>
      <c r="C169" s="16">
        <f t="shared" si="9"/>
        <v>0</v>
      </c>
      <c r="D169" s="16">
        <f t="shared" si="9"/>
        <v>159</v>
      </c>
      <c r="E169" s="16">
        <f t="shared" si="9"/>
        <v>1</v>
      </c>
      <c r="F169" s="16">
        <f t="shared" si="9"/>
        <v>801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01611</v>
      </c>
      <c r="B170" s="16">
        <f t="shared" si="9"/>
        <v>134</v>
      </c>
      <c r="C170" s="16">
        <f t="shared" si="9"/>
        <v>0</v>
      </c>
      <c r="D170" s="16">
        <f t="shared" si="9"/>
        <v>161</v>
      </c>
      <c r="E170" s="16">
        <f t="shared" si="9"/>
        <v>1</v>
      </c>
      <c r="F170" s="16">
        <f t="shared" si="9"/>
        <v>801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01631</v>
      </c>
      <c r="B171" s="16">
        <f t="shared" si="9"/>
        <v>134</v>
      </c>
      <c r="C171" s="16">
        <f t="shared" si="9"/>
        <v>0</v>
      </c>
      <c r="D171" s="16">
        <f t="shared" si="9"/>
        <v>163</v>
      </c>
      <c r="E171" s="16">
        <f t="shared" si="9"/>
        <v>1</v>
      </c>
      <c r="F171" s="16">
        <f t="shared" si="9"/>
        <v>801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01651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134</v>
      </c>
      <c r="C172" s="16">
        <f t="shared" si="10"/>
        <v>0</v>
      </c>
      <c r="D172" s="16">
        <f t="shared" si="10"/>
        <v>165</v>
      </c>
      <c r="E172" s="16">
        <f t="shared" si="10"/>
        <v>1</v>
      </c>
      <c r="F172" s="16">
        <f t="shared" si="10"/>
        <v>801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01671</v>
      </c>
      <c r="B173" s="16">
        <f t="shared" si="10"/>
        <v>134</v>
      </c>
      <c r="C173" s="16">
        <f t="shared" si="10"/>
        <v>0</v>
      </c>
      <c r="D173" s="16">
        <f t="shared" si="10"/>
        <v>167</v>
      </c>
      <c r="E173" s="16">
        <f t="shared" si="10"/>
        <v>1</v>
      </c>
      <c r="F173" s="16">
        <f t="shared" si="10"/>
        <v>758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01701</v>
      </c>
      <c r="B174" s="16">
        <f t="shared" si="10"/>
        <v>134</v>
      </c>
      <c r="C174" s="16">
        <f t="shared" si="10"/>
        <v>0</v>
      </c>
      <c r="D174" s="16">
        <f t="shared" si="10"/>
        <v>170</v>
      </c>
      <c r="E174" s="16">
        <f t="shared" si="10"/>
        <v>1</v>
      </c>
      <c r="F174" s="16">
        <f t="shared" si="10"/>
        <v>758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01731</v>
      </c>
      <c r="B175" s="16">
        <f t="shared" si="10"/>
        <v>134</v>
      </c>
      <c r="C175" s="16">
        <f t="shared" si="10"/>
        <v>0</v>
      </c>
      <c r="D175" s="16">
        <f t="shared" si="10"/>
        <v>173</v>
      </c>
      <c r="E175" s="16">
        <f t="shared" si="10"/>
        <v>1</v>
      </c>
      <c r="F175" s="16">
        <f t="shared" si="10"/>
        <v>758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01761</v>
      </c>
      <c r="B176" s="16">
        <f t="shared" si="10"/>
        <v>134</v>
      </c>
      <c r="C176" s="16">
        <f t="shared" si="10"/>
        <v>0</v>
      </c>
      <c r="D176" s="16">
        <f t="shared" si="10"/>
        <v>176</v>
      </c>
      <c r="E176" s="16">
        <f t="shared" si="10"/>
        <v>1</v>
      </c>
      <c r="F176" s="16">
        <f t="shared" si="10"/>
        <v>758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01791</v>
      </c>
      <c r="B177" s="16">
        <f t="shared" si="10"/>
        <v>134</v>
      </c>
      <c r="C177" s="16">
        <f t="shared" si="10"/>
        <v>0</v>
      </c>
      <c r="D177" s="16">
        <f t="shared" si="10"/>
        <v>179</v>
      </c>
      <c r="E177" s="16">
        <f t="shared" si="10"/>
        <v>1</v>
      </c>
      <c r="F177" s="16">
        <f t="shared" si="10"/>
        <v>758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01821</v>
      </c>
      <c r="B178" s="16">
        <f t="shared" si="10"/>
        <v>134</v>
      </c>
      <c r="C178" s="16">
        <f t="shared" si="10"/>
        <v>0</v>
      </c>
      <c r="D178" s="16">
        <f t="shared" si="10"/>
        <v>182</v>
      </c>
      <c r="E178" s="16">
        <f t="shared" si="10"/>
        <v>1</v>
      </c>
      <c r="F178" s="16">
        <f t="shared" si="10"/>
        <v>758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01851</v>
      </c>
      <c r="B179" s="16">
        <f t="shared" si="10"/>
        <v>134</v>
      </c>
      <c r="C179" s="16">
        <f t="shared" si="10"/>
        <v>0</v>
      </c>
      <c r="D179" s="16">
        <f t="shared" si="10"/>
        <v>185</v>
      </c>
      <c r="E179" s="16">
        <f t="shared" si="10"/>
        <v>1</v>
      </c>
      <c r="F179" s="16">
        <f t="shared" si="10"/>
        <v>758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01881</v>
      </c>
      <c r="B180" s="16">
        <f t="shared" si="10"/>
        <v>134</v>
      </c>
      <c r="C180" s="16">
        <f t="shared" si="10"/>
        <v>0</v>
      </c>
      <c r="D180" s="16">
        <f t="shared" si="10"/>
        <v>188</v>
      </c>
      <c r="E180" s="16">
        <f t="shared" si="10"/>
        <v>1</v>
      </c>
      <c r="F180" s="16">
        <f t="shared" si="10"/>
        <v>758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01911</v>
      </c>
      <c r="B181" s="16">
        <f t="shared" si="10"/>
        <v>134</v>
      </c>
      <c r="C181" s="16">
        <f t="shared" si="10"/>
        <v>0</v>
      </c>
      <c r="D181" s="16">
        <f t="shared" si="10"/>
        <v>191</v>
      </c>
      <c r="E181" s="16">
        <f t="shared" si="10"/>
        <v>1</v>
      </c>
      <c r="F181" s="16">
        <f t="shared" si="10"/>
        <v>758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01941</v>
      </c>
      <c r="B182" s="16">
        <f t="shared" si="10"/>
        <v>134</v>
      </c>
      <c r="C182" s="16">
        <f t="shared" si="10"/>
        <v>0</v>
      </c>
      <c r="D182" s="16">
        <f t="shared" si="10"/>
        <v>194</v>
      </c>
      <c r="E182" s="16">
        <f t="shared" si="10"/>
        <v>1</v>
      </c>
      <c r="F182" s="16">
        <f t="shared" si="10"/>
        <v>758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01971</v>
      </c>
      <c r="B183" s="16">
        <f t="shared" si="10"/>
        <v>134</v>
      </c>
      <c r="C183" s="16">
        <f t="shared" si="10"/>
        <v>0</v>
      </c>
      <c r="D183" s="16">
        <f t="shared" si="10"/>
        <v>197</v>
      </c>
      <c r="E183" s="16">
        <f t="shared" si="10"/>
        <v>1</v>
      </c>
      <c r="F183" s="16">
        <f t="shared" si="10"/>
        <v>758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02001</v>
      </c>
      <c r="B184" s="16">
        <f t="shared" si="10"/>
        <v>134</v>
      </c>
      <c r="C184" s="16">
        <f t="shared" si="10"/>
        <v>0</v>
      </c>
      <c r="D184" s="16">
        <f t="shared" si="10"/>
        <v>200</v>
      </c>
      <c r="E184" s="16">
        <f t="shared" si="10"/>
        <v>1</v>
      </c>
      <c r="F184" s="16">
        <f t="shared" si="10"/>
        <v>758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02031</v>
      </c>
      <c r="B185" s="16">
        <f t="shared" si="10"/>
        <v>134</v>
      </c>
      <c r="C185" s="16">
        <f t="shared" si="10"/>
        <v>0</v>
      </c>
      <c r="D185" s="16">
        <f t="shared" si="10"/>
        <v>203</v>
      </c>
      <c r="E185" s="16">
        <f t="shared" si="10"/>
        <v>1</v>
      </c>
      <c r="F185" s="16">
        <f t="shared" si="10"/>
        <v>758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02061</v>
      </c>
      <c r="B186" s="16">
        <f t="shared" si="10"/>
        <v>134</v>
      </c>
      <c r="C186" s="16">
        <f t="shared" si="10"/>
        <v>0</v>
      </c>
      <c r="D186" s="16">
        <f t="shared" si="10"/>
        <v>206</v>
      </c>
      <c r="E186" s="16">
        <f t="shared" si="10"/>
        <v>1</v>
      </c>
      <c r="F186" s="16">
        <f t="shared" si="10"/>
        <v>758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02091</v>
      </c>
      <c r="B187" s="16">
        <f t="shared" si="10"/>
        <v>134</v>
      </c>
      <c r="C187" s="16">
        <f t="shared" si="10"/>
        <v>0</v>
      </c>
      <c r="D187" s="16">
        <f t="shared" si="10"/>
        <v>209</v>
      </c>
      <c r="E187" s="16">
        <f t="shared" si="10"/>
        <v>1</v>
      </c>
      <c r="F187" s="16">
        <f t="shared" si="10"/>
        <v>758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02121</v>
      </c>
      <c r="B188" s="16">
        <f t="shared" si="10"/>
        <v>134</v>
      </c>
      <c r="C188" s="16">
        <f t="shared" si="10"/>
        <v>0</v>
      </c>
      <c r="D188" s="16">
        <f t="shared" si="10"/>
        <v>212</v>
      </c>
      <c r="E188" s="16">
        <f t="shared" si="10"/>
        <v>1</v>
      </c>
      <c r="F188" s="16">
        <f t="shared" si="10"/>
        <v>758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02151</v>
      </c>
      <c r="B189" s="16">
        <f t="shared" si="10"/>
        <v>134</v>
      </c>
      <c r="C189" s="16">
        <f t="shared" si="10"/>
        <v>0</v>
      </c>
      <c r="D189" s="16">
        <f t="shared" si="10"/>
        <v>215</v>
      </c>
      <c r="E189" s="16">
        <f t="shared" si="10"/>
        <v>1</v>
      </c>
      <c r="F189" s="16">
        <f t="shared" si="10"/>
        <v>758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02181</v>
      </c>
      <c r="B190" s="16">
        <f t="shared" si="10"/>
        <v>134</v>
      </c>
      <c r="C190" s="16">
        <f t="shared" si="10"/>
        <v>0</v>
      </c>
      <c r="D190" s="16">
        <f t="shared" si="10"/>
        <v>218</v>
      </c>
      <c r="E190" s="16">
        <f t="shared" si="10"/>
        <v>1</v>
      </c>
      <c r="F190" s="16">
        <f t="shared" si="10"/>
        <v>758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02211</v>
      </c>
      <c r="B191" s="16">
        <f t="shared" si="10"/>
        <v>134</v>
      </c>
      <c r="C191" s="16">
        <f t="shared" si="10"/>
        <v>0</v>
      </c>
      <c r="D191" s="16">
        <f t="shared" si="10"/>
        <v>221</v>
      </c>
      <c r="E191" s="16">
        <f t="shared" si="10"/>
        <v>1</v>
      </c>
      <c r="F191" s="16">
        <f t="shared" si="10"/>
        <v>758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02241</v>
      </c>
      <c r="B192" s="16">
        <f t="shared" si="10"/>
        <v>134</v>
      </c>
      <c r="C192" s="16">
        <f t="shared" si="10"/>
        <v>0</v>
      </c>
      <c r="D192" s="16">
        <f t="shared" si="10"/>
        <v>224</v>
      </c>
      <c r="E192" s="16">
        <f t="shared" si="10"/>
        <v>1</v>
      </c>
      <c r="F192" s="16">
        <f t="shared" si="10"/>
        <v>758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02271</v>
      </c>
      <c r="B193" s="16">
        <f t="shared" si="10"/>
        <v>134</v>
      </c>
      <c r="C193" s="16">
        <f t="shared" si="10"/>
        <v>0</v>
      </c>
      <c r="D193" s="16">
        <f t="shared" si="10"/>
        <v>227</v>
      </c>
      <c r="E193" s="16">
        <f t="shared" si="10"/>
        <v>1</v>
      </c>
      <c r="F193" s="16">
        <f t="shared" si="10"/>
        <v>80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02301</v>
      </c>
      <c r="B194" s="16">
        <f t="shared" si="10"/>
        <v>134</v>
      </c>
      <c r="C194" s="16">
        <f t="shared" si="10"/>
        <v>0</v>
      </c>
      <c r="D194" s="16">
        <f t="shared" si="10"/>
        <v>230</v>
      </c>
      <c r="E194" s="16">
        <f t="shared" si="10"/>
        <v>1</v>
      </c>
      <c r="F194" s="16">
        <f t="shared" si="10"/>
        <v>80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8" si="11">INDIRECT(ADDRESS(ROW()+$A$1,COLUMN(),1,TRUE,$C$1))</f>
        <v>02331</v>
      </c>
      <c r="B195" s="16">
        <f t="shared" si="10"/>
        <v>134</v>
      </c>
      <c r="C195" s="16">
        <f t="shared" si="10"/>
        <v>0</v>
      </c>
      <c r="D195" s="16">
        <f t="shared" si="10"/>
        <v>233</v>
      </c>
      <c r="E195" s="16">
        <f t="shared" si="10"/>
        <v>1</v>
      </c>
      <c r="F195" s="16">
        <f t="shared" si="10"/>
        <v>80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02361</v>
      </c>
      <c r="B196" s="16">
        <f t="shared" si="10"/>
        <v>134</v>
      </c>
      <c r="C196" s="16">
        <f t="shared" si="10"/>
        <v>0</v>
      </c>
      <c r="D196" s="16">
        <f t="shared" si="10"/>
        <v>236</v>
      </c>
      <c r="E196" s="16">
        <f t="shared" si="10"/>
        <v>1</v>
      </c>
      <c r="F196" s="16">
        <f t="shared" si="10"/>
        <v>80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01681</v>
      </c>
      <c r="B197" s="16">
        <f t="shared" si="10"/>
        <v>134</v>
      </c>
      <c r="C197" s="16">
        <f t="shared" si="10"/>
        <v>0</v>
      </c>
      <c r="D197" s="16">
        <f t="shared" si="10"/>
        <v>168</v>
      </c>
      <c r="E197" s="16">
        <f t="shared" si="10"/>
        <v>1</v>
      </c>
      <c r="F197" s="16">
        <f t="shared" si="10"/>
        <v>247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01711</v>
      </c>
      <c r="B198" s="16">
        <f t="shared" si="12"/>
        <v>134</v>
      </c>
      <c r="C198" s="16">
        <f t="shared" si="12"/>
        <v>0</v>
      </c>
      <c r="D198" s="16">
        <f t="shared" si="12"/>
        <v>171</v>
      </c>
      <c r="E198" s="16">
        <f t="shared" si="12"/>
        <v>1</v>
      </c>
      <c r="F198" s="16">
        <f t="shared" si="12"/>
        <v>247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01741</v>
      </c>
      <c r="B199" s="16">
        <f t="shared" si="12"/>
        <v>134</v>
      </c>
      <c r="C199" s="16">
        <f t="shared" si="12"/>
        <v>0</v>
      </c>
      <c r="D199" s="16">
        <f t="shared" si="12"/>
        <v>174</v>
      </c>
      <c r="E199" s="16">
        <f t="shared" si="12"/>
        <v>1</v>
      </c>
      <c r="F199" s="16">
        <f t="shared" si="12"/>
        <v>247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01771</v>
      </c>
      <c r="B200" s="16">
        <f t="shared" si="12"/>
        <v>134</v>
      </c>
      <c r="C200" s="16">
        <f t="shared" si="12"/>
        <v>0</v>
      </c>
      <c r="D200" s="16">
        <f t="shared" si="12"/>
        <v>177</v>
      </c>
      <c r="E200" s="16">
        <f t="shared" si="12"/>
        <v>1</v>
      </c>
      <c r="F200" s="16">
        <f t="shared" si="12"/>
        <v>247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01801</v>
      </c>
      <c r="B201" s="16">
        <f t="shared" si="12"/>
        <v>134</v>
      </c>
      <c r="C201" s="16">
        <f t="shared" si="12"/>
        <v>0</v>
      </c>
      <c r="D201" s="16">
        <f t="shared" si="12"/>
        <v>180</v>
      </c>
      <c r="E201" s="16">
        <f t="shared" si="12"/>
        <v>1</v>
      </c>
      <c r="F201" s="16">
        <f t="shared" si="12"/>
        <v>247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01831</v>
      </c>
      <c r="B202" s="16">
        <f t="shared" si="12"/>
        <v>134</v>
      </c>
      <c r="C202" s="16">
        <f t="shared" si="12"/>
        <v>0</v>
      </c>
      <c r="D202" s="16">
        <f t="shared" si="12"/>
        <v>183</v>
      </c>
      <c r="E202" s="16">
        <f t="shared" si="12"/>
        <v>1</v>
      </c>
      <c r="F202" s="16">
        <f t="shared" si="12"/>
        <v>247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01861</v>
      </c>
      <c r="B203" s="16">
        <f t="shared" si="12"/>
        <v>134</v>
      </c>
      <c r="C203" s="16">
        <f t="shared" si="12"/>
        <v>0</v>
      </c>
      <c r="D203" s="16">
        <f t="shared" si="12"/>
        <v>186</v>
      </c>
      <c r="E203" s="16">
        <f t="shared" si="12"/>
        <v>1</v>
      </c>
      <c r="F203" s="16">
        <f t="shared" si="12"/>
        <v>247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01891</v>
      </c>
      <c r="B204" s="16">
        <f t="shared" si="12"/>
        <v>134</v>
      </c>
      <c r="C204" s="16">
        <f t="shared" si="12"/>
        <v>0</v>
      </c>
      <c r="D204" s="16">
        <f t="shared" si="12"/>
        <v>189</v>
      </c>
      <c r="E204" s="16">
        <f t="shared" si="12"/>
        <v>1</v>
      </c>
      <c r="F204" s="16">
        <f t="shared" si="12"/>
        <v>247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01921</v>
      </c>
      <c r="B205" s="16">
        <f t="shared" si="12"/>
        <v>134</v>
      </c>
      <c r="C205" s="16">
        <f t="shared" si="12"/>
        <v>0</v>
      </c>
      <c r="D205" s="16">
        <f t="shared" si="12"/>
        <v>192</v>
      </c>
      <c r="E205" s="16">
        <f t="shared" si="12"/>
        <v>1</v>
      </c>
      <c r="F205" s="16">
        <f t="shared" si="12"/>
        <v>247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01951</v>
      </c>
      <c r="B206" s="16">
        <f t="shared" si="12"/>
        <v>134</v>
      </c>
      <c r="C206" s="16">
        <f t="shared" si="12"/>
        <v>0</v>
      </c>
      <c r="D206" s="16">
        <f t="shared" si="12"/>
        <v>195</v>
      </c>
      <c r="E206" s="16">
        <f t="shared" si="12"/>
        <v>1</v>
      </c>
      <c r="F206" s="16">
        <f t="shared" si="12"/>
        <v>247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01981</v>
      </c>
      <c r="B207" s="16">
        <f t="shared" si="12"/>
        <v>134</v>
      </c>
      <c r="C207" s="16">
        <f t="shared" si="12"/>
        <v>0</v>
      </c>
      <c r="D207" s="16">
        <f t="shared" si="12"/>
        <v>198</v>
      </c>
      <c r="E207" s="16">
        <f t="shared" si="12"/>
        <v>1</v>
      </c>
      <c r="F207" s="16">
        <f t="shared" si="12"/>
        <v>247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02011</v>
      </c>
      <c r="B208" s="16">
        <f t="shared" si="12"/>
        <v>134</v>
      </c>
      <c r="C208" s="16">
        <f t="shared" si="12"/>
        <v>0</v>
      </c>
      <c r="D208" s="16">
        <f t="shared" si="12"/>
        <v>201</v>
      </c>
      <c r="E208" s="16">
        <f t="shared" si="12"/>
        <v>1</v>
      </c>
      <c r="F208" s="16">
        <f t="shared" si="12"/>
        <v>247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02041</v>
      </c>
      <c r="B209" s="16">
        <f t="shared" si="12"/>
        <v>134</v>
      </c>
      <c r="C209" s="16">
        <f t="shared" si="12"/>
        <v>0</v>
      </c>
      <c r="D209" s="16">
        <f t="shared" si="12"/>
        <v>204</v>
      </c>
      <c r="E209" s="16">
        <f t="shared" si="12"/>
        <v>1</v>
      </c>
      <c r="F209" s="16">
        <f t="shared" si="12"/>
        <v>247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02071</v>
      </c>
      <c r="B210" s="16">
        <f t="shared" si="12"/>
        <v>134</v>
      </c>
      <c r="C210" s="16">
        <f t="shared" si="12"/>
        <v>0</v>
      </c>
      <c r="D210" s="16">
        <f t="shared" si="12"/>
        <v>207</v>
      </c>
      <c r="E210" s="16">
        <f t="shared" si="12"/>
        <v>1</v>
      </c>
      <c r="F210" s="16">
        <f t="shared" si="12"/>
        <v>247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02101</v>
      </c>
      <c r="B211" s="16">
        <f t="shared" si="12"/>
        <v>134</v>
      </c>
      <c r="C211" s="16">
        <f t="shared" si="12"/>
        <v>0</v>
      </c>
      <c r="D211" s="16">
        <f t="shared" si="12"/>
        <v>210</v>
      </c>
      <c r="E211" s="16">
        <f t="shared" si="12"/>
        <v>1</v>
      </c>
      <c r="F211" s="16">
        <f t="shared" si="12"/>
        <v>247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02131</v>
      </c>
      <c r="B212" s="16">
        <f t="shared" si="12"/>
        <v>134</v>
      </c>
      <c r="C212" s="16">
        <f t="shared" si="12"/>
        <v>0</v>
      </c>
      <c r="D212" s="16">
        <f t="shared" si="12"/>
        <v>213</v>
      </c>
      <c r="E212" s="16">
        <f t="shared" si="12"/>
        <v>1</v>
      </c>
      <c r="F212" s="16">
        <f t="shared" si="12"/>
        <v>247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02161</v>
      </c>
      <c r="B213" s="16">
        <f t="shared" si="12"/>
        <v>134</v>
      </c>
      <c r="C213" s="16">
        <f t="shared" si="12"/>
        <v>0</v>
      </c>
      <c r="D213" s="16">
        <f t="shared" si="12"/>
        <v>216</v>
      </c>
      <c r="E213" s="16">
        <f t="shared" si="12"/>
        <v>1</v>
      </c>
      <c r="F213" s="16">
        <f t="shared" si="12"/>
        <v>247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02191</v>
      </c>
      <c r="B214" s="16">
        <f t="shared" si="12"/>
        <v>134</v>
      </c>
      <c r="C214" s="16">
        <f t="shared" si="12"/>
        <v>0</v>
      </c>
      <c r="D214" s="16">
        <f t="shared" si="12"/>
        <v>219</v>
      </c>
      <c r="E214" s="16">
        <f t="shared" si="12"/>
        <v>1</v>
      </c>
      <c r="F214" s="16">
        <f t="shared" si="12"/>
        <v>247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02221</v>
      </c>
      <c r="B215" s="16">
        <f t="shared" si="12"/>
        <v>134</v>
      </c>
      <c r="C215" s="16">
        <f t="shared" si="12"/>
        <v>0</v>
      </c>
      <c r="D215" s="16">
        <f t="shared" si="12"/>
        <v>222</v>
      </c>
      <c r="E215" s="16">
        <f t="shared" si="12"/>
        <v>1</v>
      </c>
      <c r="F215" s="16">
        <f t="shared" si="12"/>
        <v>247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02251</v>
      </c>
      <c r="B216" s="16">
        <f t="shared" si="12"/>
        <v>134</v>
      </c>
      <c r="C216" s="16">
        <f t="shared" si="12"/>
        <v>0</v>
      </c>
      <c r="D216" s="16">
        <f t="shared" si="12"/>
        <v>225</v>
      </c>
      <c r="E216" s="16">
        <f t="shared" si="12"/>
        <v>1</v>
      </c>
      <c r="F216" s="16">
        <f t="shared" si="12"/>
        <v>247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02281</v>
      </c>
      <c r="B217" s="16">
        <f t="shared" si="12"/>
        <v>134</v>
      </c>
      <c r="C217" s="16">
        <f t="shared" si="12"/>
        <v>0</v>
      </c>
      <c r="D217" s="16">
        <f t="shared" si="12"/>
        <v>228</v>
      </c>
      <c r="E217" s="16">
        <f t="shared" si="12"/>
        <v>1</v>
      </c>
      <c r="F217" s="16">
        <f t="shared" si="12"/>
        <v>13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02311</v>
      </c>
      <c r="B218" s="16">
        <f t="shared" si="12"/>
        <v>134</v>
      </c>
      <c r="C218" s="16">
        <f t="shared" si="12"/>
        <v>0</v>
      </c>
      <c r="D218" s="16">
        <f t="shared" si="12"/>
        <v>231</v>
      </c>
      <c r="E218" s="16">
        <f t="shared" si="12"/>
        <v>1</v>
      </c>
      <c r="F218" s="16">
        <f t="shared" si="12"/>
        <v>13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02341</v>
      </c>
      <c r="B219" s="16">
        <f t="shared" si="12"/>
        <v>134</v>
      </c>
      <c r="C219" s="16">
        <f t="shared" si="12"/>
        <v>0</v>
      </c>
      <c r="D219" s="16">
        <f t="shared" si="12"/>
        <v>234</v>
      </c>
      <c r="E219" s="16">
        <f t="shared" si="12"/>
        <v>1</v>
      </c>
      <c r="F219" s="16">
        <f t="shared" si="12"/>
        <v>13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02371</v>
      </c>
      <c r="B220" s="16">
        <f t="shared" si="12"/>
        <v>134</v>
      </c>
      <c r="C220" s="16">
        <f t="shared" si="12"/>
        <v>0</v>
      </c>
      <c r="D220" s="16">
        <f t="shared" si="12"/>
        <v>237</v>
      </c>
      <c r="E220" s="16">
        <f t="shared" si="12"/>
        <v>1</v>
      </c>
      <c r="F220" s="16">
        <f t="shared" si="12"/>
        <v>13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02381</v>
      </c>
      <c r="B221" s="16">
        <f t="shared" si="12"/>
        <v>134</v>
      </c>
      <c r="C221" s="16">
        <f t="shared" si="12"/>
        <v>0</v>
      </c>
      <c r="D221" s="16">
        <f t="shared" si="12"/>
        <v>238</v>
      </c>
      <c r="E221" s="16">
        <f t="shared" si="12"/>
        <v>1</v>
      </c>
      <c r="F221" s="16">
        <f t="shared" si="12"/>
        <v>4374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02391</v>
      </c>
      <c r="B222" s="16">
        <f t="shared" si="12"/>
        <v>134</v>
      </c>
      <c r="C222" s="16">
        <f t="shared" si="12"/>
        <v>0</v>
      </c>
      <c r="D222" s="16">
        <f t="shared" si="12"/>
        <v>239</v>
      </c>
      <c r="E222" s="16">
        <f t="shared" si="12"/>
        <v>1</v>
      </c>
      <c r="F222" s="16">
        <f t="shared" si="12"/>
        <v>80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02401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134</v>
      </c>
      <c r="C223" s="16">
        <f t="shared" si="13"/>
        <v>0</v>
      </c>
      <c r="D223" s="16">
        <f t="shared" si="13"/>
        <v>240</v>
      </c>
      <c r="E223" s="16">
        <f t="shared" si="13"/>
        <v>1</v>
      </c>
      <c r="F223" s="16">
        <f t="shared" si="13"/>
        <v>13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02411</v>
      </c>
      <c r="B224" s="16">
        <f t="shared" si="13"/>
        <v>134</v>
      </c>
      <c r="C224" s="16">
        <f t="shared" si="13"/>
        <v>0</v>
      </c>
      <c r="D224" s="16">
        <f t="shared" si="13"/>
        <v>241</v>
      </c>
      <c r="E224" s="16">
        <f t="shared" si="13"/>
        <v>1</v>
      </c>
      <c r="F224" s="16">
        <f t="shared" si="13"/>
        <v>4374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02421</v>
      </c>
      <c r="B225" s="16">
        <f t="shared" si="13"/>
        <v>134</v>
      </c>
      <c r="C225" s="16">
        <f t="shared" si="13"/>
        <v>0</v>
      </c>
      <c r="D225" s="16">
        <f t="shared" si="13"/>
        <v>242</v>
      </c>
      <c r="E225" s="16">
        <f t="shared" si="13"/>
        <v>1</v>
      </c>
      <c r="F225" s="16">
        <f t="shared" si="13"/>
        <v>80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02431</v>
      </c>
      <c r="B226" s="16">
        <f t="shared" si="13"/>
        <v>134</v>
      </c>
      <c r="C226" s="16">
        <f t="shared" si="13"/>
        <v>0</v>
      </c>
      <c r="D226" s="16">
        <f t="shared" si="13"/>
        <v>243</v>
      </c>
      <c r="E226" s="16">
        <f t="shared" si="13"/>
        <v>1</v>
      </c>
      <c r="F226" s="16">
        <f t="shared" si="13"/>
        <v>13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02441</v>
      </c>
      <c r="B227" s="16">
        <f t="shared" si="13"/>
        <v>134</v>
      </c>
      <c r="C227" s="16">
        <f t="shared" si="13"/>
        <v>0</v>
      </c>
      <c r="D227" s="16">
        <f t="shared" si="13"/>
        <v>244</v>
      </c>
      <c r="E227" s="16">
        <f t="shared" si="13"/>
        <v>1</v>
      </c>
      <c r="F227" s="16">
        <f t="shared" si="13"/>
        <v>4374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02451</v>
      </c>
      <c r="B228" s="16">
        <f t="shared" si="13"/>
        <v>134</v>
      </c>
      <c r="C228" s="16">
        <f t="shared" si="13"/>
        <v>0</v>
      </c>
      <c r="D228" s="16">
        <f t="shared" si="13"/>
        <v>245</v>
      </c>
      <c r="E228" s="16">
        <f t="shared" si="13"/>
        <v>1</v>
      </c>
      <c r="F228" s="16">
        <f t="shared" si="13"/>
        <v>80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02461</v>
      </c>
      <c r="B229" s="16">
        <f t="shared" si="13"/>
        <v>134</v>
      </c>
      <c r="C229" s="16">
        <f t="shared" si="13"/>
        <v>0</v>
      </c>
      <c r="D229" s="16">
        <f t="shared" si="13"/>
        <v>246</v>
      </c>
      <c r="E229" s="16">
        <f t="shared" si="13"/>
        <v>1</v>
      </c>
      <c r="F229" s="16">
        <f t="shared" si="13"/>
        <v>13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02471</v>
      </c>
      <c r="B230" s="16">
        <f t="shared" si="13"/>
        <v>134</v>
      </c>
      <c r="C230" s="16">
        <f t="shared" si="13"/>
        <v>0</v>
      </c>
      <c r="D230" s="16">
        <f t="shared" si="13"/>
        <v>247</v>
      </c>
      <c r="E230" s="16">
        <f t="shared" si="13"/>
        <v>1</v>
      </c>
      <c r="F230" s="16">
        <f t="shared" si="13"/>
        <v>4374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02481</v>
      </c>
      <c r="B231" s="16">
        <f t="shared" si="13"/>
        <v>134</v>
      </c>
      <c r="C231" s="16">
        <f t="shared" si="13"/>
        <v>0</v>
      </c>
      <c r="D231" s="16">
        <f t="shared" si="13"/>
        <v>248</v>
      </c>
      <c r="E231" s="16">
        <f t="shared" si="13"/>
        <v>1</v>
      </c>
      <c r="F231" s="16">
        <f t="shared" si="13"/>
        <v>80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02491</v>
      </c>
      <c r="B232" s="16">
        <f t="shared" si="13"/>
        <v>134</v>
      </c>
      <c r="C232" s="16">
        <f t="shared" si="13"/>
        <v>0</v>
      </c>
      <c r="D232" s="16">
        <f t="shared" si="13"/>
        <v>249</v>
      </c>
      <c r="E232" s="16">
        <f t="shared" si="13"/>
        <v>1</v>
      </c>
      <c r="F232" s="16">
        <f t="shared" si="13"/>
        <v>13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02501</v>
      </c>
      <c r="B233" s="16">
        <f t="shared" si="13"/>
        <v>134</v>
      </c>
      <c r="C233" s="16">
        <f t="shared" si="13"/>
        <v>0</v>
      </c>
      <c r="D233" s="16">
        <f t="shared" si="13"/>
        <v>250</v>
      </c>
      <c r="E233" s="16">
        <f t="shared" si="13"/>
        <v>1</v>
      </c>
      <c r="F233" s="16">
        <f t="shared" si="13"/>
        <v>4374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02511</v>
      </c>
      <c r="B234" s="16">
        <f t="shared" si="13"/>
        <v>134</v>
      </c>
      <c r="C234" s="16">
        <f t="shared" si="13"/>
        <v>0</v>
      </c>
      <c r="D234" s="16">
        <f t="shared" si="13"/>
        <v>251</v>
      </c>
      <c r="E234" s="16">
        <f t="shared" si="13"/>
        <v>1</v>
      </c>
      <c r="F234" s="16">
        <f t="shared" si="13"/>
        <v>80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02521</v>
      </c>
      <c r="B235" s="16">
        <f t="shared" si="13"/>
        <v>134</v>
      </c>
      <c r="C235" s="16">
        <f t="shared" si="13"/>
        <v>0</v>
      </c>
      <c r="D235" s="16">
        <f t="shared" si="13"/>
        <v>252</v>
      </c>
      <c r="E235" s="16">
        <f t="shared" si="13"/>
        <v>1</v>
      </c>
      <c r="F235" s="16">
        <f t="shared" si="13"/>
        <v>13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02531</v>
      </c>
      <c r="B236" s="16">
        <f t="shared" si="13"/>
        <v>134</v>
      </c>
      <c r="C236" s="16">
        <f t="shared" si="13"/>
        <v>0</v>
      </c>
      <c r="D236" s="16">
        <f t="shared" si="13"/>
        <v>253</v>
      </c>
      <c r="E236" s="16">
        <f t="shared" si="13"/>
        <v>1</v>
      </c>
      <c r="F236" s="16">
        <f t="shared" si="13"/>
        <v>4374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02541</v>
      </c>
      <c r="B237" s="16">
        <f t="shared" si="13"/>
        <v>134</v>
      </c>
      <c r="C237" s="16">
        <f t="shared" si="13"/>
        <v>0</v>
      </c>
      <c r="D237" s="16">
        <f t="shared" si="13"/>
        <v>254</v>
      </c>
      <c r="E237" s="16">
        <f t="shared" si="13"/>
        <v>1</v>
      </c>
      <c r="F237" s="16">
        <f t="shared" si="13"/>
        <v>80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02551</v>
      </c>
      <c r="B238" s="16">
        <f t="shared" si="13"/>
        <v>134</v>
      </c>
      <c r="C238" s="16">
        <f t="shared" si="13"/>
        <v>0</v>
      </c>
      <c r="D238" s="16">
        <f t="shared" si="13"/>
        <v>255</v>
      </c>
      <c r="E238" s="16">
        <f t="shared" si="13"/>
        <v>1</v>
      </c>
      <c r="F238" s="16">
        <f t="shared" si="13"/>
        <v>13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02561</v>
      </c>
      <c r="B239" s="16">
        <f t="shared" si="13"/>
        <v>134</v>
      </c>
      <c r="C239" s="16">
        <f t="shared" si="13"/>
        <v>0</v>
      </c>
      <c r="D239" s="16">
        <f t="shared" si="13"/>
        <v>256</v>
      </c>
      <c r="E239" s="16">
        <f t="shared" si="13"/>
        <v>1</v>
      </c>
      <c r="F239" s="16">
        <f t="shared" si="13"/>
        <v>4374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02571</v>
      </c>
      <c r="B240" s="16">
        <f t="shared" si="13"/>
        <v>134</v>
      </c>
      <c r="C240" s="16">
        <f t="shared" si="13"/>
        <v>0</v>
      </c>
      <c r="D240" s="16">
        <f t="shared" si="13"/>
        <v>257</v>
      </c>
      <c r="E240" s="16">
        <f t="shared" si="13"/>
        <v>1</v>
      </c>
      <c r="F240" s="16">
        <f t="shared" si="13"/>
        <v>80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02581</v>
      </c>
      <c r="B241" s="16">
        <f t="shared" si="13"/>
        <v>134</v>
      </c>
      <c r="C241" s="16">
        <f t="shared" si="13"/>
        <v>0</v>
      </c>
      <c r="D241" s="16">
        <f t="shared" si="13"/>
        <v>258</v>
      </c>
      <c r="E241" s="16">
        <f t="shared" si="13"/>
        <v>1</v>
      </c>
      <c r="F241" s="16">
        <f t="shared" si="13"/>
        <v>13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02591</v>
      </c>
      <c r="B242" s="16">
        <f t="shared" si="13"/>
        <v>134</v>
      </c>
      <c r="C242" s="16">
        <f t="shared" si="13"/>
        <v>0</v>
      </c>
      <c r="D242" s="16">
        <f t="shared" si="13"/>
        <v>259</v>
      </c>
      <c r="E242" s="16">
        <f t="shared" si="13"/>
        <v>1</v>
      </c>
      <c r="F242" s="16">
        <f t="shared" si="13"/>
        <v>4374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02601</v>
      </c>
      <c r="B243" s="16">
        <f t="shared" si="13"/>
        <v>134</v>
      </c>
      <c r="C243" s="16">
        <f t="shared" si="13"/>
        <v>0</v>
      </c>
      <c r="D243" s="16">
        <f t="shared" si="13"/>
        <v>260</v>
      </c>
      <c r="E243" s="16">
        <f t="shared" si="13"/>
        <v>1</v>
      </c>
      <c r="F243" s="16">
        <f t="shared" si="13"/>
        <v>80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02611</v>
      </c>
      <c r="B244" s="16">
        <f t="shared" si="13"/>
        <v>134</v>
      </c>
      <c r="C244" s="16">
        <f t="shared" si="13"/>
        <v>0</v>
      </c>
      <c r="D244" s="16">
        <f t="shared" si="13"/>
        <v>261</v>
      </c>
      <c r="E244" s="16">
        <f t="shared" si="13"/>
        <v>1</v>
      </c>
      <c r="F244" s="16">
        <f t="shared" si="13"/>
        <v>13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03201</v>
      </c>
      <c r="B245" s="16">
        <f t="shared" si="13"/>
        <v>134</v>
      </c>
      <c r="C245" s="16">
        <f t="shared" si="13"/>
        <v>0</v>
      </c>
      <c r="D245" s="16">
        <f t="shared" si="13"/>
        <v>320</v>
      </c>
      <c r="E245" s="16">
        <f t="shared" si="13"/>
        <v>1</v>
      </c>
      <c r="F245" s="16">
        <f t="shared" si="13"/>
        <v>144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03211</v>
      </c>
      <c r="B246" s="16">
        <f t="shared" si="13"/>
        <v>134</v>
      </c>
      <c r="C246" s="16">
        <f t="shared" si="13"/>
        <v>0</v>
      </c>
      <c r="D246" s="16">
        <f t="shared" si="13"/>
        <v>321</v>
      </c>
      <c r="E246" s="16">
        <f t="shared" si="13"/>
        <v>1</v>
      </c>
      <c r="F246" s="16">
        <f t="shared" si="13"/>
        <v>48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03221</v>
      </c>
      <c r="B247" s="16">
        <f t="shared" si="13"/>
        <v>134</v>
      </c>
      <c r="C247" s="16">
        <f t="shared" si="13"/>
        <v>0</v>
      </c>
      <c r="D247" s="16">
        <f t="shared" si="13"/>
        <v>322</v>
      </c>
      <c r="E247" s="16">
        <f t="shared" si="13"/>
        <v>1</v>
      </c>
      <c r="F247" s="16">
        <f t="shared" si="13"/>
        <v>144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03231</v>
      </c>
      <c r="B248" s="16">
        <f t="shared" si="13"/>
        <v>134</v>
      </c>
      <c r="C248" s="16">
        <f t="shared" si="13"/>
        <v>0</v>
      </c>
      <c r="D248" s="16">
        <f t="shared" si="13"/>
        <v>323</v>
      </c>
      <c r="E248" s="16">
        <f t="shared" si="13"/>
        <v>1</v>
      </c>
      <c r="F248" s="16">
        <f t="shared" si="13"/>
        <v>48</v>
      </c>
      <c r="G248" s="16">
        <f t="shared" ref="B248:K272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03241</v>
      </c>
      <c r="B249" s="16">
        <f t="shared" si="14"/>
        <v>134</v>
      </c>
      <c r="C249" s="16">
        <f t="shared" si="14"/>
        <v>0</v>
      </c>
      <c r="D249" s="16">
        <f t="shared" si="14"/>
        <v>324</v>
      </c>
      <c r="E249" s="16">
        <f t="shared" si="14"/>
        <v>1</v>
      </c>
      <c r="F249" s="16">
        <f t="shared" si="14"/>
        <v>144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03251</v>
      </c>
      <c r="B250" s="16">
        <f t="shared" si="14"/>
        <v>134</v>
      </c>
      <c r="C250" s="16">
        <f t="shared" si="14"/>
        <v>0</v>
      </c>
      <c r="D250" s="16">
        <f t="shared" si="14"/>
        <v>325</v>
      </c>
      <c r="E250" s="16">
        <f t="shared" si="14"/>
        <v>1</v>
      </c>
      <c r="F250" s="16">
        <f t="shared" si="14"/>
        <v>48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03261</v>
      </c>
      <c r="B251" s="16">
        <f t="shared" si="14"/>
        <v>134</v>
      </c>
      <c r="C251" s="16">
        <f t="shared" si="14"/>
        <v>0</v>
      </c>
      <c r="D251" s="16">
        <f t="shared" si="14"/>
        <v>326</v>
      </c>
      <c r="E251" s="16">
        <f t="shared" si="14"/>
        <v>1</v>
      </c>
      <c r="F251" s="16">
        <f t="shared" si="14"/>
        <v>144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03271</v>
      </c>
      <c r="B252" s="16">
        <f t="shared" si="14"/>
        <v>134</v>
      </c>
      <c r="C252" s="16">
        <f t="shared" si="14"/>
        <v>0</v>
      </c>
      <c r="D252" s="16">
        <f t="shared" si="14"/>
        <v>327</v>
      </c>
      <c r="E252" s="16">
        <f t="shared" si="14"/>
        <v>1</v>
      </c>
      <c r="F252" s="16">
        <f t="shared" si="14"/>
        <v>48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03801</v>
      </c>
      <c r="B253" s="16">
        <f t="shared" si="14"/>
        <v>134</v>
      </c>
      <c r="C253" s="16">
        <f t="shared" si="14"/>
        <v>0</v>
      </c>
      <c r="D253" s="16">
        <f t="shared" si="14"/>
        <v>380</v>
      </c>
      <c r="E253" s="16">
        <f t="shared" si="14"/>
        <v>1</v>
      </c>
      <c r="F253" s="16">
        <f t="shared" si="14"/>
        <v>4374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03811</v>
      </c>
      <c r="B254" s="16">
        <f t="shared" si="14"/>
        <v>134</v>
      </c>
      <c r="C254" s="16">
        <f t="shared" si="14"/>
        <v>0</v>
      </c>
      <c r="D254" s="16">
        <f t="shared" si="14"/>
        <v>381</v>
      </c>
      <c r="E254" s="16">
        <f t="shared" si="14"/>
        <v>1</v>
      </c>
      <c r="F254" s="16">
        <f t="shared" si="14"/>
        <v>80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03821</v>
      </c>
      <c r="B255" s="16">
        <f t="shared" si="14"/>
        <v>134</v>
      </c>
      <c r="C255" s="16">
        <f t="shared" si="14"/>
        <v>0</v>
      </c>
      <c r="D255" s="16">
        <f t="shared" si="14"/>
        <v>382</v>
      </c>
      <c r="E255" s="16">
        <f t="shared" si="14"/>
        <v>1</v>
      </c>
      <c r="F255" s="16">
        <f t="shared" si="14"/>
        <v>13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03831</v>
      </c>
      <c r="B256" s="16">
        <f t="shared" si="14"/>
        <v>134</v>
      </c>
      <c r="C256" s="16">
        <f t="shared" si="14"/>
        <v>0</v>
      </c>
      <c r="D256" s="16">
        <f t="shared" si="14"/>
        <v>383</v>
      </c>
      <c r="E256" s="16">
        <f t="shared" si="14"/>
        <v>1</v>
      </c>
      <c r="F256" s="16">
        <f t="shared" si="14"/>
        <v>144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  <row r="257" spans="1:11">
      <c r="A257" s="15" t="str">
        <f t="shared" si="11"/>
        <v>03841</v>
      </c>
      <c r="B257" s="16">
        <f t="shared" si="14"/>
        <v>134</v>
      </c>
      <c r="C257" s="16">
        <f t="shared" si="14"/>
        <v>0</v>
      </c>
      <c r="D257" s="16">
        <f t="shared" si="14"/>
        <v>384</v>
      </c>
      <c r="E257" s="16">
        <f t="shared" si="14"/>
        <v>1</v>
      </c>
      <c r="F257" s="16">
        <f t="shared" si="14"/>
        <v>48</v>
      </c>
      <c r="G257" s="16">
        <f t="shared" si="14"/>
        <v>0</v>
      </c>
      <c r="H257" s="16">
        <f t="shared" si="14"/>
        <v>0</v>
      </c>
      <c r="I257" s="16">
        <f t="shared" si="14"/>
        <v>0</v>
      </c>
      <c r="J257" s="16">
        <f t="shared" si="14"/>
        <v>0</v>
      </c>
      <c r="K257" s="16">
        <f t="shared" si="14"/>
        <v>1</v>
      </c>
    </row>
    <row r="258" spans="1:11">
      <c r="A258" s="15" t="str">
        <f t="shared" si="11"/>
        <v>03851</v>
      </c>
      <c r="B258" s="16">
        <f t="shared" si="14"/>
        <v>134</v>
      </c>
      <c r="C258" s="16">
        <f t="shared" si="14"/>
        <v>0</v>
      </c>
      <c r="D258" s="16">
        <f t="shared" si="14"/>
        <v>385</v>
      </c>
      <c r="E258" s="16">
        <f t="shared" si="14"/>
        <v>1</v>
      </c>
      <c r="F258" s="16">
        <f t="shared" si="14"/>
        <v>144</v>
      </c>
      <c r="G258" s="16">
        <f t="shared" si="14"/>
        <v>0</v>
      </c>
      <c r="H258" s="16">
        <f t="shared" si="14"/>
        <v>0</v>
      </c>
      <c r="I258" s="16">
        <f t="shared" si="14"/>
        <v>0</v>
      </c>
      <c r="J258" s="16">
        <f t="shared" si="14"/>
        <v>0</v>
      </c>
      <c r="K258" s="16">
        <f t="shared" si="14"/>
        <v>1</v>
      </c>
    </row>
    <row r="259" spans="1:11">
      <c r="A259" s="15" t="str">
        <f t="shared" ref="A259:A272" si="15">INDIRECT(ADDRESS(ROW()+$A$1,COLUMN(),1,TRUE,$C$1))</f>
        <v>03861</v>
      </c>
      <c r="B259" s="16">
        <f t="shared" si="14"/>
        <v>134</v>
      </c>
      <c r="C259" s="16">
        <f t="shared" si="14"/>
        <v>0</v>
      </c>
      <c r="D259" s="16">
        <f t="shared" si="14"/>
        <v>386</v>
      </c>
      <c r="E259" s="16">
        <f t="shared" si="14"/>
        <v>1</v>
      </c>
      <c r="F259" s="16">
        <f t="shared" si="14"/>
        <v>48</v>
      </c>
      <c r="G259" s="16">
        <f t="shared" si="14"/>
        <v>0</v>
      </c>
      <c r="H259" s="16">
        <f t="shared" si="14"/>
        <v>0</v>
      </c>
      <c r="I259" s="16">
        <f t="shared" si="14"/>
        <v>0</v>
      </c>
      <c r="J259" s="16">
        <f t="shared" si="14"/>
        <v>0</v>
      </c>
      <c r="K259" s="16">
        <f t="shared" si="14"/>
        <v>1</v>
      </c>
    </row>
    <row r="260" spans="1:11">
      <c r="A260" s="15" t="str">
        <f t="shared" si="15"/>
        <v>03871</v>
      </c>
      <c r="B260" s="16">
        <f t="shared" si="14"/>
        <v>134</v>
      </c>
      <c r="C260" s="16">
        <f t="shared" si="14"/>
        <v>0</v>
      </c>
      <c r="D260" s="16">
        <f t="shared" si="14"/>
        <v>387</v>
      </c>
      <c r="E260" s="16">
        <f t="shared" si="14"/>
        <v>1</v>
      </c>
      <c r="F260" s="16">
        <f t="shared" si="14"/>
        <v>4374</v>
      </c>
      <c r="G260" s="16">
        <f t="shared" si="14"/>
        <v>0</v>
      </c>
      <c r="H260" s="16">
        <f t="shared" si="14"/>
        <v>0</v>
      </c>
      <c r="I260" s="16">
        <f t="shared" si="14"/>
        <v>0</v>
      </c>
      <c r="J260" s="16">
        <f t="shared" si="14"/>
        <v>0</v>
      </c>
      <c r="K260" s="16">
        <f t="shared" si="14"/>
        <v>1</v>
      </c>
    </row>
    <row r="261" spans="1:11">
      <c r="A261" s="15" t="str">
        <f t="shared" si="15"/>
        <v>03881</v>
      </c>
      <c r="B261" s="16">
        <f t="shared" si="14"/>
        <v>134</v>
      </c>
      <c r="C261" s="16">
        <f t="shared" si="14"/>
        <v>0</v>
      </c>
      <c r="D261" s="16">
        <f t="shared" si="14"/>
        <v>388</v>
      </c>
      <c r="E261" s="16">
        <f t="shared" si="14"/>
        <v>1</v>
      </c>
      <c r="F261" s="16">
        <f t="shared" si="14"/>
        <v>80</v>
      </c>
      <c r="G261" s="16">
        <f t="shared" si="14"/>
        <v>0</v>
      </c>
      <c r="H261" s="16">
        <f t="shared" si="14"/>
        <v>0</v>
      </c>
      <c r="I261" s="16">
        <f t="shared" si="14"/>
        <v>0</v>
      </c>
      <c r="J261" s="16">
        <f t="shared" si="14"/>
        <v>0</v>
      </c>
      <c r="K261" s="16">
        <f t="shared" si="14"/>
        <v>1</v>
      </c>
    </row>
    <row r="262" spans="1:11">
      <c r="A262" s="15" t="str">
        <f t="shared" si="15"/>
        <v>03891</v>
      </c>
      <c r="B262" s="16">
        <f t="shared" si="14"/>
        <v>134</v>
      </c>
      <c r="C262" s="16">
        <f t="shared" si="14"/>
        <v>0</v>
      </c>
      <c r="D262" s="16">
        <f t="shared" si="14"/>
        <v>389</v>
      </c>
      <c r="E262" s="16">
        <f t="shared" si="14"/>
        <v>1</v>
      </c>
      <c r="F262" s="16">
        <f t="shared" si="14"/>
        <v>13</v>
      </c>
      <c r="G262" s="16">
        <f t="shared" si="14"/>
        <v>0</v>
      </c>
      <c r="H262" s="16">
        <f t="shared" si="14"/>
        <v>0</v>
      </c>
      <c r="I262" s="16">
        <f t="shared" si="14"/>
        <v>0</v>
      </c>
      <c r="J262" s="16">
        <f t="shared" si="14"/>
        <v>0</v>
      </c>
      <c r="K262" s="16">
        <f t="shared" si="14"/>
        <v>1</v>
      </c>
    </row>
    <row r="263" spans="1:11">
      <c r="A263" s="15" t="str">
        <f t="shared" si="15"/>
        <v>03901</v>
      </c>
      <c r="B263" s="16">
        <f t="shared" si="14"/>
        <v>134</v>
      </c>
      <c r="C263" s="16">
        <f t="shared" si="14"/>
        <v>0</v>
      </c>
      <c r="D263" s="16">
        <f t="shared" si="14"/>
        <v>390</v>
      </c>
      <c r="E263" s="16">
        <f t="shared" si="14"/>
        <v>1</v>
      </c>
      <c r="F263" s="16">
        <f t="shared" si="14"/>
        <v>1348</v>
      </c>
      <c r="G263" s="16">
        <f t="shared" si="14"/>
        <v>0</v>
      </c>
      <c r="H263" s="16">
        <f t="shared" si="14"/>
        <v>0</v>
      </c>
      <c r="I263" s="16">
        <f t="shared" si="14"/>
        <v>0</v>
      </c>
      <c r="J263" s="16">
        <f t="shared" si="14"/>
        <v>0</v>
      </c>
      <c r="K263" s="16">
        <f t="shared" si="14"/>
        <v>1</v>
      </c>
    </row>
    <row r="264" spans="1:11">
      <c r="A264" s="15" t="str">
        <f t="shared" si="15"/>
        <v>03911</v>
      </c>
      <c r="B264" s="16">
        <f t="shared" si="14"/>
        <v>134</v>
      </c>
      <c r="C264" s="16">
        <f t="shared" si="14"/>
        <v>0</v>
      </c>
      <c r="D264" s="16">
        <f t="shared" si="14"/>
        <v>391</v>
      </c>
      <c r="E264" s="16">
        <f t="shared" si="14"/>
        <v>1</v>
      </c>
      <c r="F264" s="16">
        <f t="shared" si="14"/>
        <v>193</v>
      </c>
      <c r="G264" s="16">
        <f t="shared" si="14"/>
        <v>0</v>
      </c>
      <c r="H264" s="16">
        <f t="shared" si="14"/>
        <v>0</v>
      </c>
      <c r="I264" s="16">
        <f t="shared" si="14"/>
        <v>0</v>
      </c>
      <c r="J264" s="16">
        <f t="shared" si="14"/>
        <v>0</v>
      </c>
      <c r="K264" s="16">
        <f t="shared" si="14"/>
        <v>1</v>
      </c>
    </row>
    <row r="265" spans="1:11">
      <c r="A265" s="15" t="str">
        <f t="shared" si="15"/>
        <v>03921</v>
      </c>
      <c r="B265" s="16">
        <f t="shared" si="14"/>
        <v>134</v>
      </c>
      <c r="C265" s="16">
        <f t="shared" si="14"/>
        <v>0</v>
      </c>
      <c r="D265" s="16">
        <f t="shared" si="14"/>
        <v>392</v>
      </c>
      <c r="E265" s="16">
        <f t="shared" si="14"/>
        <v>1</v>
      </c>
      <c r="F265" s="16">
        <f t="shared" si="14"/>
        <v>228</v>
      </c>
      <c r="G265" s="16">
        <f t="shared" si="14"/>
        <v>0</v>
      </c>
      <c r="H265" s="16">
        <f t="shared" si="14"/>
        <v>0</v>
      </c>
      <c r="I265" s="16">
        <f t="shared" si="14"/>
        <v>0</v>
      </c>
      <c r="J265" s="16">
        <f t="shared" si="14"/>
        <v>0</v>
      </c>
      <c r="K265" s="16">
        <f t="shared" si="14"/>
        <v>1</v>
      </c>
    </row>
    <row r="266" spans="1:11">
      <c r="A266" s="15" t="str">
        <f t="shared" si="15"/>
        <v>03931</v>
      </c>
      <c r="B266" s="16">
        <f t="shared" si="14"/>
        <v>134</v>
      </c>
      <c r="C266" s="16">
        <f t="shared" si="14"/>
        <v>0</v>
      </c>
      <c r="D266" s="16">
        <f t="shared" si="14"/>
        <v>393</v>
      </c>
      <c r="E266" s="16">
        <f t="shared" si="14"/>
        <v>1</v>
      </c>
      <c r="F266" s="16">
        <f t="shared" si="14"/>
        <v>1540</v>
      </c>
      <c r="G266" s="16">
        <f t="shared" si="14"/>
        <v>0</v>
      </c>
      <c r="H266" s="16">
        <f t="shared" si="14"/>
        <v>0</v>
      </c>
      <c r="I266" s="16">
        <f t="shared" si="14"/>
        <v>0</v>
      </c>
      <c r="J266" s="16">
        <f t="shared" si="14"/>
        <v>0</v>
      </c>
      <c r="K266" s="16">
        <f t="shared" si="14"/>
        <v>1</v>
      </c>
    </row>
    <row r="267" spans="1:11">
      <c r="A267" s="15" t="str">
        <f t="shared" si="15"/>
        <v>03941</v>
      </c>
      <c r="B267" s="16">
        <f t="shared" si="14"/>
        <v>134</v>
      </c>
      <c r="C267" s="16">
        <f t="shared" si="14"/>
        <v>0</v>
      </c>
      <c r="D267" s="16">
        <f t="shared" si="14"/>
        <v>394</v>
      </c>
      <c r="E267" s="16">
        <f t="shared" si="14"/>
        <v>1</v>
      </c>
      <c r="F267" s="16">
        <f t="shared" si="14"/>
        <v>246</v>
      </c>
      <c r="G267" s="16">
        <f t="shared" si="14"/>
        <v>0</v>
      </c>
      <c r="H267" s="16">
        <f t="shared" si="14"/>
        <v>0</v>
      </c>
      <c r="I267" s="16">
        <f t="shared" si="14"/>
        <v>0</v>
      </c>
      <c r="J267" s="16">
        <f t="shared" si="14"/>
        <v>0</v>
      </c>
      <c r="K267" s="16">
        <f t="shared" si="14"/>
        <v>1</v>
      </c>
    </row>
    <row r="268" spans="1:11">
      <c r="A268" s="15" t="str">
        <f t="shared" si="15"/>
        <v>03951</v>
      </c>
      <c r="B268" s="16">
        <f t="shared" si="14"/>
        <v>134</v>
      </c>
      <c r="C268" s="16">
        <f t="shared" si="14"/>
        <v>0</v>
      </c>
      <c r="D268" s="16">
        <f t="shared" si="14"/>
        <v>395</v>
      </c>
      <c r="E268" s="16">
        <f t="shared" si="14"/>
        <v>1</v>
      </c>
      <c r="F268" s="16">
        <f t="shared" si="14"/>
        <v>228</v>
      </c>
      <c r="G268" s="16">
        <f t="shared" si="14"/>
        <v>0</v>
      </c>
      <c r="H268" s="16">
        <f t="shared" si="14"/>
        <v>0</v>
      </c>
      <c r="I268" s="16">
        <f t="shared" si="14"/>
        <v>0</v>
      </c>
      <c r="J268" s="16">
        <f t="shared" si="14"/>
        <v>0</v>
      </c>
      <c r="K268" s="16">
        <f t="shared" si="14"/>
        <v>1</v>
      </c>
    </row>
    <row r="269" spans="1:11">
      <c r="A269" s="15" t="str">
        <f t="shared" si="15"/>
        <v>03961</v>
      </c>
      <c r="B269" s="16">
        <f t="shared" si="14"/>
        <v>134</v>
      </c>
      <c r="C269" s="16">
        <f t="shared" si="14"/>
        <v>0</v>
      </c>
      <c r="D269" s="16">
        <f t="shared" si="14"/>
        <v>396</v>
      </c>
      <c r="E269" s="16">
        <f t="shared" si="14"/>
        <v>1</v>
      </c>
      <c r="F269" s="16">
        <f t="shared" si="14"/>
        <v>1540</v>
      </c>
      <c r="G269" s="16">
        <f t="shared" si="14"/>
        <v>0</v>
      </c>
      <c r="H269" s="16">
        <f t="shared" si="14"/>
        <v>0</v>
      </c>
      <c r="I269" s="16">
        <f t="shared" si="14"/>
        <v>0</v>
      </c>
      <c r="J269" s="16">
        <f t="shared" si="14"/>
        <v>0</v>
      </c>
      <c r="K269" s="16">
        <f t="shared" si="14"/>
        <v>1</v>
      </c>
    </row>
    <row r="270" spans="1:11">
      <c r="A270" s="15" t="str">
        <f t="shared" si="15"/>
        <v>03971</v>
      </c>
      <c r="B270" s="16">
        <f t="shared" si="14"/>
        <v>134</v>
      </c>
      <c r="C270" s="16">
        <f t="shared" si="14"/>
        <v>0</v>
      </c>
      <c r="D270" s="16">
        <f t="shared" si="14"/>
        <v>397</v>
      </c>
      <c r="E270" s="16">
        <f t="shared" si="14"/>
        <v>1</v>
      </c>
      <c r="F270" s="16">
        <f t="shared" si="14"/>
        <v>246</v>
      </c>
      <c r="G270" s="16">
        <f t="shared" si="14"/>
        <v>0</v>
      </c>
      <c r="H270" s="16">
        <f t="shared" si="14"/>
        <v>0</v>
      </c>
      <c r="I270" s="16">
        <f t="shared" si="14"/>
        <v>0</v>
      </c>
      <c r="J270" s="16">
        <f t="shared" si="14"/>
        <v>0</v>
      </c>
      <c r="K270" s="16">
        <f t="shared" si="14"/>
        <v>1</v>
      </c>
    </row>
    <row r="271" spans="1:11">
      <c r="A271" s="15" t="str">
        <f t="shared" si="15"/>
        <v>03981</v>
      </c>
      <c r="B271" s="16">
        <f t="shared" si="14"/>
        <v>134</v>
      </c>
      <c r="C271" s="16">
        <f t="shared" si="14"/>
        <v>0</v>
      </c>
      <c r="D271" s="16">
        <f t="shared" si="14"/>
        <v>398</v>
      </c>
      <c r="E271" s="16">
        <f t="shared" si="14"/>
        <v>1</v>
      </c>
      <c r="F271" s="16">
        <f t="shared" si="14"/>
        <v>1348</v>
      </c>
      <c r="G271" s="16">
        <f t="shared" si="14"/>
        <v>0</v>
      </c>
      <c r="H271" s="16">
        <f t="shared" si="14"/>
        <v>0</v>
      </c>
      <c r="I271" s="16">
        <f t="shared" si="14"/>
        <v>0</v>
      </c>
      <c r="J271" s="16">
        <f t="shared" si="14"/>
        <v>0</v>
      </c>
      <c r="K271" s="16">
        <f t="shared" si="14"/>
        <v>1</v>
      </c>
    </row>
    <row r="272" spans="1:11">
      <c r="A272" s="15" t="str">
        <f t="shared" si="15"/>
        <v>03991</v>
      </c>
      <c r="B272" s="16">
        <f t="shared" si="14"/>
        <v>134</v>
      </c>
      <c r="C272" s="16">
        <f t="shared" si="14"/>
        <v>0</v>
      </c>
      <c r="D272" s="16">
        <f t="shared" si="14"/>
        <v>399</v>
      </c>
      <c r="E272" s="16">
        <f t="shared" si="14"/>
        <v>1</v>
      </c>
      <c r="F272" s="16">
        <f t="shared" si="14"/>
        <v>193</v>
      </c>
      <c r="G272" s="16">
        <f t="shared" si="14"/>
        <v>0</v>
      </c>
      <c r="H272" s="16">
        <f t="shared" si="14"/>
        <v>0</v>
      </c>
      <c r="I272" s="16">
        <f t="shared" si="14"/>
        <v>0</v>
      </c>
      <c r="J272" s="16">
        <f t="shared" si="14"/>
        <v>0</v>
      </c>
      <c r="K272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K272"/>
  <sheetViews>
    <sheetView workbookViewId="0">
      <pane xSplit="1" ySplit="2" topLeftCell="B101" activePane="bottomRight" state="frozen"/>
      <selection pane="topRight" activeCell="B1" sqref="B1"/>
      <selection pane="bottomLeft" activeCell="A3" sqref="A3"/>
      <selection pane="bottomRight" activeCell="F108" sqref="F108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gacha_unit_tables_135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135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2100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135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2100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135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2100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135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2100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135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2100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135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2100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135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2100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135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2100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135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2100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135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2100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135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2100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135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2100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135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2100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135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2100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135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2100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135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2100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135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2100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135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2100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135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2100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135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2100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135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2076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135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2076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135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2076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135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2076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135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2076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135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2076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135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2076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135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2076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135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2076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135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2076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135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2076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135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2076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135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2076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135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2076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135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2076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135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2076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135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2076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135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2076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135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2076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135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2076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135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200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135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200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135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200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135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200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135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174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135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174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135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174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135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174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135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174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135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174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135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174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135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174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135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174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135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174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135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174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135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174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135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174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135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174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135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174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135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174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135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174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135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174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135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174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135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174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135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8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135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8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135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135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8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135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200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135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8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135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200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135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8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135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200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135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8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135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200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135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8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135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200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135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8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135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200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135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8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135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200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135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8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135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200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135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8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135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120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135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5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135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120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135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5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135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120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135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5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135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120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135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5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135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200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135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8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135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120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135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135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120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135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5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135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200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135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8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13901</v>
      </c>
      <c r="B103" s="16">
        <f t="shared" si="6"/>
        <v>135</v>
      </c>
      <c r="C103" s="16">
        <f t="shared" si="6"/>
        <v>1</v>
      </c>
      <c r="D103" s="16">
        <f t="shared" si="6"/>
        <v>390</v>
      </c>
      <c r="E103" s="16">
        <f t="shared" si="6"/>
        <v>1</v>
      </c>
      <c r="F103" s="16">
        <f t="shared" si="6"/>
        <v>960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13911</v>
      </c>
      <c r="B104" s="16">
        <f t="shared" si="6"/>
        <v>135</v>
      </c>
      <c r="C104" s="16">
        <f t="shared" si="6"/>
        <v>1</v>
      </c>
      <c r="D104" s="16">
        <f t="shared" si="6"/>
        <v>391</v>
      </c>
      <c r="E104" s="16">
        <f t="shared" si="6"/>
        <v>1</v>
      </c>
      <c r="F104" s="16">
        <f t="shared" si="6"/>
        <v>40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13931</v>
      </c>
      <c r="B105" s="16">
        <f t="shared" si="6"/>
        <v>135</v>
      </c>
      <c r="C105" s="16">
        <f t="shared" si="6"/>
        <v>1</v>
      </c>
      <c r="D105" s="16">
        <f t="shared" si="6"/>
        <v>393</v>
      </c>
      <c r="E105" s="16">
        <f t="shared" si="6"/>
        <v>1</v>
      </c>
      <c r="F105" s="16">
        <f t="shared" si="6"/>
        <v>3840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13941</v>
      </c>
      <c r="B106" s="16">
        <f t="shared" si="6"/>
        <v>135</v>
      </c>
      <c r="C106" s="16">
        <f t="shared" si="6"/>
        <v>1</v>
      </c>
      <c r="D106" s="16">
        <f t="shared" si="6"/>
        <v>394</v>
      </c>
      <c r="E106" s="16">
        <f t="shared" si="6"/>
        <v>1</v>
      </c>
      <c r="F106" s="16">
        <f t="shared" si="6"/>
        <v>160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13961</v>
      </c>
      <c r="B107" s="16">
        <f t="shared" si="6"/>
        <v>135</v>
      </c>
      <c r="C107" s="16">
        <f t="shared" si="6"/>
        <v>1</v>
      </c>
      <c r="D107" s="16">
        <f t="shared" si="6"/>
        <v>396</v>
      </c>
      <c r="E107" s="16">
        <f t="shared" si="6"/>
        <v>1</v>
      </c>
      <c r="F107" s="16">
        <f t="shared" si="6"/>
        <v>3840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13971</v>
      </c>
      <c r="B108" s="16">
        <f t="shared" si="6"/>
        <v>135</v>
      </c>
      <c r="C108" s="16">
        <f t="shared" si="6"/>
        <v>1</v>
      </c>
      <c r="D108" s="16">
        <f t="shared" si="6"/>
        <v>397</v>
      </c>
      <c r="E108" s="16">
        <f t="shared" si="6"/>
        <v>1</v>
      </c>
      <c r="F108" s="16">
        <f t="shared" si="6"/>
        <v>160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01261</v>
      </c>
      <c r="B109" s="16">
        <f t="shared" si="6"/>
        <v>135</v>
      </c>
      <c r="C109" s="16">
        <f t="shared" si="6"/>
        <v>0</v>
      </c>
      <c r="D109" s="16">
        <f t="shared" si="6"/>
        <v>126</v>
      </c>
      <c r="E109" s="16">
        <f t="shared" si="6"/>
        <v>1</v>
      </c>
      <c r="F109" s="16">
        <f t="shared" si="6"/>
        <v>2433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01281</v>
      </c>
      <c r="B110" s="16">
        <f t="shared" si="6"/>
        <v>135</v>
      </c>
      <c r="C110" s="16">
        <f t="shared" si="6"/>
        <v>0</v>
      </c>
      <c r="D110" s="16">
        <f t="shared" si="6"/>
        <v>128</v>
      </c>
      <c r="E110" s="16">
        <f t="shared" si="6"/>
        <v>1</v>
      </c>
      <c r="F110" s="16">
        <f t="shared" si="6"/>
        <v>2433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01301</v>
      </c>
      <c r="B111" s="16">
        <f t="shared" si="6"/>
        <v>135</v>
      </c>
      <c r="C111" s="16">
        <f t="shared" si="6"/>
        <v>0</v>
      </c>
      <c r="D111" s="16">
        <f t="shared" si="6"/>
        <v>130</v>
      </c>
      <c r="E111" s="16">
        <f t="shared" si="6"/>
        <v>1</v>
      </c>
      <c r="F111" s="16">
        <f t="shared" si="6"/>
        <v>2433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01321</v>
      </c>
      <c r="B112" s="16">
        <f t="shared" si="6"/>
        <v>135</v>
      </c>
      <c r="C112" s="16">
        <f t="shared" si="6"/>
        <v>0</v>
      </c>
      <c r="D112" s="16">
        <f t="shared" si="6"/>
        <v>132</v>
      </c>
      <c r="E112" s="16">
        <f t="shared" si="6"/>
        <v>1</v>
      </c>
      <c r="F112" s="16">
        <f t="shared" si="6"/>
        <v>2433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01341</v>
      </c>
      <c r="B113" s="16">
        <f t="shared" si="6"/>
        <v>135</v>
      </c>
      <c r="C113" s="16">
        <f t="shared" si="6"/>
        <v>0</v>
      </c>
      <c r="D113" s="16">
        <f t="shared" si="6"/>
        <v>134</v>
      </c>
      <c r="E113" s="16">
        <f t="shared" si="6"/>
        <v>1</v>
      </c>
      <c r="F113" s="16">
        <f t="shared" si="6"/>
        <v>2433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01361</v>
      </c>
      <c r="B114" s="16">
        <f t="shared" si="6"/>
        <v>135</v>
      </c>
      <c r="C114" s="16">
        <f t="shared" si="6"/>
        <v>0</v>
      </c>
      <c r="D114" s="16">
        <f t="shared" si="6"/>
        <v>136</v>
      </c>
      <c r="E114" s="16">
        <f t="shared" si="6"/>
        <v>1</v>
      </c>
      <c r="F114" s="16">
        <f t="shared" si="6"/>
        <v>2433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01381</v>
      </c>
      <c r="B115" s="16">
        <f t="shared" si="6"/>
        <v>135</v>
      </c>
      <c r="C115" s="16">
        <f t="shared" si="6"/>
        <v>0</v>
      </c>
      <c r="D115" s="16">
        <f t="shared" si="6"/>
        <v>138</v>
      </c>
      <c r="E115" s="16">
        <f t="shared" si="6"/>
        <v>1</v>
      </c>
      <c r="F115" s="16">
        <f t="shared" si="6"/>
        <v>2433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01401</v>
      </c>
      <c r="B116" s="16">
        <f t="shared" si="6"/>
        <v>135</v>
      </c>
      <c r="C116" s="16">
        <f t="shared" si="6"/>
        <v>0</v>
      </c>
      <c r="D116" s="16">
        <f t="shared" si="6"/>
        <v>140</v>
      </c>
      <c r="E116" s="16">
        <f t="shared" si="6"/>
        <v>1</v>
      </c>
      <c r="F116" s="16">
        <f t="shared" si="6"/>
        <v>2433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01421</v>
      </c>
      <c r="B117" s="16">
        <f t="shared" si="6"/>
        <v>135</v>
      </c>
      <c r="C117" s="16">
        <f t="shared" si="6"/>
        <v>0</v>
      </c>
      <c r="D117" s="16">
        <f t="shared" si="6"/>
        <v>142</v>
      </c>
      <c r="E117" s="16">
        <f t="shared" si="6"/>
        <v>1</v>
      </c>
      <c r="F117" s="16">
        <f t="shared" si="6"/>
        <v>2433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01441</v>
      </c>
      <c r="B118" s="16">
        <f t="shared" si="6"/>
        <v>135</v>
      </c>
      <c r="C118" s="16">
        <f t="shared" si="6"/>
        <v>0</v>
      </c>
      <c r="D118" s="16">
        <f t="shared" si="6"/>
        <v>144</v>
      </c>
      <c r="E118" s="16">
        <f t="shared" si="6"/>
        <v>1</v>
      </c>
      <c r="F118" s="16">
        <f t="shared" si="6"/>
        <v>2433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01461</v>
      </c>
      <c r="B119" s="16">
        <f t="shared" si="6"/>
        <v>135</v>
      </c>
      <c r="C119" s="16">
        <f t="shared" si="6"/>
        <v>0</v>
      </c>
      <c r="D119" s="16">
        <f t="shared" si="6"/>
        <v>146</v>
      </c>
      <c r="E119" s="16">
        <f t="shared" si="6"/>
        <v>1</v>
      </c>
      <c r="F119" s="16">
        <f t="shared" si="6"/>
        <v>2433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01481</v>
      </c>
      <c r="B120" s="16">
        <f t="shared" si="6"/>
        <v>135</v>
      </c>
      <c r="C120" s="16">
        <f t="shared" si="6"/>
        <v>0</v>
      </c>
      <c r="D120" s="16">
        <f t="shared" si="6"/>
        <v>148</v>
      </c>
      <c r="E120" s="16">
        <f t="shared" si="6"/>
        <v>1</v>
      </c>
      <c r="F120" s="16">
        <f t="shared" si="6"/>
        <v>2433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01501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135</v>
      </c>
      <c r="C121" s="16">
        <f t="shared" si="7"/>
        <v>0</v>
      </c>
      <c r="D121" s="16">
        <f t="shared" si="7"/>
        <v>150</v>
      </c>
      <c r="E121" s="16">
        <f t="shared" si="7"/>
        <v>1</v>
      </c>
      <c r="F121" s="16">
        <f t="shared" si="7"/>
        <v>2433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01521</v>
      </c>
      <c r="B122" s="16">
        <f t="shared" si="7"/>
        <v>135</v>
      </c>
      <c r="C122" s="16">
        <f t="shared" si="7"/>
        <v>0</v>
      </c>
      <c r="D122" s="16">
        <f t="shared" si="7"/>
        <v>152</v>
      </c>
      <c r="E122" s="16">
        <f t="shared" si="7"/>
        <v>1</v>
      </c>
      <c r="F122" s="16">
        <f t="shared" si="7"/>
        <v>2433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01541</v>
      </c>
      <c r="B123" s="16">
        <f t="shared" si="7"/>
        <v>135</v>
      </c>
      <c r="C123" s="16">
        <f t="shared" si="7"/>
        <v>0</v>
      </c>
      <c r="D123" s="16">
        <f t="shared" si="7"/>
        <v>154</v>
      </c>
      <c r="E123" s="16">
        <f t="shared" si="7"/>
        <v>1</v>
      </c>
      <c r="F123" s="16">
        <f t="shared" si="7"/>
        <v>2433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01561</v>
      </c>
      <c r="B124" s="16">
        <f t="shared" si="7"/>
        <v>135</v>
      </c>
      <c r="C124" s="16">
        <f t="shared" si="7"/>
        <v>0</v>
      </c>
      <c r="D124" s="16">
        <f t="shared" si="7"/>
        <v>156</v>
      </c>
      <c r="E124" s="16">
        <f t="shared" si="7"/>
        <v>1</v>
      </c>
      <c r="F124" s="16">
        <f t="shared" si="7"/>
        <v>2433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01581</v>
      </c>
      <c r="B125" s="16">
        <f t="shared" si="7"/>
        <v>135</v>
      </c>
      <c r="C125" s="16">
        <f t="shared" si="7"/>
        <v>0</v>
      </c>
      <c r="D125" s="16">
        <f t="shared" si="7"/>
        <v>158</v>
      </c>
      <c r="E125" s="16">
        <f t="shared" si="7"/>
        <v>1</v>
      </c>
      <c r="F125" s="16">
        <f t="shared" si="7"/>
        <v>2433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01601</v>
      </c>
      <c r="B126" s="16">
        <f t="shared" si="7"/>
        <v>135</v>
      </c>
      <c r="C126" s="16">
        <f t="shared" si="7"/>
        <v>0</v>
      </c>
      <c r="D126" s="16">
        <f t="shared" si="7"/>
        <v>160</v>
      </c>
      <c r="E126" s="16">
        <f t="shared" si="7"/>
        <v>1</v>
      </c>
      <c r="F126" s="16">
        <f t="shared" si="7"/>
        <v>2433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01621</v>
      </c>
      <c r="B127" s="16">
        <f t="shared" si="7"/>
        <v>135</v>
      </c>
      <c r="C127" s="16">
        <f t="shared" si="7"/>
        <v>0</v>
      </c>
      <c r="D127" s="16">
        <f t="shared" si="7"/>
        <v>162</v>
      </c>
      <c r="E127" s="16">
        <f t="shared" si="7"/>
        <v>1</v>
      </c>
      <c r="F127" s="16">
        <f t="shared" si="7"/>
        <v>2433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01641</v>
      </c>
      <c r="B128" s="16">
        <f t="shared" si="7"/>
        <v>135</v>
      </c>
      <c r="C128" s="16">
        <f t="shared" si="7"/>
        <v>0</v>
      </c>
      <c r="D128" s="16">
        <f t="shared" si="7"/>
        <v>164</v>
      </c>
      <c r="E128" s="16">
        <f t="shared" si="7"/>
        <v>1</v>
      </c>
      <c r="F128" s="16">
        <f t="shared" si="7"/>
        <v>2433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01661</v>
      </c>
      <c r="B129" s="16">
        <f t="shared" si="7"/>
        <v>135</v>
      </c>
      <c r="C129" s="16">
        <f t="shared" si="7"/>
        <v>0</v>
      </c>
      <c r="D129" s="16">
        <f t="shared" si="7"/>
        <v>166</v>
      </c>
      <c r="E129" s="16">
        <f t="shared" si="7"/>
        <v>1</v>
      </c>
      <c r="F129" s="16">
        <f t="shared" si="7"/>
        <v>2460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01691</v>
      </c>
      <c r="B130" s="16">
        <f t="shared" si="7"/>
        <v>135</v>
      </c>
      <c r="C130" s="16">
        <f t="shared" si="7"/>
        <v>0</v>
      </c>
      <c r="D130" s="16">
        <f t="shared" si="7"/>
        <v>169</v>
      </c>
      <c r="E130" s="16">
        <f t="shared" si="7"/>
        <v>1</v>
      </c>
      <c r="F130" s="16">
        <f t="shared" si="7"/>
        <v>2460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01721</v>
      </c>
      <c r="B131" s="16">
        <f t="shared" si="7"/>
        <v>135</v>
      </c>
      <c r="C131" s="16">
        <f t="shared" si="7"/>
        <v>0</v>
      </c>
      <c r="D131" s="16">
        <f t="shared" si="7"/>
        <v>172</v>
      </c>
      <c r="E131" s="16">
        <f t="shared" si="7"/>
        <v>1</v>
      </c>
      <c r="F131" s="16">
        <f t="shared" si="7"/>
        <v>2460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01751</v>
      </c>
      <c r="B132" s="16">
        <f t="shared" si="7"/>
        <v>135</v>
      </c>
      <c r="C132" s="16">
        <f t="shared" si="7"/>
        <v>0</v>
      </c>
      <c r="D132" s="16">
        <f t="shared" si="7"/>
        <v>175</v>
      </c>
      <c r="E132" s="16">
        <f t="shared" si="7"/>
        <v>1</v>
      </c>
      <c r="F132" s="16">
        <f t="shared" si="7"/>
        <v>2460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01781</v>
      </c>
      <c r="B133" s="16">
        <f t="shared" si="7"/>
        <v>135</v>
      </c>
      <c r="C133" s="16">
        <f t="shared" si="7"/>
        <v>0</v>
      </c>
      <c r="D133" s="16">
        <f t="shared" si="7"/>
        <v>178</v>
      </c>
      <c r="E133" s="16">
        <f t="shared" si="7"/>
        <v>1</v>
      </c>
      <c r="F133" s="16">
        <f t="shared" si="7"/>
        <v>2460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01811</v>
      </c>
      <c r="B134" s="16">
        <f t="shared" si="7"/>
        <v>135</v>
      </c>
      <c r="C134" s="16">
        <f t="shared" si="7"/>
        <v>0</v>
      </c>
      <c r="D134" s="16">
        <f t="shared" si="7"/>
        <v>181</v>
      </c>
      <c r="E134" s="16">
        <f t="shared" si="7"/>
        <v>1</v>
      </c>
      <c r="F134" s="16">
        <f t="shared" si="7"/>
        <v>2460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01841</v>
      </c>
      <c r="B135" s="16">
        <f t="shared" si="7"/>
        <v>135</v>
      </c>
      <c r="C135" s="16">
        <f t="shared" si="7"/>
        <v>0</v>
      </c>
      <c r="D135" s="16">
        <f t="shared" si="7"/>
        <v>184</v>
      </c>
      <c r="E135" s="16">
        <f t="shared" si="7"/>
        <v>1</v>
      </c>
      <c r="F135" s="16">
        <f t="shared" si="7"/>
        <v>2460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01871</v>
      </c>
      <c r="B136" s="16">
        <f t="shared" si="7"/>
        <v>135</v>
      </c>
      <c r="C136" s="16">
        <f t="shared" si="7"/>
        <v>0</v>
      </c>
      <c r="D136" s="16">
        <f t="shared" si="7"/>
        <v>187</v>
      </c>
      <c r="E136" s="16">
        <f t="shared" si="7"/>
        <v>1</v>
      </c>
      <c r="F136" s="16">
        <f t="shared" si="7"/>
        <v>2460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01901</v>
      </c>
      <c r="B137" s="16">
        <f t="shared" si="7"/>
        <v>135</v>
      </c>
      <c r="C137" s="16">
        <f t="shared" si="7"/>
        <v>0</v>
      </c>
      <c r="D137" s="16">
        <f t="shared" si="7"/>
        <v>190</v>
      </c>
      <c r="E137" s="16">
        <f t="shared" si="7"/>
        <v>1</v>
      </c>
      <c r="F137" s="16">
        <f t="shared" si="7"/>
        <v>2460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01931</v>
      </c>
      <c r="B138" s="16">
        <f t="shared" si="7"/>
        <v>135</v>
      </c>
      <c r="C138" s="16">
        <f t="shared" si="7"/>
        <v>0</v>
      </c>
      <c r="D138" s="16">
        <f t="shared" si="7"/>
        <v>193</v>
      </c>
      <c r="E138" s="16">
        <f t="shared" si="7"/>
        <v>1</v>
      </c>
      <c r="F138" s="16">
        <f t="shared" si="7"/>
        <v>2460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01961</v>
      </c>
      <c r="B139" s="16">
        <f t="shared" si="7"/>
        <v>135</v>
      </c>
      <c r="C139" s="16">
        <f t="shared" si="7"/>
        <v>0</v>
      </c>
      <c r="D139" s="16">
        <f t="shared" si="7"/>
        <v>196</v>
      </c>
      <c r="E139" s="16">
        <f t="shared" si="7"/>
        <v>1</v>
      </c>
      <c r="F139" s="16">
        <f t="shared" si="7"/>
        <v>2460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01991</v>
      </c>
      <c r="B140" s="16">
        <f t="shared" si="7"/>
        <v>135</v>
      </c>
      <c r="C140" s="16">
        <f t="shared" si="7"/>
        <v>0</v>
      </c>
      <c r="D140" s="16">
        <f t="shared" si="7"/>
        <v>199</v>
      </c>
      <c r="E140" s="16">
        <f t="shared" si="7"/>
        <v>1</v>
      </c>
      <c r="F140" s="16">
        <f t="shared" si="7"/>
        <v>2460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02021</v>
      </c>
      <c r="B141" s="16">
        <f t="shared" si="7"/>
        <v>135</v>
      </c>
      <c r="C141" s="16">
        <f t="shared" si="7"/>
        <v>0</v>
      </c>
      <c r="D141" s="16">
        <f t="shared" si="7"/>
        <v>202</v>
      </c>
      <c r="E141" s="16">
        <f t="shared" si="7"/>
        <v>1</v>
      </c>
      <c r="F141" s="16">
        <f t="shared" si="7"/>
        <v>2460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02051</v>
      </c>
      <c r="B142" s="16">
        <f t="shared" si="7"/>
        <v>135</v>
      </c>
      <c r="C142" s="16">
        <f t="shared" si="7"/>
        <v>0</v>
      </c>
      <c r="D142" s="16">
        <f t="shared" si="7"/>
        <v>205</v>
      </c>
      <c r="E142" s="16">
        <f t="shared" si="7"/>
        <v>1</v>
      </c>
      <c r="F142" s="16">
        <f t="shared" si="7"/>
        <v>2460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02081</v>
      </c>
      <c r="B143" s="16">
        <f t="shared" si="7"/>
        <v>135</v>
      </c>
      <c r="C143" s="16">
        <f t="shared" si="7"/>
        <v>0</v>
      </c>
      <c r="D143" s="16">
        <f t="shared" si="7"/>
        <v>208</v>
      </c>
      <c r="E143" s="16">
        <f t="shared" si="7"/>
        <v>1</v>
      </c>
      <c r="F143" s="16">
        <f t="shared" si="7"/>
        <v>2460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02111</v>
      </c>
      <c r="B144" s="16">
        <f t="shared" si="7"/>
        <v>135</v>
      </c>
      <c r="C144" s="16">
        <f t="shared" si="7"/>
        <v>0</v>
      </c>
      <c r="D144" s="16">
        <f t="shared" si="7"/>
        <v>211</v>
      </c>
      <c r="E144" s="16">
        <f t="shared" si="7"/>
        <v>1</v>
      </c>
      <c r="F144" s="16">
        <f t="shared" si="7"/>
        <v>2460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02141</v>
      </c>
      <c r="B145" s="16">
        <f t="shared" si="7"/>
        <v>135</v>
      </c>
      <c r="C145" s="16">
        <f t="shared" si="7"/>
        <v>0</v>
      </c>
      <c r="D145" s="16">
        <f t="shared" si="7"/>
        <v>214</v>
      </c>
      <c r="E145" s="16">
        <f t="shared" si="7"/>
        <v>1</v>
      </c>
      <c r="F145" s="16">
        <f t="shared" si="7"/>
        <v>2460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02171</v>
      </c>
      <c r="B146" s="16">
        <f t="shared" si="7"/>
        <v>135</v>
      </c>
      <c r="C146" s="16">
        <f t="shared" si="7"/>
        <v>0</v>
      </c>
      <c r="D146" s="16">
        <f t="shared" si="7"/>
        <v>217</v>
      </c>
      <c r="E146" s="16">
        <f t="shared" si="7"/>
        <v>1</v>
      </c>
      <c r="F146" s="16">
        <f t="shared" si="7"/>
        <v>2460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02201</v>
      </c>
      <c r="B147" s="16">
        <f t="shared" si="9"/>
        <v>135</v>
      </c>
      <c r="C147" s="16">
        <f t="shared" si="9"/>
        <v>0</v>
      </c>
      <c r="D147" s="16">
        <f t="shared" si="9"/>
        <v>220</v>
      </c>
      <c r="E147" s="16">
        <f t="shared" si="9"/>
        <v>1</v>
      </c>
      <c r="F147" s="16">
        <f t="shared" si="9"/>
        <v>2460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02231</v>
      </c>
      <c r="B148" s="16">
        <f t="shared" si="9"/>
        <v>135</v>
      </c>
      <c r="C148" s="16">
        <f t="shared" si="9"/>
        <v>0</v>
      </c>
      <c r="D148" s="16">
        <f t="shared" si="9"/>
        <v>223</v>
      </c>
      <c r="E148" s="16">
        <f t="shared" si="9"/>
        <v>1</v>
      </c>
      <c r="F148" s="16">
        <f t="shared" si="9"/>
        <v>2460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02261</v>
      </c>
      <c r="B149" s="16">
        <f t="shared" si="9"/>
        <v>135</v>
      </c>
      <c r="C149" s="16">
        <f t="shared" si="9"/>
        <v>0</v>
      </c>
      <c r="D149" s="16">
        <f t="shared" si="9"/>
        <v>226</v>
      </c>
      <c r="E149" s="16">
        <f t="shared" si="9"/>
        <v>1</v>
      </c>
      <c r="F149" s="16">
        <f t="shared" si="9"/>
        <v>4374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02291</v>
      </c>
      <c r="B150" s="16">
        <f t="shared" si="9"/>
        <v>135</v>
      </c>
      <c r="C150" s="16">
        <f t="shared" si="9"/>
        <v>0</v>
      </c>
      <c r="D150" s="16">
        <f t="shared" si="9"/>
        <v>229</v>
      </c>
      <c r="E150" s="16">
        <f t="shared" si="9"/>
        <v>1</v>
      </c>
      <c r="F150" s="16">
        <f t="shared" si="9"/>
        <v>4374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02321</v>
      </c>
      <c r="B151" s="16">
        <f t="shared" si="9"/>
        <v>135</v>
      </c>
      <c r="C151" s="16">
        <f t="shared" si="9"/>
        <v>0</v>
      </c>
      <c r="D151" s="16">
        <f t="shared" si="9"/>
        <v>232</v>
      </c>
      <c r="E151" s="16">
        <f t="shared" si="9"/>
        <v>1</v>
      </c>
      <c r="F151" s="16">
        <f t="shared" si="9"/>
        <v>4374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02351</v>
      </c>
      <c r="B152" s="16">
        <f t="shared" si="9"/>
        <v>135</v>
      </c>
      <c r="C152" s="16">
        <f t="shared" si="9"/>
        <v>0</v>
      </c>
      <c r="D152" s="16">
        <f t="shared" si="9"/>
        <v>235</v>
      </c>
      <c r="E152" s="16">
        <f t="shared" si="9"/>
        <v>1</v>
      </c>
      <c r="F152" s="16">
        <f t="shared" si="9"/>
        <v>4374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01271</v>
      </c>
      <c r="B153" s="16">
        <f t="shared" si="9"/>
        <v>135</v>
      </c>
      <c r="C153" s="16">
        <f t="shared" si="9"/>
        <v>0</v>
      </c>
      <c r="D153" s="16">
        <f t="shared" si="9"/>
        <v>127</v>
      </c>
      <c r="E153" s="16">
        <f t="shared" si="9"/>
        <v>1</v>
      </c>
      <c r="F153" s="16">
        <f t="shared" si="9"/>
        <v>801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01291</v>
      </c>
      <c r="B154" s="16">
        <f t="shared" si="9"/>
        <v>135</v>
      </c>
      <c r="C154" s="16">
        <f t="shared" si="9"/>
        <v>0</v>
      </c>
      <c r="D154" s="16">
        <f t="shared" si="9"/>
        <v>129</v>
      </c>
      <c r="E154" s="16">
        <f t="shared" si="9"/>
        <v>1</v>
      </c>
      <c r="F154" s="16">
        <f t="shared" si="9"/>
        <v>801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01311</v>
      </c>
      <c r="B155" s="16">
        <f t="shared" si="9"/>
        <v>135</v>
      </c>
      <c r="C155" s="16">
        <f t="shared" si="9"/>
        <v>0</v>
      </c>
      <c r="D155" s="16">
        <f t="shared" si="9"/>
        <v>131</v>
      </c>
      <c r="E155" s="16">
        <f t="shared" si="9"/>
        <v>1</v>
      </c>
      <c r="F155" s="16">
        <f t="shared" si="9"/>
        <v>801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01331</v>
      </c>
      <c r="B156" s="16">
        <f t="shared" si="9"/>
        <v>135</v>
      </c>
      <c r="C156" s="16">
        <f t="shared" si="9"/>
        <v>0</v>
      </c>
      <c r="D156" s="16">
        <f t="shared" si="9"/>
        <v>133</v>
      </c>
      <c r="E156" s="16">
        <f t="shared" si="9"/>
        <v>1</v>
      </c>
      <c r="F156" s="16">
        <f t="shared" si="9"/>
        <v>801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01351</v>
      </c>
      <c r="B157" s="16">
        <f t="shared" si="9"/>
        <v>135</v>
      </c>
      <c r="C157" s="16">
        <f t="shared" si="9"/>
        <v>0</v>
      </c>
      <c r="D157" s="16">
        <f t="shared" si="9"/>
        <v>135</v>
      </c>
      <c r="E157" s="16">
        <f t="shared" si="9"/>
        <v>1</v>
      </c>
      <c r="F157" s="16">
        <f t="shared" si="9"/>
        <v>801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01371</v>
      </c>
      <c r="B158" s="16">
        <f t="shared" si="9"/>
        <v>135</v>
      </c>
      <c r="C158" s="16">
        <f t="shared" si="9"/>
        <v>0</v>
      </c>
      <c r="D158" s="16">
        <f t="shared" si="9"/>
        <v>137</v>
      </c>
      <c r="E158" s="16">
        <f t="shared" si="9"/>
        <v>1</v>
      </c>
      <c r="F158" s="16">
        <f t="shared" si="9"/>
        <v>801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01391</v>
      </c>
      <c r="B159" s="16">
        <f t="shared" si="9"/>
        <v>135</v>
      </c>
      <c r="C159" s="16">
        <f t="shared" si="9"/>
        <v>0</v>
      </c>
      <c r="D159" s="16">
        <f t="shared" si="9"/>
        <v>139</v>
      </c>
      <c r="E159" s="16">
        <f t="shared" si="9"/>
        <v>1</v>
      </c>
      <c r="F159" s="16">
        <f t="shared" si="9"/>
        <v>801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01411</v>
      </c>
      <c r="B160" s="16">
        <f t="shared" si="9"/>
        <v>135</v>
      </c>
      <c r="C160" s="16">
        <f t="shared" si="9"/>
        <v>0</v>
      </c>
      <c r="D160" s="16">
        <f t="shared" si="9"/>
        <v>141</v>
      </c>
      <c r="E160" s="16">
        <f t="shared" si="9"/>
        <v>1</v>
      </c>
      <c r="F160" s="16">
        <f t="shared" si="9"/>
        <v>801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01431</v>
      </c>
      <c r="B161" s="16">
        <f t="shared" si="9"/>
        <v>135</v>
      </c>
      <c r="C161" s="16">
        <f t="shared" si="9"/>
        <v>0</v>
      </c>
      <c r="D161" s="16">
        <f t="shared" si="9"/>
        <v>143</v>
      </c>
      <c r="E161" s="16">
        <f t="shared" si="9"/>
        <v>1</v>
      </c>
      <c r="F161" s="16">
        <f t="shared" si="9"/>
        <v>801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01451</v>
      </c>
      <c r="B162" s="16">
        <f t="shared" si="9"/>
        <v>135</v>
      </c>
      <c r="C162" s="16">
        <f t="shared" si="9"/>
        <v>0</v>
      </c>
      <c r="D162" s="16">
        <f t="shared" si="9"/>
        <v>145</v>
      </c>
      <c r="E162" s="16">
        <f t="shared" si="9"/>
        <v>1</v>
      </c>
      <c r="F162" s="16">
        <f t="shared" si="9"/>
        <v>801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01471</v>
      </c>
      <c r="B163" s="16">
        <f t="shared" si="9"/>
        <v>135</v>
      </c>
      <c r="C163" s="16">
        <f t="shared" si="9"/>
        <v>0</v>
      </c>
      <c r="D163" s="16">
        <f t="shared" si="9"/>
        <v>147</v>
      </c>
      <c r="E163" s="16">
        <f t="shared" si="9"/>
        <v>1</v>
      </c>
      <c r="F163" s="16">
        <f t="shared" si="9"/>
        <v>801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01491</v>
      </c>
      <c r="B164" s="16">
        <f t="shared" si="9"/>
        <v>135</v>
      </c>
      <c r="C164" s="16">
        <f t="shared" si="9"/>
        <v>0</v>
      </c>
      <c r="D164" s="16">
        <f t="shared" si="9"/>
        <v>149</v>
      </c>
      <c r="E164" s="16">
        <f t="shared" si="9"/>
        <v>1</v>
      </c>
      <c r="F164" s="16">
        <f t="shared" si="9"/>
        <v>801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01511</v>
      </c>
      <c r="B165" s="16">
        <f t="shared" si="9"/>
        <v>135</v>
      </c>
      <c r="C165" s="16">
        <f t="shared" si="9"/>
        <v>0</v>
      </c>
      <c r="D165" s="16">
        <f t="shared" si="9"/>
        <v>151</v>
      </c>
      <c r="E165" s="16">
        <f t="shared" si="9"/>
        <v>1</v>
      </c>
      <c r="F165" s="16">
        <f t="shared" si="9"/>
        <v>801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01531</v>
      </c>
      <c r="B166" s="16">
        <f t="shared" si="9"/>
        <v>135</v>
      </c>
      <c r="C166" s="16">
        <f t="shared" si="9"/>
        <v>0</v>
      </c>
      <c r="D166" s="16">
        <f t="shared" si="9"/>
        <v>153</v>
      </c>
      <c r="E166" s="16">
        <f t="shared" si="9"/>
        <v>1</v>
      </c>
      <c r="F166" s="16">
        <f t="shared" si="9"/>
        <v>801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01551</v>
      </c>
      <c r="B167" s="16">
        <f t="shared" si="9"/>
        <v>135</v>
      </c>
      <c r="C167" s="16">
        <f t="shared" si="9"/>
        <v>0</v>
      </c>
      <c r="D167" s="16">
        <f t="shared" si="9"/>
        <v>155</v>
      </c>
      <c r="E167" s="16">
        <f t="shared" si="9"/>
        <v>1</v>
      </c>
      <c r="F167" s="16">
        <f t="shared" si="9"/>
        <v>801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01571</v>
      </c>
      <c r="B168" s="16">
        <f t="shared" si="9"/>
        <v>135</v>
      </c>
      <c r="C168" s="16">
        <f t="shared" si="9"/>
        <v>0</v>
      </c>
      <c r="D168" s="16">
        <f t="shared" si="9"/>
        <v>157</v>
      </c>
      <c r="E168" s="16">
        <f t="shared" si="9"/>
        <v>1</v>
      </c>
      <c r="F168" s="16">
        <f t="shared" si="9"/>
        <v>801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01591</v>
      </c>
      <c r="B169" s="16">
        <f t="shared" si="9"/>
        <v>135</v>
      </c>
      <c r="C169" s="16">
        <f t="shared" si="9"/>
        <v>0</v>
      </c>
      <c r="D169" s="16">
        <f t="shared" si="9"/>
        <v>159</v>
      </c>
      <c r="E169" s="16">
        <f t="shared" si="9"/>
        <v>1</v>
      </c>
      <c r="F169" s="16">
        <f t="shared" si="9"/>
        <v>801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01611</v>
      </c>
      <c r="B170" s="16">
        <f t="shared" si="9"/>
        <v>135</v>
      </c>
      <c r="C170" s="16">
        <f t="shared" si="9"/>
        <v>0</v>
      </c>
      <c r="D170" s="16">
        <f t="shared" si="9"/>
        <v>161</v>
      </c>
      <c r="E170" s="16">
        <f t="shared" si="9"/>
        <v>1</v>
      </c>
      <c r="F170" s="16">
        <f t="shared" si="9"/>
        <v>801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01631</v>
      </c>
      <c r="B171" s="16">
        <f t="shared" si="9"/>
        <v>135</v>
      </c>
      <c r="C171" s="16">
        <f t="shared" si="9"/>
        <v>0</v>
      </c>
      <c r="D171" s="16">
        <f t="shared" si="9"/>
        <v>163</v>
      </c>
      <c r="E171" s="16">
        <f t="shared" si="9"/>
        <v>1</v>
      </c>
      <c r="F171" s="16">
        <f t="shared" si="9"/>
        <v>801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01651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135</v>
      </c>
      <c r="C172" s="16">
        <f t="shared" si="10"/>
        <v>0</v>
      </c>
      <c r="D172" s="16">
        <f t="shared" si="10"/>
        <v>165</v>
      </c>
      <c r="E172" s="16">
        <f t="shared" si="10"/>
        <v>1</v>
      </c>
      <c r="F172" s="16">
        <f t="shared" si="10"/>
        <v>801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01671</v>
      </c>
      <c r="B173" s="16">
        <f t="shared" si="10"/>
        <v>135</v>
      </c>
      <c r="C173" s="16">
        <f t="shared" si="10"/>
        <v>0</v>
      </c>
      <c r="D173" s="16">
        <f t="shared" si="10"/>
        <v>167</v>
      </c>
      <c r="E173" s="16">
        <f t="shared" si="10"/>
        <v>1</v>
      </c>
      <c r="F173" s="16">
        <f t="shared" si="10"/>
        <v>758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01701</v>
      </c>
      <c r="B174" s="16">
        <f t="shared" si="10"/>
        <v>135</v>
      </c>
      <c r="C174" s="16">
        <f t="shared" si="10"/>
        <v>0</v>
      </c>
      <c r="D174" s="16">
        <f t="shared" si="10"/>
        <v>170</v>
      </c>
      <c r="E174" s="16">
        <f t="shared" si="10"/>
        <v>1</v>
      </c>
      <c r="F174" s="16">
        <f t="shared" si="10"/>
        <v>758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01731</v>
      </c>
      <c r="B175" s="16">
        <f t="shared" si="10"/>
        <v>135</v>
      </c>
      <c r="C175" s="16">
        <f t="shared" si="10"/>
        <v>0</v>
      </c>
      <c r="D175" s="16">
        <f t="shared" si="10"/>
        <v>173</v>
      </c>
      <c r="E175" s="16">
        <f t="shared" si="10"/>
        <v>1</v>
      </c>
      <c r="F175" s="16">
        <f t="shared" si="10"/>
        <v>758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01761</v>
      </c>
      <c r="B176" s="16">
        <f t="shared" si="10"/>
        <v>135</v>
      </c>
      <c r="C176" s="16">
        <f t="shared" si="10"/>
        <v>0</v>
      </c>
      <c r="D176" s="16">
        <f t="shared" si="10"/>
        <v>176</v>
      </c>
      <c r="E176" s="16">
        <f t="shared" si="10"/>
        <v>1</v>
      </c>
      <c r="F176" s="16">
        <f t="shared" si="10"/>
        <v>758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01791</v>
      </c>
      <c r="B177" s="16">
        <f t="shared" si="10"/>
        <v>135</v>
      </c>
      <c r="C177" s="16">
        <f t="shared" si="10"/>
        <v>0</v>
      </c>
      <c r="D177" s="16">
        <f t="shared" si="10"/>
        <v>179</v>
      </c>
      <c r="E177" s="16">
        <f t="shared" si="10"/>
        <v>1</v>
      </c>
      <c r="F177" s="16">
        <f t="shared" si="10"/>
        <v>758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01821</v>
      </c>
      <c r="B178" s="16">
        <f t="shared" si="10"/>
        <v>135</v>
      </c>
      <c r="C178" s="16">
        <f t="shared" si="10"/>
        <v>0</v>
      </c>
      <c r="D178" s="16">
        <f t="shared" si="10"/>
        <v>182</v>
      </c>
      <c r="E178" s="16">
        <f t="shared" si="10"/>
        <v>1</v>
      </c>
      <c r="F178" s="16">
        <f t="shared" si="10"/>
        <v>758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01851</v>
      </c>
      <c r="B179" s="16">
        <f t="shared" si="10"/>
        <v>135</v>
      </c>
      <c r="C179" s="16">
        <f t="shared" si="10"/>
        <v>0</v>
      </c>
      <c r="D179" s="16">
        <f t="shared" si="10"/>
        <v>185</v>
      </c>
      <c r="E179" s="16">
        <f t="shared" si="10"/>
        <v>1</v>
      </c>
      <c r="F179" s="16">
        <f t="shared" si="10"/>
        <v>758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01881</v>
      </c>
      <c r="B180" s="16">
        <f t="shared" si="10"/>
        <v>135</v>
      </c>
      <c r="C180" s="16">
        <f t="shared" si="10"/>
        <v>0</v>
      </c>
      <c r="D180" s="16">
        <f t="shared" si="10"/>
        <v>188</v>
      </c>
      <c r="E180" s="16">
        <f t="shared" si="10"/>
        <v>1</v>
      </c>
      <c r="F180" s="16">
        <f t="shared" si="10"/>
        <v>758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01911</v>
      </c>
      <c r="B181" s="16">
        <f t="shared" si="10"/>
        <v>135</v>
      </c>
      <c r="C181" s="16">
        <f t="shared" si="10"/>
        <v>0</v>
      </c>
      <c r="D181" s="16">
        <f t="shared" si="10"/>
        <v>191</v>
      </c>
      <c r="E181" s="16">
        <f t="shared" si="10"/>
        <v>1</v>
      </c>
      <c r="F181" s="16">
        <f t="shared" si="10"/>
        <v>758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01941</v>
      </c>
      <c r="B182" s="16">
        <f t="shared" si="10"/>
        <v>135</v>
      </c>
      <c r="C182" s="16">
        <f t="shared" si="10"/>
        <v>0</v>
      </c>
      <c r="D182" s="16">
        <f t="shared" si="10"/>
        <v>194</v>
      </c>
      <c r="E182" s="16">
        <f t="shared" si="10"/>
        <v>1</v>
      </c>
      <c r="F182" s="16">
        <f t="shared" si="10"/>
        <v>758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01971</v>
      </c>
      <c r="B183" s="16">
        <f t="shared" si="10"/>
        <v>135</v>
      </c>
      <c r="C183" s="16">
        <f t="shared" si="10"/>
        <v>0</v>
      </c>
      <c r="D183" s="16">
        <f t="shared" si="10"/>
        <v>197</v>
      </c>
      <c r="E183" s="16">
        <f t="shared" si="10"/>
        <v>1</v>
      </c>
      <c r="F183" s="16">
        <f t="shared" si="10"/>
        <v>758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02001</v>
      </c>
      <c r="B184" s="16">
        <f t="shared" si="10"/>
        <v>135</v>
      </c>
      <c r="C184" s="16">
        <f t="shared" si="10"/>
        <v>0</v>
      </c>
      <c r="D184" s="16">
        <f t="shared" si="10"/>
        <v>200</v>
      </c>
      <c r="E184" s="16">
        <f t="shared" si="10"/>
        <v>1</v>
      </c>
      <c r="F184" s="16">
        <f t="shared" si="10"/>
        <v>758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02031</v>
      </c>
      <c r="B185" s="16">
        <f t="shared" si="10"/>
        <v>135</v>
      </c>
      <c r="C185" s="16">
        <f t="shared" si="10"/>
        <v>0</v>
      </c>
      <c r="D185" s="16">
        <f t="shared" si="10"/>
        <v>203</v>
      </c>
      <c r="E185" s="16">
        <f t="shared" si="10"/>
        <v>1</v>
      </c>
      <c r="F185" s="16">
        <f t="shared" si="10"/>
        <v>758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02061</v>
      </c>
      <c r="B186" s="16">
        <f t="shared" si="10"/>
        <v>135</v>
      </c>
      <c r="C186" s="16">
        <f t="shared" si="10"/>
        <v>0</v>
      </c>
      <c r="D186" s="16">
        <f t="shared" si="10"/>
        <v>206</v>
      </c>
      <c r="E186" s="16">
        <f t="shared" si="10"/>
        <v>1</v>
      </c>
      <c r="F186" s="16">
        <f t="shared" si="10"/>
        <v>758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02091</v>
      </c>
      <c r="B187" s="16">
        <f t="shared" si="10"/>
        <v>135</v>
      </c>
      <c r="C187" s="16">
        <f t="shared" si="10"/>
        <v>0</v>
      </c>
      <c r="D187" s="16">
        <f t="shared" si="10"/>
        <v>209</v>
      </c>
      <c r="E187" s="16">
        <f t="shared" si="10"/>
        <v>1</v>
      </c>
      <c r="F187" s="16">
        <f t="shared" si="10"/>
        <v>758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02121</v>
      </c>
      <c r="B188" s="16">
        <f t="shared" si="10"/>
        <v>135</v>
      </c>
      <c r="C188" s="16">
        <f t="shared" si="10"/>
        <v>0</v>
      </c>
      <c r="D188" s="16">
        <f t="shared" si="10"/>
        <v>212</v>
      </c>
      <c r="E188" s="16">
        <f t="shared" si="10"/>
        <v>1</v>
      </c>
      <c r="F188" s="16">
        <f t="shared" si="10"/>
        <v>758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02151</v>
      </c>
      <c r="B189" s="16">
        <f t="shared" si="10"/>
        <v>135</v>
      </c>
      <c r="C189" s="16">
        <f t="shared" si="10"/>
        <v>0</v>
      </c>
      <c r="D189" s="16">
        <f t="shared" si="10"/>
        <v>215</v>
      </c>
      <c r="E189" s="16">
        <f t="shared" si="10"/>
        <v>1</v>
      </c>
      <c r="F189" s="16">
        <f t="shared" si="10"/>
        <v>758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02181</v>
      </c>
      <c r="B190" s="16">
        <f t="shared" si="10"/>
        <v>135</v>
      </c>
      <c r="C190" s="16">
        <f t="shared" si="10"/>
        <v>0</v>
      </c>
      <c r="D190" s="16">
        <f t="shared" si="10"/>
        <v>218</v>
      </c>
      <c r="E190" s="16">
        <f t="shared" si="10"/>
        <v>1</v>
      </c>
      <c r="F190" s="16">
        <f t="shared" si="10"/>
        <v>758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02211</v>
      </c>
      <c r="B191" s="16">
        <f t="shared" si="10"/>
        <v>135</v>
      </c>
      <c r="C191" s="16">
        <f t="shared" si="10"/>
        <v>0</v>
      </c>
      <c r="D191" s="16">
        <f t="shared" si="10"/>
        <v>221</v>
      </c>
      <c r="E191" s="16">
        <f t="shared" si="10"/>
        <v>1</v>
      </c>
      <c r="F191" s="16">
        <f t="shared" si="10"/>
        <v>758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02241</v>
      </c>
      <c r="B192" s="16">
        <f t="shared" si="10"/>
        <v>135</v>
      </c>
      <c r="C192" s="16">
        <f t="shared" si="10"/>
        <v>0</v>
      </c>
      <c r="D192" s="16">
        <f t="shared" si="10"/>
        <v>224</v>
      </c>
      <c r="E192" s="16">
        <f t="shared" si="10"/>
        <v>1</v>
      </c>
      <c r="F192" s="16">
        <f t="shared" si="10"/>
        <v>758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02271</v>
      </c>
      <c r="B193" s="16">
        <f t="shared" si="10"/>
        <v>135</v>
      </c>
      <c r="C193" s="16">
        <f t="shared" si="10"/>
        <v>0</v>
      </c>
      <c r="D193" s="16">
        <f t="shared" si="10"/>
        <v>227</v>
      </c>
      <c r="E193" s="16">
        <f t="shared" si="10"/>
        <v>1</v>
      </c>
      <c r="F193" s="16">
        <f t="shared" si="10"/>
        <v>80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02301</v>
      </c>
      <c r="B194" s="16">
        <f t="shared" si="10"/>
        <v>135</v>
      </c>
      <c r="C194" s="16">
        <f t="shared" si="10"/>
        <v>0</v>
      </c>
      <c r="D194" s="16">
        <f t="shared" si="10"/>
        <v>230</v>
      </c>
      <c r="E194" s="16">
        <f t="shared" si="10"/>
        <v>1</v>
      </c>
      <c r="F194" s="16">
        <f t="shared" si="10"/>
        <v>80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8" si="11">INDIRECT(ADDRESS(ROW()+$A$1,COLUMN(),1,TRUE,$C$1))</f>
        <v>02331</v>
      </c>
      <c r="B195" s="16">
        <f t="shared" si="10"/>
        <v>135</v>
      </c>
      <c r="C195" s="16">
        <f t="shared" si="10"/>
        <v>0</v>
      </c>
      <c r="D195" s="16">
        <f t="shared" si="10"/>
        <v>233</v>
      </c>
      <c r="E195" s="16">
        <f t="shared" si="10"/>
        <v>1</v>
      </c>
      <c r="F195" s="16">
        <f t="shared" si="10"/>
        <v>80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02361</v>
      </c>
      <c r="B196" s="16">
        <f t="shared" si="10"/>
        <v>135</v>
      </c>
      <c r="C196" s="16">
        <f t="shared" si="10"/>
        <v>0</v>
      </c>
      <c r="D196" s="16">
        <f t="shared" si="10"/>
        <v>236</v>
      </c>
      <c r="E196" s="16">
        <f t="shared" si="10"/>
        <v>1</v>
      </c>
      <c r="F196" s="16">
        <f t="shared" si="10"/>
        <v>80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01681</v>
      </c>
      <c r="B197" s="16">
        <f t="shared" si="10"/>
        <v>135</v>
      </c>
      <c r="C197" s="16">
        <f t="shared" si="10"/>
        <v>0</v>
      </c>
      <c r="D197" s="16">
        <f t="shared" si="10"/>
        <v>168</v>
      </c>
      <c r="E197" s="16">
        <f t="shared" si="10"/>
        <v>1</v>
      </c>
      <c r="F197" s="16">
        <f t="shared" si="10"/>
        <v>247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01711</v>
      </c>
      <c r="B198" s="16">
        <f t="shared" si="12"/>
        <v>135</v>
      </c>
      <c r="C198" s="16">
        <f t="shared" si="12"/>
        <v>0</v>
      </c>
      <c r="D198" s="16">
        <f t="shared" si="12"/>
        <v>171</v>
      </c>
      <c r="E198" s="16">
        <f t="shared" si="12"/>
        <v>1</v>
      </c>
      <c r="F198" s="16">
        <f t="shared" si="12"/>
        <v>247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01741</v>
      </c>
      <c r="B199" s="16">
        <f t="shared" si="12"/>
        <v>135</v>
      </c>
      <c r="C199" s="16">
        <f t="shared" si="12"/>
        <v>0</v>
      </c>
      <c r="D199" s="16">
        <f t="shared" si="12"/>
        <v>174</v>
      </c>
      <c r="E199" s="16">
        <f t="shared" si="12"/>
        <v>1</v>
      </c>
      <c r="F199" s="16">
        <f t="shared" si="12"/>
        <v>247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01771</v>
      </c>
      <c r="B200" s="16">
        <f t="shared" si="12"/>
        <v>135</v>
      </c>
      <c r="C200" s="16">
        <f t="shared" si="12"/>
        <v>0</v>
      </c>
      <c r="D200" s="16">
        <f t="shared" si="12"/>
        <v>177</v>
      </c>
      <c r="E200" s="16">
        <f t="shared" si="12"/>
        <v>1</v>
      </c>
      <c r="F200" s="16">
        <f t="shared" si="12"/>
        <v>247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01801</v>
      </c>
      <c r="B201" s="16">
        <f t="shared" si="12"/>
        <v>135</v>
      </c>
      <c r="C201" s="16">
        <f t="shared" si="12"/>
        <v>0</v>
      </c>
      <c r="D201" s="16">
        <f t="shared" si="12"/>
        <v>180</v>
      </c>
      <c r="E201" s="16">
        <f t="shared" si="12"/>
        <v>1</v>
      </c>
      <c r="F201" s="16">
        <f t="shared" si="12"/>
        <v>247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01831</v>
      </c>
      <c r="B202" s="16">
        <f t="shared" si="12"/>
        <v>135</v>
      </c>
      <c r="C202" s="16">
        <f t="shared" si="12"/>
        <v>0</v>
      </c>
      <c r="D202" s="16">
        <f t="shared" si="12"/>
        <v>183</v>
      </c>
      <c r="E202" s="16">
        <f t="shared" si="12"/>
        <v>1</v>
      </c>
      <c r="F202" s="16">
        <f t="shared" si="12"/>
        <v>247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01861</v>
      </c>
      <c r="B203" s="16">
        <f t="shared" si="12"/>
        <v>135</v>
      </c>
      <c r="C203" s="16">
        <f t="shared" si="12"/>
        <v>0</v>
      </c>
      <c r="D203" s="16">
        <f t="shared" si="12"/>
        <v>186</v>
      </c>
      <c r="E203" s="16">
        <f t="shared" si="12"/>
        <v>1</v>
      </c>
      <c r="F203" s="16">
        <f t="shared" si="12"/>
        <v>247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01891</v>
      </c>
      <c r="B204" s="16">
        <f t="shared" si="12"/>
        <v>135</v>
      </c>
      <c r="C204" s="16">
        <f t="shared" si="12"/>
        <v>0</v>
      </c>
      <c r="D204" s="16">
        <f t="shared" si="12"/>
        <v>189</v>
      </c>
      <c r="E204" s="16">
        <f t="shared" si="12"/>
        <v>1</v>
      </c>
      <c r="F204" s="16">
        <f t="shared" si="12"/>
        <v>247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01921</v>
      </c>
      <c r="B205" s="16">
        <f t="shared" si="12"/>
        <v>135</v>
      </c>
      <c r="C205" s="16">
        <f t="shared" si="12"/>
        <v>0</v>
      </c>
      <c r="D205" s="16">
        <f t="shared" si="12"/>
        <v>192</v>
      </c>
      <c r="E205" s="16">
        <f t="shared" si="12"/>
        <v>1</v>
      </c>
      <c r="F205" s="16">
        <f t="shared" si="12"/>
        <v>247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01951</v>
      </c>
      <c r="B206" s="16">
        <f t="shared" si="12"/>
        <v>135</v>
      </c>
      <c r="C206" s="16">
        <f t="shared" si="12"/>
        <v>0</v>
      </c>
      <c r="D206" s="16">
        <f t="shared" si="12"/>
        <v>195</v>
      </c>
      <c r="E206" s="16">
        <f t="shared" si="12"/>
        <v>1</v>
      </c>
      <c r="F206" s="16">
        <f t="shared" si="12"/>
        <v>247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01981</v>
      </c>
      <c r="B207" s="16">
        <f t="shared" si="12"/>
        <v>135</v>
      </c>
      <c r="C207" s="16">
        <f t="shared" si="12"/>
        <v>0</v>
      </c>
      <c r="D207" s="16">
        <f t="shared" si="12"/>
        <v>198</v>
      </c>
      <c r="E207" s="16">
        <f t="shared" si="12"/>
        <v>1</v>
      </c>
      <c r="F207" s="16">
        <f t="shared" si="12"/>
        <v>247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02011</v>
      </c>
      <c r="B208" s="16">
        <f t="shared" si="12"/>
        <v>135</v>
      </c>
      <c r="C208" s="16">
        <f t="shared" si="12"/>
        <v>0</v>
      </c>
      <c r="D208" s="16">
        <f t="shared" si="12"/>
        <v>201</v>
      </c>
      <c r="E208" s="16">
        <f t="shared" si="12"/>
        <v>1</v>
      </c>
      <c r="F208" s="16">
        <f t="shared" si="12"/>
        <v>247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02041</v>
      </c>
      <c r="B209" s="16">
        <f t="shared" si="12"/>
        <v>135</v>
      </c>
      <c r="C209" s="16">
        <f t="shared" si="12"/>
        <v>0</v>
      </c>
      <c r="D209" s="16">
        <f t="shared" si="12"/>
        <v>204</v>
      </c>
      <c r="E209" s="16">
        <f t="shared" si="12"/>
        <v>1</v>
      </c>
      <c r="F209" s="16">
        <f t="shared" si="12"/>
        <v>247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02071</v>
      </c>
      <c r="B210" s="16">
        <f t="shared" si="12"/>
        <v>135</v>
      </c>
      <c r="C210" s="16">
        <f t="shared" si="12"/>
        <v>0</v>
      </c>
      <c r="D210" s="16">
        <f t="shared" si="12"/>
        <v>207</v>
      </c>
      <c r="E210" s="16">
        <f t="shared" si="12"/>
        <v>1</v>
      </c>
      <c r="F210" s="16">
        <f t="shared" si="12"/>
        <v>247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02101</v>
      </c>
      <c r="B211" s="16">
        <f t="shared" si="12"/>
        <v>135</v>
      </c>
      <c r="C211" s="16">
        <f t="shared" si="12"/>
        <v>0</v>
      </c>
      <c r="D211" s="16">
        <f t="shared" si="12"/>
        <v>210</v>
      </c>
      <c r="E211" s="16">
        <f t="shared" si="12"/>
        <v>1</v>
      </c>
      <c r="F211" s="16">
        <f t="shared" si="12"/>
        <v>247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02131</v>
      </c>
      <c r="B212" s="16">
        <f t="shared" si="12"/>
        <v>135</v>
      </c>
      <c r="C212" s="16">
        <f t="shared" si="12"/>
        <v>0</v>
      </c>
      <c r="D212" s="16">
        <f t="shared" si="12"/>
        <v>213</v>
      </c>
      <c r="E212" s="16">
        <f t="shared" si="12"/>
        <v>1</v>
      </c>
      <c r="F212" s="16">
        <f t="shared" si="12"/>
        <v>247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02161</v>
      </c>
      <c r="B213" s="16">
        <f t="shared" si="12"/>
        <v>135</v>
      </c>
      <c r="C213" s="16">
        <f t="shared" si="12"/>
        <v>0</v>
      </c>
      <c r="D213" s="16">
        <f t="shared" si="12"/>
        <v>216</v>
      </c>
      <c r="E213" s="16">
        <f t="shared" si="12"/>
        <v>1</v>
      </c>
      <c r="F213" s="16">
        <f t="shared" si="12"/>
        <v>247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02191</v>
      </c>
      <c r="B214" s="16">
        <f t="shared" si="12"/>
        <v>135</v>
      </c>
      <c r="C214" s="16">
        <f t="shared" si="12"/>
        <v>0</v>
      </c>
      <c r="D214" s="16">
        <f t="shared" si="12"/>
        <v>219</v>
      </c>
      <c r="E214" s="16">
        <f t="shared" si="12"/>
        <v>1</v>
      </c>
      <c r="F214" s="16">
        <f t="shared" si="12"/>
        <v>247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02221</v>
      </c>
      <c r="B215" s="16">
        <f t="shared" si="12"/>
        <v>135</v>
      </c>
      <c r="C215" s="16">
        <f t="shared" si="12"/>
        <v>0</v>
      </c>
      <c r="D215" s="16">
        <f t="shared" si="12"/>
        <v>222</v>
      </c>
      <c r="E215" s="16">
        <f t="shared" si="12"/>
        <v>1</v>
      </c>
      <c r="F215" s="16">
        <f t="shared" si="12"/>
        <v>247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02251</v>
      </c>
      <c r="B216" s="16">
        <f t="shared" si="12"/>
        <v>135</v>
      </c>
      <c r="C216" s="16">
        <f t="shared" si="12"/>
        <v>0</v>
      </c>
      <c r="D216" s="16">
        <f t="shared" si="12"/>
        <v>225</v>
      </c>
      <c r="E216" s="16">
        <f t="shared" si="12"/>
        <v>1</v>
      </c>
      <c r="F216" s="16">
        <f t="shared" si="12"/>
        <v>247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02281</v>
      </c>
      <c r="B217" s="16">
        <f t="shared" si="12"/>
        <v>135</v>
      </c>
      <c r="C217" s="16">
        <f t="shared" si="12"/>
        <v>0</v>
      </c>
      <c r="D217" s="16">
        <f t="shared" si="12"/>
        <v>228</v>
      </c>
      <c r="E217" s="16">
        <f t="shared" si="12"/>
        <v>1</v>
      </c>
      <c r="F217" s="16">
        <f t="shared" si="12"/>
        <v>13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02311</v>
      </c>
      <c r="B218" s="16">
        <f t="shared" si="12"/>
        <v>135</v>
      </c>
      <c r="C218" s="16">
        <f t="shared" si="12"/>
        <v>0</v>
      </c>
      <c r="D218" s="16">
        <f t="shared" si="12"/>
        <v>231</v>
      </c>
      <c r="E218" s="16">
        <f t="shared" si="12"/>
        <v>1</v>
      </c>
      <c r="F218" s="16">
        <f t="shared" si="12"/>
        <v>13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02341</v>
      </c>
      <c r="B219" s="16">
        <f t="shared" si="12"/>
        <v>135</v>
      </c>
      <c r="C219" s="16">
        <f t="shared" si="12"/>
        <v>0</v>
      </c>
      <c r="D219" s="16">
        <f t="shared" si="12"/>
        <v>234</v>
      </c>
      <c r="E219" s="16">
        <f t="shared" si="12"/>
        <v>1</v>
      </c>
      <c r="F219" s="16">
        <f t="shared" si="12"/>
        <v>13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02371</v>
      </c>
      <c r="B220" s="16">
        <f t="shared" si="12"/>
        <v>135</v>
      </c>
      <c r="C220" s="16">
        <f t="shared" si="12"/>
        <v>0</v>
      </c>
      <c r="D220" s="16">
        <f t="shared" si="12"/>
        <v>237</v>
      </c>
      <c r="E220" s="16">
        <f t="shared" si="12"/>
        <v>1</v>
      </c>
      <c r="F220" s="16">
        <f t="shared" si="12"/>
        <v>13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02381</v>
      </c>
      <c r="B221" s="16">
        <f t="shared" si="12"/>
        <v>135</v>
      </c>
      <c r="C221" s="16">
        <f t="shared" si="12"/>
        <v>0</v>
      </c>
      <c r="D221" s="16">
        <f t="shared" si="12"/>
        <v>238</v>
      </c>
      <c r="E221" s="16">
        <f t="shared" si="12"/>
        <v>1</v>
      </c>
      <c r="F221" s="16">
        <f t="shared" si="12"/>
        <v>4374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02391</v>
      </c>
      <c r="B222" s="16">
        <f t="shared" si="12"/>
        <v>135</v>
      </c>
      <c r="C222" s="16">
        <f t="shared" si="12"/>
        <v>0</v>
      </c>
      <c r="D222" s="16">
        <f t="shared" si="12"/>
        <v>239</v>
      </c>
      <c r="E222" s="16">
        <f t="shared" si="12"/>
        <v>1</v>
      </c>
      <c r="F222" s="16">
        <f t="shared" si="12"/>
        <v>80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02401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135</v>
      </c>
      <c r="C223" s="16">
        <f t="shared" si="13"/>
        <v>0</v>
      </c>
      <c r="D223" s="16">
        <f t="shared" si="13"/>
        <v>240</v>
      </c>
      <c r="E223" s="16">
        <f t="shared" si="13"/>
        <v>1</v>
      </c>
      <c r="F223" s="16">
        <f t="shared" si="13"/>
        <v>13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02411</v>
      </c>
      <c r="B224" s="16">
        <f t="shared" si="13"/>
        <v>135</v>
      </c>
      <c r="C224" s="16">
        <f t="shared" si="13"/>
        <v>0</v>
      </c>
      <c r="D224" s="16">
        <f t="shared" si="13"/>
        <v>241</v>
      </c>
      <c r="E224" s="16">
        <f t="shared" si="13"/>
        <v>1</v>
      </c>
      <c r="F224" s="16">
        <f t="shared" si="13"/>
        <v>4374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02421</v>
      </c>
      <c r="B225" s="16">
        <f t="shared" si="13"/>
        <v>135</v>
      </c>
      <c r="C225" s="16">
        <f t="shared" si="13"/>
        <v>0</v>
      </c>
      <c r="D225" s="16">
        <f t="shared" si="13"/>
        <v>242</v>
      </c>
      <c r="E225" s="16">
        <f t="shared" si="13"/>
        <v>1</v>
      </c>
      <c r="F225" s="16">
        <f t="shared" si="13"/>
        <v>80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02431</v>
      </c>
      <c r="B226" s="16">
        <f t="shared" si="13"/>
        <v>135</v>
      </c>
      <c r="C226" s="16">
        <f t="shared" si="13"/>
        <v>0</v>
      </c>
      <c r="D226" s="16">
        <f t="shared" si="13"/>
        <v>243</v>
      </c>
      <c r="E226" s="16">
        <f t="shared" si="13"/>
        <v>1</v>
      </c>
      <c r="F226" s="16">
        <f t="shared" si="13"/>
        <v>13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02441</v>
      </c>
      <c r="B227" s="16">
        <f t="shared" si="13"/>
        <v>135</v>
      </c>
      <c r="C227" s="16">
        <f t="shared" si="13"/>
        <v>0</v>
      </c>
      <c r="D227" s="16">
        <f t="shared" si="13"/>
        <v>244</v>
      </c>
      <c r="E227" s="16">
        <f t="shared" si="13"/>
        <v>1</v>
      </c>
      <c r="F227" s="16">
        <f t="shared" si="13"/>
        <v>4374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02451</v>
      </c>
      <c r="B228" s="16">
        <f t="shared" si="13"/>
        <v>135</v>
      </c>
      <c r="C228" s="16">
        <f t="shared" si="13"/>
        <v>0</v>
      </c>
      <c r="D228" s="16">
        <f t="shared" si="13"/>
        <v>245</v>
      </c>
      <c r="E228" s="16">
        <f t="shared" si="13"/>
        <v>1</v>
      </c>
      <c r="F228" s="16">
        <f t="shared" si="13"/>
        <v>80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02461</v>
      </c>
      <c r="B229" s="16">
        <f t="shared" si="13"/>
        <v>135</v>
      </c>
      <c r="C229" s="16">
        <f t="shared" si="13"/>
        <v>0</v>
      </c>
      <c r="D229" s="16">
        <f t="shared" si="13"/>
        <v>246</v>
      </c>
      <c r="E229" s="16">
        <f t="shared" si="13"/>
        <v>1</v>
      </c>
      <c r="F229" s="16">
        <f t="shared" si="13"/>
        <v>13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02471</v>
      </c>
      <c r="B230" s="16">
        <f t="shared" si="13"/>
        <v>135</v>
      </c>
      <c r="C230" s="16">
        <f t="shared" si="13"/>
        <v>0</v>
      </c>
      <c r="D230" s="16">
        <f t="shared" si="13"/>
        <v>247</v>
      </c>
      <c r="E230" s="16">
        <f t="shared" si="13"/>
        <v>1</v>
      </c>
      <c r="F230" s="16">
        <f t="shared" si="13"/>
        <v>4374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02481</v>
      </c>
      <c r="B231" s="16">
        <f t="shared" si="13"/>
        <v>135</v>
      </c>
      <c r="C231" s="16">
        <f t="shared" si="13"/>
        <v>0</v>
      </c>
      <c r="D231" s="16">
        <f t="shared" si="13"/>
        <v>248</v>
      </c>
      <c r="E231" s="16">
        <f t="shared" si="13"/>
        <v>1</v>
      </c>
      <c r="F231" s="16">
        <f t="shared" si="13"/>
        <v>80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02491</v>
      </c>
      <c r="B232" s="16">
        <f t="shared" si="13"/>
        <v>135</v>
      </c>
      <c r="C232" s="16">
        <f t="shared" si="13"/>
        <v>0</v>
      </c>
      <c r="D232" s="16">
        <f t="shared" si="13"/>
        <v>249</v>
      </c>
      <c r="E232" s="16">
        <f t="shared" si="13"/>
        <v>1</v>
      </c>
      <c r="F232" s="16">
        <f t="shared" si="13"/>
        <v>13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02501</v>
      </c>
      <c r="B233" s="16">
        <f t="shared" si="13"/>
        <v>135</v>
      </c>
      <c r="C233" s="16">
        <f t="shared" si="13"/>
        <v>0</v>
      </c>
      <c r="D233" s="16">
        <f t="shared" si="13"/>
        <v>250</v>
      </c>
      <c r="E233" s="16">
        <f t="shared" si="13"/>
        <v>1</v>
      </c>
      <c r="F233" s="16">
        <f t="shared" si="13"/>
        <v>4374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02511</v>
      </c>
      <c r="B234" s="16">
        <f t="shared" si="13"/>
        <v>135</v>
      </c>
      <c r="C234" s="16">
        <f t="shared" si="13"/>
        <v>0</v>
      </c>
      <c r="D234" s="16">
        <f t="shared" si="13"/>
        <v>251</v>
      </c>
      <c r="E234" s="16">
        <f t="shared" si="13"/>
        <v>1</v>
      </c>
      <c r="F234" s="16">
        <f t="shared" si="13"/>
        <v>80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02521</v>
      </c>
      <c r="B235" s="16">
        <f t="shared" si="13"/>
        <v>135</v>
      </c>
      <c r="C235" s="16">
        <f t="shared" si="13"/>
        <v>0</v>
      </c>
      <c r="D235" s="16">
        <f t="shared" si="13"/>
        <v>252</v>
      </c>
      <c r="E235" s="16">
        <f t="shared" si="13"/>
        <v>1</v>
      </c>
      <c r="F235" s="16">
        <f t="shared" si="13"/>
        <v>13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02531</v>
      </c>
      <c r="B236" s="16">
        <f t="shared" si="13"/>
        <v>135</v>
      </c>
      <c r="C236" s="16">
        <f t="shared" si="13"/>
        <v>0</v>
      </c>
      <c r="D236" s="16">
        <f t="shared" si="13"/>
        <v>253</v>
      </c>
      <c r="E236" s="16">
        <f t="shared" si="13"/>
        <v>1</v>
      </c>
      <c r="F236" s="16">
        <f t="shared" si="13"/>
        <v>4374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02541</v>
      </c>
      <c r="B237" s="16">
        <f t="shared" si="13"/>
        <v>135</v>
      </c>
      <c r="C237" s="16">
        <f t="shared" si="13"/>
        <v>0</v>
      </c>
      <c r="D237" s="16">
        <f t="shared" si="13"/>
        <v>254</v>
      </c>
      <c r="E237" s="16">
        <f t="shared" si="13"/>
        <v>1</v>
      </c>
      <c r="F237" s="16">
        <f t="shared" si="13"/>
        <v>80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02551</v>
      </c>
      <c r="B238" s="16">
        <f t="shared" si="13"/>
        <v>135</v>
      </c>
      <c r="C238" s="16">
        <f t="shared" si="13"/>
        <v>0</v>
      </c>
      <c r="D238" s="16">
        <f t="shared" si="13"/>
        <v>255</v>
      </c>
      <c r="E238" s="16">
        <f t="shared" si="13"/>
        <v>1</v>
      </c>
      <c r="F238" s="16">
        <f t="shared" si="13"/>
        <v>13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02561</v>
      </c>
      <c r="B239" s="16">
        <f t="shared" si="13"/>
        <v>135</v>
      </c>
      <c r="C239" s="16">
        <f t="shared" si="13"/>
        <v>0</v>
      </c>
      <c r="D239" s="16">
        <f t="shared" si="13"/>
        <v>256</v>
      </c>
      <c r="E239" s="16">
        <f t="shared" si="13"/>
        <v>1</v>
      </c>
      <c r="F239" s="16">
        <f t="shared" si="13"/>
        <v>4374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02571</v>
      </c>
      <c r="B240" s="16">
        <f t="shared" si="13"/>
        <v>135</v>
      </c>
      <c r="C240" s="16">
        <f t="shared" si="13"/>
        <v>0</v>
      </c>
      <c r="D240" s="16">
        <f t="shared" si="13"/>
        <v>257</v>
      </c>
      <c r="E240" s="16">
        <f t="shared" si="13"/>
        <v>1</v>
      </c>
      <c r="F240" s="16">
        <f t="shared" si="13"/>
        <v>80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02581</v>
      </c>
      <c r="B241" s="16">
        <f t="shared" si="13"/>
        <v>135</v>
      </c>
      <c r="C241" s="16">
        <f t="shared" si="13"/>
        <v>0</v>
      </c>
      <c r="D241" s="16">
        <f t="shared" si="13"/>
        <v>258</v>
      </c>
      <c r="E241" s="16">
        <f t="shared" si="13"/>
        <v>1</v>
      </c>
      <c r="F241" s="16">
        <f t="shared" si="13"/>
        <v>13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02591</v>
      </c>
      <c r="B242" s="16">
        <f t="shared" si="13"/>
        <v>135</v>
      </c>
      <c r="C242" s="16">
        <f t="shared" si="13"/>
        <v>0</v>
      </c>
      <c r="D242" s="16">
        <f t="shared" si="13"/>
        <v>259</v>
      </c>
      <c r="E242" s="16">
        <f t="shared" si="13"/>
        <v>1</v>
      </c>
      <c r="F242" s="16">
        <f t="shared" si="13"/>
        <v>4374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02601</v>
      </c>
      <c r="B243" s="16">
        <f t="shared" si="13"/>
        <v>135</v>
      </c>
      <c r="C243" s="16">
        <f t="shared" si="13"/>
        <v>0</v>
      </c>
      <c r="D243" s="16">
        <f t="shared" si="13"/>
        <v>260</v>
      </c>
      <c r="E243" s="16">
        <f t="shared" si="13"/>
        <v>1</v>
      </c>
      <c r="F243" s="16">
        <f t="shared" si="13"/>
        <v>80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02611</v>
      </c>
      <c r="B244" s="16">
        <f t="shared" si="13"/>
        <v>135</v>
      </c>
      <c r="C244" s="16">
        <f t="shared" si="13"/>
        <v>0</v>
      </c>
      <c r="D244" s="16">
        <f t="shared" si="13"/>
        <v>261</v>
      </c>
      <c r="E244" s="16">
        <f t="shared" si="13"/>
        <v>1</v>
      </c>
      <c r="F244" s="16">
        <f t="shared" si="13"/>
        <v>13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03201</v>
      </c>
      <c r="B245" s="16">
        <f t="shared" si="13"/>
        <v>135</v>
      </c>
      <c r="C245" s="16">
        <f t="shared" si="13"/>
        <v>0</v>
      </c>
      <c r="D245" s="16">
        <f t="shared" si="13"/>
        <v>320</v>
      </c>
      <c r="E245" s="16">
        <f t="shared" si="13"/>
        <v>1</v>
      </c>
      <c r="F245" s="16">
        <f t="shared" si="13"/>
        <v>144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03211</v>
      </c>
      <c r="B246" s="16">
        <f t="shared" si="13"/>
        <v>135</v>
      </c>
      <c r="C246" s="16">
        <f t="shared" si="13"/>
        <v>0</v>
      </c>
      <c r="D246" s="16">
        <f t="shared" si="13"/>
        <v>321</v>
      </c>
      <c r="E246" s="16">
        <f t="shared" si="13"/>
        <v>1</v>
      </c>
      <c r="F246" s="16">
        <f t="shared" si="13"/>
        <v>48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03221</v>
      </c>
      <c r="B247" s="16">
        <f t="shared" si="13"/>
        <v>135</v>
      </c>
      <c r="C247" s="16">
        <f t="shared" si="13"/>
        <v>0</v>
      </c>
      <c r="D247" s="16">
        <f t="shared" si="13"/>
        <v>322</v>
      </c>
      <c r="E247" s="16">
        <f t="shared" si="13"/>
        <v>1</v>
      </c>
      <c r="F247" s="16">
        <f t="shared" si="13"/>
        <v>144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03231</v>
      </c>
      <c r="B248" s="16">
        <f t="shared" si="13"/>
        <v>135</v>
      </c>
      <c r="C248" s="16">
        <f t="shared" si="13"/>
        <v>0</v>
      </c>
      <c r="D248" s="16">
        <f t="shared" si="13"/>
        <v>323</v>
      </c>
      <c r="E248" s="16">
        <f t="shared" si="13"/>
        <v>1</v>
      </c>
      <c r="F248" s="16">
        <f t="shared" si="13"/>
        <v>48</v>
      </c>
      <c r="G248" s="16">
        <f t="shared" ref="B248:K272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03241</v>
      </c>
      <c r="B249" s="16">
        <f t="shared" si="14"/>
        <v>135</v>
      </c>
      <c r="C249" s="16">
        <f t="shared" si="14"/>
        <v>0</v>
      </c>
      <c r="D249" s="16">
        <f t="shared" si="14"/>
        <v>324</v>
      </c>
      <c r="E249" s="16">
        <f t="shared" si="14"/>
        <v>1</v>
      </c>
      <c r="F249" s="16">
        <f t="shared" si="14"/>
        <v>144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03251</v>
      </c>
      <c r="B250" s="16">
        <f t="shared" si="14"/>
        <v>135</v>
      </c>
      <c r="C250" s="16">
        <f t="shared" si="14"/>
        <v>0</v>
      </c>
      <c r="D250" s="16">
        <f t="shared" si="14"/>
        <v>325</v>
      </c>
      <c r="E250" s="16">
        <f t="shared" si="14"/>
        <v>1</v>
      </c>
      <c r="F250" s="16">
        <f t="shared" si="14"/>
        <v>48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03261</v>
      </c>
      <c r="B251" s="16">
        <f t="shared" si="14"/>
        <v>135</v>
      </c>
      <c r="C251" s="16">
        <f t="shared" si="14"/>
        <v>0</v>
      </c>
      <c r="D251" s="16">
        <f t="shared" si="14"/>
        <v>326</v>
      </c>
      <c r="E251" s="16">
        <f t="shared" si="14"/>
        <v>1</v>
      </c>
      <c r="F251" s="16">
        <f t="shared" si="14"/>
        <v>144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03271</v>
      </c>
      <c r="B252" s="16">
        <f t="shared" si="14"/>
        <v>135</v>
      </c>
      <c r="C252" s="16">
        <f t="shared" si="14"/>
        <v>0</v>
      </c>
      <c r="D252" s="16">
        <f t="shared" si="14"/>
        <v>327</v>
      </c>
      <c r="E252" s="16">
        <f t="shared" si="14"/>
        <v>1</v>
      </c>
      <c r="F252" s="16">
        <f t="shared" si="14"/>
        <v>48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03801</v>
      </c>
      <c r="B253" s="16">
        <f t="shared" si="14"/>
        <v>135</v>
      </c>
      <c r="C253" s="16">
        <f t="shared" si="14"/>
        <v>0</v>
      </c>
      <c r="D253" s="16">
        <f t="shared" si="14"/>
        <v>380</v>
      </c>
      <c r="E253" s="16">
        <f t="shared" si="14"/>
        <v>1</v>
      </c>
      <c r="F253" s="16">
        <f t="shared" si="14"/>
        <v>4374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03811</v>
      </c>
      <c r="B254" s="16">
        <f t="shared" si="14"/>
        <v>135</v>
      </c>
      <c r="C254" s="16">
        <f t="shared" si="14"/>
        <v>0</v>
      </c>
      <c r="D254" s="16">
        <f t="shared" si="14"/>
        <v>381</v>
      </c>
      <c r="E254" s="16">
        <f t="shared" si="14"/>
        <v>1</v>
      </c>
      <c r="F254" s="16">
        <f t="shared" si="14"/>
        <v>80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03821</v>
      </c>
      <c r="B255" s="16">
        <f t="shared" si="14"/>
        <v>135</v>
      </c>
      <c r="C255" s="16">
        <f t="shared" si="14"/>
        <v>0</v>
      </c>
      <c r="D255" s="16">
        <f t="shared" si="14"/>
        <v>382</v>
      </c>
      <c r="E255" s="16">
        <f t="shared" si="14"/>
        <v>1</v>
      </c>
      <c r="F255" s="16">
        <f t="shared" si="14"/>
        <v>13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03831</v>
      </c>
      <c r="B256" s="16">
        <f t="shared" si="14"/>
        <v>135</v>
      </c>
      <c r="C256" s="16">
        <f t="shared" si="14"/>
        <v>0</v>
      </c>
      <c r="D256" s="16">
        <f t="shared" si="14"/>
        <v>383</v>
      </c>
      <c r="E256" s="16">
        <f t="shared" si="14"/>
        <v>1</v>
      </c>
      <c r="F256" s="16">
        <f t="shared" si="14"/>
        <v>144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  <row r="257" spans="1:11">
      <c r="A257" s="15" t="str">
        <f t="shared" si="11"/>
        <v>03841</v>
      </c>
      <c r="B257" s="16">
        <f t="shared" si="14"/>
        <v>135</v>
      </c>
      <c r="C257" s="16">
        <f t="shared" si="14"/>
        <v>0</v>
      </c>
      <c r="D257" s="16">
        <f t="shared" si="14"/>
        <v>384</v>
      </c>
      <c r="E257" s="16">
        <f t="shared" si="14"/>
        <v>1</v>
      </c>
      <c r="F257" s="16">
        <f t="shared" si="14"/>
        <v>48</v>
      </c>
      <c r="G257" s="16">
        <f t="shared" si="14"/>
        <v>0</v>
      </c>
      <c r="H257" s="16">
        <f t="shared" si="14"/>
        <v>0</v>
      </c>
      <c r="I257" s="16">
        <f t="shared" si="14"/>
        <v>0</v>
      </c>
      <c r="J257" s="16">
        <f t="shared" si="14"/>
        <v>0</v>
      </c>
      <c r="K257" s="16">
        <f t="shared" si="14"/>
        <v>1</v>
      </c>
    </row>
    <row r="258" spans="1:11">
      <c r="A258" s="15" t="str">
        <f t="shared" si="11"/>
        <v>03851</v>
      </c>
      <c r="B258" s="16">
        <f t="shared" si="14"/>
        <v>135</v>
      </c>
      <c r="C258" s="16">
        <f t="shared" si="14"/>
        <v>0</v>
      </c>
      <c r="D258" s="16">
        <f t="shared" si="14"/>
        <v>385</v>
      </c>
      <c r="E258" s="16">
        <f t="shared" si="14"/>
        <v>1</v>
      </c>
      <c r="F258" s="16">
        <f t="shared" si="14"/>
        <v>144</v>
      </c>
      <c r="G258" s="16">
        <f t="shared" si="14"/>
        <v>0</v>
      </c>
      <c r="H258" s="16">
        <f t="shared" si="14"/>
        <v>0</v>
      </c>
      <c r="I258" s="16">
        <f t="shared" si="14"/>
        <v>0</v>
      </c>
      <c r="J258" s="16">
        <f t="shared" si="14"/>
        <v>0</v>
      </c>
      <c r="K258" s="16">
        <f t="shared" si="14"/>
        <v>1</v>
      </c>
    </row>
    <row r="259" spans="1:11">
      <c r="A259" s="15" t="str">
        <f t="shared" ref="A259:A272" si="15">INDIRECT(ADDRESS(ROW()+$A$1,COLUMN(),1,TRUE,$C$1))</f>
        <v>03861</v>
      </c>
      <c r="B259" s="16">
        <f t="shared" si="14"/>
        <v>135</v>
      </c>
      <c r="C259" s="16">
        <f t="shared" si="14"/>
        <v>0</v>
      </c>
      <c r="D259" s="16">
        <f t="shared" si="14"/>
        <v>386</v>
      </c>
      <c r="E259" s="16">
        <f t="shared" si="14"/>
        <v>1</v>
      </c>
      <c r="F259" s="16">
        <f t="shared" si="14"/>
        <v>48</v>
      </c>
      <c r="G259" s="16">
        <f t="shared" si="14"/>
        <v>0</v>
      </c>
      <c r="H259" s="16">
        <f t="shared" si="14"/>
        <v>0</v>
      </c>
      <c r="I259" s="16">
        <f t="shared" si="14"/>
        <v>0</v>
      </c>
      <c r="J259" s="16">
        <f t="shared" si="14"/>
        <v>0</v>
      </c>
      <c r="K259" s="16">
        <f t="shared" si="14"/>
        <v>1</v>
      </c>
    </row>
    <row r="260" spans="1:11">
      <c r="A260" s="15" t="str">
        <f t="shared" si="15"/>
        <v>03871</v>
      </c>
      <c r="B260" s="16">
        <f t="shared" si="14"/>
        <v>135</v>
      </c>
      <c r="C260" s="16">
        <f t="shared" si="14"/>
        <v>0</v>
      </c>
      <c r="D260" s="16">
        <f t="shared" si="14"/>
        <v>387</v>
      </c>
      <c r="E260" s="16">
        <f t="shared" si="14"/>
        <v>1</v>
      </c>
      <c r="F260" s="16">
        <f t="shared" si="14"/>
        <v>4374</v>
      </c>
      <c r="G260" s="16">
        <f t="shared" si="14"/>
        <v>0</v>
      </c>
      <c r="H260" s="16">
        <f t="shared" si="14"/>
        <v>0</v>
      </c>
      <c r="I260" s="16">
        <f t="shared" si="14"/>
        <v>0</v>
      </c>
      <c r="J260" s="16">
        <f t="shared" si="14"/>
        <v>0</v>
      </c>
      <c r="K260" s="16">
        <f t="shared" si="14"/>
        <v>1</v>
      </c>
    </row>
    <row r="261" spans="1:11">
      <c r="A261" s="15" t="str">
        <f t="shared" si="15"/>
        <v>03881</v>
      </c>
      <c r="B261" s="16">
        <f t="shared" si="14"/>
        <v>135</v>
      </c>
      <c r="C261" s="16">
        <f t="shared" si="14"/>
        <v>0</v>
      </c>
      <c r="D261" s="16">
        <f t="shared" si="14"/>
        <v>388</v>
      </c>
      <c r="E261" s="16">
        <f t="shared" si="14"/>
        <v>1</v>
      </c>
      <c r="F261" s="16">
        <f t="shared" si="14"/>
        <v>80</v>
      </c>
      <c r="G261" s="16">
        <f t="shared" si="14"/>
        <v>0</v>
      </c>
      <c r="H261" s="16">
        <f t="shared" si="14"/>
        <v>0</v>
      </c>
      <c r="I261" s="16">
        <f t="shared" si="14"/>
        <v>0</v>
      </c>
      <c r="J261" s="16">
        <f t="shared" si="14"/>
        <v>0</v>
      </c>
      <c r="K261" s="16">
        <f t="shared" si="14"/>
        <v>1</v>
      </c>
    </row>
    <row r="262" spans="1:11">
      <c r="A262" s="15" t="str">
        <f t="shared" si="15"/>
        <v>03891</v>
      </c>
      <c r="B262" s="16">
        <f t="shared" si="14"/>
        <v>135</v>
      </c>
      <c r="C262" s="16">
        <f t="shared" si="14"/>
        <v>0</v>
      </c>
      <c r="D262" s="16">
        <f t="shared" si="14"/>
        <v>389</v>
      </c>
      <c r="E262" s="16">
        <f t="shared" si="14"/>
        <v>1</v>
      </c>
      <c r="F262" s="16">
        <f t="shared" si="14"/>
        <v>13</v>
      </c>
      <c r="G262" s="16">
        <f t="shared" si="14"/>
        <v>0</v>
      </c>
      <c r="H262" s="16">
        <f t="shared" si="14"/>
        <v>0</v>
      </c>
      <c r="I262" s="16">
        <f t="shared" si="14"/>
        <v>0</v>
      </c>
      <c r="J262" s="16">
        <f t="shared" si="14"/>
        <v>0</v>
      </c>
      <c r="K262" s="16">
        <f t="shared" si="14"/>
        <v>1</v>
      </c>
    </row>
    <row r="263" spans="1:11">
      <c r="A263" s="15" t="str">
        <f t="shared" si="15"/>
        <v>03901</v>
      </c>
      <c r="B263" s="16">
        <f t="shared" si="14"/>
        <v>135</v>
      </c>
      <c r="C263" s="16">
        <f t="shared" si="14"/>
        <v>0</v>
      </c>
      <c r="D263" s="16">
        <f t="shared" si="14"/>
        <v>390</v>
      </c>
      <c r="E263" s="16">
        <f t="shared" si="14"/>
        <v>1</v>
      </c>
      <c r="F263" s="16">
        <f t="shared" si="14"/>
        <v>1348</v>
      </c>
      <c r="G263" s="16">
        <f t="shared" si="14"/>
        <v>0</v>
      </c>
      <c r="H263" s="16">
        <f t="shared" si="14"/>
        <v>0</v>
      </c>
      <c r="I263" s="16">
        <f t="shared" si="14"/>
        <v>0</v>
      </c>
      <c r="J263" s="16">
        <f t="shared" si="14"/>
        <v>0</v>
      </c>
      <c r="K263" s="16">
        <f t="shared" si="14"/>
        <v>1</v>
      </c>
    </row>
    <row r="264" spans="1:11">
      <c r="A264" s="15" t="str">
        <f t="shared" si="15"/>
        <v>03911</v>
      </c>
      <c r="B264" s="16">
        <f t="shared" si="14"/>
        <v>135</v>
      </c>
      <c r="C264" s="16">
        <f t="shared" si="14"/>
        <v>0</v>
      </c>
      <c r="D264" s="16">
        <f t="shared" si="14"/>
        <v>391</v>
      </c>
      <c r="E264" s="16">
        <f t="shared" si="14"/>
        <v>1</v>
      </c>
      <c r="F264" s="16">
        <f t="shared" si="14"/>
        <v>193</v>
      </c>
      <c r="G264" s="16">
        <f t="shared" si="14"/>
        <v>0</v>
      </c>
      <c r="H264" s="16">
        <f t="shared" si="14"/>
        <v>0</v>
      </c>
      <c r="I264" s="16">
        <f t="shared" si="14"/>
        <v>0</v>
      </c>
      <c r="J264" s="16">
        <f t="shared" si="14"/>
        <v>0</v>
      </c>
      <c r="K264" s="16">
        <f t="shared" si="14"/>
        <v>1</v>
      </c>
    </row>
    <row r="265" spans="1:11">
      <c r="A265" s="15" t="str">
        <f t="shared" si="15"/>
        <v>03921</v>
      </c>
      <c r="B265" s="16">
        <f t="shared" si="14"/>
        <v>135</v>
      </c>
      <c r="C265" s="16">
        <f t="shared" si="14"/>
        <v>0</v>
      </c>
      <c r="D265" s="16">
        <f t="shared" si="14"/>
        <v>392</v>
      </c>
      <c r="E265" s="16">
        <f t="shared" si="14"/>
        <v>1</v>
      </c>
      <c r="F265" s="16">
        <f t="shared" si="14"/>
        <v>228</v>
      </c>
      <c r="G265" s="16">
        <f t="shared" si="14"/>
        <v>0</v>
      </c>
      <c r="H265" s="16">
        <f t="shared" si="14"/>
        <v>0</v>
      </c>
      <c r="I265" s="16">
        <f t="shared" si="14"/>
        <v>0</v>
      </c>
      <c r="J265" s="16">
        <f t="shared" si="14"/>
        <v>0</v>
      </c>
      <c r="K265" s="16">
        <f t="shared" si="14"/>
        <v>1</v>
      </c>
    </row>
    <row r="266" spans="1:11">
      <c r="A266" s="15" t="str">
        <f t="shared" si="15"/>
        <v>03931</v>
      </c>
      <c r="B266" s="16">
        <f t="shared" si="14"/>
        <v>135</v>
      </c>
      <c r="C266" s="16">
        <f t="shared" si="14"/>
        <v>0</v>
      </c>
      <c r="D266" s="16">
        <f t="shared" si="14"/>
        <v>393</v>
      </c>
      <c r="E266" s="16">
        <f t="shared" si="14"/>
        <v>1</v>
      </c>
      <c r="F266" s="16">
        <f t="shared" si="14"/>
        <v>1540</v>
      </c>
      <c r="G266" s="16">
        <f t="shared" si="14"/>
        <v>0</v>
      </c>
      <c r="H266" s="16">
        <f t="shared" si="14"/>
        <v>0</v>
      </c>
      <c r="I266" s="16">
        <f t="shared" si="14"/>
        <v>0</v>
      </c>
      <c r="J266" s="16">
        <f t="shared" si="14"/>
        <v>0</v>
      </c>
      <c r="K266" s="16">
        <f t="shared" si="14"/>
        <v>1</v>
      </c>
    </row>
    <row r="267" spans="1:11">
      <c r="A267" s="15" t="str">
        <f t="shared" si="15"/>
        <v>03941</v>
      </c>
      <c r="B267" s="16">
        <f t="shared" si="14"/>
        <v>135</v>
      </c>
      <c r="C267" s="16">
        <f t="shared" si="14"/>
        <v>0</v>
      </c>
      <c r="D267" s="16">
        <f t="shared" si="14"/>
        <v>394</v>
      </c>
      <c r="E267" s="16">
        <f t="shared" si="14"/>
        <v>1</v>
      </c>
      <c r="F267" s="16">
        <f t="shared" si="14"/>
        <v>246</v>
      </c>
      <c r="G267" s="16">
        <f t="shared" si="14"/>
        <v>0</v>
      </c>
      <c r="H267" s="16">
        <f t="shared" si="14"/>
        <v>0</v>
      </c>
      <c r="I267" s="16">
        <f t="shared" si="14"/>
        <v>0</v>
      </c>
      <c r="J267" s="16">
        <f t="shared" si="14"/>
        <v>0</v>
      </c>
      <c r="K267" s="16">
        <f t="shared" si="14"/>
        <v>1</v>
      </c>
    </row>
    <row r="268" spans="1:11">
      <c r="A268" s="15" t="str">
        <f t="shared" si="15"/>
        <v>03951</v>
      </c>
      <c r="B268" s="16">
        <f t="shared" si="14"/>
        <v>135</v>
      </c>
      <c r="C268" s="16">
        <f t="shared" si="14"/>
        <v>0</v>
      </c>
      <c r="D268" s="16">
        <f t="shared" si="14"/>
        <v>395</v>
      </c>
      <c r="E268" s="16">
        <f t="shared" si="14"/>
        <v>1</v>
      </c>
      <c r="F268" s="16">
        <f t="shared" si="14"/>
        <v>228</v>
      </c>
      <c r="G268" s="16">
        <f t="shared" si="14"/>
        <v>0</v>
      </c>
      <c r="H268" s="16">
        <f t="shared" si="14"/>
        <v>0</v>
      </c>
      <c r="I268" s="16">
        <f t="shared" si="14"/>
        <v>0</v>
      </c>
      <c r="J268" s="16">
        <f t="shared" si="14"/>
        <v>0</v>
      </c>
      <c r="K268" s="16">
        <f t="shared" si="14"/>
        <v>1</v>
      </c>
    </row>
    <row r="269" spans="1:11">
      <c r="A269" s="15" t="str">
        <f t="shared" si="15"/>
        <v>03961</v>
      </c>
      <c r="B269" s="16">
        <f t="shared" si="14"/>
        <v>135</v>
      </c>
      <c r="C269" s="16">
        <f t="shared" si="14"/>
        <v>0</v>
      </c>
      <c r="D269" s="16">
        <f t="shared" si="14"/>
        <v>396</v>
      </c>
      <c r="E269" s="16">
        <f t="shared" si="14"/>
        <v>1</v>
      </c>
      <c r="F269" s="16">
        <f t="shared" si="14"/>
        <v>1540</v>
      </c>
      <c r="G269" s="16">
        <f t="shared" si="14"/>
        <v>0</v>
      </c>
      <c r="H269" s="16">
        <f t="shared" si="14"/>
        <v>0</v>
      </c>
      <c r="I269" s="16">
        <f t="shared" si="14"/>
        <v>0</v>
      </c>
      <c r="J269" s="16">
        <f t="shared" si="14"/>
        <v>0</v>
      </c>
      <c r="K269" s="16">
        <f t="shared" si="14"/>
        <v>1</v>
      </c>
    </row>
    <row r="270" spans="1:11">
      <c r="A270" s="15" t="str">
        <f t="shared" si="15"/>
        <v>03971</v>
      </c>
      <c r="B270" s="16">
        <f t="shared" si="14"/>
        <v>135</v>
      </c>
      <c r="C270" s="16">
        <f t="shared" si="14"/>
        <v>0</v>
      </c>
      <c r="D270" s="16">
        <f t="shared" si="14"/>
        <v>397</v>
      </c>
      <c r="E270" s="16">
        <f t="shared" si="14"/>
        <v>1</v>
      </c>
      <c r="F270" s="16">
        <f t="shared" si="14"/>
        <v>246</v>
      </c>
      <c r="G270" s="16">
        <f t="shared" si="14"/>
        <v>0</v>
      </c>
      <c r="H270" s="16">
        <f t="shared" si="14"/>
        <v>0</v>
      </c>
      <c r="I270" s="16">
        <f t="shared" si="14"/>
        <v>0</v>
      </c>
      <c r="J270" s="16">
        <f t="shared" si="14"/>
        <v>0</v>
      </c>
      <c r="K270" s="16">
        <f t="shared" si="14"/>
        <v>1</v>
      </c>
    </row>
    <row r="271" spans="1:11">
      <c r="A271" s="15" t="str">
        <f t="shared" si="15"/>
        <v>03981</v>
      </c>
      <c r="B271" s="16">
        <f t="shared" si="14"/>
        <v>135</v>
      </c>
      <c r="C271" s="16">
        <f t="shared" si="14"/>
        <v>0</v>
      </c>
      <c r="D271" s="16">
        <f t="shared" si="14"/>
        <v>398</v>
      </c>
      <c r="E271" s="16">
        <f t="shared" si="14"/>
        <v>1</v>
      </c>
      <c r="F271" s="16">
        <f t="shared" si="14"/>
        <v>1348</v>
      </c>
      <c r="G271" s="16">
        <f t="shared" si="14"/>
        <v>0</v>
      </c>
      <c r="H271" s="16">
        <f t="shared" si="14"/>
        <v>0</v>
      </c>
      <c r="I271" s="16">
        <f t="shared" si="14"/>
        <v>0</v>
      </c>
      <c r="J271" s="16">
        <f t="shared" si="14"/>
        <v>0</v>
      </c>
      <c r="K271" s="16">
        <f t="shared" si="14"/>
        <v>1</v>
      </c>
    </row>
    <row r="272" spans="1:11">
      <c r="A272" s="15" t="str">
        <f t="shared" si="15"/>
        <v>03991</v>
      </c>
      <c r="B272" s="16">
        <f t="shared" si="14"/>
        <v>135</v>
      </c>
      <c r="C272" s="16">
        <f t="shared" si="14"/>
        <v>0</v>
      </c>
      <c r="D272" s="16">
        <f t="shared" si="14"/>
        <v>399</v>
      </c>
      <c r="E272" s="16">
        <f t="shared" si="14"/>
        <v>1</v>
      </c>
      <c r="F272" s="16">
        <f t="shared" si="14"/>
        <v>193</v>
      </c>
      <c r="G272" s="16">
        <f t="shared" si="14"/>
        <v>0</v>
      </c>
      <c r="H272" s="16">
        <f t="shared" si="14"/>
        <v>0</v>
      </c>
      <c r="I272" s="16">
        <f t="shared" si="14"/>
        <v>0</v>
      </c>
      <c r="J272" s="16">
        <f t="shared" si="14"/>
        <v>0</v>
      </c>
      <c r="K272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gacha_133_base</vt:lpstr>
      <vt:lpstr>gacha_unit_tables_133</vt:lpstr>
      <vt:lpstr>gacha_unit_tables_134</vt:lpstr>
      <vt:lpstr>gacha_unit_tables_135</vt:lpstr>
      <vt:lpstr>gacha_unit_tables_133.tmp</vt:lpstr>
      <vt:lpstr>gacha_unit_tables_134.tmp</vt:lpstr>
      <vt:lpstr>gacha_unit_tables_135.tmp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2015-10-13T07:09:17Z</dcterms:modified>
</cp:coreProperties>
</file>