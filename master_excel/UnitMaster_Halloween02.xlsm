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80" yWindow="460" windowWidth="2872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2" i="23"/>
  <c r="BR2" i="23"/>
  <c r="E9" i="54"/>
  <c r="D9" i="54"/>
  <c r="B9" i="54"/>
  <c r="E8" i="54"/>
  <c r="D8" i="54"/>
  <c r="B8" i="54"/>
  <c r="E7" i="54"/>
  <c r="D7" i="54"/>
  <c r="B7" i="54"/>
  <c r="E6" i="54"/>
  <c r="D6" i="54"/>
  <c r="B6" i="54"/>
  <c r="H3" i="53"/>
  <c r="G3" i="53"/>
  <c r="E3" i="53"/>
  <c r="K3" i="52"/>
  <c r="J3" i="52"/>
  <c r="H3" i="52"/>
  <c r="E3" i="52"/>
  <c r="G3" i="23"/>
  <c r="BC3" i="23"/>
  <c r="BD3" i="23"/>
  <c r="Q3" i="23"/>
  <c r="V3" i="23"/>
  <c r="W3" i="23"/>
  <c r="AD3" i="23"/>
  <c r="I3" i="23"/>
  <c r="M3" i="23"/>
  <c r="BN3" i="23"/>
  <c r="U3" i="23"/>
  <c r="AC3" i="23"/>
  <c r="L3" i="23"/>
  <c r="BM3" i="23"/>
  <c r="T3" i="23"/>
  <c r="AB3" i="23"/>
  <c r="K3" i="23"/>
  <c r="BL3" i="23"/>
  <c r="S3" i="23"/>
  <c r="AA3" i="23"/>
  <c r="J3" i="23"/>
  <c r="BK3" i="23"/>
  <c r="BE3" i="23"/>
  <c r="BJ3" i="23"/>
  <c r="BI3" i="23"/>
  <c r="BH3" i="23"/>
  <c r="BG3" i="23"/>
  <c r="I2" i="23"/>
  <c r="J2" i="23"/>
  <c r="BF3" i="23"/>
  <c r="AX3" i="23"/>
  <c r="AW3" i="23"/>
  <c r="AV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N3" i="23"/>
  <c r="F3" i="23"/>
  <c r="E3" i="23"/>
  <c r="D3" i="23"/>
  <c r="C3" i="23"/>
  <c r="B3" i="23"/>
  <c r="E2" i="54"/>
  <c r="E3" i="54"/>
  <c r="E4" i="54"/>
  <c r="E5" i="54"/>
  <c r="D5" i="54"/>
  <c r="B5" i="54"/>
  <c r="D4" i="54"/>
  <c r="B4" i="54"/>
  <c r="D3" i="54"/>
  <c r="B3" i="54"/>
  <c r="D2" i="54"/>
  <c r="B2" i="54"/>
  <c r="G2" i="23"/>
  <c r="BC2" i="23"/>
  <c r="BD2" i="23"/>
  <c r="Q2" i="23"/>
  <c r="S2" i="23"/>
  <c r="W2" i="23"/>
  <c r="AA2" i="23"/>
  <c r="BK2" i="23"/>
  <c r="T2" i="23"/>
  <c r="AB2" i="23"/>
  <c r="K2" i="23"/>
  <c r="BL2" i="23"/>
  <c r="V2" i="23"/>
  <c r="AD2" i="23"/>
  <c r="M2" i="23"/>
  <c r="BN2" i="23"/>
  <c r="AL2" i="23"/>
  <c r="AH2" i="23"/>
  <c r="G10" i="13"/>
  <c r="G11" i="13"/>
  <c r="G9" i="13"/>
  <c r="B2" i="23"/>
  <c r="G3" i="13"/>
  <c r="G4" i="13"/>
  <c r="R2" i="23"/>
  <c r="H2" i="53"/>
  <c r="G2" i="53"/>
  <c r="E2" i="53"/>
  <c r="AU2" i="23"/>
  <c r="K2" i="52"/>
  <c r="J2" i="52"/>
  <c r="H2" i="52"/>
  <c r="AQ2" i="23"/>
  <c r="U2" i="23"/>
  <c r="AC2" i="23"/>
  <c r="L2" i="23"/>
  <c r="BM2" i="23"/>
  <c r="BE2" i="23"/>
  <c r="BJ2" i="23"/>
  <c r="BI2" i="23"/>
  <c r="BH2" i="23"/>
  <c r="BG2" i="23"/>
  <c r="BF2" i="23"/>
  <c r="AX2" i="23"/>
  <c r="AW2" i="23"/>
  <c r="AV2" i="23"/>
  <c r="AS2" i="23"/>
  <c r="AR2" i="23"/>
  <c r="AN2" i="23"/>
  <c r="AM2" i="23"/>
  <c r="AK2" i="23"/>
  <c r="AI2" i="23"/>
  <c r="AF2" i="23"/>
  <c r="Y2" i="23"/>
  <c r="Z2" i="23"/>
  <c r="X2" i="23"/>
  <c r="P2" i="23"/>
  <c r="O2" i="23"/>
  <c r="N2" i="23"/>
  <c r="F2" i="23"/>
  <c r="E2" i="23"/>
  <c r="D2" i="23"/>
  <c r="C2" i="23"/>
  <c r="E3" i="49"/>
  <c r="E5" i="49"/>
  <c r="E15" i="49"/>
  <c r="E14" i="49"/>
  <c r="E13" i="49"/>
  <c r="G8" i="13"/>
  <c r="G2" i="1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<sst xmlns="http://schemas.openxmlformats.org/spreadsheetml/2006/main" count="874" uniqueCount="359">
  <si>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</si>
  <si>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</si>
  <si>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</si>
  <si>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</si>
  <si>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</si>
  <si>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</si>
  <si>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</si>
  <si>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</si>
  <si>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</si>
  <si>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</si>
  <si>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</si>
  <si>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</si>
  <si>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</si>
  <si>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</si>
  <si>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</si>
  <si>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</si>
  <si>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</si>
  <si>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</si>
  <si>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</si>
  <si>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</si>
  <si>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</si>
  <si>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</si>
  <si>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</si>
  <si>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</si>
  <si>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</si>
  <si>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</si>
  <si>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</si>
  <si>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</si>
  <si>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</si>
  <si>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</si>
  <si>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</si>
  <si>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</si>
  <si>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</si>
  <si>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</si>
  <si>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</si>
  <si>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</si>
  <si>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</si>
  <si>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</si>
  <si>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</si>
  <si>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</si>
  <si>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</si>
  <si>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</si>
  <si>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</si>
  <si>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</si>
  <si>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</si>
  <si>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</si>
  <si>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</si>
  <si>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</si>
  <si>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</si>
  <si>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</si>
  <si>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</si>
  <si>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</si>
  <si>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</si>
  <si>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</si>
  <si>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</si>
  <si>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</si>
  <si>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</si>
  <si>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</si>
  <si>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</si>
  <si>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</si>
  <si>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</si>
  <si>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</si>
  <si>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</si>
  <si>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</si>
  <si>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</si>
  <si>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</si>
  <si>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</si>
  <si>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</si>
  <si>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</si>
  <si>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</si>
  <si>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</si>
  <si>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</si>
  <si>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</si>
  <si>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</si>
  <si>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</si>
  <si>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</si>
  <si>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</si>
  <si>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</si>
  <si>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</si>
  <si>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</si>
  <si>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</si>
  <si>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</si>
  <si>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</si>
  <si>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</si>
  <si>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</si>
  <si>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</si>
  <si>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</si>
  <si>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</si>
  <si>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</si>
  <si>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</si>
  <si>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</si>
  <si>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</si>
  <si>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</si>
  <si>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</si>
  <si>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</si>
  <si>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</si>
  <si>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</si>
  <si>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</si>
  <si>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</si>
  <si>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</si>
  <si>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</si>
  <si>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</si>
  <si>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</si>
  <si>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</si>
  <si>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</si>
  <si>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</si>
  <si>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</si>
  <si>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</si>
  <si>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</si>
  <si>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</si>
  <si>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</si>
  <si>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</si>
  <si>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</si>
  <si>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</si>
  <si>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</si>
  <si>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</si>
  <si>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</si>
  <si>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</si>
  <si>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</si>
  <si>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</si>
  <si>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</si>
  <si>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</si>
  <si>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</si>
  <si>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</si>
  <si>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</si>
  <si>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</si>
  <si>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</si>
  <si>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</si>
  <si>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</si>
  <si>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</si>
  <si>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</si>
  <si>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</si>
  <si>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</si>
  <si>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</si>
  <si>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</si>
  <si>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</si>
  <si>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</si>
  <si>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</si>
  <si>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</si>
  <si>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</si>
  <si>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</si>
  <si>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</si>
  <si>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</si>
  <si>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</si>
  <si>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</si>
  <si>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</si>
  <si>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</si>
  <si>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</si>
  <si>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</si>
  <si>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</si>
  <si>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</si>
  <si>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</si>
  <si>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</si>
  <si>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</si>
  <si>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</si>
  <si>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</si>
  <si>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</si>
  <si>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</si>
  <si>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</si>
  <si>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</si>
  <si>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</si>
  <si>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</si>
  <si>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</si>
  <si>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</si>
  <si>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</si>
  <si>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</si>
  <si>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</si>
  <si>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</si>
  <si>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</si>
  <si>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</si>
  <si>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</si>
  <si>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</si>
  <si>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</si>
  <si>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</si>
  <si>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</si>
  <si>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</si>
  <si>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</si>
  <si>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</si>
  <si>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</si>
  <si>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</si>
  <si>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</si>
  <si>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</si>
  <si>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</si>
  <si>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</si>
  <si>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</si>
  <si>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</si>
  <si>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</si>
  <si>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</si>
  <si>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</si>
  <si>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</si>
  <si>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</si>
  <si>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</si>
  <si>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</si>
  <si>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</si>
  <si>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</si>
  <si>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</si>
  <si>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</si>
  <si>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</si>
  <si>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</si>
  <si>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</si>
  <si>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</si>
  <si>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</si>
  <si>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</si>
  <si>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</si>
  <si>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</si>
  <si>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</si>
  <si>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</si>
  <si>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</si>
  <si>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</si>
  <si>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</si>
  <si>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</si>
  <si>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</si>
  <si>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</si>
  <si>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</si>
  <si>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</si>
  <si>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</si>
  <si>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</si>
  <si>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</si>
  <si>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</si>
  <si>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</si>
  <si>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</si>
  <si>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</si>
  <si>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</si>
  <si>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</si>
  <si>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</si>
  <si>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</si>
  <si>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</si>
  <si>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</si>
  <si>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</si>
  <si>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</si>
  <si>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</si>
  <si>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</si>
  <si>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</si>
  <si>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</si>
  <si>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</si>
  <si>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</si>
  <si>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</si>
  <si>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</si>
  <si>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</si>
  <si>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</si>
  <si>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</si>
  <si>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</si>
  <si>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</si>
  <si>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</si>
  <si>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</si>
  <si>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</si>
  <si>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</si>
  <si>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</si>
  <si>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</si>
  <si>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</si>
  <si>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</si>
  <si>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</si>
  <si>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</si>
  <si>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</si>
  <si>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</si>
  <si>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</si>
  <si>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</si>
  <si>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</si>
  <si>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</si>
  <si>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</si>
  <si>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</si>
  <si>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</si>
  <si>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</si>
  <si>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</si>
  <si>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</si>
  <si>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</si>
  <si>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</si>
  <si>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</si>
  <si>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</si>
  <si>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</si>
  <si>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</si>
  <si>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</si>
  <si>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</si>
  <si>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</si>
  <si>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</si>
  <si>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</si>
  <si>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</si>
  <si>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</si>
  <si>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</si>
  <si>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</si>
  <si>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</si>
  <si>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</si>
  <si>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</si>
  <si>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</si>
  <si>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</si>
  <si>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</si>
  <si>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</si>
  <si>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</si>
  <si>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</si>
  <si>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</si>
  <si>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</si>
  <si>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</si>
  <si>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</si>
  <si>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</si>
  <si>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</si>
  <si>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</si>
  <si>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</si>
  <si>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</si>
  <si>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</si>
  <si>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</si>
  <si>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</si>
  <si>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</si>
  <si>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</si>
  <si>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</si>
  <si>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</si>
  <si>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</si>
  <si>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</si>
  <si>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</si>
  <si>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</si>
  <si>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</si>
  <si>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</si>
  <si>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</si>
  <si>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</si>
  <si>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Halloween02</t>
    <phoneticPr fontId="22"/>
  </si>
  <si>
    <t>NULL</t>
    <phoneticPr fontId="10"/>
  </si>
  <si>
    <t>old</t>
  </si>
  <si>
    <t>ゴースト・オン・ザ・ライン</t>
    <phoneticPr fontId="22"/>
  </si>
  <si>
    <t>イタズラ禁止ですぅ</t>
    <phoneticPr fontId="22"/>
  </si>
  <si>
    <t>慈しみのホスピタルキーパー</t>
    <phoneticPr fontId="22"/>
  </si>
  <si>
    <t>闇を撫でるんだ…この指で…</t>
    <phoneticPr fontId="22"/>
  </si>
  <si>
    <t>キミの夜をいただくよ…</t>
    <phoneticPr fontId="22"/>
  </si>
  <si>
    <t>恐怖の表情…見せてよ</t>
    <phoneticPr fontId="22"/>
  </si>
  <si>
    <t>悪戯だと思った…？</t>
    <phoneticPr fontId="22"/>
  </si>
  <si>
    <t>giza</t>
  </si>
  <si>
    <t>安静にしていてくださいぃ！</t>
    <phoneticPr fontId="22"/>
  </si>
  <si>
    <t>怖がらないでいいですぅ</t>
    <phoneticPr fontId="22"/>
  </si>
  <si>
    <t>精一杯看護しますぅ</t>
    <phoneticPr fontId="22"/>
  </si>
  <si>
    <t>点滴のお時間ですぅ！</t>
    <phoneticPr fontId="22"/>
  </si>
  <si>
    <t>ワイヤード・ウォーカーズ</t>
    <phoneticPr fontId="22"/>
  </si>
  <si>
    <t>HPを回復+1ターン味方全体の攻撃力UP</t>
    <phoneticPr fontId="22"/>
  </si>
  <si>
    <t>[effect:damage_hp, target:enemy_one, color:blue, val:1.125, animation:damage_one_blue04]</t>
    <phoneticPr fontId="22"/>
  </si>
  <si>
    <t>[effect:heal_ratio, val:0.18, animation:heal02_unit01],[effect:enhance_unit, target:unit_all, turn:1, status:attack, val:0.075, calc:mul, animation:enhance_unit_all_attack02]</t>
    <phoneticPr fontId="22"/>
  </si>
  <si>
    <t>[effect:force_change_block, new_block:block_heart, target:jammer, count:0, val:0, animation:change_block],[effect:enhance_unit, target:unit_all, turn:3, status:heal, val:0.6, calc:mul, animation:enhance_unit_all_heal04]</t>
    <phoneticPr fontId="22"/>
  </si>
  <si>
    <t>自身のHPの最大値に比例して単体に特大ダメージ</t>
    <phoneticPr fontId="22"/>
  </si>
  <si>
    <t>お邪魔パネルをハートパネルに変換+3ターン全ユニットの回復力特大UP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</si>
  <si>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</si>
  <si>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</si>
  <si>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</si>
  <si>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</si>
  <si>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</si>
  <si>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</si>
  <si>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</si>
  <si>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</si>
  <si>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</si>
  <si>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</si>
  <si>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</si>
  <si>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</si>
  <si>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</si>
  <si>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</si>
  <si>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</si>
  <si>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</si>
  <si>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</si>
  <si>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</si>
  <si>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</si>
  <si>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</si>
  <si>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</si>
  <si>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</si>
  <si>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青パネルをCパネルに変換+HP回復(赤パネルを吸収して効果UP)</t>
    <phoneticPr fontId="22"/>
  </si>
  <si>
    <t>[effect:force_change_block, new_block:crash, target:block_blue, count:0, val:6, animation:change_block],[effect:break_heal_ratio, val:0.1, lowest_val:1000, count:-1, block01:block_red, animation:heal02]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</si>
</sst>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3" fillId="26" borderId="4" xfId="0" applyFont="1" applyFill="1" applyBorder="1" applyAlignment="1">
      <alignment horizontal="center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topLeftCell="K1" workbookViewId="0">
      <selection activeCell="R13" sqref="R13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2" t="s">
        <v>125</v>
      </c>
      <c r="B1" s="102" t="s">
        <v>116</v>
      </c>
      <c r="C1" s="102" t="s">
        <v>117</v>
      </c>
      <c r="D1" s="102" t="s">
        <v>118</v>
      </c>
      <c r="E1" s="102" t="s">
        <v>119</v>
      </c>
      <c r="F1" s="102" t="s">
        <v>120</v>
      </c>
      <c r="G1" s="102" t="s">
        <v>121</v>
      </c>
      <c r="H1" s="102"/>
      <c r="I1" s="102"/>
      <c r="J1" s="102"/>
      <c r="K1" s="102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29" x14ac:dyDescent="0.15">
      <c r="A2" s="104" t="s">
        <v>315</v>
      </c>
      <c r="B2" s="104" t="s">
        <v>129</v>
      </c>
      <c r="C2" s="161" t="s">
        <v>313</v>
      </c>
      <c r="D2" s="104" t="s">
        <v>128</v>
      </c>
      <c r="E2" s="103" t="str">
        <f>B2&amp;C2&amp;D2</f>
        <v>units_Halloween02.tmp</v>
      </c>
      <c r="F2" s="104" t="s">
        <v>124</v>
      </c>
      <c r="G2" s="58" t="s">
        <v>17</v>
      </c>
      <c r="H2" s="59" t="s">
        <v>96</v>
      </c>
      <c r="I2" s="59" t="s">
        <v>1</v>
      </c>
      <c r="J2" s="59" t="s">
        <v>3</v>
      </c>
      <c r="K2" s="59" t="s">
        <v>2</v>
      </c>
      <c r="L2" s="59" t="s">
        <v>98</v>
      </c>
      <c r="M2" s="59" t="s">
        <v>20</v>
      </c>
      <c r="N2" s="59" t="s">
        <v>103</v>
      </c>
      <c r="O2" s="59" t="s">
        <v>101</v>
      </c>
      <c r="P2" s="59" t="s">
        <v>39</v>
      </c>
      <c r="Q2" s="59" t="s">
        <v>57</v>
      </c>
      <c r="R2" s="104" t="s">
        <v>335</v>
      </c>
      <c r="S2" s="104"/>
      <c r="T2" s="104"/>
      <c r="U2" s="104"/>
      <c r="V2" s="104"/>
      <c r="W2" s="104"/>
    </row>
    <row r="3" spans="1:29" x14ac:dyDescent="0.15">
      <c r="A3" s="104" t="s">
        <v>315</v>
      </c>
      <c r="B3" s="104" t="s">
        <v>291</v>
      </c>
      <c r="C3" s="161" t="s">
        <v>313</v>
      </c>
      <c r="D3" s="104" t="s">
        <v>128</v>
      </c>
      <c r="E3" s="103" t="str">
        <f>B3&amp;C3&amp;D3</f>
        <v>fork_awake_units_Halloween02.tmp</v>
      </c>
      <c r="F3" s="104" t="s">
        <v>292</v>
      </c>
      <c r="G3" s="58" t="s">
        <v>17</v>
      </c>
      <c r="H3" s="59" t="s">
        <v>293</v>
      </c>
      <c r="I3" s="59" t="s">
        <v>294</v>
      </c>
      <c r="J3" s="59" t="s">
        <v>295</v>
      </c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</row>
    <row r="4" spans="1:29" x14ac:dyDescent="0.15">
      <c r="A4" s="104" t="s">
        <v>315</v>
      </c>
      <c r="B4" s="104" t="s">
        <v>130</v>
      </c>
      <c r="C4" s="161" t="s">
        <v>313</v>
      </c>
      <c r="D4" s="104" t="s">
        <v>128</v>
      </c>
      <c r="E4" s="103" t="str">
        <f>B4&amp;C4&amp;D4</f>
        <v>awake_materials_Halloween02.tmp</v>
      </c>
      <c r="F4" s="104" t="s">
        <v>123</v>
      </c>
      <c r="G4" s="105" t="s">
        <v>38</v>
      </c>
      <c r="H4" s="106" t="s">
        <v>36</v>
      </c>
      <c r="I4" s="106" t="s">
        <v>37</v>
      </c>
      <c r="J4" s="108" t="s">
        <v>126</v>
      </c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</row>
    <row r="5" spans="1:29" x14ac:dyDescent="0.15">
      <c r="A5" s="104" t="s">
        <v>315</v>
      </c>
      <c r="B5" s="104" t="s">
        <v>290</v>
      </c>
      <c r="C5" s="161" t="s">
        <v>313</v>
      </c>
      <c r="D5" s="104" t="s">
        <v>128</v>
      </c>
      <c r="E5" s="103" t="str">
        <f>B5&amp;C5&amp;D5</f>
        <v>fork_awake_materials_Halloween02.tmp</v>
      </c>
      <c r="F5" s="104" t="s">
        <v>123</v>
      </c>
      <c r="G5" s="175" t="s">
        <v>296</v>
      </c>
      <c r="H5" s="175" t="s">
        <v>297</v>
      </c>
      <c r="I5" s="175" t="s">
        <v>36</v>
      </c>
      <c r="J5" s="175" t="s">
        <v>37</v>
      </c>
      <c r="K5" s="175" t="s">
        <v>298</v>
      </c>
      <c r="L5" s="175" t="s">
        <v>299</v>
      </c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</row>
    <row r="6" spans="1:29" x14ac:dyDescent="0.15">
      <c r="A6" s="104" t="s">
        <v>315</v>
      </c>
      <c r="B6" s="104" t="s">
        <v>131</v>
      </c>
      <c r="C6" s="161" t="s">
        <v>313</v>
      </c>
      <c r="D6" s="104" t="s">
        <v>132</v>
      </c>
      <c r="E6" s="103" t="str">
        <f t="shared" ref="E6" si="0">B6&amp;C6&amp;D6</f>
        <v>unit_levels_calc_Halloween02.tmp</v>
      </c>
      <c r="F6" s="104" t="s">
        <v>122</v>
      </c>
      <c r="G6" s="54" t="s">
        <v>17</v>
      </c>
      <c r="H6" s="55" t="s">
        <v>2</v>
      </c>
      <c r="I6" s="56" t="s">
        <v>79</v>
      </c>
      <c r="J6" s="56" t="s">
        <v>80</v>
      </c>
      <c r="K6" s="56" t="s">
        <v>81</v>
      </c>
      <c r="L6" s="56" t="s">
        <v>82</v>
      </c>
      <c r="M6" s="56" t="s">
        <v>87</v>
      </c>
      <c r="N6" s="56" t="s">
        <v>88</v>
      </c>
      <c r="O6" s="56" t="s">
        <v>89</v>
      </c>
      <c r="P6" s="56" t="s">
        <v>90</v>
      </c>
      <c r="Q6" s="56" t="s">
        <v>91</v>
      </c>
      <c r="R6" s="56" t="s">
        <v>94</v>
      </c>
      <c r="S6" s="56" t="s">
        <v>92</v>
      </c>
      <c r="T6" s="56" t="s">
        <v>93</v>
      </c>
      <c r="U6" s="56" t="s">
        <v>83</v>
      </c>
      <c r="V6" s="56" t="s">
        <v>84</v>
      </c>
      <c r="W6" s="56" t="s">
        <v>85</v>
      </c>
    </row>
    <row r="7" spans="1:29" x14ac:dyDescent="0.15">
      <c r="A7" s="104" t="s">
        <v>315</v>
      </c>
      <c r="B7" s="104" t="s">
        <v>143</v>
      </c>
      <c r="C7" s="161" t="s">
        <v>313</v>
      </c>
      <c r="D7" s="104" t="s">
        <v>144</v>
      </c>
      <c r="E7" s="103" t="str">
        <f>B7&amp;C7&amp;D7</f>
        <v>unit_skills_data_Halloween02.tmp</v>
      </c>
      <c r="F7" s="104" t="s">
        <v>145</v>
      </c>
      <c r="G7" s="111" t="s">
        <v>20</v>
      </c>
      <c r="H7" s="111" t="s">
        <v>146</v>
      </c>
      <c r="I7" s="111" t="s">
        <v>2</v>
      </c>
      <c r="J7" s="111" t="s">
        <v>147</v>
      </c>
      <c r="K7" s="111" t="s">
        <v>148</v>
      </c>
      <c r="L7" s="111" t="s">
        <v>4</v>
      </c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</row>
    <row r="8" spans="1:29" x14ac:dyDescent="0.15">
      <c r="A8" s="104" t="s">
        <v>315</v>
      </c>
      <c r="B8" s="104" t="s">
        <v>149</v>
      </c>
      <c r="C8" s="161" t="s">
        <v>313</v>
      </c>
      <c r="D8" s="104" t="s">
        <v>128</v>
      </c>
      <c r="E8" s="103" t="str">
        <f>B8&amp;C8&amp;D8</f>
        <v>unit_skills_i18n_Halloween02.tmp</v>
      </c>
      <c r="F8" s="104" t="s">
        <v>145</v>
      </c>
      <c r="G8" s="111" t="s">
        <v>150</v>
      </c>
      <c r="H8" s="111" t="s">
        <v>134</v>
      </c>
      <c r="I8" s="111" t="s">
        <v>151</v>
      </c>
      <c r="J8" s="111" t="s">
        <v>152</v>
      </c>
      <c r="K8" s="107"/>
      <c r="L8" s="107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</row>
    <row r="9" spans="1:29" x14ac:dyDescent="0.15">
      <c r="A9" s="104" t="s">
        <v>315</v>
      </c>
      <c r="B9" s="104" t="s">
        <v>153</v>
      </c>
      <c r="C9" s="161" t="s">
        <v>313</v>
      </c>
      <c r="D9" s="104" t="s">
        <v>154</v>
      </c>
      <c r="E9" s="103" t="str">
        <f>B9&amp;C9&amp;D9</f>
        <v>crash_skills_data_Halloween02.tmp</v>
      </c>
      <c r="F9" s="104" t="s">
        <v>155</v>
      </c>
      <c r="G9" s="111" t="s">
        <v>156</v>
      </c>
      <c r="H9" s="111" t="s">
        <v>148</v>
      </c>
      <c r="I9" s="111" t="s">
        <v>4</v>
      </c>
      <c r="J9" s="107"/>
      <c r="K9" s="107"/>
      <c r="L9" s="107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</row>
    <row r="10" spans="1:29" x14ac:dyDescent="0.15">
      <c r="A10" s="104" t="s">
        <v>315</v>
      </c>
      <c r="B10" s="104" t="s">
        <v>157</v>
      </c>
      <c r="C10" s="161" t="s">
        <v>313</v>
      </c>
      <c r="D10" s="104" t="s">
        <v>158</v>
      </c>
      <c r="E10" s="103" t="str">
        <f t="shared" ref="E10" si="1">B10&amp;C10&amp;D10</f>
        <v>crash_skills_i18n_Halloween02.tmp</v>
      </c>
      <c r="F10" s="104" t="s">
        <v>155</v>
      </c>
      <c r="G10" s="111" t="s">
        <v>159</v>
      </c>
      <c r="H10" s="111" t="s">
        <v>160</v>
      </c>
      <c r="I10" s="111" t="s">
        <v>161</v>
      </c>
      <c r="J10" s="111" t="s">
        <v>162</v>
      </c>
      <c r="K10" s="112"/>
      <c r="L10" s="112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29" x14ac:dyDescent="0.15">
      <c r="A11" s="104" t="s">
        <v>315</v>
      </c>
      <c r="B11" s="107" t="s">
        <v>135</v>
      </c>
      <c r="C11" s="161" t="s">
        <v>313</v>
      </c>
      <c r="D11" s="104" t="s">
        <v>158</v>
      </c>
      <c r="E11" s="103" t="str">
        <f t="shared" ref="E11:E12" si="2">B11&amp;C11&amp;D11</f>
        <v>unit_serifs_data_Halloween02.tmp</v>
      </c>
      <c r="F11" s="107" t="s">
        <v>137</v>
      </c>
      <c r="G11" s="110" t="s">
        <v>138</v>
      </c>
      <c r="H11" s="111" t="s">
        <v>139</v>
      </c>
      <c r="I11" s="111" t="s">
        <v>133</v>
      </c>
      <c r="J11" s="109" t="s">
        <v>190</v>
      </c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</row>
    <row r="12" spans="1:29" x14ac:dyDescent="0.15">
      <c r="A12" s="104" t="s">
        <v>315</v>
      </c>
      <c r="B12" s="107" t="s">
        <v>136</v>
      </c>
      <c r="C12" s="161" t="s">
        <v>313</v>
      </c>
      <c r="D12" s="104" t="s">
        <v>158</v>
      </c>
      <c r="E12" s="103" t="str">
        <f t="shared" si="2"/>
        <v>unit_serifs_i18n_Halloween02.tmp</v>
      </c>
      <c r="F12" s="107" t="s">
        <v>137</v>
      </c>
      <c r="G12" s="110" t="s">
        <v>140</v>
      </c>
      <c r="H12" s="111" t="s">
        <v>141</v>
      </c>
      <c r="I12" s="111" t="s">
        <v>142</v>
      </c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</row>
    <row r="13" spans="1:29" x14ac:dyDescent="0.15">
      <c r="A13" s="104" t="s">
        <v>315</v>
      </c>
      <c r="B13" s="104" t="s">
        <v>252</v>
      </c>
      <c r="C13" s="161" t="s">
        <v>313</v>
      </c>
      <c r="D13" s="104" t="s">
        <v>253</v>
      </c>
      <c r="E13" s="103" t="str">
        <f>B13&amp;C13&amp;D13</f>
        <v>abilities_Halloween02.tmp</v>
      </c>
      <c r="F13" s="104" t="s">
        <v>254</v>
      </c>
      <c r="G13" s="162" t="s">
        <v>255</v>
      </c>
      <c r="H13" s="162" t="s">
        <v>256</v>
      </c>
      <c r="I13" s="162" t="s">
        <v>257</v>
      </c>
      <c r="J13" s="162"/>
      <c r="K13" s="163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29" x14ac:dyDescent="0.15">
      <c r="A14" s="104" t="s">
        <v>315</v>
      </c>
      <c r="B14" s="104" t="s">
        <v>258</v>
      </c>
      <c r="C14" s="161" t="s">
        <v>313</v>
      </c>
      <c r="D14" s="104" t="s">
        <v>128</v>
      </c>
      <c r="E14" s="103" t="str">
        <f>B14&amp;C14&amp;D14</f>
        <v>abilities_i18n_Halloween02.tmp</v>
      </c>
      <c r="F14" s="104" t="s">
        <v>259</v>
      </c>
      <c r="G14" s="162" t="s">
        <v>255</v>
      </c>
      <c r="H14" s="162" t="s">
        <v>141</v>
      </c>
      <c r="I14" s="162" t="s">
        <v>260</v>
      </c>
      <c r="J14" s="162" t="s">
        <v>152</v>
      </c>
      <c r="K14" s="163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29" x14ac:dyDescent="0.15">
      <c r="A15" s="104" t="s">
        <v>315</v>
      </c>
      <c r="B15" s="104" t="s">
        <v>261</v>
      </c>
      <c r="C15" s="161" t="s">
        <v>313</v>
      </c>
      <c r="D15" s="104" t="s">
        <v>128</v>
      </c>
      <c r="E15" s="103" t="str">
        <f>B15&amp;C15&amp;D15</f>
        <v>unit_abilities_Halloween02.tmp</v>
      </c>
      <c r="F15" s="104" t="s">
        <v>262</v>
      </c>
      <c r="G15" s="162" t="s">
        <v>138</v>
      </c>
      <c r="H15" s="164" t="s">
        <v>263</v>
      </c>
      <c r="I15" s="164" t="s">
        <v>264</v>
      </c>
      <c r="J15" s="165" t="s">
        <v>265</v>
      </c>
      <c r="K15" s="162" t="s">
        <v>266</v>
      </c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zoomScale="90" zoomScaleNormal="90" zoomScalePageLayoutView="90" workbookViewId="0">
      <pane xSplit="9" ySplit="1" topLeftCell="BF2" activePane="bottomRight" state="frozen"/>
      <selection pane="topRight" activeCell="J1" sqref="J1"/>
      <selection pane="bottomLeft" activeCell="A3" sqref="A3"/>
      <selection pane="bottomRight" activeCell="H11" sqref="H11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1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6" t="s">
        <v>108</v>
      </c>
      <c r="B1" s="78" t="s">
        <v>44</v>
      </c>
      <c r="C1" s="81" t="s">
        <v>27</v>
      </c>
      <c r="D1" s="81" t="s">
        <v>30</v>
      </c>
      <c r="E1" s="81" t="s">
        <v>28</v>
      </c>
      <c r="F1" s="81" t="s">
        <v>29</v>
      </c>
      <c r="G1" s="76" t="s">
        <v>1</v>
      </c>
      <c r="H1" s="79" t="s">
        <v>19</v>
      </c>
      <c r="I1" s="80" t="s">
        <v>0</v>
      </c>
      <c r="J1" s="82" t="s">
        <v>49</v>
      </c>
      <c r="K1" s="82" t="s">
        <v>48</v>
      </c>
      <c r="L1" s="82" t="s">
        <v>50</v>
      </c>
      <c r="M1" s="82" t="s">
        <v>51</v>
      </c>
      <c r="N1" s="76" t="s">
        <v>3</v>
      </c>
      <c r="O1" s="83" t="s">
        <v>2</v>
      </c>
      <c r="P1" s="76" t="s">
        <v>97</v>
      </c>
      <c r="Q1" s="84" t="s">
        <v>18</v>
      </c>
      <c r="R1" s="75" t="s">
        <v>52</v>
      </c>
      <c r="S1" s="85" t="s">
        <v>23</v>
      </c>
      <c r="T1" s="85" t="s">
        <v>24</v>
      </c>
      <c r="U1" s="85" t="s">
        <v>26</v>
      </c>
      <c r="V1" s="85" t="s">
        <v>25</v>
      </c>
      <c r="W1" s="80" t="s">
        <v>32</v>
      </c>
      <c r="X1" s="81" t="s">
        <v>53</v>
      </c>
      <c r="Y1" s="80" t="s">
        <v>33</v>
      </c>
      <c r="Z1" s="81" t="s">
        <v>53</v>
      </c>
      <c r="AA1" s="82" t="s">
        <v>23</v>
      </c>
      <c r="AB1" s="82" t="s">
        <v>24</v>
      </c>
      <c r="AC1" s="82" t="s">
        <v>26</v>
      </c>
      <c r="AD1" s="82" t="s">
        <v>25</v>
      </c>
      <c r="AE1" s="86" t="s">
        <v>100</v>
      </c>
      <c r="AF1" s="75" t="s">
        <v>45</v>
      </c>
      <c r="AG1" s="87" t="s">
        <v>58</v>
      </c>
      <c r="AH1" s="75" t="s">
        <v>45</v>
      </c>
      <c r="AI1" s="87" t="s">
        <v>46</v>
      </c>
      <c r="AJ1" s="77" t="s">
        <v>67</v>
      </c>
      <c r="AK1" s="75" t="s">
        <v>21</v>
      </c>
      <c r="AL1" s="88" t="s">
        <v>68</v>
      </c>
      <c r="AM1" s="89" t="s">
        <v>66</v>
      </c>
      <c r="AN1" s="89" t="s">
        <v>69</v>
      </c>
      <c r="AO1" s="90" t="s">
        <v>31</v>
      </c>
      <c r="AP1" s="86" t="s">
        <v>20</v>
      </c>
      <c r="AQ1" s="91" t="s">
        <v>113</v>
      </c>
      <c r="AR1" s="91" t="s">
        <v>107</v>
      </c>
      <c r="AS1" s="75" t="s">
        <v>104</v>
      </c>
      <c r="AT1" s="86" t="s">
        <v>102</v>
      </c>
      <c r="AU1" s="75" t="s">
        <v>110</v>
      </c>
      <c r="AV1" s="91" t="s">
        <v>107</v>
      </c>
      <c r="AW1" s="75" t="s">
        <v>104</v>
      </c>
      <c r="AX1" s="81" t="s">
        <v>4</v>
      </c>
      <c r="AY1" s="92" t="s">
        <v>54</v>
      </c>
      <c r="AZ1" s="92" t="s">
        <v>55</v>
      </c>
      <c r="BA1" s="92" t="s">
        <v>114</v>
      </c>
      <c r="BB1" s="92" t="s">
        <v>56</v>
      </c>
      <c r="BC1" s="5" t="s">
        <v>22</v>
      </c>
      <c r="BD1" s="95" t="s">
        <v>34</v>
      </c>
      <c r="BE1" s="93" t="s">
        <v>5</v>
      </c>
      <c r="BF1" s="94" t="s">
        <v>6</v>
      </c>
      <c r="BG1" s="96" t="s">
        <v>70</v>
      </c>
      <c r="BH1" s="96" t="s">
        <v>71</v>
      </c>
      <c r="BI1" s="96" t="s">
        <v>72</v>
      </c>
      <c r="BJ1" s="96" t="s">
        <v>73</v>
      </c>
      <c r="BK1" s="97" t="s">
        <v>74</v>
      </c>
      <c r="BL1" s="97" t="s">
        <v>95</v>
      </c>
      <c r="BM1" s="97" t="s">
        <v>75</v>
      </c>
      <c r="BN1" s="97" t="s">
        <v>76</v>
      </c>
      <c r="BO1" s="98" t="s">
        <v>77</v>
      </c>
      <c r="BP1" s="99" t="s">
        <v>78</v>
      </c>
      <c r="BQ1" s="99" t="s">
        <v>86</v>
      </c>
      <c r="BR1" s="9" t="s">
        <v>336</v>
      </c>
    </row>
    <row r="2" spans="1:70" ht="26" customHeight="1" x14ac:dyDescent="0.15">
      <c r="A2" s="180">
        <v>1198</v>
      </c>
      <c r="B2" s="52" t="str">
        <f ca="1">VLOOKUP($A2,OFFSET([1]characters!$A$1,0,0,COUNTA([1]characters!$A:$A),MATCH(B$1,[1]characters!$1:$1,0)-MATCH($A$1,[1]characters!$1:$1,0)+1),MATCH(B$1,[1]characters!$1:$1,0)-MATCH($A$1,[1]characters!$1:$1,0)+1,FALSE)</f>
        <v>幽縛の霊線 ピノキオ</v>
      </c>
      <c r="C2" s="52" t="str">
        <f ca="1">VLOOKUP($A2,OFFSET([1]characters!$A$1,0,0,COUNTA([1]characters!$A:$A),MATCH(C$1,[1]characters!$1:$1,0)-MATCH($A$1,[1]characters!$1:$1,0)+1),MATCH(C$1,[1]characters!$1:$1,0)-MATCH($A$1,[1]characters!$1:$1,0)+1,FALSE)</f>
        <v>超覚醒ハーシェル</v>
      </c>
      <c r="D2" s="52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2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2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2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2" t="str">
        <f ca="1">VLOOKUP($A2,OFFSET([1]characters!$A$1,0,0,COUNTA([1]characters!$A:$A),MATCH(H$1,[1]characters!$1:$1,0)-MATCH($A$1,[1]characters!$1:$1,0)+1),MATCH(H$1,[1]characters!$1:$1,0)-MATCH($A$1,[1]characters!$1:$1,0)+1,FALSE)</f>
        <v>PremiumS</v>
      </c>
      <c r="I2" s="52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0">
        <f ca="1">VLOOKUP(I2,[1]属性!$A:$E,2,FALSE)</f>
        <v>1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1.02</v>
      </c>
      <c r="N2" s="10">
        <f ca="1">INDEX(コスト!$A$1:$I$21,MATCH(H2,コスト!$A$1:$A$21,FALSE),MATCH(G2,コスト!$A$1:$I$1,FALSE))</f>
        <v>30</v>
      </c>
      <c r="O2" s="10">
        <f ca="1">INDEX(レベル!$A$1:$I$22,MATCH(H2,レベル!$A$1:$A$22,FALSE),MATCH(G2,レベル!$A$1:$I$1,FALSE))</f>
        <v>80</v>
      </c>
      <c r="P2" s="43">
        <f t="shared" ref="P2" ca="1" si="0">IF(G2 &gt;= 6, 99,G2*15)</f>
        <v>75</v>
      </c>
      <c r="Q2" s="52" t="str">
        <f ca="1">VLOOKUP($A2,OFFSET([1]characters!$A$1,0,0,COUNTA([1]characters!$A:$A),MATCH(Q$1,[1]characters!$1:$1,0)-MATCH($A$1,[1]characters!$1:$1,0)+1),MATCH(Q$1,[1]characters!$1:$1,0)-MATCH($A$1,[1]characters!$1:$1,0)+1,FALSE)</f>
        <v>technical</v>
      </c>
      <c r="R2" s="5" t="str">
        <f ca="1">VLOOKUP(Q2,[1]character_type_i18n!$A:$H,3,FALSE)</f>
        <v>テクニカルタイプ</v>
      </c>
      <c r="S2" s="10">
        <f ca="1">VLOOKUP(Q2,[1]character_type_i18n!$A:$H,4,FALSE)</f>
        <v>0.9</v>
      </c>
      <c r="T2" s="10">
        <f ca="1">VLOOKUP(Q2,[1]character_type_i18n!$A:$H,5,FALSE)</f>
        <v>0.9</v>
      </c>
      <c r="U2" s="10">
        <f ca="1">VLOOKUP(Q2,[1]character_type_i18n!$A:$H,6,FALSE)</f>
        <v>1</v>
      </c>
      <c r="V2" s="10">
        <f ca="1">VLOOKUP(Q2,[1]character_type_i18n!$A:$H,7,FALSE)</f>
        <v>0.9</v>
      </c>
      <c r="W2" s="52" t="str">
        <f ca="1">VLOOKUP($A2,OFFSET([1]characters!$A$1,0,0,COUNTA([1]characters!$A:$A),MATCH(W$1,[1]characters!$1:$1,0)-MATCH($A$1,[1]characters!$1:$1,0)+1),MATCH(W$1,[1]characters!$1:$1,0)-MATCH($A$1,[1]characters!$1:$1,0)+1,FALSE)</f>
        <v>machine</v>
      </c>
      <c r="X2" s="5" t="str">
        <f ca="1">VLOOKUP(W2,[1]character_tribe_i18n!$A:$H,3,FALSE)</f>
        <v>マシン</v>
      </c>
      <c r="Y2" s="52" t="str">
        <f ca="1">VLOOKUP($A2,OFFSET([1]characters!$A$1,0,0,COUNTA([1]characters!$A:$A),MATCH(Y$1,[1]characters!$1:$1,0)-MATCH($A$1,[1]characters!$1:$1,0)+1),MATCH(Y$1,[1]characters!$1:$1,0)-MATCH($A$1,[1]characters!$1:$1,0)+1,FALSE)</f>
        <v>demon</v>
      </c>
      <c r="Z2" s="5" t="str">
        <f ca="1">VLOOKUP(Y2,[1]character_tribe_i18n!$A:$H,3,FALSE)</f>
        <v>デーモン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1" t="s">
        <v>314</v>
      </c>
      <c r="AF2" s="57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1">
        <v>1198</v>
      </c>
      <c r="AH2" s="57" t="str">
        <f ca="1">VLOOKUP($AG2,OFFSET([1]characters!$A$1,0,0,COUNTA([1]characters!$A:$A),MATCH(AH$1,[1]characters!$1:$1,0)-MATCH($A$1,[1]characters!$1:$1,0)+1),MATCH(AH$1,[1]characters!$1:$1,0)-MATCH($A$1,[1]characters!$1:$1,0)+1,FALSE)</f>
        <v>幽縛の霊線 ピノキオ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0"/>
      <c r="AP2" s="62">
        <v>1198</v>
      </c>
      <c r="AQ2" s="52" t="str">
        <f ca="1">VLOOKUP($AP2,OFFSET(unit_skills!$A$1,0,0,COUNTA(unit_skills!$A:$A),MATCH(AQ$1,unit_skills!$1:$1,0)-MATCH($AP$1,unit_skills!$1:$1,0)+1),MATCH(AQ$1,unit_skills!$1:$1,0)-MATCH($AP$1,unit_skills!$1:$1,0)+1,FALSE)</f>
        <v>ゴースト・オン・ザ・ライン</v>
      </c>
      <c r="AR2" s="52" t="str">
        <f ca="1">VLOOKUP($AP2,OFFSET(unit_skills!$A$1,0,0,COUNTA(unit_skills!$A:$A),MATCH(AR$1,unit_skills!$1:$1,0)-MATCH($AP$1,unit_skills!$1:$1,0)+1),MATCH(AR$1,unit_skills!$1:$1,0)-MATCH($AP$1,unit_skills!$1:$1,0)+1,FALSE)</f>
        <v>お邪魔パネルをハートパネルに変換+3ターン全ユニットの回復力特大UP</v>
      </c>
      <c r="AS2" s="52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2">
        <v>1198</v>
      </c>
      <c r="AU2" s="52" t="str">
        <f ca="1">VLOOKUP($AT2,OFFSET(crash_skills!$A$1,0,0,COUNTA(crash_skills!$A:$A),MATCH(AU$1,crash_skills!$1:$1,0)-MATCH($AT$1,crash_skills!$1:$1,0)+1),MATCH(AU$1,crash_skills!$1:$1,0)-MATCH($AT$1,crash_skills!$1:$1,0)+1,FALSE)</f>
        <v>ワイヤード・ウォーカーズ</v>
      </c>
      <c r="AV2" s="52" t="str">
        <f ca="1">VLOOKUP($AT2,OFFSET(crash_skills!$A$1,0,0,COUNTA(crash_skills!$A:$A),MATCH(AV$1,crash_skills!$1:$1,0)-MATCH($AT$1,crash_skills!$1:$1,0)+1),MATCH(AV$1,crash_skills!$1:$1,0)-MATCH($AT$1,crash_skills!$1:$1,0)+1,FALSE)</f>
        <v>自身のHPの最大値に比例して単体に特大ダメージ</v>
      </c>
      <c r="AW2" s="52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3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3">
        <v>0.9</v>
      </c>
      <c r="AZ2" s="63">
        <v>0.8</v>
      </c>
      <c r="BA2" s="63">
        <v>0</v>
      </c>
      <c r="BB2" s="63">
        <v>1.55</v>
      </c>
      <c r="BC2" s="10">
        <f ca="1">INDEX('RC6SV'!$A$1:$G$21,MATCH(H2,'RC6SV'!$A$1:$A$21,FALSE),MATCH(G2,'RC6SV'!$A$1:$G$1,FALSE))</f>
        <v>9000</v>
      </c>
      <c r="BD2" s="43">
        <f t="shared" ref="BD2" ca="1" si="2">ROUND(BC2*IF(AJ2=1,0.95,IF(AJ2=2,1,IF(AJ2,1.05,0))),0)</f>
        <v>9000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1823</v>
      </c>
      <c r="BH2" s="15">
        <f ca="1">IF($BE2&lt;=0,ROUND(BL2*0.5,0), ROUND($BE2*T2*AB2*K2*AZ2*0.8*[1]ステータス!$C$2,0))</f>
        <v>953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1601</v>
      </c>
      <c r="BK2" s="10">
        <f ca="1">ROUND(BD2*S2*AA2*J2*AY2*[1]ステータス!$B$2,0)</f>
        <v>3645</v>
      </c>
      <c r="BL2" s="10">
        <f ca="1">ROUND(BD2*T2*AB2*K2*AZ2*[1]ステータス!$C$2,0)</f>
        <v>1905</v>
      </c>
      <c r="BM2" s="10">
        <f ca="1">ROUND(BD2*U2*AC2*L2*BA2*[1]ステータス!$D$2,0)</f>
        <v>0</v>
      </c>
      <c r="BN2" s="10">
        <f ca="1">ROUND(BD2*V2*AD2*M2*BB2*[1]ステータス!$E$2,0)</f>
        <v>3202</v>
      </c>
      <c r="BO2" s="9">
        <v>0</v>
      </c>
      <c r="BP2" s="9">
        <v>1</v>
      </c>
      <c r="BQ2" s="9" t="s">
        <v>47</v>
      </c>
      <c r="BR2" s="9">
        <f ca="1">VLOOKUP(H2,ghosts_label!$A$2:$B$19,2,FALSE)</f>
        <v>700</v>
      </c>
    </row>
    <row r="3" spans="1:70" ht="26" customHeight="1" x14ac:dyDescent="0.15">
      <c r="A3" s="180">
        <v>1199</v>
      </c>
      <c r="B3" s="52" t="str">
        <f ca="1">VLOOKUP($A3,OFFSET([1]characters!$A$1,0,0,COUNTA([1]characters!$A:$A),MATCH(B$1,[1]characters!$1:$1,0)-MATCH($A$1,[1]characters!$1:$1,0)+1),MATCH(B$1,[1]characters!$1:$1,0)-MATCH($A$1,[1]characters!$1:$1,0)+1,FALSE)</f>
        <v>看装の巡回者 ケルベロス</v>
      </c>
      <c r="C3" s="52" t="str">
        <f ca="1">VLOOKUP($A3,OFFSET([1]characters!$A$1,0,0,COUNTA([1]characters!$A:$A),MATCH(C$1,[1]characters!$1:$1,0)-MATCH($A$1,[1]characters!$1:$1,0)+1),MATCH(C$1,[1]characters!$1:$1,0)-MATCH($A$1,[1]characters!$1:$1,0)+1,FALSE)</f>
        <v>超覚醒ハーシェル</v>
      </c>
      <c r="D3" s="52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2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2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2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2" t="str">
        <f ca="1">VLOOKUP($A3,OFFSET([1]characters!$A$1,0,0,COUNTA([1]characters!$A:$A),MATCH(H$1,[1]characters!$1:$1,0)-MATCH($A$1,[1]characters!$1:$1,0)+1),MATCH(H$1,[1]characters!$1:$1,0)-MATCH($A$1,[1]characters!$1:$1,0)+1,FALSE)</f>
        <v>PremiumS</v>
      </c>
      <c r="I3" s="52" t="str">
        <f ca="1">VLOOKUP($A3,OFFSET([1]characters!$A$1,0,0,COUNTA([1]characters!$A:$A),MATCH(I$1,[1]characters!$1:$1,0)-MATCH($A$1,[1]characters!$1:$1,0)+1),MATCH(I$1,[1]characters!$1:$1,0)-MATCH($A$1,[1]characters!$1:$1,0)+1,FALSE)</f>
        <v>yellow</v>
      </c>
      <c r="J3" s="10">
        <f ca="1">VLOOKUP(I3,[1]属性!$A:$E,2,FALSE)</f>
        <v>0.98</v>
      </c>
      <c r="K3" s="10">
        <f ca="1">VLOOKUP(I3,[1]属性!$A:$E,3,FALSE)</f>
        <v>1.01</v>
      </c>
      <c r="L3" s="10">
        <f ca="1">VLOOKUP(I3,[1]属性!$A:$E,4,FALSE)</f>
        <v>1</v>
      </c>
      <c r="M3" s="10">
        <f ca="1">VLOOKUP(I3,[1]属性!$A:$E,5,FALSE)</f>
        <v>1.01</v>
      </c>
      <c r="N3" s="10">
        <f ca="1">INDEX(コスト!$A$1:$I$21,MATCH(H3,コスト!$A$1:$A$21,FALSE),MATCH(G3,コスト!$A$1:$I$1,FALSE))</f>
        <v>30</v>
      </c>
      <c r="O3" s="10">
        <f ca="1">INDEX(レベル!$A$1:$I$22,MATCH(H3,レベル!$A$1:$A$22,FALSE),MATCH(G3,レベル!$A$1:$I$1,FALSE))</f>
        <v>80</v>
      </c>
      <c r="P3" s="43">
        <f t="shared" ref="P3" ca="1" si="3">IF(G3 &gt;= 6, 99,G3*15)</f>
        <v>75</v>
      </c>
      <c r="Q3" s="52" t="str">
        <f ca="1">VLOOKUP($A3,OFFSET([1]characters!$A$1,0,0,COUNTA([1]characters!$A:$A),MATCH(Q$1,[1]characters!$1:$1,0)-MATCH($A$1,[1]characters!$1:$1,0)+1),MATCH(Q$1,[1]characters!$1:$1,0)-MATCH($A$1,[1]characters!$1:$1,0)+1,FALSE)</f>
        <v>heal</v>
      </c>
      <c r="R3" s="5" t="str">
        <f ca="1">VLOOKUP(Q3,[1]character_type_i18n!$A:$H,3,FALSE)</f>
        <v>回復タイプ</v>
      </c>
      <c r="S3" s="10">
        <f ca="1">VLOOKUP(Q3,[1]character_type_i18n!$A:$H,4,FALSE)</f>
        <v>0.8</v>
      </c>
      <c r="T3" s="10">
        <f ca="1">VLOOKUP(Q3,[1]character_type_i18n!$A:$H,5,FALSE)</f>
        <v>0.78</v>
      </c>
      <c r="U3" s="10">
        <f ca="1">VLOOKUP(Q3,[1]character_type_i18n!$A:$H,6,FALSE)</f>
        <v>1</v>
      </c>
      <c r="V3" s="10">
        <f ca="1">VLOOKUP(Q3,[1]character_type_i18n!$A:$H,7,FALSE)</f>
        <v>1.42</v>
      </c>
      <c r="W3" s="52" t="str">
        <f ca="1">VLOOKUP($A3,OFFSET([1]characters!$A$1,0,0,COUNTA([1]characters!$A:$A),MATCH(W$1,[1]characters!$1:$1,0)-MATCH($A$1,[1]characters!$1:$1,0)+1),MATCH(W$1,[1]characters!$1:$1,0)-MATCH($A$1,[1]characters!$1:$1,0)+1,FALSE)</f>
        <v>animal</v>
      </c>
      <c r="X3" s="5" t="str">
        <f ca="1">VLOOKUP(W3,[1]character_tribe_i18n!$A:$H,3,FALSE)</f>
        <v>アニマル</v>
      </c>
      <c r="Y3" s="52" t="str">
        <f ca="1">VLOOKUP($A3,OFFSET([1]characters!$A$1,0,0,COUNTA([1]characters!$A:$A),MATCH(Y$1,[1]characters!$1:$1,0)-MATCH($A$1,[1]characters!$1:$1,0)+1),MATCH(Y$1,[1]characters!$1:$1,0)-MATCH($A$1,[1]characters!$1:$1,0)+1,FALSE)</f>
        <v>demon</v>
      </c>
      <c r="Z3" s="5" t="str">
        <f ca="1">VLOOKUP(Y3,[1]character_tribe_i18n!$A:$H,3,FALSE)</f>
        <v>デーモン</v>
      </c>
      <c r="AA3" s="10">
        <f ca="1">VLOOKUP(W3,[1]character_tribe_i18n!$A:$H,4,FALSE)</f>
        <v>1</v>
      </c>
      <c r="AB3" s="10">
        <f ca="1">VLOOKUP(W3,[1]character_tribe_i18n!$A:$H,5,FALSE)</f>
        <v>1.1000000000000001</v>
      </c>
      <c r="AC3" s="10">
        <f ca="1">VLOOKUP(W3,[1]character_tribe_i18n!$A:$H,6,FALSE)</f>
        <v>1</v>
      </c>
      <c r="AD3" s="10">
        <f ca="1">VLOOKUP(W3,[1]character_tribe_i18n!$A:$H,7,FALSE)</f>
        <v>0.9</v>
      </c>
      <c r="AE3" s="181" t="s">
        <v>183</v>
      </c>
      <c r="AF3" s="57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1">
        <v>1199</v>
      </c>
      <c r="AH3" s="57" t="str">
        <f ca="1">VLOOKUP($AG3,OFFSET([1]characters!$A$1,0,0,COUNTA([1]characters!$A:$A),MATCH(AH$1,[1]characters!$1:$1,0)-MATCH($A$1,[1]characters!$1:$1,0)+1),MATCH(AH$1,[1]characters!$1:$1,0)-MATCH($A$1,[1]characters!$1:$1,0)+1,FALSE)</f>
        <v>看装の巡回者 ケルベロス</v>
      </c>
      <c r="AI3" s="10" t="str">
        <f>IF(AE3="NULL","NULL",VLOOKUP(G3,ビット!$A$2:$B$7,2))</f>
        <v>NULL</v>
      </c>
      <c r="AJ3" s="6">
        <v>2</v>
      </c>
      <c r="AK3" s="7" t="str">
        <f t="shared" ref="AK3" si="4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required_exp_200</v>
      </c>
      <c r="AM3" s="8">
        <f ca="1">VLOOKUP(G3,経験値!$A$28:$B$32,2)</f>
        <v>6400</v>
      </c>
      <c r="AN3" s="16">
        <f ca="1">VLOOKUP(G3,ビット!$G$2:$H$7,2)</f>
        <v>900</v>
      </c>
      <c r="AO3" s="40"/>
      <c r="AP3" s="62">
        <v>1199</v>
      </c>
      <c r="AQ3" s="52" t="str">
        <f ca="1">VLOOKUP($AP3,OFFSET(unit_skills!$A$1,0,0,COUNTA(unit_skills!$A:$A),MATCH(AQ$1,unit_skills!$1:$1,0)-MATCH($AP$1,unit_skills!$1:$1,0)+1),MATCH(AQ$1,unit_skills!$1:$1,0)-MATCH($AP$1,unit_skills!$1:$1,0)+1,FALSE)</f>
        <v>イタズラ禁止ですぅ</v>
      </c>
      <c r="AR3" s="52" t="str">
        <f ca="1">VLOOKUP($AP3,OFFSET(unit_skills!$A$1,0,0,COUNTA(unit_skills!$A:$A),MATCH(AR$1,unit_skills!$1:$1,0)-MATCH($AP$1,unit_skills!$1:$1,0)+1),MATCH(AR$1,unit_skills!$1:$1,0)-MATCH($AP$1,unit_skills!$1:$1,0)+1,FALSE)</f>
        <v>青パネルをCパネルに変換+HP回復(赤パネルを吸収して効果UP)</v>
      </c>
      <c r="AS3" s="52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2">
        <v>1199</v>
      </c>
      <c r="AU3" s="52" t="str">
        <f ca="1">VLOOKUP($AT3,OFFSET(crash_skills!$A$1,0,0,COUNTA(crash_skills!$A:$A),MATCH(AU$1,crash_skills!$1:$1,0)-MATCH($AT$1,crash_skills!$1:$1,0)+1),MATCH(AU$1,crash_skills!$1:$1,0)-MATCH($AT$1,crash_skills!$1:$1,0)+1,FALSE)</f>
        <v>慈しみのホスピタルキーパー</v>
      </c>
      <c r="AV3" s="52" t="str">
        <f ca="1">VLOOKUP($AT3,OFFSET(crash_skills!$A$1,0,0,COUNTA(crash_skills!$A:$A),MATCH(AV$1,crash_skills!$1:$1,0)-MATCH($AT$1,crash_skills!$1:$1,0)+1),MATCH(AV$1,crash_skills!$1:$1,0)-MATCH($AT$1,crash_skills!$1:$1,0)+1,FALSE)</f>
        <v>HPを回復+1ターン味方全体の攻撃力UP</v>
      </c>
      <c r="AW3" s="52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3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3">
        <v>1.32</v>
      </c>
      <c r="AZ3" s="63">
        <v>0.9</v>
      </c>
      <c r="BA3" s="63">
        <v>0</v>
      </c>
      <c r="BB3" s="63">
        <v>1.03</v>
      </c>
      <c r="BC3" s="10">
        <f ca="1">INDEX('RC6SV'!$A$1:$G$21,MATCH(H3,'RC6SV'!$A$1:$A$21,FALSE),MATCH(G3,'RC6SV'!$A$1:$G$1,FALSE))</f>
        <v>9000</v>
      </c>
      <c r="BD3" s="43">
        <f t="shared" ref="BD3" ca="1" si="5">ROUND(BC3*IF(AJ3=1,0.95,IF(AJ3=2,1,IF(AJ3,1.05,0))),0)</f>
        <v>9000</v>
      </c>
      <c r="BE3" s="10">
        <f ca="1">ROUND(IFERROR(INDIRECT(ADDRESS(MATCH($A3,$AE:$AE,0),MATCH($BC$1,$1:$1,0))),0),0)</f>
        <v>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2329</v>
      </c>
      <c r="BH3" s="15">
        <f ca="1">IF($BE3&lt;=0,ROUND(BL3*0.5,0), ROUND($BE3*T3*AB3*K3*AZ3*0.8*[1]ステータス!$C$2,0))</f>
        <v>1053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1496</v>
      </c>
      <c r="BK3" s="10">
        <f ca="1">ROUND(BD3*S3*AA3*J3*AY3*[1]ステータス!$B$2,0)</f>
        <v>4657</v>
      </c>
      <c r="BL3" s="10">
        <f ca="1">ROUND(BD3*T3*AB3*K3*AZ3*[1]ステータス!$C$2,0)</f>
        <v>2106</v>
      </c>
      <c r="BM3" s="10">
        <f ca="1">ROUND(BD3*U3*AC3*L3*BA3*[1]ステータス!$D$2,0)</f>
        <v>0</v>
      </c>
      <c r="BN3" s="10">
        <f ca="1">ROUND(BD3*V3*AD3*M3*BB3*[1]ステータス!$E$2,0)</f>
        <v>2991</v>
      </c>
      <c r="BO3" s="9">
        <v>0</v>
      </c>
      <c r="BP3" s="9">
        <v>1</v>
      </c>
      <c r="BQ3" s="9" t="s">
        <v>47</v>
      </c>
      <c r="BR3" s="9">
        <f ca="1">VLOOKUP(H3,ghosts_label!$A$2:$B$19,2,FALSE)</f>
        <v>700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0" zoomScaleNormal="110" zoomScalePageLayoutView="11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C13" sqref="C13"/>
    </sheetView>
  </sheetViews>
  <sheetFormatPr baseColWidth="12" defaultColWidth="13" defaultRowHeight="21" customHeight="1" outlineLevelCol="1" x14ac:dyDescent="0.15"/>
  <cols>
    <col min="1" max="1" width="16.1640625" style="125" bestFit="1" customWidth="1"/>
    <col min="2" max="2" width="13" style="125" bestFit="1" customWidth="1"/>
    <col min="3" max="3" width="21.83203125" style="125" customWidth="1"/>
    <col min="4" max="4" width="41.83203125" style="125" customWidth="1"/>
    <col min="5" max="5" width="9" style="125" customWidth="1"/>
    <col min="6" max="6" width="7.83203125" style="125" bestFit="1" customWidth="1"/>
    <col min="7" max="7" width="8.1640625" style="125" bestFit="1" customWidth="1"/>
    <col min="8" max="8" width="13.6640625" style="125" bestFit="1" customWidth="1"/>
    <col min="9" max="10" width="51.6640625" style="125" customWidth="1"/>
    <col min="11" max="11" width="10.83203125" style="125" customWidth="1" outlineLevel="1"/>
    <col min="12" max="17" width="9.5" style="124" customWidth="1" outlineLevel="1"/>
    <col min="18" max="18" width="20.33203125" style="125" customWidth="1" outlineLevel="1"/>
    <col min="19" max="19" width="10.33203125" style="125" bestFit="1" customWidth="1"/>
    <col min="20" max="16384" width="13" style="125"/>
  </cols>
  <sheetData>
    <row r="1" spans="1:19" s="124" customFormat="1" ht="21" customHeight="1" x14ac:dyDescent="0.15">
      <c r="A1" s="113" t="s">
        <v>20</v>
      </c>
      <c r="B1" s="114" t="s">
        <v>134</v>
      </c>
      <c r="C1" s="115" t="s">
        <v>40</v>
      </c>
      <c r="D1" s="116" t="s">
        <v>163</v>
      </c>
      <c r="E1" s="116" t="s">
        <v>164</v>
      </c>
      <c r="F1" s="113" t="s">
        <v>146</v>
      </c>
      <c r="G1" s="117" t="s">
        <v>2</v>
      </c>
      <c r="H1" s="117" t="s">
        <v>165</v>
      </c>
      <c r="I1" s="117" t="s">
        <v>166</v>
      </c>
      <c r="J1" s="118" t="s">
        <v>184</v>
      </c>
      <c r="K1" s="117" t="s">
        <v>4</v>
      </c>
      <c r="L1" s="119" t="s">
        <v>167</v>
      </c>
      <c r="M1" s="120" t="s">
        <v>168</v>
      </c>
      <c r="N1" s="120" t="s">
        <v>169</v>
      </c>
      <c r="O1" s="120" t="s">
        <v>170</v>
      </c>
      <c r="P1" s="120" t="s">
        <v>171</v>
      </c>
      <c r="Q1" s="121" t="s">
        <v>172</v>
      </c>
      <c r="R1" s="122" t="s">
        <v>173</v>
      </c>
      <c r="S1" s="123" t="s">
        <v>174</v>
      </c>
    </row>
    <row r="2" spans="1:19" ht="21" customHeight="1" x14ac:dyDescent="0.15">
      <c r="A2" s="180">
        <v>1198</v>
      </c>
      <c r="B2" s="128" t="s">
        <v>185</v>
      </c>
      <c r="C2" s="182" t="s">
        <v>316</v>
      </c>
      <c r="D2" s="182" t="s">
        <v>334</v>
      </c>
      <c r="E2" s="130">
        <v>34</v>
      </c>
      <c r="F2" s="62">
        <v>14</v>
      </c>
      <c r="G2" s="112">
        <v>5</v>
      </c>
      <c r="H2" s="131">
        <f>2001</f>
        <v>2001</v>
      </c>
      <c r="I2" s="183" t="s">
        <v>332</v>
      </c>
      <c r="J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幽縛の霊線 ピノキオ</v>
      </c>
      <c r="K2" s="132">
        <f>IFERROR(VLOOKUP(A2,[1]characters!$A:$R,18),0)</f>
        <v>3</v>
      </c>
      <c r="L2" s="133"/>
      <c r="M2" s="134"/>
      <c r="N2" s="134"/>
      <c r="O2" s="134"/>
      <c r="P2" s="134"/>
      <c r="Q2" s="134"/>
      <c r="R2" s="129"/>
      <c r="S2" s="135"/>
    </row>
    <row r="3" spans="1:19" ht="21" customHeight="1" x14ac:dyDescent="0.15">
      <c r="A3" s="180">
        <v>1199</v>
      </c>
      <c r="B3" s="128" t="s">
        <v>185</v>
      </c>
      <c r="C3" s="182" t="s">
        <v>317</v>
      </c>
      <c r="D3" s="182" t="s">
        <v>357</v>
      </c>
      <c r="E3" s="130">
        <f t="shared" ref="E3" si="0">LEN(D3)</f>
        <v>32</v>
      </c>
      <c r="F3" s="62">
        <v>14</v>
      </c>
      <c r="G3" s="112">
        <v>5</v>
      </c>
      <c r="H3" s="131">
        <f>2001</f>
        <v>2001</v>
      </c>
      <c r="I3" s="183" t="s">
        <v>358</v>
      </c>
      <c r="J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看装の巡回者 ケルベロス</v>
      </c>
      <c r="K3" s="132">
        <f>IFERROR(VLOOKUP(A3,[1]characters!$A:$R,18),0)</f>
        <v>3</v>
      </c>
      <c r="L3" s="133"/>
      <c r="M3" s="134"/>
      <c r="N3" s="134"/>
      <c r="O3" s="134"/>
      <c r="P3" s="134"/>
      <c r="Q3" s="134"/>
      <c r="R3" s="129"/>
      <c r="S3" s="135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5" operator="greaterThan">
      <formula>41</formula>
    </cfRule>
  </conditionalFormatting>
  <conditionalFormatting sqref="E2">
    <cfRule type="cellIs" dxfId="28" priority="18" operator="greaterThan">
      <formula>41</formula>
    </cfRule>
  </conditionalFormatting>
  <conditionalFormatting sqref="E3">
    <cfRule type="cellIs" dxfId="27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4" sqref="C4"/>
    </sheetView>
  </sheetViews>
  <sheetFormatPr baseColWidth="12" defaultColWidth="13" defaultRowHeight="21" customHeight="1" x14ac:dyDescent="0.15"/>
  <cols>
    <col min="1" max="2" width="12.1640625" style="125" customWidth="1"/>
    <col min="3" max="3" width="48.83203125" style="126" customWidth="1"/>
    <col min="4" max="4" width="23.83203125" style="126" customWidth="1"/>
    <col min="5" max="5" width="10.5" style="126" customWidth="1"/>
    <col min="6" max="7" width="59.1640625" style="126" customWidth="1"/>
    <col min="8" max="8" width="6.83203125" style="125" bestFit="1" customWidth="1"/>
    <col min="9" max="9" width="20.33203125" style="125" customWidth="1"/>
    <col min="10" max="10" width="5" style="125" bestFit="1" customWidth="1"/>
    <col min="11" max="16384" width="13" style="125"/>
  </cols>
  <sheetData>
    <row r="1" spans="1:19" ht="21" customHeight="1" x14ac:dyDescent="0.15">
      <c r="A1" s="113" t="s">
        <v>182</v>
      </c>
      <c r="B1" s="114" t="s">
        <v>181</v>
      </c>
      <c r="C1" s="115" t="s">
        <v>180</v>
      </c>
      <c r="D1" s="116" t="s">
        <v>179</v>
      </c>
      <c r="E1" s="116" t="s">
        <v>178</v>
      </c>
      <c r="F1" s="117" t="s">
        <v>177</v>
      </c>
      <c r="G1" s="118" t="s">
        <v>184</v>
      </c>
      <c r="H1" s="117" t="s">
        <v>176</v>
      </c>
      <c r="I1" s="118" t="s">
        <v>175</v>
      </c>
      <c r="J1" s="122" t="s">
        <v>174</v>
      </c>
    </row>
    <row r="2" spans="1:19" ht="21" customHeight="1" x14ac:dyDescent="0.15">
      <c r="A2" s="180">
        <v>1198</v>
      </c>
      <c r="B2" s="128" t="s">
        <v>186</v>
      </c>
      <c r="C2" s="182" t="s">
        <v>328</v>
      </c>
      <c r="D2" s="182" t="s">
        <v>333</v>
      </c>
      <c r="E2" s="130">
        <f t="shared" ref="E2" si="0">LEN(D2)</f>
        <v>23</v>
      </c>
      <c r="F2" s="184" t="s">
        <v>330</v>
      </c>
      <c r="G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幽縛の霊線 ピノキオ</v>
      </c>
      <c r="H2" s="131">
        <f>IFERROR(VLOOKUP(A2,[1]characters!$A:$R,18),0)</f>
        <v>3</v>
      </c>
      <c r="I2" s="131"/>
      <c r="J2" s="136"/>
      <c r="K2" s="132">
        <v>1</v>
      </c>
      <c r="L2" s="133"/>
      <c r="M2" s="134"/>
      <c r="N2" s="134"/>
      <c r="O2" s="134"/>
      <c r="P2" s="134"/>
      <c r="Q2" s="134"/>
      <c r="R2" s="129"/>
      <c r="S2" s="135"/>
    </row>
    <row r="3" spans="1:19" ht="21" customHeight="1" x14ac:dyDescent="0.15">
      <c r="A3" s="180">
        <v>1199</v>
      </c>
      <c r="B3" s="128" t="s">
        <v>186</v>
      </c>
      <c r="C3" s="182" t="s">
        <v>318</v>
      </c>
      <c r="D3" s="182" t="s">
        <v>329</v>
      </c>
      <c r="E3" s="130">
        <f t="shared" ref="E3" si="1">LEN(D3)</f>
        <v>20</v>
      </c>
      <c r="F3" s="184" t="s">
        <v>331</v>
      </c>
      <c r="G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看装の巡回者 ケルベロス</v>
      </c>
      <c r="H3" s="131">
        <f>IFERROR(VLOOKUP(A3,[1]characters!$A:$R,18),0)</f>
        <v>3</v>
      </c>
      <c r="I3" s="131"/>
      <c r="J3" s="136"/>
      <c r="K3" s="132">
        <v>1</v>
      </c>
      <c r="L3" s="133"/>
      <c r="M3" s="134"/>
      <c r="N3" s="134"/>
      <c r="O3" s="134"/>
      <c r="P3" s="134"/>
      <c r="Q3" s="134"/>
      <c r="R3" s="129"/>
      <c r="S3" s="135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41</formula>
    </cfRule>
  </conditionalFormatting>
  <conditionalFormatting sqref="E3">
    <cfRule type="cellIs" dxfId="25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9"/>
  <sheetViews>
    <sheetView zoomScale="110" workbookViewId="0">
      <selection activeCell="H6" sqref="H6"/>
    </sheetView>
  </sheetViews>
  <sheetFormatPr baseColWidth="12" defaultRowHeight="15" outlineLevelCol="1" x14ac:dyDescent="0.15"/>
  <cols>
    <col min="2" max="2" width="12.83203125" style="138"/>
    <col min="4" max="4" width="12.83203125" style="138" customWidth="1" outlineLevel="1"/>
    <col min="5" max="5" width="12.83203125" style="138"/>
    <col min="8" max="8" width="26" customWidth="1"/>
  </cols>
  <sheetData>
    <row r="1" spans="1:8" x14ac:dyDescent="0.15">
      <c r="A1" s="109" t="s">
        <v>187</v>
      </c>
      <c r="B1" s="137" t="s">
        <v>188</v>
      </c>
      <c r="C1" s="109" t="s">
        <v>189</v>
      </c>
      <c r="D1" s="137" t="s">
        <v>191</v>
      </c>
      <c r="E1" s="137" t="s">
        <v>192</v>
      </c>
      <c r="F1" s="108" t="s">
        <v>193</v>
      </c>
      <c r="G1" s="109" t="s">
        <v>190</v>
      </c>
      <c r="H1" s="108" t="s">
        <v>194</v>
      </c>
    </row>
    <row r="2" spans="1:8" x14ac:dyDescent="0.15">
      <c r="A2" s="104">
        <v>1198</v>
      </c>
      <c r="B2" s="137" t="str">
        <f>VLOOKUP(A2,[1]characters!$A:$C,3,FALSE)</f>
        <v>幽縛の霊線 ピノキオ</v>
      </c>
      <c r="C2" s="104" t="s">
        <v>195</v>
      </c>
      <c r="D2" s="137" t="str">
        <f t="shared" ref="D2" si="0">A2&amp;C2</f>
        <v>1198skill</v>
      </c>
      <c r="E2" s="137" t="str">
        <f>A2&amp;+(COUNTIF(A2:A$23,A2)-1)</f>
        <v>11983</v>
      </c>
      <c r="F2" s="104" t="s">
        <v>186</v>
      </c>
      <c r="G2" s="161" t="s">
        <v>196</v>
      </c>
      <c r="H2" s="161" t="s">
        <v>319</v>
      </c>
    </row>
    <row r="3" spans="1:8" x14ac:dyDescent="0.15">
      <c r="A3" s="104">
        <v>1198</v>
      </c>
      <c r="B3" s="137" t="str">
        <f>VLOOKUP(A3,[1]characters!$A:$C,3,FALSE)</f>
        <v>幽縛の霊線 ピノキオ</v>
      </c>
      <c r="C3" s="104" t="s">
        <v>197</v>
      </c>
      <c r="D3" s="137" t="str">
        <f>A3&amp;C3</f>
        <v>1198cskill</v>
      </c>
      <c r="E3" s="137" t="str">
        <f>A3&amp;+(COUNTIF(A3:A$23,A3)-1)</f>
        <v>11982</v>
      </c>
      <c r="F3" s="104" t="s">
        <v>186</v>
      </c>
      <c r="G3" s="161" t="s">
        <v>196</v>
      </c>
      <c r="H3" s="161" t="s">
        <v>320</v>
      </c>
    </row>
    <row r="4" spans="1:8" x14ac:dyDescent="0.15">
      <c r="A4" s="104">
        <v>1198</v>
      </c>
      <c r="B4" s="137" t="str">
        <f>VLOOKUP(A4,[1]characters!$A:$C,3,FALSE)</f>
        <v>幽縛の霊線 ピノキオ</v>
      </c>
      <c r="C4" s="104" t="s">
        <v>197</v>
      </c>
      <c r="D4" s="137" t="str">
        <f>A4&amp;C4</f>
        <v>1198cskill</v>
      </c>
      <c r="E4" s="137" t="str">
        <f>A4&amp;+(COUNTIF(A4:A$23,A4)-1)</f>
        <v>11981</v>
      </c>
      <c r="F4" s="104" t="s">
        <v>186</v>
      </c>
      <c r="G4" s="161" t="s">
        <v>196</v>
      </c>
      <c r="H4" s="161" t="s">
        <v>321</v>
      </c>
    </row>
    <row r="5" spans="1:8" x14ac:dyDescent="0.15">
      <c r="A5" s="104">
        <v>1198</v>
      </c>
      <c r="B5" s="137" t="str">
        <f>VLOOKUP(A5,[1]characters!$A:$C,3,FALSE)</f>
        <v>幽縛の霊線 ピノキオ</v>
      </c>
      <c r="C5" s="104" t="s">
        <v>197</v>
      </c>
      <c r="D5" s="137" t="str">
        <f>A5&amp;C5</f>
        <v>1198cskill</v>
      </c>
      <c r="E5" s="137" t="str">
        <f>A5&amp;+(COUNTIF(A5:A$23,A5)-1)</f>
        <v>11980</v>
      </c>
      <c r="F5" s="104" t="s">
        <v>186</v>
      </c>
      <c r="G5" s="161" t="s">
        <v>196</v>
      </c>
      <c r="H5" s="161" t="s">
        <v>322</v>
      </c>
    </row>
    <row r="6" spans="1:8" x14ac:dyDescent="0.15">
      <c r="A6" s="104">
        <v>1199</v>
      </c>
      <c r="B6" s="137" t="str">
        <f>VLOOKUP(A6,[1]characters!$A:$C,3,FALSE)</f>
        <v>看装の巡回者 ケルベロス</v>
      </c>
      <c r="C6" s="104" t="s">
        <v>195</v>
      </c>
      <c r="D6" s="137" t="str">
        <f t="shared" ref="D6" si="1">A6&amp;C6</f>
        <v>1199skill</v>
      </c>
      <c r="E6" s="137" t="str">
        <f>A6&amp;+(COUNTIF(A6:A$23,A6)-1)</f>
        <v>11993</v>
      </c>
      <c r="F6" s="104" t="s">
        <v>186</v>
      </c>
      <c r="G6" s="161" t="s">
        <v>323</v>
      </c>
      <c r="H6" s="161" t="s">
        <v>324</v>
      </c>
    </row>
    <row r="7" spans="1:8" x14ac:dyDescent="0.15">
      <c r="A7" s="104">
        <v>1199</v>
      </c>
      <c r="B7" s="137" t="str">
        <f>VLOOKUP(A7,[1]characters!$A:$C,3,FALSE)</f>
        <v>看装の巡回者 ケルベロス</v>
      </c>
      <c r="C7" s="104" t="s">
        <v>197</v>
      </c>
      <c r="D7" s="137" t="str">
        <f>A7&amp;C7</f>
        <v>1199cskill</v>
      </c>
      <c r="E7" s="137" t="str">
        <f>A7&amp;+(COUNTIF(A7:A$23,A7)-1)</f>
        <v>11992</v>
      </c>
      <c r="F7" s="104" t="s">
        <v>186</v>
      </c>
      <c r="G7" s="161" t="s">
        <v>196</v>
      </c>
      <c r="H7" s="161" t="s">
        <v>325</v>
      </c>
    </row>
    <row r="8" spans="1:8" x14ac:dyDescent="0.15">
      <c r="A8" s="104">
        <v>1199</v>
      </c>
      <c r="B8" s="137" t="str">
        <f>VLOOKUP(A8,[1]characters!$A:$C,3,FALSE)</f>
        <v>看装の巡回者 ケルベロス</v>
      </c>
      <c r="C8" s="104" t="s">
        <v>197</v>
      </c>
      <c r="D8" s="137" t="str">
        <f>A8&amp;C8</f>
        <v>1199cskill</v>
      </c>
      <c r="E8" s="137" t="str">
        <f>A8&amp;+(COUNTIF(A8:A$23,A8)-1)</f>
        <v>11991</v>
      </c>
      <c r="F8" s="104" t="s">
        <v>186</v>
      </c>
      <c r="G8" s="161" t="s">
        <v>196</v>
      </c>
      <c r="H8" s="161" t="s">
        <v>326</v>
      </c>
    </row>
    <row r="9" spans="1:8" x14ac:dyDescent="0.15">
      <c r="A9" s="104">
        <v>1199</v>
      </c>
      <c r="B9" s="137" t="str">
        <f>VLOOKUP(A9,[1]characters!$A:$C,3,FALSE)</f>
        <v>看装の巡回者 ケルベロス</v>
      </c>
      <c r="C9" s="104" t="s">
        <v>197</v>
      </c>
      <c r="D9" s="137" t="str">
        <f>A9&amp;C9</f>
        <v>1199cskill</v>
      </c>
      <c r="E9" s="137" t="str">
        <f>A9&amp;+(COUNTIF(A9:A$23,A9)-1)</f>
        <v>11990</v>
      </c>
      <c r="F9" s="104" t="s">
        <v>186</v>
      </c>
      <c r="G9" s="161" t="s">
        <v>323</v>
      </c>
      <c r="H9" s="161" t="s">
        <v>327</v>
      </c>
    </row>
  </sheetData>
  <phoneticPr fontId="22"/>
  <dataValidations count="2">
    <dataValidation type="list" allowBlank="1" showInputMessage="1" showErrorMessage="1" sqref="G2:G9">
      <formula1>"maru,giza,kumo"</formula1>
    </dataValidation>
    <dataValidation type="list" allowBlank="1" showInputMessage="1" showErrorMessage="1" sqref="C2:C9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1"/>
  <sheetViews>
    <sheetView showGridLines="0" workbookViewId="0">
      <pane xSplit="9" ySplit="1" topLeftCell="J2" activePane="bottomRight" state="frozen"/>
      <selection pane="topRight" activeCell="J1" sqref="J1"/>
      <selection pane="bottomLeft" activeCell="A3" sqref="A3"/>
      <selection pane="bottomRight" activeCell="A2" sqref="A2:XFD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6" t="s">
        <v>274</v>
      </c>
      <c r="B1" s="90" t="s">
        <v>275</v>
      </c>
      <c r="C1" s="81" t="s">
        <v>276</v>
      </c>
      <c r="D1" s="81" t="s">
        <v>277</v>
      </c>
      <c r="E1" s="81" t="s">
        <v>278</v>
      </c>
      <c r="F1" s="81" t="s">
        <v>279</v>
      </c>
      <c r="G1" s="81" t="s">
        <v>1</v>
      </c>
      <c r="H1" s="171" t="s">
        <v>19</v>
      </c>
      <c r="I1" s="81" t="s">
        <v>0</v>
      </c>
      <c r="J1" s="80" t="s">
        <v>280</v>
      </c>
      <c r="K1" s="81" t="s">
        <v>275</v>
      </c>
      <c r="L1" s="82" t="s">
        <v>49</v>
      </c>
      <c r="M1" s="82" t="s">
        <v>48</v>
      </c>
      <c r="N1" s="82" t="s">
        <v>281</v>
      </c>
      <c r="O1" s="82" t="s">
        <v>282</v>
      </c>
      <c r="P1" s="87" t="s">
        <v>283</v>
      </c>
      <c r="Q1" s="86" t="s">
        <v>284</v>
      </c>
      <c r="R1" s="75" t="s">
        <v>275</v>
      </c>
      <c r="S1" s="87" t="s">
        <v>285</v>
      </c>
      <c r="T1" s="75" t="s">
        <v>275</v>
      </c>
      <c r="U1" s="87" t="s">
        <v>286</v>
      </c>
    </row>
  </sheetData>
  <autoFilter ref="A1:U1"/>
  <phoneticPr fontId="22"/>
  <conditionalFormatting sqref="W1:W1048576">
    <cfRule type="cellIs" dxfId="24" priority="6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M1"/>
  <sheetViews>
    <sheetView showGridLines="0" workbookViewId="0">
      <pane ySplit="1" topLeftCell="A2" activePane="bottomLeft" state="frozen"/>
      <selection pane="bottomLeft" activeCell="A5" sqref="A2:XFD5"/>
    </sheetView>
  </sheetViews>
  <sheetFormatPr baseColWidth="12" defaultColWidth="13" defaultRowHeight="15" x14ac:dyDescent="0.15"/>
  <cols>
    <col min="1" max="1" width="11.5" style="60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3" ht="21" customHeight="1" x14ac:dyDescent="0.15">
      <c r="A1" s="60" t="s">
        <v>99</v>
      </c>
      <c r="B1" s="38" t="s">
        <v>38</v>
      </c>
      <c r="C1" s="172" t="s">
        <v>287</v>
      </c>
      <c r="D1" s="18" t="s">
        <v>40</v>
      </c>
      <c r="E1" s="18" t="s">
        <v>42</v>
      </c>
      <c r="F1" s="18" t="s">
        <v>43</v>
      </c>
      <c r="G1" s="172" t="s">
        <v>288</v>
      </c>
      <c r="H1" s="18" t="s">
        <v>40</v>
      </c>
      <c r="I1" s="39" t="s">
        <v>36</v>
      </c>
      <c r="J1" s="18" t="s">
        <v>41</v>
      </c>
      <c r="K1" s="17" t="s">
        <v>37</v>
      </c>
      <c r="L1" s="173" t="s">
        <v>127</v>
      </c>
      <c r="M1" s="174" t="s">
        <v>289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B4" sqref="B4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6" t="s">
        <v>300</v>
      </c>
      <c r="B1" s="114" t="s">
        <v>301</v>
      </c>
      <c r="C1" s="115" t="s">
        <v>302</v>
      </c>
      <c r="D1" s="116" t="s">
        <v>303</v>
      </c>
      <c r="E1" s="116" t="s">
        <v>304</v>
      </c>
      <c r="F1" s="116" t="s">
        <v>305</v>
      </c>
      <c r="G1" s="116" t="s">
        <v>306</v>
      </c>
      <c r="H1" s="116" t="s">
        <v>307</v>
      </c>
      <c r="I1" s="170" t="s">
        <v>308</v>
      </c>
      <c r="J1" s="167" t="s">
        <v>309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1"/>
  <sheetViews>
    <sheetView workbookViewId="0">
      <selection activeCell="A2" sqref="A2:XFD2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6" t="s">
        <v>138</v>
      </c>
      <c r="B1" s="168" t="s">
        <v>267</v>
      </c>
      <c r="C1" s="114" t="s">
        <v>268</v>
      </c>
      <c r="D1" s="114" t="s">
        <v>269</v>
      </c>
      <c r="E1" s="169" t="s">
        <v>270</v>
      </c>
      <c r="F1" s="169" t="s">
        <v>271</v>
      </c>
      <c r="G1" s="117" t="s">
        <v>272</v>
      </c>
      <c r="H1" s="166" t="s">
        <v>273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activeCell="I11" sqref="I11"/>
    </sheetView>
  </sheetViews>
  <sheetFormatPr baseColWidth="12" defaultRowHeight="15" x14ac:dyDescent="0.15"/>
  <sheetData>
    <row r="1" spans="1:2" x14ac:dyDescent="0.15">
      <c r="A1" t="s">
        <v>337</v>
      </c>
      <c r="B1" t="s">
        <v>338</v>
      </c>
    </row>
    <row r="2" spans="1:2" x14ac:dyDescent="0.15">
      <c r="A2" t="s">
        <v>339</v>
      </c>
      <c r="B2">
        <v>1</v>
      </c>
    </row>
    <row r="3" spans="1:2" x14ac:dyDescent="0.15">
      <c r="A3" t="s">
        <v>340</v>
      </c>
      <c r="B3">
        <v>1</v>
      </c>
    </row>
    <row r="4" spans="1:2" x14ac:dyDescent="0.15">
      <c r="A4" t="s">
        <v>341</v>
      </c>
      <c r="B4">
        <v>1</v>
      </c>
    </row>
    <row r="5" spans="1:2" x14ac:dyDescent="0.15">
      <c r="A5" t="s">
        <v>342</v>
      </c>
      <c r="B5">
        <v>1</v>
      </c>
    </row>
    <row r="6" spans="1:2" x14ac:dyDescent="0.15">
      <c r="A6" t="s">
        <v>343</v>
      </c>
      <c r="B6">
        <v>1</v>
      </c>
    </row>
    <row r="7" spans="1:2" x14ac:dyDescent="0.15">
      <c r="A7" t="s">
        <v>344</v>
      </c>
      <c r="B7">
        <v>1</v>
      </c>
    </row>
    <row r="8" spans="1:2" x14ac:dyDescent="0.15">
      <c r="A8" t="s">
        <v>345</v>
      </c>
      <c r="B8">
        <v>1</v>
      </c>
    </row>
    <row r="9" spans="1:2" x14ac:dyDescent="0.15">
      <c r="A9" t="s">
        <v>346</v>
      </c>
      <c r="B9">
        <v>1</v>
      </c>
    </row>
    <row r="10" spans="1:2" x14ac:dyDescent="0.15">
      <c r="A10" t="s">
        <v>347</v>
      </c>
      <c r="B10">
        <v>1</v>
      </c>
    </row>
    <row r="11" spans="1:2" x14ac:dyDescent="0.15">
      <c r="A11" t="s">
        <v>348</v>
      </c>
      <c r="B11">
        <v>1</v>
      </c>
    </row>
    <row r="12" spans="1:2" x14ac:dyDescent="0.15">
      <c r="A12" t="s">
        <v>349</v>
      </c>
      <c r="B12">
        <v>1</v>
      </c>
    </row>
    <row r="13" spans="1:2" x14ac:dyDescent="0.15">
      <c r="A13" t="s">
        <v>350</v>
      </c>
      <c r="B13">
        <v>0</v>
      </c>
    </row>
    <row r="14" spans="1:2" x14ac:dyDescent="0.15">
      <c r="A14" t="s">
        <v>351</v>
      </c>
      <c r="B14">
        <v>500</v>
      </c>
    </row>
    <row r="15" spans="1:2" x14ac:dyDescent="0.15">
      <c r="A15" t="s">
        <v>352</v>
      </c>
      <c r="B15">
        <v>600</v>
      </c>
    </row>
    <row r="16" spans="1:2" x14ac:dyDescent="0.15">
      <c r="A16" t="s">
        <v>353</v>
      </c>
      <c r="B16">
        <v>700</v>
      </c>
    </row>
    <row r="17" spans="1:2" x14ac:dyDescent="0.15">
      <c r="A17" t="s">
        <v>354</v>
      </c>
      <c r="B17">
        <v>5500</v>
      </c>
    </row>
    <row r="18" spans="1:2" x14ac:dyDescent="0.15">
      <c r="A18" t="s">
        <v>355</v>
      </c>
      <c r="B18">
        <v>6000</v>
      </c>
    </row>
    <row r="19" spans="1:2" x14ac:dyDescent="0.15">
      <c r="A19" t="s">
        <v>356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233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234</v>
      </c>
      <c r="B2" s="141"/>
      <c r="C2" s="142"/>
      <c r="D2" s="143" t="s">
        <v>235</v>
      </c>
      <c r="E2" s="143">
        <v>30</v>
      </c>
      <c r="F2" s="143">
        <v>40</v>
      </c>
      <c r="G2" s="143">
        <f>15+F2</f>
        <v>55</v>
      </c>
      <c r="H2" s="142"/>
      <c r="I2" s="142"/>
    </row>
    <row r="3" spans="1:9" s="4" customFormat="1" ht="21" customHeight="1" x14ac:dyDescent="0.15">
      <c r="A3" s="140" t="s">
        <v>236</v>
      </c>
      <c r="B3" s="144"/>
      <c r="C3" s="145"/>
      <c r="D3" s="146" t="s">
        <v>235</v>
      </c>
      <c r="E3" s="146">
        <v>25</v>
      </c>
      <c r="F3" s="146">
        <v>35</v>
      </c>
      <c r="G3" s="143">
        <f t="shared" ref="G3:G4" si="0">15+F3</f>
        <v>50</v>
      </c>
      <c r="H3" s="145"/>
      <c r="I3" s="145"/>
    </row>
    <row r="4" spans="1:9" s="4" customFormat="1" ht="21" customHeight="1" x14ac:dyDescent="0.15">
      <c r="A4" s="140" t="s">
        <v>237</v>
      </c>
      <c r="B4" s="147"/>
      <c r="C4" s="148"/>
      <c r="D4" s="149">
        <v>10</v>
      </c>
      <c r="E4" s="149">
        <v>20</v>
      </c>
      <c r="F4" s="149">
        <v>30</v>
      </c>
      <c r="G4" s="149">
        <f t="shared" si="0"/>
        <v>45</v>
      </c>
      <c r="H4" s="148"/>
      <c r="I4" s="148"/>
    </row>
    <row r="5" spans="1:9" s="4" customFormat="1" ht="21" customHeight="1" x14ac:dyDescent="0.15">
      <c r="A5" s="159" t="s">
        <v>238</v>
      </c>
      <c r="B5" s="154"/>
      <c r="C5" s="155"/>
      <c r="D5" s="26">
        <v>9</v>
      </c>
      <c r="E5" s="26">
        <v>18</v>
      </c>
      <c r="F5" s="26">
        <v>28</v>
      </c>
      <c r="G5" s="36">
        <v>38</v>
      </c>
      <c r="H5" s="155"/>
      <c r="I5" s="155"/>
    </row>
    <row r="6" spans="1:9" s="4" customFormat="1" ht="21" customHeight="1" x14ac:dyDescent="0.15">
      <c r="A6" s="159" t="s">
        <v>239</v>
      </c>
      <c r="B6" s="154"/>
      <c r="C6" s="155"/>
      <c r="D6" s="26">
        <v>7</v>
      </c>
      <c r="E6" s="26">
        <v>16</v>
      </c>
      <c r="F6" s="64" t="s">
        <v>11</v>
      </c>
      <c r="G6" s="64" t="s">
        <v>11</v>
      </c>
      <c r="H6" s="155"/>
      <c r="I6" s="155"/>
    </row>
    <row r="7" spans="1:9" ht="21" customHeight="1" x14ac:dyDescent="0.15">
      <c r="A7" s="69" t="s">
        <v>240</v>
      </c>
      <c r="B7" s="42" t="s">
        <v>11</v>
      </c>
      <c r="C7" s="42" t="s">
        <v>11</v>
      </c>
      <c r="D7" s="36" t="s">
        <v>235</v>
      </c>
      <c r="E7" s="36" t="s">
        <v>235</v>
      </c>
      <c r="F7" s="36" t="s">
        <v>235</v>
      </c>
      <c r="G7" s="36" t="s">
        <v>235</v>
      </c>
      <c r="H7" s="36" t="s">
        <v>235</v>
      </c>
      <c r="I7" s="36" t="s">
        <v>235</v>
      </c>
    </row>
    <row r="8" spans="1:9" ht="21" customHeight="1" x14ac:dyDescent="0.15">
      <c r="A8" s="70" t="s">
        <v>241</v>
      </c>
      <c r="B8" s="42" t="s">
        <v>11</v>
      </c>
      <c r="C8" s="42" t="s">
        <v>11</v>
      </c>
      <c r="D8" s="36" t="s">
        <v>235</v>
      </c>
      <c r="E8" s="36">
        <v>30</v>
      </c>
      <c r="F8" s="36">
        <v>40</v>
      </c>
      <c r="G8" s="36">
        <f>15+F8</f>
        <v>55</v>
      </c>
      <c r="H8" s="36" t="s">
        <v>235</v>
      </c>
      <c r="I8" s="36" t="s">
        <v>235</v>
      </c>
    </row>
    <row r="9" spans="1:9" s="41" customFormat="1" ht="21" customHeight="1" x14ac:dyDescent="0.15">
      <c r="A9" s="71" t="s">
        <v>310</v>
      </c>
      <c r="B9" s="26" t="s">
        <v>11</v>
      </c>
      <c r="C9" s="26" t="s">
        <v>11</v>
      </c>
      <c r="D9" s="101" t="s">
        <v>109</v>
      </c>
      <c r="E9" s="101" t="s">
        <v>109</v>
      </c>
      <c r="F9" s="101">
        <v>38</v>
      </c>
      <c r="G9" s="36">
        <f>15+F9</f>
        <v>53</v>
      </c>
      <c r="H9" s="101" t="s">
        <v>109</v>
      </c>
      <c r="I9" s="101" t="s">
        <v>109</v>
      </c>
    </row>
    <row r="10" spans="1:9" s="41" customFormat="1" ht="21" customHeight="1" x14ac:dyDescent="0.15">
      <c r="A10" s="71" t="s">
        <v>242</v>
      </c>
      <c r="B10" s="26" t="s">
        <v>11</v>
      </c>
      <c r="C10" s="26" t="s">
        <v>11</v>
      </c>
      <c r="D10" s="101" t="s">
        <v>235</v>
      </c>
      <c r="E10" s="101">
        <v>25</v>
      </c>
      <c r="F10" s="101">
        <v>35</v>
      </c>
      <c r="G10" s="36">
        <f t="shared" ref="G10:G11" si="1">15+F10</f>
        <v>50</v>
      </c>
      <c r="H10" s="101" t="s">
        <v>235</v>
      </c>
      <c r="I10" s="101" t="s">
        <v>235</v>
      </c>
    </row>
    <row r="11" spans="1:9" ht="21" customHeight="1" x14ac:dyDescent="0.15">
      <c r="A11" s="71" t="s">
        <v>9</v>
      </c>
      <c r="B11" s="64" t="s">
        <v>11</v>
      </c>
      <c r="C11" s="64" t="s">
        <v>11</v>
      </c>
      <c r="D11" s="26">
        <v>10</v>
      </c>
      <c r="E11" s="26">
        <v>20</v>
      </c>
      <c r="F11" s="26">
        <v>30</v>
      </c>
      <c r="G11" s="36">
        <f t="shared" si="1"/>
        <v>45</v>
      </c>
      <c r="H11" s="64" t="s">
        <v>11</v>
      </c>
      <c r="I11" s="64" t="s">
        <v>11</v>
      </c>
    </row>
    <row r="12" spans="1:9" ht="21" customHeight="1" x14ac:dyDescent="0.15">
      <c r="A12" s="71" t="s">
        <v>243</v>
      </c>
      <c r="B12" s="64" t="s">
        <v>11</v>
      </c>
      <c r="C12" s="64" t="s">
        <v>11</v>
      </c>
      <c r="D12" s="26">
        <v>9</v>
      </c>
      <c r="E12" s="26">
        <v>18</v>
      </c>
      <c r="F12" s="26">
        <v>28</v>
      </c>
      <c r="G12" s="36">
        <v>38</v>
      </c>
      <c r="H12" s="64" t="s">
        <v>11</v>
      </c>
      <c r="I12" s="64" t="s">
        <v>11</v>
      </c>
    </row>
    <row r="13" spans="1:9" ht="21" customHeight="1" x14ac:dyDescent="0.15">
      <c r="A13" s="71" t="s">
        <v>244</v>
      </c>
      <c r="B13" s="64" t="s">
        <v>11</v>
      </c>
      <c r="C13" s="64" t="s">
        <v>11</v>
      </c>
      <c r="D13" s="26">
        <v>7</v>
      </c>
      <c r="E13" s="26">
        <v>16</v>
      </c>
      <c r="F13" s="177">
        <v>26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100" t="s">
        <v>245</v>
      </c>
      <c r="B14" s="64" t="s">
        <v>11</v>
      </c>
      <c r="C14" s="64" t="s">
        <v>11</v>
      </c>
      <c r="D14" s="26">
        <v>8</v>
      </c>
      <c r="E14" s="26">
        <v>17</v>
      </c>
      <c r="F14" s="26">
        <v>26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246</v>
      </c>
      <c r="B15" s="64" t="s">
        <v>11</v>
      </c>
      <c r="C15" s="64" t="s">
        <v>11</v>
      </c>
      <c r="D15" s="26">
        <v>8</v>
      </c>
      <c r="E15" s="26">
        <v>17</v>
      </c>
      <c r="F15" s="26">
        <v>26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247</v>
      </c>
      <c r="B16" s="64" t="s">
        <v>11</v>
      </c>
      <c r="C16" s="64" t="s">
        <v>11</v>
      </c>
      <c r="D16" s="26">
        <v>6</v>
      </c>
      <c r="E16" s="26">
        <v>14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248</v>
      </c>
      <c r="B17" s="64" t="s">
        <v>11</v>
      </c>
      <c r="C17" s="26">
        <v>4</v>
      </c>
      <c r="D17" s="26">
        <v>6</v>
      </c>
      <c r="E17" s="26">
        <v>14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1" t="s">
        <v>8</v>
      </c>
      <c r="B18" s="26">
        <v>2</v>
      </c>
      <c r="C18" s="26">
        <v>4</v>
      </c>
      <c r="D18" s="26">
        <v>6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7</v>
      </c>
      <c r="B19" s="29">
        <v>1</v>
      </c>
      <c r="C19" s="29">
        <v>2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249</v>
      </c>
      <c r="B20" s="24">
        <v>1</v>
      </c>
      <c r="C20" s="24">
        <v>1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250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0" t="s">
        <v>234</v>
      </c>
      <c r="B2" s="156"/>
      <c r="C2" s="142"/>
      <c r="D2" s="150" t="s">
        <v>109</v>
      </c>
      <c r="E2" s="150">
        <v>60</v>
      </c>
      <c r="F2" s="150">
        <v>80</v>
      </c>
      <c r="G2" s="150">
        <v>99</v>
      </c>
      <c r="H2" s="142"/>
      <c r="I2" s="142"/>
    </row>
    <row r="3" spans="1:9" s="4" customFormat="1" ht="21" customHeight="1" x14ac:dyDescent="0.15">
      <c r="A3" s="140" t="s">
        <v>236</v>
      </c>
      <c r="B3" s="157"/>
      <c r="C3" s="145"/>
      <c r="D3" s="150" t="s">
        <v>109</v>
      </c>
      <c r="E3" s="150">
        <v>60</v>
      </c>
      <c r="F3" s="150">
        <v>80</v>
      </c>
      <c r="G3" s="150">
        <v>99</v>
      </c>
      <c r="H3" s="145"/>
      <c r="I3" s="145"/>
    </row>
    <row r="4" spans="1:9" s="4" customFormat="1" ht="21" customHeight="1" x14ac:dyDescent="0.15">
      <c r="A4" s="140" t="s">
        <v>230</v>
      </c>
      <c r="B4" s="158"/>
      <c r="C4" s="148"/>
      <c r="D4" s="150">
        <v>40</v>
      </c>
      <c r="E4" s="150">
        <v>60</v>
      </c>
      <c r="F4" s="150">
        <v>80</v>
      </c>
      <c r="G4" s="150">
        <v>99</v>
      </c>
      <c r="H4" s="148"/>
      <c r="I4" s="148"/>
    </row>
    <row r="5" spans="1:9" s="4" customFormat="1" ht="21" customHeight="1" x14ac:dyDescent="0.15">
      <c r="A5" s="159" t="s">
        <v>238</v>
      </c>
      <c r="B5" s="154"/>
      <c r="C5" s="155"/>
      <c r="D5" s="150">
        <v>40</v>
      </c>
      <c r="E5" s="150">
        <v>60</v>
      </c>
      <c r="F5" s="150">
        <v>80</v>
      </c>
      <c r="G5" s="150">
        <v>99</v>
      </c>
      <c r="H5" s="155"/>
      <c r="I5" s="155"/>
    </row>
    <row r="6" spans="1:9" s="4" customFormat="1" ht="21" customHeight="1" x14ac:dyDescent="0.15">
      <c r="A6" s="159" t="s">
        <v>239</v>
      </c>
      <c r="B6" s="154"/>
      <c r="C6" s="155"/>
      <c r="D6" s="150">
        <v>40</v>
      </c>
      <c r="E6" s="150">
        <v>60</v>
      </c>
      <c r="F6" s="150" t="s">
        <v>109</v>
      </c>
      <c r="G6" s="150" t="s">
        <v>109</v>
      </c>
      <c r="H6" s="155"/>
      <c r="I6" s="155"/>
    </row>
    <row r="7" spans="1:9" ht="21" customHeight="1" x14ac:dyDescent="0.15">
      <c r="A7" s="69" t="s">
        <v>206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9" ht="21" customHeight="1" x14ac:dyDescent="0.15">
      <c r="A8" s="70" t="s">
        <v>241</v>
      </c>
      <c r="B8" s="37" t="s">
        <v>109</v>
      </c>
      <c r="C8" s="37" t="s">
        <v>109</v>
      </c>
      <c r="D8" s="37" t="s">
        <v>109</v>
      </c>
      <c r="E8" s="37">
        <v>60</v>
      </c>
      <c r="F8" s="37">
        <v>80</v>
      </c>
      <c r="G8" s="37">
        <v>99</v>
      </c>
      <c r="H8" s="37" t="s">
        <v>109</v>
      </c>
      <c r="I8" s="37" t="s">
        <v>109</v>
      </c>
    </row>
    <row r="9" spans="1:9" s="41" customFormat="1" ht="21" customHeight="1" x14ac:dyDescent="0.15">
      <c r="A9" s="71" t="s">
        <v>311</v>
      </c>
      <c r="B9" s="61" t="s">
        <v>109</v>
      </c>
      <c r="C9" s="61" t="s">
        <v>109</v>
      </c>
      <c r="D9" s="61" t="s">
        <v>109</v>
      </c>
      <c r="E9" s="61" t="s">
        <v>109</v>
      </c>
      <c r="F9" s="61">
        <v>80</v>
      </c>
      <c r="G9" s="61">
        <v>99</v>
      </c>
      <c r="H9" s="61" t="s">
        <v>109</v>
      </c>
      <c r="I9" s="61" t="s">
        <v>109</v>
      </c>
    </row>
    <row r="10" spans="1:9" s="41" customFormat="1" ht="21" customHeight="1" x14ac:dyDescent="0.15">
      <c r="A10" s="71" t="s">
        <v>242</v>
      </c>
      <c r="B10" s="61" t="s">
        <v>109</v>
      </c>
      <c r="C10" s="61" t="s">
        <v>109</v>
      </c>
      <c r="D10" s="61" t="s">
        <v>109</v>
      </c>
      <c r="E10" s="61">
        <v>60</v>
      </c>
      <c r="F10" s="61">
        <v>80</v>
      </c>
      <c r="G10" s="61">
        <v>99</v>
      </c>
      <c r="H10" s="61" t="s">
        <v>109</v>
      </c>
      <c r="I10" s="61" t="s">
        <v>109</v>
      </c>
    </row>
    <row r="11" spans="1:9" ht="21" customHeight="1" x14ac:dyDescent="0.15">
      <c r="A11" s="71" t="s">
        <v>9</v>
      </c>
      <c r="B11" s="66" t="s">
        <v>109</v>
      </c>
      <c r="C11" s="66" t="s">
        <v>109</v>
      </c>
      <c r="D11" s="34">
        <v>40</v>
      </c>
      <c r="E11" s="34">
        <v>60</v>
      </c>
      <c r="F11" s="34">
        <v>80</v>
      </c>
      <c r="G11" s="37">
        <v>99</v>
      </c>
      <c r="H11" s="66" t="s">
        <v>109</v>
      </c>
      <c r="I11" s="66" t="s">
        <v>109</v>
      </c>
    </row>
    <row r="12" spans="1:9" ht="21" customHeight="1" x14ac:dyDescent="0.15">
      <c r="A12" s="71" t="s">
        <v>209</v>
      </c>
      <c r="B12" s="66" t="s">
        <v>109</v>
      </c>
      <c r="C12" s="66" t="s">
        <v>109</v>
      </c>
      <c r="D12" s="34">
        <v>40</v>
      </c>
      <c r="E12" s="34">
        <v>60</v>
      </c>
      <c r="F12" s="34">
        <v>80</v>
      </c>
      <c r="G12" s="61">
        <v>99</v>
      </c>
      <c r="H12" s="66" t="s">
        <v>109</v>
      </c>
      <c r="I12" s="66" t="s">
        <v>109</v>
      </c>
    </row>
    <row r="13" spans="1:9" ht="21" customHeight="1" x14ac:dyDescent="0.15">
      <c r="A13" s="71" t="s">
        <v>205</v>
      </c>
      <c r="B13" s="66" t="s">
        <v>109</v>
      </c>
      <c r="C13" s="66" t="s">
        <v>109</v>
      </c>
      <c r="D13" s="34">
        <v>40</v>
      </c>
      <c r="E13" s="34">
        <v>60</v>
      </c>
      <c r="F13" s="178">
        <v>80</v>
      </c>
      <c r="G13" s="66" t="s">
        <v>109</v>
      </c>
      <c r="H13" s="66" t="s">
        <v>109</v>
      </c>
      <c r="I13" s="66" t="s">
        <v>109</v>
      </c>
    </row>
    <row r="14" spans="1:9" ht="21" customHeight="1" x14ac:dyDescent="0.15">
      <c r="A14" s="100" t="s">
        <v>245</v>
      </c>
      <c r="B14" s="66" t="s">
        <v>109</v>
      </c>
      <c r="C14" s="66" t="s">
        <v>109</v>
      </c>
      <c r="D14" s="34">
        <v>40</v>
      </c>
      <c r="E14" s="34">
        <v>60</v>
      </c>
      <c r="F14" s="34">
        <v>80</v>
      </c>
      <c r="G14" s="66" t="s">
        <v>109</v>
      </c>
      <c r="H14" s="66" t="s">
        <v>109</v>
      </c>
      <c r="I14" s="66" t="s">
        <v>109</v>
      </c>
    </row>
    <row r="15" spans="1:9" ht="21" customHeight="1" x14ac:dyDescent="0.15">
      <c r="A15" s="71" t="s">
        <v>246</v>
      </c>
      <c r="B15" s="66" t="s">
        <v>109</v>
      </c>
      <c r="C15" s="66" t="s">
        <v>109</v>
      </c>
      <c r="D15" s="34">
        <v>40</v>
      </c>
      <c r="E15" s="34">
        <v>60</v>
      </c>
      <c r="F15" s="34">
        <v>80</v>
      </c>
      <c r="G15" s="66" t="s">
        <v>109</v>
      </c>
      <c r="H15" s="66" t="s">
        <v>109</v>
      </c>
      <c r="I15" s="66" t="s">
        <v>109</v>
      </c>
    </row>
    <row r="16" spans="1:9" ht="21" customHeight="1" x14ac:dyDescent="0.15">
      <c r="A16" s="71" t="s">
        <v>105</v>
      </c>
      <c r="B16" s="66" t="s">
        <v>109</v>
      </c>
      <c r="C16" s="34">
        <v>30</v>
      </c>
      <c r="D16" s="34">
        <v>40</v>
      </c>
      <c r="E16" s="34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248</v>
      </c>
      <c r="B17" s="66" t="s">
        <v>109</v>
      </c>
      <c r="C17" s="34">
        <v>30</v>
      </c>
      <c r="D17" s="34">
        <v>40</v>
      </c>
      <c r="E17" s="34">
        <v>60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1" t="s">
        <v>8</v>
      </c>
      <c r="B18" s="34">
        <v>15</v>
      </c>
      <c r="C18" s="34">
        <v>30</v>
      </c>
      <c r="D18" s="34">
        <v>40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2" t="s">
        <v>7</v>
      </c>
      <c r="B19" s="34">
        <v>15</v>
      </c>
      <c r="C19" s="34">
        <v>30</v>
      </c>
      <c r="D19" s="34">
        <v>40</v>
      </c>
      <c r="E19" s="66" t="s">
        <v>215</v>
      </c>
      <c r="F19" s="66" t="s">
        <v>215</v>
      </c>
      <c r="G19" s="66" t="s">
        <v>215</v>
      </c>
      <c r="H19" s="66" t="s">
        <v>215</v>
      </c>
      <c r="I19" s="66" t="s">
        <v>215</v>
      </c>
    </row>
    <row r="20" spans="1:9" ht="21" customHeight="1" x14ac:dyDescent="0.15">
      <c r="A20" s="73" t="s">
        <v>249</v>
      </c>
      <c r="B20" s="34">
        <v>10</v>
      </c>
      <c r="C20" s="34">
        <v>20</v>
      </c>
      <c r="D20" s="66" t="s">
        <v>215</v>
      </c>
      <c r="E20" s="66" t="s">
        <v>215</v>
      </c>
      <c r="F20" s="66" t="s">
        <v>215</v>
      </c>
      <c r="G20" s="66" t="s">
        <v>215</v>
      </c>
      <c r="H20" s="66" t="s">
        <v>215</v>
      </c>
      <c r="I20" s="66" t="s">
        <v>215</v>
      </c>
    </row>
    <row r="21" spans="1:9" ht="21" customHeight="1" x14ac:dyDescent="0.15">
      <c r="A21" s="35" t="s">
        <v>250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4" t="s">
        <v>10</v>
      </c>
      <c r="B1" s="45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H1" s="45">
        <v>7</v>
      </c>
      <c r="I1" s="45">
        <v>8</v>
      </c>
    </row>
    <row r="2" spans="1:11" s="4" customFormat="1" ht="21" customHeight="1" x14ac:dyDescent="0.15">
      <c r="A2" s="140" t="s">
        <v>234</v>
      </c>
      <c r="B2" s="141"/>
      <c r="C2" s="142"/>
      <c r="D2" s="150" t="s">
        <v>109</v>
      </c>
      <c r="E2" s="151" t="s">
        <v>59</v>
      </c>
      <c r="F2" s="151" t="s">
        <v>59</v>
      </c>
      <c r="G2" s="151" t="s">
        <v>251</v>
      </c>
      <c r="H2" s="142"/>
      <c r="I2" s="142"/>
    </row>
    <row r="3" spans="1:11" s="4" customFormat="1" ht="21" customHeight="1" x14ac:dyDescent="0.15">
      <c r="A3" s="140" t="s">
        <v>236</v>
      </c>
      <c r="B3" s="144"/>
      <c r="C3" s="145"/>
      <c r="D3" s="151" t="s">
        <v>59</v>
      </c>
      <c r="E3" s="151" t="s">
        <v>59</v>
      </c>
      <c r="F3" s="151" t="s">
        <v>59</v>
      </c>
      <c r="G3" s="151" t="s">
        <v>229</v>
      </c>
      <c r="H3" s="145"/>
      <c r="I3" s="145"/>
    </row>
    <row r="4" spans="1:11" s="4" customFormat="1" ht="21" customHeight="1" x14ac:dyDescent="0.15">
      <c r="A4" s="140" t="s">
        <v>230</v>
      </c>
      <c r="B4" s="147"/>
      <c r="C4" s="148"/>
      <c r="D4" s="152" t="s">
        <v>59</v>
      </c>
      <c r="E4" s="152" t="s">
        <v>59</v>
      </c>
      <c r="F4" s="152" t="s">
        <v>59</v>
      </c>
      <c r="G4" s="151" t="s">
        <v>229</v>
      </c>
      <c r="H4" s="148"/>
      <c r="I4" s="148"/>
    </row>
    <row r="5" spans="1:11" s="4" customFormat="1" ht="21" customHeight="1" x14ac:dyDescent="0.15">
      <c r="A5" s="159" t="s">
        <v>238</v>
      </c>
      <c r="B5" s="154"/>
      <c r="C5" s="155"/>
      <c r="D5" s="152" t="s">
        <v>59</v>
      </c>
      <c r="E5" s="152" t="s">
        <v>59</v>
      </c>
      <c r="F5" s="152" t="s">
        <v>59</v>
      </c>
      <c r="G5" s="151" t="s">
        <v>219</v>
      </c>
      <c r="H5" s="155"/>
      <c r="I5" s="155"/>
    </row>
    <row r="6" spans="1:11" s="4" customFormat="1" ht="21" customHeight="1" x14ac:dyDescent="0.15">
      <c r="A6" s="159" t="s">
        <v>239</v>
      </c>
      <c r="B6" s="154"/>
      <c r="C6" s="155"/>
      <c r="D6" s="160" t="s">
        <v>60</v>
      </c>
      <c r="E6" s="160" t="s">
        <v>60</v>
      </c>
      <c r="F6" s="150" t="s">
        <v>109</v>
      </c>
      <c r="G6" s="150" t="s">
        <v>109</v>
      </c>
      <c r="H6" s="155"/>
      <c r="I6" s="155"/>
    </row>
    <row r="7" spans="1:11" ht="21" customHeight="1" x14ac:dyDescent="0.15">
      <c r="A7" s="69" t="s">
        <v>206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11" ht="21" customHeight="1" x14ac:dyDescent="0.15">
      <c r="A8" s="70" t="s">
        <v>241</v>
      </c>
      <c r="B8" s="37" t="s">
        <v>109</v>
      </c>
      <c r="C8" s="37" t="s">
        <v>109</v>
      </c>
      <c r="D8" s="37" t="s">
        <v>216</v>
      </c>
      <c r="E8" s="47" t="s">
        <v>115</v>
      </c>
      <c r="F8" s="47" t="s">
        <v>115</v>
      </c>
      <c r="G8" s="47" t="s">
        <v>217</v>
      </c>
      <c r="H8" s="37" t="s">
        <v>216</v>
      </c>
      <c r="I8" s="37" t="s">
        <v>109</v>
      </c>
    </row>
    <row r="9" spans="1:11" s="41" customFormat="1" ht="21" customHeight="1" x14ac:dyDescent="0.15">
      <c r="A9" s="71" t="s">
        <v>310</v>
      </c>
      <c r="B9" s="61" t="s">
        <v>109</v>
      </c>
      <c r="C9" s="61" t="s">
        <v>109</v>
      </c>
      <c r="D9" s="61" t="s">
        <v>109</v>
      </c>
      <c r="E9" s="61" t="s">
        <v>109</v>
      </c>
      <c r="F9" s="47" t="s">
        <v>59</v>
      </c>
      <c r="G9" s="47" t="s">
        <v>115</v>
      </c>
      <c r="H9" s="61" t="s">
        <v>109</v>
      </c>
      <c r="I9" s="61" t="s">
        <v>109</v>
      </c>
    </row>
    <row r="10" spans="1:11" s="41" customFormat="1" ht="21" customHeight="1" x14ac:dyDescent="0.15">
      <c r="A10" s="71" t="s">
        <v>242</v>
      </c>
      <c r="B10" s="61" t="s">
        <v>109</v>
      </c>
      <c r="C10" s="61" t="s">
        <v>109</v>
      </c>
      <c r="D10" s="61" t="s">
        <v>109</v>
      </c>
      <c r="E10" s="47" t="s">
        <v>59</v>
      </c>
      <c r="F10" s="47" t="s">
        <v>59</v>
      </c>
      <c r="G10" s="47" t="s">
        <v>115</v>
      </c>
      <c r="H10" s="61" t="s">
        <v>218</v>
      </c>
      <c r="I10" s="61" t="s">
        <v>218</v>
      </c>
    </row>
    <row r="11" spans="1:11" ht="21" customHeight="1" x14ac:dyDescent="0.15">
      <c r="A11" s="71" t="s">
        <v>9</v>
      </c>
      <c r="B11" s="66" t="s">
        <v>109</v>
      </c>
      <c r="C11" s="66" t="s">
        <v>109</v>
      </c>
      <c r="D11" s="47" t="s">
        <v>59</v>
      </c>
      <c r="E11" s="47" t="s">
        <v>59</v>
      </c>
      <c r="F11" s="47" t="s">
        <v>59</v>
      </c>
      <c r="G11" s="47" t="s">
        <v>219</v>
      </c>
      <c r="H11" s="66" t="s">
        <v>218</v>
      </c>
      <c r="I11" s="66" t="s">
        <v>218</v>
      </c>
      <c r="K11" s="25" t="s">
        <v>12</v>
      </c>
    </row>
    <row r="12" spans="1:11" ht="21" customHeight="1" x14ac:dyDescent="0.15">
      <c r="A12" s="71" t="s">
        <v>209</v>
      </c>
      <c r="B12" s="66" t="s">
        <v>109</v>
      </c>
      <c r="C12" s="66" t="s">
        <v>109</v>
      </c>
      <c r="D12" s="48" t="s">
        <v>59</v>
      </c>
      <c r="E12" s="48" t="s">
        <v>59</v>
      </c>
      <c r="F12" s="48" t="s">
        <v>59</v>
      </c>
      <c r="G12" s="47" t="s">
        <v>219</v>
      </c>
      <c r="H12" s="66" t="s">
        <v>218</v>
      </c>
      <c r="I12" s="66" t="s">
        <v>218</v>
      </c>
      <c r="K12" s="27" t="s">
        <v>13</v>
      </c>
    </row>
    <row r="13" spans="1:11" ht="21" customHeight="1" x14ac:dyDescent="0.15">
      <c r="A13" s="71" t="s">
        <v>205</v>
      </c>
      <c r="B13" s="66" t="s">
        <v>109</v>
      </c>
      <c r="C13" s="66" t="s">
        <v>109</v>
      </c>
      <c r="D13" s="49" t="s">
        <v>60</v>
      </c>
      <c r="E13" s="49" t="s">
        <v>60</v>
      </c>
      <c r="F13" s="179" t="s">
        <v>59</v>
      </c>
      <c r="G13" s="66" t="s">
        <v>109</v>
      </c>
      <c r="H13" s="66" t="s">
        <v>109</v>
      </c>
      <c r="I13" s="66" t="s">
        <v>109</v>
      </c>
      <c r="K13" s="67" t="s">
        <v>35</v>
      </c>
    </row>
    <row r="14" spans="1:11" ht="21" customHeight="1" x14ac:dyDescent="0.15">
      <c r="A14" s="100" t="s">
        <v>245</v>
      </c>
      <c r="B14" s="66" t="s">
        <v>109</v>
      </c>
      <c r="C14" s="66" t="s">
        <v>109</v>
      </c>
      <c r="D14" s="50" t="s">
        <v>59</v>
      </c>
      <c r="E14" s="50" t="s">
        <v>59</v>
      </c>
      <c r="F14" s="50" t="s">
        <v>59</v>
      </c>
      <c r="G14" s="66" t="s">
        <v>109</v>
      </c>
      <c r="H14" s="66" t="s">
        <v>109</v>
      </c>
      <c r="I14" s="66" t="s">
        <v>109</v>
      </c>
      <c r="K14" s="68"/>
    </row>
    <row r="15" spans="1:11" ht="21" customHeight="1" x14ac:dyDescent="0.15">
      <c r="A15" s="71" t="s">
        <v>246</v>
      </c>
      <c r="B15" s="66" t="s">
        <v>109</v>
      </c>
      <c r="C15" s="66" t="s">
        <v>109</v>
      </c>
      <c r="D15" s="50" t="s">
        <v>59</v>
      </c>
      <c r="E15" s="50" t="s">
        <v>59</v>
      </c>
      <c r="F15" s="50" t="s">
        <v>59</v>
      </c>
      <c r="G15" s="66" t="s">
        <v>109</v>
      </c>
      <c r="H15" s="66" t="s">
        <v>109</v>
      </c>
      <c r="I15" s="66" t="s">
        <v>109</v>
      </c>
    </row>
    <row r="16" spans="1:11" ht="21" customHeight="1" x14ac:dyDescent="0.15">
      <c r="A16" s="71" t="s">
        <v>105</v>
      </c>
      <c r="B16" s="66" t="s">
        <v>109</v>
      </c>
      <c r="C16" s="66" t="s">
        <v>109</v>
      </c>
      <c r="D16" s="50" t="s">
        <v>60</v>
      </c>
      <c r="E16" s="50" t="s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248</v>
      </c>
      <c r="B17" s="66" t="s">
        <v>109</v>
      </c>
      <c r="C17" s="50" t="s">
        <v>60</v>
      </c>
      <c r="D17" s="50" t="s">
        <v>60</v>
      </c>
      <c r="E17" s="50" t="s">
        <v>60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1" t="s">
        <v>8</v>
      </c>
      <c r="B18" s="51" t="s">
        <v>61</v>
      </c>
      <c r="C18" s="51" t="s">
        <v>61</v>
      </c>
      <c r="D18" s="51" t="s">
        <v>61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2" t="s">
        <v>7</v>
      </c>
      <c r="B19" s="46" t="s">
        <v>62</v>
      </c>
      <c r="C19" s="46" t="s">
        <v>62</v>
      </c>
      <c r="D19" s="66" t="s">
        <v>109</v>
      </c>
      <c r="E19" s="66" t="s">
        <v>109</v>
      </c>
      <c r="F19" s="66" t="s">
        <v>109</v>
      </c>
      <c r="G19" s="66" t="s">
        <v>109</v>
      </c>
      <c r="H19" s="66" t="s">
        <v>109</v>
      </c>
      <c r="I19" s="66" t="s">
        <v>109</v>
      </c>
    </row>
    <row r="20" spans="1:9" ht="21" customHeight="1" x14ac:dyDescent="0.15">
      <c r="A20" s="73" t="s">
        <v>249</v>
      </c>
      <c r="B20" s="48" t="s">
        <v>63</v>
      </c>
      <c r="C20" s="48" t="s">
        <v>63</v>
      </c>
      <c r="D20" s="66" t="s">
        <v>109</v>
      </c>
      <c r="E20" s="66" t="s">
        <v>109</v>
      </c>
      <c r="F20" s="66" t="s">
        <v>109</v>
      </c>
      <c r="G20" s="66" t="s">
        <v>109</v>
      </c>
      <c r="H20" s="66" t="s">
        <v>109</v>
      </c>
      <c r="I20" s="66" t="s">
        <v>109</v>
      </c>
    </row>
    <row r="21" spans="1:9" ht="21" customHeight="1" x14ac:dyDescent="0.15">
      <c r="A21" s="35" t="s">
        <v>250</v>
      </c>
      <c r="B21" s="74" t="s">
        <v>47</v>
      </c>
      <c r="C21" s="74" t="s">
        <v>47</v>
      </c>
      <c r="D21" s="74" t="s">
        <v>47</v>
      </c>
      <c r="E21" s="74" t="s">
        <v>47</v>
      </c>
      <c r="F21" s="74" t="s">
        <v>47</v>
      </c>
      <c r="G21" s="74" t="s">
        <v>47</v>
      </c>
      <c r="H21" s="74" t="s">
        <v>47</v>
      </c>
      <c r="I21" s="74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227</v>
      </c>
      <c r="B2" s="141"/>
      <c r="C2" s="142"/>
      <c r="D2" s="153" t="s">
        <v>11</v>
      </c>
      <c r="E2" s="153">
        <v>8000</v>
      </c>
      <c r="F2" s="153">
        <v>10000</v>
      </c>
      <c r="G2" s="153">
        <v>14000</v>
      </c>
      <c r="H2" s="142"/>
      <c r="I2" s="142"/>
    </row>
    <row r="3" spans="1:9" s="4" customFormat="1" ht="21" customHeight="1" x14ac:dyDescent="0.15">
      <c r="A3" s="140" t="s">
        <v>228</v>
      </c>
      <c r="B3" s="144"/>
      <c r="C3" s="145"/>
      <c r="D3" s="153" t="s">
        <v>11</v>
      </c>
      <c r="E3" s="153">
        <v>7500</v>
      </c>
      <c r="F3" s="153">
        <v>9500</v>
      </c>
      <c r="G3" s="153">
        <v>13000</v>
      </c>
      <c r="H3" s="145"/>
      <c r="I3" s="145"/>
    </row>
    <row r="4" spans="1:9" s="4" customFormat="1" ht="21" customHeight="1" x14ac:dyDescent="0.15">
      <c r="A4" s="140" t="s">
        <v>230</v>
      </c>
      <c r="B4" s="147"/>
      <c r="C4" s="148"/>
      <c r="D4" s="153">
        <v>5000</v>
      </c>
      <c r="E4" s="153">
        <v>7000</v>
      </c>
      <c r="F4" s="153">
        <v>9000</v>
      </c>
      <c r="G4" s="153">
        <v>12000</v>
      </c>
      <c r="H4" s="148"/>
      <c r="I4" s="148"/>
    </row>
    <row r="5" spans="1:9" s="4" customFormat="1" ht="21" customHeight="1" x14ac:dyDescent="0.15">
      <c r="A5" s="159" t="s">
        <v>231</v>
      </c>
      <c r="B5" s="154"/>
      <c r="C5" s="155"/>
      <c r="D5" s="153">
        <v>4900</v>
      </c>
      <c r="E5" s="153">
        <v>6700</v>
      </c>
      <c r="F5" s="153">
        <v>8500</v>
      </c>
      <c r="G5" s="153">
        <v>11000</v>
      </c>
      <c r="H5" s="155"/>
      <c r="I5" s="155"/>
    </row>
    <row r="6" spans="1:9" s="4" customFormat="1" ht="21" customHeight="1" x14ac:dyDescent="0.15">
      <c r="A6" s="159" t="s">
        <v>232</v>
      </c>
      <c r="B6" s="154"/>
      <c r="C6" s="155"/>
      <c r="D6" s="153">
        <v>4800</v>
      </c>
      <c r="E6" s="153">
        <v>6600</v>
      </c>
      <c r="F6" s="153" t="s">
        <v>11</v>
      </c>
      <c r="G6" s="153" t="s">
        <v>11</v>
      </c>
      <c r="H6" s="155"/>
      <c r="I6" s="155"/>
    </row>
    <row r="7" spans="1:9" ht="21" customHeight="1" x14ac:dyDescent="0.15">
      <c r="A7" s="69" t="s">
        <v>206</v>
      </c>
      <c r="B7" s="42" t="s">
        <v>11</v>
      </c>
      <c r="C7" s="42" t="s">
        <v>11</v>
      </c>
      <c r="D7" s="42" t="s">
        <v>11</v>
      </c>
      <c r="E7" s="42" t="s">
        <v>11</v>
      </c>
      <c r="F7" s="42" t="s">
        <v>11</v>
      </c>
      <c r="G7" s="42" t="s">
        <v>11</v>
      </c>
      <c r="H7" s="42" t="s">
        <v>11</v>
      </c>
      <c r="I7" s="42" t="s">
        <v>11</v>
      </c>
    </row>
    <row r="8" spans="1:9" ht="21" customHeight="1" x14ac:dyDescent="0.15">
      <c r="A8" s="70" t="s">
        <v>207</v>
      </c>
      <c r="B8" s="42" t="s">
        <v>11</v>
      </c>
      <c r="C8" s="42" t="s">
        <v>11</v>
      </c>
      <c r="D8" s="42" t="s">
        <v>11</v>
      </c>
      <c r="E8" s="42">
        <v>8000</v>
      </c>
      <c r="F8" s="26">
        <v>10000</v>
      </c>
      <c r="G8" s="42">
        <v>14000</v>
      </c>
      <c r="H8" s="42" t="s">
        <v>11</v>
      </c>
      <c r="I8" s="42" t="s">
        <v>11</v>
      </c>
    </row>
    <row r="9" spans="1:9" s="41" customFormat="1" ht="21" customHeight="1" x14ac:dyDescent="0.15">
      <c r="A9" s="176" t="s">
        <v>312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2">
        <v>14000</v>
      </c>
      <c r="H9" s="26" t="s">
        <v>11</v>
      </c>
      <c r="I9" s="26" t="s">
        <v>11</v>
      </c>
    </row>
    <row r="10" spans="1:9" s="41" customFormat="1" ht="21" customHeight="1" x14ac:dyDescent="0.15">
      <c r="A10" s="71" t="s">
        <v>208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2">
        <v>13000</v>
      </c>
      <c r="H10" s="26" t="s">
        <v>11</v>
      </c>
      <c r="I10" s="26" t="s">
        <v>11</v>
      </c>
    </row>
    <row r="11" spans="1:9" ht="21" customHeight="1" x14ac:dyDescent="0.15">
      <c r="A11" s="71" t="s">
        <v>9</v>
      </c>
      <c r="B11" s="64" t="s">
        <v>11</v>
      </c>
      <c r="C11" s="64" t="s">
        <v>11</v>
      </c>
      <c r="D11" s="26">
        <v>5000</v>
      </c>
      <c r="E11" s="26">
        <v>7000</v>
      </c>
      <c r="F11" s="26">
        <v>9000</v>
      </c>
      <c r="G11" s="42">
        <v>12000</v>
      </c>
      <c r="H11" s="64" t="s">
        <v>11</v>
      </c>
      <c r="I11" s="64" t="s">
        <v>11</v>
      </c>
    </row>
    <row r="12" spans="1:9" ht="21" customHeight="1" x14ac:dyDescent="0.15">
      <c r="A12" s="71" t="s">
        <v>209</v>
      </c>
      <c r="B12" s="64" t="s">
        <v>11</v>
      </c>
      <c r="C12" s="64" t="s">
        <v>11</v>
      </c>
      <c r="D12" s="26">
        <v>4900</v>
      </c>
      <c r="E12" s="26">
        <v>6700</v>
      </c>
      <c r="F12" s="26">
        <v>8500</v>
      </c>
      <c r="G12" s="42">
        <v>11000</v>
      </c>
      <c r="H12" s="64" t="s">
        <v>11</v>
      </c>
      <c r="I12" s="64" t="s">
        <v>11</v>
      </c>
    </row>
    <row r="13" spans="1:9" ht="21" customHeight="1" x14ac:dyDescent="0.15">
      <c r="A13" s="71" t="s">
        <v>106</v>
      </c>
      <c r="B13" s="64" t="s">
        <v>11</v>
      </c>
      <c r="C13" s="64" t="s">
        <v>11</v>
      </c>
      <c r="D13" s="26">
        <v>4800</v>
      </c>
      <c r="E13" s="26">
        <v>6600</v>
      </c>
      <c r="F13" s="177">
        <v>9000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71" t="s">
        <v>210</v>
      </c>
      <c r="B14" s="64" t="s">
        <v>11</v>
      </c>
      <c r="C14" s="64" t="s">
        <v>11</v>
      </c>
      <c r="D14" s="64" t="s">
        <v>11</v>
      </c>
      <c r="E14" s="26">
        <v>6300</v>
      </c>
      <c r="F14" s="64" t="s">
        <v>11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211</v>
      </c>
      <c r="B15" s="64" t="s">
        <v>11</v>
      </c>
      <c r="C15" s="64" t="s">
        <v>11</v>
      </c>
      <c r="D15" s="26">
        <v>4600</v>
      </c>
      <c r="E15" s="26">
        <v>5800</v>
      </c>
      <c r="F15" s="26">
        <v>7600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105</v>
      </c>
      <c r="B16" s="64" t="s">
        <v>11</v>
      </c>
      <c r="C16" s="64" t="s">
        <v>11</v>
      </c>
      <c r="D16" s="26">
        <v>4400</v>
      </c>
      <c r="E16" s="26">
        <v>5600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212</v>
      </c>
      <c r="B17" s="64" t="s">
        <v>11</v>
      </c>
      <c r="C17" s="26">
        <v>3000</v>
      </c>
      <c r="D17" s="26">
        <v>4200</v>
      </c>
      <c r="E17" s="26">
        <v>5400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1" t="s">
        <v>8</v>
      </c>
      <c r="B18" s="26">
        <v>2000</v>
      </c>
      <c r="C18" s="26">
        <v>2800</v>
      </c>
      <c r="D18" s="26">
        <v>4000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7</v>
      </c>
      <c r="B19" s="26">
        <v>1750</v>
      </c>
      <c r="C19" s="26">
        <v>2550</v>
      </c>
      <c r="D19" s="64" t="s">
        <v>11</v>
      </c>
      <c r="E19" s="64" t="s">
        <v>11</v>
      </c>
      <c r="F19" s="64" t="s">
        <v>11</v>
      </c>
      <c r="G19" s="64" t="s">
        <v>11</v>
      </c>
      <c r="H19" s="64" t="s">
        <v>11</v>
      </c>
      <c r="I19" s="64" t="s">
        <v>11</v>
      </c>
    </row>
    <row r="20" spans="1:9" ht="21" customHeight="1" x14ac:dyDescent="0.15">
      <c r="A20" s="72" t="s">
        <v>213</v>
      </c>
      <c r="B20" s="26">
        <v>1500</v>
      </c>
      <c r="C20" s="26">
        <v>2300</v>
      </c>
      <c r="D20" s="64" t="s">
        <v>11</v>
      </c>
      <c r="E20" s="64" t="s">
        <v>11</v>
      </c>
      <c r="F20" s="64" t="s">
        <v>11</v>
      </c>
      <c r="G20" s="64" t="s">
        <v>11</v>
      </c>
      <c r="H20" s="64" t="s">
        <v>11</v>
      </c>
      <c r="I20" s="64" t="s">
        <v>11</v>
      </c>
    </row>
    <row r="21" spans="1:9" ht="21" customHeight="1" x14ac:dyDescent="0.15">
      <c r="A21" s="35" t="s">
        <v>214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198</v>
      </c>
      <c r="B2" s="11">
        <v>591</v>
      </c>
    </row>
    <row r="3" spans="1:4" x14ac:dyDescent="0.15">
      <c r="A3" t="s">
        <v>199</v>
      </c>
      <c r="B3" s="127">
        <v>592</v>
      </c>
    </row>
    <row r="4" spans="1:4" x14ac:dyDescent="0.15">
      <c r="A4" t="s">
        <v>200</v>
      </c>
      <c r="B4" s="127">
        <v>593</v>
      </c>
    </row>
    <row r="7" spans="1:4" x14ac:dyDescent="0.15">
      <c r="A7" t="s">
        <v>201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220</v>
      </c>
    </row>
    <row r="13" spans="1:4" x14ac:dyDescent="0.15">
      <c r="B13" t="s">
        <v>224</v>
      </c>
      <c r="C13" t="s">
        <v>225</v>
      </c>
      <c r="D13" t="s">
        <v>226</v>
      </c>
    </row>
    <row r="14" spans="1:4" x14ac:dyDescent="0.15">
      <c r="A14" t="s">
        <v>222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223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221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202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203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204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39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2017-06-06T08:46:27Z</dcterms:modified>
</cp:coreProperties>
</file>