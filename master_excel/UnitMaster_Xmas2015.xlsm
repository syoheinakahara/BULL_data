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0" r:id="rId5"/>
    <sheet name="awake_materials" sheetId="3" r:id="rId6"/>
    <sheet name="→base値" sheetId="51" r:id="rId7"/>
    <sheet name="ghosts_label" sheetId="54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</sheets>
  <externalReferences>
    <externalReference r:id="rId14"/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crash_skills!$A$1:$H$1</definedName>
    <definedName name="_xlnm._FilterDatabase" localSheetId="2" hidden="1">unit_skills!$A$1:$S$1</definedName>
    <definedName name="_xlnm._FilterDatabase" localSheetId="1" hidden="1">units!$A$1:$BQ$5</definedName>
    <definedName name="base_character_id">awake_materials!$B$1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H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2" i="23"/>
  <c r="BR2" i="23"/>
  <c r="AT10" i="23"/>
  <c r="AT11" i="23"/>
  <c r="AT12" i="23"/>
  <c r="AT13" i="23"/>
  <c r="AP10" i="23"/>
  <c r="AP11" i="23"/>
  <c r="AP12" i="23"/>
  <c r="AP13" i="23"/>
  <c r="G7" i="23"/>
  <c r="BC7" i="23"/>
  <c r="BD7" i="23"/>
  <c r="Q7" i="23"/>
  <c r="V7" i="23"/>
  <c r="W7" i="23"/>
  <c r="AD7" i="23"/>
  <c r="I7" i="23"/>
  <c r="M7" i="23"/>
  <c r="BN7" i="23"/>
  <c r="G9" i="23"/>
  <c r="BC9" i="23"/>
  <c r="BD9" i="23"/>
  <c r="Q9" i="23"/>
  <c r="T9" i="23"/>
  <c r="W9" i="23"/>
  <c r="AB9" i="23"/>
  <c r="I9" i="23"/>
  <c r="K9" i="23"/>
  <c r="BL9" i="23"/>
  <c r="J13" i="52"/>
  <c r="AT3" i="23"/>
  <c r="AT4" i="23"/>
  <c r="AT5" i="23"/>
  <c r="AT6" i="23"/>
  <c r="AT7" i="23"/>
  <c r="AT8" i="23"/>
  <c r="AT9" i="23"/>
  <c r="AT2" i="23"/>
  <c r="E2" i="23"/>
  <c r="AP3" i="23"/>
  <c r="AP4" i="23"/>
  <c r="AP5" i="23"/>
  <c r="AP6" i="23"/>
  <c r="AP7" i="23"/>
  <c r="AP8" i="23"/>
  <c r="AP9" i="23"/>
  <c r="AP2" i="23"/>
  <c r="C8" i="3"/>
  <c r="C9" i="3"/>
  <c r="C10" i="3"/>
  <c r="C11" i="3"/>
  <c r="G11" i="3"/>
  <c r="E11" i="3"/>
  <c r="D11" i="3"/>
  <c r="A11" i="3"/>
  <c r="G10" i="3"/>
  <c r="E10" i="3"/>
  <c r="D10" i="3"/>
  <c r="A10" i="3"/>
  <c r="G9" i="3"/>
  <c r="E9" i="3"/>
  <c r="D9" i="3"/>
  <c r="A9" i="3"/>
  <c r="G8" i="3"/>
  <c r="E8" i="3"/>
  <c r="D8" i="3"/>
  <c r="A8" i="3"/>
  <c r="C5" i="3"/>
  <c r="C6" i="3"/>
  <c r="C7" i="3"/>
  <c r="G7" i="3"/>
  <c r="E7" i="3"/>
  <c r="D7" i="3"/>
  <c r="A7" i="3"/>
  <c r="G6" i="3"/>
  <c r="E6" i="3"/>
  <c r="D6" i="3"/>
  <c r="A6" i="3"/>
  <c r="G5" i="3"/>
  <c r="E5" i="3"/>
  <c r="D5" i="3"/>
  <c r="A5" i="3"/>
  <c r="C2" i="3"/>
  <c r="C3" i="3"/>
  <c r="C4" i="3"/>
  <c r="G4" i="3"/>
  <c r="E4" i="3"/>
  <c r="D4" i="3"/>
  <c r="A4" i="3"/>
  <c r="G3" i="3"/>
  <c r="E3" i="3"/>
  <c r="D3" i="3"/>
  <c r="A3" i="3"/>
  <c r="G2" i="3"/>
  <c r="E2" i="3"/>
  <c r="D2" i="3"/>
  <c r="A2" i="3"/>
  <c r="C13" i="3"/>
  <c r="C14" i="3"/>
  <c r="C12" i="3"/>
  <c r="G14" i="3"/>
  <c r="E14" i="3"/>
  <c r="D14" i="3"/>
  <c r="A14" i="3"/>
  <c r="G13" i="3"/>
  <c r="E13" i="3"/>
  <c r="D13" i="3"/>
  <c r="A13" i="3"/>
  <c r="G12" i="3"/>
  <c r="E12" i="3"/>
  <c r="D12" i="3"/>
  <c r="A12" i="3"/>
  <c r="G13" i="53"/>
  <c r="E13" i="53"/>
  <c r="G4" i="53"/>
  <c r="E4" i="53"/>
  <c r="H4" i="53"/>
  <c r="G5" i="53"/>
  <c r="E5" i="53"/>
  <c r="H5" i="53"/>
  <c r="G6" i="53"/>
  <c r="E6" i="53"/>
  <c r="H6" i="53"/>
  <c r="G7" i="53"/>
  <c r="E7" i="53"/>
  <c r="H7" i="53"/>
  <c r="G8" i="53"/>
  <c r="E8" i="53"/>
  <c r="H8" i="53"/>
  <c r="G9" i="53"/>
  <c r="E9" i="53"/>
  <c r="H9" i="53"/>
  <c r="G10" i="53"/>
  <c r="E10" i="53"/>
  <c r="G11" i="53"/>
  <c r="E11" i="53"/>
  <c r="G12" i="53"/>
  <c r="E12" i="53"/>
  <c r="H3" i="53"/>
  <c r="G3" i="53"/>
  <c r="E3" i="53"/>
  <c r="J11" i="52"/>
  <c r="E11" i="52"/>
  <c r="H11" i="52"/>
  <c r="J12" i="52"/>
  <c r="E12" i="52"/>
  <c r="H12" i="52"/>
  <c r="E13" i="52"/>
  <c r="H13" i="52"/>
  <c r="J4" i="52"/>
  <c r="E4" i="52"/>
  <c r="H4" i="52"/>
  <c r="K4" i="52"/>
  <c r="J5" i="52"/>
  <c r="E5" i="52"/>
  <c r="H5" i="52"/>
  <c r="K5" i="52"/>
  <c r="J6" i="52"/>
  <c r="E6" i="52"/>
  <c r="H6" i="52"/>
  <c r="K6" i="52"/>
  <c r="J7" i="52"/>
  <c r="E7" i="52"/>
  <c r="H7" i="52"/>
  <c r="K7" i="52"/>
  <c r="J8" i="52"/>
  <c r="E8" i="52"/>
  <c r="H8" i="52"/>
  <c r="K8" i="52"/>
  <c r="J9" i="52"/>
  <c r="E9" i="52"/>
  <c r="H9" i="52"/>
  <c r="K9" i="52"/>
  <c r="J10" i="52"/>
  <c r="E10" i="52"/>
  <c r="H10" i="52"/>
  <c r="K3" i="52"/>
  <c r="J3" i="52"/>
  <c r="H3" i="52"/>
  <c r="E3" i="52"/>
  <c r="S7" i="23"/>
  <c r="AA7" i="23"/>
  <c r="J7" i="23"/>
  <c r="BK7" i="23"/>
  <c r="S9" i="23"/>
  <c r="AA9" i="23"/>
  <c r="J9" i="23"/>
  <c r="BK9" i="23"/>
  <c r="V9" i="23"/>
  <c r="AD9" i="23"/>
  <c r="M9" i="23"/>
  <c r="BN9" i="23"/>
  <c r="G8" i="23"/>
  <c r="BC8" i="23"/>
  <c r="BD8" i="23"/>
  <c r="Q8" i="23"/>
  <c r="V8" i="23"/>
  <c r="W8" i="23"/>
  <c r="AD8" i="23"/>
  <c r="I8" i="23"/>
  <c r="M8" i="23"/>
  <c r="BN8" i="23"/>
  <c r="C4" i="49"/>
  <c r="C5" i="49"/>
  <c r="C6" i="49"/>
  <c r="C7" i="49"/>
  <c r="C8" i="49"/>
  <c r="C9" i="49"/>
  <c r="C10" i="49"/>
  <c r="C3" i="49"/>
  <c r="AG6" i="23"/>
  <c r="AG7" i="23"/>
  <c r="G2" i="53"/>
  <c r="E2" i="53"/>
  <c r="J2" i="52"/>
  <c r="H2" i="52"/>
  <c r="E2" i="52"/>
  <c r="B2" i="23"/>
  <c r="G13" i="23"/>
  <c r="BC13" i="23"/>
  <c r="AN13" i="23"/>
  <c r="AL13" i="23"/>
  <c r="AI13" i="23"/>
  <c r="O13" i="23"/>
  <c r="N13" i="23"/>
  <c r="G12" i="23"/>
  <c r="BC12" i="23"/>
  <c r="AN12" i="23"/>
  <c r="AL12" i="23"/>
  <c r="AI12" i="23"/>
  <c r="O12" i="23"/>
  <c r="N12" i="23"/>
  <c r="G11" i="23"/>
  <c r="BC11" i="23"/>
  <c r="AN11" i="23"/>
  <c r="AL11" i="23"/>
  <c r="AI11" i="23"/>
  <c r="O11" i="23"/>
  <c r="N11" i="23"/>
  <c r="G10" i="23"/>
  <c r="BC10" i="23"/>
  <c r="AN10" i="23"/>
  <c r="AL10" i="23"/>
  <c r="AI10" i="23"/>
  <c r="O10" i="23"/>
  <c r="N10" i="23"/>
  <c r="AN9" i="23"/>
  <c r="AM9" i="23"/>
  <c r="AL9" i="23"/>
  <c r="AI9" i="23"/>
  <c r="O9" i="23"/>
  <c r="N9" i="23"/>
  <c r="AN8" i="23"/>
  <c r="AM8" i="23"/>
  <c r="AL8" i="23"/>
  <c r="AI8" i="23"/>
  <c r="O8" i="23"/>
  <c r="N8" i="23"/>
  <c r="AN7" i="23"/>
  <c r="AM7" i="23"/>
  <c r="AL7" i="23"/>
  <c r="AI7" i="23"/>
  <c r="O7" i="23"/>
  <c r="N7" i="23"/>
  <c r="G6" i="23"/>
  <c r="BC6" i="23"/>
  <c r="AN6" i="23"/>
  <c r="AM6" i="23"/>
  <c r="AL6" i="23"/>
  <c r="AI6" i="23"/>
  <c r="O6" i="23"/>
  <c r="N6" i="23"/>
  <c r="G5" i="23"/>
  <c r="BC5" i="23"/>
  <c r="AN5" i="23"/>
  <c r="AM5" i="23"/>
  <c r="AL5" i="23"/>
  <c r="AI5" i="23"/>
  <c r="O5" i="23"/>
  <c r="N5" i="23"/>
  <c r="G4" i="23"/>
  <c r="BC4" i="23"/>
  <c r="AN4" i="23"/>
  <c r="AM4" i="23"/>
  <c r="AL4" i="23"/>
  <c r="AI4" i="23"/>
  <c r="O4" i="23"/>
  <c r="N4" i="23"/>
  <c r="G3" i="23"/>
  <c r="BC3" i="23"/>
  <c r="AN3" i="23"/>
  <c r="AM3" i="23"/>
  <c r="AL3" i="23"/>
  <c r="AI3" i="23"/>
  <c r="O3" i="23"/>
  <c r="N3" i="23"/>
  <c r="G2" i="23"/>
  <c r="BC2" i="23"/>
  <c r="AN2" i="23"/>
  <c r="AM2" i="23"/>
  <c r="AL2" i="23"/>
  <c r="AI2" i="23"/>
  <c r="O2" i="23"/>
  <c r="N2" i="23"/>
  <c r="B10" i="23"/>
  <c r="C10" i="23"/>
  <c r="D10" i="23"/>
  <c r="E10" i="23"/>
  <c r="F10" i="23"/>
  <c r="I10" i="23"/>
  <c r="J10" i="23"/>
  <c r="K10" i="23"/>
  <c r="L10" i="23"/>
  <c r="M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K10" i="23"/>
  <c r="AQ10" i="23"/>
  <c r="AR10" i="23"/>
  <c r="AS10" i="23"/>
  <c r="AU10" i="23"/>
  <c r="AV10" i="23"/>
  <c r="AW10" i="23"/>
  <c r="AX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I11" i="23"/>
  <c r="J11" i="23"/>
  <c r="K11" i="23"/>
  <c r="L11" i="23"/>
  <c r="M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G11" i="23"/>
  <c r="AH11" i="23"/>
  <c r="AK11" i="23"/>
  <c r="AQ11" i="23"/>
  <c r="AR11" i="23"/>
  <c r="AS11" i="23"/>
  <c r="AU11" i="23"/>
  <c r="AV11" i="23"/>
  <c r="AW11" i="23"/>
  <c r="AX11" i="23"/>
  <c r="BD11" i="23"/>
  <c r="BE11" i="23"/>
  <c r="BF11" i="23"/>
  <c r="BK11" i="23"/>
  <c r="BG11" i="23"/>
  <c r="BL11" i="23"/>
  <c r="BH11" i="23"/>
  <c r="BM11" i="23"/>
  <c r="BI11" i="23"/>
  <c r="BN11" i="23"/>
  <c r="BJ11" i="23"/>
  <c r="B12" i="23"/>
  <c r="C12" i="23"/>
  <c r="D12" i="23"/>
  <c r="E12" i="23"/>
  <c r="F12" i="23"/>
  <c r="I12" i="23"/>
  <c r="J12" i="23"/>
  <c r="K12" i="23"/>
  <c r="L12" i="23"/>
  <c r="M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G12" i="23"/>
  <c r="AH12" i="23"/>
  <c r="AK12" i="23"/>
  <c r="AQ12" i="23"/>
  <c r="AR12" i="23"/>
  <c r="AS12" i="23"/>
  <c r="AU12" i="23"/>
  <c r="AV12" i="23"/>
  <c r="AW12" i="23"/>
  <c r="AX12" i="23"/>
  <c r="BD12" i="23"/>
  <c r="BE12" i="23"/>
  <c r="BF12" i="23"/>
  <c r="BK12" i="23"/>
  <c r="BG12" i="23"/>
  <c r="BL12" i="23"/>
  <c r="BH12" i="23"/>
  <c r="BM12" i="23"/>
  <c r="BI12" i="23"/>
  <c r="BN12" i="23"/>
  <c r="BJ12" i="23"/>
  <c r="B13" i="23"/>
  <c r="C13" i="23"/>
  <c r="D13" i="23"/>
  <c r="E13" i="23"/>
  <c r="F13" i="23"/>
  <c r="I13" i="23"/>
  <c r="J13" i="23"/>
  <c r="K13" i="23"/>
  <c r="L13" i="23"/>
  <c r="M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G13" i="23"/>
  <c r="AH13" i="23"/>
  <c r="AK13" i="23"/>
  <c r="AQ13" i="23"/>
  <c r="AR13" i="23"/>
  <c r="AS13" i="23"/>
  <c r="AU13" i="23"/>
  <c r="AV13" i="23"/>
  <c r="AW13" i="23"/>
  <c r="AX13" i="23"/>
  <c r="BD13" i="23"/>
  <c r="BE13" i="23"/>
  <c r="BF13" i="23"/>
  <c r="BK13" i="23"/>
  <c r="BG13" i="23"/>
  <c r="BL13" i="23"/>
  <c r="BH13" i="23"/>
  <c r="BM13" i="23"/>
  <c r="BI13" i="23"/>
  <c r="BN13" i="23"/>
  <c r="BJ13" i="23"/>
  <c r="AS9" i="23"/>
  <c r="AR9" i="23"/>
  <c r="AQ9" i="23"/>
  <c r="AS8" i="23"/>
  <c r="AR8" i="23"/>
  <c r="AQ8" i="23"/>
  <c r="AS7" i="23"/>
  <c r="AR7" i="23"/>
  <c r="AQ7" i="23"/>
  <c r="AS6" i="23"/>
  <c r="AR6" i="23"/>
  <c r="AQ6" i="23"/>
  <c r="AS5" i="23"/>
  <c r="AR5" i="23"/>
  <c r="AQ5" i="23"/>
  <c r="AS4" i="23"/>
  <c r="AR4" i="23"/>
  <c r="AQ4" i="23"/>
  <c r="AS3" i="23"/>
  <c r="AR3" i="23"/>
  <c r="AQ3" i="23"/>
  <c r="AS2" i="23"/>
  <c r="AR2" i="23"/>
  <c r="AQ2" i="23"/>
  <c r="U9" i="23"/>
  <c r="AC9" i="23"/>
  <c r="L9" i="23"/>
  <c r="BM9" i="23"/>
  <c r="BE9" i="23"/>
  <c r="BJ9" i="23"/>
  <c r="BI9" i="23"/>
  <c r="BH9" i="23"/>
  <c r="BG9" i="23"/>
  <c r="I2" i="23"/>
  <c r="J2" i="23"/>
  <c r="J8" i="23"/>
  <c r="BF9" i="23"/>
  <c r="AX9" i="23"/>
  <c r="AW9" i="23"/>
  <c r="AV9" i="23"/>
  <c r="AU9" i="23"/>
  <c r="AK9" i="23"/>
  <c r="AH9" i="23"/>
  <c r="AF9" i="23"/>
  <c r="Y9" i="23"/>
  <c r="Z9" i="23"/>
  <c r="X9" i="23"/>
  <c r="R9" i="23"/>
  <c r="P9" i="23"/>
  <c r="F9" i="23"/>
  <c r="E9" i="23"/>
  <c r="D9" i="23"/>
  <c r="C9" i="23"/>
  <c r="B9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BF8" i="23"/>
  <c r="AX8" i="23"/>
  <c r="AW8" i="23"/>
  <c r="AV8" i="23"/>
  <c r="AU8" i="23"/>
  <c r="AK8" i="23"/>
  <c r="AH8" i="23"/>
  <c r="AF8" i="23"/>
  <c r="Y8" i="23"/>
  <c r="Z8" i="23"/>
  <c r="X8" i="23"/>
  <c r="R8" i="23"/>
  <c r="P8" i="23"/>
  <c r="F8" i="23"/>
  <c r="E8" i="23"/>
  <c r="D8" i="23"/>
  <c r="C8" i="23"/>
  <c r="B8" i="23"/>
  <c r="U7" i="23"/>
  <c r="AC7" i="23"/>
  <c r="L7" i="23"/>
  <c r="BM7" i="23"/>
  <c r="T7" i="23"/>
  <c r="AB7" i="23"/>
  <c r="K7" i="23"/>
  <c r="BL7" i="23"/>
  <c r="BE7" i="23"/>
  <c r="BJ7" i="23"/>
  <c r="BI7" i="23"/>
  <c r="BH7" i="23"/>
  <c r="BG7" i="23"/>
  <c r="I6" i="23"/>
  <c r="J6" i="23"/>
  <c r="BF7" i="23"/>
  <c r="AX7" i="23"/>
  <c r="AW7" i="23"/>
  <c r="AV7" i="23"/>
  <c r="AU7" i="23"/>
  <c r="AK7" i="23"/>
  <c r="AH7" i="23"/>
  <c r="AF7" i="23"/>
  <c r="Y7" i="23"/>
  <c r="Z7" i="23"/>
  <c r="X7" i="23"/>
  <c r="R7" i="23"/>
  <c r="P7" i="23"/>
  <c r="F7" i="23"/>
  <c r="E7" i="23"/>
  <c r="D7" i="23"/>
  <c r="C7" i="23"/>
  <c r="B7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K6" i="23"/>
  <c r="AH6" i="23"/>
  <c r="AF6" i="23"/>
  <c r="Y6" i="23"/>
  <c r="Z6" i="23"/>
  <c r="X6" i="23"/>
  <c r="R6" i="23"/>
  <c r="P6" i="23"/>
  <c r="F6" i="23"/>
  <c r="E6" i="23"/>
  <c r="D6" i="23"/>
  <c r="C6" i="23"/>
  <c r="B6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BE5" i="23"/>
  <c r="BJ5" i="23"/>
  <c r="BI5" i="23"/>
  <c r="BH5" i="23"/>
  <c r="BG5" i="23"/>
  <c r="I4" i="23"/>
  <c r="J4" i="23"/>
  <c r="BF5" i="23"/>
  <c r="AX5" i="23"/>
  <c r="AW5" i="23"/>
  <c r="AV5" i="23"/>
  <c r="AU5" i="23"/>
  <c r="AK5" i="23"/>
  <c r="AH5" i="23"/>
  <c r="AF5" i="23"/>
  <c r="Y5" i="23"/>
  <c r="Z5" i="23"/>
  <c r="X5" i="23"/>
  <c r="R5" i="23"/>
  <c r="P5" i="23"/>
  <c r="F5" i="23"/>
  <c r="E5" i="23"/>
  <c r="D5" i="23"/>
  <c r="C5" i="23"/>
  <c r="B5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K4" i="23"/>
  <c r="AH4" i="23"/>
  <c r="AF4" i="23"/>
  <c r="Y4" i="23"/>
  <c r="Z4" i="23"/>
  <c r="X4" i="23"/>
  <c r="R4" i="23"/>
  <c r="P4" i="23"/>
  <c r="F4" i="23"/>
  <c r="E4" i="23"/>
  <c r="D4" i="23"/>
  <c r="C4" i="23"/>
  <c r="B4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V3" i="23"/>
  <c r="AU3" i="23"/>
  <c r="AK3" i="23"/>
  <c r="AH3" i="23"/>
  <c r="AF3" i="23"/>
  <c r="Y3" i="23"/>
  <c r="Z3" i="23"/>
  <c r="X3" i="23"/>
  <c r="R3" i="23"/>
  <c r="P3" i="23"/>
  <c r="F3" i="23"/>
  <c r="E3" i="23"/>
  <c r="D3" i="23"/>
  <c r="C3" i="23"/>
  <c r="B3" i="23"/>
  <c r="BD2" i="23"/>
  <c r="Q2" i="23"/>
  <c r="V2" i="23"/>
  <c r="W2" i="23"/>
  <c r="AD2" i="23"/>
  <c r="M2" i="23"/>
  <c r="BN2" i="23"/>
  <c r="U2" i="23"/>
  <c r="AC2" i="23"/>
  <c r="L2" i="23"/>
  <c r="BM2" i="23"/>
  <c r="T2" i="23"/>
  <c r="AB2" i="23"/>
  <c r="K2" i="23"/>
  <c r="BL2" i="23"/>
  <c r="S2" i="23"/>
  <c r="AA2" i="23"/>
  <c r="BK2" i="23"/>
  <c r="BE2" i="23"/>
  <c r="BJ2" i="23"/>
  <c r="BI2" i="23"/>
  <c r="BH2" i="23"/>
  <c r="BG2" i="23"/>
  <c r="BF2" i="23"/>
  <c r="AX2" i="23"/>
  <c r="AW2" i="23"/>
  <c r="AV2" i="23"/>
  <c r="AU2" i="23"/>
  <c r="AK2" i="23"/>
  <c r="AH2" i="23"/>
  <c r="AF2" i="23"/>
  <c r="Y2" i="23"/>
  <c r="Z2" i="23"/>
  <c r="X2" i="23"/>
  <c r="R2" i="23"/>
  <c r="P2" i="23"/>
  <c r="F2" i="23"/>
  <c r="D2" i="23"/>
  <c r="C2" i="23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<sst xmlns="http://schemas.openxmlformats.org/spreadsheetml/2006/main" count="745" uniqueCount="294">
  <si>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</si>
  <si>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</si>
  <si>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</si>
  <si>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</si>
  <si>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</si>
  <si>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</si>
  <si>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</si>
  <si>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</si>
  <si>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</si>
  <si>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</si>
  <si>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</si>
  <si>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</si>
  <si>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</si>
  <si>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</si>
  <si>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</si>
  <si>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</si>
  <si>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</si>
  <si>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</si>
  <si>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</si>
  <si>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</si>
  <si>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</si>
  <si>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</si>
  <si>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</si>
  <si>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</si>
  <si>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</si>
  <si>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</si>
  <si>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</si>
  <si>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</si>
  <si>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</si>
  <si>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</si>
  <si>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</si>
  <si>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</si>
  <si>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</si>
  <si>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</si>
  <si>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</si>
  <si>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</si>
  <si>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</si>
  <si>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</si>
  <si>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</si>
  <si>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</si>
  <si>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</si>
  <si>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</si>
  <si>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</si>
  <si>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</si>
  <si>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</si>
  <si>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</si>
  <si>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</si>
  <si>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</si>
  <si>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</si>
  <si>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</si>
  <si>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</si>
  <si>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</si>
  <si>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</si>
  <si>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</si>
  <si>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</si>
  <si>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</si>
  <si>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</si>
  <si>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</si>
  <si>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</si>
  <si>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</si>
  <si>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</si>
  <si>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</si>
  <si>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</si>
  <si>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</si>
  <si>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</si>
  <si>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</si>
  <si>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</si>
  <si>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</si>
  <si>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</si>
  <si>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</si>
  <si>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</si>
  <si>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</si>
  <si>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</si>
  <si>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</si>
  <si>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</si>
  <si>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</si>
  <si>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</si>
  <si>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</si>
  <si>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</si>
  <si>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</si>
  <si>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</si>
  <si>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</si>
  <si>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</si>
  <si>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</si>
  <si>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</si>
  <si>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</si>
  <si>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</si>
  <si>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</si>
  <si>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</si>
  <si>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</si>
  <si>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</si>
  <si>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</si>
  <si>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</si>
  <si>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</si>
  <si>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</si>
  <si>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</si>
  <si>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</si>
  <si>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</si>
  <si>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</si>
  <si>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</si>
  <si>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</si>
  <si>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</si>
  <si>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</si>
  <si>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</si>
  <si>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</si>
  <si>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</si>
  <si>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</si>
  <si>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</si>
  <si>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</si>
  <si>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</si>
  <si>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</si>
  <si>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</si>
  <si>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</si>
  <si>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</si>
  <si>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</si>
  <si>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</si>
  <si>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</si>
  <si>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</si>
  <si>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</si>
  <si>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</si>
  <si>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</si>
  <si>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</si>
  <si>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</si>
  <si>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</si>
  <si>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</si>
  <si>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</si>
  <si>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</si>
  <si>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</si>
  <si>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</si>
  <si>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</si>
  <si>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</si>
  <si>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</si>
  <si>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</si>
  <si>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</si>
  <si>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</si>
  <si>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</si>
  <si>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</si>
  <si>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</si>
  <si>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</si>
  <si>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</si>
  <si>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</si>
  <si>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</si>
  <si>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</si>
  <si>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</si>
  <si>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</si>
  <si>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</si>
  <si>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-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</si>
  <si>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</si>
  <si>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</si>
  <si>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</si>
  <si>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</si>
  <si>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</si>
  <si>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</si>
  <si>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</si>
  <si>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</si>
  <si>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</si>
  <si>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</si>
  <si>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</si>
  <si>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</si>
  <si>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</si>
  <si>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</si>
  <si>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</si>
  <si>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</si>
  <si>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</si>
  <si>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</si>
  <si>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</si>
  <si>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character_id</t>
    <phoneticPr fontId="22"/>
  </si>
  <si>
    <t>serif_id</t>
    <phoneticPr fontId="22"/>
  </si>
  <si>
    <t>serif_type</t>
  </si>
  <si>
    <t>serif_type</t>
    <phoneticPr fontId="22"/>
  </si>
  <si>
    <t>serif</t>
    <phoneticPr fontId="22"/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</si>
  <si>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</si>
  <si>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</si>
  <si>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</si>
  <si>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</si>
  <si>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</si>
  <si>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</si>
  <si>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</si>
  <si>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</si>
  <si>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</si>
  <si>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</si>
  <si>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</si>
  <si>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</si>
  <si>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</si>
  <si>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</si>
  <si>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</si>
  <si>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</si>
  <si>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</si>
  <si>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</si>
  <si>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</si>
  <si>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</si>
  <si>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</si>
  <si>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</si>
  <si>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</si>
  <si>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</si>
  <si>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</si>
  <si>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</si>
  <si>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</si>
  <si>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</si>
  <si>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</si>
  <si>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</si>
  <si>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</si>
  <si>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</si>
  <si>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</si>
  <si>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</si>
  <si>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</si>
  <si>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</si>
  <si>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</si>
  <si>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</si>
  <si>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</si>
  <si>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</si>
  <si>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</si>
  <si>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</si>
  <si>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</si>
  <si>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</si>
  <si>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</si>
  <si>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</si>
  <si>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</si>
  <si>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</si>
  <si>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</si>
  <si>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NULL</t>
    <phoneticPr fontId="9"/>
  </si>
  <si>
    <t>NULL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</si>
  <si>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</si>
  <si>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</si>
  <si>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</si>
  <si>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</si>
  <si>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x2015</t>
    <phoneticPr fontId="22"/>
  </si>
  <si>
    <t>old</t>
  </si>
  <si>
    <t>単体に赤属性の特大ダメージ</t>
    <rPh sb="7" eb="9">
      <t>トクダイ</t>
    </rPh>
    <phoneticPr fontId="22"/>
  </si>
  <si>
    <t>パネルを1つランダムでスペシャルクラッシュパネルに変換する(威力大)</t>
    <phoneticPr fontId="22"/>
  </si>
  <si>
    <t>[effect:special_block,val:24, count:1, animation:change_block]</t>
    <phoneticPr fontId="22"/>
  </si>
  <si>
    <t>単体に大ダメージ</t>
    <rPh sb="0" eb="3">
      <t>タンタ</t>
    </rPh>
    <rPh sb="3" eb="8">
      <t>ダ</t>
    </rPh>
    <phoneticPr fontId="22"/>
  </si>
  <si>
    <t>単体に2回中ダメージ</t>
    <rPh sb="0" eb="3">
      <t>タンタ</t>
    </rPh>
    <rPh sb="4" eb="6">
      <t>カ</t>
    </rPh>
    <phoneticPr fontId="22"/>
  </si>
  <si>
    <t>全体に大ダメージ</t>
    <rPh sb="0" eb="3">
      <t>ゼン</t>
    </rPh>
    <rPh sb="3" eb="8">
      <t>ダ</t>
    </rPh>
    <phoneticPr fontId="22"/>
  </si>
  <si>
    <t>全体に特大ダメージ</t>
    <rPh sb="0" eb="3">
      <t>ゼン</t>
    </rPh>
    <rPh sb="3" eb="9">
      <t>トk</t>
    </rPh>
    <phoneticPr fontId="22"/>
  </si>
  <si>
    <t>[effect:heal_ratio, val:0.3, animation:heal_unit, animation:heal02_unit01]</t>
    <phoneticPr fontId="22"/>
  </si>
  <si>
    <t>[effect:heal_ratio, val:0.45, animation:heal_unit, animation:heal03_unit01]</t>
    <phoneticPr fontId="22"/>
  </si>
  <si>
    <t>HPを中回復</t>
    <rPh sb="3" eb="4">
      <t>チュウ</t>
    </rPh>
    <phoneticPr fontId="22"/>
  </si>
  <si>
    <t>HPを大回復</t>
    <rPh sb="3" eb="4">
      <t>ダイ</t>
    </rPh>
    <phoneticPr fontId="22"/>
  </si>
  <si>
    <t>[effect:enhance_unit, target:unit_all, turn:3, status:heal, val:0.45, calc:mul, animation:enhance_unit_all_heal02_unit01],[effect:regenerate, turn:3, val:0.405, animation:heal_unit],[effect:change_block, new_block:block_heart, target:block_yellow, count:0, val:0, animation:change_block]</t>
    <phoneticPr fontId="22"/>
  </si>
  <si>
    <t>単体に赤属性の大ダメージ</t>
    <rPh sb="7" eb="8">
      <t>トクダイ</t>
    </rPh>
    <phoneticPr fontId="22"/>
  </si>
  <si>
    <t>[effect:damage, target:enemy_one, color:red, val:5.95, animation:damage_one_red04]</t>
    <phoneticPr fontId="22"/>
  </si>
  <si>
    <t>単体に黄属性の特大ダメージ</t>
    <rPh sb="0" eb="3">
      <t>タンタ</t>
    </rPh>
    <rPh sb="3" eb="4">
      <t>キ</t>
    </rPh>
    <rPh sb="4" eb="6">
      <t>ゾクセ</t>
    </rPh>
    <rPh sb="7" eb="9">
      <t>トクダ</t>
    </rPh>
    <rPh sb="9" eb="13">
      <t>チョ</t>
    </rPh>
    <phoneticPr fontId="22"/>
  </si>
  <si>
    <t>単体に黄属性の激烈ダメージ+4ターン全ユニットのCパネル生成を3延長する</t>
    <rPh sb="0" eb="3">
      <t>タンタ</t>
    </rPh>
    <rPh sb="3" eb="4">
      <t>キ</t>
    </rPh>
    <rPh sb="4" eb="6">
      <t>ゾクセ</t>
    </rPh>
    <rPh sb="7" eb="9">
      <t>ゲk</t>
    </rPh>
    <rPh sb="9" eb="13">
      <t>チョ</t>
    </rPh>
    <rPh sb="18" eb="24">
      <t>ゼン</t>
    </rPh>
    <rPh sb="28" eb="31">
      <t>セ</t>
    </rPh>
    <rPh sb="32" eb="34">
      <t>エン</t>
    </rPh>
    <phoneticPr fontId="22"/>
  </si>
  <si>
    <t>[effect:damage, target:enemy_one, color:red, val:2.0, animation:damage_one_red04]</t>
    <phoneticPr fontId="22"/>
  </si>
  <si>
    <t>[effect:damage, target:enemy_one, color:green, val:1.2, animation:damage_one_green04],[effect:damage, target:enemy_one, color:green, val:1.2, animation:damage_one_green04]</t>
    <phoneticPr fontId="22"/>
  </si>
  <si>
    <t>プレゼントボックス</t>
    <phoneticPr fontId="28"/>
  </si>
  <si>
    <t>プレゼントボックス</t>
    <phoneticPr fontId="28"/>
  </si>
  <si>
    <t>ジングルベル・ダブル</t>
    <phoneticPr fontId="28"/>
  </si>
  <si>
    <t>ジングルべル・ダブル</t>
    <phoneticPr fontId="28"/>
  </si>
  <si>
    <t>クリスマスソング</t>
    <phoneticPr fontId="28"/>
  </si>
  <si>
    <t>クリスマスキャロル</t>
    <phoneticPr fontId="28"/>
  </si>
  <si>
    <t>夜天の福音</t>
    <rPh sb="0" eb="1">
      <t>ヨr</t>
    </rPh>
    <rPh sb="1" eb="2">
      <t>10</t>
    </rPh>
    <rPh sb="3" eb="5">
      <t>フk</t>
    </rPh>
    <phoneticPr fontId="28"/>
  </si>
  <si>
    <t>夜天の幸福音</t>
    <rPh sb="0" eb="1">
      <t>セ</t>
    </rPh>
    <rPh sb="1" eb="2">
      <t>テン</t>
    </rPh>
    <rPh sb="3" eb="4">
      <t>シアw</t>
    </rPh>
    <rPh sb="4" eb="6">
      <t>フk</t>
    </rPh>
    <phoneticPr fontId="28"/>
  </si>
  <si>
    <t>聖炎祝夜・疾走</t>
    <rPh sb="0" eb="2">
      <t>セ</t>
    </rPh>
    <rPh sb="2" eb="3">
      <t>sy</t>
    </rPh>
    <rPh sb="3" eb="4">
      <t>ヨル</t>
    </rPh>
    <rPh sb="5" eb="6">
      <t>シッソ</t>
    </rPh>
    <rPh sb="6" eb="7">
      <t>バクソ</t>
    </rPh>
    <phoneticPr fontId="28"/>
  </si>
  <si>
    <t>聖炎祝夜・爆走</t>
    <rPh sb="0" eb="2">
      <t>セ</t>
    </rPh>
    <rPh sb="2" eb="3">
      <t>sy</t>
    </rPh>
    <rPh sb="3" eb="5">
      <t>ヨル</t>
    </rPh>
    <rPh sb="5" eb="7">
      <t>バクソ</t>
    </rPh>
    <phoneticPr fontId="28"/>
  </si>
  <si>
    <t>聖夜のクリスマスギフト</t>
    <rPh sb="0" eb="3">
      <t>セ</t>
    </rPh>
    <phoneticPr fontId="28"/>
  </si>
  <si>
    <t>聖夜のクリスマスギフト</t>
    <rPh sb="0" eb="2">
      <t>セ</t>
    </rPh>
    <phoneticPr fontId="28"/>
  </si>
  <si>
    <t>聖歌独唱・ホーリーナイト</t>
    <rPh sb="0" eb="1">
      <t>セ</t>
    </rPh>
    <rPh sb="1" eb="2">
      <t>ウt</t>
    </rPh>
    <rPh sb="2" eb="4">
      <t>ドクショ</t>
    </rPh>
    <phoneticPr fontId="28"/>
  </si>
  <si>
    <t>聖天使の贈り物</t>
    <rPh sb="0" eb="3">
      <t>セ</t>
    </rPh>
    <rPh sb="4" eb="5">
      <t>オク</t>
    </rPh>
    <rPh sb="6" eb="7">
      <t>モン</t>
    </rPh>
    <phoneticPr fontId="28"/>
  </si>
  <si>
    <t>聖天使の贈り物・大盤振舞</t>
    <rPh sb="0" eb="3">
      <t>セ</t>
    </rPh>
    <rPh sb="4" eb="5">
      <t>オク</t>
    </rPh>
    <rPh sb="6" eb="7">
      <t>モン</t>
    </rPh>
    <rPh sb="8" eb="12">
      <t>オオb</t>
    </rPh>
    <phoneticPr fontId="28"/>
  </si>
  <si>
    <t>[effect:damage, target:enemy_one, color:yellow, val:8.16, animation:damage_one_yellow04]</t>
    <phoneticPr fontId="22"/>
  </si>
  <si>
    <t>[effect:damage, target:enemy_one, color:red, val:8.16, animation:damage_one_red04]</t>
    <phoneticPr fontId="22"/>
  </si>
  <si>
    <t>[effect:damage,target:enemy_all,color:yellow,val:1.125,animation:damage_all_yellow05]</t>
    <phoneticPr fontId="22"/>
  </si>
  <si>
    <t>[effect:damage, target:enemy_all, color:yellow, val:1.0, animation:damage_all_yellow04]</t>
    <phoneticPr fontId="22"/>
  </si>
  <si>
    <t>効果はないが
メリークリスマス クヮ！</t>
    <rPh sb="0" eb="2">
      <t>コウカ</t>
    </rPh>
    <phoneticPr fontId="22"/>
  </si>
  <si>
    <t>メリークリスマス！</t>
    <phoneticPr fontId="22"/>
  </si>
  <si>
    <t>3ターンの間HPを小回復し、回復力を特大UPする+黄パネルをハートパネルに変換</t>
    <phoneticPr fontId="22"/>
  </si>
  <si>
    <t>3ターンの間HPを小回復し、回復力を特大UPする+黄パネルをハートパネルに変換</t>
    <rPh sb="5" eb="6">
      <t>アイd</t>
    </rPh>
    <rPh sb="14" eb="17">
      <t>カイフk</t>
    </rPh>
    <rPh sb="18" eb="20">
      <t>トk</t>
    </rPh>
    <rPh sb="25" eb="30">
      <t>キ</t>
    </rPh>
    <rPh sb="37" eb="39">
      <t>ヘン</t>
    </rPh>
    <phoneticPr fontId="22"/>
  </si>
  <si>
    <t>ユニット強化の素材にして超大量の経験値をGET！</t>
    <phoneticPr fontId="22"/>
  </si>
  <si>
    <t>サンタダックの贈り物</t>
    <rPh sb="7" eb="8">
      <t>オク</t>
    </rPh>
    <rPh sb="9" eb="10">
      <t>モノ</t>
    </rPh>
    <phoneticPr fontId="22"/>
  </si>
  <si>
    <t>[effect:damage, target:enemy_one, color:yellow, val:19.1, animation:damage_one_yellow05],[effect:crash_condition, target:unit_all, val:3, turn:4, animation:enemy_crash_extend]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</si>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</sst>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6"/>
      <name val="メイリオ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31"/>
      </patternFill>
    </fill>
  </fills>
  <borders count="23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60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6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4" borderId="1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 wrapText="1"/>
    </xf>
    <xf numFmtId="0" fontId="13" fillId="7" borderId="7" xfId="0" applyFont="1" applyFill="1" applyBorder="1" applyAlignment="1">
      <alignment horizontal="right" vertical="center" wrapText="1"/>
    </xf>
    <xf numFmtId="0" fontId="13" fillId="20" borderId="4" xfId="0" applyFont="1" applyFill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6" xfId="0" applyBorder="1"/>
    <xf numFmtId="0" fontId="14" fillId="15" borderId="4" xfId="0" applyFont="1" applyFill="1" applyBorder="1" applyAlignment="1">
      <alignment horizontal="right" vertical="center" wrapText="1"/>
    </xf>
    <xf numFmtId="0" fontId="16" fillId="15" borderId="8" xfId="0" applyFont="1" applyFill="1" applyBorder="1" applyAlignment="1">
      <alignment horizontal="right" vertical="center"/>
    </xf>
    <xf numFmtId="0" fontId="16" fillId="24" borderId="1" xfId="0" applyFont="1" applyFill="1" applyBorder="1" applyAlignment="1">
      <alignment vertical="center"/>
    </xf>
    <xf numFmtId="0" fontId="16" fillId="15" borderId="4" xfId="0" applyFont="1" applyFill="1" applyBorder="1" applyAlignment="1">
      <alignment horizontal="left" vertical="center"/>
    </xf>
  </cellXfs>
  <cellStyles count="460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赤字強調" xfId="4"/>
    <cellStyle name="青字強調" xfId="3"/>
  </cellStyles>
  <dxfs count="24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externalLink" Target="externalLinks/externalLink2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workbookViewId="0">
      <selection activeCell="S43" sqref="O42:S43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3" t="s">
        <v>158</v>
      </c>
      <c r="B1" s="113" t="s">
        <v>149</v>
      </c>
      <c r="C1" s="113" t="s">
        <v>150</v>
      </c>
      <c r="D1" s="113" t="s">
        <v>151</v>
      </c>
      <c r="E1" s="113" t="s">
        <v>152</v>
      </c>
      <c r="F1" s="113" t="s">
        <v>153</v>
      </c>
      <c r="G1" s="113" t="s">
        <v>154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 x14ac:dyDescent="0.15">
      <c r="A2" s="115" t="s">
        <v>227</v>
      </c>
      <c r="B2" s="115" t="s">
        <v>162</v>
      </c>
      <c r="C2" s="115" t="s">
        <v>226</v>
      </c>
      <c r="D2" s="115" t="s">
        <v>161</v>
      </c>
      <c r="E2" s="114" t="str">
        <f>B2&amp;C2&amp;D2</f>
        <v>units_x2015.tmp</v>
      </c>
      <c r="F2" s="115" t="s">
        <v>157</v>
      </c>
      <c r="G2" s="65" t="s">
        <v>18</v>
      </c>
      <c r="H2" s="66" t="s">
        <v>122</v>
      </c>
      <c r="I2" s="66" t="s">
        <v>1</v>
      </c>
      <c r="J2" s="66" t="s">
        <v>3</v>
      </c>
      <c r="K2" s="66" t="s">
        <v>2</v>
      </c>
      <c r="L2" s="66" t="s">
        <v>124</v>
      </c>
      <c r="M2" s="66" t="s">
        <v>21</v>
      </c>
      <c r="N2" s="66" t="s">
        <v>129</v>
      </c>
      <c r="O2" s="66" t="s">
        <v>127</v>
      </c>
      <c r="P2" s="66" t="s">
        <v>61</v>
      </c>
      <c r="Q2" s="66" t="s">
        <v>83</v>
      </c>
      <c r="R2" s="115" t="s">
        <v>272</v>
      </c>
      <c r="S2" s="115"/>
      <c r="T2" s="115"/>
      <c r="U2" s="115"/>
      <c r="V2" s="115"/>
      <c r="W2" s="115"/>
    </row>
    <row r="3" spans="1:23" x14ac:dyDescent="0.15">
      <c r="A3" s="115" t="s">
        <v>227</v>
      </c>
      <c r="B3" s="115" t="s">
        <v>163</v>
      </c>
      <c r="C3" s="115" t="str">
        <f>C$2</f>
        <v>x2015</v>
      </c>
      <c r="D3" s="115" t="s">
        <v>161</v>
      </c>
      <c r="E3" s="114" t="str">
        <f>B3&amp;C3&amp;D3</f>
        <v>awake_materials_x2015.tmp</v>
      </c>
      <c r="F3" s="115" t="s">
        <v>156</v>
      </c>
      <c r="G3" s="116" t="s">
        <v>60</v>
      </c>
      <c r="H3" s="117" t="s">
        <v>58</v>
      </c>
      <c r="I3" s="117" t="s">
        <v>59</v>
      </c>
      <c r="J3" s="119" t="s">
        <v>159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 x14ac:dyDescent="0.15">
      <c r="A4" s="115" t="s">
        <v>227</v>
      </c>
      <c r="B4" s="115" t="s">
        <v>164</v>
      </c>
      <c r="C4" s="115" t="str">
        <f t="shared" ref="C4:C10" si="0">C$2</f>
        <v>x2015</v>
      </c>
      <c r="D4" s="115" t="s">
        <v>165</v>
      </c>
      <c r="E4" s="114" t="str">
        <f t="shared" ref="E4" si="1">B4&amp;C4&amp;D4</f>
        <v>unit_levels_calc_x2015.tmp</v>
      </c>
      <c r="F4" s="115" t="s">
        <v>155</v>
      </c>
      <c r="G4" s="61" t="s">
        <v>18</v>
      </c>
      <c r="H4" s="62" t="s">
        <v>2</v>
      </c>
      <c r="I4" s="63" t="s">
        <v>105</v>
      </c>
      <c r="J4" s="63" t="s">
        <v>106</v>
      </c>
      <c r="K4" s="63" t="s">
        <v>107</v>
      </c>
      <c r="L4" s="63" t="s">
        <v>108</v>
      </c>
      <c r="M4" s="63" t="s">
        <v>113</v>
      </c>
      <c r="N4" s="63" t="s">
        <v>114</v>
      </c>
      <c r="O4" s="63" t="s">
        <v>115</v>
      </c>
      <c r="P4" s="63" t="s">
        <v>116</v>
      </c>
      <c r="Q4" s="63" t="s">
        <v>117</v>
      </c>
      <c r="R4" s="63" t="s">
        <v>120</v>
      </c>
      <c r="S4" s="63" t="s">
        <v>118</v>
      </c>
      <c r="T4" s="63" t="s">
        <v>119</v>
      </c>
      <c r="U4" s="63" t="s">
        <v>109</v>
      </c>
      <c r="V4" s="63" t="s">
        <v>110</v>
      </c>
      <c r="W4" s="63" t="s">
        <v>111</v>
      </c>
    </row>
    <row r="5" spans="1:23" x14ac:dyDescent="0.15">
      <c r="A5" s="115" t="s">
        <v>227</v>
      </c>
      <c r="B5" s="115" t="s">
        <v>180</v>
      </c>
      <c r="C5" s="115" t="str">
        <f t="shared" si="0"/>
        <v>x2015</v>
      </c>
      <c r="D5" s="115" t="s">
        <v>181</v>
      </c>
      <c r="E5" s="114" t="str">
        <f>B5&amp;C5&amp;D5</f>
        <v>unit_skills_data_x2015.tmp</v>
      </c>
      <c r="F5" s="115" t="s">
        <v>182</v>
      </c>
      <c r="G5" s="124" t="s">
        <v>21</v>
      </c>
      <c r="H5" s="124" t="s">
        <v>183</v>
      </c>
      <c r="I5" s="124" t="s">
        <v>2</v>
      </c>
      <c r="J5" s="124" t="s">
        <v>184</v>
      </c>
      <c r="K5" s="124" t="s">
        <v>185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5" t="s">
        <v>227</v>
      </c>
      <c r="B6" s="115" t="s">
        <v>186</v>
      </c>
      <c r="C6" s="115" t="str">
        <f t="shared" si="0"/>
        <v>x2015</v>
      </c>
      <c r="D6" s="115" t="s">
        <v>161</v>
      </c>
      <c r="E6" s="114" t="str">
        <f>B6&amp;C6&amp;D6</f>
        <v>unit_skills_i18n_x2015.tmp</v>
      </c>
      <c r="F6" s="115" t="s">
        <v>182</v>
      </c>
      <c r="G6" s="124" t="s">
        <v>187</v>
      </c>
      <c r="H6" s="124" t="s">
        <v>171</v>
      </c>
      <c r="I6" s="124" t="s">
        <v>188</v>
      </c>
      <c r="J6" s="124" t="s">
        <v>189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5" t="s">
        <v>227</v>
      </c>
      <c r="B7" s="115" t="s">
        <v>190</v>
      </c>
      <c r="C7" s="115" t="str">
        <f t="shared" si="0"/>
        <v>x2015</v>
      </c>
      <c r="D7" s="115" t="s">
        <v>191</v>
      </c>
      <c r="E7" s="114" t="str">
        <f>B7&amp;C7&amp;D7</f>
        <v>crash_skills_data_x2015.tmp</v>
      </c>
      <c r="F7" s="115" t="s">
        <v>192</v>
      </c>
      <c r="G7" s="124" t="s">
        <v>193</v>
      </c>
      <c r="H7" s="124" t="s">
        <v>185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5" t="s">
        <v>227</v>
      </c>
      <c r="B8" s="115" t="s">
        <v>194</v>
      </c>
      <c r="C8" s="115" t="str">
        <f t="shared" si="0"/>
        <v>x2015</v>
      </c>
      <c r="D8" s="115" t="s">
        <v>195</v>
      </c>
      <c r="E8" s="114" t="str">
        <f t="shared" ref="E8" si="2">B8&amp;C8&amp;D8</f>
        <v>crash_skills_i18n_x2015.tmp</v>
      </c>
      <c r="F8" s="115" t="s">
        <v>192</v>
      </c>
      <c r="G8" s="124" t="s">
        <v>196</v>
      </c>
      <c r="H8" s="124" t="s">
        <v>197</v>
      </c>
      <c r="I8" s="124" t="s">
        <v>198</v>
      </c>
      <c r="J8" s="124" t="s">
        <v>199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5" t="s">
        <v>227</v>
      </c>
      <c r="B9" s="118" t="s">
        <v>172</v>
      </c>
      <c r="C9" s="115" t="str">
        <f t="shared" si="0"/>
        <v>x2015</v>
      </c>
      <c r="D9" s="115" t="s">
        <v>195</v>
      </c>
      <c r="E9" s="114" t="str">
        <f t="shared" ref="E9:E10" si="3">B9&amp;C9&amp;D9</f>
        <v>unit_serifs_data_x2015.tmp</v>
      </c>
      <c r="F9" s="118" t="s">
        <v>174</v>
      </c>
      <c r="G9" s="123" t="s">
        <v>175</v>
      </c>
      <c r="H9" s="124" t="s">
        <v>176</v>
      </c>
      <c r="I9" s="124" t="s">
        <v>168</v>
      </c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x14ac:dyDescent="0.15">
      <c r="A10" s="115" t="s">
        <v>227</v>
      </c>
      <c r="B10" s="118" t="s">
        <v>173</v>
      </c>
      <c r="C10" s="115" t="str">
        <f t="shared" si="0"/>
        <v>x2015</v>
      </c>
      <c r="D10" s="115" t="s">
        <v>195</v>
      </c>
      <c r="E10" s="114" t="str">
        <f t="shared" si="3"/>
        <v>unit_serifs_i18n_x2015.tmp</v>
      </c>
      <c r="F10" s="118" t="s">
        <v>174</v>
      </c>
      <c r="G10" s="123" t="s">
        <v>177</v>
      </c>
      <c r="H10" s="124" t="s">
        <v>178</v>
      </c>
      <c r="I10" s="124" t="s">
        <v>179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3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T12" sqref="T12"/>
    </sheetView>
  </sheetViews>
  <sheetFormatPr baseColWidth="12" defaultColWidth="8.83203125" defaultRowHeight="21" customHeight="1" outlineLevelCol="2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 collapsed="1"/>
    <col min="44" max="44" width="80.6640625" style="13" hidden="1" customWidth="1" outlineLevel="1"/>
    <col min="45" max="45" width="6.83203125" style="13" customWidth="1"/>
    <col min="46" max="46" width="15.6640625" style="12" bestFit="1" customWidth="1"/>
    <col min="47" max="47" width="43.6640625" style="13" customWidth="1" collapsed="1"/>
    <col min="48" max="48" width="43.6640625" style="13" hidden="1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 collapsed="1"/>
    <col min="59" max="62" width="11.83203125" style="13" hidden="1" customWidth="1" outlineLevel="2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7" t="s">
        <v>135</v>
      </c>
      <c r="B1" s="89" t="s">
        <v>70</v>
      </c>
      <c r="C1" s="92" t="s">
        <v>35</v>
      </c>
      <c r="D1" s="92" t="s">
        <v>38</v>
      </c>
      <c r="E1" s="92" t="s">
        <v>36</v>
      </c>
      <c r="F1" s="92" t="s">
        <v>37</v>
      </c>
      <c r="G1" s="87" t="s">
        <v>1</v>
      </c>
      <c r="H1" s="90" t="s">
        <v>20</v>
      </c>
      <c r="I1" s="91" t="s">
        <v>0</v>
      </c>
      <c r="J1" s="93" t="s">
        <v>75</v>
      </c>
      <c r="K1" s="93" t="s">
        <v>74</v>
      </c>
      <c r="L1" s="93" t="s">
        <v>76</v>
      </c>
      <c r="M1" s="93" t="s">
        <v>77</v>
      </c>
      <c r="N1" s="87" t="s">
        <v>3</v>
      </c>
      <c r="O1" s="94" t="s">
        <v>2</v>
      </c>
      <c r="P1" s="87" t="s">
        <v>123</v>
      </c>
      <c r="Q1" s="95" t="s">
        <v>19</v>
      </c>
      <c r="R1" s="86" t="s">
        <v>78</v>
      </c>
      <c r="S1" s="96" t="s">
        <v>24</v>
      </c>
      <c r="T1" s="96" t="s">
        <v>25</v>
      </c>
      <c r="U1" s="96" t="s">
        <v>27</v>
      </c>
      <c r="V1" s="96" t="s">
        <v>26</v>
      </c>
      <c r="W1" s="91" t="s">
        <v>40</v>
      </c>
      <c r="X1" s="92" t="s">
        <v>79</v>
      </c>
      <c r="Y1" s="91" t="s">
        <v>41</v>
      </c>
      <c r="Z1" s="92" t="s">
        <v>79</v>
      </c>
      <c r="AA1" s="93" t="s">
        <v>24</v>
      </c>
      <c r="AB1" s="93" t="s">
        <v>25</v>
      </c>
      <c r="AC1" s="93" t="s">
        <v>27</v>
      </c>
      <c r="AD1" s="93" t="s">
        <v>26</v>
      </c>
      <c r="AE1" s="97" t="s">
        <v>126</v>
      </c>
      <c r="AF1" s="86" t="s">
        <v>71</v>
      </c>
      <c r="AG1" s="98" t="s">
        <v>84</v>
      </c>
      <c r="AH1" s="86" t="s">
        <v>71</v>
      </c>
      <c r="AI1" s="98" t="s">
        <v>72</v>
      </c>
      <c r="AJ1" s="88" t="s">
        <v>93</v>
      </c>
      <c r="AK1" s="86" t="s">
        <v>22</v>
      </c>
      <c r="AL1" s="99" t="s">
        <v>94</v>
      </c>
      <c r="AM1" s="100" t="s">
        <v>92</v>
      </c>
      <c r="AN1" s="100" t="s">
        <v>95</v>
      </c>
      <c r="AO1" s="101" t="s">
        <v>39</v>
      </c>
      <c r="AP1" s="97" t="s">
        <v>21</v>
      </c>
      <c r="AQ1" s="102" t="s">
        <v>143</v>
      </c>
      <c r="AR1" s="102" t="s">
        <v>134</v>
      </c>
      <c r="AS1" s="86" t="s">
        <v>130</v>
      </c>
      <c r="AT1" s="97" t="s">
        <v>128</v>
      </c>
      <c r="AU1" s="86" t="s">
        <v>140</v>
      </c>
      <c r="AV1" s="102" t="s">
        <v>134</v>
      </c>
      <c r="AW1" s="86" t="s">
        <v>130</v>
      </c>
      <c r="AX1" s="92" t="s">
        <v>4</v>
      </c>
      <c r="AY1" s="103" t="s">
        <v>80</v>
      </c>
      <c r="AZ1" s="103" t="s">
        <v>81</v>
      </c>
      <c r="BA1" s="103" t="s">
        <v>144</v>
      </c>
      <c r="BB1" s="103" t="s">
        <v>82</v>
      </c>
      <c r="BC1" s="5" t="s">
        <v>23</v>
      </c>
      <c r="BD1" s="106" t="s">
        <v>46</v>
      </c>
      <c r="BE1" s="104" t="s">
        <v>5</v>
      </c>
      <c r="BF1" s="105" t="s">
        <v>6</v>
      </c>
      <c r="BG1" s="107" t="s">
        <v>96</v>
      </c>
      <c r="BH1" s="107" t="s">
        <v>97</v>
      </c>
      <c r="BI1" s="107" t="s">
        <v>98</v>
      </c>
      <c r="BJ1" s="107" t="s">
        <v>99</v>
      </c>
      <c r="BK1" s="108" t="s">
        <v>100</v>
      </c>
      <c r="BL1" s="108" t="s">
        <v>121</v>
      </c>
      <c r="BM1" s="108" t="s">
        <v>101</v>
      </c>
      <c r="BN1" s="108" t="s">
        <v>102</v>
      </c>
      <c r="BO1" s="109" t="s">
        <v>103</v>
      </c>
      <c r="BP1" s="110" t="s">
        <v>104</v>
      </c>
      <c r="BQ1" s="110" t="s">
        <v>112</v>
      </c>
      <c r="BR1" s="10" t="s">
        <v>273</v>
      </c>
    </row>
    <row r="2" spans="1:70" ht="21" customHeight="1" x14ac:dyDescent="0.15">
      <c r="A2" s="140">
        <v>512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聖火の逆徒 クリスマス・ベリアル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ガチャ:クリスマス2015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1">
        <f ca="1">VLOOKUP(I2,[1]属性!$A:$E,2,FALSE)</f>
        <v>1</v>
      </c>
      <c r="K2" s="11">
        <f ca="1">VLOOKUP(I2,[1]属性!$A:$E,3,FALSE)</f>
        <v>1.02</v>
      </c>
      <c r="L2" s="11">
        <f ca="1">VLOOKUP(I2,[1]属性!$A:$E,4,FALSE)</f>
        <v>1</v>
      </c>
      <c r="M2" s="11">
        <f ca="1">VLOOKUP(I2,[1]属性!$A:$E,5,FALSE)</f>
        <v>0.98</v>
      </c>
      <c r="N2" s="11">
        <f ca="1">INDEX(コスト!$A$1:$I$15,MATCH(H2,コスト!$A$1:$A$15,FALSE),MATCH(G2,コスト!$A$1:$I$1,FALSE))</f>
        <v>20</v>
      </c>
      <c r="O2" s="11">
        <f ca="1">INDEX(レベル!$A$1:$I$16,MATCH(H2,レベル!$A$1:$A$16,FALSE),MATCH(G2,レベル!$A$1:$I$1,FALSE))</f>
        <v>60</v>
      </c>
      <c r="P2" s="49">
        <f t="shared" ref="P2:P9" ca="1" si="0">G2*15</f>
        <v>60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1">
        <f ca="1">VLOOKUP(Q2,[1]character_type_i18n!$A:$H,4,FALSE)</f>
        <v>1</v>
      </c>
      <c r="T2" s="11">
        <f ca="1">VLOOKUP(Q2,[1]character_type_i18n!$A:$H,5,FALSE)</f>
        <v>1.33</v>
      </c>
      <c r="U2" s="11">
        <f ca="1">VLOOKUP(Q2,[1]character_type_i18n!$A:$H,6,FALSE)</f>
        <v>1</v>
      </c>
      <c r="V2" s="11">
        <f ca="1">VLOOKUP(Q2,[1]character_type_i18n!$A:$H,7,FALSE)</f>
        <v>0.67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god</v>
      </c>
      <c r="X2" s="5" t="str">
        <f ca="1">VLOOKUP(W2,[1]character_tribe_i18n!$A:$H,3,FALSE)</f>
        <v>ゴッド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0.96</v>
      </c>
      <c r="AB2" s="11">
        <f ca="1">VLOOKUP(W2,[1]character_tribe_i18n!$A:$H,5,FALSE)</f>
        <v>1.02</v>
      </c>
      <c r="AC2" s="11">
        <f ca="1">VLOOKUP(W2,[1]character_tribe_i18n!$A:$H,6,FALSE)</f>
        <v>1</v>
      </c>
      <c r="AD2" s="11">
        <f ca="1">VLOOKUP(W2,[1]character_tribe_i18n!$A:$H,7,FALSE)</f>
        <v>1.02</v>
      </c>
      <c r="AE2" s="9">
        <v>513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爆進の荷炎 クリスマス・ベリアル</v>
      </c>
      <c r="AG2" s="149">
        <v>166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ベリアル</v>
      </c>
      <c r="AI2" s="11">
        <f ca="1">IF(AE2="NULL","NULL",VLOOKUP(G2,ビット!$A$2:$B$7,2))</f>
        <v>50000</v>
      </c>
      <c r="AJ2" s="6">
        <v>2</v>
      </c>
      <c r="AK2" s="7" t="str">
        <f t="shared" ref="AK2:AK9" si="1">IF(AJ2=1,"早熟",IF(AJ2=2,"普通",IF(AJ2=3,"晩成","")))</f>
        <v>普通</v>
      </c>
      <c r="AL2" s="11" t="str">
        <f ca="1">INDEX(経験値!$A$1:$I$15,MATCH(H2,経験値!$A$1:$A$15,FALSE),MATCH(G2,経験値!$A$1:$I$1,FALSE))</f>
        <v>required_exp_200</v>
      </c>
      <c r="AM2" s="8">
        <f ca="1">VLOOKUP(G2,経験値!$A$22:$B$26,2)</f>
        <v>3400</v>
      </c>
      <c r="AN2" s="17">
        <f ca="1">VLOOKUP(G2,ビット!$G$2:$H$7,2)</f>
        <v>600</v>
      </c>
      <c r="AO2" s="46"/>
      <c r="AP2" s="69">
        <f>A2</f>
        <v>512</v>
      </c>
      <c r="AQ2" s="59" t="str">
        <f ca="1">VLOOKUP($AP2,OFFSET(unit_skills!$A$1,0,0,COUNTA(unit_skills!$A:$A),MATCH(AQ$1,unit_skills!$1:$1,0)-MATCH($AP$1,unit_skills!$1:$1,0)+1),MATCH(AQ$1,unit_skills!$1:$1,0)-MATCH($AP$1,unit_skills!$1:$1,0)+1,FALSE)</f>
        <v>聖炎祝夜・疾走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単体に赤属性の大ダメージ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9">
        <f>A2</f>
        <v>512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プレゼントボックス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単体に大ダメージ</v>
      </c>
      <c r="AW2" s="59" t="e">
        <f ca="1">VLOOKUP($AT2,OFFSET(crash_skills!$A$1,0,0,COUNTA(crash_skills!$A:$A),MATCH(AW$1,crash_skills!$1:$1,0)-MATCH($AT$1,crash_skills!$1:$1,0)+1),MATCH(AW$1,crash_skills!$1:$1,0)-MATCH($AT$1,crash_skills!$1:$1,0)+1,FALSE)</f>
        <v>#N/A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</v>
      </c>
      <c r="AZ2" s="70">
        <v>1</v>
      </c>
      <c r="BA2" s="70">
        <v>0</v>
      </c>
      <c r="BB2" s="70">
        <v>1</v>
      </c>
      <c r="BC2" s="11">
        <f ca="1">INDEX('RC6SV'!$A$1:$G$15,MATCH(H2,'RC6SV'!$A$1:$A$15,FALSE),MATCH(G2,'RC6SV'!$A$1:$G$1,FALSE))</f>
        <v>7000</v>
      </c>
      <c r="BD2" s="49">
        <f t="shared" ref="BD2:BD9" ca="1" si="2">ROUND(BC2*IF(AJ2=1,0.95,IF(AJ2=2,1,IF(AJ2,1.05,0))),0)</f>
        <v>7000</v>
      </c>
      <c r="BE2" s="11">
        <f t="shared" ref="BE2:BE13" ca="1" si="3">ROUND(IFERROR(INDIRECT(ADDRESS(MATCH($A2,$AE:$AE,0),MATCH($BC$1,$1:$1,0))),0),0)</f>
        <v>0</v>
      </c>
      <c r="BF2" s="11">
        <f t="shared" ref="BF2:BF13" ca="1" si="4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1680</v>
      </c>
      <c r="BH2" s="16">
        <f ca="1">IF($BE2&lt;=0,ROUND(BL2*0.5,0), ROUND($BE2*T2*AB2*K2*AZ2*0.8*[1]ステータス!$C$2,0))</f>
        <v>1453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586</v>
      </c>
      <c r="BK2" s="11">
        <f ca="1">ROUND(BD2*S2*AA2*J2*AY2*[1]ステータス!$B$2,0)</f>
        <v>3360</v>
      </c>
      <c r="BL2" s="11">
        <f ca="1">ROUND(BD2*T2*AB2*K2*AZ2*[1]ステータス!$C$2,0)</f>
        <v>2906</v>
      </c>
      <c r="BM2" s="11">
        <f ca="1">ROUND(BD2*U2*AC2*L2*BA2*[1]ステータス!$D$2,0)</f>
        <v>0</v>
      </c>
      <c r="BN2" s="11">
        <f ca="1">ROUND(BD2*V2*AD2*M2*BB2*[1]ステータス!$E$2,0)</f>
        <v>1172</v>
      </c>
      <c r="BO2" s="10">
        <v>0</v>
      </c>
      <c r="BP2" s="10">
        <v>1</v>
      </c>
      <c r="BQ2" s="39" t="s">
        <v>73</v>
      </c>
      <c r="BR2" s="10">
        <f ca="1">VLOOKUP(H2,ghosts_label!$A$2:$B$19,2,FALSE)</f>
        <v>700</v>
      </c>
    </row>
    <row r="3" spans="1:70" ht="21" customHeight="1" x14ac:dyDescent="0.15">
      <c r="A3" s="140">
        <v>513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爆進の荷炎 クリスマス・ベリアル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ガチャ:クリスマス2015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1">
        <f ca="1">VLOOKUP(I3,[1]属性!$A:$E,2,FALSE)</f>
        <v>1</v>
      </c>
      <c r="K3" s="11">
        <f ca="1">VLOOKUP(I3,[1]属性!$A:$E,3,FALSE)</f>
        <v>1.02</v>
      </c>
      <c r="L3" s="11">
        <f ca="1">VLOOKUP(I3,[1]属性!$A:$E,4,FALSE)</f>
        <v>1</v>
      </c>
      <c r="M3" s="11">
        <f ca="1">VLOOKUP(I3,[1]属性!$A:$E,5,FALSE)</f>
        <v>0.98</v>
      </c>
      <c r="N3" s="11">
        <f ca="1">INDEX(コスト!$A$1:$I$15,MATCH(H3,コスト!$A$1:$A$15,FALSE),MATCH(G3,コスト!$A$1:$I$1,FALSE))</f>
        <v>30</v>
      </c>
      <c r="O3" s="11">
        <f ca="1">INDEX(レベル!$A$1:$I$16,MATCH(H3,レベル!$A$1:$A$16,FALSE),MATCH(G3,レベル!$A$1:$I$1,FALSE))</f>
        <v>80</v>
      </c>
      <c r="P3" s="49">
        <f t="shared" ca="1" si="0"/>
        <v>75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0.96</v>
      </c>
      <c r="AB3" s="11">
        <f ca="1">VLOOKUP(W3,[1]character_tribe_i18n!$A:$H,5,FALSE)</f>
        <v>1.02</v>
      </c>
      <c r="AC3" s="11">
        <f ca="1">VLOOKUP(W3,[1]character_tribe_i18n!$A:$H,6,FALSE)</f>
        <v>1</v>
      </c>
      <c r="AD3" s="11">
        <f ca="1">VLOOKUP(W3,[1]character_tribe_i18n!$A:$H,7,FALSE)</f>
        <v>1.02</v>
      </c>
      <c r="AE3" s="9" t="s">
        <v>219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49">
        <v>166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ベリアル</v>
      </c>
      <c r="AI3" s="11" t="str">
        <f>IF(AE3="NULL","NULL",VLOOKUP(G3,ビット!$A$2:$B$7,2))</f>
        <v>NULL</v>
      </c>
      <c r="AJ3" s="6">
        <v>2</v>
      </c>
      <c r="AK3" s="7" t="str">
        <f t="shared" si="1"/>
        <v>普通</v>
      </c>
      <c r="AL3" s="11" t="str">
        <f ca="1">INDEX(経験値!$A$1:$I$15,MATCH(H3,経験値!$A$1:$A$15,FALSE),MATCH(G3,経験値!$A$1:$I$1,FALSE))</f>
        <v>required_exp_200</v>
      </c>
      <c r="AM3" s="8">
        <f ca="1">VLOOKUP(G3,経験値!$A$22:$B$26,2)</f>
        <v>6400</v>
      </c>
      <c r="AN3" s="17">
        <f ca="1">VLOOKUP(G3,ビット!$G$2:$H$7,2)</f>
        <v>900</v>
      </c>
      <c r="AO3" s="46"/>
      <c r="AP3" s="69">
        <f t="shared" ref="AP3:AP13" si="5">A3</f>
        <v>513</v>
      </c>
      <c r="AQ3" s="59" t="str">
        <f ca="1">VLOOKUP($AP3,OFFSET(unit_skills!$A$1,0,0,COUNTA(unit_skills!$A:$A),MATCH(AQ$1,unit_skills!$1:$1,0)-MATCH($AP$1,unit_skills!$1:$1,0)+1),MATCH(AQ$1,unit_skills!$1:$1,0)-MATCH($AP$1,unit_skills!$1:$1,0)+1,FALSE)</f>
        <v>聖炎祝夜・爆走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単体に赤属性の特大ダメージ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9">
        <f t="shared" ref="AT3:AT13" si="6">A3</f>
        <v>513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プレゼントボックス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単体に大ダメージ</v>
      </c>
      <c r="AW3" s="59" t="e">
        <f ca="1">VLOOKUP($AT3,OFFSET(crash_skills!$A$1,0,0,COUNTA(crash_skills!$A:$A),MATCH(AW$1,crash_skills!$1:$1,0)-MATCH($AT$1,crash_skills!$1:$1,0)+1),MATCH(AW$1,crash_skills!$1:$1,0)-MATCH($AT$1,crash_skills!$1:$1,0)+1,FALSE)</f>
        <v>#N/A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</v>
      </c>
      <c r="AZ3" s="70">
        <v>1</v>
      </c>
      <c r="BA3" s="70">
        <v>0</v>
      </c>
      <c r="BB3" s="70">
        <v>1</v>
      </c>
      <c r="BC3" s="11">
        <f ca="1">INDEX('RC6SV'!$A$1:$G$15,MATCH(H3,'RC6SV'!$A$1:$A$15,FALSE),MATCH(G3,'RC6SV'!$A$1:$G$1,FALSE))</f>
        <v>9000</v>
      </c>
      <c r="BD3" s="49">
        <f t="shared" ca="1" si="2"/>
        <v>9000</v>
      </c>
      <c r="BE3" s="11">
        <f t="shared" ca="1" si="3"/>
        <v>7000</v>
      </c>
      <c r="BF3" s="11">
        <f t="shared" ca="1" si="4"/>
        <v>1</v>
      </c>
      <c r="BG3" s="16">
        <f ca="1">IF($BE3&lt;=0,ROUND(BK3*0.5,0), ROUND($BE3*S3*AA3*J3*AY3*0.8*[1]ステータス!$B$2,0))</f>
        <v>2688</v>
      </c>
      <c r="BH3" s="16">
        <f ca="1">IF($BE3&lt;=0,ROUND(BL3*0.5,0), ROUND($BE3*T3*AB3*K3*AZ3*0.8*[1]ステータス!$C$2,0))</f>
        <v>2325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938</v>
      </c>
      <c r="BK3" s="11">
        <f ca="1">ROUND(BD3*S3*AA3*J3*AY3*[1]ステータス!$B$2,0)</f>
        <v>4320</v>
      </c>
      <c r="BL3" s="11">
        <f ca="1">ROUND(BD3*T3*AB3*K3*AZ3*[1]ステータス!$C$2,0)</f>
        <v>3736</v>
      </c>
      <c r="BM3" s="11">
        <f ca="1">ROUND(BD3*U3*AC3*L3*BA3*[1]ステータス!$D$2,0)</f>
        <v>0</v>
      </c>
      <c r="BN3" s="11">
        <f ca="1">ROUND(BD3*V3*AD3*M3*BB3*[1]ステータス!$E$2,0)</f>
        <v>1507</v>
      </c>
      <c r="BO3" s="10">
        <v>0</v>
      </c>
      <c r="BP3" s="10">
        <v>1</v>
      </c>
      <c r="BQ3" s="39" t="s">
        <v>73</v>
      </c>
      <c r="BR3" s="10">
        <f ca="1">VLOOKUP(H3,ghosts_label!$A$2:$B$19,2,FALSE)</f>
        <v>700</v>
      </c>
    </row>
    <row r="4" spans="1:70" ht="21" customHeight="1" x14ac:dyDescent="0.15">
      <c r="A4" s="140">
        <v>514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祝宴の識徒 サンタクロース・オセ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ガチャ:クリスマス2015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PremiumS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green</v>
      </c>
      <c r="J4" s="11">
        <f ca="1">VLOOKUP(I4,[1]属性!$A:$E,2,FALSE)</f>
        <v>1.02</v>
      </c>
      <c r="K4" s="11">
        <f ca="1">VLOOKUP(I4,[1]属性!$A:$E,3,FALSE)</f>
        <v>0.98</v>
      </c>
      <c r="L4" s="11">
        <f ca="1">VLOOKUP(I4,[1]属性!$A:$E,4,FALSE)</f>
        <v>1</v>
      </c>
      <c r="M4" s="11">
        <f ca="1">VLOOKUP(I4,[1]属性!$A:$E,5,FALSE)</f>
        <v>1</v>
      </c>
      <c r="N4" s="11">
        <f ca="1">INDEX(コスト!$A$1:$I$15,MATCH(H4,コスト!$A$1:$A$15,FALSE),MATCH(G4,コスト!$A$1:$I$1,FALSE))</f>
        <v>20</v>
      </c>
      <c r="O4" s="11">
        <f ca="1">INDEX(レベル!$A$1:$I$16,MATCH(H4,レベル!$A$1:$A$16,FALSE),MATCH(G4,レベル!$A$1:$I$1,FALSE))</f>
        <v>60</v>
      </c>
      <c r="P4" s="49">
        <f t="shared" ca="1" si="0"/>
        <v>60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1">
        <f ca="1">VLOOKUP(Q4,[1]character_type_i18n!$A:$H,4,FALSE)</f>
        <v>1</v>
      </c>
      <c r="T4" s="11">
        <f ca="1">VLOOKUP(Q4,[1]character_type_i18n!$A:$H,5,FALSE)</f>
        <v>1.33</v>
      </c>
      <c r="U4" s="11">
        <f ca="1">VLOOKUP(Q4,[1]character_type_i18n!$A:$H,6,FALSE)</f>
        <v>1</v>
      </c>
      <c r="V4" s="11">
        <f ca="1">VLOOKUP(Q4,[1]character_type_i18n!$A:$H,7,FALSE)</f>
        <v>0.67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god</v>
      </c>
      <c r="X4" s="5" t="str">
        <f ca="1">VLOOKUP(W4,[1]character_tribe_i18n!$A:$H,3,FALSE)</f>
        <v>ゴッド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0.96</v>
      </c>
      <c r="AB4" s="11">
        <f ca="1">VLOOKUP(W4,[1]character_tribe_i18n!$A:$H,5,FALSE)</f>
        <v>1.02</v>
      </c>
      <c r="AC4" s="11">
        <f ca="1">VLOOKUP(W4,[1]character_tribe_i18n!$A:$H,6,FALSE)</f>
        <v>1</v>
      </c>
      <c r="AD4" s="11">
        <f ca="1">VLOOKUP(W4,[1]character_tribe_i18n!$A:$H,7,FALSE)</f>
        <v>1.02</v>
      </c>
      <c r="AE4" s="9">
        <v>515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聖夜の贈主 サンタクロース・オセ</v>
      </c>
      <c r="AG4" s="149">
        <v>169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オセ</v>
      </c>
      <c r="AI4" s="11">
        <f ca="1">IF(AE4="NULL","NULL",VLOOKUP(G4,ビット!$A$2:$B$7,2))</f>
        <v>50000</v>
      </c>
      <c r="AJ4" s="6">
        <v>2</v>
      </c>
      <c r="AK4" s="7" t="str">
        <f t="shared" si="1"/>
        <v>普通</v>
      </c>
      <c r="AL4" s="11" t="str">
        <f ca="1">INDEX(経験値!$A$1:$I$15,MATCH(H4,経験値!$A$1:$A$15,FALSE),MATCH(G4,経験値!$A$1:$I$1,FALSE))</f>
        <v>required_exp_200</v>
      </c>
      <c r="AM4" s="8">
        <f ca="1">VLOOKUP(G4,経験値!$A$22:$B$26,2)</f>
        <v>3400</v>
      </c>
      <c r="AN4" s="17">
        <f ca="1">VLOOKUP(G4,ビット!$G$2:$H$7,2)</f>
        <v>600</v>
      </c>
      <c r="AO4" s="46"/>
      <c r="AP4" s="69">
        <f t="shared" si="5"/>
        <v>514</v>
      </c>
      <c r="AQ4" s="59" t="str">
        <f ca="1">VLOOKUP($AP4,OFFSET(unit_skills!$A$1,0,0,COUNTA(unit_skills!$A:$A),MATCH(AQ$1,unit_skills!$1:$1,0)-MATCH($AP$1,unit_skills!$1:$1,0)+1),MATCH(AQ$1,unit_skills!$1:$1,0)-MATCH($AP$1,unit_skills!$1:$1,0)+1,FALSE)</f>
        <v>聖夜のクリスマスギフト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パネルを1つランダムでスペシャルクラッシュパネルに変換する(威力大)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9">
        <f t="shared" si="6"/>
        <v>514</v>
      </c>
      <c r="AU4" s="59" t="str">
        <f ca="1">VLOOKUP($AT4,OFFSET(crash_skills!$A$1,0,0,COUNTA(crash_skills!$A:$A),MATCH(AU$1,crash_skills!$1:$1,0)-MATCH($AT$1,crash_skills!$1:$1,0)+1),MATCH(AU$1,crash_skills!$1:$1,0)-MATCH($AT$1,crash_skills!$1:$1,0)+1,FALSE)</f>
        <v>ジングルベル・ダブル</v>
      </c>
      <c r="AV4" s="59" t="str">
        <f ca="1">VLOOKUP($AT4,OFFSET(crash_skills!$A$1,0,0,COUNTA(crash_skills!$A:$A),MATCH(AV$1,crash_skills!$1:$1,0)-MATCH($AT$1,crash_skills!$1:$1,0)+1),MATCH(AV$1,crash_skills!$1:$1,0)-MATCH($AT$1,crash_skills!$1:$1,0)+1,FALSE)</f>
        <v>単体に2回中ダメージ</v>
      </c>
      <c r="AW4" s="59" t="e">
        <f ca="1">VLOOKUP($AT4,OFFSET(crash_skills!$A$1,0,0,COUNTA(crash_skills!$A:$A),MATCH(AW$1,crash_skills!$1:$1,0)-MATCH($AT$1,crash_skills!$1:$1,0)+1),MATCH(AW$1,crash_skills!$1:$1,0)-MATCH($AT$1,crash_skills!$1:$1,0)+1,FALSE)</f>
        <v>#N/A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1</v>
      </c>
      <c r="AZ4" s="70">
        <v>1</v>
      </c>
      <c r="BA4" s="70">
        <v>0</v>
      </c>
      <c r="BB4" s="70">
        <v>1</v>
      </c>
      <c r="BC4" s="11">
        <f ca="1">INDEX('RC6SV'!$A$1:$G$15,MATCH(H4,'RC6SV'!$A$1:$A$15,FALSE),MATCH(G4,'RC6SV'!$A$1:$G$1,FALSE))</f>
        <v>7000</v>
      </c>
      <c r="BD4" s="49">
        <f t="shared" ca="1" si="2"/>
        <v>7000</v>
      </c>
      <c r="BE4" s="11">
        <f t="shared" ca="1" si="3"/>
        <v>0</v>
      </c>
      <c r="BF4" s="11">
        <f t="shared" ca="1" si="4"/>
        <v>1</v>
      </c>
      <c r="BG4" s="16">
        <f ca="1">IF($BE4&lt;=0,ROUND(BK4*0.5,0), ROUND($BE4*S4*AA4*J4*AY4*0.8*[1]ステータス!$B$2,0))</f>
        <v>1714</v>
      </c>
      <c r="BH4" s="16">
        <f ca="1">IF($BE4&lt;=0,ROUND(BL4*0.5,0), ROUND($BE4*T4*AB4*K4*AZ4*0.8*[1]ステータス!$C$2,0))</f>
        <v>1396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598</v>
      </c>
      <c r="BK4" s="11">
        <f ca="1">ROUND(BD4*S4*AA4*J4*AY4*[1]ステータス!$B$2,0)</f>
        <v>3427</v>
      </c>
      <c r="BL4" s="11">
        <f ca="1">ROUND(BD4*T4*AB4*K4*AZ4*[1]ステータス!$C$2,0)</f>
        <v>2792</v>
      </c>
      <c r="BM4" s="11">
        <f ca="1">ROUND(BD4*U4*AC4*L4*BA4*[1]ステータス!$D$2,0)</f>
        <v>0</v>
      </c>
      <c r="BN4" s="11">
        <f ca="1">ROUND(BD4*V4*AD4*M4*BB4*[1]ステータス!$E$2,0)</f>
        <v>1196</v>
      </c>
      <c r="BO4" s="10">
        <v>0</v>
      </c>
      <c r="BP4" s="10">
        <v>1</v>
      </c>
      <c r="BQ4" s="39" t="s">
        <v>73</v>
      </c>
      <c r="BR4" s="10">
        <f ca="1">VLOOKUP(H4,ghosts_label!$A$2:$B$19,2,FALSE)</f>
        <v>700</v>
      </c>
    </row>
    <row r="5" spans="1:70" ht="21" customHeight="1" x14ac:dyDescent="0.15">
      <c r="A5" s="140">
        <v>515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聖夜の贈主 サンタクロース・オセ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ガチャ:クリスマス2015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green</v>
      </c>
      <c r="J5" s="11">
        <f ca="1">VLOOKUP(I5,[1]属性!$A:$E,2,FALSE)</f>
        <v>1.02</v>
      </c>
      <c r="K5" s="11">
        <f ca="1">VLOOKUP(I5,[1]属性!$A:$E,3,FALSE)</f>
        <v>0.98</v>
      </c>
      <c r="L5" s="11">
        <f ca="1">VLOOKUP(I5,[1]属性!$A:$E,4,FALSE)</f>
        <v>1</v>
      </c>
      <c r="M5" s="11">
        <f ca="1">VLOOKUP(I5,[1]属性!$A:$E,5,FALSE)</f>
        <v>1</v>
      </c>
      <c r="N5" s="11">
        <f ca="1">INDEX(コスト!$A$1:$I$15,MATCH(H5,コスト!$A$1:$A$15,FALSE),MATCH(G5,コスト!$A$1:$I$1,FALSE))</f>
        <v>30</v>
      </c>
      <c r="O5" s="11">
        <f ca="1">INDEX(レベル!$A$1:$I$16,MATCH(H5,レベル!$A$1:$A$16,FALSE),MATCH(G5,レベル!$A$1:$I$1,FALSE))</f>
        <v>80</v>
      </c>
      <c r="P5" s="49">
        <f t="shared" ca="1" si="0"/>
        <v>75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0.96</v>
      </c>
      <c r="AB5" s="11">
        <f ca="1">VLOOKUP(W5,[1]character_tribe_i18n!$A:$H,5,FALSE)</f>
        <v>1.02</v>
      </c>
      <c r="AC5" s="11">
        <f ca="1">VLOOKUP(W5,[1]character_tribe_i18n!$A:$H,6,FALSE)</f>
        <v>1</v>
      </c>
      <c r="AD5" s="11">
        <f ca="1">VLOOKUP(W5,[1]character_tribe_i18n!$A:$H,7,FALSE)</f>
        <v>1.02</v>
      </c>
      <c r="AE5" s="9" t="s">
        <v>220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49">
        <v>169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オセ</v>
      </c>
      <c r="AI5" s="11" t="str">
        <f>IF(AE5="NULL","NULL",VLOOKUP(G5,ビット!$A$2:$B$7,2))</f>
        <v>NULL</v>
      </c>
      <c r="AJ5" s="6">
        <v>2</v>
      </c>
      <c r="AK5" s="7" t="str">
        <f t="shared" si="1"/>
        <v>普通</v>
      </c>
      <c r="AL5" s="11" t="str">
        <f ca="1">INDEX(経験値!$A$1:$I$15,MATCH(H5,経験値!$A$1:$A$15,FALSE),MATCH(G5,経験値!$A$1:$I$1,FALSE))</f>
        <v>required_exp_200</v>
      </c>
      <c r="AM5" s="8">
        <f ca="1">VLOOKUP(G5,経験値!$A$22:$B$26,2)</f>
        <v>6400</v>
      </c>
      <c r="AN5" s="17">
        <f ca="1">VLOOKUP(G5,ビット!$G$2:$H$7,2)</f>
        <v>900</v>
      </c>
      <c r="AO5" s="46"/>
      <c r="AP5" s="69">
        <f t="shared" si="5"/>
        <v>515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聖夜のクリスマスギフト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パネルを1つランダムでスペシャルクラッシュパネルに変換する(威力大)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9">
        <f t="shared" si="6"/>
        <v>515</v>
      </c>
      <c r="AU5" s="59" t="str">
        <f ca="1">VLOOKUP($AT5,OFFSET(crash_skills!$A$1,0,0,COUNTA(crash_skills!$A:$A),MATCH(AU$1,crash_skills!$1:$1,0)-MATCH($AT$1,crash_skills!$1:$1,0)+1),MATCH(AU$1,crash_skills!$1:$1,0)-MATCH($AT$1,crash_skills!$1:$1,0)+1,FALSE)</f>
        <v>ジングルべル・ダブル</v>
      </c>
      <c r="AV5" s="59" t="str">
        <f ca="1">VLOOKUP($AT5,OFFSET(crash_skills!$A$1,0,0,COUNTA(crash_skills!$A:$A),MATCH(AV$1,crash_skills!$1:$1,0)-MATCH($AT$1,crash_skills!$1:$1,0)+1),MATCH(AV$1,crash_skills!$1:$1,0)-MATCH($AT$1,crash_skills!$1:$1,0)+1,FALSE)</f>
        <v>単体に2回中ダメージ</v>
      </c>
      <c r="AW5" s="59" t="e">
        <f ca="1">VLOOKUP($AT5,OFFSET(crash_skills!$A$1,0,0,COUNTA(crash_skills!$A:$A),MATCH(AW$1,crash_skills!$1:$1,0)-MATCH($AT$1,crash_skills!$1:$1,0)+1),MATCH(AW$1,crash_skills!$1:$1,0)-MATCH($AT$1,crash_skills!$1:$1,0)+1,FALSE)</f>
        <v>#N/A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1</v>
      </c>
      <c r="AZ5" s="70">
        <v>1</v>
      </c>
      <c r="BA5" s="70">
        <v>0</v>
      </c>
      <c r="BB5" s="70">
        <v>1</v>
      </c>
      <c r="BC5" s="11">
        <f ca="1">INDEX('RC6SV'!$A$1:$G$15,MATCH(H5,'RC6SV'!$A$1:$A$15,FALSE),MATCH(G5,'RC6SV'!$A$1:$G$1,FALSE))</f>
        <v>9000</v>
      </c>
      <c r="BD5" s="49">
        <f t="shared" ca="1" si="2"/>
        <v>9000</v>
      </c>
      <c r="BE5" s="11">
        <f t="shared" ca="1" si="3"/>
        <v>7000</v>
      </c>
      <c r="BF5" s="11">
        <f t="shared" ca="1" si="4"/>
        <v>1</v>
      </c>
      <c r="BG5" s="16">
        <f ca="1">IF($BE5&lt;=0,ROUND(BK5*0.5,0), ROUND($BE5*S5*AA5*J5*AY5*0.8*[1]ステータス!$B$2,0))</f>
        <v>2742</v>
      </c>
      <c r="BH5" s="16">
        <f ca="1">IF($BE5&lt;=0,ROUND(BL5*0.5,0), ROUND($BE5*T5*AB5*K5*AZ5*0.8*[1]ステータス!$C$2,0))</f>
        <v>2234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957</v>
      </c>
      <c r="BK5" s="11">
        <f ca="1">ROUND(BD5*S5*AA5*J5*AY5*[1]ステータス!$B$2,0)</f>
        <v>4406</v>
      </c>
      <c r="BL5" s="11">
        <f ca="1">ROUND(BD5*T5*AB5*K5*AZ5*[1]ステータス!$C$2,0)</f>
        <v>3590</v>
      </c>
      <c r="BM5" s="11">
        <f ca="1">ROUND(BD5*U5*AC5*L5*BA5*[1]ステータス!$D$2,0)</f>
        <v>0</v>
      </c>
      <c r="BN5" s="11">
        <f ca="1">ROUND(BD5*V5*AD5*M5*BB5*[1]ステータス!$E$2,0)</f>
        <v>1538</v>
      </c>
      <c r="BO5" s="10">
        <v>0</v>
      </c>
      <c r="BP5" s="10">
        <v>1</v>
      </c>
      <c r="BQ5" s="39" t="s">
        <v>73</v>
      </c>
      <c r="BR5" s="10">
        <f ca="1">VLOOKUP(H5,ghosts_label!$A$2:$B$19,2,FALSE)</f>
        <v>700</v>
      </c>
    </row>
    <row r="6" spans="1:70" ht="21" customHeight="1" x14ac:dyDescent="0.15">
      <c r="A6" s="140">
        <v>516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聖母 マリア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ガチャ:クリスマス2015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PremiumSS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INDEX(コスト!$A$1:$I$15,MATCH(H6,コスト!$A$1:$A$15,FALSE),MATCH(G6,コスト!$A$1:$I$1,FALSE))</f>
        <v>25</v>
      </c>
      <c r="O6" s="11">
        <f ca="1">INDEX(レベル!$A$1:$I$16,MATCH(H6,レベル!$A$1:$A$16,FALSE),MATCH(G6,レベル!$A$1:$I$1,FALSE))</f>
        <v>60</v>
      </c>
      <c r="P6" s="49">
        <f t="shared" ca="1" si="0"/>
        <v>60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heal</v>
      </c>
      <c r="R6" s="5" t="str">
        <f ca="1">VLOOKUP(Q6,[1]character_type_i18n!$A:$H,3,FALSE)</f>
        <v>回復タイプ</v>
      </c>
      <c r="S6" s="11">
        <f ca="1">VLOOKUP(Q6,[1]character_type_i18n!$A:$H,4,FALSE)</f>
        <v>0.8</v>
      </c>
      <c r="T6" s="11">
        <f ca="1">VLOOKUP(Q6,[1]character_type_i18n!$A:$H,5,FALSE)</f>
        <v>0.78</v>
      </c>
      <c r="U6" s="11">
        <f ca="1">VLOOKUP(Q6,[1]character_type_i18n!$A:$H,6,FALSE)</f>
        <v>1</v>
      </c>
      <c r="V6" s="11">
        <f ca="1">VLOOKUP(Q6,[1]character_type_i18n!$A:$H,7,FALSE)</f>
        <v>1.42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0.94</v>
      </c>
      <c r="AB6" s="11">
        <f ca="1">VLOOKUP(W6,[1]character_tribe_i18n!$A:$H,5,FALSE)</f>
        <v>0.99</v>
      </c>
      <c r="AC6" s="11">
        <f ca="1">VLOOKUP(W6,[1]character_tribe_i18n!$A:$H,6,FALSE)</f>
        <v>1</v>
      </c>
      <c r="AD6" s="11">
        <f ca="1">VLOOKUP(W6,[1]character_tribe_i18n!$A:$H,7,FALSE)</f>
        <v>1.07</v>
      </c>
      <c r="AE6" s="9">
        <v>517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真冬の誕生祭 マリア</v>
      </c>
      <c r="AG6" s="5">
        <f ca="1">IF(ISNA(MATCH(A6,AE:AE,0)),A6,INDIRECT(ADDRESS(MATCH(A6,AE:AE,0),COLUMN())))</f>
        <v>516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聖母 マリア</v>
      </c>
      <c r="AI6" s="11">
        <f ca="1">IF(AE6="NULL","NULL",VLOOKUP(G6,ビット!$A$2:$B$7,2))</f>
        <v>50000</v>
      </c>
      <c r="AJ6" s="6">
        <v>2</v>
      </c>
      <c r="AK6" s="7" t="str">
        <f t="shared" si="1"/>
        <v>普通</v>
      </c>
      <c r="AL6" s="11" t="str">
        <f ca="1">INDEX(経験値!$A$1:$I$15,MATCH(H6,経験値!$A$1:$A$15,FALSE),MATCH(G6,経験値!$A$1:$I$1,FALSE))</f>
        <v>required_exp_200</v>
      </c>
      <c r="AM6" s="8">
        <f ca="1">VLOOKUP(G6,経験値!$A$22:$B$26,2)</f>
        <v>3400</v>
      </c>
      <c r="AN6" s="17">
        <f ca="1">VLOOKUP(G6,ビット!$G$2:$H$7,2)</f>
        <v>600</v>
      </c>
      <c r="AO6" s="46"/>
      <c r="AP6" s="69">
        <f t="shared" si="5"/>
        <v>516</v>
      </c>
      <c r="AQ6" s="59" t="str">
        <f ca="1">VLOOKUP($AP6,OFFSET(unit_skills!$A$1,0,0,COUNTA(unit_skills!$A:$A),MATCH(AQ$1,unit_skills!$1:$1,0)-MATCH($AP$1,unit_skills!$1:$1,0)+1),MATCH(AQ$1,unit_skills!$1:$1,0)-MATCH($AP$1,unit_skills!$1:$1,0)+1,FALSE)</f>
        <v>聖歌独唱・ホーリーナイト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3ターンの間HPを小回復し、回復力を特大UPする+黄パネルをハートパネルに変換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9">
        <f t="shared" si="6"/>
        <v>516</v>
      </c>
      <c r="AU6" s="59" t="str">
        <f ca="1">VLOOKUP($AT6,OFFSET(crash_skills!$A$1,0,0,COUNTA(crash_skills!$A:$A),MATCH(AU$1,crash_skills!$1:$1,0)-MATCH($AT$1,crash_skills!$1:$1,0)+1),MATCH(AU$1,crash_skills!$1:$1,0)-MATCH($AT$1,crash_skills!$1:$1,0)+1,FALSE)</f>
        <v>クリスマスソング</v>
      </c>
      <c r="AV6" s="59" t="str">
        <f ca="1">VLOOKUP($AT6,OFFSET(crash_skills!$A$1,0,0,COUNTA(crash_skills!$A:$A),MATCH(AV$1,crash_skills!$1:$1,0)-MATCH($AT$1,crash_skills!$1:$1,0)+1),MATCH(AV$1,crash_skills!$1:$1,0)-MATCH($AT$1,crash_skills!$1:$1,0)+1,FALSE)</f>
        <v>HPを中回復</v>
      </c>
      <c r="AW6" s="59" t="e">
        <f ca="1">VLOOKUP($AT6,OFFSET(crash_skills!$A$1,0,0,COUNTA(crash_skills!$A:$A),MATCH(AW$1,crash_skills!$1:$1,0)-MATCH($AT$1,crash_skills!$1:$1,0)+1),MATCH(AW$1,crash_skills!$1:$1,0)-MATCH($AT$1,crash_skills!$1:$1,0)+1,FALSE)</f>
        <v>#N/A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0.95</v>
      </c>
      <c r="AZ6" s="70">
        <v>0.97</v>
      </c>
      <c r="BA6" s="70">
        <v>0</v>
      </c>
      <c r="BB6" s="70">
        <v>1.1200000000000001</v>
      </c>
      <c r="BC6" s="11">
        <f ca="1">INDEX('RC6SV'!$A$1:$G$15,MATCH(H6,'RC6SV'!$A$1:$A$15,FALSE),MATCH(G6,'RC6SV'!$A$1:$G$1,FALSE))</f>
        <v>7500</v>
      </c>
      <c r="BD6" s="49">
        <f t="shared" ca="1" si="2"/>
        <v>7500</v>
      </c>
      <c r="BE6" s="11">
        <f t="shared" ca="1" si="3"/>
        <v>0</v>
      </c>
      <c r="BF6" s="11">
        <f t="shared" ca="1" si="4"/>
        <v>1</v>
      </c>
      <c r="BG6" s="16">
        <f ca="1">IF($BE6&lt;=0,ROUND(BK6*0.5,0), ROUND($BE6*S6*AA6*J6*AY6*0.8*[1]ステータス!$B$2,0))</f>
        <v>1340</v>
      </c>
      <c r="BH6" s="16">
        <f ca="1">IF($BE6&lt;=0,ROUND(BL6*0.5,0), ROUND($BE6*T6*AB6*K6*AZ6*0.8*[1]ステータス!$C$2,0))</f>
        <v>826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1628</v>
      </c>
      <c r="BK6" s="11">
        <f ca="1">ROUND(BD6*S6*AA6*J6*AY6*[1]ステータス!$B$2,0)</f>
        <v>2679</v>
      </c>
      <c r="BL6" s="11">
        <f ca="1">ROUND(BD6*T6*AB6*K6*AZ6*[1]ステータス!$C$2,0)</f>
        <v>1652</v>
      </c>
      <c r="BM6" s="11">
        <f ca="1">ROUND(BD6*U6*AC6*L6*BA6*[1]ステータス!$D$2,0)</f>
        <v>0</v>
      </c>
      <c r="BN6" s="11">
        <f ca="1">ROUND(BD6*V6*AD6*M6*BB6*[1]ステータス!$E$2,0)</f>
        <v>3255</v>
      </c>
      <c r="BO6" s="10">
        <v>0</v>
      </c>
      <c r="BP6" s="10">
        <v>1</v>
      </c>
      <c r="BQ6" s="39" t="s">
        <v>73</v>
      </c>
      <c r="BR6" s="160">
        <v>550</v>
      </c>
    </row>
    <row r="7" spans="1:70" ht="21" customHeight="1" x14ac:dyDescent="0.15">
      <c r="A7" s="140">
        <v>517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真冬の誕生祭 マリア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ガチャ:クリスマス2015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INDEX(コスト!$A$1:$I$15,MATCH(H7,コスト!$A$1:$A$15,FALSE),MATCH(G7,コスト!$A$1:$I$1,FALSE))</f>
        <v>35</v>
      </c>
      <c r="O7" s="11">
        <f ca="1">INDEX(レベル!$A$1:$I$16,MATCH(H7,レベル!$A$1:$A$16,FALSE),MATCH(G7,レベル!$A$1:$I$1,FALSE))</f>
        <v>80</v>
      </c>
      <c r="P7" s="49">
        <f t="shared" ca="1" si="0"/>
        <v>75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heal</v>
      </c>
      <c r="R7" s="5" t="str">
        <f ca="1">VLOOKUP(Q7,[1]character_type_i18n!$A:$H,3,FALSE)</f>
        <v>回復タイプ</v>
      </c>
      <c r="S7" s="11">
        <f ca="1">VLOOKUP(Q7,[1]character_type_i18n!$A:$H,4,FALSE)</f>
        <v>0.8</v>
      </c>
      <c r="T7" s="11">
        <f ca="1">VLOOKUP(Q7,[1]character_type_i18n!$A:$H,5,FALSE)</f>
        <v>0.78</v>
      </c>
      <c r="U7" s="11">
        <f ca="1">VLOOKUP(Q7,[1]character_type_i18n!$A:$H,6,FALSE)</f>
        <v>1</v>
      </c>
      <c r="V7" s="11">
        <f ca="1">VLOOKUP(Q7,[1]character_type_i18n!$A:$H,7,FALSE)</f>
        <v>1.42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0.94</v>
      </c>
      <c r="AB7" s="11">
        <f ca="1">VLOOKUP(W7,[1]character_tribe_i18n!$A:$H,5,FALSE)</f>
        <v>0.99</v>
      </c>
      <c r="AC7" s="11">
        <f ca="1">VLOOKUP(W7,[1]character_tribe_i18n!$A:$H,6,FALSE)</f>
        <v>1</v>
      </c>
      <c r="AD7" s="11">
        <f ca="1">VLOOKUP(W7,[1]character_tribe_i18n!$A:$H,7,FALSE)</f>
        <v>1.07</v>
      </c>
      <c r="AE7" s="9" t="s">
        <v>221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ca="1">IF(ISNA(MATCH(A7,AE:AE,0)),A7,INDIRECT(ADDRESS(MATCH(A7,AE:AE,0),COLUMN())))</f>
        <v>516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聖母 マリア</v>
      </c>
      <c r="AI7" s="11" t="str">
        <f>IF(AE7="NULL","NULL",VLOOKUP(G7,ビット!$A$2:$B$7,2))</f>
        <v>NULL</v>
      </c>
      <c r="AJ7" s="6">
        <v>2</v>
      </c>
      <c r="AK7" s="7" t="str">
        <f t="shared" si="1"/>
        <v>普通</v>
      </c>
      <c r="AL7" s="11" t="str">
        <f ca="1">INDEX(経験値!$A$1:$I$15,MATCH(H7,経験値!$A$1:$A$15,FALSE),MATCH(G7,経験値!$A$1:$I$1,FALSE))</f>
        <v>required_exp_200</v>
      </c>
      <c r="AM7" s="8">
        <f ca="1">VLOOKUP(G7,経験値!$A$22:$B$26,2)</f>
        <v>6400</v>
      </c>
      <c r="AN7" s="17">
        <f ca="1">VLOOKUP(G7,ビット!$G$2:$H$7,2)</f>
        <v>900</v>
      </c>
      <c r="AO7" s="46"/>
      <c r="AP7" s="69">
        <f t="shared" si="5"/>
        <v>517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聖歌独唱・ホーリーナイト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3ターンの間HPを小回復し、回復力を特大UPする+黄パネルをハートパネルに変換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9">
        <f t="shared" si="6"/>
        <v>517</v>
      </c>
      <c r="AU7" s="59" t="str">
        <f ca="1">VLOOKUP($AT7,OFFSET(crash_skills!$A$1,0,0,COUNTA(crash_skills!$A:$A),MATCH(AU$1,crash_skills!$1:$1,0)-MATCH($AT$1,crash_skills!$1:$1,0)+1),MATCH(AU$1,crash_skills!$1:$1,0)-MATCH($AT$1,crash_skills!$1:$1,0)+1,FALSE)</f>
        <v>クリスマスキャロル</v>
      </c>
      <c r="AV7" s="59" t="str">
        <f ca="1">VLOOKUP($AT7,OFFSET(crash_skills!$A$1,0,0,COUNTA(crash_skills!$A:$A),MATCH(AV$1,crash_skills!$1:$1,0)-MATCH($AT$1,crash_skills!$1:$1,0)+1),MATCH(AV$1,crash_skills!$1:$1,0)-MATCH($AT$1,crash_skills!$1:$1,0)+1,FALSE)</f>
        <v>HPを大回復</v>
      </c>
      <c r="AW7" s="59" t="e">
        <f ca="1">VLOOKUP($AT7,OFFSET(crash_skills!$A$1,0,0,COUNTA(crash_skills!$A:$A),MATCH(AW$1,crash_skills!$1:$1,0)-MATCH($AT$1,crash_skills!$1:$1,0)+1),MATCH(AW$1,crash_skills!$1:$1,0)-MATCH($AT$1,crash_skills!$1:$1,0)+1,FALSE)</f>
        <v>#N/A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0.95</v>
      </c>
      <c r="AZ7" s="70">
        <v>0.97</v>
      </c>
      <c r="BA7" s="70">
        <v>0</v>
      </c>
      <c r="BB7" s="70">
        <v>1.1200000000000001</v>
      </c>
      <c r="BC7" s="11">
        <f ca="1">INDEX('RC6SV'!$A$1:$G$15,MATCH(H7,'RC6SV'!$A$1:$A$15,FALSE),MATCH(G7,'RC6SV'!$A$1:$G$1,FALSE))</f>
        <v>9500</v>
      </c>
      <c r="BD7" s="49">
        <f t="shared" ca="1" si="2"/>
        <v>9500</v>
      </c>
      <c r="BE7" s="11">
        <f t="shared" ca="1" si="3"/>
        <v>7500</v>
      </c>
      <c r="BF7" s="11">
        <f t="shared" ca="1" si="4"/>
        <v>1</v>
      </c>
      <c r="BG7" s="16">
        <f ca="1">IF($BE7&lt;=0,ROUND(BK7*0.5,0), ROUND($BE7*S7*AA7*J7*AY7*0.8*[1]ステータス!$B$2,0))</f>
        <v>2143</v>
      </c>
      <c r="BH7" s="16">
        <f ca="1">IF($BE7&lt;=0,ROUND(BL7*0.5,0), ROUND($BE7*T7*AB7*K7*AZ7*0.8*[1]ステータス!$C$2,0))</f>
        <v>1321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2604</v>
      </c>
      <c r="BK7" s="11">
        <f ca="1">ROUND(BD7*S7*AA7*J7*AY7*[1]ステータス!$B$2,0)</f>
        <v>3393</v>
      </c>
      <c r="BL7" s="11">
        <f ca="1">ROUND(BD7*T7*AB7*K7*AZ7*[1]ステータス!$C$2,0)</f>
        <v>2092</v>
      </c>
      <c r="BM7" s="11">
        <f ca="1">ROUND(BD7*U7*AC7*L7*BA7*[1]ステータス!$D$2,0)</f>
        <v>0</v>
      </c>
      <c r="BN7" s="11">
        <f ca="1">ROUND(BD7*V7*AD7*M7*BB7*[1]ステータス!$E$2,0)</f>
        <v>4122</v>
      </c>
      <c r="BO7" s="10">
        <v>0</v>
      </c>
      <c r="BP7" s="10">
        <v>1</v>
      </c>
      <c r="BQ7" s="39" t="s">
        <v>73</v>
      </c>
      <c r="BR7" s="160">
        <v>550</v>
      </c>
    </row>
    <row r="8" spans="1:70" ht="21" customHeight="1" x14ac:dyDescent="0.15">
      <c r="A8" s="140">
        <v>518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秘来の聖天使 ミカエル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ガチャ:クリスマス2015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yellow</v>
      </c>
      <c r="J8" s="11">
        <f ca="1">VLOOKUP(I8,[1]属性!$A:$E,2,FALSE)</f>
        <v>0.98</v>
      </c>
      <c r="K8" s="11">
        <f ca="1">VLOOKUP(I8,[1]属性!$A:$E,3,FALSE)</f>
        <v>1.01</v>
      </c>
      <c r="L8" s="11">
        <f ca="1">VLOOKUP(I8,[1]属性!$A:$E,4,FALSE)</f>
        <v>1</v>
      </c>
      <c r="M8" s="11">
        <f ca="1">VLOOKUP(I8,[1]属性!$A:$E,5,FALSE)</f>
        <v>1.01</v>
      </c>
      <c r="N8" s="11">
        <f ca="1">INDEX(コスト!$A$1:$I$15,MATCH(H8,コスト!$A$1:$A$15,FALSE),MATCH(G8,コスト!$A$1:$I$1,FALSE))</f>
        <v>20</v>
      </c>
      <c r="O8" s="11">
        <f ca="1">INDEX(レベル!$A$1:$I$16,MATCH(H8,レベル!$A$1:$A$16,FALSE),MATCH(G8,レベル!$A$1:$I$1,FALSE))</f>
        <v>60</v>
      </c>
      <c r="P8" s="49">
        <f t="shared" ca="1" si="0"/>
        <v>60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attack</v>
      </c>
      <c r="R8" s="5" t="str">
        <f ca="1">VLOOKUP(Q8,[1]character_type_i18n!$A:$H,3,FALSE)</f>
        <v>攻撃タイプ</v>
      </c>
      <c r="S8" s="11">
        <f ca="1">VLOOKUP(Q8,[1]character_type_i18n!$A:$H,4,FALSE)</f>
        <v>1</v>
      </c>
      <c r="T8" s="11">
        <f ca="1">VLOOKUP(Q8,[1]character_type_i18n!$A:$H,5,FALSE)</f>
        <v>1.33</v>
      </c>
      <c r="U8" s="11">
        <f ca="1">VLOOKUP(Q8,[1]character_type_i18n!$A:$H,6,FALSE)</f>
        <v>1</v>
      </c>
      <c r="V8" s="11">
        <f ca="1">VLOOKUP(Q8,[1]character_type_i18n!$A:$H,7,FALSE)</f>
        <v>0.67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machine</v>
      </c>
      <c r="Z8" s="5" t="str">
        <f ca="1">VLOOKUP(Y8,[1]character_tribe_i18n!$A:$H,3,FALSE)</f>
        <v>マシン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>
        <v>519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夜天の聖天使 ミカエル・ハレルヤ</v>
      </c>
      <c r="AG8" s="149">
        <v>247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ミカエル</v>
      </c>
      <c r="AI8" s="11">
        <f ca="1">IF(AE8="NULL","NULL",VLOOKUP(G8,ビット!$A$2:$B$7,2))</f>
        <v>50000</v>
      </c>
      <c r="AJ8" s="6">
        <v>2</v>
      </c>
      <c r="AK8" s="7" t="str">
        <f t="shared" si="1"/>
        <v>普通</v>
      </c>
      <c r="AL8" s="11" t="str">
        <f ca="1">INDEX(経験値!$A$1:$I$15,MATCH(H8,経験値!$A$1:$A$15,FALSE),MATCH(G8,経験値!$A$1:$I$1,FALSE))</f>
        <v>required_exp_200</v>
      </c>
      <c r="AM8" s="8">
        <f ca="1">VLOOKUP(G8,経験値!$A$22:$B$26,2)</f>
        <v>3400</v>
      </c>
      <c r="AN8" s="17">
        <f ca="1">VLOOKUP(G8,ビット!$G$2:$H$7,2)</f>
        <v>600</v>
      </c>
      <c r="AO8" s="46"/>
      <c r="AP8" s="69">
        <f t="shared" si="5"/>
        <v>518</v>
      </c>
      <c r="AQ8" s="59" t="str">
        <f ca="1">VLOOKUP($AP8,OFFSET(unit_skills!$A$1,0,0,COUNTA(unit_skills!$A:$A),MATCH(AQ$1,unit_skills!$1:$1,0)-MATCH($AP$1,unit_skills!$1:$1,0)+1),MATCH(AQ$1,unit_skills!$1:$1,0)-MATCH($AP$1,unit_skills!$1:$1,0)+1,FALSE)</f>
        <v>聖天使の贈り物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単体に黄属性の特大ダメージ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69">
        <f t="shared" si="6"/>
        <v>518</v>
      </c>
      <c r="AU8" s="59" t="str">
        <f ca="1">VLOOKUP($AT8,OFFSET(crash_skills!$A$1,0,0,COUNTA(crash_skills!$A:$A),MATCH(AU$1,crash_skills!$1:$1,0)-MATCH($AT$1,crash_skills!$1:$1,0)+1),MATCH(AU$1,crash_skills!$1:$1,0)-MATCH($AT$1,crash_skills!$1:$1,0)+1,FALSE)</f>
        <v>夜天の福音</v>
      </c>
      <c r="AV8" s="59" t="str">
        <f ca="1">VLOOKUP($AT8,OFFSET(crash_skills!$A$1,0,0,COUNTA(crash_skills!$A:$A),MATCH(AV$1,crash_skills!$1:$1,0)-MATCH($AT$1,crash_skills!$1:$1,0)+1),MATCH(AV$1,crash_skills!$1:$1,0)-MATCH($AT$1,crash_skills!$1:$1,0)+1,FALSE)</f>
        <v>全体に大ダメージ</v>
      </c>
      <c r="AW8" s="59" t="e">
        <f ca="1">VLOOKUP($AT8,OFFSET(crash_skills!$A$1,0,0,COUNTA(crash_skills!$A:$A),MATCH(AW$1,crash_skills!$1:$1,0)-MATCH($AT$1,crash_skills!$1:$1,0)+1),MATCH(AW$1,crash_skills!$1:$1,0)-MATCH($AT$1,crash_skills!$1:$1,0)+1,FALSE)</f>
        <v>#N/A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v>1.05</v>
      </c>
      <c r="AZ8" s="70">
        <v>1</v>
      </c>
      <c r="BA8" s="70">
        <v>0</v>
      </c>
      <c r="BB8" s="70">
        <v>0.95</v>
      </c>
      <c r="BC8" s="11">
        <f ca="1">INDEX('RC6SV'!$A$1:$G$15,MATCH(H8,'RC6SV'!$A$1:$A$15,FALSE),MATCH(G8,'RC6SV'!$A$1:$G$1,FALSE))</f>
        <v>7000</v>
      </c>
      <c r="BD8" s="49">
        <f t="shared" ca="1" si="2"/>
        <v>7000</v>
      </c>
      <c r="BE8" s="11">
        <f t="shared" ca="1" si="3"/>
        <v>0</v>
      </c>
      <c r="BF8" s="11">
        <f t="shared" ca="1" si="4"/>
        <v>1</v>
      </c>
      <c r="BG8" s="16">
        <f ca="1">IF($BE8&lt;=0,ROUND(BK8*0.5,0), ROUND($BE8*S8*AA8*J8*AY8*0.8*[1]ステータス!$B$2,0))</f>
        <v>1729</v>
      </c>
      <c r="BH8" s="16">
        <f ca="1">IF($BE8&lt;=0,ROUND(BL8*0.5,0), ROUND($BE8*T8*AB8*K8*AZ8*0.8*[1]ステータス!$C$2,0))</f>
        <v>1439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574</v>
      </c>
      <c r="BK8" s="11">
        <f ca="1">ROUND(BD8*S8*AA8*J8*AY8*[1]ステータス!$B$2,0)</f>
        <v>3457</v>
      </c>
      <c r="BL8" s="11">
        <f ca="1">ROUND(BD8*T8*AB8*K8*AZ8*[1]ステータス!$C$2,0)</f>
        <v>2877</v>
      </c>
      <c r="BM8" s="11">
        <f ca="1">ROUND(BD8*U8*AC8*L8*BA8*[1]ステータス!$D$2,0)</f>
        <v>0</v>
      </c>
      <c r="BN8" s="11">
        <f ca="1">ROUND(BD8*V8*AD8*M8*BB8*[1]ステータス!$E$2,0)</f>
        <v>1148</v>
      </c>
      <c r="BO8" s="10">
        <v>0</v>
      </c>
      <c r="BP8" s="10">
        <v>1</v>
      </c>
      <c r="BQ8" s="39" t="s">
        <v>73</v>
      </c>
      <c r="BR8" s="10">
        <f ca="1">VLOOKUP(H8,ghosts_label!$A$2:$B$19,2,FALSE)</f>
        <v>700</v>
      </c>
    </row>
    <row r="9" spans="1:70" ht="21" customHeight="1" x14ac:dyDescent="0.15">
      <c r="A9" s="140">
        <v>519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夜天の聖天使 ミカエル・ハレルヤ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ガチャ:クリスマス2015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女性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INDEX(コスト!$A$1:$I$15,MATCH(H9,コスト!$A$1:$A$15,FALSE),MATCH(G9,コスト!$A$1:$I$1,FALSE))</f>
        <v>30</v>
      </c>
      <c r="O9" s="11">
        <f ca="1">INDEX(レベル!$A$1:$I$16,MATCH(H9,レベル!$A$1:$A$16,FALSE),MATCH(G9,レベル!$A$1:$I$1,FALSE))</f>
        <v>80</v>
      </c>
      <c r="P9" s="49">
        <f t="shared" ca="1" si="0"/>
        <v>75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1">
        <f ca="1">VLOOKUP(Q9,[1]character_type_i18n!$A:$H,4,FALSE)</f>
        <v>1</v>
      </c>
      <c r="T9" s="11">
        <f ca="1">VLOOKUP(Q9,[1]character_type_i18n!$A:$H,5,FALSE)</f>
        <v>1.33</v>
      </c>
      <c r="U9" s="11">
        <f ca="1">VLOOKUP(Q9,[1]character_type_i18n!$A:$H,6,FALSE)</f>
        <v>1</v>
      </c>
      <c r="V9" s="11">
        <f ca="1">VLOOKUP(Q9,[1]character_type_i18n!$A:$H,7,FALSE)</f>
        <v>0.67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machine</v>
      </c>
      <c r="Z9" s="5" t="str">
        <f ca="1">VLOOKUP(Y9,[1]character_tribe_i18n!$A:$H,3,FALSE)</f>
        <v>マシン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222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49">
        <v>247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ミカエル</v>
      </c>
      <c r="AI9" s="11" t="str">
        <f>IF(AE9="NULL","NULL",VLOOKUP(G9,ビット!$A$2:$B$7,2))</f>
        <v>NULL</v>
      </c>
      <c r="AJ9" s="6">
        <v>2</v>
      </c>
      <c r="AK9" s="7" t="str">
        <f t="shared" si="1"/>
        <v>普通</v>
      </c>
      <c r="AL9" s="11" t="str">
        <f ca="1">INDEX(経験値!$A$1:$I$15,MATCH(H9,経験値!$A$1:$A$15,FALSE),MATCH(G9,経験値!$A$1:$I$1,FALSE))</f>
        <v>required_exp_200</v>
      </c>
      <c r="AM9" s="8">
        <f ca="1">VLOOKUP(G9,経験値!$A$22:$B$26,2)</f>
        <v>6400</v>
      </c>
      <c r="AN9" s="17">
        <f ca="1">VLOOKUP(G9,ビット!$G$2:$H$7,2)</f>
        <v>900</v>
      </c>
      <c r="AO9" s="46"/>
      <c r="AP9" s="69">
        <f t="shared" si="5"/>
        <v>519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聖天使の贈り物・大盤振舞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単体に黄属性の激烈ダメージ+4ターン全ユニットのCパネル生成を3延長する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69">
        <f t="shared" si="6"/>
        <v>519</v>
      </c>
      <c r="AU9" s="59" t="str">
        <f ca="1">VLOOKUP($AT9,OFFSET(crash_skills!$A$1,0,0,COUNTA(crash_skills!$A:$A),MATCH(AU$1,crash_skills!$1:$1,0)-MATCH($AT$1,crash_skills!$1:$1,0)+1),MATCH(AU$1,crash_skills!$1:$1,0)-MATCH($AT$1,crash_skills!$1:$1,0)+1,FALSE)</f>
        <v>夜天の幸福音</v>
      </c>
      <c r="AV9" s="59" t="str">
        <f ca="1">VLOOKUP($AT9,OFFSET(crash_skills!$A$1,0,0,COUNTA(crash_skills!$A:$A),MATCH(AV$1,crash_skills!$1:$1,0)-MATCH($AT$1,crash_skills!$1:$1,0)+1),MATCH(AV$1,crash_skills!$1:$1,0)-MATCH($AT$1,crash_skills!$1:$1,0)+1,FALSE)</f>
        <v>全体に特大ダメージ</v>
      </c>
      <c r="AW9" s="59" t="e">
        <f ca="1">VLOOKUP($AT9,OFFSET(crash_skills!$A$1,0,0,COUNTA(crash_skills!$A:$A),MATCH(AW$1,crash_skills!$1:$1,0)-MATCH($AT$1,crash_skills!$1:$1,0)+1),MATCH(AW$1,crash_skills!$1:$1,0)-MATCH($AT$1,crash_skills!$1:$1,0)+1,FALSE)</f>
        <v>#N/A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1.05</v>
      </c>
      <c r="AZ9" s="70">
        <v>1</v>
      </c>
      <c r="BA9" s="70">
        <v>0</v>
      </c>
      <c r="BB9" s="70">
        <v>0.95</v>
      </c>
      <c r="BC9" s="11">
        <f ca="1">INDEX('RC6SV'!$A$1:$G$15,MATCH(H9,'RC6SV'!$A$1:$A$15,FALSE),MATCH(G9,'RC6SV'!$A$1:$G$1,FALSE))</f>
        <v>9000</v>
      </c>
      <c r="BD9" s="49">
        <f t="shared" ca="1" si="2"/>
        <v>9000</v>
      </c>
      <c r="BE9" s="11">
        <f t="shared" ca="1" si="3"/>
        <v>7000</v>
      </c>
      <c r="BF9" s="11">
        <f t="shared" ca="1" si="4"/>
        <v>1</v>
      </c>
      <c r="BG9" s="16">
        <f ca="1">IF($BE9&lt;=0,ROUND(BK9*0.5,0), ROUND($BE9*S9*AA9*J9*AY9*0.8*[1]ステータス!$B$2,0))</f>
        <v>2766</v>
      </c>
      <c r="BH9" s="16">
        <f ca="1">IF($BE9&lt;=0,ROUND(BL9*0.5,0), ROUND($BE9*T9*AB9*K9*AZ9*0.8*[1]ステータス!$C$2,0))</f>
        <v>2302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918</v>
      </c>
      <c r="BK9" s="11">
        <f ca="1">ROUND(BD9*S9*AA9*J9*AY9*[1]ステータス!$B$2,0)</f>
        <v>4445</v>
      </c>
      <c r="BL9" s="11">
        <f ca="1">ROUND(BD9*T9*AB9*K9*AZ9*[1]ステータス!$C$2,0)</f>
        <v>3699</v>
      </c>
      <c r="BM9" s="11">
        <f ca="1">ROUND(BD9*U9*AC9*L9*BA9*[1]ステータス!$D$2,0)</f>
        <v>0</v>
      </c>
      <c r="BN9" s="11">
        <f ca="1">ROUND(BD9*V9*AD9*M9*BB9*[1]ステータス!$E$2,0)</f>
        <v>1475</v>
      </c>
      <c r="BO9" s="10">
        <v>0</v>
      </c>
      <c r="BP9" s="10">
        <v>1</v>
      </c>
      <c r="BQ9" s="39" t="s">
        <v>73</v>
      </c>
      <c r="BR9" s="10">
        <f ca="1">VLOOKUP(H9,ghosts_label!$A$2:$B$19,2,FALSE)</f>
        <v>700</v>
      </c>
    </row>
    <row r="10" spans="1:70" ht="21" customHeight="1" x14ac:dyDescent="0.15">
      <c r="A10" s="140">
        <v>520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炎のサンタダック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イベント:クリスマス2015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Material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INDEX(コスト!$A$1:$I$15,MATCH(H10,コスト!$A$1:$A$15,FALSE),MATCH(G10,コスト!$A$1:$I$1,FALSE))</f>
        <v>99</v>
      </c>
      <c r="O10" s="11">
        <f ca="1">INDEX(レベル!$A$1:$I$16,MATCH(H10,レベル!$A$1:$A$16,FALSE),MATCH(G10,レベル!$A$1:$I$1,FALSE))</f>
        <v>1</v>
      </c>
      <c r="P10" s="158">
        <v>1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exp</v>
      </c>
      <c r="R10" s="5" t="str">
        <f ca="1">VLOOKUP(Q10,[1]character_type_i18n!$A:$H,3,FALSE)</f>
        <v>強化素材タイプ</v>
      </c>
      <c r="S10" s="11">
        <f ca="1">VLOOKUP(Q10,[1]character_type_i18n!$A:$H,4,FALSE)</f>
        <v>0.1</v>
      </c>
      <c r="T10" s="11">
        <f ca="1">VLOOKUP(Q10,[1]character_type_i18n!$A:$H,5,FALSE)</f>
        <v>0.05</v>
      </c>
      <c r="U10" s="11">
        <f ca="1">VLOOKUP(Q10,[1]character_type_i18n!$A:$H,6,FALSE)</f>
        <v>1</v>
      </c>
      <c r="V10" s="11">
        <f ca="1">VLOOKUP(Q10,[1]character_type_i18n!$A:$H,7,FALSE)</f>
        <v>0.05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unknown</v>
      </c>
      <c r="X10" s="5" t="str">
        <f ca="1">VLOOKUP(W10,[1]character_tribe_i18n!$A:$H,3,FALSE)</f>
        <v>Unknown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 t="s">
        <v>222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f ca="1">IF(ISNA(MATCH(A10,AE:AE,0)),A10,INDIRECT(ADDRESS(MATCH(A10,AE:AE,0),COLUMN())))</f>
        <v>520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炎のサンタダック</v>
      </c>
      <c r="AI10" s="11" t="str">
        <f>IF(AE10="NULL","NULL",VLOOKUP(G10,ビット!$A$2:$B$7,2))</f>
        <v>NULL</v>
      </c>
      <c r="AJ10" s="6">
        <v>2</v>
      </c>
      <c r="AK10" s="7" t="str">
        <f t="shared" ref="AK10:AK13" si="7">IF(AJ10=1,"早熟",IF(AJ10=2,"普通",IF(AJ10=3,"晩成","")))</f>
        <v>普通</v>
      </c>
      <c r="AL10" s="11" t="str">
        <f ca="1">INDEX(経験値!$A$1:$I$15,MATCH(H10,経験値!$A$1:$A$15,FALSE),MATCH(G10,経験値!$A$1:$I$1,FALSE))</f>
        <v>NULL</v>
      </c>
      <c r="AM10" s="159">
        <v>40000</v>
      </c>
      <c r="AN10" s="17">
        <f ca="1">VLOOKUP(G10,ビット!$G$2:$H$7,2)</f>
        <v>900</v>
      </c>
      <c r="AO10" s="46"/>
      <c r="AP10" s="69">
        <f t="shared" si="5"/>
        <v>520</v>
      </c>
      <c r="AQ10" s="59" t="str">
        <f ca="1">VLOOKUP($AP10,OFFSET(unit_skills!$A$1,0,0,COUNTA(unit_skills!$A:$A),MATCH(AQ$1,unit_skills!$1:$1,0)-MATCH($AP$1,unit_skills!$1:$1,0)+1),MATCH(AQ$1,unit_skills!$1:$1,0)-MATCH($AP$1,unit_skills!$1:$1,0)+1,FALSE)</f>
        <v>サンタダックの贈り物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ユニット強化の素材にして超大量の経験値をGET！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69">
        <f t="shared" si="6"/>
        <v>520</v>
      </c>
      <c r="AU10" s="59" t="str">
        <f ca="1">VLOOKUP($AT10,OFFSET(crash_skills!$A$1,0,0,COUNTA(crash_skills!$A:$A),MATCH(AU$1,crash_skills!$1:$1,0)-MATCH($AT$1,crash_skills!$1:$1,0)+1),MATCH(AU$1,crash_skills!$1:$1,0)-MATCH($AT$1,crash_skills!$1:$1,0)+1,FALSE)</f>
        <v>メリークリスマス！</v>
      </c>
      <c r="AV10" s="59" t="str">
        <f ca="1">VLOOKUP($AT10,OFFSET(crash_skills!$A$1,0,0,COUNTA(crash_skills!$A:$A),MATCH(AV$1,crash_skills!$1:$1,0)-MATCH($AT$1,crash_skills!$1:$1,0)+1),MATCH(AV$1,crash_skills!$1:$1,0)-MATCH($AT$1,crash_skills!$1:$1,0)+1,FALSE)</f>
        <v>効果はないが_x000D_メリークリスマス クヮ！</v>
      </c>
      <c r="AW10" s="59" t="e">
        <f ca="1">VLOOKUP($AT10,OFFSET(crash_skills!$A$1,0,0,COUNTA(crash_skills!$A:$A),MATCH(AW$1,crash_skills!$1:$1,0)-MATCH($AT$1,crash_skills!$1:$1,0)+1),MATCH(AW$1,crash_skills!$1:$1,0)-MATCH($AT$1,crash_skills!$1:$1,0)+1,FALSE)</f>
        <v>#N/A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</v>
      </c>
      <c r="AZ10" s="70">
        <v>1</v>
      </c>
      <c r="BA10" s="70">
        <v>0</v>
      </c>
      <c r="BB10" s="70">
        <v>1</v>
      </c>
      <c r="BC10" s="11">
        <f ca="1">INDEX('RC6SV'!$A$1:$G$15,MATCH(H10,'RC6SV'!$A$1:$A$15,FALSE),MATCH(G10,'RC6SV'!$A$1:$G$1,FALSE))</f>
        <v>1000</v>
      </c>
      <c r="BD10" s="49">
        <f t="shared" ref="BD10:BD13" ca="1" si="8">ROUND(BC10*IF(AJ10=1,0.95,IF(AJ10=2,1,IF(AJ10,1.05,0))),0)</f>
        <v>1000</v>
      </c>
      <c r="BE10" s="11">
        <f t="shared" ca="1" si="3"/>
        <v>0</v>
      </c>
      <c r="BF10" s="11">
        <f t="shared" ca="1" si="4"/>
        <v>1</v>
      </c>
      <c r="BG10" s="16">
        <f ca="1">IF($BE10&lt;=0,ROUND(BK10*0.5,0), ROUND($BE10*S10*AA10*J10*AY10*0.8*[1]ステータス!$B$2,0))</f>
        <v>25</v>
      </c>
      <c r="BH10" s="16">
        <f ca="1">IF($BE10&lt;=0,ROUND(BL10*0.5,0), ROUND($BE10*T10*AB10*K10*AZ10*0.8*[1]ステータス!$C$2,0))</f>
        <v>8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6</v>
      </c>
      <c r="BK10" s="11">
        <f ca="1">ROUND(BD10*S10*AA10*J10*AY10*[1]ステータス!$B$2,0)</f>
        <v>50</v>
      </c>
      <c r="BL10" s="11">
        <f ca="1">ROUND(BD10*T10*AB10*K10*AZ10*[1]ステータス!$C$2,0)</f>
        <v>15</v>
      </c>
      <c r="BM10" s="11">
        <f ca="1">ROUND(BD10*U10*AC10*L10*BA10*[1]ステータス!$D$2,0)</f>
        <v>0</v>
      </c>
      <c r="BN10" s="11">
        <f ca="1">ROUND(BD10*V10*AD10*M10*BB10*[1]ステータス!$E$2,0)</f>
        <v>12</v>
      </c>
      <c r="BO10" s="10">
        <v>0</v>
      </c>
      <c r="BP10" s="10">
        <v>1</v>
      </c>
      <c r="BQ10" s="39" t="s">
        <v>73</v>
      </c>
      <c r="BR10" s="10">
        <f ca="1">VLOOKUP(H10,ghosts_label!$A$2:$B$19,2,FALSE)</f>
        <v>0</v>
      </c>
    </row>
    <row r="11" spans="1:70" ht="21" customHeight="1" x14ac:dyDescent="0.15">
      <c r="A11" s="140">
        <v>521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森のサンタダック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イベント:クリスマス2015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Material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1">
        <f ca="1">VLOOKUP(I11,[1]属性!$A:$E,2,FALSE)</f>
        <v>1.02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</v>
      </c>
      <c r="N11" s="11">
        <f ca="1">INDEX(コスト!$A$1:$I$15,MATCH(H11,コスト!$A$1:$A$15,FALSE),MATCH(G11,コスト!$A$1:$I$1,FALSE))</f>
        <v>99</v>
      </c>
      <c r="O11" s="11">
        <f ca="1">INDEX(レベル!$A$1:$I$16,MATCH(H11,レベル!$A$1:$A$16,FALSE),MATCH(G11,レベル!$A$1:$I$1,FALSE))</f>
        <v>1</v>
      </c>
      <c r="P11" s="158">
        <v>1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exp</v>
      </c>
      <c r="R11" s="5" t="str">
        <f ca="1">VLOOKUP(Q11,[1]character_type_i18n!$A:$H,3,FALSE)</f>
        <v>強化素材タイプ</v>
      </c>
      <c r="S11" s="11">
        <f ca="1">VLOOKUP(Q11,[1]character_type_i18n!$A:$H,4,FALSE)</f>
        <v>0.1</v>
      </c>
      <c r="T11" s="11">
        <f ca="1">VLOOKUP(Q11,[1]character_type_i18n!$A:$H,5,FALSE)</f>
        <v>0.05</v>
      </c>
      <c r="U11" s="11">
        <f ca="1">VLOOKUP(Q11,[1]character_type_i18n!$A:$H,6,FALSE)</f>
        <v>1</v>
      </c>
      <c r="V11" s="11">
        <f ca="1">VLOOKUP(Q11,[1]character_type_i18n!$A:$H,7,FALSE)</f>
        <v>0.05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222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ca="1">IF(ISNA(MATCH(A11,AE:AE,0)),A11,INDIRECT(ADDRESS(MATCH(A11,AE:AE,0),COLUMN())))</f>
        <v>521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森のサンタダック</v>
      </c>
      <c r="AI11" s="11" t="str">
        <f>IF(AE11="NULL","NULL",VLOOKUP(G11,ビット!$A$2:$B$7,2))</f>
        <v>NULL</v>
      </c>
      <c r="AJ11" s="6">
        <v>2</v>
      </c>
      <c r="AK11" s="7" t="str">
        <f t="shared" si="7"/>
        <v>普通</v>
      </c>
      <c r="AL11" s="11" t="str">
        <f ca="1">INDEX(経験値!$A$1:$I$15,MATCH(H11,経験値!$A$1:$A$15,FALSE),MATCH(G11,経験値!$A$1:$I$1,FALSE))</f>
        <v>NULL</v>
      </c>
      <c r="AM11" s="159">
        <v>40000</v>
      </c>
      <c r="AN11" s="17">
        <f ca="1">VLOOKUP(G11,ビット!$G$2:$H$7,2)</f>
        <v>900</v>
      </c>
      <c r="AO11" s="46"/>
      <c r="AP11" s="69">
        <f t="shared" si="5"/>
        <v>521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サンタダックの贈り物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ユニット強化の素材にして超大量の経験値をGET！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69">
        <f t="shared" si="6"/>
        <v>521</v>
      </c>
      <c r="AU11" s="59" t="str">
        <f ca="1">VLOOKUP($AT11,OFFSET(crash_skills!$A$1,0,0,COUNTA(crash_skills!$A:$A),MATCH(AU$1,crash_skills!$1:$1,0)-MATCH($AT$1,crash_skills!$1:$1,0)+1),MATCH(AU$1,crash_skills!$1:$1,0)-MATCH($AT$1,crash_skills!$1:$1,0)+1,FALSE)</f>
        <v>メリークリスマス！</v>
      </c>
      <c r="AV11" s="59" t="str">
        <f ca="1">VLOOKUP($AT11,OFFSET(crash_skills!$A$1,0,0,COUNTA(crash_skills!$A:$A),MATCH(AV$1,crash_skills!$1:$1,0)-MATCH($AT$1,crash_skills!$1:$1,0)+1),MATCH(AV$1,crash_skills!$1:$1,0)-MATCH($AT$1,crash_skills!$1:$1,0)+1,FALSE)</f>
        <v>効果はないが_x000D_メリークリスマス クヮ！</v>
      </c>
      <c r="AW11" s="59" t="e">
        <f ca="1">VLOOKUP($AT11,OFFSET(crash_skills!$A$1,0,0,COUNTA(crash_skills!$A:$A),MATCH(AW$1,crash_skills!$1:$1,0)-MATCH($AT$1,crash_skills!$1:$1,0)+1),MATCH(AW$1,crash_skills!$1:$1,0)-MATCH($AT$1,crash_skills!$1:$1,0)+1,FALSE)</f>
        <v>#N/A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v>1</v>
      </c>
      <c r="AZ11" s="70">
        <v>1</v>
      </c>
      <c r="BA11" s="70">
        <v>0</v>
      </c>
      <c r="BB11" s="70">
        <v>1</v>
      </c>
      <c r="BC11" s="11">
        <f ca="1">INDEX('RC6SV'!$A$1:$G$15,MATCH(H11,'RC6SV'!$A$1:$A$15,FALSE),MATCH(G11,'RC6SV'!$A$1:$G$1,FALSE))</f>
        <v>1000</v>
      </c>
      <c r="BD11" s="49">
        <f t="shared" ca="1" si="8"/>
        <v>1000</v>
      </c>
      <c r="BE11" s="11">
        <f t="shared" ca="1" si="3"/>
        <v>0</v>
      </c>
      <c r="BF11" s="11">
        <f t="shared" ca="1" si="4"/>
        <v>1</v>
      </c>
      <c r="BG11" s="16">
        <f ca="1">IF($BE11&lt;=0,ROUND(BK11*0.5,0), ROUND($BE11*S11*AA11*J11*AY11*0.8*[1]ステータス!$B$2,0))</f>
        <v>26</v>
      </c>
      <c r="BH11" s="16">
        <f ca="1">IF($BE11&lt;=0,ROUND(BL11*0.5,0), ROUND($BE11*T11*AB11*K11*AZ11*0.8*[1]ステータス!$C$2,0))</f>
        <v>8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7</v>
      </c>
      <c r="BK11" s="11">
        <f ca="1">ROUND(BD11*S11*AA11*J11*AY11*[1]ステータス!$B$2,0)</f>
        <v>51</v>
      </c>
      <c r="BL11" s="11">
        <f ca="1">ROUND(BD11*T11*AB11*K11*AZ11*[1]ステータス!$C$2,0)</f>
        <v>15</v>
      </c>
      <c r="BM11" s="11">
        <f ca="1">ROUND(BD11*U11*AC11*L11*BA11*[1]ステータス!$D$2,0)</f>
        <v>0</v>
      </c>
      <c r="BN11" s="11">
        <f ca="1">ROUND(BD11*V11*AD11*M11*BB11*[1]ステータス!$E$2,0)</f>
        <v>13</v>
      </c>
      <c r="BO11" s="10">
        <v>0</v>
      </c>
      <c r="BP11" s="10">
        <v>1</v>
      </c>
      <c r="BQ11" s="39" t="s">
        <v>73</v>
      </c>
      <c r="BR11" s="10">
        <f ca="1">VLOOKUP(H11,ghosts_label!$A$2:$B$19,2,FALSE)</f>
        <v>0</v>
      </c>
    </row>
    <row r="12" spans="1:70" ht="21" customHeight="1" x14ac:dyDescent="0.15">
      <c r="A12" s="140">
        <v>522</v>
      </c>
      <c r="B12" s="59" t="str">
        <f ca="1">VLOOKUP($A12,OFFSET([1]characters!$A$1,0,0,COUNTA([1]characters!$A:$A),MATCH(B$1,[1]characters!$1:$1,0)-MATCH($A$1,[1]characters!$1:$1,0)+1),MATCH(B$1,[1]characters!$1:$1,0)-MATCH($A$1,[1]characters!$1:$1,0)+1,FALSE)</f>
        <v>水のサンタダック</v>
      </c>
      <c r="C12" s="59" t="str">
        <f ca="1">VLOOKUP($A12,OFFSET([1]characters!$A$1,0,0,COUNTA([1]characters!$A:$A),MATCH(C$1,[1]characters!$1:$1,0)-MATCH($A$1,[1]characters!$1:$1,0)+1),MATCH(C$1,[1]characters!$1:$1,0)-MATCH($A$1,[1]characters!$1:$1,0)+1,FALSE)</f>
        <v>イベント:クリスマス2015</v>
      </c>
      <c r="D12" s="59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9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9" t="str">
        <f ca="1">VLOOKUP($A12,OFFSET([1]characters!$A$1,0,0,COUNTA([1]characters!$A:$A),MATCH(F$1,[1]characters!$1:$1,0)-MATCH($A$1,[1]characters!$1:$1,0)+1),MATCH(F$1,[1]characters!$1:$1,0)-MATCH($A$1,[1]characters!$1:$1,0)+1,FALSE)</f>
        <v>不明</v>
      </c>
      <c r="G12" s="59">
        <f ca="1">VLOOKUP($A12,OFFSET([1]characters!$A$1,0,0,COUNTA([1]characters!$A:$A),MATCH(G$1,[1]characters!$1:$1,0)-MATCH($A$1,[1]characters!$1:$1,0)+1),MATCH(G$1,[1]characters!$1:$1,0)-MATCH($A$1,[1]characters!$1:$1,0)+1,FALSE)</f>
        <v>5</v>
      </c>
      <c r="H12" s="59" t="str">
        <f ca="1">VLOOKUP($A12,OFFSET([1]characters!$A$1,0,0,COUNTA([1]characters!$A:$A),MATCH(H$1,[1]characters!$1:$1,0)-MATCH($A$1,[1]characters!$1:$1,0)+1),MATCH(H$1,[1]characters!$1:$1,0)-MATCH($A$1,[1]characters!$1:$1,0)+1,FALSE)</f>
        <v>Material</v>
      </c>
      <c r="I12" s="59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INDEX(コスト!$A$1:$I$15,MATCH(H12,コスト!$A$1:$A$15,FALSE),MATCH(G12,コスト!$A$1:$I$1,FALSE))</f>
        <v>99</v>
      </c>
      <c r="O12" s="11">
        <f ca="1">INDEX(レベル!$A$1:$I$16,MATCH(H12,レベル!$A$1:$A$16,FALSE),MATCH(G12,レベル!$A$1:$I$1,FALSE))</f>
        <v>1</v>
      </c>
      <c r="P12" s="158">
        <v>1</v>
      </c>
      <c r="Q12" s="59" t="str">
        <f ca="1">VLOOKUP($A12,OFFSET([1]characters!$A$1,0,0,COUNTA([1]characters!$A:$A),MATCH(Q$1,[1]characters!$1:$1,0)-MATCH($A$1,[1]characters!$1:$1,0)+1),MATCH(Q$1,[1]characters!$1:$1,0)-MATCH($A$1,[1]characters!$1:$1,0)+1,FALSE)</f>
        <v>exp</v>
      </c>
      <c r="R12" s="5" t="str">
        <f ca="1">VLOOKUP(Q12,[1]character_type_i18n!$A:$H,3,FALSE)</f>
        <v>強化素材タイプ</v>
      </c>
      <c r="S12" s="11">
        <f ca="1">VLOOKUP(Q12,[1]character_type_i18n!$A:$H,4,FALSE)</f>
        <v>0.1</v>
      </c>
      <c r="T12" s="11">
        <f ca="1">VLOOKUP(Q12,[1]character_type_i18n!$A:$H,5,FALSE)</f>
        <v>0.05</v>
      </c>
      <c r="U12" s="11">
        <f ca="1">VLOOKUP(Q12,[1]character_type_i18n!$A:$H,6,FALSE)</f>
        <v>1</v>
      </c>
      <c r="V12" s="11">
        <f ca="1">VLOOKUP(Q12,[1]character_type_i18n!$A:$H,7,FALSE)</f>
        <v>0.05</v>
      </c>
      <c r="W12" s="59" t="str">
        <f ca="1">VLOOKUP($A12,OFFSET([1]characters!$A$1,0,0,COUNTA([1]characters!$A:$A),MATCH(W$1,[1]characters!$1:$1,0)-MATCH($A$1,[1]characters!$1:$1,0)+1),MATCH(W$1,[1]characters!$1:$1,0)-MATCH($A$1,[1]characters!$1:$1,0)+1,FALSE)</f>
        <v>unknown</v>
      </c>
      <c r="X12" s="5" t="str">
        <f ca="1">VLOOKUP(W12,[1]character_tribe_i18n!$A:$H,3,FALSE)</f>
        <v>Unknown</v>
      </c>
      <c r="Y12" s="59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1</v>
      </c>
      <c r="AB12" s="11">
        <f ca="1">VLOOKUP(W12,[1]character_tribe_i18n!$A:$H,5,FALSE)</f>
        <v>1</v>
      </c>
      <c r="AC12" s="11">
        <f ca="1">VLOOKUP(W12,[1]character_tribe_i18n!$A:$H,6,FALSE)</f>
        <v>1</v>
      </c>
      <c r="AD12" s="11">
        <f ca="1">VLOOKUP(W12,[1]character_tribe_i18n!$A:$H,7,FALSE)</f>
        <v>1</v>
      </c>
      <c r="AE12" s="9" t="s">
        <v>222</v>
      </c>
      <c r="AF12" s="64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f ca="1">IF(ISNA(MATCH(A12,AE:AE,0)),A12,INDIRECT(ADDRESS(MATCH(A12,AE:AE,0),COLUMN())))</f>
        <v>522</v>
      </c>
      <c r="AH12" s="64" t="str">
        <f ca="1">VLOOKUP($AG12,OFFSET([1]characters!$A$1,0,0,COUNTA([1]characters!$A:$A),MATCH(AH$1,[1]characters!$1:$1,0)-MATCH($A$1,[1]characters!$1:$1,0)+1),MATCH(AH$1,[1]characters!$1:$1,0)-MATCH($A$1,[1]characters!$1:$1,0)+1,FALSE)</f>
        <v>水のサンタダック</v>
      </c>
      <c r="AI12" s="11" t="str">
        <f>IF(AE12="NULL","NULL",VLOOKUP(G12,ビット!$A$2:$B$7,2))</f>
        <v>NULL</v>
      </c>
      <c r="AJ12" s="6">
        <v>2</v>
      </c>
      <c r="AK12" s="7" t="str">
        <f t="shared" si="7"/>
        <v>普通</v>
      </c>
      <c r="AL12" s="11" t="str">
        <f ca="1">INDEX(経験値!$A$1:$I$15,MATCH(H12,経験値!$A$1:$A$15,FALSE),MATCH(G12,経験値!$A$1:$I$1,FALSE))</f>
        <v>NULL</v>
      </c>
      <c r="AM12" s="159">
        <v>40000</v>
      </c>
      <c r="AN12" s="17">
        <f ca="1">VLOOKUP(G12,ビット!$G$2:$H$7,2)</f>
        <v>900</v>
      </c>
      <c r="AO12" s="46"/>
      <c r="AP12" s="69">
        <f t="shared" si="5"/>
        <v>522</v>
      </c>
      <c r="AQ12" s="59" t="str">
        <f ca="1">VLOOKUP($AP12,OFFSET(unit_skills!$A$1,0,0,COUNTA(unit_skills!$A:$A),MATCH(AQ$1,unit_skills!$1:$1,0)-MATCH($AP$1,unit_skills!$1:$1,0)+1),MATCH(AQ$1,unit_skills!$1:$1,0)-MATCH($AP$1,unit_skills!$1:$1,0)+1,FALSE)</f>
        <v>サンタダックの贈り物</v>
      </c>
      <c r="AR12" s="59" t="str">
        <f ca="1">VLOOKUP($AP12,OFFSET(unit_skills!$A$1,0,0,COUNTA(unit_skills!$A:$A),MATCH(AR$1,unit_skills!$1:$1,0)-MATCH($AP$1,unit_skills!$1:$1,0)+1),MATCH(AR$1,unit_skills!$1:$1,0)-MATCH($AP$1,unit_skills!$1:$1,0)+1,FALSE)</f>
        <v>ユニット強化の素材にして超大量の経験値をGET！</v>
      </c>
      <c r="AS12" s="59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69">
        <f t="shared" si="6"/>
        <v>522</v>
      </c>
      <c r="AU12" s="59" t="str">
        <f ca="1">VLOOKUP($AT12,OFFSET(crash_skills!$A$1,0,0,COUNTA(crash_skills!$A:$A),MATCH(AU$1,crash_skills!$1:$1,0)-MATCH($AT$1,crash_skills!$1:$1,0)+1),MATCH(AU$1,crash_skills!$1:$1,0)-MATCH($AT$1,crash_skills!$1:$1,0)+1,FALSE)</f>
        <v>メリークリスマス！</v>
      </c>
      <c r="AV12" s="59" t="str">
        <f ca="1">VLOOKUP($AT12,OFFSET(crash_skills!$A$1,0,0,COUNTA(crash_skills!$A:$A),MATCH(AV$1,crash_skills!$1:$1,0)-MATCH($AT$1,crash_skills!$1:$1,0)+1),MATCH(AV$1,crash_skills!$1:$1,0)-MATCH($AT$1,crash_skills!$1:$1,0)+1,FALSE)</f>
        <v>効果はないが_x000D_メリークリスマス クヮ！</v>
      </c>
      <c r="AW12" s="59" t="e">
        <f ca="1">VLOOKUP($AT12,OFFSET(crash_skills!$A$1,0,0,COUNTA(crash_skills!$A:$A),MATCH(AW$1,crash_skills!$1:$1,0)-MATCH($AT$1,crash_skills!$1:$1,0)+1),MATCH(AW$1,crash_skills!$1:$1,0)-MATCH($AT$1,crash_skills!$1:$1,0)+1,FALSE)</f>
        <v>#N/A</v>
      </c>
      <c r="AX12" s="60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70">
        <v>1</v>
      </c>
      <c r="AZ12" s="70">
        <v>1</v>
      </c>
      <c r="BA12" s="70">
        <v>0</v>
      </c>
      <c r="BB12" s="70">
        <v>1</v>
      </c>
      <c r="BC12" s="11">
        <f ca="1">INDEX('RC6SV'!$A$1:$G$15,MATCH(H12,'RC6SV'!$A$1:$A$15,FALSE),MATCH(G12,'RC6SV'!$A$1:$G$1,FALSE))</f>
        <v>1000</v>
      </c>
      <c r="BD12" s="49">
        <f t="shared" ca="1" si="8"/>
        <v>1000</v>
      </c>
      <c r="BE12" s="11">
        <f t="shared" ca="1" si="3"/>
        <v>0</v>
      </c>
      <c r="BF12" s="11">
        <f t="shared" ca="1" si="4"/>
        <v>1</v>
      </c>
      <c r="BG12" s="16">
        <f ca="1">IF($BE12&lt;=0,ROUND(BK12*0.5,0), ROUND($BE12*S12*AA12*J12*AY12*0.8*[1]ステータス!$B$2,0))</f>
        <v>25</v>
      </c>
      <c r="BH12" s="16">
        <f ca="1">IF($BE12&lt;=0,ROUND(BL12*0.5,0), ROUND($BE12*T12*AB12*K12*AZ12*0.8*[1]ステータス!$C$2,0))</f>
        <v>8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7</v>
      </c>
      <c r="BK12" s="11">
        <f ca="1">ROUND(BD12*S12*AA12*J12*AY12*[1]ステータス!$B$2,0)</f>
        <v>50</v>
      </c>
      <c r="BL12" s="11">
        <f ca="1">ROUND(BD12*T12*AB12*K12*AZ12*[1]ステータス!$C$2,0)</f>
        <v>15</v>
      </c>
      <c r="BM12" s="11">
        <f ca="1">ROUND(BD12*U12*AC12*L12*BA12*[1]ステータス!$D$2,0)</f>
        <v>0</v>
      </c>
      <c r="BN12" s="11">
        <f ca="1">ROUND(BD12*V12*AD12*M12*BB12*[1]ステータス!$E$2,0)</f>
        <v>13</v>
      </c>
      <c r="BO12" s="10">
        <v>0</v>
      </c>
      <c r="BP12" s="10">
        <v>1</v>
      </c>
      <c r="BQ12" s="39" t="s">
        <v>73</v>
      </c>
      <c r="BR12" s="10">
        <f ca="1">VLOOKUP(H12,ghosts_label!$A$2:$B$19,2,FALSE)</f>
        <v>0</v>
      </c>
    </row>
    <row r="13" spans="1:70" ht="21" customHeight="1" x14ac:dyDescent="0.15">
      <c r="A13" s="140">
        <v>523</v>
      </c>
      <c r="B13" s="59" t="str">
        <f ca="1">VLOOKUP($A13,OFFSET([1]characters!$A$1,0,0,COUNTA([1]characters!$A:$A),MATCH(B$1,[1]characters!$1:$1,0)-MATCH($A$1,[1]characters!$1:$1,0)+1),MATCH(B$1,[1]characters!$1:$1,0)-MATCH($A$1,[1]characters!$1:$1,0)+1,FALSE)</f>
        <v>雷のサンタダック</v>
      </c>
      <c r="C13" s="59" t="str">
        <f ca="1">VLOOKUP($A13,OFFSET([1]characters!$A$1,0,0,COUNTA([1]characters!$A:$A),MATCH(C$1,[1]characters!$1:$1,0)-MATCH($A$1,[1]characters!$1:$1,0)+1),MATCH(C$1,[1]characters!$1:$1,0)-MATCH($A$1,[1]characters!$1:$1,0)+1,FALSE)</f>
        <v>イベント:クリスマス2015</v>
      </c>
      <c r="D13" s="59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9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9" t="str">
        <f ca="1">VLOOKUP($A13,OFFSET([1]characters!$A$1,0,0,COUNTA([1]characters!$A:$A),MATCH(F$1,[1]characters!$1:$1,0)-MATCH($A$1,[1]characters!$1:$1,0)+1),MATCH(F$1,[1]characters!$1:$1,0)-MATCH($A$1,[1]characters!$1:$1,0)+1,FALSE)</f>
        <v>不明</v>
      </c>
      <c r="G13" s="59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9" t="str">
        <f ca="1">VLOOKUP($A13,OFFSET([1]characters!$A$1,0,0,COUNTA([1]characters!$A:$A),MATCH(H$1,[1]characters!$1:$1,0)-MATCH($A$1,[1]characters!$1:$1,0)+1),MATCH(H$1,[1]characters!$1:$1,0)-MATCH($A$1,[1]characters!$1:$1,0)+1,FALSE)</f>
        <v>Material</v>
      </c>
      <c r="I13" s="59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11">
        <f ca="1">VLOOKUP(I13,[1]属性!$A:$E,2,FALSE)</f>
        <v>0.98</v>
      </c>
      <c r="K13" s="11">
        <f ca="1">VLOOKUP(I13,[1]属性!$A:$E,3,FALSE)</f>
        <v>1.01</v>
      </c>
      <c r="L13" s="11">
        <f ca="1">VLOOKUP(I13,[1]属性!$A:$E,4,FALSE)</f>
        <v>1</v>
      </c>
      <c r="M13" s="11">
        <f ca="1">VLOOKUP(I13,[1]属性!$A:$E,5,FALSE)</f>
        <v>1.01</v>
      </c>
      <c r="N13" s="11">
        <f ca="1">INDEX(コスト!$A$1:$I$15,MATCH(H13,コスト!$A$1:$A$15,FALSE),MATCH(G13,コスト!$A$1:$I$1,FALSE))</f>
        <v>99</v>
      </c>
      <c r="O13" s="11">
        <f ca="1">INDEX(レベル!$A$1:$I$16,MATCH(H13,レベル!$A$1:$A$16,FALSE),MATCH(G13,レベル!$A$1:$I$1,FALSE))</f>
        <v>1</v>
      </c>
      <c r="P13" s="158">
        <v>1</v>
      </c>
      <c r="Q13" s="59" t="str">
        <f ca="1">VLOOKUP($A13,OFFSET([1]characters!$A$1,0,0,COUNTA([1]characters!$A:$A),MATCH(Q$1,[1]characters!$1:$1,0)-MATCH($A$1,[1]characters!$1:$1,0)+1),MATCH(Q$1,[1]characters!$1:$1,0)-MATCH($A$1,[1]characters!$1:$1,0)+1,FALSE)</f>
        <v>exp</v>
      </c>
      <c r="R13" s="5" t="str">
        <f ca="1">VLOOKUP(Q13,[1]character_type_i18n!$A:$H,3,FALSE)</f>
        <v>強化素材タイプ</v>
      </c>
      <c r="S13" s="11">
        <f ca="1">VLOOKUP(Q13,[1]character_type_i18n!$A:$H,4,FALSE)</f>
        <v>0.1</v>
      </c>
      <c r="T13" s="11">
        <f ca="1">VLOOKUP(Q13,[1]character_type_i18n!$A:$H,5,FALSE)</f>
        <v>0.05</v>
      </c>
      <c r="U13" s="11">
        <f ca="1">VLOOKUP(Q13,[1]character_type_i18n!$A:$H,6,FALSE)</f>
        <v>1</v>
      </c>
      <c r="V13" s="11">
        <f ca="1">VLOOKUP(Q13,[1]character_type_i18n!$A:$H,7,FALSE)</f>
        <v>0.05</v>
      </c>
      <c r="W13" s="59" t="str">
        <f ca="1">VLOOKUP($A13,OFFSET([1]characters!$A$1,0,0,COUNTA([1]characters!$A:$A),MATCH(W$1,[1]characters!$1:$1,0)-MATCH($A$1,[1]characters!$1:$1,0)+1),MATCH(W$1,[1]characters!$1:$1,0)-MATCH($A$1,[1]characters!$1:$1,0)+1,FALSE)</f>
        <v>unknown</v>
      </c>
      <c r="X13" s="5" t="str">
        <f ca="1">VLOOKUP(W13,[1]character_tribe_i18n!$A:$H,3,FALSE)</f>
        <v>Unknown</v>
      </c>
      <c r="Y13" s="59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</v>
      </c>
      <c r="AC13" s="11">
        <f ca="1">VLOOKUP(W13,[1]character_tribe_i18n!$A:$H,6,FALSE)</f>
        <v>1</v>
      </c>
      <c r="AD13" s="11">
        <f ca="1">VLOOKUP(W13,[1]character_tribe_i18n!$A:$H,7,FALSE)</f>
        <v>1</v>
      </c>
      <c r="AE13" s="9" t="s">
        <v>222</v>
      </c>
      <c r="AF13" s="64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ca="1">IF(ISNA(MATCH(A13,AE:AE,0)),A13,INDIRECT(ADDRESS(MATCH(A13,AE:AE,0),COLUMN())))</f>
        <v>523</v>
      </c>
      <c r="AH13" s="64" t="str">
        <f ca="1">VLOOKUP($AG13,OFFSET([1]characters!$A$1,0,0,COUNTA([1]characters!$A:$A),MATCH(AH$1,[1]characters!$1:$1,0)-MATCH($A$1,[1]characters!$1:$1,0)+1),MATCH(AH$1,[1]characters!$1:$1,0)-MATCH($A$1,[1]characters!$1:$1,0)+1,FALSE)</f>
        <v>雷のサンタダック</v>
      </c>
      <c r="AI13" s="11" t="str">
        <f>IF(AE13="NULL","NULL",VLOOKUP(G13,ビット!$A$2:$B$7,2))</f>
        <v>NULL</v>
      </c>
      <c r="AJ13" s="6">
        <v>2</v>
      </c>
      <c r="AK13" s="7" t="str">
        <f t="shared" si="7"/>
        <v>普通</v>
      </c>
      <c r="AL13" s="11" t="str">
        <f ca="1">INDEX(経験値!$A$1:$I$15,MATCH(H13,経験値!$A$1:$A$15,FALSE),MATCH(G13,経験値!$A$1:$I$1,FALSE))</f>
        <v>NULL</v>
      </c>
      <c r="AM13" s="159">
        <v>40000</v>
      </c>
      <c r="AN13" s="17">
        <f ca="1">VLOOKUP(G13,ビット!$G$2:$H$7,2)</f>
        <v>900</v>
      </c>
      <c r="AO13" s="46"/>
      <c r="AP13" s="69">
        <f t="shared" si="5"/>
        <v>523</v>
      </c>
      <c r="AQ13" s="59" t="str">
        <f ca="1">VLOOKUP($AP13,OFFSET(unit_skills!$A$1,0,0,COUNTA(unit_skills!$A:$A),MATCH(AQ$1,unit_skills!$1:$1,0)-MATCH($AP$1,unit_skills!$1:$1,0)+1),MATCH(AQ$1,unit_skills!$1:$1,0)-MATCH($AP$1,unit_skills!$1:$1,0)+1,FALSE)</f>
        <v>サンタダックの贈り物</v>
      </c>
      <c r="AR13" s="59" t="str">
        <f ca="1">VLOOKUP($AP13,OFFSET(unit_skills!$A$1,0,0,COUNTA(unit_skills!$A:$A),MATCH(AR$1,unit_skills!$1:$1,0)-MATCH($AP$1,unit_skills!$1:$1,0)+1),MATCH(AR$1,unit_skills!$1:$1,0)-MATCH($AP$1,unit_skills!$1:$1,0)+1,FALSE)</f>
        <v>ユニット強化の素材にして超大量の経験値をGET！</v>
      </c>
      <c r="AS13" s="59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69">
        <f t="shared" si="6"/>
        <v>523</v>
      </c>
      <c r="AU13" s="59" t="str">
        <f ca="1">VLOOKUP($AT13,OFFSET(crash_skills!$A$1,0,0,COUNTA(crash_skills!$A:$A),MATCH(AU$1,crash_skills!$1:$1,0)-MATCH($AT$1,crash_skills!$1:$1,0)+1),MATCH(AU$1,crash_skills!$1:$1,0)-MATCH($AT$1,crash_skills!$1:$1,0)+1,FALSE)</f>
        <v>メリークリスマス！</v>
      </c>
      <c r="AV13" s="59" t="str">
        <f ca="1">VLOOKUP($AT13,OFFSET(crash_skills!$A$1,0,0,COUNTA(crash_skills!$A:$A),MATCH(AV$1,crash_skills!$1:$1,0)-MATCH($AT$1,crash_skills!$1:$1,0)+1),MATCH(AV$1,crash_skills!$1:$1,0)-MATCH($AT$1,crash_skills!$1:$1,0)+1,FALSE)</f>
        <v>効果はないが_x000D_メリークリスマス クヮ！</v>
      </c>
      <c r="AW13" s="59" t="e">
        <f ca="1">VLOOKUP($AT13,OFFSET(crash_skills!$A$1,0,0,COUNTA(crash_skills!$A:$A),MATCH(AW$1,crash_skills!$1:$1,0)-MATCH($AT$1,crash_skills!$1:$1,0)+1),MATCH(AW$1,crash_skills!$1:$1,0)-MATCH($AT$1,crash_skills!$1:$1,0)+1,FALSE)</f>
        <v>#N/A</v>
      </c>
      <c r="AX13" s="60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70">
        <v>1</v>
      </c>
      <c r="AZ13" s="70">
        <v>1</v>
      </c>
      <c r="BA13" s="70">
        <v>0</v>
      </c>
      <c r="BB13" s="70">
        <v>1</v>
      </c>
      <c r="BC13" s="11">
        <f ca="1">INDEX('RC6SV'!$A$1:$G$15,MATCH(H13,'RC6SV'!$A$1:$A$15,FALSE),MATCH(G13,'RC6SV'!$A$1:$G$1,FALSE))</f>
        <v>1000</v>
      </c>
      <c r="BD13" s="49">
        <f t="shared" ca="1" si="8"/>
        <v>1000</v>
      </c>
      <c r="BE13" s="11">
        <f t="shared" ca="1" si="3"/>
        <v>0</v>
      </c>
      <c r="BF13" s="11">
        <f t="shared" ca="1" si="4"/>
        <v>1</v>
      </c>
      <c r="BG13" s="16">
        <f ca="1">IF($BE13&lt;=0,ROUND(BK13*0.5,0), ROUND($BE13*S13*AA13*J13*AY13*0.8*[1]ステータス!$B$2,0))</f>
        <v>25</v>
      </c>
      <c r="BH13" s="16">
        <f ca="1">IF($BE13&lt;=0,ROUND(BL13*0.5,0), ROUND($BE13*T13*AB13*K13*AZ13*0.8*[1]ステータス!$C$2,0))</f>
        <v>8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7</v>
      </c>
      <c r="BK13" s="11">
        <f ca="1">ROUND(BD13*S13*AA13*J13*AY13*[1]ステータス!$B$2,0)</f>
        <v>49</v>
      </c>
      <c r="BL13" s="11">
        <f ca="1">ROUND(BD13*T13*AB13*K13*AZ13*[1]ステータス!$C$2,0)</f>
        <v>15</v>
      </c>
      <c r="BM13" s="11">
        <f ca="1">ROUND(BD13*U13*AC13*L13*BA13*[1]ステータス!$D$2,0)</f>
        <v>0</v>
      </c>
      <c r="BN13" s="11">
        <f ca="1">ROUND(BD13*V13*AD13*M13*BB13*[1]ステータス!$E$2,0)</f>
        <v>13</v>
      </c>
      <c r="BO13" s="10">
        <v>0</v>
      </c>
      <c r="BP13" s="10">
        <v>1</v>
      </c>
      <c r="BQ13" s="10" t="s">
        <v>73</v>
      </c>
      <c r="BR13" s="10">
        <f ca="1">VLOOKUP(H13,ghosts_label!$A$2:$B$19,2,FALSE)</f>
        <v>0</v>
      </c>
    </row>
  </sheetData>
  <autoFilter ref="A1:BQ5"/>
  <phoneticPr fontId="10"/>
  <conditionalFormatting sqref="BO1">
    <cfRule type="cellIs" dxfId="23" priority="120" stopIfTrue="1" operator="equal">
      <formula>1</formula>
    </cfRule>
  </conditionalFormatting>
  <conditionalFormatting sqref="BQ1">
    <cfRule type="cellIs" dxfId="22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3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16" sqref="I16"/>
    </sheetView>
  </sheetViews>
  <sheetFormatPr baseColWidth="12" defaultColWidth="13" defaultRowHeight="21" customHeight="1" outlineLevelCol="1" x14ac:dyDescent="0.15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 x14ac:dyDescent="0.15">
      <c r="A1" s="126" t="s">
        <v>21</v>
      </c>
      <c r="B1" s="127" t="s">
        <v>171</v>
      </c>
      <c r="C1" s="128" t="s">
        <v>66</v>
      </c>
      <c r="D1" s="129" t="s">
        <v>200</v>
      </c>
      <c r="E1" s="129" t="s">
        <v>201</v>
      </c>
      <c r="F1" s="126" t="s">
        <v>183</v>
      </c>
      <c r="G1" s="130" t="s">
        <v>2</v>
      </c>
      <c r="H1" s="130" t="s">
        <v>202</v>
      </c>
      <c r="I1" s="130" t="s">
        <v>203</v>
      </c>
      <c r="J1" s="131" t="s">
        <v>223</v>
      </c>
      <c r="K1" s="130" t="s">
        <v>4</v>
      </c>
      <c r="L1" s="132" t="s">
        <v>204</v>
      </c>
      <c r="M1" s="133" t="s">
        <v>205</v>
      </c>
      <c r="N1" s="133" t="s">
        <v>206</v>
      </c>
      <c r="O1" s="133" t="s">
        <v>207</v>
      </c>
      <c r="P1" s="133" t="s">
        <v>208</v>
      </c>
      <c r="Q1" s="134" t="s">
        <v>209</v>
      </c>
      <c r="R1" s="135" t="s">
        <v>210</v>
      </c>
      <c r="S1" s="136" t="s">
        <v>211</v>
      </c>
    </row>
    <row r="2" spans="1:19" ht="21" customHeight="1" x14ac:dyDescent="0.15">
      <c r="A2" s="12">
        <v>512</v>
      </c>
      <c r="B2" s="141" t="s">
        <v>224</v>
      </c>
      <c r="C2" s="155" t="s">
        <v>254</v>
      </c>
      <c r="D2" s="153" t="s">
        <v>240</v>
      </c>
      <c r="E2" s="143">
        <f t="shared" ref="E2" si="0">LEN(D2)</f>
        <v>12</v>
      </c>
      <c r="F2" s="125">
        <v>10</v>
      </c>
      <c r="G2" s="125">
        <v>5</v>
      </c>
      <c r="H2" s="144">
        <f>2001</f>
        <v>2001</v>
      </c>
      <c r="I2" s="152" t="s">
        <v>241</v>
      </c>
      <c r="J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聖火の逆徒 クリスマス・ベリアル</v>
      </c>
      <c r="K2" s="145">
        <v>3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2">
        <v>513</v>
      </c>
      <c r="B3" s="141" t="s">
        <v>224</v>
      </c>
      <c r="C3" s="155" t="s">
        <v>255</v>
      </c>
      <c r="D3" s="153" t="s">
        <v>228</v>
      </c>
      <c r="E3" s="143">
        <f t="shared" ref="E3" si="1">LEN(D3)</f>
        <v>13</v>
      </c>
      <c r="F3" s="125">
        <v>12</v>
      </c>
      <c r="G3" s="125">
        <v>5</v>
      </c>
      <c r="H3" s="144">
        <f>2001</f>
        <v>2001</v>
      </c>
      <c r="I3" s="152" t="s">
        <v>262</v>
      </c>
      <c r="J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爆進の荷炎 クリスマス・ベリアル</v>
      </c>
      <c r="K3" s="151">
        <f>K$2</f>
        <v>3</v>
      </c>
      <c r="L3" s="146"/>
      <c r="M3" s="147"/>
      <c r="N3" s="147"/>
      <c r="O3" s="147"/>
      <c r="P3" s="147"/>
      <c r="Q3" s="147"/>
      <c r="R3" s="142"/>
      <c r="S3" s="148"/>
    </row>
    <row r="4" spans="1:19" ht="21" customHeight="1" x14ac:dyDescent="0.15">
      <c r="A4" s="12">
        <v>514</v>
      </c>
      <c r="B4" s="141" t="s">
        <v>224</v>
      </c>
      <c r="C4" s="155" t="s">
        <v>256</v>
      </c>
      <c r="D4" s="142" t="s">
        <v>229</v>
      </c>
      <c r="E4" s="143">
        <f t="shared" ref="E4:E10" si="2">LEN(D4)</f>
        <v>34</v>
      </c>
      <c r="F4" s="125">
        <v>9</v>
      </c>
      <c r="G4" s="125">
        <v>5</v>
      </c>
      <c r="H4" s="144">
        <f>2001</f>
        <v>2001</v>
      </c>
      <c r="I4" s="152" t="s">
        <v>230</v>
      </c>
      <c r="J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祝宴の識徒 サンタクロース・オセ</v>
      </c>
      <c r="K4" s="151">
        <f t="shared" ref="K4:K9" si="3">K$2</f>
        <v>3</v>
      </c>
      <c r="L4" s="146"/>
      <c r="M4" s="147"/>
      <c r="N4" s="147"/>
      <c r="O4" s="147"/>
      <c r="P4" s="147"/>
      <c r="Q4" s="147"/>
      <c r="R4" s="142"/>
      <c r="S4" s="148"/>
    </row>
    <row r="5" spans="1:19" ht="21" customHeight="1" x14ac:dyDescent="0.15">
      <c r="A5" s="12">
        <v>515</v>
      </c>
      <c r="B5" s="141" t="s">
        <v>224</v>
      </c>
      <c r="C5" s="155" t="s">
        <v>257</v>
      </c>
      <c r="D5" s="142" t="s">
        <v>229</v>
      </c>
      <c r="E5" s="143">
        <f t="shared" si="2"/>
        <v>34</v>
      </c>
      <c r="F5" s="125">
        <v>9</v>
      </c>
      <c r="G5" s="125">
        <v>5</v>
      </c>
      <c r="H5" s="144">
        <f>2001</f>
        <v>2001</v>
      </c>
      <c r="I5" s="152" t="s">
        <v>230</v>
      </c>
      <c r="J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聖夜の贈主 サンタクロース・オセ</v>
      </c>
      <c r="K5" s="151">
        <f t="shared" si="3"/>
        <v>3</v>
      </c>
      <c r="L5" s="146"/>
      <c r="M5" s="147"/>
      <c r="N5" s="147"/>
      <c r="O5" s="147"/>
      <c r="P5" s="147"/>
      <c r="Q5" s="147"/>
      <c r="R5" s="142"/>
      <c r="S5" s="148"/>
    </row>
    <row r="6" spans="1:19" ht="21" customHeight="1" x14ac:dyDescent="0.15">
      <c r="A6" s="12">
        <v>516</v>
      </c>
      <c r="B6" s="141" t="s">
        <v>224</v>
      </c>
      <c r="C6" s="155" t="s">
        <v>258</v>
      </c>
      <c r="D6" s="142" t="s">
        <v>268</v>
      </c>
      <c r="E6" s="143">
        <f t="shared" si="2"/>
        <v>39</v>
      </c>
      <c r="F6" s="125">
        <v>14</v>
      </c>
      <c r="G6" s="125">
        <v>5</v>
      </c>
      <c r="H6" s="144">
        <f>2001</f>
        <v>2001</v>
      </c>
      <c r="I6" s="144" t="s">
        <v>239</v>
      </c>
      <c r="J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聖母 マリア</v>
      </c>
      <c r="K6" s="151">
        <f t="shared" si="3"/>
        <v>3</v>
      </c>
      <c r="L6" s="146"/>
      <c r="M6" s="147"/>
      <c r="N6" s="147"/>
      <c r="O6" s="147"/>
      <c r="P6" s="147"/>
      <c r="Q6" s="147"/>
      <c r="R6" s="142"/>
      <c r="S6" s="148"/>
    </row>
    <row r="7" spans="1:19" ht="21" customHeight="1" x14ac:dyDescent="0.15">
      <c r="A7" s="12">
        <v>517</v>
      </c>
      <c r="B7" s="141" t="s">
        <v>224</v>
      </c>
      <c r="C7" s="155" t="s">
        <v>258</v>
      </c>
      <c r="D7" s="142" t="s">
        <v>267</v>
      </c>
      <c r="E7" s="143">
        <f t="shared" si="2"/>
        <v>39</v>
      </c>
      <c r="F7" s="125">
        <v>14</v>
      </c>
      <c r="G7" s="125">
        <v>5</v>
      </c>
      <c r="H7" s="144">
        <f>2001</f>
        <v>2001</v>
      </c>
      <c r="I7" s="144" t="s">
        <v>239</v>
      </c>
      <c r="J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真冬の誕生祭 マリア</v>
      </c>
      <c r="K7" s="151">
        <f t="shared" si="3"/>
        <v>3</v>
      </c>
      <c r="L7" s="146"/>
      <c r="M7" s="147"/>
      <c r="N7" s="147"/>
      <c r="O7" s="147"/>
      <c r="P7" s="147"/>
      <c r="Q7" s="147"/>
      <c r="R7" s="142"/>
      <c r="S7" s="148"/>
    </row>
    <row r="8" spans="1:19" ht="21" customHeight="1" x14ac:dyDescent="0.15">
      <c r="A8" s="12">
        <v>518</v>
      </c>
      <c r="B8" s="141" t="s">
        <v>224</v>
      </c>
      <c r="C8" s="115" t="s">
        <v>259</v>
      </c>
      <c r="D8" s="142" t="s">
        <v>242</v>
      </c>
      <c r="E8" s="143">
        <f t="shared" si="2"/>
        <v>13</v>
      </c>
      <c r="F8" s="125">
        <v>13</v>
      </c>
      <c r="G8" s="125">
        <v>5</v>
      </c>
      <c r="H8" s="144">
        <f>2001</f>
        <v>2001</v>
      </c>
      <c r="I8" s="152" t="s">
        <v>261</v>
      </c>
      <c r="J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秘来の聖天使 ミカエル</v>
      </c>
      <c r="K8" s="151">
        <f t="shared" si="3"/>
        <v>3</v>
      </c>
      <c r="L8" s="146"/>
      <c r="M8" s="147"/>
      <c r="N8" s="147"/>
      <c r="O8" s="147"/>
      <c r="P8" s="147"/>
      <c r="Q8" s="147"/>
      <c r="R8" s="142"/>
      <c r="S8" s="148"/>
    </row>
    <row r="9" spans="1:19" ht="21" customHeight="1" x14ac:dyDescent="0.15">
      <c r="A9" s="12">
        <v>519</v>
      </c>
      <c r="B9" s="141" t="s">
        <v>224</v>
      </c>
      <c r="C9" s="156" t="s">
        <v>260</v>
      </c>
      <c r="D9" s="142" t="s">
        <v>243</v>
      </c>
      <c r="E9" s="143">
        <f t="shared" si="2"/>
        <v>36</v>
      </c>
      <c r="F9" s="125">
        <v>19</v>
      </c>
      <c r="G9" s="125">
        <v>5</v>
      </c>
      <c r="H9" s="144">
        <f>2001</f>
        <v>2001</v>
      </c>
      <c r="I9" s="152" t="s">
        <v>271</v>
      </c>
      <c r="J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夜天の聖天使 ミカエル・ハレルヤ</v>
      </c>
      <c r="K9" s="151">
        <f t="shared" si="3"/>
        <v>3</v>
      </c>
      <c r="L9" s="146"/>
      <c r="M9" s="147"/>
      <c r="N9" s="147"/>
      <c r="O9" s="147"/>
      <c r="P9" s="147"/>
      <c r="Q9" s="147"/>
      <c r="R9" s="142"/>
      <c r="S9" s="148"/>
    </row>
    <row r="10" spans="1:19" ht="21" customHeight="1" x14ac:dyDescent="0.15">
      <c r="A10" s="12">
        <v>520</v>
      </c>
      <c r="B10" s="141" t="s">
        <v>224</v>
      </c>
      <c r="C10" s="142" t="s">
        <v>270</v>
      </c>
      <c r="D10" s="142" t="s">
        <v>269</v>
      </c>
      <c r="E10" s="143">
        <f t="shared" si="2"/>
        <v>24</v>
      </c>
      <c r="F10" s="125">
        <v>0</v>
      </c>
      <c r="G10" s="125">
        <v>1</v>
      </c>
      <c r="H10" s="144">
        <f>2001</f>
        <v>2001</v>
      </c>
      <c r="I10" s="144"/>
      <c r="J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炎のサンタダック</v>
      </c>
      <c r="K10" s="145">
        <v>3</v>
      </c>
      <c r="L10" s="146"/>
      <c r="M10" s="147"/>
      <c r="N10" s="147"/>
      <c r="O10" s="147"/>
      <c r="P10" s="147"/>
      <c r="Q10" s="147"/>
      <c r="R10" s="142"/>
      <c r="S10" s="148"/>
    </row>
    <row r="11" spans="1:19" ht="21" customHeight="1" x14ac:dyDescent="0.15">
      <c r="A11" s="12">
        <v>521</v>
      </c>
      <c r="B11" s="141" t="s">
        <v>224</v>
      </c>
      <c r="C11" s="142" t="s">
        <v>270</v>
      </c>
      <c r="D11" s="142" t="s">
        <v>269</v>
      </c>
      <c r="E11" s="143">
        <f t="shared" ref="E11:E13" si="4">LEN(D11)</f>
        <v>24</v>
      </c>
      <c r="F11" s="125">
        <v>0</v>
      </c>
      <c r="G11" s="125">
        <v>1</v>
      </c>
      <c r="H11" s="144">
        <f>2001</f>
        <v>2001</v>
      </c>
      <c r="I11" s="144"/>
      <c r="J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森のサンタダック</v>
      </c>
      <c r="K11" s="145">
        <v>3</v>
      </c>
      <c r="L11" s="146"/>
      <c r="M11" s="147"/>
      <c r="N11" s="147"/>
      <c r="O11" s="147"/>
      <c r="P11" s="147"/>
      <c r="Q11" s="147"/>
      <c r="R11" s="142"/>
      <c r="S11" s="148"/>
    </row>
    <row r="12" spans="1:19" ht="21" customHeight="1" x14ac:dyDescent="0.15">
      <c r="A12" s="12">
        <v>522</v>
      </c>
      <c r="B12" s="141" t="s">
        <v>224</v>
      </c>
      <c r="C12" s="142" t="s">
        <v>270</v>
      </c>
      <c r="D12" s="142" t="s">
        <v>269</v>
      </c>
      <c r="E12" s="143">
        <f t="shared" si="4"/>
        <v>24</v>
      </c>
      <c r="F12" s="125">
        <v>0</v>
      </c>
      <c r="G12" s="125">
        <v>1</v>
      </c>
      <c r="H12" s="144">
        <f>2001</f>
        <v>2001</v>
      </c>
      <c r="I12" s="144"/>
      <c r="J12" s="59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水のサンタダック</v>
      </c>
      <c r="K12" s="145">
        <v>3</v>
      </c>
      <c r="L12" s="146"/>
      <c r="M12" s="147"/>
      <c r="N12" s="147"/>
      <c r="O12" s="147"/>
      <c r="P12" s="147"/>
      <c r="Q12" s="147"/>
      <c r="R12" s="142"/>
      <c r="S12" s="148"/>
    </row>
    <row r="13" spans="1:19" ht="21" customHeight="1" x14ac:dyDescent="0.15">
      <c r="A13" s="12">
        <v>523</v>
      </c>
      <c r="B13" s="141" t="s">
        <v>224</v>
      </c>
      <c r="C13" s="142" t="s">
        <v>270</v>
      </c>
      <c r="D13" s="142" t="s">
        <v>269</v>
      </c>
      <c r="E13" s="143">
        <f t="shared" si="4"/>
        <v>24</v>
      </c>
      <c r="F13" s="125">
        <v>0</v>
      </c>
      <c r="G13" s="125">
        <v>1</v>
      </c>
      <c r="H13" s="144">
        <f>2001</f>
        <v>2001</v>
      </c>
      <c r="I13" s="144"/>
      <c r="J13" s="59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雷のサンタダック</v>
      </c>
      <c r="K13" s="145">
        <v>3</v>
      </c>
      <c r="L13" s="146"/>
      <c r="M13" s="147"/>
      <c r="N13" s="147"/>
      <c r="O13" s="147"/>
      <c r="P13" s="147"/>
      <c r="Q13" s="147"/>
      <c r="R13" s="142"/>
      <c r="S13" s="148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4:E1048576">
    <cfRule type="cellIs" dxfId="21" priority="8" operator="greaterThan">
      <formula>41</formula>
    </cfRule>
  </conditionalFormatting>
  <conditionalFormatting sqref="E2">
    <cfRule type="cellIs" dxfId="20" priority="2" operator="greaterThan">
      <formula>41</formula>
    </cfRule>
  </conditionalFormatting>
  <conditionalFormatting sqref="E3:E13">
    <cfRule type="cellIs" dxfId="19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H1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10" sqref="D10"/>
    </sheetView>
  </sheetViews>
  <sheetFormatPr baseColWidth="12" defaultColWidth="13" defaultRowHeight="21" customHeight="1" x14ac:dyDescent="0.15"/>
  <cols>
    <col min="1" max="2" width="12.1640625" style="138" customWidth="1"/>
    <col min="3" max="3" width="48.83203125" style="139" customWidth="1"/>
    <col min="4" max="4" width="23.83203125" style="139" customWidth="1"/>
    <col min="5" max="5" width="10.5" style="139" customWidth="1"/>
    <col min="6" max="7" width="59.1640625" style="139" customWidth="1"/>
    <col min="8" max="8" width="6.83203125" style="138" bestFit="1" customWidth="1"/>
    <col min="9" max="16384" width="13" style="138"/>
  </cols>
  <sheetData>
    <row r="1" spans="1:8" ht="21" customHeight="1" x14ac:dyDescent="0.15">
      <c r="A1" s="126" t="s">
        <v>218</v>
      </c>
      <c r="B1" s="127" t="s">
        <v>217</v>
      </c>
      <c r="C1" s="128" t="s">
        <v>216</v>
      </c>
      <c r="D1" s="129" t="s">
        <v>215</v>
      </c>
      <c r="E1" s="129" t="s">
        <v>214</v>
      </c>
      <c r="F1" s="130" t="s">
        <v>213</v>
      </c>
      <c r="G1" s="131" t="s">
        <v>223</v>
      </c>
      <c r="H1" s="130" t="s">
        <v>212</v>
      </c>
    </row>
    <row r="2" spans="1:8" ht="21" customHeight="1" x14ac:dyDescent="0.15">
      <c r="A2" s="12">
        <v>512</v>
      </c>
      <c r="B2" s="141" t="s">
        <v>225</v>
      </c>
      <c r="C2" s="155" t="s">
        <v>246</v>
      </c>
      <c r="D2" s="142" t="s">
        <v>231</v>
      </c>
      <c r="E2" s="143">
        <f t="shared" ref="E2" si="0">LEN(D2)</f>
        <v>8</v>
      </c>
      <c r="F2" s="154" t="s">
        <v>244</v>
      </c>
      <c r="G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聖火の逆徒 クリスマス・ベリアル</v>
      </c>
      <c r="H2" s="144">
        <v>3</v>
      </c>
    </row>
    <row r="3" spans="1:8" ht="21" customHeight="1" x14ac:dyDescent="0.15">
      <c r="A3" s="12">
        <v>513</v>
      </c>
      <c r="B3" s="141" t="s">
        <v>224</v>
      </c>
      <c r="C3" s="155" t="s">
        <v>247</v>
      </c>
      <c r="D3" s="142" t="s">
        <v>231</v>
      </c>
      <c r="E3" s="143">
        <f t="shared" ref="E3" si="1">LEN(D3)</f>
        <v>8</v>
      </c>
      <c r="F3" s="154" t="s">
        <v>244</v>
      </c>
      <c r="G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爆進の荷炎 クリスマス・ベリアル</v>
      </c>
      <c r="H3" s="150">
        <f>H$2</f>
        <v>3</v>
      </c>
    </row>
    <row r="4" spans="1:8" ht="21" customHeight="1" x14ac:dyDescent="0.15">
      <c r="A4" s="12">
        <v>514</v>
      </c>
      <c r="B4" s="141" t="s">
        <v>224</v>
      </c>
      <c r="C4" s="155" t="s">
        <v>248</v>
      </c>
      <c r="D4" s="142" t="s">
        <v>232</v>
      </c>
      <c r="E4" s="143">
        <f t="shared" ref="E4:E12" si="2">LEN(D4)</f>
        <v>10</v>
      </c>
      <c r="F4" s="154" t="s">
        <v>245</v>
      </c>
      <c r="G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祝宴の識徒 サンタクロース・オセ</v>
      </c>
      <c r="H4" s="150">
        <f t="shared" ref="H4:H9" si="3">H$2</f>
        <v>3</v>
      </c>
    </row>
    <row r="5" spans="1:8" ht="21" customHeight="1" x14ac:dyDescent="0.15">
      <c r="A5" s="12">
        <v>515</v>
      </c>
      <c r="B5" s="141" t="s">
        <v>224</v>
      </c>
      <c r="C5" s="155" t="s">
        <v>249</v>
      </c>
      <c r="D5" s="142" t="s">
        <v>232</v>
      </c>
      <c r="E5" s="143">
        <f t="shared" si="2"/>
        <v>10</v>
      </c>
      <c r="F5" s="154" t="s">
        <v>245</v>
      </c>
      <c r="G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聖夜の贈主 サンタクロース・オセ</v>
      </c>
      <c r="H5" s="150">
        <f t="shared" si="3"/>
        <v>3</v>
      </c>
    </row>
    <row r="6" spans="1:8" ht="21" customHeight="1" x14ac:dyDescent="0.15">
      <c r="A6" s="12">
        <v>516</v>
      </c>
      <c r="B6" s="141" t="s">
        <v>224</v>
      </c>
      <c r="C6" s="155" t="s">
        <v>250</v>
      </c>
      <c r="D6" s="142" t="s">
        <v>237</v>
      </c>
      <c r="E6" s="143">
        <f t="shared" si="2"/>
        <v>6</v>
      </c>
      <c r="F6" s="154" t="s">
        <v>235</v>
      </c>
      <c r="G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聖母 マリア</v>
      </c>
      <c r="H6" s="150">
        <f t="shared" si="3"/>
        <v>3</v>
      </c>
    </row>
    <row r="7" spans="1:8" ht="21" customHeight="1" x14ac:dyDescent="0.15">
      <c r="A7" s="12">
        <v>517</v>
      </c>
      <c r="B7" s="141" t="s">
        <v>224</v>
      </c>
      <c r="C7" s="155" t="s">
        <v>251</v>
      </c>
      <c r="D7" s="142" t="s">
        <v>238</v>
      </c>
      <c r="E7" s="143">
        <f t="shared" si="2"/>
        <v>6</v>
      </c>
      <c r="F7" s="154" t="s">
        <v>236</v>
      </c>
      <c r="G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真冬の誕生祭 マリア</v>
      </c>
      <c r="H7" s="150">
        <f t="shared" si="3"/>
        <v>3</v>
      </c>
    </row>
    <row r="8" spans="1:8" ht="21" customHeight="1" x14ac:dyDescent="0.15">
      <c r="A8" s="12">
        <v>518</v>
      </c>
      <c r="B8" s="141" t="s">
        <v>224</v>
      </c>
      <c r="C8" s="115" t="s">
        <v>252</v>
      </c>
      <c r="D8" s="142" t="s">
        <v>233</v>
      </c>
      <c r="E8" s="143">
        <f t="shared" si="2"/>
        <v>8</v>
      </c>
      <c r="F8" s="154" t="s">
        <v>264</v>
      </c>
      <c r="G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秘来の聖天使 ミカエル</v>
      </c>
      <c r="H8" s="150">
        <f t="shared" si="3"/>
        <v>3</v>
      </c>
    </row>
    <row r="9" spans="1:8" ht="21" customHeight="1" x14ac:dyDescent="0.15">
      <c r="A9" s="12">
        <v>519</v>
      </c>
      <c r="B9" s="141" t="s">
        <v>224</v>
      </c>
      <c r="C9" s="115" t="s">
        <v>253</v>
      </c>
      <c r="D9" s="142" t="s">
        <v>234</v>
      </c>
      <c r="E9" s="143">
        <f t="shared" si="2"/>
        <v>9</v>
      </c>
      <c r="F9" s="154" t="s">
        <v>263</v>
      </c>
      <c r="G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夜天の聖天使 ミカエル・ハレルヤ</v>
      </c>
      <c r="H9" s="150">
        <f t="shared" si="3"/>
        <v>3</v>
      </c>
    </row>
    <row r="10" spans="1:8" ht="21" customHeight="1" x14ac:dyDescent="0.15">
      <c r="A10" s="12">
        <v>520</v>
      </c>
      <c r="B10" s="141" t="s">
        <v>224</v>
      </c>
      <c r="C10" s="142" t="s">
        <v>266</v>
      </c>
      <c r="D10" s="142" t="s">
        <v>265</v>
      </c>
      <c r="E10" s="143">
        <f t="shared" si="2"/>
        <v>19</v>
      </c>
      <c r="F10" s="125"/>
      <c r="G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炎のサンタダック</v>
      </c>
      <c r="H10" s="144">
        <v>3</v>
      </c>
    </row>
    <row r="11" spans="1:8" ht="21" customHeight="1" x14ac:dyDescent="0.15">
      <c r="A11" s="12">
        <v>521</v>
      </c>
      <c r="B11" s="141" t="s">
        <v>224</v>
      </c>
      <c r="C11" s="142" t="s">
        <v>266</v>
      </c>
      <c r="D11" s="142" t="s">
        <v>265</v>
      </c>
      <c r="E11" s="143">
        <f t="shared" si="2"/>
        <v>19</v>
      </c>
      <c r="F11" s="125"/>
      <c r="G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森のサンタダック</v>
      </c>
      <c r="H11" s="144">
        <v>3</v>
      </c>
    </row>
    <row r="12" spans="1:8" ht="21" customHeight="1" x14ac:dyDescent="0.15">
      <c r="A12" s="12">
        <v>522</v>
      </c>
      <c r="B12" s="141" t="s">
        <v>224</v>
      </c>
      <c r="C12" s="142" t="s">
        <v>266</v>
      </c>
      <c r="D12" s="142" t="s">
        <v>265</v>
      </c>
      <c r="E12" s="143">
        <f t="shared" si="2"/>
        <v>19</v>
      </c>
      <c r="F12" s="125"/>
      <c r="G12" s="59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水のサンタダック</v>
      </c>
      <c r="H12" s="144">
        <v>3</v>
      </c>
    </row>
    <row r="13" spans="1:8" ht="21" customHeight="1" x14ac:dyDescent="0.15">
      <c r="A13" s="12">
        <v>523</v>
      </c>
      <c r="B13" s="141" t="s">
        <v>224</v>
      </c>
      <c r="C13" s="142" t="s">
        <v>266</v>
      </c>
      <c r="D13" s="142" t="s">
        <v>265</v>
      </c>
      <c r="E13" s="143">
        <f t="shared" ref="E13" si="4">LEN(D13)</f>
        <v>19</v>
      </c>
      <c r="F13" s="125"/>
      <c r="G13" s="59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雷のサンタダック</v>
      </c>
      <c r="H13" s="144">
        <v>3</v>
      </c>
    </row>
  </sheetData>
  <sheetProtection selectLockedCells="1" selectUnlockedCells="1"/>
  <autoFilter ref="A1:H1"/>
  <phoneticPr fontId="22"/>
  <conditionalFormatting sqref="E2">
    <cfRule type="cellIs" dxfId="18" priority="2" operator="greaterThan">
      <formula>41</formula>
    </cfRule>
  </conditionalFormatting>
  <conditionalFormatting sqref="E3:E13">
    <cfRule type="cellIs" dxfId="17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E25"/>
  <sheetViews>
    <sheetView workbookViewId="0">
      <selection activeCell="D33" sqref="D33"/>
    </sheetView>
  </sheetViews>
  <sheetFormatPr baseColWidth="12" defaultRowHeight="15" x14ac:dyDescent="0.15"/>
  <sheetData>
    <row r="1" spans="1:5" x14ac:dyDescent="0.15">
      <c r="A1" s="122" t="s">
        <v>166</v>
      </c>
      <c r="B1" s="122" t="s">
        <v>167</v>
      </c>
      <c r="C1" s="122" t="s">
        <v>169</v>
      </c>
      <c r="D1" s="119" t="s">
        <v>171</v>
      </c>
      <c r="E1" s="119" t="s">
        <v>170</v>
      </c>
    </row>
    <row r="2" spans="1:5" x14ac:dyDescent="0.15">
      <c r="A2" s="115"/>
      <c r="B2" s="115"/>
      <c r="C2" s="115"/>
      <c r="D2" s="115"/>
      <c r="E2" s="115"/>
    </row>
    <row r="3" spans="1:5" x14ac:dyDescent="0.15">
      <c r="A3" s="115"/>
      <c r="B3" s="115"/>
      <c r="C3" s="115"/>
      <c r="D3" s="115"/>
      <c r="E3" s="115"/>
    </row>
    <row r="4" spans="1:5" x14ac:dyDescent="0.15">
      <c r="A4" s="115"/>
      <c r="B4" s="115"/>
      <c r="C4" s="115"/>
      <c r="D4" s="115"/>
      <c r="E4" s="115"/>
    </row>
    <row r="5" spans="1:5" x14ac:dyDescent="0.15">
      <c r="A5" s="115"/>
      <c r="B5" s="115"/>
      <c r="C5" s="115"/>
      <c r="D5" s="115"/>
      <c r="E5" s="115"/>
    </row>
    <row r="6" spans="1:5" x14ac:dyDescent="0.15">
      <c r="A6" s="115"/>
      <c r="B6" s="115"/>
      <c r="C6" s="115"/>
      <c r="D6" s="115"/>
      <c r="E6" s="115"/>
    </row>
    <row r="7" spans="1:5" x14ac:dyDescent="0.15">
      <c r="A7" s="115"/>
      <c r="B7" s="115"/>
      <c r="C7" s="115"/>
      <c r="D7" s="115"/>
      <c r="E7" s="115"/>
    </row>
    <row r="8" spans="1:5" x14ac:dyDescent="0.15">
      <c r="A8" s="115"/>
      <c r="B8" s="115"/>
      <c r="C8" s="115"/>
      <c r="D8" s="115"/>
      <c r="E8" s="115"/>
    </row>
    <row r="9" spans="1:5" x14ac:dyDescent="0.15">
      <c r="A9" s="115"/>
      <c r="B9" s="115"/>
      <c r="C9" s="115"/>
      <c r="D9" s="115"/>
      <c r="E9" s="115"/>
    </row>
    <row r="10" spans="1:5" x14ac:dyDescent="0.15">
      <c r="A10" s="115"/>
      <c r="B10" s="115"/>
      <c r="C10" s="115"/>
      <c r="D10" s="115"/>
      <c r="E10" s="115"/>
    </row>
    <row r="11" spans="1:5" x14ac:dyDescent="0.15">
      <c r="A11" s="115"/>
      <c r="B11" s="115"/>
      <c r="C11" s="115"/>
      <c r="D11" s="115"/>
      <c r="E11" s="115"/>
    </row>
    <row r="12" spans="1:5" x14ac:dyDescent="0.15">
      <c r="A12" s="115"/>
      <c r="B12" s="115"/>
      <c r="C12" s="115"/>
      <c r="D12" s="115"/>
      <c r="E12" s="115"/>
    </row>
    <row r="13" spans="1:5" x14ac:dyDescent="0.15">
      <c r="A13" s="115"/>
      <c r="B13" s="115"/>
      <c r="C13" s="115"/>
      <c r="D13" s="115"/>
      <c r="E13" s="115"/>
    </row>
    <row r="14" spans="1:5" x14ac:dyDescent="0.15">
      <c r="A14" s="115"/>
      <c r="B14" s="115"/>
      <c r="C14" s="115"/>
      <c r="D14" s="115"/>
      <c r="E14" s="115"/>
    </row>
    <row r="15" spans="1:5" x14ac:dyDescent="0.15">
      <c r="A15" s="115"/>
      <c r="B15" s="115"/>
      <c r="C15" s="115"/>
      <c r="D15" s="115"/>
      <c r="E15" s="115"/>
    </row>
    <row r="16" spans="1:5" x14ac:dyDescent="0.15">
      <c r="A16" s="115"/>
      <c r="B16" s="115"/>
      <c r="C16" s="115"/>
      <c r="D16" s="115"/>
      <c r="E16" s="115"/>
    </row>
    <row r="17" spans="1:5" x14ac:dyDescent="0.15">
      <c r="A17" s="115"/>
      <c r="B17" s="115"/>
      <c r="C17" s="115"/>
      <c r="D17" s="115"/>
      <c r="E17" s="115"/>
    </row>
    <row r="18" spans="1:5" x14ac:dyDescent="0.15">
      <c r="A18" s="115"/>
      <c r="B18" s="115"/>
      <c r="C18" s="115"/>
      <c r="D18" s="115"/>
      <c r="E18" s="115"/>
    </row>
    <row r="19" spans="1:5" x14ac:dyDescent="0.15">
      <c r="A19" s="115"/>
      <c r="B19" s="115"/>
      <c r="C19" s="115"/>
      <c r="D19" s="115"/>
      <c r="E19" s="115"/>
    </row>
    <row r="20" spans="1:5" x14ac:dyDescent="0.15">
      <c r="A20" s="115"/>
      <c r="B20" s="115"/>
      <c r="C20" s="115"/>
      <c r="D20" s="115"/>
      <c r="E20" s="115"/>
    </row>
    <row r="21" spans="1:5" x14ac:dyDescent="0.15">
      <c r="A21" s="115"/>
      <c r="B21" s="115"/>
      <c r="C21" s="115"/>
      <c r="D21" s="115"/>
      <c r="E21" s="115"/>
    </row>
    <row r="22" spans="1:5" x14ac:dyDescent="0.15">
      <c r="A22" s="115"/>
      <c r="B22" s="115"/>
      <c r="C22" s="115"/>
      <c r="D22" s="115"/>
      <c r="E22" s="115"/>
    </row>
    <row r="23" spans="1:5" x14ac:dyDescent="0.15">
      <c r="A23" s="115"/>
      <c r="B23" s="115"/>
      <c r="C23" s="115"/>
      <c r="D23" s="115"/>
      <c r="E23" s="115"/>
    </row>
    <row r="24" spans="1:5" x14ac:dyDescent="0.15">
      <c r="A24" s="115"/>
      <c r="B24" s="115"/>
      <c r="C24" s="115"/>
      <c r="D24" s="115"/>
      <c r="E24" s="115"/>
    </row>
    <row r="25" spans="1:5" x14ac:dyDescent="0.15">
      <c r="A25" s="115"/>
      <c r="B25" s="115"/>
      <c r="C25" s="115"/>
      <c r="D25" s="115"/>
      <c r="E25" s="115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4"/>
  <sheetViews>
    <sheetView showGridLines="0" workbookViewId="0">
      <pane ySplit="1" topLeftCell="A2" activePane="bottomLeft" state="frozen"/>
      <selection pane="bottomLeft" activeCell="E16" sqref="E16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125</v>
      </c>
      <c r="B1" s="43" t="s">
        <v>60</v>
      </c>
      <c r="C1" s="20" t="s">
        <v>66</v>
      </c>
      <c r="D1" s="20" t="s">
        <v>68</v>
      </c>
      <c r="E1" s="20" t="s">
        <v>69</v>
      </c>
      <c r="F1" s="44" t="s">
        <v>58</v>
      </c>
      <c r="G1" s="20" t="s">
        <v>67</v>
      </c>
      <c r="H1" s="19" t="s">
        <v>59</v>
      </c>
      <c r="I1" s="120" t="s">
        <v>160</v>
      </c>
    </row>
    <row r="2" spans="1:9" ht="21" customHeight="1" x14ac:dyDescent="0.15">
      <c r="A2" s="67" t="str">
        <f t="shared" ref="A2:A11" si="0">B2&amp;"_"&amp;F2</f>
        <v>512_104</v>
      </c>
      <c r="B2" s="157">
        <v>512</v>
      </c>
      <c r="C2" s="59" t="str">
        <f ca="1">VLOOKUP($B2,OFFSET([1]characters!$A$1,0,0,COUNTA([1]characters!$A:$A),MATCH("name",[1]characters!$1:$1,0)-MATCH("character_id",[1]characters!$1:$1,0)+1),MATCH("name",[1]characters!$1:$1,0)-MATCH("character_id",[1]characters!$1:$1,0)+1,FALSE)</f>
        <v>聖火の逆徒 クリスマス・ベリアル</v>
      </c>
      <c r="D2" s="21" t="e">
        <f ca="1">VLOOKUP($B2,OFFSET([2]units!$A$1,0,0,COUNTA([2]units!$A:$A),MATCH(D$1,[2]units!$1:$1,0)-COLUMN(INDIRECT("character_id"))+1),MATCH(D$1,[2]units!$1:$1,0)-COLUMN(INDIRECT("character_id"))+1,FALSE)</f>
        <v>#VALUE!</v>
      </c>
      <c r="E2" s="21" t="e">
        <f ca="1">VLOOKUP($B2,OFFSET([2]units!$A$1,0,0,COUNTA([2]units!$A:$A),MATCH(E$1,[2]units!$1:$1,0)-COLUMN(INDIRECT("character_id"))+1),MATCH(E$1,[2]units!$1:$1,0)-COLUMN(INDIRECT("character_id"))+1,FALSE)</f>
        <v>#VALUE!</v>
      </c>
      <c r="F2" s="45">
        <v>104</v>
      </c>
      <c r="G2" s="21" t="e">
        <f ca="1">VLOOKUP($F2,OFFSET([2]units!$A$1,0,0,COUNTA([2]units!$A:$A),MATCH(G$1,[2]units!$1:$1,0)-COLUMN(INDIRECT("character_id"))+1),MATCH(G$1,[2]units!$1:$1,0)-COLUMN(INDIRECT("character_id"))+1,FALSE)</f>
        <v>#VALUE!</v>
      </c>
      <c r="H2" s="18">
        <v>2</v>
      </c>
      <c r="I2" s="121">
        <v>1</v>
      </c>
    </row>
    <row r="3" spans="1:9" ht="21" customHeight="1" x14ac:dyDescent="0.15">
      <c r="A3" s="67" t="str">
        <f t="shared" si="0"/>
        <v>512_103</v>
      </c>
      <c r="B3" s="157">
        <v>512</v>
      </c>
      <c r="C3" s="59" t="str">
        <f ca="1">VLOOKUP($B3,OFFSET([1]characters!$A$1,0,0,COUNTA([1]characters!$A:$A),MATCH("name",[1]characters!$1:$1,0)-MATCH("character_id",[1]characters!$1:$1,0)+1),MATCH("name",[1]characters!$1:$1,0)-MATCH("character_id",[1]characters!$1:$1,0)+1,FALSE)</f>
        <v>聖火の逆徒 クリスマス・ベリアル</v>
      </c>
      <c r="D3" s="21" t="e">
        <f ca="1">VLOOKUP($B3,OFFSET([2]units!$A$1,0,0,COUNTA([2]units!$A:$A),MATCH(D$1,[2]units!$1:$1,0)-COLUMN(INDIRECT("character_id"))+1),MATCH(D$1,[2]units!$1:$1,0)-COLUMN(INDIRECT("character_id"))+1,FALSE)</f>
        <v>#VALUE!</v>
      </c>
      <c r="E3" s="21" t="e">
        <f ca="1">VLOOKUP($B3,OFFSET([2]units!$A$1,0,0,COUNTA([2]units!$A:$A),MATCH(E$1,[2]units!$1:$1,0)-COLUMN(INDIRECT("character_id"))+1),MATCH(E$1,[2]units!$1:$1,0)-COLUMN(INDIRECT("character_id"))+1,FALSE)</f>
        <v>#VALUE!</v>
      </c>
      <c r="F3" s="45">
        <v>103</v>
      </c>
      <c r="G3" s="21" t="e">
        <f ca="1">VLOOKUP($F3,OFFSET([2]units!$A$1,0,0,COUNTA([2]units!$A:$A),MATCH(G$1,[2]units!$1:$1,0)-COLUMN(INDIRECT("character_id"))+1),MATCH(G$1,[2]units!$1:$1,0)-COLUMN(INDIRECT("character_id"))+1,FALSE)</f>
        <v>#VALUE!</v>
      </c>
      <c r="H3" s="18">
        <v>2</v>
      </c>
      <c r="I3" s="121">
        <v>1</v>
      </c>
    </row>
    <row r="4" spans="1:9" ht="21" customHeight="1" x14ac:dyDescent="0.15">
      <c r="A4" s="67" t="str">
        <f t="shared" si="0"/>
        <v>512_102</v>
      </c>
      <c r="B4" s="157">
        <v>512</v>
      </c>
      <c r="C4" s="59" t="str">
        <f ca="1">VLOOKUP($B4,OFFSET([1]characters!$A$1,0,0,COUNTA([1]characters!$A:$A),MATCH("name",[1]characters!$1:$1,0)-MATCH("character_id",[1]characters!$1:$1,0)+1),MATCH("name",[1]characters!$1:$1,0)-MATCH("character_id",[1]characters!$1:$1,0)+1,FALSE)</f>
        <v>聖火の逆徒 クリスマス・ベリアル</v>
      </c>
      <c r="D4" s="21" t="e">
        <f ca="1">VLOOKUP($B4,OFFSET([2]units!$A$1,0,0,COUNTA([2]units!$A:$A),MATCH(D$1,[2]units!$1:$1,0)-COLUMN(INDIRECT("character_id"))+1),MATCH(D$1,[2]units!$1:$1,0)-COLUMN(INDIRECT("character_id"))+1,FALSE)</f>
        <v>#VALUE!</v>
      </c>
      <c r="E4" s="21" t="e">
        <f ca="1">VLOOKUP($B4,OFFSET([2]units!$A$1,0,0,COUNTA([2]units!$A:$A),MATCH(E$1,[2]units!$1:$1,0)-COLUMN(INDIRECT("character_id"))+1),MATCH(E$1,[2]units!$1:$1,0)-COLUMN(INDIRECT("character_id"))+1,FALSE)</f>
        <v>#VALUE!</v>
      </c>
      <c r="F4" s="45">
        <v>102</v>
      </c>
      <c r="G4" s="21" t="e">
        <f ca="1">VLOOKUP($F4,OFFSET([2]units!$A$1,0,0,COUNTA([2]units!$A:$A),MATCH(G$1,[2]units!$1:$1,0)-COLUMN(INDIRECT("character_id"))+1),MATCH(G$1,[2]units!$1:$1,0)-COLUMN(INDIRECT("character_id"))+1,FALSE)</f>
        <v>#VALUE!</v>
      </c>
      <c r="H4" s="18">
        <v>1</v>
      </c>
      <c r="I4" s="121">
        <v>1</v>
      </c>
    </row>
    <row r="5" spans="1:9" ht="21" customHeight="1" x14ac:dyDescent="0.15">
      <c r="A5" s="67" t="str">
        <f t="shared" si="0"/>
        <v>514_108</v>
      </c>
      <c r="B5" s="45">
        <v>514</v>
      </c>
      <c r="C5" s="59" t="str">
        <f ca="1">VLOOKUP($B5,OFFSET([1]characters!$A$1,0,0,COUNTA([1]characters!$A:$A),MATCH("name",[1]characters!$1:$1,0)-MATCH("character_id",[1]characters!$1:$1,0)+1),MATCH("name",[1]characters!$1:$1,0)-MATCH("character_id",[1]characters!$1:$1,0)+1,FALSE)</f>
        <v>祝宴の識徒 サンタクロース・オセ</v>
      </c>
      <c r="D5" s="21" t="e">
        <f ca="1">VLOOKUP($B5,OFFSET([2]units!$A$1,0,0,COUNTA([2]units!$A:$A),MATCH(D$1,[2]units!$1:$1,0)-COLUMN(INDIRECT("character_id"))+1),MATCH(D$1,[2]units!$1:$1,0)-COLUMN(INDIRECT("character_id"))+1,FALSE)</f>
        <v>#VALUE!</v>
      </c>
      <c r="E5" s="21" t="e">
        <f ca="1">VLOOKUP($B5,OFFSET([2]units!$A$1,0,0,COUNTA([2]units!$A:$A),MATCH(E$1,[2]units!$1:$1,0)-COLUMN(INDIRECT("character_id"))+1),MATCH(E$1,[2]units!$1:$1,0)-COLUMN(INDIRECT("character_id"))+1,FALSE)</f>
        <v>#VALUE!</v>
      </c>
      <c r="F5" s="45">
        <v>108</v>
      </c>
      <c r="G5" s="21" t="e">
        <f ca="1">VLOOKUP($F5,OFFSET([2]units!$A$1,0,0,COUNTA([2]units!$A:$A),MATCH(G$1,[2]units!$1:$1,0)-COLUMN(INDIRECT("character_id"))+1),MATCH(G$1,[2]units!$1:$1,0)-COLUMN(INDIRECT("character_id"))+1,FALSE)</f>
        <v>#VALUE!</v>
      </c>
      <c r="H5" s="18">
        <v>2</v>
      </c>
      <c r="I5" s="121">
        <v>1</v>
      </c>
    </row>
    <row r="6" spans="1:9" ht="21" customHeight="1" x14ac:dyDescent="0.15">
      <c r="A6" s="67" t="str">
        <f t="shared" si="0"/>
        <v>514_107</v>
      </c>
      <c r="B6" s="45">
        <v>514</v>
      </c>
      <c r="C6" s="59" t="str">
        <f ca="1">VLOOKUP($B6,OFFSET([1]characters!$A$1,0,0,COUNTA([1]characters!$A:$A),MATCH("name",[1]characters!$1:$1,0)-MATCH("character_id",[1]characters!$1:$1,0)+1),MATCH("name",[1]characters!$1:$1,0)-MATCH("character_id",[1]characters!$1:$1,0)+1,FALSE)</f>
        <v>祝宴の識徒 サンタクロース・オセ</v>
      </c>
      <c r="D6" s="21" t="e">
        <f ca="1">VLOOKUP($B6,OFFSET([2]units!$A$1,0,0,COUNTA([2]units!$A:$A),MATCH(D$1,[2]units!$1:$1,0)-COLUMN(INDIRECT("character_id"))+1),MATCH(D$1,[2]units!$1:$1,0)-COLUMN(INDIRECT("character_id"))+1,FALSE)</f>
        <v>#VALUE!</v>
      </c>
      <c r="E6" s="21" t="e">
        <f ca="1">VLOOKUP($B6,OFFSET([2]units!$A$1,0,0,COUNTA([2]units!$A:$A),MATCH(E$1,[2]units!$1:$1,0)-COLUMN(INDIRECT("character_id"))+1),MATCH(E$1,[2]units!$1:$1,0)-COLUMN(INDIRECT("character_id"))+1,FALSE)</f>
        <v>#VALUE!</v>
      </c>
      <c r="F6" s="45">
        <v>107</v>
      </c>
      <c r="G6" s="21" t="e">
        <f ca="1">VLOOKUP($F6,OFFSET([2]units!$A$1,0,0,COUNTA([2]units!$A:$A),MATCH(G$1,[2]units!$1:$1,0)-COLUMN(INDIRECT("character_id"))+1),MATCH(G$1,[2]units!$1:$1,0)-COLUMN(INDIRECT("character_id"))+1,FALSE)</f>
        <v>#VALUE!</v>
      </c>
      <c r="H6" s="18">
        <v>2</v>
      </c>
      <c r="I6" s="121">
        <v>1</v>
      </c>
    </row>
    <row r="7" spans="1:9" ht="21" customHeight="1" x14ac:dyDescent="0.15">
      <c r="A7" s="67" t="str">
        <f t="shared" si="0"/>
        <v>514_106</v>
      </c>
      <c r="B7" s="45">
        <v>514</v>
      </c>
      <c r="C7" s="59" t="str">
        <f ca="1">VLOOKUP($B7,OFFSET([1]characters!$A$1,0,0,COUNTA([1]characters!$A:$A),MATCH("name",[1]characters!$1:$1,0)-MATCH("character_id",[1]characters!$1:$1,0)+1),MATCH("name",[1]characters!$1:$1,0)-MATCH("character_id",[1]characters!$1:$1,0)+1,FALSE)</f>
        <v>祝宴の識徒 サンタクロース・オセ</v>
      </c>
      <c r="D7" s="21" t="e">
        <f ca="1">VLOOKUP($B7,OFFSET([2]units!$A$1,0,0,COUNTA([2]units!$A:$A),MATCH(D$1,[2]units!$1:$1,0)-COLUMN(INDIRECT("character_id"))+1),MATCH(D$1,[2]units!$1:$1,0)-COLUMN(INDIRECT("character_id"))+1,FALSE)</f>
        <v>#VALUE!</v>
      </c>
      <c r="E7" s="21" t="e">
        <f ca="1">VLOOKUP($B7,OFFSET([2]units!$A$1,0,0,COUNTA([2]units!$A:$A),MATCH(E$1,[2]units!$1:$1,0)-COLUMN(INDIRECT("character_id"))+1),MATCH(E$1,[2]units!$1:$1,0)-COLUMN(INDIRECT("character_id"))+1,FALSE)</f>
        <v>#VALUE!</v>
      </c>
      <c r="F7" s="45">
        <v>106</v>
      </c>
      <c r="G7" s="21" t="e">
        <f ca="1">VLOOKUP($F7,OFFSET([2]units!$A$1,0,0,COUNTA([2]units!$A:$A),MATCH(G$1,[2]units!$1:$1,0)-COLUMN(INDIRECT("character_id"))+1),MATCH(G$1,[2]units!$1:$1,0)-COLUMN(INDIRECT("character_id"))+1,FALSE)</f>
        <v>#VALUE!</v>
      </c>
      <c r="H7" s="18">
        <v>1</v>
      </c>
      <c r="I7" s="121">
        <v>1</v>
      </c>
    </row>
    <row r="8" spans="1:9" ht="21" customHeight="1" x14ac:dyDescent="0.15">
      <c r="A8" s="67" t="str">
        <f t="shared" si="0"/>
        <v>516_112</v>
      </c>
      <c r="B8" s="157">
        <v>516</v>
      </c>
      <c r="C8" s="59" t="str">
        <f ca="1">VLOOKUP($B8,OFFSET([1]characters!$A$1,0,0,COUNTA([1]characters!$A:$A),MATCH("name",[1]characters!$1:$1,0)-MATCH("character_id",[1]characters!$1:$1,0)+1),MATCH("name",[1]characters!$1:$1,0)-MATCH("character_id",[1]characters!$1:$1,0)+1,FALSE)</f>
        <v>聖母 マリア</v>
      </c>
      <c r="D8" s="21" t="e">
        <f ca="1">VLOOKUP($B8,OFFSET([2]units!$A$1,0,0,COUNTA([2]units!$A:$A),MATCH(D$1,[2]units!$1:$1,0)-COLUMN(INDIRECT("character_id"))+1),MATCH(D$1,[2]units!$1:$1,0)-COLUMN(INDIRECT("character_id"))+1,FALSE)</f>
        <v>#VALUE!</v>
      </c>
      <c r="E8" s="21" t="e">
        <f ca="1">VLOOKUP($B8,OFFSET([2]units!$A$1,0,0,COUNTA([2]units!$A:$A),MATCH(E$1,[2]units!$1:$1,0)-COLUMN(INDIRECT("character_id"))+1),MATCH(E$1,[2]units!$1:$1,0)-COLUMN(INDIRECT("character_id"))+1,FALSE)</f>
        <v>#VALUE!</v>
      </c>
      <c r="F8" s="45">
        <v>112</v>
      </c>
      <c r="G8" s="21" t="e">
        <f ca="1">VLOOKUP($F8,OFFSET([2]units!$A$1,0,0,COUNTA([2]units!$A:$A),MATCH(G$1,[2]units!$1:$1,0)-COLUMN(INDIRECT("character_id"))+1),MATCH(G$1,[2]units!$1:$1,0)-COLUMN(INDIRECT("character_id"))+1,FALSE)</f>
        <v>#VALUE!</v>
      </c>
      <c r="H8" s="18">
        <v>1</v>
      </c>
      <c r="I8" s="121">
        <v>1</v>
      </c>
    </row>
    <row r="9" spans="1:9" ht="21" customHeight="1" x14ac:dyDescent="0.15">
      <c r="A9" s="67" t="str">
        <f t="shared" si="0"/>
        <v>516_111</v>
      </c>
      <c r="B9" s="157">
        <v>516</v>
      </c>
      <c r="C9" s="59" t="str">
        <f ca="1">VLOOKUP($B9,OFFSET([1]characters!$A$1,0,0,COUNTA([1]characters!$A:$A),MATCH("name",[1]characters!$1:$1,0)-MATCH("character_id",[1]characters!$1:$1,0)+1),MATCH("name",[1]characters!$1:$1,0)-MATCH("character_id",[1]characters!$1:$1,0)+1,FALSE)</f>
        <v>聖母 マリア</v>
      </c>
      <c r="D9" s="21" t="e">
        <f ca="1">VLOOKUP($B9,OFFSET([2]units!$A$1,0,0,COUNTA([2]units!$A:$A),MATCH(D$1,[2]units!$1:$1,0)-COLUMN(INDIRECT("character_id"))+1),MATCH(D$1,[2]units!$1:$1,0)-COLUMN(INDIRECT("character_id"))+1,FALSE)</f>
        <v>#VALUE!</v>
      </c>
      <c r="E9" s="21" t="e">
        <f ca="1">VLOOKUP($B9,OFFSET([2]units!$A$1,0,0,COUNTA([2]units!$A:$A),MATCH(E$1,[2]units!$1:$1,0)-COLUMN(INDIRECT("character_id"))+1),MATCH(E$1,[2]units!$1:$1,0)-COLUMN(INDIRECT("character_id"))+1,FALSE)</f>
        <v>#VALUE!</v>
      </c>
      <c r="F9" s="45">
        <v>111</v>
      </c>
      <c r="G9" s="21" t="e">
        <f ca="1">VLOOKUP($F9,OFFSET([2]units!$A$1,0,0,COUNTA([2]units!$A:$A),MATCH(G$1,[2]units!$1:$1,0)-COLUMN(INDIRECT("character_id"))+1),MATCH(G$1,[2]units!$1:$1,0)-COLUMN(INDIRECT("character_id"))+1,FALSE)</f>
        <v>#VALUE!</v>
      </c>
      <c r="H9" s="18">
        <v>2</v>
      </c>
      <c r="I9" s="121">
        <v>1</v>
      </c>
    </row>
    <row r="10" spans="1:9" ht="21" customHeight="1" x14ac:dyDescent="0.15">
      <c r="A10" s="67" t="str">
        <f t="shared" si="0"/>
        <v>516_302</v>
      </c>
      <c r="B10" s="157">
        <v>516</v>
      </c>
      <c r="C10" s="59" t="str">
        <f ca="1">VLOOKUP($B10,OFFSET([1]characters!$A$1,0,0,COUNTA([1]characters!$A:$A),MATCH("name",[1]characters!$1:$1,0)-MATCH("character_id",[1]characters!$1:$1,0)+1),MATCH("name",[1]characters!$1:$1,0)-MATCH("character_id",[1]characters!$1:$1,0)+1,FALSE)</f>
        <v>聖母 マリア</v>
      </c>
      <c r="D10" s="21" t="e">
        <f ca="1">VLOOKUP($B10,OFFSET([2]units!$A$1,0,0,COUNTA([2]units!$A:$A),MATCH(D$1,[2]units!$1:$1,0)-COLUMN(INDIRECT("character_id"))+1),MATCH(D$1,[2]units!$1:$1,0)-COLUMN(INDIRECT("character_id"))+1,FALSE)</f>
        <v>#VALUE!</v>
      </c>
      <c r="E10" s="21" t="e">
        <f ca="1">VLOOKUP($B10,OFFSET([2]units!$A$1,0,0,COUNTA([2]units!$A:$A),MATCH(E$1,[2]units!$1:$1,0)-COLUMN(INDIRECT("character_id"))+1),MATCH(E$1,[2]units!$1:$1,0)-COLUMN(INDIRECT("character_id"))+1,FALSE)</f>
        <v>#VALUE!</v>
      </c>
      <c r="F10" s="45">
        <v>302</v>
      </c>
      <c r="G10" s="21" t="e">
        <f ca="1">VLOOKUP($F10,OFFSET([2]units!$A$1,0,0,COUNTA([2]units!$A:$A),MATCH(G$1,[2]units!$1:$1,0)-COLUMN(INDIRECT("character_id"))+1),MATCH(G$1,[2]units!$1:$1,0)-COLUMN(INDIRECT("character_id"))+1,FALSE)</f>
        <v>#VALUE!</v>
      </c>
      <c r="H10" s="18">
        <v>1</v>
      </c>
      <c r="I10" s="121">
        <v>1</v>
      </c>
    </row>
    <row r="11" spans="1:9" ht="21" customHeight="1" x14ac:dyDescent="0.15">
      <c r="A11" s="67" t="str">
        <f t="shared" si="0"/>
        <v>516_266</v>
      </c>
      <c r="B11" s="157">
        <v>516</v>
      </c>
      <c r="C11" s="59" t="str">
        <f ca="1">VLOOKUP($B11,OFFSET([1]characters!$A$1,0,0,COUNTA([1]characters!$A:$A),MATCH("name",[1]characters!$1:$1,0)-MATCH("character_id",[1]characters!$1:$1,0)+1),MATCH("name",[1]characters!$1:$1,0)-MATCH("character_id",[1]characters!$1:$1,0)+1,FALSE)</f>
        <v>聖母 マリア</v>
      </c>
      <c r="D11" s="21" t="e">
        <f ca="1">VLOOKUP($B11,OFFSET([2]units!$A$1,0,0,COUNTA([2]units!$A:$A),MATCH(D$1,[2]units!$1:$1,0)-COLUMN(INDIRECT("character_id"))+1),MATCH(D$1,[2]units!$1:$1,0)-COLUMN(INDIRECT("character_id"))+1,FALSE)</f>
        <v>#VALUE!</v>
      </c>
      <c r="E11" s="21" t="e">
        <f ca="1">VLOOKUP($B11,OFFSET([2]units!$A$1,0,0,COUNTA([2]units!$A:$A),MATCH(E$1,[2]units!$1:$1,0)-COLUMN(INDIRECT("character_id"))+1),MATCH(E$1,[2]units!$1:$1,0)-COLUMN(INDIRECT("character_id"))+1,FALSE)</f>
        <v>#VALUE!</v>
      </c>
      <c r="F11" s="45">
        <v>266</v>
      </c>
      <c r="G11" s="21" t="e">
        <f ca="1">VLOOKUP($F11,OFFSET([2]units!$A$1,0,0,COUNTA([2]units!$A:$A),MATCH(G$1,[2]units!$1:$1,0)-COLUMN(INDIRECT("character_id"))+1),MATCH(G$1,[2]units!$1:$1,0)-COLUMN(INDIRECT("character_id"))+1,FALSE)</f>
        <v>#VALUE!</v>
      </c>
      <c r="H11" s="18">
        <v>1</v>
      </c>
      <c r="I11" s="121">
        <v>1</v>
      </c>
    </row>
    <row r="12" spans="1:9" ht="21" customHeight="1" x14ac:dyDescent="0.15">
      <c r="A12" s="67" t="str">
        <f t="shared" ref="A12:A14" si="1">B12&amp;"_"&amp;F12</f>
        <v>518_116</v>
      </c>
      <c r="B12" s="45">
        <v>518</v>
      </c>
      <c r="C12" s="59" t="str">
        <f ca="1">VLOOKUP($B12,OFFSET([1]characters!$A$1,0,0,COUNTA([1]characters!$A:$A),MATCH("name",[1]characters!$1:$1,0)-MATCH("character_id",[1]characters!$1:$1,0)+1),MATCH("name",[1]characters!$1:$1,0)-MATCH("character_id",[1]characters!$1:$1,0)+1,FALSE)</f>
        <v>秘来の聖天使 ミカエル</v>
      </c>
      <c r="D12" s="21" t="e">
        <f ca="1">VLOOKUP($B12,OFFSET([2]units!$A$1,0,0,COUNTA([2]units!$A:$A),MATCH(D$1,[2]units!$1:$1,0)-COLUMN(INDIRECT("character_id"))+1),MATCH(D$1,[2]units!$1:$1,0)-COLUMN(INDIRECT("character_id"))+1,FALSE)</f>
        <v>#VALUE!</v>
      </c>
      <c r="E12" s="21" t="e">
        <f ca="1">VLOOKUP($B12,OFFSET([2]units!$A$1,0,0,COUNTA([2]units!$A:$A),MATCH(E$1,[2]units!$1:$1,0)-COLUMN(INDIRECT("character_id"))+1),MATCH(E$1,[2]units!$1:$1,0)-COLUMN(INDIRECT("character_id"))+1,FALSE)</f>
        <v>#VALUE!</v>
      </c>
      <c r="F12" s="45">
        <v>116</v>
      </c>
      <c r="G12" s="21" t="e">
        <f ca="1">VLOOKUP($F12,OFFSET([2]units!$A$1,0,0,COUNTA([2]units!$A:$A),MATCH(G$1,[2]units!$1:$1,0)-COLUMN(INDIRECT("character_id"))+1),MATCH(G$1,[2]units!$1:$1,0)-COLUMN(INDIRECT("character_id"))+1,FALSE)</f>
        <v>#VALUE!</v>
      </c>
      <c r="H12" s="18">
        <v>2</v>
      </c>
      <c r="I12" s="121">
        <v>1</v>
      </c>
    </row>
    <row r="13" spans="1:9" ht="21" customHeight="1" x14ac:dyDescent="0.15">
      <c r="A13" s="67" t="str">
        <f t="shared" si="1"/>
        <v>518_115</v>
      </c>
      <c r="B13" s="45">
        <v>518</v>
      </c>
      <c r="C13" s="59" t="str">
        <f ca="1">VLOOKUP($B13,OFFSET([1]characters!$A$1,0,0,COUNTA([1]characters!$A:$A),MATCH("name",[1]characters!$1:$1,0)-MATCH("character_id",[1]characters!$1:$1,0)+1),MATCH("name",[1]characters!$1:$1,0)-MATCH("character_id",[1]characters!$1:$1,0)+1,FALSE)</f>
        <v>秘来の聖天使 ミカエル</v>
      </c>
      <c r="D13" s="21" t="e">
        <f ca="1">VLOOKUP($B13,OFFSET([2]units!$A$1,0,0,COUNTA([2]units!$A:$A),MATCH(D$1,[2]units!$1:$1,0)-COLUMN(INDIRECT("character_id"))+1),MATCH(D$1,[2]units!$1:$1,0)-COLUMN(INDIRECT("character_id"))+1,FALSE)</f>
        <v>#VALUE!</v>
      </c>
      <c r="E13" s="21" t="e">
        <f ca="1">VLOOKUP($B13,OFFSET([2]units!$A$1,0,0,COUNTA([2]units!$A:$A),MATCH(E$1,[2]units!$1:$1,0)-COLUMN(INDIRECT("character_id"))+1),MATCH(E$1,[2]units!$1:$1,0)-COLUMN(INDIRECT("character_id"))+1,FALSE)</f>
        <v>#VALUE!</v>
      </c>
      <c r="F13" s="45">
        <v>115</v>
      </c>
      <c r="G13" s="21" t="e">
        <f ca="1">VLOOKUP($F13,OFFSET([2]units!$A$1,0,0,COUNTA([2]units!$A:$A),MATCH(G$1,[2]units!$1:$1,0)-COLUMN(INDIRECT("character_id"))+1),MATCH(G$1,[2]units!$1:$1,0)-COLUMN(INDIRECT("character_id"))+1,FALSE)</f>
        <v>#VALUE!</v>
      </c>
      <c r="H13" s="18">
        <v>2</v>
      </c>
      <c r="I13" s="121">
        <v>1</v>
      </c>
    </row>
    <row r="14" spans="1:9" ht="21" customHeight="1" x14ac:dyDescent="0.15">
      <c r="A14" s="67" t="str">
        <f t="shared" si="1"/>
        <v>518_114</v>
      </c>
      <c r="B14" s="45">
        <v>518</v>
      </c>
      <c r="C14" s="59" t="str">
        <f ca="1">VLOOKUP($B14,OFFSET([1]characters!$A$1,0,0,COUNTA([1]characters!$A:$A),MATCH("name",[1]characters!$1:$1,0)-MATCH("character_id",[1]characters!$1:$1,0)+1),MATCH("name",[1]characters!$1:$1,0)-MATCH("character_id",[1]characters!$1:$1,0)+1,FALSE)</f>
        <v>秘来の聖天使 ミカエル</v>
      </c>
      <c r="D14" s="21" t="e">
        <f ca="1">VLOOKUP($B14,OFFSET([2]units!$A$1,0,0,COUNTA([2]units!$A:$A),MATCH(D$1,[2]units!$1:$1,0)-COLUMN(INDIRECT("character_id"))+1),MATCH(D$1,[2]units!$1:$1,0)-COLUMN(INDIRECT("character_id"))+1,FALSE)</f>
        <v>#VALUE!</v>
      </c>
      <c r="E14" s="21" t="e">
        <f ca="1">VLOOKUP($B14,OFFSET([2]units!$A$1,0,0,COUNTA([2]units!$A:$A),MATCH(E$1,[2]units!$1:$1,0)-COLUMN(INDIRECT("character_id"))+1),MATCH(E$1,[2]units!$1:$1,0)-COLUMN(INDIRECT("character_id"))+1,FALSE)</f>
        <v>#VALUE!</v>
      </c>
      <c r="F14" s="45">
        <v>114</v>
      </c>
      <c r="G14" s="21" t="e">
        <f ca="1">VLOOKUP($F14,OFFSET([2]units!$A$1,0,0,COUNTA([2]units!$A:$A),MATCH(G$1,[2]units!$1:$1,0)-COLUMN(INDIRECT("character_id"))+1),MATCH(G$1,[2]units!$1:$1,0)-COLUMN(INDIRECT("character_id"))+1,FALSE)</f>
        <v>#VALUE!</v>
      </c>
      <c r="H14" s="18">
        <v>1</v>
      </c>
      <c r="I14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19"/>
  <sheetViews>
    <sheetView workbookViewId="0">
      <selection activeCell="K28" sqref="K28"/>
    </sheetView>
  </sheetViews>
  <sheetFormatPr baseColWidth="12" defaultRowHeight="15" x14ac:dyDescent="0.15"/>
  <sheetData>
    <row r="1" spans="1:2" x14ac:dyDescent="0.15">
      <c r="A1" t="s">
        <v>274</v>
      </c>
      <c r="B1" t="s">
        <v>275</v>
      </c>
    </row>
    <row r="2" spans="1:2" x14ac:dyDescent="0.15">
      <c r="A2" t="s">
        <v>276</v>
      </c>
      <c r="B2">
        <v>1</v>
      </c>
    </row>
    <row r="3" spans="1:2" x14ac:dyDescent="0.15">
      <c r="A3" t="s">
        <v>277</v>
      </c>
      <c r="B3">
        <v>1</v>
      </c>
    </row>
    <row r="4" spans="1:2" x14ac:dyDescent="0.15">
      <c r="A4" t="s">
        <v>278</v>
      </c>
      <c r="B4">
        <v>1</v>
      </c>
    </row>
    <row r="5" spans="1:2" x14ac:dyDescent="0.15">
      <c r="A5" t="s">
        <v>279</v>
      </c>
      <c r="B5">
        <v>1</v>
      </c>
    </row>
    <row r="6" spans="1:2" x14ac:dyDescent="0.15">
      <c r="A6" t="s">
        <v>280</v>
      </c>
      <c r="B6">
        <v>1</v>
      </c>
    </row>
    <row r="7" spans="1:2" x14ac:dyDescent="0.15">
      <c r="A7" t="s">
        <v>281</v>
      </c>
      <c r="B7">
        <v>1</v>
      </c>
    </row>
    <row r="8" spans="1:2" x14ac:dyDescent="0.15">
      <c r="A8" t="s">
        <v>282</v>
      </c>
      <c r="B8">
        <v>1</v>
      </c>
    </row>
    <row r="9" spans="1:2" x14ac:dyDescent="0.15">
      <c r="A9" t="s">
        <v>283</v>
      </c>
      <c r="B9">
        <v>1</v>
      </c>
    </row>
    <row r="10" spans="1:2" x14ac:dyDescent="0.15">
      <c r="A10" t="s">
        <v>284</v>
      </c>
      <c r="B10">
        <v>1</v>
      </c>
    </row>
    <row r="11" spans="1:2" x14ac:dyDescent="0.15">
      <c r="A11" t="s">
        <v>285</v>
      </c>
      <c r="B11">
        <v>1</v>
      </c>
    </row>
    <row r="12" spans="1:2" x14ac:dyDescent="0.15">
      <c r="A12" t="s">
        <v>286</v>
      </c>
      <c r="B12">
        <v>1</v>
      </c>
    </row>
    <row r="13" spans="1:2" x14ac:dyDescent="0.15">
      <c r="A13" t="s">
        <v>287</v>
      </c>
      <c r="B13">
        <v>0</v>
      </c>
    </row>
    <row r="14" spans="1:2" x14ac:dyDescent="0.15">
      <c r="A14" t="s">
        <v>288</v>
      </c>
      <c r="B14">
        <v>500</v>
      </c>
    </row>
    <row r="15" spans="1:2" x14ac:dyDescent="0.15">
      <c r="A15" t="s">
        <v>289</v>
      </c>
      <c r="B15">
        <v>600</v>
      </c>
    </row>
    <row r="16" spans="1:2" x14ac:dyDescent="0.15">
      <c r="A16" t="s">
        <v>290</v>
      </c>
      <c r="B16">
        <v>700</v>
      </c>
    </row>
    <row r="17" spans="1:2" x14ac:dyDescent="0.15">
      <c r="A17" t="s">
        <v>291</v>
      </c>
      <c r="B17">
        <v>5500</v>
      </c>
    </row>
    <row r="18" spans="1:2" x14ac:dyDescent="0.15">
      <c r="A18" t="s">
        <v>292</v>
      </c>
      <c r="B18">
        <v>6000</v>
      </c>
    </row>
    <row r="19" spans="1:2" x14ac:dyDescent="0.15">
      <c r="A19" t="s">
        <v>293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15"/>
  <sheetViews>
    <sheetView showGridLines="0" tabSelected="1" topLeftCell="A6" workbookViewId="0">
      <selection activeCell="I15" sqref="I1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62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33</v>
      </c>
      <c r="B2" s="40" t="s">
        <v>11</v>
      </c>
      <c r="C2" s="40" t="s">
        <v>11</v>
      </c>
      <c r="D2" s="41" t="s">
        <v>34</v>
      </c>
      <c r="E2" s="41" t="s">
        <v>34</v>
      </c>
      <c r="F2" s="41" t="s">
        <v>34</v>
      </c>
      <c r="G2" s="41" t="s">
        <v>34</v>
      </c>
      <c r="H2" s="41" t="s">
        <v>34</v>
      </c>
      <c r="I2" s="41" t="s">
        <v>34</v>
      </c>
    </row>
    <row r="3" spans="1:9" ht="21" customHeight="1" x14ac:dyDescent="0.15">
      <c r="A3" s="81" t="s">
        <v>32</v>
      </c>
      <c r="B3" s="40" t="s">
        <v>11</v>
      </c>
      <c r="C3" s="40" t="s">
        <v>11</v>
      </c>
      <c r="D3" s="41" t="s">
        <v>34</v>
      </c>
      <c r="E3" s="41">
        <v>30</v>
      </c>
      <c r="F3" s="41">
        <v>40</v>
      </c>
      <c r="G3" s="41" t="s">
        <v>34</v>
      </c>
      <c r="H3" s="41" t="s">
        <v>34</v>
      </c>
      <c r="I3" s="41" t="s">
        <v>34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112" t="s">
        <v>146</v>
      </c>
      <c r="E4" s="112">
        <v>25</v>
      </c>
      <c r="F4" s="112">
        <v>35</v>
      </c>
      <c r="G4" s="112" t="s">
        <v>34</v>
      </c>
      <c r="H4" s="112" t="s">
        <v>34</v>
      </c>
      <c r="I4" s="112" t="s">
        <v>34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10</v>
      </c>
      <c r="E5" s="29">
        <v>20</v>
      </c>
      <c r="F5" s="29">
        <v>30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29</v>
      </c>
      <c r="B6" s="71" t="s">
        <v>11</v>
      </c>
      <c r="C6" s="71" t="s">
        <v>11</v>
      </c>
      <c r="D6" s="29">
        <v>9</v>
      </c>
      <c r="E6" s="29">
        <v>18</v>
      </c>
      <c r="F6" s="29">
        <v>28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28</v>
      </c>
      <c r="B7" s="71" t="s">
        <v>11</v>
      </c>
      <c r="C7" s="71" t="s">
        <v>11</v>
      </c>
      <c r="D7" s="29">
        <v>7</v>
      </c>
      <c r="E7" s="29">
        <v>16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111" t="s">
        <v>45</v>
      </c>
      <c r="B8" s="71" t="s">
        <v>11</v>
      </c>
      <c r="C8" s="71" t="s">
        <v>11</v>
      </c>
      <c r="D8" s="29">
        <v>8</v>
      </c>
      <c r="E8" s="29">
        <v>17</v>
      </c>
      <c r="F8" s="29">
        <v>26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63</v>
      </c>
      <c r="B9" s="71" t="s">
        <v>11</v>
      </c>
      <c r="C9" s="71" t="s">
        <v>11</v>
      </c>
      <c r="D9" s="29">
        <v>8</v>
      </c>
      <c r="E9" s="29">
        <v>17</v>
      </c>
      <c r="F9" s="29">
        <v>26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44</v>
      </c>
      <c r="B10" s="71" t="s">
        <v>11</v>
      </c>
      <c r="C10" s="71" t="s">
        <v>11</v>
      </c>
      <c r="D10" s="29">
        <v>6</v>
      </c>
      <c r="E10" s="29">
        <v>14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4</v>
      </c>
      <c r="D11" s="29">
        <v>6</v>
      </c>
      <c r="E11" s="29">
        <v>14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</v>
      </c>
      <c r="C12" s="29">
        <v>4</v>
      </c>
      <c r="D12" s="29">
        <v>6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32">
        <v>1</v>
      </c>
      <c r="C13" s="32">
        <v>2</v>
      </c>
      <c r="D13" s="72" t="s">
        <v>11</v>
      </c>
      <c r="E13" s="72" t="s">
        <v>11</v>
      </c>
      <c r="F13" s="72" t="s">
        <v>11</v>
      </c>
      <c r="G13" s="72" t="s">
        <v>11</v>
      </c>
      <c r="H13" s="72" t="s">
        <v>11</v>
      </c>
      <c r="I13" s="72" t="s">
        <v>11</v>
      </c>
    </row>
    <row r="14" spans="1:9" ht="21" customHeight="1" x14ac:dyDescent="0.15">
      <c r="A14" s="84" t="s">
        <v>42</v>
      </c>
      <c r="B14" s="27">
        <v>1</v>
      </c>
      <c r="C14" s="27">
        <v>1</v>
      </c>
      <c r="D14" s="72" t="s">
        <v>11</v>
      </c>
      <c r="E14" s="72" t="s">
        <v>11</v>
      </c>
      <c r="F14" s="72" t="s">
        <v>11</v>
      </c>
      <c r="G14" s="72" t="s">
        <v>11</v>
      </c>
      <c r="H14" s="72" t="s">
        <v>11</v>
      </c>
      <c r="I14" s="72" t="s">
        <v>11</v>
      </c>
    </row>
    <row r="15" spans="1:9" ht="21" customHeight="1" x14ac:dyDescent="0.15">
      <c r="A15" s="38" t="s">
        <v>30</v>
      </c>
      <c r="B15" s="27">
        <v>99</v>
      </c>
      <c r="C15" s="27">
        <v>99</v>
      </c>
      <c r="D15" s="27">
        <v>99</v>
      </c>
      <c r="E15" s="27">
        <v>99</v>
      </c>
      <c r="F15" s="27">
        <v>99</v>
      </c>
      <c r="G15" s="27">
        <v>99</v>
      </c>
      <c r="H15" s="27">
        <v>99</v>
      </c>
      <c r="I15" s="2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15"/>
  <sheetViews>
    <sheetView showGridLines="0" workbookViewId="0">
      <selection activeCell="I4" sqref="I4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 x14ac:dyDescent="0.15">
      <c r="A2" s="76" t="s">
        <v>33</v>
      </c>
      <c r="B2" s="42" t="s">
        <v>137</v>
      </c>
      <c r="C2" s="42" t="s">
        <v>137</v>
      </c>
      <c r="D2" s="42" t="s">
        <v>137</v>
      </c>
      <c r="E2" s="42" t="s">
        <v>137</v>
      </c>
      <c r="F2" s="42" t="s">
        <v>137</v>
      </c>
      <c r="G2" s="42" t="s">
        <v>137</v>
      </c>
      <c r="H2" s="42" t="s">
        <v>137</v>
      </c>
      <c r="I2" s="42" t="s">
        <v>137</v>
      </c>
    </row>
    <row r="3" spans="1:9" ht="21" customHeight="1" x14ac:dyDescent="0.15">
      <c r="A3" s="76" t="s">
        <v>32</v>
      </c>
      <c r="B3" s="42" t="s">
        <v>137</v>
      </c>
      <c r="C3" s="42" t="s">
        <v>137</v>
      </c>
      <c r="D3" s="42" t="s">
        <v>137</v>
      </c>
      <c r="E3" s="42">
        <v>60</v>
      </c>
      <c r="F3" s="42">
        <v>80</v>
      </c>
      <c r="G3" s="42" t="s">
        <v>137</v>
      </c>
      <c r="H3" s="42" t="s">
        <v>137</v>
      </c>
      <c r="I3" s="42" t="s">
        <v>137</v>
      </c>
    </row>
    <row r="4" spans="1:9" s="47" customFormat="1" ht="21" customHeight="1" x14ac:dyDescent="0.15">
      <c r="A4" s="77" t="s">
        <v>31</v>
      </c>
      <c r="B4" s="68" t="s">
        <v>137</v>
      </c>
      <c r="C4" s="68" t="s">
        <v>137</v>
      </c>
      <c r="D4" s="68" t="s">
        <v>137</v>
      </c>
      <c r="E4" s="68">
        <v>60</v>
      </c>
      <c r="F4" s="68">
        <v>80</v>
      </c>
      <c r="G4" s="68" t="s">
        <v>137</v>
      </c>
      <c r="H4" s="68" t="s">
        <v>137</v>
      </c>
      <c r="I4" s="68" t="s">
        <v>137</v>
      </c>
    </row>
    <row r="5" spans="1:9" ht="21" customHeight="1" x14ac:dyDescent="0.15">
      <c r="A5" s="77" t="s">
        <v>9</v>
      </c>
      <c r="B5" s="73" t="s">
        <v>136</v>
      </c>
      <c r="C5" s="73" t="s">
        <v>136</v>
      </c>
      <c r="D5" s="37">
        <v>40</v>
      </c>
      <c r="E5" s="37">
        <v>60</v>
      </c>
      <c r="F5" s="37">
        <v>80</v>
      </c>
      <c r="G5" s="73" t="s">
        <v>136</v>
      </c>
      <c r="H5" s="73" t="s">
        <v>136</v>
      </c>
      <c r="I5" s="73" t="s">
        <v>136</v>
      </c>
    </row>
    <row r="6" spans="1:9" ht="21" customHeight="1" x14ac:dyDescent="0.15">
      <c r="A6" s="77" t="s">
        <v>29</v>
      </c>
      <c r="B6" s="73" t="s">
        <v>136</v>
      </c>
      <c r="C6" s="73" t="s">
        <v>136</v>
      </c>
      <c r="D6" s="37">
        <v>40</v>
      </c>
      <c r="E6" s="37">
        <v>60</v>
      </c>
      <c r="F6" s="37">
        <v>80</v>
      </c>
      <c r="G6" s="73" t="s">
        <v>136</v>
      </c>
      <c r="H6" s="73" t="s">
        <v>136</v>
      </c>
      <c r="I6" s="73" t="s">
        <v>136</v>
      </c>
    </row>
    <row r="7" spans="1:9" ht="21" customHeight="1" x14ac:dyDescent="0.15">
      <c r="A7" s="77" t="s">
        <v>53</v>
      </c>
      <c r="B7" s="73" t="s">
        <v>136</v>
      </c>
      <c r="C7" s="73" t="s">
        <v>136</v>
      </c>
      <c r="D7" s="37">
        <v>40</v>
      </c>
      <c r="E7" s="37">
        <v>60</v>
      </c>
      <c r="F7" s="73" t="s">
        <v>136</v>
      </c>
      <c r="G7" s="73" t="s">
        <v>136</v>
      </c>
      <c r="H7" s="73" t="s">
        <v>136</v>
      </c>
      <c r="I7" s="73" t="s">
        <v>136</v>
      </c>
    </row>
    <row r="8" spans="1:9" ht="21" customHeight="1" x14ac:dyDescent="0.15">
      <c r="A8" s="78" t="s">
        <v>64</v>
      </c>
      <c r="B8" s="73" t="s">
        <v>136</v>
      </c>
      <c r="C8" s="73" t="s">
        <v>136</v>
      </c>
      <c r="D8" s="37">
        <v>40</v>
      </c>
      <c r="E8" s="37">
        <v>60</v>
      </c>
      <c r="F8" s="37">
        <v>80</v>
      </c>
      <c r="G8" s="73" t="s">
        <v>136</v>
      </c>
      <c r="H8" s="73" t="s">
        <v>136</v>
      </c>
      <c r="I8" s="73" t="s">
        <v>136</v>
      </c>
    </row>
    <row r="9" spans="1:9" ht="21" customHeight="1" x14ac:dyDescent="0.15">
      <c r="A9" s="57" t="s">
        <v>49</v>
      </c>
      <c r="B9" s="73" t="s">
        <v>136</v>
      </c>
      <c r="C9" s="73" t="s">
        <v>136</v>
      </c>
      <c r="D9" s="37">
        <v>40</v>
      </c>
      <c r="E9" s="37">
        <v>60</v>
      </c>
      <c r="F9" s="37">
        <v>80</v>
      </c>
      <c r="G9" s="73" t="s">
        <v>136</v>
      </c>
      <c r="H9" s="73" t="s">
        <v>136</v>
      </c>
      <c r="I9" s="73" t="s">
        <v>136</v>
      </c>
    </row>
    <row r="10" spans="1:9" ht="21" customHeight="1" x14ac:dyDescent="0.15">
      <c r="A10" s="57" t="s">
        <v>50</v>
      </c>
      <c r="B10" s="73" t="s">
        <v>136</v>
      </c>
      <c r="C10" s="37">
        <v>30</v>
      </c>
      <c r="D10" s="37">
        <v>40</v>
      </c>
      <c r="E10" s="37">
        <v>60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9" ht="21" customHeight="1" x14ac:dyDescent="0.15">
      <c r="A11" s="57" t="s">
        <v>51</v>
      </c>
      <c r="B11" s="73" t="s">
        <v>136</v>
      </c>
      <c r="C11" s="37">
        <v>30</v>
      </c>
      <c r="D11" s="37">
        <v>40</v>
      </c>
      <c r="E11" s="37">
        <v>60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9" ht="21" customHeight="1" x14ac:dyDescent="0.15">
      <c r="A12" s="58" t="s">
        <v>8</v>
      </c>
      <c r="B12" s="37">
        <v>15</v>
      </c>
      <c r="C12" s="37">
        <v>30</v>
      </c>
      <c r="D12" s="37">
        <v>40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9" ht="21" customHeight="1" x14ac:dyDescent="0.15">
      <c r="A13" s="53" t="s">
        <v>7</v>
      </c>
      <c r="B13" s="37">
        <v>15</v>
      </c>
      <c r="C13" s="37">
        <v>30</v>
      </c>
      <c r="D13" s="37">
        <v>40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9" ht="21" customHeight="1" x14ac:dyDescent="0.15">
      <c r="A14" s="55" t="s">
        <v>52</v>
      </c>
      <c r="B14" s="37">
        <v>10</v>
      </c>
      <c r="C14" s="37">
        <v>20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9" ht="21" customHeight="1" x14ac:dyDescent="0.15">
      <c r="A15" s="79" t="s">
        <v>54</v>
      </c>
      <c r="B15" s="37">
        <v>1</v>
      </c>
      <c r="C15" s="37">
        <v>1</v>
      </c>
      <c r="D15" s="37">
        <v>1</v>
      </c>
      <c r="E15" s="37">
        <v>1</v>
      </c>
      <c r="F15" s="37">
        <v>1</v>
      </c>
      <c r="G15" s="37">
        <v>1</v>
      </c>
      <c r="H15" s="37">
        <v>1</v>
      </c>
      <c r="I15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26"/>
  <sheetViews>
    <sheetView showGridLines="0" workbookViewId="0">
      <selection activeCell="I18" sqref="I18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ht="21" customHeight="1" x14ac:dyDescent="0.15">
      <c r="A2" s="52" t="s">
        <v>17</v>
      </c>
      <c r="B2" s="42" t="s">
        <v>137</v>
      </c>
      <c r="C2" s="42" t="s">
        <v>137</v>
      </c>
      <c r="D2" s="42" t="s">
        <v>137</v>
      </c>
      <c r="E2" s="42" t="s">
        <v>137</v>
      </c>
      <c r="F2" s="42" t="s">
        <v>137</v>
      </c>
      <c r="G2" s="42" t="s">
        <v>137</v>
      </c>
      <c r="H2" s="42" t="s">
        <v>137</v>
      </c>
      <c r="I2" s="42" t="s">
        <v>137</v>
      </c>
    </row>
    <row r="3" spans="1:11" ht="21" customHeight="1" x14ac:dyDescent="0.15">
      <c r="A3" s="52" t="s">
        <v>138</v>
      </c>
      <c r="B3" s="42" t="s">
        <v>137</v>
      </c>
      <c r="C3" s="42" t="s">
        <v>137</v>
      </c>
      <c r="D3" s="42" t="s">
        <v>137</v>
      </c>
      <c r="E3" s="54" t="s">
        <v>147</v>
      </c>
      <c r="F3" s="54" t="s">
        <v>148</v>
      </c>
      <c r="G3" s="42" t="s">
        <v>137</v>
      </c>
      <c r="H3" s="42" t="s">
        <v>137</v>
      </c>
      <c r="I3" s="42" t="s">
        <v>137</v>
      </c>
    </row>
    <row r="4" spans="1:11" s="47" customFormat="1" ht="21" customHeight="1" x14ac:dyDescent="0.15">
      <c r="A4" s="52" t="s">
        <v>139</v>
      </c>
      <c r="B4" s="68" t="s">
        <v>137</v>
      </c>
      <c r="C4" s="68" t="s">
        <v>137</v>
      </c>
      <c r="D4" s="68" t="s">
        <v>137</v>
      </c>
      <c r="E4" s="54" t="s">
        <v>85</v>
      </c>
      <c r="F4" s="54" t="s">
        <v>85</v>
      </c>
      <c r="G4" s="68" t="s">
        <v>137</v>
      </c>
      <c r="H4" s="68" t="s">
        <v>137</v>
      </c>
      <c r="I4" s="68" t="s">
        <v>137</v>
      </c>
    </row>
    <row r="5" spans="1:11" ht="21" customHeight="1" x14ac:dyDescent="0.15">
      <c r="A5" s="53" t="s">
        <v>9</v>
      </c>
      <c r="B5" s="73" t="s">
        <v>136</v>
      </c>
      <c r="C5" s="73" t="s">
        <v>136</v>
      </c>
      <c r="D5" s="54" t="s">
        <v>85</v>
      </c>
      <c r="E5" s="54" t="s">
        <v>85</v>
      </c>
      <c r="F5" s="54" t="s">
        <v>85</v>
      </c>
      <c r="G5" s="73" t="s">
        <v>136</v>
      </c>
      <c r="H5" s="73" t="s">
        <v>136</v>
      </c>
      <c r="I5" s="73" t="s">
        <v>136</v>
      </c>
      <c r="K5" s="28" t="s">
        <v>12</v>
      </c>
    </row>
    <row r="6" spans="1:11" ht="21" customHeight="1" x14ac:dyDescent="0.15">
      <c r="A6" s="55" t="s">
        <v>47</v>
      </c>
      <c r="B6" s="73" t="s">
        <v>136</v>
      </c>
      <c r="C6" s="73" t="s">
        <v>136</v>
      </c>
      <c r="D6" s="55" t="s">
        <v>85</v>
      </c>
      <c r="E6" s="55" t="s">
        <v>85</v>
      </c>
      <c r="F6" s="55" t="s">
        <v>85</v>
      </c>
      <c r="G6" s="73" t="s">
        <v>136</v>
      </c>
      <c r="H6" s="73" t="s">
        <v>136</v>
      </c>
      <c r="I6" s="73" t="s">
        <v>136</v>
      </c>
      <c r="K6" s="30" t="s">
        <v>13</v>
      </c>
    </row>
    <row r="7" spans="1:11" ht="21" customHeight="1" x14ac:dyDescent="0.15">
      <c r="A7" s="56" t="s">
        <v>48</v>
      </c>
      <c r="B7" s="73" t="s">
        <v>136</v>
      </c>
      <c r="C7" s="73" t="s">
        <v>136</v>
      </c>
      <c r="D7" s="56" t="s">
        <v>86</v>
      </c>
      <c r="E7" s="56" t="s">
        <v>86</v>
      </c>
      <c r="F7" s="73" t="s">
        <v>136</v>
      </c>
      <c r="G7" s="73" t="s">
        <v>136</v>
      </c>
      <c r="H7" s="73" t="s">
        <v>136</v>
      </c>
      <c r="I7" s="73" t="s">
        <v>136</v>
      </c>
      <c r="K7" s="74" t="s">
        <v>55</v>
      </c>
    </row>
    <row r="8" spans="1:11" ht="21" customHeight="1" x14ac:dyDescent="0.15">
      <c r="A8" s="56" t="s">
        <v>65</v>
      </c>
      <c r="B8" s="73" t="s">
        <v>136</v>
      </c>
      <c r="C8" s="73" t="s">
        <v>136</v>
      </c>
      <c r="D8" s="57" t="s">
        <v>85</v>
      </c>
      <c r="E8" s="57" t="s">
        <v>85</v>
      </c>
      <c r="F8" s="57" t="s">
        <v>85</v>
      </c>
      <c r="G8" s="73" t="s">
        <v>136</v>
      </c>
      <c r="H8" s="73" t="s">
        <v>136</v>
      </c>
      <c r="I8" s="73" t="s">
        <v>136</v>
      </c>
      <c r="K8" s="75"/>
    </row>
    <row r="9" spans="1:11" ht="21" customHeight="1" x14ac:dyDescent="0.15">
      <c r="A9" s="57" t="s">
        <v>49</v>
      </c>
      <c r="B9" s="73" t="s">
        <v>136</v>
      </c>
      <c r="C9" s="73" t="s">
        <v>136</v>
      </c>
      <c r="D9" s="57" t="s">
        <v>85</v>
      </c>
      <c r="E9" s="57" t="s">
        <v>85</v>
      </c>
      <c r="F9" s="57" t="s">
        <v>85</v>
      </c>
      <c r="G9" s="73" t="s">
        <v>136</v>
      </c>
      <c r="H9" s="73" t="s">
        <v>136</v>
      </c>
      <c r="I9" s="73" t="s">
        <v>136</v>
      </c>
    </row>
    <row r="10" spans="1:11" ht="21" customHeight="1" x14ac:dyDescent="0.15">
      <c r="A10" s="57" t="s">
        <v>50</v>
      </c>
      <c r="B10" s="73" t="s">
        <v>136</v>
      </c>
      <c r="C10" s="73" t="s">
        <v>136</v>
      </c>
      <c r="D10" s="57" t="s">
        <v>86</v>
      </c>
      <c r="E10" s="57" t="s">
        <v>86</v>
      </c>
      <c r="F10" s="73" t="s">
        <v>136</v>
      </c>
      <c r="G10" s="73" t="s">
        <v>136</v>
      </c>
      <c r="H10" s="73" t="s">
        <v>136</v>
      </c>
      <c r="I10" s="73" t="s">
        <v>136</v>
      </c>
    </row>
    <row r="11" spans="1:11" ht="21" customHeight="1" x14ac:dyDescent="0.15">
      <c r="A11" s="57" t="s">
        <v>51</v>
      </c>
      <c r="B11" s="73" t="s">
        <v>136</v>
      </c>
      <c r="C11" s="57" t="s">
        <v>86</v>
      </c>
      <c r="D11" s="57" t="s">
        <v>86</v>
      </c>
      <c r="E11" s="57" t="s">
        <v>86</v>
      </c>
      <c r="F11" s="73" t="s">
        <v>136</v>
      </c>
      <c r="G11" s="73" t="s">
        <v>136</v>
      </c>
      <c r="H11" s="73" t="s">
        <v>136</v>
      </c>
      <c r="I11" s="73" t="s">
        <v>136</v>
      </c>
    </row>
    <row r="12" spans="1:11" ht="21" customHeight="1" x14ac:dyDescent="0.15">
      <c r="A12" s="58" t="s">
        <v>8</v>
      </c>
      <c r="B12" s="58" t="s">
        <v>87</v>
      </c>
      <c r="C12" s="58" t="s">
        <v>87</v>
      </c>
      <c r="D12" s="58" t="s">
        <v>87</v>
      </c>
      <c r="E12" s="73" t="s">
        <v>136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11" ht="21" customHeight="1" x14ac:dyDescent="0.15">
      <c r="A13" s="53" t="s">
        <v>7</v>
      </c>
      <c r="B13" s="53" t="s">
        <v>88</v>
      </c>
      <c r="C13" s="53" t="s">
        <v>88</v>
      </c>
      <c r="D13" s="73" t="s">
        <v>136</v>
      </c>
      <c r="E13" s="73" t="s">
        <v>136</v>
      </c>
      <c r="F13" s="73" t="s">
        <v>136</v>
      </c>
      <c r="G13" s="73" t="s">
        <v>136</v>
      </c>
      <c r="H13" s="73" t="s">
        <v>136</v>
      </c>
      <c r="I13" s="73" t="s">
        <v>136</v>
      </c>
    </row>
    <row r="14" spans="1:11" ht="21" customHeight="1" x14ac:dyDescent="0.15">
      <c r="A14" s="55" t="s">
        <v>52</v>
      </c>
      <c r="B14" s="55" t="s">
        <v>89</v>
      </c>
      <c r="C14" s="55" t="s">
        <v>89</v>
      </c>
      <c r="D14" s="73" t="s">
        <v>136</v>
      </c>
      <c r="E14" s="73" t="s">
        <v>136</v>
      </c>
      <c r="F14" s="73" t="s">
        <v>136</v>
      </c>
      <c r="G14" s="73" t="s">
        <v>136</v>
      </c>
      <c r="H14" s="73" t="s">
        <v>136</v>
      </c>
      <c r="I14" s="73" t="s">
        <v>136</v>
      </c>
    </row>
    <row r="15" spans="1:11" ht="21" customHeight="1" x14ac:dyDescent="0.15">
      <c r="A15" s="38" t="s">
        <v>30</v>
      </c>
      <c r="B15" s="85" t="s">
        <v>73</v>
      </c>
      <c r="C15" s="85" t="s">
        <v>73</v>
      </c>
      <c r="D15" s="85" t="s">
        <v>73</v>
      </c>
      <c r="E15" s="85" t="s">
        <v>73</v>
      </c>
      <c r="F15" s="85" t="s">
        <v>73</v>
      </c>
      <c r="G15" s="85" t="s">
        <v>73</v>
      </c>
      <c r="H15" s="85" t="s">
        <v>73</v>
      </c>
      <c r="I15" s="85" t="s">
        <v>73</v>
      </c>
    </row>
    <row r="20" spans="1:2" ht="21" customHeight="1" x14ac:dyDescent="0.15">
      <c r="A20" s="24" t="s">
        <v>14</v>
      </c>
    </row>
    <row r="21" spans="1:2" ht="21" customHeight="1" x14ac:dyDescent="0.15">
      <c r="A21" s="22" t="s">
        <v>90</v>
      </c>
      <c r="B21" s="22" t="s">
        <v>91</v>
      </c>
    </row>
    <row r="22" spans="1:2" ht="21" customHeight="1" x14ac:dyDescent="0.15">
      <c r="A22" s="25">
        <v>1</v>
      </c>
      <c r="B22" s="25">
        <v>200</v>
      </c>
    </row>
    <row r="23" spans="1:2" ht="21" customHeight="1" x14ac:dyDescent="0.15">
      <c r="A23" s="25">
        <v>2</v>
      </c>
      <c r="B23" s="25">
        <v>600</v>
      </c>
    </row>
    <row r="24" spans="1:2" ht="21" customHeight="1" x14ac:dyDescent="0.15">
      <c r="A24" s="25">
        <v>3</v>
      </c>
      <c r="B24" s="25">
        <v>1500</v>
      </c>
    </row>
    <row r="25" spans="1:2" ht="21" customHeight="1" x14ac:dyDescent="0.15">
      <c r="A25" s="25">
        <v>4</v>
      </c>
      <c r="B25" s="25">
        <v>3400</v>
      </c>
    </row>
    <row r="26" spans="1:2" ht="21" customHeight="1" x14ac:dyDescent="0.15">
      <c r="A26" s="25">
        <v>5</v>
      </c>
      <c r="B26" s="25">
        <v>6400</v>
      </c>
    </row>
  </sheetData>
  <sheetProtection selectLockedCells="1" selectUnlockedCells="1"/>
  <phoneticPr fontId="9"/>
  <conditionalFormatting sqref="A29:I65535 J1:IV2 J5:J8 L5:IV8 J9:IV65535">
    <cfRule type="cellIs" dxfId="16" priority="15" stopIfTrue="1" operator="equal">
      <formula>1</formula>
    </cfRule>
  </conditionalFormatting>
  <conditionalFormatting sqref="A19:B20 A27:B28 C19:I28 G14:I14">
    <cfRule type="cellIs" dxfId="15" priority="14" stopIfTrue="1" operator="equal">
      <formula>1</formula>
    </cfRule>
  </conditionalFormatting>
  <conditionalFormatting sqref="D13:G13 F10:I13">
    <cfRule type="cellIs" dxfId="14" priority="13" stopIfTrue="1" operator="equal">
      <formula>1</formula>
    </cfRule>
  </conditionalFormatting>
  <conditionalFormatting sqref="F12:G12">
    <cfRule type="cellIs" dxfId="13" priority="12" stopIfTrue="1" operator="equal">
      <formula>1</formula>
    </cfRule>
  </conditionalFormatting>
  <conditionalFormatting sqref="A15">
    <cfRule type="cellIs" dxfId="12" priority="11" stopIfTrue="1" operator="equal">
      <formula>1</formula>
    </cfRule>
  </conditionalFormatting>
  <conditionalFormatting sqref="K5:K8">
    <cfRule type="cellIs" dxfId="11" priority="10" stopIfTrue="1" operator="equal">
      <formula>1</formula>
    </cfRule>
  </conditionalFormatting>
  <conditionalFormatting sqref="J3:IV3">
    <cfRule type="cellIs" dxfId="10" priority="9" stopIfTrue="1" operator="equal">
      <formula>1</formula>
    </cfRule>
  </conditionalFormatting>
  <conditionalFormatting sqref="J4:IV4">
    <cfRule type="cellIs" dxfId="9" priority="8" stopIfTrue="1" operator="equal">
      <formula>1</formula>
    </cfRule>
  </conditionalFormatting>
  <conditionalFormatting sqref="G5:I9">
    <cfRule type="cellIs" dxfId="8" priority="6" stopIfTrue="1" operator="equal">
      <formula>1</formula>
    </cfRule>
  </conditionalFormatting>
  <conditionalFormatting sqref="B5:C10">
    <cfRule type="cellIs" dxfId="7" priority="5" stopIfTrue="1" operator="equal">
      <formula>1</formula>
    </cfRule>
  </conditionalFormatting>
  <conditionalFormatting sqref="B11">
    <cfRule type="cellIs" dxfId="6" priority="4" stopIfTrue="1" operator="equal">
      <formula>1</formula>
    </cfRule>
  </conditionalFormatting>
  <conditionalFormatting sqref="E12">
    <cfRule type="cellIs" dxfId="5" priority="3" stopIfTrue="1" operator="equal">
      <formula>1</formula>
    </cfRule>
  </conditionalFormatting>
  <conditionalFormatting sqref="F7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15"/>
  <sheetViews>
    <sheetView showGridLines="0" workbookViewId="0">
      <selection activeCell="D18" sqref="D18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80" t="s">
        <v>17</v>
      </c>
      <c r="B2" s="48" t="s">
        <v>11</v>
      </c>
      <c r="C2" s="48" t="s">
        <v>11</v>
      </c>
      <c r="D2" s="48" t="s">
        <v>11</v>
      </c>
      <c r="E2" s="48" t="s">
        <v>11</v>
      </c>
      <c r="F2" s="48" t="s">
        <v>11</v>
      </c>
      <c r="G2" s="48" t="s">
        <v>11</v>
      </c>
      <c r="H2" s="48" t="s">
        <v>11</v>
      </c>
      <c r="I2" s="48" t="s">
        <v>11</v>
      </c>
    </row>
    <row r="3" spans="1:9" ht="21" customHeight="1" x14ac:dyDescent="0.15">
      <c r="A3" s="81" t="s">
        <v>56</v>
      </c>
      <c r="B3" s="48" t="s">
        <v>11</v>
      </c>
      <c r="C3" s="48" t="s">
        <v>11</v>
      </c>
      <c r="D3" s="48" t="s">
        <v>11</v>
      </c>
      <c r="E3" s="48">
        <v>8000</v>
      </c>
      <c r="F3" s="29">
        <v>10000</v>
      </c>
      <c r="G3" s="48" t="s">
        <v>11</v>
      </c>
      <c r="H3" s="48" t="s">
        <v>11</v>
      </c>
      <c r="I3" s="48" t="s">
        <v>11</v>
      </c>
    </row>
    <row r="4" spans="1:9" s="47" customFormat="1" ht="21" customHeight="1" x14ac:dyDescent="0.15">
      <c r="A4" s="82" t="s">
        <v>31</v>
      </c>
      <c r="B4" s="29" t="s">
        <v>11</v>
      </c>
      <c r="C4" s="29" t="s">
        <v>11</v>
      </c>
      <c r="D4" s="29" t="s">
        <v>11</v>
      </c>
      <c r="E4" s="29">
        <v>7500</v>
      </c>
      <c r="F4" s="29">
        <v>9500</v>
      </c>
      <c r="G4" s="29" t="s">
        <v>11</v>
      </c>
      <c r="H4" s="29" t="s">
        <v>11</v>
      </c>
      <c r="I4" s="29" t="s">
        <v>11</v>
      </c>
    </row>
    <row r="5" spans="1:9" ht="21" customHeight="1" x14ac:dyDescent="0.15">
      <c r="A5" s="82" t="s">
        <v>9</v>
      </c>
      <c r="B5" s="71" t="s">
        <v>11</v>
      </c>
      <c r="C5" s="71" t="s">
        <v>11</v>
      </c>
      <c r="D5" s="29">
        <v>5000</v>
      </c>
      <c r="E5" s="29">
        <v>7000</v>
      </c>
      <c r="F5" s="29">
        <v>9000</v>
      </c>
      <c r="G5" s="71" t="s">
        <v>11</v>
      </c>
      <c r="H5" s="71" t="s">
        <v>11</v>
      </c>
      <c r="I5" s="71" t="s">
        <v>11</v>
      </c>
    </row>
    <row r="6" spans="1:9" ht="21" customHeight="1" x14ac:dyDescent="0.15">
      <c r="A6" s="82" t="s">
        <v>57</v>
      </c>
      <c r="B6" s="71" t="s">
        <v>11</v>
      </c>
      <c r="C6" s="71" t="s">
        <v>11</v>
      </c>
      <c r="D6" s="29">
        <v>4900</v>
      </c>
      <c r="E6" s="29">
        <v>6700</v>
      </c>
      <c r="F6" s="29">
        <v>8500</v>
      </c>
      <c r="G6" s="71" t="s">
        <v>11</v>
      </c>
      <c r="H6" s="71" t="s">
        <v>11</v>
      </c>
      <c r="I6" s="71" t="s">
        <v>11</v>
      </c>
    </row>
    <row r="7" spans="1:9" ht="21" customHeight="1" x14ac:dyDescent="0.15">
      <c r="A7" s="82" t="s">
        <v>132</v>
      </c>
      <c r="B7" s="71" t="s">
        <v>11</v>
      </c>
      <c r="C7" s="71" t="s">
        <v>11</v>
      </c>
      <c r="D7" s="29">
        <v>4800</v>
      </c>
      <c r="E7" s="29">
        <v>6600</v>
      </c>
      <c r="F7" s="71" t="s">
        <v>11</v>
      </c>
      <c r="G7" s="71" t="s">
        <v>11</v>
      </c>
      <c r="H7" s="71" t="s">
        <v>11</v>
      </c>
      <c r="I7" s="71" t="s">
        <v>11</v>
      </c>
    </row>
    <row r="8" spans="1:9" ht="21" customHeight="1" x14ac:dyDescent="0.15">
      <c r="A8" s="82" t="s">
        <v>145</v>
      </c>
      <c r="B8" s="71" t="s">
        <v>11</v>
      </c>
      <c r="C8" s="71" t="s">
        <v>11</v>
      </c>
      <c r="D8" s="71" t="s">
        <v>11</v>
      </c>
      <c r="E8" s="29">
        <v>6300</v>
      </c>
      <c r="F8" s="71" t="s">
        <v>11</v>
      </c>
      <c r="G8" s="71" t="s">
        <v>11</v>
      </c>
      <c r="H8" s="71" t="s">
        <v>11</v>
      </c>
      <c r="I8" s="71" t="s">
        <v>11</v>
      </c>
    </row>
    <row r="9" spans="1:9" ht="21" customHeight="1" x14ac:dyDescent="0.15">
      <c r="A9" s="82" t="s">
        <v>133</v>
      </c>
      <c r="B9" s="71" t="s">
        <v>11</v>
      </c>
      <c r="C9" s="71" t="s">
        <v>11</v>
      </c>
      <c r="D9" s="29">
        <v>4600</v>
      </c>
      <c r="E9" s="29">
        <v>5800</v>
      </c>
      <c r="F9" s="29">
        <v>7600</v>
      </c>
      <c r="G9" s="71" t="s">
        <v>11</v>
      </c>
      <c r="H9" s="71" t="s">
        <v>11</v>
      </c>
      <c r="I9" s="71" t="s">
        <v>11</v>
      </c>
    </row>
    <row r="10" spans="1:9" ht="21" customHeight="1" x14ac:dyDescent="0.15">
      <c r="A10" s="82" t="s">
        <v>131</v>
      </c>
      <c r="B10" s="71" t="s">
        <v>11</v>
      </c>
      <c r="C10" s="71" t="s">
        <v>11</v>
      </c>
      <c r="D10" s="29">
        <v>4400</v>
      </c>
      <c r="E10" s="29">
        <v>5600</v>
      </c>
      <c r="F10" s="71" t="s">
        <v>11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43</v>
      </c>
      <c r="B11" s="71" t="s">
        <v>11</v>
      </c>
      <c r="C11" s="29">
        <v>3000</v>
      </c>
      <c r="D11" s="29">
        <v>4200</v>
      </c>
      <c r="E11" s="29">
        <v>5400</v>
      </c>
      <c r="F11" s="71" t="s">
        <v>11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8</v>
      </c>
      <c r="B12" s="29">
        <v>2000</v>
      </c>
      <c r="C12" s="29">
        <v>2800</v>
      </c>
      <c r="D12" s="29">
        <v>4000</v>
      </c>
      <c r="E12" s="71" t="s">
        <v>11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3" t="s">
        <v>7</v>
      </c>
      <c r="B13" s="29">
        <v>1750</v>
      </c>
      <c r="C13" s="29">
        <v>2550</v>
      </c>
      <c r="D13" s="71" t="s">
        <v>11</v>
      </c>
      <c r="E13" s="71" t="s">
        <v>11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3" t="s">
        <v>42</v>
      </c>
      <c r="B14" s="29">
        <v>1500</v>
      </c>
      <c r="C14" s="29">
        <v>2300</v>
      </c>
      <c r="D14" s="71" t="s">
        <v>11</v>
      </c>
      <c r="E14" s="71" t="s">
        <v>11</v>
      </c>
      <c r="F14" s="71" t="s">
        <v>11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38" t="s">
        <v>30</v>
      </c>
      <c r="B15" s="37">
        <v>1000</v>
      </c>
      <c r="C15" s="37">
        <v>1000</v>
      </c>
      <c r="D15" s="37">
        <v>1000</v>
      </c>
      <c r="E15" s="37">
        <v>1000</v>
      </c>
      <c r="F15" s="37">
        <v>1000</v>
      </c>
      <c r="G15" s="37">
        <v>1000</v>
      </c>
      <c r="H15" s="37">
        <v>1000</v>
      </c>
      <c r="I15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2" stopIfTrue="1" operator="equal">
      <formula>1</formula>
    </cfRule>
  </conditionalFormatting>
  <conditionalFormatting sqref="A16:I65536">
    <cfRule type="cellIs" dxfId="2" priority="3" stopIfTrue="1" operator="equal">
      <formula>1</formula>
    </cfRule>
  </conditionalFormatting>
  <conditionalFormatting sqref="A15:I15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141</v>
      </c>
      <c r="G1" s="24" t="s">
        <v>142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2017-06-06T10:51:17Z</dcterms:modified>
</cp:coreProperties>
</file>