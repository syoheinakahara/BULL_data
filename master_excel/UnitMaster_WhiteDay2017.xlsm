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1100" yWindow="1160" windowWidth="27700" windowHeight="15540" tabRatio="963" activeTab="10"/>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abilities" sheetId="56" r:id="rId8"/>
    <sheet name="unit_abilities" sheetId="57" r:id="rId9"/>
    <sheet name="→base値" sheetId="51" r:id="rId10"/>
    <sheet name="コスト" sheetId="13" r:id="rId11"/>
    <sheet name="レベル" sheetId="12" r:id="rId12"/>
    <sheet name="経験値" sheetId="10" r:id="rId13"/>
    <sheet name="RC6SV" sheetId="11" r:id="rId14"/>
    <sheet name="ビット" sheetId="15" r:id="rId15"/>
    <sheet name="ghosts_label" sheetId="59" r:id="rId16"/>
    <sheet name="チェックシート" sheetId="55" r:id="rId17"/>
  </sheets>
  <externalReferences>
    <externalReference r:id="rId18"/>
    <externalReference r:id="rId19"/>
    <externalReference r:id="rId20"/>
    <externalReference r:id="rId21"/>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fork_awake_units!$A$1:$U$2</definedName>
    <definedName name="_xlnm._FilterDatabase" localSheetId="2" hidden="1">unit_skills!$A$1:$S$1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AX6" i="23" l="1"/>
  <c r="K4" i="56"/>
  <c r="I4" i="56"/>
  <c r="AX5" i="23"/>
  <c r="K3" i="56"/>
  <c r="I3" i="56"/>
  <c r="G5" i="58"/>
  <c r="U5" i="58"/>
  <c r="S5" i="58"/>
  <c r="T5" i="58"/>
  <c r="R5" i="58"/>
  <c r="P5" i="58"/>
  <c r="O5" i="58"/>
  <c r="N5" i="58"/>
  <c r="M5" i="58"/>
  <c r="L5" i="58"/>
  <c r="J5" i="58"/>
  <c r="K5" i="58"/>
  <c r="I5" i="58"/>
  <c r="H5" i="58"/>
  <c r="F5" i="58"/>
  <c r="E5" i="58"/>
  <c r="D5" i="58"/>
  <c r="C5" i="58"/>
  <c r="B5" i="58"/>
  <c r="J16" i="3"/>
  <c r="H16" i="3"/>
  <c r="C16" i="3"/>
  <c r="F16" i="3"/>
  <c r="E16" i="3"/>
  <c r="D16" i="3"/>
  <c r="A16" i="3"/>
  <c r="J15" i="3"/>
  <c r="H15" i="3"/>
  <c r="C15" i="3"/>
  <c r="F15" i="3"/>
  <c r="E15" i="3"/>
  <c r="D15" i="3"/>
  <c r="A15" i="3"/>
  <c r="J14" i="3"/>
  <c r="H14" i="3"/>
  <c r="C14" i="3"/>
  <c r="F14" i="3"/>
  <c r="E14" i="3"/>
  <c r="D14" i="3"/>
  <c r="A14" i="3"/>
  <c r="R3" i="58"/>
  <c r="S3" i="58"/>
  <c r="T3" i="58"/>
  <c r="G3" i="58"/>
  <c r="U3" i="58"/>
  <c r="R4" i="58"/>
  <c r="S4" i="58"/>
  <c r="T4" i="58"/>
  <c r="G4" i="58"/>
  <c r="U4" i="58"/>
  <c r="B3" i="58"/>
  <c r="C3" i="58"/>
  <c r="D3" i="58"/>
  <c r="E3" i="58"/>
  <c r="F3" i="58"/>
  <c r="H3" i="58"/>
  <c r="I3" i="58"/>
  <c r="B4" i="58"/>
  <c r="C4" i="58"/>
  <c r="D4" i="58"/>
  <c r="E4" i="58"/>
  <c r="F4" i="58"/>
  <c r="H4" i="58"/>
  <c r="I4" i="58"/>
  <c r="J2" i="58"/>
  <c r="K2" i="58"/>
  <c r="L2" i="58"/>
  <c r="M2" i="58"/>
  <c r="N2" i="58"/>
  <c r="O2" i="58"/>
  <c r="P2" i="58"/>
  <c r="F10" i="57"/>
  <c r="E10" i="57"/>
  <c r="B10" i="57"/>
  <c r="F9" i="57"/>
  <c r="E9" i="57"/>
  <c r="B9" i="57"/>
  <c r="F8" i="57"/>
  <c r="E8" i="57"/>
  <c r="B8" i="57"/>
  <c r="E36" i="54"/>
  <c r="D36" i="54"/>
  <c r="B36" i="54"/>
  <c r="E35" i="54"/>
  <c r="D35" i="54"/>
  <c r="B35" i="54"/>
  <c r="E34" i="54"/>
  <c r="D34" i="54"/>
  <c r="B34" i="54"/>
  <c r="E33" i="54"/>
  <c r="D33" i="54"/>
  <c r="B33" i="54"/>
  <c r="E32" i="54"/>
  <c r="D32" i="54"/>
  <c r="B32" i="54"/>
  <c r="E31" i="54"/>
  <c r="D31" i="54"/>
  <c r="B31" i="54"/>
  <c r="E30" i="54"/>
  <c r="D30" i="54"/>
  <c r="B30" i="54"/>
  <c r="E29" i="54"/>
  <c r="D29" i="54"/>
  <c r="B29" i="54"/>
  <c r="E28" i="54"/>
  <c r="D28" i="54"/>
  <c r="B28" i="54"/>
  <c r="E27" i="54"/>
  <c r="D27" i="54"/>
  <c r="B27" i="54"/>
  <c r="E26" i="54"/>
  <c r="D26" i="54"/>
  <c r="B26" i="54"/>
  <c r="E25" i="54"/>
  <c r="D25" i="54"/>
  <c r="B25" i="54"/>
  <c r="H9" i="53"/>
  <c r="G9" i="53"/>
  <c r="E9" i="53"/>
  <c r="H8" i="53"/>
  <c r="G8" i="53"/>
  <c r="E8" i="53"/>
  <c r="H7" i="53"/>
  <c r="G7" i="53"/>
  <c r="E7" i="53"/>
  <c r="K9" i="52"/>
  <c r="J9" i="52"/>
  <c r="H9" i="52"/>
  <c r="E9" i="52"/>
  <c r="K8" i="52"/>
  <c r="J8" i="52"/>
  <c r="H8" i="52"/>
  <c r="E8" i="52"/>
  <c r="K7" i="52"/>
  <c r="J7" i="52"/>
  <c r="H7" i="52"/>
  <c r="E7" i="52"/>
  <c r="H9" i="23"/>
  <c r="BR9" i="23"/>
  <c r="G9" i="23"/>
  <c r="BC9" i="23"/>
  <c r="BD9" i="23"/>
  <c r="Q9" i="23"/>
  <c r="V9" i="23"/>
  <c r="W9" i="23"/>
  <c r="AD9" i="23"/>
  <c r="I9" i="23"/>
  <c r="M9" i="23"/>
  <c r="BN9" i="23"/>
  <c r="U9" i="23"/>
  <c r="AC9" i="23"/>
  <c r="L9" i="23"/>
  <c r="BM9" i="23"/>
  <c r="T9" i="23"/>
  <c r="AB9" i="23"/>
  <c r="K9" i="23"/>
  <c r="BL9" i="23"/>
  <c r="S9" i="23"/>
  <c r="AA9" i="23"/>
  <c r="J9" i="23"/>
  <c r="BK9" i="23"/>
  <c r="BE9" i="23"/>
  <c r="BJ9" i="23"/>
  <c r="BI9" i="23"/>
  <c r="BH9" i="23"/>
  <c r="BG9" i="23"/>
  <c r="I2" i="23"/>
  <c r="J2" i="23"/>
  <c r="BF9" i="23"/>
  <c r="AX9" i="23"/>
  <c r="AW9" i="23"/>
  <c r="AV9" i="23"/>
  <c r="AU9" i="23"/>
  <c r="AS9" i="23"/>
  <c r="AR9" i="23"/>
  <c r="AQ9" i="23"/>
  <c r="AN9" i="23"/>
  <c r="AM9" i="23"/>
  <c r="AL9" i="23"/>
  <c r="AK9" i="23"/>
  <c r="AI9" i="23"/>
  <c r="AH9" i="23"/>
  <c r="AF9" i="23"/>
  <c r="Y9" i="23"/>
  <c r="Z9" i="23"/>
  <c r="X9" i="23"/>
  <c r="R9" i="23"/>
  <c r="P9" i="23"/>
  <c r="O9" i="23"/>
  <c r="N9" i="23"/>
  <c r="F9" i="23"/>
  <c r="E9" i="23"/>
  <c r="D9" i="23"/>
  <c r="C9" i="23"/>
  <c r="B9" i="23"/>
  <c r="H8" i="23"/>
  <c r="BR8" i="23"/>
  <c r="G8" i="23"/>
  <c r="BC8" i="23"/>
  <c r="BD8" i="23"/>
  <c r="Q8" i="23"/>
  <c r="V8" i="23"/>
  <c r="W8" i="23"/>
  <c r="AD8" i="23"/>
  <c r="I8" i="23"/>
  <c r="M8" i="23"/>
  <c r="BN8" i="23"/>
  <c r="U8" i="23"/>
  <c r="AC8" i="23"/>
  <c r="L8" i="23"/>
  <c r="BM8" i="23"/>
  <c r="T8" i="23"/>
  <c r="AB8" i="23"/>
  <c r="K8" i="23"/>
  <c r="BL8" i="23"/>
  <c r="S8" i="23"/>
  <c r="AA8" i="23"/>
  <c r="J8" i="23"/>
  <c r="BK8" i="23"/>
  <c r="BE8" i="23"/>
  <c r="BJ8" i="23"/>
  <c r="BI8" i="23"/>
  <c r="BH8" i="23"/>
  <c r="BG8" i="23"/>
  <c r="BF8" i="23"/>
  <c r="AX8" i="23"/>
  <c r="AW8" i="23"/>
  <c r="AV8" i="23"/>
  <c r="AU8" i="23"/>
  <c r="AS8" i="23"/>
  <c r="AR8" i="23"/>
  <c r="AQ8" i="23"/>
  <c r="AN8" i="23"/>
  <c r="AM8" i="23"/>
  <c r="AL8" i="23"/>
  <c r="AK8" i="23"/>
  <c r="AI8" i="23"/>
  <c r="AH8" i="23"/>
  <c r="AF8" i="23"/>
  <c r="Y8" i="23"/>
  <c r="Z8" i="23"/>
  <c r="X8" i="23"/>
  <c r="R8" i="23"/>
  <c r="P8" i="23"/>
  <c r="O8" i="23"/>
  <c r="N8" i="23"/>
  <c r="F8" i="23"/>
  <c r="E8" i="23"/>
  <c r="D8" i="23"/>
  <c r="C8" i="23"/>
  <c r="B8" i="23"/>
  <c r="H7" i="23"/>
  <c r="BR7" i="23"/>
  <c r="G7" i="23"/>
  <c r="BC7" i="23"/>
  <c r="BD7" i="23"/>
  <c r="Q7" i="23"/>
  <c r="V7" i="23"/>
  <c r="W7" i="23"/>
  <c r="AD7" i="23"/>
  <c r="I7" i="23"/>
  <c r="M7" i="23"/>
  <c r="BN7" i="23"/>
  <c r="U7" i="23"/>
  <c r="AC7" i="23"/>
  <c r="L7" i="23"/>
  <c r="BM7" i="23"/>
  <c r="T7" i="23"/>
  <c r="AB7" i="23"/>
  <c r="K7" i="23"/>
  <c r="BL7" i="23"/>
  <c r="S7" i="23"/>
  <c r="AA7" i="23"/>
  <c r="J7" i="23"/>
  <c r="BK7" i="23"/>
  <c r="BE7" i="23"/>
  <c r="BJ7" i="23"/>
  <c r="BI7" i="23"/>
  <c r="BH7" i="23"/>
  <c r="BG7" i="23"/>
  <c r="BF7" i="23"/>
  <c r="AX7" i="23"/>
  <c r="AW7" i="23"/>
  <c r="AV7" i="23"/>
  <c r="AU7" i="23"/>
  <c r="AS7" i="23"/>
  <c r="AR7" i="23"/>
  <c r="AQ7" i="23"/>
  <c r="AN7" i="23"/>
  <c r="AM7" i="23"/>
  <c r="AL7" i="23"/>
  <c r="AK7" i="23"/>
  <c r="AI7" i="23"/>
  <c r="AH7" i="23"/>
  <c r="AF7" i="23"/>
  <c r="Y7" i="23"/>
  <c r="Z7" i="23"/>
  <c r="X7" i="23"/>
  <c r="R7" i="23"/>
  <c r="P7" i="23"/>
  <c r="O7" i="23"/>
  <c r="N7" i="23"/>
  <c r="F7" i="23"/>
  <c r="E7" i="23"/>
  <c r="D7" i="23"/>
  <c r="C7" i="23"/>
  <c r="B7" i="23"/>
  <c r="F7" i="57"/>
  <c r="E7" i="57"/>
  <c r="B7" i="57"/>
  <c r="F6" i="57"/>
  <c r="E6" i="57"/>
  <c r="B6" i="57"/>
  <c r="J13" i="3"/>
  <c r="H13" i="3"/>
  <c r="C13" i="3"/>
  <c r="F13" i="3"/>
  <c r="E13" i="3"/>
  <c r="D13" i="3"/>
  <c r="A13" i="3"/>
  <c r="J12" i="3"/>
  <c r="H12" i="3"/>
  <c r="C12" i="3"/>
  <c r="F12" i="3"/>
  <c r="E12" i="3"/>
  <c r="D12" i="3"/>
  <c r="A12" i="3"/>
  <c r="J11" i="3"/>
  <c r="H11" i="3"/>
  <c r="C11" i="3"/>
  <c r="F11" i="3"/>
  <c r="E11" i="3"/>
  <c r="D11" i="3"/>
  <c r="A11" i="3"/>
  <c r="J10" i="3"/>
  <c r="H10" i="3"/>
  <c r="C10" i="3"/>
  <c r="F10" i="3"/>
  <c r="E10" i="3"/>
  <c r="D10" i="3"/>
  <c r="A10" i="3"/>
  <c r="P4" i="58"/>
  <c r="O4" i="58"/>
  <c r="N4" i="58"/>
  <c r="M4" i="58"/>
  <c r="L4" i="58"/>
  <c r="J4" i="58"/>
  <c r="K4" i="58"/>
  <c r="E24" i="54"/>
  <c r="D24" i="54"/>
  <c r="B24" i="54"/>
  <c r="E23" i="54"/>
  <c r="D23" i="54"/>
  <c r="B23" i="54"/>
  <c r="E22" i="54"/>
  <c r="D22" i="54"/>
  <c r="B22" i="54"/>
  <c r="E21" i="54"/>
  <c r="D21" i="54"/>
  <c r="B21" i="54"/>
  <c r="E20" i="54"/>
  <c r="D20" i="54"/>
  <c r="B20" i="54"/>
  <c r="E19" i="54"/>
  <c r="D19" i="54"/>
  <c r="B19" i="54"/>
  <c r="E18" i="54"/>
  <c r="D18" i="54"/>
  <c r="B18" i="54"/>
  <c r="E17" i="54"/>
  <c r="D17" i="54"/>
  <c r="B17" i="54"/>
  <c r="E16" i="54"/>
  <c r="D16" i="54"/>
  <c r="B16" i="54"/>
  <c r="H6" i="53"/>
  <c r="G6" i="53"/>
  <c r="E6" i="53"/>
  <c r="H5" i="53"/>
  <c r="G5" i="53"/>
  <c r="E5" i="53"/>
  <c r="K6" i="52"/>
  <c r="J6" i="52"/>
  <c r="H6" i="52"/>
  <c r="E6" i="52"/>
  <c r="K5" i="52"/>
  <c r="J5" i="52"/>
  <c r="H5" i="52"/>
  <c r="E5" i="52"/>
  <c r="H6" i="23"/>
  <c r="BR6" i="23"/>
  <c r="G6" i="23"/>
  <c r="BC6" i="23"/>
  <c r="BD6" i="23"/>
  <c r="Q6" i="23"/>
  <c r="V6" i="23"/>
  <c r="W6" i="23"/>
  <c r="AD6" i="23"/>
  <c r="I6" i="23"/>
  <c r="M6" i="23"/>
  <c r="BN6" i="23"/>
  <c r="U6" i="23"/>
  <c r="AC6" i="23"/>
  <c r="L6" i="23"/>
  <c r="BM6" i="23"/>
  <c r="T6" i="23"/>
  <c r="AB6" i="23"/>
  <c r="K6" i="23"/>
  <c r="BL6" i="23"/>
  <c r="S6" i="23"/>
  <c r="AA6" i="23"/>
  <c r="J6" i="23"/>
  <c r="BK6" i="23"/>
  <c r="H3" i="23"/>
  <c r="G3" i="23"/>
  <c r="BC3" i="23"/>
  <c r="H5" i="23"/>
  <c r="G5" i="23"/>
  <c r="BC5" i="23"/>
  <c r="BE6" i="23"/>
  <c r="BJ6" i="23"/>
  <c r="BI6" i="23"/>
  <c r="BH6" i="23"/>
  <c r="BG6" i="23"/>
  <c r="I3" i="23"/>
  <c r="J3" i="23"/>
  <c r="I5" i="23"/>
  <c r="J5" i="23"/>
  <c r="BF6" i="23"/>
  <c r="AW6" i="23"/>
  <c r="AV6" i="23"/>
  <c r="AU6" i="23"/>
  <c r="AS6" i="23"/>
  <c r="AR6" i="23"/>
  <c r="AQ6" i="23"/>
  <c r="AN6" i="23"/>
  <c r="AM6" i="23"/>
  <c r="AL6" i="23"/>
  <c r="AK6" i="23"/>
  <c r="AI6" i="23"/>
  <c r="AH6" i="23"/>
  <c r="AF6" i="23"/>
  <c r="Y6" i="23"/>
  <c r="Z6" i="23"/>
  <c r="X6" i="23"/>
  <c r="R6" i="23"/>
  <c r="P6" i="23"/>
  <c r="O6" i="23"/>
  <c r="G4" i="13"/>
  <c r="N6" i="23"/>
  <c r="F6" i="23"/>
  <c r="E6" i="23"/>
  <c r="D6" i="23"/>
  <c r="C6" i="23"/>
  <c r="B6" i="23"/>
  <c r="BR5" i="23"/>
  <c r="BD5" i="23"/>
  <c r="Q5" i="23"/>
  <c r="V5" i="23"/>
  <c r="W5" i="23"/>
  <c r="AD5" i="23"/>
  <c r="M5" i="23"/>
  <c r="BN5" i="23"/>
  <c r="U5" i="23"/>
  <c r="AC5" i="23"/>
  <c r="L5" i="23"/>
  <c r="BM5" i="23"/>
  <c r="T5" i="23"/>
  <c r="AB5" i="23"/>
  <c r="K5" i="23"/>
  <c r="BL5" i="23"/>
  <c r="S5" i="23"/>
  <c r="AA5" i="23"/>
  <c r="BK5" i="23"/>
  <c r="BE5" i="23"/>
  <c r="BJ5" i="23"/>
  <c r="BI5" i="23"/>
  <c r="BH5" i="23"/>
  <c r="BG5" i="23"/>
  <c r="BF5" i="23"/>
  <c r="AW5" i="23"/>
  <c r="AV5" i="23"/>
  <c r="AU5" i="23"/>
  <c r="AS5" i="23"/>
  <c r="AR5" i="23"/>
  <c r="AQ5" i="23"/>
  <c r="AN5" i="23"/>
  <c r="AM5" i="23"/>
  <c r="AL5" i="23"/>
  <c r="AK5" i="23"/>
  <c r="AI5" i="23"/>
  <c r="AH5" i="23"/>
  <c r="AF5" i="23"/>
  <c r="Y5" i="23"/>
  <c r="Z5" i="23"/>
  <c r="X5" i="23"/>
  <c r="R5" i="23"/>
  <c r="P5" i="23"/>
  <c r="O5" i="23"/>
  <c r="N5" i="23"/>
  <c r="F5" i="23"/>
  <c r="E5" i="23"/>
  <c r="D5" i="23"/>
  <c r="C5" i="23"/>
  <c r="B5" i="23"/>
  <c r="AX4" i="23"/>
  <c r="K2" i="56"/>
  <c r="I2" i="56"/>
  <c r="J9" i="3"/>
  <c r="H9" i="3"/>
  <c r="C9" i="3"/>
  <c r="F9" i="3"/>
  <c r="E9" i="3"/>
  <c r="D9" i="3"/>
  <c r="A9" i="3"/>
  <c r="F5" i="57"/>
  <c r="E5" i="57"/>
  <c r="B5" i="57"/>
  <c r="F4" i="57"/>
  <c r="E4" i="57"/>
  <c r="B4" i="57"/>
  <c r="F3" i="57"/>
  <c r="E3" i="57"/>
  <c r="B3" i="57"/>
  <c r="J8" i="3"/>
  <c r="H8" i="3"/>
  <c r="C8" i="3"/>
  <c r="F8" i="3"/>
  <c r="E8" i="3"/>
  <c r="D8" i="3"/>
  <c r="A8" i="3"/>
  <c r="J7" i="3"/>
  <c r="H7" i="3"/>
  <c r="C7" i="3"/>
  <c r="F7" i="3"/>
  <c r="E7" i="3"/>
  <c r="D7" i="3"/>
  <c r="A7" i="3"/>
  <c r="J6" i="3"/>
  <c r="H6" i="3"/>
  <c r="C6" i="3"/>
  <c r="F6" i="3"/>
  <c r="E6" i="3"/>
  <c r="D6" i="3"/>
  <c r="A6" i="3"/>
  <c r="J5" i="3"/>
  <c r="H5" i="3"/>
  <c r="C5" i="3"/>
  <c r="F5" i="3"/>
  <c r="E5" i="3"/>
  <c r="D5" i="3"/>
  <c r="A5" i="3"/>
  <c r="P3" i="58"/>
  <c r="O3" i="58"/>
  <c r="N3" i="58"/>
  <c r="M3" i="58"/>
  <c r="L3" i="58"/>
  <c r="J3" i="58"/>
  <c r="K3" i="58"/>
  <c r="E6" i="54"/>
  <c r="D6" i="54"/>
  <c r="B6" i="54"/>
  <c r="E5" i="54"/>
  <c r="D5" i="54"/>
  <c r="B5" i="54"/>
  <c r="E4" i="54"/>
  <c r="D4" i="54"/>
  <c r="B4" i="54"/>
  <c r="E3" i="54"/>
  <c r="D3" i="54"/>
  <c r="B3" i="54"/>
  <c r="E2" i="54"/>
  <c r="D2" i="54"/>
  <c r="B2" i="54"/>
  <c r="H4" i="53"/>
  <c r="G4" i="53"/>
  <c r="E4" i="53"/>
  <c r="K4" i="52"/>
  <c r="J4" i="52"/>
  <c r="H4" i="52"/>
  <c r="E4" i="52"/>
  <c r="H4" i="23"/>
  <c r="BR4" i="23"/>
  <c r="G4" i="23"/>
  <c r="BC4" i="23"/>
  <c r="BD4" i="23"/>
  <c r="Q4" i="23"/>
  <c r="V4" i="23"/>
  <c r="W4" i="23"/>
  <c r="AD4" i="23"/>
  <c r="I4" i="23"/>
  <c r="M4" i="23"/>
  <c r="BN4" i="23"/>
  <c r="U4" i="23"/>
  <c r="AC4" i="23"/>
  <c r="L4" i="23"/>
  <c r="BM4" i="23"/>
  <c r="T4" i="23"/>
  <c r="AB4" i="23"/>
  <c r="K4" i="23"/>
  <c r="BL4" i="23"/>
  <c r="S4" i="23"/>
  <c r="AA4" i="23"/>
  <c r="J4" i="23"/>
  <c r="BK4" i="23"/>
  <c r="BE4" i="23"/>
  <c r="BJ4" i="23"/>
  <c r="BI4" i="23"/>
  <c r="BH4" i="23"/>
  <c r="BG4" i="23"/>
  <c r="BF4" i="23"/>
  <c r="AW4" i="23"/>
  <c r="AV4" i="23"/>
  <c r="AU4" i="23"/>
  <c r="AS4" i="23"/>
  <c r="AR4" i="23"/>
  <c r="AQ4" i="23"/>
  <c r="AN4" i="23"/>
  <c r="AM4" i="23"/>
  <c r="AL4" i="23"/>
  <c r="AK4" i="23"/>
  <c r="AI4" i="23"/>
  <c r="AH4" i="23"/>
  <c r="AF4" i="23"/>
  <c r="Y4" i="23"/>
  <c r="Z4" i="23"/>
  <c r="X4" i="23"/>
  <c r="R4" i="23"/>
  <c r="P4" i="23"/>
  <c r="O4" i="23"/>
  <c r="G10" i="13"/>
  <c r="N4" i="23"/>
  <c r="F4" i="23"/>
  <c r="E4" i="23"/>
  <c r="D4" i="23"/>
  <c r="C4" i="23"/>
  <c r="B4" i="23"/>
  <c r="BR3" i="23"/>
  <c r="H2" i="23"/>
  <c r="BR2" i="23"/>
  <c r="E7" i="54"/>
  <c r="E15" i="54"/>
  <c r="E14" i="54"/>
  <c r="E13" i="54"/>
  <c r="E12" i="54"/>
  <c r="E11" i="54"/>
  <c r="E10" i="54"/>
  <c r="E9" i="54"/>
  <c r="E8" i="54"/>
  <c r="D15" i="54"/>
  <c r="B15" i="54"/>
  <c r="B9" i="54"/>
  <c r="D14" i="54"/>
  <c r="B14" i="54"/>
  <c r="D13" i="54"/>
  <c r="B13" i="54"/>
  <c r="D12" i="54"/>
  <c r="B12" i="54"/>
  <c r="D11" i="54"/>
  <c r="B11" i="54"/>
  <c r="D10" i="54"/>
  <c r="D9" i="54"/>
  <c r="D8" i="54"/>
  <c r="B8" i="54"/>
  <c r="G2" i="58"/>
  <c r="U2" i="58"/>
  <c r="G2" i="23"/>
  <c r="BC2" i="23"/>
  <c r="BD2" i="23"/>
  <c r="Q2" i="23"/>
  <c r="S2" i="23"/>
  <c r="W2" i="23"/>
  <c r="AA2" i="23"/>
  <c r="BK2" i="23"/>
  <c r="BD3" i="23"/>
  <c r="Q3" i="23"/>
  <c r="S3" i="23"/>
  <c r="W3" i="23"/>
  <c r="AA3" i="23"/>
  <c r="BK3" i="23"/>
  <c r="J4" i="3"/>
  <c r="J3" i="3"/>
  <c r="J2" i="3"/>
  <c r="H4" i="3"/>
  <c r="C4" i="3"/>
  <c r="F4" i="3"/>
  <c r="E4" i="3"/>
  <c r="D4" i="3"/>
  <c r="A4" i="3"/>
  <c r="H3" i="3"/>
  <c r="C3" i="3"/>
  <c r="F3" i="3"/>
  <c r="E3" i="3"/>
  <c r="D3" i="3"/>
  <c r="A3" i="3"/>
  <c r="F2" i="57"/>
  <c r="E2" i="57"/>
  <c r="B2" i="57"/>
  <c r="C2" i="3"/>
  <c r="D2" i="3"/>
  <c r="T3" i="23"/>
  <c r="AB3" i="23"/>
  <c r="K3" i="23"/>
  <c r="BL3" i="23"/>
  <c r="T2" i="23"/>
  <c r="AB2" i="23"/>
  <c r="K2" i="23"/>
  <c r="BL2" i="23"/>
  <c r="V3" i="23"/>
  <c r="AD3" i="23"/>
  <c r="M3" i="23"/>
  <c r="BN3" i="23"/>
  <c r="V2" i="23"/>
  <c r="AD2" i="23"/>
  <c r="M2" i="23"/>
  <c r="BN2" i="23"/>
  <c r="AL3" i="23"/>
  <c r="H2" i="3"/>
  <c r="S2" i="58"/>
  <c r="T2" i="58"/>
  <c r="R2" i="58"/>
  <c r="B2" i="58"/>
  <c r="D7" i="54"/>
  <c r="B7" i="54"/>
  <c r="G2" i="53"/>
  <c r="AH3" i="23"/>
  <c r="AH2" i="23"/>
  <c r="G11" i="13"/>
  <c r="G9" i="13"/>
  <c r="B2" i="23"/>
  <c r="B3" i="23"/>
  <c r="G3" i="13"/>
  <c r="R3" i="23"/>
  <c r="R2" i="23"/>
  <c r="J2" i="52"/>
  <c r="AQ2" i="23"/>
  <c r="H2" i="53"/>
  <c r="H3" i="53"/>
  <c r="G3" i="53"/>
  <c r="E3" i="53"/>
  <c r="AU3" i="23"/>
  <c r="K3" i="52"/>
  <c r="J3" i="52"/>
  <c r="H3" i="52"/>
  <c r="E3" i="52"/>
  <c r="AQ3" i="23"/>
  <c r="U3" i="23"/>
  <c r="AC3" i="23"/>
  <c r="L3" i="23"/>
  <c r="BM3" i="23"/>
  <c r="BE3" i="23"/>
  <c r="BJ3" i="23"/>
  <c r="BI3" i="23"/>
  <c r="BH3" i="23"/>
  <c r="BG3" i="23"/>
  <c r="BF3" i="23"/>
  <c r="AX3" i="23"/>
  <c r="AW3" i="23"/>
  <c r="AV3" i="23"/>
  <c r="AS3" i="23"/>
  <c r="AR3" i="23"/>
  <c r="AN3" i="23"/>
  <c r="AM3" i="23"/>
  <c r="AK3" i="23"/>
  <c r="AI3" i="23"/>
  <c r="AF3" i="23"/>
  <c r="Y3" i="23"/>
  <c r="Z3" i="23"/>
  <c r="X3" i="23"/>
  <c r="P3" i="23"/>
  <c r="O3" i="23"/>
  <c r="N3" i="23"/>
  <c r="F3" i="23"/>
  <c r="E3" i="23"/>
  <c r="D3" i="23"/>
  <c r="C3" i="23"/>
  <c r="K2" i="52"/>
  <c r="E3" i="49"/>
  <c r="E5" i="49"/>
  <c r="F2" i="3"/>
  <c r="E2" i="3"/>
  <c r="I2" i="58"/>
  <c r="H2" i="58"/>
  <c r="F2" i="58"/>
  <c r="E2" i="58"/>
  <c r="D2" i="58"/>
  <c r="C2" i="58"/>
  <c r="E15" i="49"/>
  <c r="E14" i="49"/>
  <c r="E13" i="49"/>
  <c r="P2" i="23"/>
  <c r="G8" i="13"/>
  <c r="G2" i="13"/>
  <c r="C2" i="23"/>
  <c r="D2" i="23"/>
  <c r="E2" i="23"/>
  <c r="F2" i="23"/>
  <c r="L2" i="23"/>
  <c r="N2" i="23"/>
  <c r="O2" i="23"/>
  <c r="U2" i="23"/>
  <c r="X2" i="23"/>
  <c r="Y2" i="23"/>
  <c r="Z2" i="23"/>
  <c r="AC2" i="23"/>
  <c r="AF2" i="23"/>
  <c r="AI2" i="23"/>
  <c r="AK2" i="23"/>
  <c r="AL2" i="23"/>
  <c r="AM2" i="23"/>
  <c r="AN2" i="23"/>
  <c r="AR2" i="23"/>
  <c r="AS2" i="23"/>
  <c r="AU2" i="23"/>
  <c r="AV2" i="23"/>
  <c r="AW2" i="23"/>
  <c r="AX2" i="23"/>
  <c r="BE2" i="23"/>
  <c r="BF2" i="23"/>
  <c r="BG2" i="23"/>
  <c r="BH2" i="23"/>
  <c r="BM2" i="23"/>
  <c r="BI2" i="23"/>
  <c r="BJ2" i="23"/>
  <c r="B15" i="55"/>
  <c r="C15" i="55"/>
  <c r="D15" i="55"/>
  <c r="B16" i="55"/>
  <c r="C16" i="55"/>
  <c r="D16" i="55"/>
  <c r="D14" i="55"/>
  <c r="C14" i="55"/>
  <c r="B14" i="55"/>
  <c r="A21" i="55"/>
  <c r="A26" i="55"/>
  <c r="A2" i="3"/>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B10" i="54"/>
  <c r="E2" i="53"/>
  <c r="H2" i="52"/>
  <c r="E2" i="52"/>
  <c r="E10" i="49"/>
  <c r="E9" i="49"/>
  <c r="E8" i="49"/>
  <c r="E7" i="49"/>
  <c r="E11" i="49"/>
  <c r="E12" i="49"/>
  <c r="E4" i="49"/>
  <c r="E6" i="49"/>
  <c r="E2" i="49"/>
</calcChain>
</file>

<file path=xl/sharedStrings.xml><?xml version="1.0" encoding="utf-8"?>
<sst xmlns="http://schemas.openxmlformats.org/spreadsheetml/2006/main" count="1099" uniqueCount="439">
  <si>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</si>
  <si>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</si>
  <si>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</si>
  <si>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</si>
  <si>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</si>
  <si>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</si>
  <si>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</si>
  <si>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</si>
  <si>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</si>
  <si>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</si>
  <si>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</si>
  <si>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</si>
  <si>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</si>
  <si>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</si>
  <si>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</si>
  <si>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</si>
  <si>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</si>
  <si>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</si>
  <si>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</si>
  <si>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</si>
  <si>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</si>
  <si>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</si>
  <si>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</si>
  <si>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</si>
  <si>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</si>
  <si>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</si>
  <si>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</si>
  <si>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</si>
  <si>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</si>
  <si>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</si>
  <si>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</si>
  <si>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</si>
  <si>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</si>
  <si>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</si>
  <si>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</si>
  <si>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</si>
  <si>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</si>
  <si>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</si>
  <si>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</si>
  <si>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</si>
  <si>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</si>
  <si>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</si>
  <si>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</si>
  <si>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</si>
  <si>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</si>
  <si>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</si>
  <si>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</si>
  <si>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</si>
  <si>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</si>
  <si>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</si>
  <si>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</si>
  <si>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</si>
  <si>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</si>
  <si>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</si>
  <si>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</si>
  <si>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</si>
  <si>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</si>
  <si>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</si>
  <si>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</si>
  <si>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</si>
  <si>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</si>
  <si>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</si>
  <si>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</si>
  <si>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</si>
  <si>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</si>
  <si>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</si>
  <si>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</si>
  <si>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</si>
  <si>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</si>
  <si>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</si>
  <si>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</si>
  <si>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</si>
  <si>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</si>
  <si>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</si>
  <si>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</si>
  <si>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</si>
  <si>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</si>
  <si>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</si>
  <si>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</si>
  <si>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</si>
  <si>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</si>
  <si>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</si>
  <si>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</si>
  <si>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</si>
  <si>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</si>
  <si>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</si>
  <si>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</si>
  <si>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</si>
  <si>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</si>
  <si>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</si>
  <si>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</si>
  <si>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</si>
  <si>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</si>
  <si>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</si>
  <si>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</si>
  <si>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</si>
  <si>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</si>
  <si>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</si>
  <si>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</si>
  <si>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</si>
  <si>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</si>
  <si>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</si>
  <si>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</si>
  <si>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</si>
  <si>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</si>
  <si>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</si>
  <si>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</si>
  <si>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</si>
  <si>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</si>
  <si>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</si>
  <si>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</si>
  <si>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</si>
  <si>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</si>
  <si>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</si>
  <si>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</si>
  <si>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</si>
  <si>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</si>
  <si>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</si>
  <si>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</si>
  <si>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</si>
  <si>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</si>
  <si>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</si>
  <si>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</si>
  <si>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</si>
  <si>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</si>
  <si>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</si>
  <si>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</si>
  <si>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</si>
  <si>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</si>
  <si>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</si>
  <si>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</si>
  <si>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</si>
  <si>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</si>
  <si>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</si>
  <si>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</si>
  <si>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</si>
  <si>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</si>
  <si>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</si>
  <si>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</si>
  <si>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</si>
  <si>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</si>
  <si>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</si>
  <si>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</si>
  <si>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</si>
  <si>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</si>
  <si>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</si>
  <si>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</si>
  <si>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</si>
  <si>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</si>
  <si>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</si>
  <si>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</si>
  <si>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</si>
  <si>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</si>
  <si>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</si>
  <si>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</si>
  <si>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</si>
  <si>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</si>
  <si>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</si>
  <si>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</si>
  <si>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</si>
  <si>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</si>
  <si>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</si>
  <si>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</si>
  <si>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</si>
  <si>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</si>
  <si>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</si>
  <si>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</si>
  <si>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</si>
  <si>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</si>
  <si>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</si>
  <si>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</si>
  <si>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</si>
  <si>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</si>
  <si>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</si>
  <si>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</si>
  <si>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</si>
  <si>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</si>
  <si>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</si>
  <si>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</si>
  <si>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</si>
  <si>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</si>
  <si>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</si>
  <si>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</si>
  <si>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</si>
  <si>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</si>
  <si>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</si>
  <si>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</si>
  <si>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</si>
  <si>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</si>
  <si>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</si>
  <si>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</si>
  <si>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</si>
  <si>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</si>
  <si>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</si>
  <si>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</si>
  <si>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maru</t>
  </si>
  <si>
    <t>ja</t>
    <phoneticPr fontId="22"/>
  </si>
  <si>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</si>
  <si>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</si>
  <si>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</si>
  <si>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</si>
  <si>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</si>
  <si>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</si>
  <si>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</si>
  <si>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</si>
  <si>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</si>
  <si>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</si>
  <si>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</si>
  <si>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</si>
  <si>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</si>
  <si>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</si>
  <si>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</si>
  <si>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</si>
  <si>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</si>
  <si>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</si>
  <si>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</si>
  <si>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</si>
  <si>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</si>
  <si>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</si>
  <si>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</si>
  <si>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</si>
  <si>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</si>
  <si>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</si>
  <si>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</si>
  <si>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</si>
  <si>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</si>
  <si>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</si>
  <si>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</si>
  <si>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</si>
  <si>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</si>
  <si>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</si>
  <si>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</si>
  <si>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</si>
  <si>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</si>
  <si>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</si>
  <si>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</si>
  <si>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</si>
  <si>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</si>
  <si>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</si>
  <si>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</si>
  <si>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</si>
  <si>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</si>
  <si>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</si>
  <si>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</si>
  <si>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</si>
  <si>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</si>
  <si>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</si>
  <si>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</si>
  <si>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</si>
  <si>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</si>
  <si>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</si>
  <si>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</si>
  <si>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.tmp</t>
    <phoneticPr fontId="22"/>
  </si>
  <si>
    <t>abilities</t>
    <phoneticPr fontId="22"/>
  </si>
  <si>
    <t>ability_id</t>
    <phoneticPr fontId="22"/>
  </si>
  <si>
    <t>ability_param</t>
    <phoneticPr fontId="22"/>
  </si>
  <si>
    <t>valid_flg</t>
    <phoneticPr fontId="22"/>
  </si>
  <si>
    <t>abilities_i18n_</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</si>
  <si>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</si>
  <si>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</si>
  <si>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</si>
  <si>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</si>
  <si>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</si>
  <si>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</si>
  <si>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</si>
  <si>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</si>
  <si>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</si>
  <si>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</si>
  <si>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</si>
  <si>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</si>
  <si>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</si>
  <si>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</si>
  <si>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</si>
  <si>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</si>
  <si>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</si>
  <si>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</si>
  <si>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</si>
  <si>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</si>
  <si>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</si>
  <si>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</si>
  <si>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</si>
  <si>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</si>
  <si>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</si>
  <si>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</si>
  <si>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</si>
  <si>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</si>
  <si>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</si>
  <si>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</si>
  <si>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</si>
  <si>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←リトルハンプティは1000 / イベントユニットは100 / 曜日素材は10</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</si>
  <si>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</si>
  <si>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</si>
  <si>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</si>
  <si>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</si>
  <si>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</si>
  <si>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</si>
  <si>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</si>
  <si>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</si>
  <si>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</si>
  <si>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</si>
  <si>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</si>
  <si>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</si>
  <si>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</si>
  <si>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</si>
  <si>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</si>
  <si>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</si>
  <si>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</si>
  <si>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</si>
  <si>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</si>
  <si>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</si>
  <si>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</si>
  <si>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</si>
  <si>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</si>
  <si>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</si>
  <si>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kumo</t>
    <phoneticPr fontId="22"/>
  </si>
  <si>
    <t>abilities_tmp_</t>
    <phoneticPr fontId="22"/>
  </si>
  <si>
    <t>sell_ghosts</t>
    <phoneticPr fontId="11"/>
  </si>
  <si>
    <t>sell_ghosts</t>
    <phoneticPr fontId="9"/>
  </si>
  <si>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</si>
  <si>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</si>
  <si>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</si>
  <si>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</si>
  <si>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</si>
  <si>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</si>
  <si>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</si>
  <si>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</si>
  <si>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</si>
  <si>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</si>
  <si>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</si>
  <si>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</si>
  <si>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</si>
  <si>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</si>
  <si>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</si>
  <si>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</si>
  <si>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</si>
  <si>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</si>
  <si>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</si>
  <si>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</si>
  <si>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w2017</t>
  </si>
  <si>
    <t>w2017</t>
    <phoneticPr fontId="22"/>
  </si>
  <si>
    <t>1</t>
    <phoneticPr fontId="22"/>
  </si>
  <si>
    <t>NULL</t>
    <phoneticPr fontId="10"/>
  </si>
  <si>
    <t>自身の回復力に比例して
全体に超大ダメージ</t>
    <phoneticPr fontId="22"/>
  </si>
  <si>
    <t>自身の回復力に比例して
全体に激烈ダメージ</t>
    <phoneticPr fontId="22"/>
  </si>
  <si>
    <t>[effect:damage_heal, target:enemy_all, color:green, val:1.96, animation:damage_all_green04]</t>
    <phoneticPr fontId="22"/>
  </si>
  <si>
    <t>[effect:damage, target:enemy_one, color:green, val:2.25, animation:damage_one_green04]</t>
    <phoneticPr fontId="22"/>
  </si>
  <si>
    <t>1体に特大ダメージ</t>
    <phoneticPr fontId="22"/>
  </si>
  <si>
    <t>maru</t>
    <phoneticPr fontId="22"/>
  </si>
  <si>
    <t>giza</t>
  </si>
  <si>
    <t>行きます！</t>
  </si>
  <si>
    <t>私が相手だ！</t>
  </si>
  <si>
    <t>この身に変えても…！</t>
  </si>
  <si>
    <t>1.7.0</t>
    <phoneticPr fontId="22"/>
  </si>
  <si>
    <t>0</t>
    <phoneticPr fontId="22"/>
  </si>
  <si>
    <t>ホワイトデークエスト内で自身の全ての攻撃の威力をUP</t>
    <phoneticPr fontId="22"/>
  </si>
  <si>
    <t>ホワイトデークエスト ダメージUP</t>
    <phoneticPr fontId="22"/>
  </si>
  <si>
    <t>old</t>
    <phoneticPr fontId="22"/>
  </si>
  <si>
    <t>[effect:damage_heal, target:enemy_all, color:green, val:1.25, animation:damage_all_green04]</t>
    <phoneticPr fontId="22"/>
  </si>
  <si>
    <t>[condition:enclose,[condition:quest_id,quest:47010],[condition:unit_attack_target],logic:and]</t>
    <phoneticPr fontId="22"/>
  </si>
  <si>
    <t>[effect:damage_up, target:myself, val:1.7, turn:1, type01:all, option:killer]</t>
    <phoneticPr fontId="22"/>
  </si>
  <si>
    <t>1体に特大ダメージ
種族Unknownに効果超大</t>
    <phoneticPr fontId="22"/>
  </si>
  <si>
    <t>[effect:damage_anti_tribe, target:enemy_one, tribe:unknown, val1:3.75, val2:1.5, animation:damage_one_green04]</t>
    <phoneticPr fontId="22"/>
  </si>
  <si>
    <t>ラヴ・イズ・バック</t>
    <phoneticPr fontId="22"/>
  </si>
  <si>
    <t>ラヴ・イズ・バック＆ヒア</t>
    <phoneticPr fontId="22"/>
  </si>
  <si>
    <t>ハートセット・モアブーケ</t>
    <phoneticPr fontId="22"/>
  </si>
  <si>
    <t>ハートセット・ソウルラヴ</t>
    <phoneticPr fontId="22"/>
  </si>
  <si>
    <t>ヴァイス・ゲシェンク</t>
    <phoneticPr fontId="22"/>
  </si>
  <si>
    <t>戦神・愛の薔薇尽くし</t>
    <phoneticPr fontId="22"/>
  </si>
  <si>
    <t>色愛のディアマン・ファタール</t>
    <phoneticPr fontId="22"/>
  </si>
  <si>
    <t>フライ・ミー・トゥ・ユー</t>
    <phoneticPr fontId="22"/>
  </si>
  <si>
    <t>フライ・ユー・トゥ・ミー</t>
    <phoneticPr fontId="22"/>
  </si>
  <si>
    <t>ホワイトリフレクションズ</t>
    <phoneticPr fontId="22"/>
  </si>
  <si>
    <t>ホワイトヴァイブレーションズ</t>
    <phoneticPr fontId="22"/>
  </si>
  <si>
    <t>アヴェク・トワ</t>
    <phoneticPr fontId="22"/>
  </si>
  <si>
    <t>熱愛砲瞳</t>
    <phoneticPr fontId="22"/>
  </si>
  <si>
    <t>透紫の恋影・蕩</t>
    <phoneticPr fontId="22"/>
  </si>
  <si>
    <t>約束どおり来てやったわよっ</t>
    <phoneticPr fontId="22"/>
  </si>
  <si>
    <t>うん♪ベスト風速っ！</t>
    <phoneticPr fontId="22"/>
  </si>
  <si>
    <t>絶対受け取ってもらうわ</t>
    <phoneticPr fontId="22"/>
  </si>
  <si>
    <t>待ってなさいよねっ</t>
    <phoneticPr fontId="22"/>
  </si>
  <si>
    <t>もう離れないんだからっ！</t>
    <phoneticPr fontId="22"/>
  </si>
  <si>
    <t>逃がさないんだからっ！</t>
    <phoneticPr fontId="22"/>
  </si>
  <si>
    <t>君のハートに一直線だ！</t>
    <phoneticPr fontId="22"/>
  </si>
  <si>
    <t>恋の花が満開になっちまった</t>
    <phoneticPr fontId="22"/>
  </si>
  <si>
    <t>白馬の王子様…なんてな</t>
    <phoneticPr fontId="22"/>
  </si>
  <si>
    <t>君のすべてをもらうぞ！</t>
    <phoneticPr fontId="22"/>
  </si>
  <si>
    <t>掴んだら離さないぞ…！</t>
    <phoneticPr fontId="22"/>
  </si>
  <si>
    <t>kumo</t>
  </si>
  <si>
    <t>その鼓動も欲しくなる！</t>
    <phoneticPr fontId="22"/>
  </si>
  <si>
    <t>ったく…悩ませんじゃねぇよ</t>
    <phoneticPr fontId="22"/>
  </si>
  <si>
    <t>その影…もらってやるよ</t>
    <phoneticPr fontId="22"/>
  </si>
  <si>
    <t>み、見てんじゃねーよ！</t>
    <phoneticPr fontId="22"/>
  </si>
  <si>
    <t>特別サービスだからな！</t>
    <phoneticPr fontId="22"/>
  </si>
  <si>
    <t>ありったけ持ってきたぜ</t>
    <phoneticPr fontId="22"/>
  </si>
  <si>
    <t>オイ、俺の眼を見ろ</t>
    <phoneticPr fontId="22"/>
  </si>
  <si>
    <t>お前の予定は俺が決める</t>
    <phoneticPr fontId="22"/>
  </si>
  <si>
    <t>燃え盛ってきやがった</t>
    <phoneticPr fontId="22"/>
  </si>
  <si>
    <t>色が無いほど色深いんだ</t>
    <phoneticPr fontId="22"/>
  </si>
  <si>
    <t>単体に2回大ダメージ+ 
1ターン青属性ユニットの攻撃力小UP</t>
    <phoneticPr fontId="22"/>
  </si>
  <si>
    <t>[effect:break_enchance_unit, target:unit_all, val:25, lowest_val:750, count :-1, status:attack, turn:1, block01:block_green, block02:damage, calc:add, animation:enhance_unit_all_attack01],[effect:change_panel_ratio, turn:1, block_type:yellow, val:0.6, animation:block_incidence04]</t>
    <phoneticPr fontId="22"/>
  </si>
  <si>
    <t>1ターン全ユニットの攻撃力をUP(緑・ダメージパネルを吸収し効果UP)、黄パネルの出現率を大UP</t>
    <phoneticPr fontId="22"/>
  </si>
  <si>
    <t>全体に大ダメージ
青属性に効果特大</t>
    <phoneticPr fontId="22"/>
  </si>
  <si>
    <t>ヴィント・フェアシーセン</t>
    <phoneticPr fontId="22"/>
  </si>
  <si>
    <t>エメラ・リボリューション</t>
    <phoneticPr fontId="22"/>
  </si>
  <si>
    <t>弾尽きるまで戦い抜く！</t>
    <phoneticPr fontId="22"/>
  </si>
  <si>
    <t>この苦境…覆します！</t>
    <phoneticPr fontId="22"/>
  </si>
  <si>
    <t>触れたら割れるだろうか</t>
    <phoneticPr fontId="22"/>
  </si>
  <si>
    <t>降参してもらうとしよう</t>
    <phoneticPr fontId="22"/>
  </si>
  <si>
    <t>その胸を射抜いてみるか</t>
    <phoneticPr fontId="22"/>
  </si>
  <si>
    <t>[effect:damage_anti_color, target:enemy_all, color:blue, val1:1.68, val2:0.75, animation:damage_all_yellow04]</t>
    <phoneticPr fontId="22"/>
  </si>
  <si>
    <t>[effect:damage, target:enemy_one, color:blue, val:1.2, animation:damage_one_blue03],[effect:damage, target:enemy_one, color:blue, val:1.2, animation:damage_one_blue03],[effect:enhance_unit, target:unit_blue, turn:1, status:attack, val:0.06, calc:mul, animation:enhance_unit_all_attack01_unit01]</t>
    <phoneticPr fontId="22"/>
  </si>
  <si>
    <t>赤・ダメージパネルを緑パネルに変換+ウイルス解除+4ターン種族Unknownのタップ回数を1増やす</t>
    <phoneticPr fontId="22"/>
  </si>
  <si>
    <t>[effect:force_change_block, new_block:block_green, target:block_red, count:0, val:0, animation:change_block],[effect:force_change_block, new_block:block_green, target:damage, count:0, val:0, animation:change_block],[effect:cure, bad_status:virus, animation:cure01],[effect:enhance_unit, target:unit_unknown, turn:4, status:action, val:1, calc:add, animation:enhance_unit_one_action01]</t>
    <phoneticPr fontId="22"/>
  </si>
  <si>
    <t>[effect:damage, target:enemy_one, color:yellow, val:2, animation:damage_one_yellow03]</t>
    <phoneticPr fontId="22"/>
  </si>
  <si>
    <t>[effect:damage, target:enemy_one, color:yellow, val:2.25, animation:damage_one_yellow04]</t>
    <phoneticPr fontId="22"/>
  </si>
  <si>
    <t>1体に大ダメージ</t>
    <phoneticPr fontId="22"/>
  </si>
  <si>
    <t>30</t>
    <phoneticPr fontId="22"/>
  </si>
  <si>
    <t>60</t>
    <phoneticPr fontId="22"/>
  </si>
  <si>
    <t>緑パネルを黄パネルに変換+1ターン青属性の敵からのダメージを10％軽減、緑パネル出現率DOWN</t>
    <phoneticPr fontId="22"/>
  </si>
  <si>
    <t>緑パネルを黄パネルに変換+1ターン青属性の敵からのダメージを30％軽減、緑パネル出現率DOWN</t>
    <phoneticPr fontId="22"/>
  </si>
  <si>
    <t>緑パネルを最大10個Cパネルに、赤・黄パネルをハートパネルに、青パネルを緑パネルに変換+自身にバリア5000を展開</t>
    <phoneticPr fontId="22"/>
  </si>
  <si>
    <t>緑パネルを最大14個Cパネルに、赤・黄パネルをハートパネルに、青パネルを緑パネルに変換+自身にバリア7500を展開</t>
    <phoneticPr fontId="22"/>
  </si>
  <si>
    <t>[effect:force_change_block, new_block:crash, target:block_green, count:10, val:6, animation:change_block],[effect:force_change_block, new_block:block_heart, target:block_red, count:0, val:0, animation:change_block],[effect:force_change_block, new_block:block_heart, target:block_yellow, count:0, val:0, animation:change_block],[effect:force_change_block, new_block:block_green, target:block_blue, count:0, val:0, animation:change_block],[effect:damage_barrier, target:myself, turn:-1, val:5000]</t>
    <phoneticPr fontId="22"/>
  </si>
  <si>
    <t>[effect:force_change_block, new_block:crash, target:block_green, count:14, val:6, animation:change_block],[effect:force_change_block, new_block:block_heart, target:block_red, count:0, val:0, animation:change_block],[effect:force_change_block, new_block:block_heart, target:block_yellow, count:0, val:0, animation:change_block],[effect:force_change_block, new_block:block_green, target:block_blue, count:0, val:0, animation:change_block],[effect:damage_barrier, target:myself, turn:-1, val:7500]</t>
    <phoneticPr fontId="22"/>
  </si>
  <si>
    <t>category</t>
    <phoneticPr fontId="22"/>
  </si>
  <si>
    <t>[effect:force_change_block, new_block:crash, target:block_all, ignore01:crash, ignore02:crack_bomb, ignore03:color_break, ignore04:magnet, count:4, val:12, animation:change_block],[effect:break_enchance_unit, target:myself, val:0.018, lowest_val:0.2, count :-1, status:attack, turn:1, block01:block_heart, calc:mul, animation:enhance_unit_all_attack04],[effect:attack_command, turn:2, target:myself, val:1.0, animation:unit_all_attack_command05]</t>
    <phoneticPr fontId="22"/>
  </si>
  <si>
    <t>ランダムで最大4個SCP変換+1ターン自身の攻撃力UP(ハート吸収し効果超大UP)+2ターン自身が先頭以外でも通常攻撃に参加</t>
    <phoneticPr fontId="22"/>
  </si>
  <si>
    <t>effect:force_change_block, new_block:crack_bomb, target:damage, color:blue, count:0, val:12, animation:change_block],[effect:force_change_block, new_block:crack_bomb, target:jammer, color:blue, count:0, val:12, animation:change_block],[effect:damage, target:enemy_one, color:blue, val:5.95, animation:damage_one_blue03],[effect:heal_fix, val:5000, animation:heal03_unit01]</t>
    <phoneticPr fontId="22"/>
  </si>
  <si>
    <t>ダメージ・お邪魔パネルを青ボムパネルに変換+1体に青属性の大ダメージ+HPを5000回復する</t>
    <phoneticPr fontId="22"/>
  </si>
  <si>
    <t>[effect:force_change_block, new_block:block_yellow, target:block_green, count:0, val:0, animation:change_block],[effect:reduction, target:unit_all, turn:1, color:blue, val:0.1, animation:reduction_one03],[effect:change_panel_ratio, turn:1, block_type:green, val:0.1, animation:block_incidence04]</t>
    <phoneticPr fontId="22"/>
  </si>
  <si>
    <t>[effect:force_change_block, new_block:block_yellow, target:block_green, count:0, val:0, animation:change_block],[effect:reduction, target:unit_all, turn:1, color:blue, val:0.3, animation:reduction_one03],[effect:change_panel_ratio, turn:1, block_type:green, val:0.1, animation:block_incidence04]</t>
    <phoneticPr fontId="22"/>
  </si>
  <si>
    <t>ホワイトデークエスト内で自身の全ての攻撃の威力を超究極UP</t>
  </si>
  <si>
    <t>ホワイトデークエスト内で自身の全ての攻撃の威力を大UP</t>
    <phoneticPr fontId="22"/>
  </si>
  <si>
    <t>[effect:damage_up, target:myself, val:2, turn:1, type01:all, option:killer]</t>
    <phoneticPr fontId="22"/>
  </si>
  <si>
    <t>[effect:damage_up, target:myself, val:4.5, turn:1, type01:all, option:killer]</t>
    <phoneticPr fontId="22"/>
  </si>
  <si>
    <t>ホワイトデークエスト ダメージUP</t>
    <phoneticPr fontId="22"/>
  </si>
  <si>
    <t>ホワイトデークエスト ダメージUP</t>
    <phoneticPr fontId="22"/>
  </si>
  <si>
    <t>クエスト特攻</t>
    <phoneticPr fontId="22"/>
  </si>
  <si>
    <t>skip</t>
  </si>
</sst>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s>
  <fills count="30">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indexed="27"/>
      </patternFill>
    </fill>
    <fill>
      <patternFill patternType="solid">
        <fgColor theme="4" tint="0.79998168889431442"/>
        <bgColor indexed="59"/>
      </patternFill>
    </fill>
    <fill>
      <patternFill patternType="solid">
        <fgColor theme="9" tint="0.79998168889431442"/>
        <bgColor indexed="59"/>
      </patternFill>
    </fill>
    <fill>
      <patternFill patternType="solid">
        <fgColor rgb="FFFF0000"/>
        <bgColor indexed="64"/>
      </patternFill>
    </fill>
  </fills>
  <borders count="28">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s>
  <cellStyleXfs count="4582">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206">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16" fillId="0" borderId="12" xfId="0" applyFont="1" applyBorder="1" applyAlignment="1">
      <alignment horizontal="left"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6" fillId="25" borderId="4" xfId="0" applyFont="1" applyFill="1" applyBorder="1" applyAlignment="1">
      <alignment horizontal="center" vertical="center"/>
    </xf>
    <xf numFmtId="0" fontId="0" fillId="25" borderId="4" xfId="0" applyFill="1" applyBorder="1"/>
    <xf numFmtId="0" fontId="13" fillId="25" borderId="15" xfId="0" applyFont="1" applyFill="1" applyBorder="1" applyAlignment="1">
      <alignment horizontal="center" vertical="center"/>
    </xf>
    <xf numFmtId="0" fontId="13" fillId="25" borderId="22" xfId="0" applyFont="1" applyFill="1" applyBorder="1" applyAlignment="1">
      <alignment horizontal="center" vertical="center"/>
    </xf>
    <xf numFmtId="0" fontId="16" fillId="11"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0" borderId="4" xfId="0" applyFont="1" applyFill="1" applyBorder="1" applyAlignment="1">
      <alignment horizontal="center"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7" borderId="4" xfId="0" applyFont="1" applyFill="1" applyBorder="1" applyAlignment="1">
      <alignment horizontal="center" vertical="center"/>
    </xf>
    <xf numFmtId="0" fontId="16" fillId="22"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0" fontId="12" fillId="7" borderId="7" xfId="0" applyFont="1" applyFill="1" applyBorder="1" applyAlignment="1">
      <alignment horizontal="left" vertical="center"/>
    </xf>
    <xf numFmtId="0" fontId="16" fillId="0" borderId="4" xfId="0" applyFont="1" applyFill="1" applyBorder="1" applyAlignment="1">
      <alignment horizontal="right" vertical="center"/>
    </xf>
    <xf numFmtId="0" fontId="13" fillId="26" borderId="4" xfId="0" applyFont="1" applyFill="1" applyBorder="1" applyAlignment="1">
      <alignment horizontal="center" vertical="center" wrapText="1"/>
    </xf>
    <xf numFmtId="0" fontId="14" fillId="7" borderId="4" xfId="0" applyFont="1" applyFill="1" applyBorder="1" applyAlignment="1">
      <alignment horizontal="right" vertical="center" wrapText="1"/>
    </xf>
    <xf numFmtId="0" fontId="12" fillId="27" borderId="4" xfId="0" applyFont="1" applyFill="1" applyBorder="1" applyAlignment="1">
      <alignment horizontal="center"/>
    </xf>
    <xf numFmtId="0" fontId="12" fillId="28" borderId="4" xfId="0" applyFont="1" applyFill="1" applyBorder="1" applyAlignment="1">
      <alignment horizontal="center"/>
    </xf>
    <xf numFmtId="0" fontId="24" fillId="8" borderId="0" xfId="0" applyFont="1" applyFill="1" applyAlignment="1">
      <alignment horizontal="center"/>
    </xf>
    <xf numFmtId="0" fontId="8" fillId="14" borderId="1" xfId="0" applyFont="1" applyFill="1" applyBorder="1" applyAlignment="1">
      <alignment horizontal="center" vertical="center"/>
    </xf>
    <xf numFmtId="0" fontId="8" fillId="14" borderId="1" xfId="0" applyFont="1" applyFill="1" applyBorder="1" applyAlignment="1">
      <alignment vertical="center"/>
    </xf>
    <xf numFmtId="0" fontId="16" fillId="14" borderId="4" xfId="0" applyFont="1" applyFill="1" applyBorder="1" applyAlignment="1">
      <alignment vertical="center"/>
    </xf>
    <xf numFmtId="0" fontId="18" fillId="14" borderId="4" xfId="0" applyFont="1" applyFill="1" applyBorder="1" applyAlignment="1">
      <alignment horizontal="center" vertical="center"/>
    </xf>
    <xf numFmtId="0" fontId="16" fillId="14" borderId="0" xfId="0" applyFont="1" applyFill="1" applyAlignment="1">
      <alignment horizontal="left" vertical="center"/>
    </xf>
    <xf numFmtId="0" fontId="16" fillId="14" borderId="1" xfId="0" applyFont="1" applyFill="1" applyBorder="1" applyAlignment="1">
      <alignment vertical="center"/>
    </xf>
    <xf numFmtId="0" fontId="14" fillId="14" borderId="4" xfId="0" applyFont="1" applyFill="1" applyBorder="1" applyAlignment="1">
      <alignment horizontal="left" vertical="center" wrapText="1"/>
    </xf>
    <xf numFmtId="0" fontId="13" fillId="14" borderId="4" xfId="0" applyFont="1" applyFill="1" applyBorder="1" applyAlignment="1">
      <alignment horizontal="left" vertical="center" wrapText="1"/>
    </xf>
    <xf numFmtId="0" fontId="13" fillId="14" borderId="0" xfId="0" applyFont="1" applyFill="1" applyAlignment="1">
      <alignment vertical="center"/>
    </xf>
    <xf numFmtId="0" fontId="16" fillId="14" borderId="4" xfId="0" applyFont="1" applyFill="1" applyBorder="1" applyAlignment="1">
      <alignment horizontal="right" vertical="center"/>
    </xf>
    <xf numFmtId="0" fontId="16" fillId="14" borderId="4" xfId="0" applyFont="1" applyFill="1" applyBorder="1" applyAlignment="1">
      <alignment horizontal="right" vertical="center" wrapText="1"/>
    </xf>
    <xf numFmtId="0" fontId="0" fillId="14" borderId="4" xfId="0" applyFont="1" applyFill="1" applyBorder="1"/>
    <xf numFmtId="0" fontId="16" fillId="14" borderId="4" xfId="0" applyFont="1" applyFill="1" applyBorder="1"/>
    <xf numFmtId="0" fontId="14" fillId="14" borderId="4" xfId="0" applyFont="1" applyFill="1" applyBorder="1" applyAlignment="1">
      <alignment horizontal="right" vertical="center" wrapText="1"/>
    </xf>
    <xf numFmtId="0" fontId="16" fillId="14" borderId="4" xfId="0" applyFont="1" applyFill="1" applyBorder="1" applyAlignment="1">
      <alignment horizontal="center" vertical="center"/>
    </xf>
    <xf numFmtId="49" fontId="12" fillId="14" borderId="4" xfId="0" applyNumberFormat="1" applyFont="1" applyFill="1" applyBorder="1" applyAlignment="1">
      <alignment horizontal="center" vertical="center"/>
    </xf>
    <xf numFmtId="49" fontId="12" fillId="0" borderId="4" xfId="0" applyNumberFormat="1" applyFont="1" applyFill="1" applyBorder="1" applyAlignment="1">
      <alignment vertical="center"/>
    </xf>
    <xf numFmtId="49" fontId="12" fillId="0" borderId="4" xfId="0" applyNumberFormat="1" applyFont="1" applyFill="1" applyBorder="1" applyAlignment="1">
      <alignment vertical="center" wrapText="1"/>
    </xf>
    <xf numFmtId="0" fontId="25" fillId="0" borderId="7" xfId="0" applyFont="1" applyFill="1" applyBorder="1" applyAlignment="1">
      <alignment vertical="center" wrapText="1"/>
    </xf>
    <xf numFmtId="0" fontId="12" fillId="22" borderId="4" xfId="0" applyNumberFormat="1" applyFont="1" applyFill="1" applyBorder="1" applyAlignment="1">
      <alignment vertical="center"/>
    </xf>
    <xf numFmtId="0" fontId="12" fillId="0" borderId="4" xfId="0" applyFont="1" applyFill="1" applyBorder="1" applyAlignment="1">
      <alignment vertical="center"/>
    </xf>
    <xf numFmtId="0" fontId="0" fillId="25" borderId="4" xfId="0" applyFill="1" applyBorder="1" applyAlignment="1">
      <alignment horizontal="center"/>
    </xf>
    <xf numFmtId="0" fontId="14" fillId="29" borderId="4" xfId="0" applyFont="1" applyFill="1" applyBorder="1" applyAlignment="1">
      <alignment horizontal="left" vertical="center" wrapText="1"/>
    </xf>
    <xf numFmtId="0" fontId="13" fillId="29" borderId="4" xfId="0" applyFont="1" applyFill="1" applyBorder="1" applyAlignment="1">
      <alignment horizontal="left" vertical="center" wrapText="1"/>
    </xf>
  </cellXfs>
  <cellStyles count="4582">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赤字強調" xfId="4"/>
    <cellStyle name="青字強調" xfId="3"/>
  </cellStyles>
  <dxfs count="47">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externalLink" Target="externalLinks/externalLink4.xml"/><Relationship Id="rId22" Type="http://schemas.openxmlformats.org/officeDocument/2006/relationships/theme" Target="theme/theme1.xml"/><Relationship Id="rId23" Type="http://schemas.openxmlformats.org/officeDocument/2006/relationships/styles" Target="styles.xml"/><Relationship Id="rId24" Type="http://schemas.openxmlformats.org/officeDocument/2006/relationships/sharedStrings" Target="sharedStrings.xml"/><Relationship Id="rId25" Type="http://schemas.openxmlformats.org/officeDocument/2006/relationships/calcChain" Target="calcChain.xml"/><Relationship Id="rId26"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Master_staff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Material</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2</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2</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2</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2</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2</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2</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2</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2</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2</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2</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2</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2</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2</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2</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2</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2</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2</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2</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2</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2</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2</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2</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2</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technical</v>
          </cell>
          <cell r="L1739" t="str">
            <v>テクニカルタイプ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technical</v>
          </cell>
          <cell r="L1740" t="str">
            <v>テクニカルタイプ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blue</v>
          </cell>
          <cell r="I1852">
            <v>6</v>
          </cell>
          <cell r="J1852" t="str">
            <v>PremiumSSS</v>
          </cell>
          <cell r="K1852" t="str">
            <v>heal</v>
          </cell>
          <cell r="L1852" t="str">
            <v>回復タイプ</v>
          </cell>
          <cell r="M1852" t="str">
            <v>academia</v>
          </cell>
          <cell r="N1852" t="str">
            <v>アカデミア</v>
          </cell>
          <cell r="O1852" t="str">
            <v>fantasy</v>
          </cell>
          <cell r="P1852" t="str">
            <v>ファンタジー</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red</v>
          </cell>
          <cell r="I1853">
            <v>6</v>
          </cell>
          <cell r="J1853" t="str">
            <v>PremiumSSS</v>
          </cell>
          <cell r="K1853" t="str">
            <v>hp</v>
          </cell>
          <cell r="L1853" t="str">
            <v>体力タイプ</v>
          </cell>
          <cell r="M1853" t="str">
            <v>demon</v>
          </cell>
          <cell r="N1853" t="str">
            <v>デーモン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heal</v>
          </cell>
          <cell r="L1854" t="str">
            <v>回復タイプ</v>
          </cell>
          <cell r="M1854" t="str">
            <v>unknown</v>
          </cell>
          <cell r="N1854" t="str">
            <v>Unknown</v>
          </cell>
          <cell r="O1854" t="str">
            <v>none</v>
          </cell>
          <cell r="P1854" t="str">
            <v>種族なし</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green</v>
          </cell>
          <cell r="I1855">
            <v>6</v>
          </cell>
          <cell r="J1855" t="str">
            <v>PremiumSSS</v>
          </cell>
          <cell r="K1855" t="str">
            <v>attack</v>
          </cell>
          <cell r="L1855" t="str">
            <v>攻撃タイプ</v>
          </cell>
          <cell r="M1855" t="str">
            <v>samurai</v>
          </cell>
          <cell r="N1855" t="str">
            <v>サムライ</v>
          </cell>
          <cell r="O1855" t="str">
            <v>none</v>
          </cell>
          <cell r="P1855" t="str">
            <v>種族なし</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blue</v>
          </cell>
          <cell r="I1856">
            <v>6</v>
          </cell>
          <cell r="J1856" t="str">
            <v>PremiumSSS</v>
          </cell>
          <cell r="K1856" t="str">
            <v>balance</v>
          </cell>
          <cell r="L1856" t="str">
            <v>バランスタイプ</v>
          </cell>
          <cell r="M1856" t="str">
            <v>fantasy</v>
          </cell>
          <cell r="N1856" t="str">
            <v>ファンタジー</v>
          </cell>
          <cell r="O1856" t="str">
            <v>human</v>
          </cell>
          <cell r="P1856" t="str">
            <v>ヒューマン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yellow</v>
          </cell>
          <cell r="I1857">
            <v>6</v>
          </cell>
          <cell r="J1857" t="str">
            <v>PremiumSS</v>
          </cell>
          <cell r="K1857" t="str">
            <v>balance</v>
          </cell>
          <cell r="L1857" t="str">
            <v>バランスタイプ</v>
          </cell>
          <cell r="M1857" t="str">
            <v>unknown</v>
          </cell>
          <cell r="N1857" t="str">
            <v>Unknown</v>
          </cell>
          <cell r="O1857" t="str">
            <v>none</v>
          </cell>
          <cell r="P1857" t="str">
            <v>種族なし</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yellow</v>
          </cell>
          <cell r="I1858">
            <v>6</v>
          </cell>
          <cell r="J1858" t="str">
            <v>PremiumSS</v>
          </cell>
          <cell r="K1858" t="str">
            <v>balance</v>
          </cell>
          <cell r="L1858" t="str">
            <v>バランスタイプ</v>
          </cell>
          <cell r="M1858" t="str">
            <v>unknown</v>
          </cell>
          <cell r="N1858" t="str">
            <v>Unknown</v>
          </cell>
          <cell r="O1858" t="str">
            <v>none</v>
          </cell>
          <cell r="P1858" t="str">
            <v>種族なし</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yellow</v>
          </cell>
          <cell r="I1859">
            <v>6</v>
          </cell>
          <cell r="J1859" t="str">
            <v>PremiumSS</v>
          </cell>
          <cell r="K1859" t="str">
            <v>balance</v>
          </cell>
          <cell r="L1859" t="str">
            <v>バランスタイプ</v>
          </cell>
          <cell r="M1859" t="str">
            <v>unknown</v>
          </cell>
          <cell r="N1859" t="str">
            <v>Unknown</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red</v>
          </cell>
          <cell r="I1863">
            <v>6</v>
          </cell>
          <cell r="J1863" t="str">
            <v>PremiumSS</v>
          </cell>
          <cell r="K1863" t="str">
            <v>balance</v>
          </cell>
          <cell r="L1863" t="str">
            <v>バランスタイプ</v>
          </cell>
          <cell r="M1863" t="str">
            <v>unknown</v>
          </cell>
          <cell r="N1863" t="str">
            <v>Unknown</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balance</v>
          </cell>
          <cell r="L1864" t="str">
            <v>バランスタイプ</v>
          </cell>
          <cell r="M1864" t="str">
            <v>unknown</v>
          </cell>
          <cell r="N1864" t="str">
            <v>Unknown</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green</v>
          </cell>
          <cell r="I1865">
            <v>6</v>
          </cell>
          <cell r="J1865" t="str">
            <v>PremiumSS</v>
          </cell>
          <cell r="K1865" t="str">
            <v>balance</v>
          </cell>
          <cell r="L1865" t="str">
            <v>バランスタイプ</v>
          </cell>
          <cell r="M1865" t="str">
            <v>unknown</v>
          </cell>
          <cell r="N1865" t="str">
            <v>Unknown</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balance</v>
          </cell>
          <cell r="L1866" t="str">
            <v>バランスタイプ</v>
          </cell>
          <cell r="M1866" t="str">
            <v>unknown</v>
          </cell>
          <cell r="N1866" t="str">
            <v>Unknown</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blue</v>
          </cell>
          <cell r="I1868">
            <v>6</v>
          </cell>
          <cell r="J1868" t="str">
            <v>PremiumSS</v>
          </cell>
          <cell r="K1868" t="str">
            <v>balance</v>
          </cell>
          <cell r="L1868" t="str">
            <v>バランスタイプ</v>
          </cell>
          <cell r="M1868" t="str">
            <v>unknown</v>
          </cell>
          <cell r="N1868" t="str">
            <v>Unknown</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green</v>
          </cell>
          <cell r="I1869">
            <v>6</v>
          </cell>
          <cell r="J1869" t="str">
            <v>PremiumSS</v>
          </cell>
          <cell r="K1869" t="str">
            <v>balance</v>
          </cell>
          <cell r="L1869" t="str">
            <v>バランスタイプ</v>
          </cell>
          <cell r="M1869" t="str">
            <v>unknown</v>
          </cell>
          <cell r="N1869" t="str">
            <v>Unknown</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yellow</v>
          </cell>
          <cell r="I1870">
            <v>6</v>
          </cell>
          <cell r="J1870" t="str">
            <v>PremiumSS</v>
          </cell>
          <cell r="K1870" t="str">
            <v>balance</v>
          </cell>
          <cell r="L1870" t="str">
            <v>バランスタイプ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red</v>
          </cell>
          <cell r="I1871">
            <v>6</v>
          </cell>
          <cell r="J1871" t="str">
            <v>PremiumSS</v>
          </cell>
          <cell r="K1871" t="str">
            <v>balance</v>
          </cell>
          <cell r="L1871" t="str">
            <v>バランスタイプ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units"/>
      <sheetName val="unit_skills"/>
      <sheetName val="crash_skills"/>
      <sheetName val="unit_serifs"/>
      <sheetName val="fork_awake_units"/>
      <sheetName val="awake_materials"/>
      <sheetName val="abilities"/>
      <sheetName val="unit_abilities"/>
      <sheetName val="→base値"/>
      <sheetName val="ghosts_label"/>
      <sheetName val="コスト"/>
      <sheetName val="レベル"/>
      <sheetName val="経験値"/>
      <sheetName val="RC6SV"/>
      <sheetName val="ビット"/>
      <sheetName val="チェックシート"/>
    </sheetNames>
    <sheetDataSet>
      <sheetData sheetId="0"/>
      <sheetData sheetId="1"/>
      <sheetData sheetId="2"/>
      <sheetData sheetId="3"/>
      <sheetData sheetId="4"/>
      <sheetData sheetId="5"/>
      <sheetData sheetId="6"/>
      <sheetData sheetId="7"/>
      <sheetData sheetId="8"/>
      <sheetData sheetId="9"/>
      <sheetData sheetId="10">
        <row r="2">
          <cell r="A2" t="str">
            <v>Drop1T</v>
          </cell>
          <cell r="B2">
            <v>1</v>
          </cell>
        </row>
        <row r="3">
          <cell r="A3" t="str">
            <v>Drop1W</v>
          </cell>
          <cell r="B3">
            <v>1</v>
          </cell>
        </row>
        <row r="4">
          <cell r="A4" t="str">
            <v>Drop1N</v>
          </cell>
          <cell r="B4">
            <v>1</v>
          </cell>
        </row>
        <row r="5">
          <cell r="A5" t="str">
            <v>Drop1S</v>
          </cell>
          <cell r="B5">
            <v>1</v>
          </cell>
        </row>
        <row r="6">
          <cell r="A6" t="str">
            <v>Drop2N</v>
          </cell>
          <cell r="B6">
            <v>1</v>
          </cell>
        </row>
        <row r="7">
          <cell r="A7" t="str">
            <v>Drop2W</v>
          </cell>
          <cell r="B7">
            <v>1</v>
          </cell>
        </row>
        <row r="8">
          <cell r="A8" t="str">
            <v>DropWizW</v>
          </cell>
          <cell r="B8">
            <v>1</v>
          </cell>
        </row>
        <row r="9">
          <cell r="A9" t="str">
            <v>DropWizN</v>
          </cell>
          <cell r="B9">
            <v>1</v>
          </cell>
        </row>
        <row r="10">
          <cell r="A10" t="str">
            <v>DropWizS</v>
          </cell>
          <cell r="B10">
            <v>1</v>
          </cell>
        </row>
        <row r="11">
          <cell r="A11" t="str">
            <v>DropWizSS</v>
          </cell>
          <cell r="B11">
            <v>1</v>
          </cell>
        </row>
        <row r="12">
          <cell r="A12" t="str">
            <v>DropWizSSS</v>
          </cell>
          <cell r="B12">
            <v>1</v>
          </cell>
        </row>
        <row r="13">
          <cell r="A13" t="str">
            <v>Material</v>
          </cell>
          <cell r="B13">
            <v>0</v>
          </cell>
        </row>
        <row r="14">
          <cell r="A14" t="str">
            <v>PremiumW</v>
          </cell>
          <cell r="B14">
            <v>500</v>
          </cell>
        </row>
        <row r="15">
          <cell r="A15" t="str">
            <v>PremiumN</v>
          </cell>
          <cell r="B15">
            <v>600</v>
          </cell>
        </row>
        <row r="16">
          <cell r="A16" t="str">
            <v>PremiumS</v>
          </cell>
          <cell r="B16">
            <v>700</v>
          </cell>
        </row>
        <row r="17">
          <cell r="A17" t="str">
            <v>PremiumSS</v>
          </cell>
          <cell r="B17">
            <v>5500</v>
          </cell>
        </row>
        <row r="18">
          <cell r="A18" t="str">
            <v>PremiumSSw</v>
          </cell>
          <cell r="B18">
            <v>6000</v>
          </cell>
        </row>
        <row r="19">
          <cell r="A19" t="str">
            <v>PremiumSSS</v>
          </cell>
          <cell r="B19">
            <v>30000</v>
          </cell>
        </row>
      </sheetData>
      <sheetData sheetId="11"/>
      <sheetData sheetId="12"/>
      <sheetData sheetId="13"/>
      <sheetData sheetId="14"/>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自身が先頭の時、時限式ダメージパネルを直接破壊できる</v>
          </cell>
        </row>
        <row r="9">
          <cell r="A9">
            <v>107</v>
          </cell>
          <cell r="B9" t="str">
            <v>ja</v>
          </cell>
          <cell r="C9" t="str">
            <v>時限式ブレイク</v>
          </cell>
          <cell r="D9" t="str">
            <v>自身が先頭の時、時限式ダメージパネルを直接破壊できる</v>
          </cell>
        </row>
        <row r="10">
          <cell r="A10">
            <v>108</v>
          </cell>
          <cell r="B10" t="str">
            <v>ja</v>
          </cell>
          <cell r="C10" t="str">
            <v>時限式ブレイク</v>
          </cell>
          <cell r="D10" t="str">
            <v>自身が先頭の時、時限式ダメージパネルを直接破壊できる</v>
          </cell>
        </row>
        <row r="11">
          <cell r="A11">
            <v>109</v>
          </cell>
          <cell r="B11" t="str">
            <v>ja</v>
          </cell>
          <cell r="C11" t="str">
            <v>ダメージパネルブレイク</v>
          </cell>
          <cell r="D11" t="str">
            <v>自身が先頭の時、ダメージを受けずにダメージパネルを破壊できる</v>
          </cell>
        </row>
        <row r="12">
          <cell r="A12">
            <v>200</v>
          </cell>
          <cell r="B12" t="str">
            <v>ja</v>
          </cell>
          <cell r="C12" t="str">
            <v>ウィルス無効</v>
          </cell>
          <cell r="D12" t="str">
            <v>自身にかかるウィルスを無効化する</v>
          </cell>
        </row>
        <row r="13">
          <cell r="A13">
            <v>201</v>
          </cell>
          <cell r="B13" t="str">
            <v>ja</v>
          </cell>
          <cell r="C13" t="str">
            <v>スキルバインド無効</v>
          </cell>
          <cell r="D13" t="str">
            <v>自身にかかるスキルバインドを無効化する</v>
          </cell>
        </row>
        <row r="14">
          <cell r="A14">
            <v>202</v>
          </cell>
          <cell r="B14" t="str">
            <v>ja</v>
          </cell>
          <cell r="C14" t="str">
            <v>スリープ無効</v>
          </cell>
          <cell r="D14" t="str">
            <v>自身にかかるスリープを無効化する</v>
          </cell>
        </row>
        <row r="15">
          <cell r="A15">
            <v>203</v>
          </cell>
          <cell r="B15" t="str">
            <v>ja</v>
          </cell>
          <cell r="C15" t="str">
            <v>爆風軽減無効</v>
          </cell>
          <cell r="D15" t="str">
            <v>自身が先頭の時、爆風軽減を無効化する</v>
          </cell>
        </row>
        <row r="16">
          <cell r="A16">
            <v>204</v>
          </cell>
          <cell r="B16" t="str">
            <v>ja</v>
          </cell>
          <cell r="C16" t="str">
            <v>爆風強化</v>
          </cell>
          <cell r="D16" t="str">
            <v>自身が先頭の時、ボムの爆風を強化する</v>
          </cell>
        </row>
        <row r="17">
          <cell r="A17">
            <v>205</v>
          </cell>
          <cell r="B17" t="str">
            <v>ja</v>
          </cell>
          <cell r="C17" t="str">
            <v>ハート無効化耐性</v>
          </cell>
          <cell r="D17" t="str">
            <v>自身が先頭の時、ハート無効化の影響を受けない</v>
          </cell>
        </row>
        <row r="18">
          <cell r="A18">
            <v>206</v>
          </cell>
          <cell r="B18" t="str">
            <v>ja</v>
          </cell>
          <cell r="C18" t="str">
            <v>赤・緑パネル無効化耐性</v>
          </cell>
          <cell r="D18" t="str">
            <v>自身が先頭の時、赤・緑パネル無効化の影響を受けない</v>
          </cell>
        </row>
        <row r="19">
          <cell r="A19">
            <v>207</v>
          </cell>
          <cell r="B19" t="str">
            <v>ja</v>
          </cell>
          <cell r="C19" t="str">
            <v>赤・青パネル無効化耐性</v>
          </cell>
          <cell r="D19" t="str">
            <v>自身が先頭の時、赤・青パネル無効化の影響を受けない</v>
          </cell>
        </row>
        <row r="20">
          <cell r="A20">
            <v>208</v>
          </cell>
          <cell r="B20" t="str">
            <v>ja</v>
          </cell>
          <cell r="C20" t="str">
            <v>黄・緑パネル無効化耐性</v>
          </cell>
          <cell r="D20" t="str">
            <v>自身が先頭の時、黄・緑パネル無効化の影響を受けない</v>
          </cell>
        </row>
        <row r="21">
          <cell r="A21">
            <v>209</v>
          </cell>
          <cell r="B21" t="str">
            <v>ja</v>
          </cell>
          <cell r="C21" t="str">
            <v>黄・ハートパネル無効化耐性</v>
          </cell>
          <cell r="D21" t="str">
            <v>自身が先頭の時、黄・ハートパネル無効化の影響を受けない</v>
          </cell>
        </row>
        <row r="22">
          <cell r="A22">
            <v>210</v>
          </cell>
          <cell r="B22" t="str">
            <v>ja</v>
          </cell>
          <cell r="C22" t="str">
            <v>緑・赤・青・黄パネル無効化耐性</v>
          </cell>
          <cell r="D22" t="str">
            <v>自身が先頭の時、緑・赤・青・黄パネル無効化の影響を受けない</v>
          </cell>
        </row>
        <row r="23">
          <cell r="A23">
            <v>211</v>
          </cell>
          <cell r="B23" t="str">
            <v>ja</v>
          </cell>
          <cell r="C23" t="str">
            <v>全パネル無効化耐性</v>
          </cell>
          <cell r="D23" t="str">
            <v>自身が先頭の時、全てのパネル無効化の影響を受けない</v>
          </cell>
        </row>
        <row r="24">
          <cell r="A24">
            <v>300</v>
          </cell>
          <cell r="B24" t="str">
            <v>ja</v>
          </cell>
          <cell r="C24" t="str">
            <v>対ゴッド ダメージUP</v>
          </cell>
          <cell r="D24" t="str">
            <v>自身の攻撃対象が種族ゴッドの場合全ての攻撃の威力をUP</v>
          </cell>
        </row>
        <row r="25">
          <cell r="A25">
            <v>301</v>
          </cell>
          <cell r="B25" t="str">
            <v>ja</v>
          </cell>
          <cell r="C25" t="str">
            <v>対ゴッド ダメージ大UP</v>
          </cell>
          <cell r="D25" t="str">
            <v>自身の攻撃対象が種族ゴッドの場合全ての攻撃の威力をUP</v>
          </cell>
        </row>
        <row r="26">
          <cell r="A26">
            <v>302</v>
          </cell>
          <cell r="B26" t="str">
            <v>ja</v>
          </cell>
          <cell r="C26" t="str">
            <v>対ゴッド ダメージ特大UP</v>
          </cell>
          <cell r="D26" t="str">
            <v>自身の攻撃対象が種族ゴッドの場合全ての攻撃の威力をUP</v>
          </cell>
        </row>
        <row r="27">
          <cell r="A27">
            <v>303</v>
          </cell>
          <cell r="B27" t="str">
            <v>ja</v>
          </cell>
          <cell r="C27" t="str">
            <v>対ゴッド ダメージ超大UP</v>
          </cell>
          <cell r="D27" t="str">
            <v>自身の攻撃対象が種族ゴッドの場合全ての攻撃の威力をUP</v>
          </cell>
        </row>
        <row r="28">
          <cell r="A28">
            <v>304</v>
          </cell>
          <cell r="B28" t="str">
            <v>ja</v>
          </cell>
          <cell r="C28" t="str">
            <v>対ヒューマン ダメージUP</v>
          </cell>
          <cell r="D28" t="str">
            <v>自身の攻撃対象が種族ヒューマンの場合全ての攻撃の威力をUP</v>
          </cell>
        </row>
        <row r="29">
          <cell r="A29">
            <v>305</v>
          </cell>
          <cell r="B29" t="str">
            <v>ja</v>
          </cell>
          <cell r="C29" t="str">
            <v>対ヒューマン ダメージUP</v>
          </cell>
          <cell r="D29" t="str">
            <v>自身の攻撃対象が種族ヒューマンの場合全ての攻撃の威力をUP</v>
          </cell>
        </row>
        <row r="30">
          <cell r="A30">
            <v>306</v>
          </cell>
          <cell r="B30" t="str">
            <v>ja</v>
          </cell>
          <cell r="C30" t="str">
            <v>対ヒューマン ダメージUP</v>
          </cell>
          <cell r="D30" t="str">
            <v>自身の攻撃対象が種族ヒューマンの場合全ての攻撃の威力をUP</v>
          </cell>
        </row>
        <row r="31">
          <cell r="A31">
            <v>307</v>
          </cell>
          <cell r="B31" t="str">
            <v>ja</v>
          </cell>
          <cell r="C31" t="str">
            <v>対ヒューマン ダメージUP</v>
          </cell>
          <cell r="D31" t="str">
            <v>自身の攻撃対象が種族ヒューマンの場合全ての攻撃の威力をUP</v>
          </cell>
        </row>
        <row r="32">
          <cell r="A32">
            <v>308</v>
          </cell>
          <cell r="B32" t="str">
            <v>ja</v>
          </cell>
          <cell r="C32" t="str">
            <v>対アニマル ダメージUP</v>
          </cell>
          <cell r="D32" t="str">
            <v>自身の攻撃対象が種族アニマルの場合全ての攻撃の威力をUP</v>
          </cell>
        </row>
        <row r="33">
          <cell r="A33">
            <v>309</v>
          </cell>
          <cell r="B33" t="str">
            <v>ja</v>
          </cell>
          <cell r="C33" t="str">
            <v>対アニマル ダメージUP</v>
          </cell>
          <cell r="D33" t="str">
            <v>自身の攻撃対象が種族アニマルの場合全ての攻撃の威力をUP</v>
          </cell>
        </row>
        <row r="34">
          <cell r="A34">
            <v>310</v>
          </cell>
          <cell r="B34" t="str">
            <v>ja</v>
          </cell>
          <cell r="C34" t="str">
            <v>対アニマル ダメージUP</v>
          </cell>
          <cell r="D34" t="str">
            <v>自身の攻撃対象が種族アニマルの場合全ての攻撃の威力をUP</v>
          </cell>
        </row>
        <row r="35">
          <cell r="A35">
            <v>311</v>
          </cell>
          <cell r="B35" t="str">
            <v>ja</v>
          </cell>
          <cell r="C35" t="str">
            <v>対アニマル ダメージUP</v>
          </cell>
          <cell r="D35" t="str">
            <v>自身の攻撃対象が種族アニマルの場合全ての攻撃の威力をUP</v>
          </cell>
        </row>
        <row r="36">
          <cell r="A36">
            <v>312</v>
          </cell>
          <cell r="B36" t="str">
            <v>ja</v>
          </cell>
          <cell r="C36" t="str">
            <v>対ドラゴン ダメージUP</v>
          </cell>
          <cell r="D36" t="str">
            <v>自身の攻撃対象が種族ドラゴンの場合全ての攻撃の威力をUP</v>
          </cell>
        </row>
        <row r="37">
          <cell r="A37">
            <v>313</v>
          </cell>
          <cell r="B37" t="str">
            <v>ja</v>
          </cell>
          <cell r="C37" t="str">
            <v>対ドラゴン ダメージUP</v>
          </cell>
          <cell r="D37" t="str">
            <v>自身の攻撃対象が種族ドラゴンの場合全ての攻撃の威力をUP</v>
          </cell>
        </row>
        <row r="38">
          <cell r="A38">
            <v>314</v>
          </cell>
          <cell r="B38" t="str">
            <v>ja</v>
          </cell>
          <cell r="C38" t="str">
            <v>対ドラゴン ダメージUP</v>
          </cell>
          <cell r="D38" t="str">
            <v>自身の攻撃対象が種族ドラゴンの場合全ての攻撃の威力をUP</v>
          </cell>
        </row>
        <row r="39">
          <cell r="A39">
            <v>315</v>
          </cell>
          <cell r="B39" t="str">
            <v>ja</v>
          </cell>
          <cell r="C39" t="str">
            <v>対ドラゴン ダメージUP</v>
          </cell>
          <cell r="D39" t="str">
            <v>自身の攻撃対象が種族ドラゴンの場合全ての攻撃の威力をUP</v>
          </cell>
        </row>
        <row r="40">
          <cell r="A40">
            <v>316</v>
          </cell>
          <cell r="B40" t="str">
            <v>ja</v>
          </cell>
          <cell r="C40" t="str">
            <v>対Unknown ダメージUP</v>
          </cell>
          <cell r="D40" t="str">
            <v>自身の攻撃対象が種族Unknownの場合全ての攻撃の威力をUP</v>
          </cell>
        </row>
        <row r="41">
          <cell r="A41">
            <v>317</v>
          </cell>
          <cell r="B41" t="str">
            <v>ja</v>
          </cell>
          <cell r="C41" t="str">
            <v>対Unknown ダメージUP</v>
          </cell>
          <cell r="D41" t="str">
            <v>自身の攻撃対象が種族Unknownの場合全ての攻撃の威力をUP</v>
          </cell>
        </row>
        <row r="42">
          <cell r="A42">
            <v>318</v>
          </cell>
          <cell r="B42" t="str">
            <v>ja</v>
          </cell>
          <cell r="C42" t="str">
            <v>対Unknown ダメージUP</v>
          </cell>
          <cell r="D42" t="str">
            <v>自身の攻撃対象が種族Unknownの場合全ての攻撃の威力をUP</v>
          </cell>
        </row>
        <row r="43">
          <cell r="A43">
            <v>319</v>
          </cell>
          <cell r="B43" t="str">
            <v>ja</v>
          </cell>
          <cell r="C43" t="str">
            <v>対Unknown ダメージUP</v>
          </cell>
          <cell r="D43" t="str">
            <v>自身の攻撃対象が種族Unknownの場合全ての攻撃の威力をUP</v>
          </cell>
        </row>
        <row r="44">
          <cell r="A44">
            <v>320</v>
          </cell>
          <cell r="B44" t="str">
            <v>ja</v>
          </cell>
          <cell r="C44" t="str">
            <v>対サムライ ダメージUP</v>
          </cell>
          <cell r="D44" t="str">
            <v>自身の攻撃対象が種族サムライの場合全ての攻撃の威力をUP</v>
          </cell>
        </row>
        <row r="45">
          <cell r="A45">
            <v>321</v>
          </cell>
          <cell r="B45" t="str">
            <v>ja</v>
          </cell>
          <cell r="C45" t="str">
            <v>対サムライ ダメージUP</v>
          </cell>
          <cell r="D45" t="str">
            <v>自身の攻撃対象が種族サムライの場合全ての攻撃の威力をUP</v>
          </cell>
        </row>
        <row r="46">
          <cell r="A46">
            <v>322</v>
          </cell>
          <cell r="B46" t="str">
            <v>ja</v>
          </cell>
          <cell r="C46" t="str">
            <v>対サムライ ダメージUP</v>
          </cell>
          <cell r="D46" t="str">
            <v>自身の攻撃対象が種族サムライの場合全ての攻撃の威力をUP</v>
          </cell>
        </row>
        <row r="47">
          <cell r="A47">
            <v>323</v>
          </cell>
          <cell r="B47" t="str">
            <v>ja</v>
          </cell>
          <cell r="C47" t="str">
            <v>対サムライ ダメージUP</v>
          </cell>
          <cell r="D47" t="str">
            <v>自身の攻撃対象が種族サムライの場合全ての攻撃の威力をUP</v>
          </cell>
        </row>
        <row r="48">
          <cell r="A48">
            <v>324</v>
          </cell>
          <cell r="B48" t="str">
            <v>ja</v>
          </cell>
          <cell r="C48" t="str">
            <v>対ウェポン ダメージUP</v>
          </cell>
          <cell r="D48" t="str">
            <v>自身の攻撃対象が種族ウェポンの場合全ての攻撃の威力をUP</v>
          </cell>
        </row>
        <row r="49">
          <cell r="A49">
            <v>325</v>
          </cell>
          <cell r="B49" t="str">
            <v>ja</v>
          </cell>
          <cell r="C49" t="str">
            <v>対ウェポン ダメージUP</v>
          </cell>
          <cell r="D49" t="str">
            <v>自身の攻撃対象が種族ウェポンの場合全ての攻撃の威力をUP</v>
          </cell>
        </row>
        <row r="50">
          <cell r="A50">
            <v>326</v>
          </cell>
          <cell r="B50" t="str">
            <v>ja</v>
          </cell>
          <cell r="C50" t="str">
            <v>対ウェポン ダメージUP</v>
          </cell>
          <cell r="D50" t="str">
            <v>自身の攻撃対象が種族ウェポンの場合全ての攻撃の威力をUP</v>
          </cell>
        </row>
        <row r="51">
          <cell r="A51">
            <v>327</v>
          </cell>
          <cell r="B51" t="str">
            <v>ja</v>
          </cell>
          <cell r="C51" t="str">
            <v>対ウェポン ダメージUP</v>
          </cell>
          <cell r="D51" t="str">
            <v>自身の攻撃対象が種族ウェポンの場合全ての攻撃の威力をUP</v>
          </cell>
        </row>
        <row r="52">
          <cell r="A52">
            <v>328</v>
          </cell>
          <cell r="B52" t="str">
            <v>ja</v>
          </cell>
          <cell r="C52" t="str">
            <v>対アカデミア ダメージUP</v>
          </cell>
          <cell r="D52" t="str">
            <v>自身の攻撃対象が種族アカデミアの場合全ての攻撃の威力をUP</v>
          </cell>
        </row>
        <row r="53">
          <cell r="A53">
            <v>329</v>
          </cell>
          <cell r="B53" t="str">
            <v>ja</v>
          </cell>
          <cell r="C53" t="str">
            <v>対アカデミア ダメージUP</v>
          </cell>
          <cell r="D53" t="str">
            <v>自身の攻撃対象が種族アカデミアの場合全ての攻撃の威力をUP</v>
          </cell>
        </row>
        <row r="54">
          <cell r="A54">
            <v>330</v>
          </cell>
          <cell r="B54" t="str">
            <v>ja</v>
          </cell>
          <cell r="C54" t="str">
            <v>対アカデミア ダメージUP</v>
          </cell>
          <cell r="D54" t="str">
            <v>自身の攻撃対象が種族アカデミアの場合全ての攻撃の威力をUP</v>
          </cell>
        </row>
        <row r="55">
          <cell r="A55">
            <v>331</v>
          </cell>
          <cell r="B55" t="str">
            <v>ja</v>
          </cell>
          <cell r="C55" t="str">
            <v>対アカデミア ダメージUP</v>
          </cell>
          <cell r="D55" t="str">
            <v>自身の攻撃対象が種族アカデミアの場合全ての攻撃の威力をUP</v>
          </cell>
        </row>
        <row r="56">
          <cell r="A56">
            <v>332</v>
          </cell>
          <cell r="B56" t="str">
            <v>ja</v>
          </cell>
          <cell r="C56" t="str">
            <v>対タイタン ダメージUP</v>
          </cell>
          <cell r="D56" t="str">
            <v>自身の攻撃対象が種族タイタンの場合全ての攻撃の威力をUP</v>
          </cell>
        </row>
        <row r="57">
          <cell r="A57">
            <v>333</v>
          </cell>
          <cell r="B57" t="str">
            <v>ja</v>
          </cell>
          <cell r="C57" t="str">
            <v>対タイタン ダメージUP</v>
          </cell>
          <cell r="D57" t="str">
            <v>自身の攻撃対象が種族タイタンの場合全ての攻撃の威力をUP</v>
          </cell>
        </row>
        <row r="58">
          <cell r="A58">
            <v>334</v>
          </cell>
          <cell r="B58" t="str">
            <v>ja</v>
          </cell>
          <cell r="C58" t="str">
            <v>対タイタン ダメージUP</v>
          </cell>
          <cell r="D58" t="str">
            <v>自身の攻撃対象が種族タイタンの場合全ての攻撃の威力をUP</v>
          </cell>
        </row>
        <row r="59">
          <cell r="A59">
            <v>335</v>
          </cell>
          <cell r="B59" t="str">
            <v>ja</v>
          </cell>
          <cell r="C59" t="str">
            <v>対タイタン ダメージUP</v>
          </cell>
          <cell r="D59" t="str">
            <v>自身の攻撃対象が種族タイタンの場合全ての攻撃の威力をUP</v>
          </cell>
        </row>
        <row r="60">
          <cell r="A60">
            <v>336</v>
          </cell>
          <cell r="B60" t="str">
            <v>ja</v>
          </cell>
          <cell r="C60" t="str">
            <v>対マシン ダメージUP</v>
          </cell>
          <cell r="D60" t="str">
            <v>自身の攻撃対象が種族マシンの場合全ての攻撃の威力をUP</v>
          </cell>
        </row>
        <row r="61">
          <cell r="A61">
            <v>337</v>
          </cell>
          <cell r="B61" t="str">
            <v>ja</v>
          </cell>
          <cell r="C61" t="str">
            <v>対マシン ダメージUP</v>
          </cell>
          <cell r="D61" t="str">
            <v>自身の攻撃対象が種族マシンの場合全ての攻撃の威力をUP</v>
          </cell>
        </row>
        <row r="62">
          <cell r="A62">
            <v>338</v>
          </cell>
          <cell r="B62" t="str">
            <v>ja</v>
          </cell>
          <cell r="C62" t="str">
            <v>対マシン ダメージUP</v>
          </cell>
          <cell r="D62" t="str">
            <v>自身の攻撃対象が種族マシンの場合全ての攻撃の威力をUP</v>
          </cell>
        </row>
        <row r="63">
          <cell r="A63">
            <v>339</v>
          </cell>
          <cell r="B63" t="str">
            <v>ja</v>
          </cell>
          <cell r="C63" t="str">
            <v>対マシン ダメージUP</v>
          </cell>
          <cell r="D63" t="str">
            <v>自身の攻撃対象が種族マシンの場合全ての攻撃の威力をUP</v>
          </cell>
        </row>
        <row r="64">
          <cell r="A64">
            <v>340</v>
          </cell>
          <cell r="B64" t="str">
            <v>ja</v>
          </cell>
          <cell r="C64" t="str">
            <v>対ドラゴン&amp;アニマルダメージUP</v>
          </cell>
          <cell r="D64" t="str">
            <v>自身の攻撃対象が種族ドラゴン、アニマルの場合全ての攻撃の威力をUP</v>
          </cell>
        </row>
        <row r="65">
          <cell r="A65">
            <v>400</v>
          </cell>
          <cell r="B65" t="str">
            <v>ja</v>
          </cell>
          <cell r="C65" t="str">
            <v>攻撃タイプキラー</v>
          </cell>
          <cell r="D65" t="str">
            <v>攻撃対象が攻撃タイプの場合威力UP</v>
          </cell>
        </row>
        <row r="66">
          <cell r="A66">
            <v>401</v>
          </cell>
          <cell r="B66" t="str">
            <v>ja</v>
          </cell>
          <cell r="C66" t="str">
            <v>攻撃タイプキラー</v>
          </cell>
          <cell r="D66" t="str">
            <v>攻撃対象が攻撃タイプの場合威力UP</v>
          </cell>
        </row>
        <row r="67">
          <cell r="A67">
            <v>402</v>
          </cell>
          <cell r="B67" t="str">
            <v>ja</v>
          </cell>
          <cell r="C67" t="str">
            <v>攻撃タイプキラー</v>
          </cell>
          <cell r="D67" t="str">
            <v>攻撃対象が攻撃タイプの場合威力UP</v>
          </cell>
        </row>
        <row r="68">
          <cell r="A68">
            <v>403</v>
          </cell>
          <cell r="B68" t="str">
            <v>ja</v>
          </cell>
          <cell r="C68" t="str">
            <v>攻撃タイプキラー</v>
          </cell>
          <cell r="D68" t="str">
            <v>攻撃対象が攻撃タイプの場合威力UP</v>
          </cell>
        </row>
        <row r="69">
          <cell r="A69">
            <v>404</v>
          </cell>
          <cell r="B69" t="str">
            <v>ja</v>
          </cell>
          <cell r="C69" t="str">
            <v>バランスタイプキラー</v>
          </cell>
          <cell r="D69" t="str">
            <v>攻撃対象が攻撃タイプの場合威力UP</v>
          </cell>
        </row>
        <row r="70">
          <cell r="A70">
            <v>405</v>
          </cell>
          <cell r="B70" t="str">
            <v>ja</v>
          </cell>
          <cell r="C70" t="str">
            <v>バランスタイプキラー</v>
          </cell>
          <cell r="D70" t="str">
            <v>攻撃対象が攻撃タイプの場合威力UP</v>
          </cell>
        </row>
        <row r="71">
          <cell r="A71">
            <v>406</v>
          </cell>
          <cell r="B71" t="str">
            <v>ja</v>
          </cell>
          <cell r="C71" t="str">
            <v>バランスタイプキラー</v>
          </cell>
          <cell r="D71" t="str">
            <v>攻撃対象が攻撃タイプの場合威力UP</v>
          </cell>
        </row>
        <row r="72">
          <cell r="A72">
            <v>407</v>
          </cell>
          <cell r="B72" t="str">
            <v>ja</v>
          </cell>
          <cell r="C72" t="str">
            <v>バランスタイプキラー</v>
          </cell>
          <cell r="D72" t="str">
            <v>攻撃対象が攻撃タイプの場合威力UP</v>
          </cell>
        </row>
        <row r="73">
          <cell r="A73">
            <v>408</v>
          </cell>
          <cell r="B73" t="str">
            <v>ja</v>
          </cell>
          <cell r="C73" t="str">
            <v>体力タイプキラー</v>
          </cell>
          <cell r="D73" t="str">
            <v>攻撃対象が攻撃タイプの場合威力UP</v>
          </cell>
        </row>
        <row r="74">
          <cell r="A74">
            <v>409</v>
          </cell>
          <cell r="B74" t="str">
            <v>ja</v>
          </cell>
          <cell r="C74" t="str">
            <v>体力タイプキラー</v>
          </cell>
          <cell r="D74" t="str">
            <v>攻撃対象が攻撃タイプの場合威力UP</v>
          </cell>
        </row>
        <row r="75">
          <cell r="A75">
            <v>410</v>
          </cell>
          <cell r="B75" t="str">
            <v>ja</v>
          </cell>
          <cell r="C75" t="str">
            <v>体力タイプキラー</v>
          </cell>
          <cell r="D75" t="str">
            <v>攻撃対象が攻撃タイプの場合威力UP</v>
          </cell>
        </row>
        <row r="76">
          <cell r="A76">
            <v>411</v>
          </cell>
          <cell r="B76" t="str">
            <v>ja</v>
          </cell>
          <cell r="C76" t="str">
            <v>体力タイプキラー</v>
          </cell>
          <cell r="D76" t="str">
            <v>攻撃対象が攻撃タイプの場合威力UP</v>
          </cell>
        </row>
        <row r="77">
          <cell r="A77">
            <v>412</v>
          </cell>
          <cell r="B77" t="str">
            <v>ja</v>
          </cell>
          <cell r="C77" t="str">
            <v>テクニカルタイプキラー</v>
          </cell>
          <cell r="D77" t="str">
            <v>攻撃対象が攻撃タイプの場合威力UP</v>
          </cell>
        </row>
        <row r="78">
          <cell r="A78">
            <v>413</v>
          </cell>
          <cell r="B78" t="str">
            <v>ja</v>
          </cell>
          <cell r="C78" t="str">
            <v>テクニカルタイプキラー</v>
          </cell>
          <cell r="D78" t="str">
            <v>攻撃対象が攻撃タイプの場合威力UP</v>
          </cell>
        </row>
        <row r="79">
          <cell r="A79">
            <v>414</v>
          </cell>
          <cell r="B79" t="str">
            <v>ja</v>
          </cell>
          <cell r="C79" t="str">
            <v>テクニカルタイプキラー</v>
          </cell>
          <cell r="D79" t="str">
            <v>攻撃対象が攻撃タイプの場合威力UP</v>
          </cell>
        </row>
        <row r="80">
          <cell r="A80">
            <v>415</v>
          </cell>
          <cell r="B80" t="str">
            <v>ja</v>
          </cell>
          <cell r="C80" t="str">
            <v>テクニカルタイプキラー</v>
          </cell>
          <cell r="D80" t="str">
            <v>攻撃対象が攻撃タイプの場合威力UP</v>
          </cell>
        </row>
        <row r="81">
          <cell r="A81">
            <v>416</v>
          </cell>
          <cell r="B81" t="str">
            <v>ja</v>
          </cell>
          <cell r="C81" t="str">
            <v>回復タイプキラー</v>
          </cell>
          <cell r="D81" t="str">
            <v>攻撃対象が攻撃タイプの場合威力UP</v>
          </cell>
        </row>
        <row r="82">
          <cell r="A82">
            <v>417</v>
          </cell>
          <cell r="B82" t="str">
            <v>ja</v>
          </cell>
          <cell r="C82" t="str">
            <v>回復タイプキラー</v>
          </cell>
          <cell r="D82" t="str">
            <v>攻撃対象が攻撃タイプの場合威力UP</v>
          </cell>
        </row>
        <row r="83">
          <cell r="A83">
            <v>418</v>
          </cell>
          <cell r="B83" t="str">
            <v>ja</v>
          </cell>
          <cell r="C83" t="str">
            <v>回復タイプキラー</v>
          </cell>
          <cell r="D83" t="str">
            <v>攻撃対象が攻撃タイプの場合威力UP</v>
          </cell>
        </row>
        <row r="84">
          <cell r="A84">
            <v>419</v>
          </cell>
          <cell r="B84" t="str">
            <v>ja</v>
          </cell>
          <cell r="C84" t="str">
            <v>回復タイプキラー</v>
          </cell>
          <cell r="D84" t="str">
            <v>攻撃対象が攻撃タイプの場合威力UP</v>
          </cell>
        </row>
        <row r="85">
          <cell r="A85">
            <v>420</v>
          </cell>
          <cell r="B85" t="str">
            <v>ja</v>
          </cell>
          <cell r="C85" t="str">
            <v>強化素材タイプキラー</v>
          </cell>
          <cell r="D85" t="str">
            <v>攻撃対象が攻撃タイプの場合威力UP</v>
          </cell>
        </row>
        <row r="86">
          <cell r="A86">
            <v>421</v>
          </cell>
          <cell r="B86" t="str">
            <v>ja</v>
          </cell>
          <cell r="C86" t="str">
            <v>強化素材タイプキラー</v>
          </cell>
          <cell r="D86" t="str">
            <v>攻撃対象が攻撃タイプの場合威力UP</v>
          </cell>
        </row>
        <row r="87">
          <cell r="A87">
            <v>422</v>
          </cell>
          <cell r="B87" t="str">
            <v>ja</v>
          </cell>
          <cell r="C87" t="str">
            <v>強化素材タイプキラー</v>
          </cell>
          <cell r="D87" t="str">
            <v>攻撃対象が攻撃タイプの場合威力UP</v>
          </cell>
        </row>
        <row r="88">
          <cell r="A88">
            <v>423</v>
          </cell>
          <cell r="B88" t="str">
            <v>ja</v>
          </cell>
          <cell r="C88" t="str">
            <v>強化素材タイプキラー</v>
          </cell>
          <cell r="D88" t="str">
            <v>攻撃対象が攻撃タイプの場合威力UP</v>
          </cell>
        </row>
        <row r="89">
          <cell r="A89">
            <v>424</v>
          </cell>
          <cell r="B89" t="str">
            <v>ja</v>
          </cell>
          <cell r="C89" t="str">
            <v>コインタイプキラー</v>
          </cell>
          <cell r="D89" t="str">
            <v>攻撃対象が攻撃タイプの場合威力UP</v>
          </cell>
        </row>
        <row r="90">
          <cell r="A90">
            <v>425</v>
          </cell>
          <cell r="B90" t="str">
            <v>ja</v>
          </cell>
          <cell r="C90" t="str">
            <v>コインタイプキラー</v>
          </cell>
          <cell r="D90" t="str">
            <v>攻撃対象が攻撃タイプの場合威力UP</v>
          </cell>
        </row>
        <row r="91">
          <cell r="A91">
            <v>426</v>
          </cell>
          <cell r="B91" t="str">
            <v>ja</v>
          </cell>
          <cell r="C91" t="str">
            <v>コインタイプキラー</v>
          </cell>
          <cell r="D91" t="str">
            <v>攻撃対象が攻撃タイプの場合威力UP</v>
          </cell>
        </row>
        <row r="92">
          <cell r="A92">
            <v>427</v>
          </cell>
          <cell r="B92" t="str">
            <v>ja</v>
          </cell>
          <cell r="C92" t="str">
            <v>コインタイプキラー</v>
          </cell>
          <cell r="D92" t="str">
            <v>攻撃対象が攻撃タイプの場合威力UP</v>
          </cell>
        </row>
        <row r="93">
          <cell r="A93">
            <v>428</v>
          </cell>
          <cell r="B93" t="str">
            <v>ja</v>
          </cell>
          <cell r="C93" t="str">
            <v>限界突破素材タイプキラー</v>
          </cell>
          <cell r="D93" t="str">
            <v>攻撃対象が攻撃タイプの場合威力UP</v>
          </cell>
        </row>
        <row r="94">
          <cell r="A94">
            <v>429</v>
          </cell>
          <cell r="B94" t="str">
            <v>ja</v>
          </cell>
          <cell r="C94" t="str">
            <v>限界突破素材タイプキラー</v>
          </cell>
          <cell r="D94" t="str">
            <v>攻撃対象が攻撃タイプの場合威力UP</v>
          </cell>
        </row>
        <row r="95">
          <cell r="A95">
            <v>430</v>
          </cell>
          <cell r="B95" t="str">
            <v>ja</v>
          </cell>
          <cell r="C95" t="str">
            <v>限界突破素材タイプキラー</v>
          </cell>
          <cell r="D95" t="str">
            <v>攻撃対象が攻撃タイプの場合威力UP</v>
          </cell>
        </row>
        <row r="96">
          <cell r="A96">
            <v>431</v>
          </cell>
          <cell r="B96" t="str">
            <v>ja</v>
          </cell>
          <cell r="C96" t="str">
            <v>限界突破素材タイプキラー</v>
          </cell>
          <cell r="D96" t="str">
            <v>攻撃対象が攻撃タイプの場合威力UP</v>
          </cell>
        </row>
        <row r="97">
          <cell r="A97">
            <v>432</v>
          </cell>
          <cell r="B97" t="str">
            <v>ja</v>
          </cell>
          <cell r="C97" t="str">
            <v>スキルレベル素材タイプキラー</v>
          </cell>
          <cell r="D97" t="str">
            <v>攻撃対象が攻撃タイプの場合威力UP</v>
          </cell>
        </row>
        <row r="98">
          <cell r="A98">
            <v>433</v>
          </cell>
          <cell r="B98" t="str">
            <v>ja</v>
          </cell>
          <cell r="C98" t="str">
            <v>スキルレベル素材タイプキラー</v>
          </cell>
          <cell r="D98" t="str">
            <v>攻撃対象が攻撃タイプの場合威力UP</v>
          </cell>
        </row>
        <row r="99">
          <cell r="A99">
            <v>434</v>
          </cell>
          <cell r="B99" t="str">
            <v>ja</v>
          </cell>
          <cell r="C99" t="str">
            <v>スキルレベル素材タイプキラー</v>
          </cell>
          <cell r="D99" t="str">
            <v>攻撃対象が攻撃タイプの場合威力UP</v>
          </cell>
        </row>
        <row r="100">
          <cell r="A100">
            <v>435</v>
          </cell>
          <cell r="B100" t="str">
            <v>ja</v>
          </cell>
          <cell r="C100" t="str">
            <v>スキルレベル素材タイプキラー</v>
          </cell>
          <cell r="D100" t="str">
            <v>攻撃対象が攻撃タイプの場合威力UP</v>
          </cell>
        </row>
        <row r="101">
          <cell r="A101">
            <v>436</v>
          </cell>
          <cell r="B101" t="str">
            <v>ja</v>
          </cell>
          <cell r="C101" t="str">
            <v>対ゴッド&amp;ヒーロー ダメージUP</v>
          </cell>
          <cell r="D101" t="str">
            <v>自身の攻撃対象が種族ゴッド、ヒーローの場合全ての攻撃の威力をUP</v>
          </cell>
        </row>
        <row r="102">
          <cell r="A102">
            <v>500</v>
          </cell>
          <cell r="B102" t="str">
            <v>ja</v>
          </cell>
          <cell r="C102" t="str">
            <v>青属性キラー</v>
          </cell>
          <cell r="D102" t="str">
            <v>攻撃対象が青属性の場合威力UP</v>
          </cell>
        </row>
        <row r="103">
          <cell r="A103">
            <v>600</v>
          </cell>
          <cell r="B103" t="str">
            <v>ja</v>
          </cell>
          <cell r="C103" t="str">
            <v>赤属性耐性25</v>
          </cell>
          <cell r="D103" t="str">
            <v>自身に対する赤属性の敵からの攻撃を25％軽減</v>
          </cell>
        </row>
        <row r="104">
          <cell r="A104">
            <v>601</v>
          </cell>
          <cell r="B104" t="str">
            <v>ja</v>
          </cell>
          <cell r="C104" t="str">
            <v>赤属性耐性25</v>
          </cell>
          <cell r="D104" t="str">
            <v>自身に対する赤属性の敵からの攻撃を25％軽減</v>
          </cell>
        </row>
        <row r="105">
          <cell r="A105">
            <v>602</v>
          </cell>
          <cell r="B105" t="str">
            <v>ja</v>
          </cell>
          <cell r="C105" t="str">
            <v>赤属性耐性25</v>
          </cell>
          <cell r="D105" t="str">
            <v>自身に対する赤属性の敵からの攻撃を25％軽減</v>
          </cell>
        </row>
        <row r="106">
          <cell r="A106">
            <v>603</v>
          </cell>
          <cell r="B106" t="str">
            <v>ja</v>
          </cell>
          <cell r="C106" t="str">
            <v>青属性耐性25</v>
          </cell>
          <cell r="D106" t="str">
            <v>自身に対する青属性の敵からの攻撃を25％軽減</v>
          </cell>
        </row>
        <row r="107">
          <cell r="A107">
            <v>604</v>
          </cell>
          <cell r="B107" t="str">
            <v>ja</v>
          </cell>
          <cell r="C107" t="str">
            <v>青属性耐性25</v>
          </cell>
          <cell r="D107" t="str">
            <v>自身に対する青属性の敵からの攻撃を25％軽減</v>
          </cell>
        </row>
        <row r="108">
          <cell r="A108">
            <v>605</v>
          </cell>
          <cell r="B108" t="str">
            <v>ja</v>
          </cell>
          <cell r="C108" t="str">
            <v>青属性耐性25</v>
          </cell>
          <cell r="D108" t="str">
            <v>自身に対する青属性の敵からの攻撃を25％軽減</v>
          </cell>
        </row>
        <row r="109">
          <cell r="A109">
            <v>606</v>
          </cell>
          <cell r="B109" t="str">
            <v>ja</v>
          </cell>
          <cell r="C109" t="str">
            <v>緑属性耐性25</v>
          </cell>
          <cell r="D109" t="str">
            <v>自身に対する緑属性の敵からの攻撃を25％軽減</v>
          </cell>
        </row>
        <row r="110">
          <cell r="A110">
            <v>607</v>
          </cell>
          <cell r="B110" t="str">
            <v>ja</v>
          </cell>
          <cell r="C110" t="str">
            <v>緑属性耐性25</v>
          </cell>
          <cell r="D110" t="str">
            <v>自身に対する緑属性の敵からの攻撃を25％軽減</v>
          </cell>
        </row>
        <row r="111">
          <cell r="A111">
            <v>608</v>
          </cell>
          <cell r="B111" t="str">
            <v>ja</v>
          </cell>
          <cell r="C111" t="str">
            <v>緑属性耐性25</v>
          </cell>
          <cell r="D111" t="str">
            <v>自身に対する緑属性の敵からの攻撃を25％軽減</v>
          </cell>
        </row>
        <row r="112">
          <cell r="A112">
            <v>609</v>
          </cell>
          <cell r="B112" t="str">
            <v>ja</v>
          </cell>
          <cell r="C112" t="str">
            <v>黄属性耐性25</v>
          </cell>
          <cell r="D112" t="str">
            <v>自身に対する黄属性の敵からの攻撃を25％軽減</v>
          </cell>
        </row>
        <row r="113">
          <cell r="A113">
            <v>610</v>
          </cell>
          <cell r="B113" t="str">
            <v>ja</v>
          </cell>
          <cell r="C113" t="str">
            <v>黄属性耐性25</v>
          </cell>
          <cell r="D113" t="str">
            <v>自身に対する黄属性の敵からの攻撃を25％軽減</v>
          </cell>
        </row>
        <row r="114">
          <cell r="A114">
            <v>611</v>
          </cell>
          <cell r="B114" t="str">
            <v>ja</v>
          </cell>
          <cell r="C114" t="str">
            <v>黄属性耐性25</v>
          </cell>
          <cell r="D114" t="str">
            <v>自身に対する黄属性の敵からの攻撃を25％軽減</v>
          </cell>
        </row>
        <row r="115">
          <cell r="A115">
            <v>612</v>
          </cell>
          <cell r="B115" t="str">
            <v>ja</v>
          </cell>
          <cell r="C115" t="str">
            <v>全属性耐性10</v>
          </cell>
          <cell r="D115" t="str">
            <v>自身に対する全属性の敵からの攻撃を10％軽減</v>
          </cell>
        </row>
        <row r="116">
          <cell r="A116">
            <v>613</v>
          </cell>
          <cell r="B116" t="str">
            <v>ja</v>
          </cell>
          <cell r="C116" t="str">
            <v>赤属性耐性10</v>
          </cell>
          <cell r="D116" t="str">
            <v>自身に対する赤属性の敵からの攻撃を10％軽減</v>
          </cell>
        </row>
        <row r="117">
          <cell r="A117">
            <v>614</v>
          </cell>
          <cell r="B117" t="str">
            <v>ja</v>
          </cell>
          <cell r="C117" t="str">
            <v>青属性耐性10</v>
          </cell>
          <cell r="D117" t="str">
            <v>自身に対する青属性の敵からの攻撃を10％軽減</v>
          </cell>
        </row>
        <row r="118">
          <cell r="A118">
            <v>615</v>
          </cell>
          <cell r="B118" t="str">
            <v>ja</v>
          </cell>
          <cell r="C118" t="str">
            <v>緑属性耐性10</v>
          </cell>
          <cell r="D118" t="str">
            <v>自身に対する緑属性の敵からの攻撃を10％軽減</v>
          </cell>
        </row>
        <row r="119">
          <cell r="A119">
            <v>616</v>
          </cell>
          <cell r="B119" t="str">
            <v>ja</v>
          </cell>
          <cell r="C119" t="str">
            <v>黄属性耐性10</v>
          </cell>
          <cell r="D119" t="str">
            <v>自身に対する黄属性の敵からの攻撃を10％軽減</v>
          </cell>
        </row>
        <row r="120">
          <cell r="A120">
            <v>617</v>
          </cell>
          <cell r="B120" t="str">
            <v>ja</v>
          </cell>
          <cell r="C120" t="str">
            <v>ゴッド種族耐性10</v>
          </cell>
          <cell r="D120" t="str">
            <v>自身に対するゴッド種族の敵からの攻撃を25％軽減</v>
          </cell>
        </row>
        <row r="121">
          <cell r="A121">
            <v>618</v>
          </cell>
          <cell r="B121" t="str">
            <v>ja</v>
          </cell>
          <cell r="C121" t="str">
            <v>赤属性耐性8</v>
          </cell>
          <cell r="D121" t="str">
            <v>自身に対する赤属性の敵からの攻撃を8%軽減</v>
          </cell>
        </row>
        <row r="122">
          <cell r="A122">
            <v>619</v>
          </cell>
          <cell r="B122" t="str">
            <v>ja</v>
          </cell>
          <cell r="C122" t="str">
            <v>青属性耐性8</v>
          </cell>
          <cell r="D122" t="str">
            <v>自身に対する青属性の敵からの攻撃を8%軽減</v>
          </cell>
        </row>
        <row r="123">
          <cell r="A123">
            <v>620</v>
          </cell>
          <cell r="B123" t="str">
            <v>ja</v>
          </cell>
          <cell r="C123" t="str">
            <v>緑属性耐性8</v>
          </cell>
          <cell r="D123" t="str">
            <v>自身に対する緑属性の敵からの攻撃を8%軽減</v>
          </cell>
        </row>
        <row r="124">
          <cell r="A124">
            <v>621</v>
          </cell>
          <cell r="B124" t="str">
            <v>ja</v>
          </cell>
          <cell r="C124" t="str">
            <v>黄属性耐性8</v>
          </cell>
          <cell r="D124" t="str">
            <v>自身に対する黄属性の敵からの攻撃を8%軽減</v>
          </cell>
        </row>
        <row r="125">
          <cell r="A125">
            <v>622</v>
          </cell>
          <cell r="B125" t="str">
            <v>ja</v>
          </cell>
          <cell r="C125" t="str">
            <v>赤・青属性耐性15</v>
          </cell>
          <cell r="D125" t="str">
            <v>自身に対する赤・青属性の敵からの攻撃を15%軽減</v>
          </cell>
        </row>
        <row r="126">
          <cell r="A126">
            <v>700</v>
          </cell>
          <cell r="B126" t="str">
            <v>ja</v>
          </cell>
          <cell r="C126" t="str">
            <v>フロア 回復</v>
          </cell>
          <cell r="D126" t="str">
            <v>全フロアの1ターン目終了時にパーティの合計HPの20％を回復する</v>
          </cell>
        </row>
        <row r="127">
          <cell r="A127">
            <v>701</v>
          </cell>
          <cell r="B127" t="str">
            <v>ja</v>
          </cell>
          <cell r="C127" t="str">
            <v>フロア 防御力アップ</v>
          </cell>
          <cell r="D127" t="str">
            <v>全フロアの1ターン目終了時に全ユニットの防御力を1ターン400UP</v>
          </cell>
        </row>
        <row r="128">
          <cell r="A128">
            <v>800</v>
          </cell>
          <cell r="B128" t="str">
            <v>ja</v>
          </cell>
          <cell r="C128" t="str">
            <v>パネルブレイク30 攻撃力UP</v>
          </cell>
          <cell r="D128" t="str">
            <v>自身が先頭の時、1ターンの間に合計30個以上パネルを破壊した場合に攻撃力UP</v>
          </cell>
        </row>
        <row r="129">
          <cell r="A129">
            <v>801</v>
          </cell>
          <cell r="B129" t="str">
            <v>ja</v>
          </cell>
          <cell r="C129" t="str">
            <v>パネルブレイク30 回復力UP</v>
          </cell>
          <cell r="D129" t="str">
            <v>自身が先頭の時、1ターンの間に合計30個以上パネルを破壊した場合に回復力UP</v>
          </cell>
        </row>
        <row r="130">
          <cell r="A130">
            <v>802</v>
          </cell>
          <cell r="B130" t="str">
            <v>ja</v>
          </cell>
          <cell r="C130" t="str">
            <v>パネルブレイク30 防御力小UP</v>
          </cell>
          <cell r="D130" t="str">
            <v>自身が先頭の時、1ターンの間に合計30個以上パネルを破壊した場合に防御力小UP</v>
          </cell>
        </row>
        <row r="131">
          <cell r="A131">
            <v>803</v>
          </cell>
          <cell r="B131" t="str">
            <v>ja</v>
          </cell>
          <cell r="C131" t="str">
            <v>パネルブレイク30 防御力UP</v>
          </cell>
          <cell r="D131" t="str">
            <v>自身が先頭の時、1ターンの間に合計30個以上パネルを破壊した場合に防御力UP</v>
          </cell>
        </row>
        <row r="132">
          <cell r="A132">
            <v>804</v>
          </cell>
          <cell r="B132" t="str">
            <v>ja</v>
          </cell>
          <cell r="C132" t="str">
            <v>パネルブレイク30 防御力大UP</v>
          </cell>
          <cell r="D132" t="str">
            <v>自身が先頭の時、1ターンの間に合計30個以上パネルを破壊した場合に防御力大UP</v>
          </cell>
        </row>
        <row r="133">
          <cell r="A133">
            <v>805</v>
          </cell>
          <cell r="B133" t="str">
            <v>ja</v>
          </cell>
          <cell r="C133" t="str">
            <v>パネルブレイク30 防御力特大UP</v>
          </cell>
          <cell r="D133" t="str">
            <v>自身が先頭の時、1ターンの間に合計30個以上パネルを破壊した場合に防御力特大UP</v>
          </cell>
        </row>
        <row r="134">
          <cell r="A134">
            <v>806</v>
          </cell>
          <cell r="B134" t="str">
            <v>ja</v>
          </cell>
          <cell r="C134" t="str">
            <v>ボムブレイク10 防御力UP</v>
          </cell>
          <cell r="D134" t="str">
            <v>自身または味方が1ターンの間に合計10個以上ボムパネルを破壊した場合に防御力UP</v>
          </cell>
        </row>
        <row r="135">
          <cell r="A135">
            <v>807</v>
          </cell>
          <cell r="B135" t="str">
            <v>ja</v>
          </cell>
          <cell r="C135" t="str">
            <v>パネル18 破壊フィーバーゲージ上昇</v>
          </cell>
          <cell r="D135" t="str">
            <v>自身が先頭の時、1ターンの間に合計18個以上パネルを破壊した場合にフィーバーゲージ上昇</v>
          </cell>
        </row>
        <row r="136">
          <cell r="A136">
            <v>808</v>
          </cell>
          <cell r="B136" t="str">
            <v>ja</v>
          </cell>
          <cell r="C136" t="str">
            <v>パネルブレイク40 防御力UP</v>
          </cell>
          <cell r="D136" t="str">
            <v>自身が先頭の時、1ターンの間に合計40個以上パネルを破壊した場合に青属性ユニットの防御力を400UP</v>
          </cell>
        </row>
        <row r="137">
          <cell r="A137">
            <v>809</v>
          </cell>
          <cell r="B137" t="str">
            <v>ja</v>
          </cell>
          <cell r="C137" t="str">
            <v>パネルブレイク40 攻撃力UP</v>
          </cell>
          <cell r="D137" t="str">
            <v>自身が先頭の時、1ターンの間に合計40個以上パネルを破壊した場合に攻撃力UP</v>
          </cell>
        </row>
        <row r="138">
          <cell r="A138">
            <v>810</v>
          </cell>
          <cell r="B138" t="str">
            <v>ja</v>
          </cell>
          <cell r="C138" t="str">
            <v>パネルブレイク40 攻撃力小UP</v>
          </cell>
          <cell r="D138" t="str">
            <v>自身が先頭の時、1ターンの間に合計40個以上パネルを破壊した場合に攻撃力小UP</v>
          </cell>
        </row>
        <row r="139">
          <cell r="A139">
            <v>811</v>
          </cell>
          <cell r="B139" t="str">
            <v>ja</v>
          </cell>
          <cell r="C139" t="str">
            <v>パネルブレイク30 攻撃力小UP</v>
          </cell>
          <cell r="D139" t="str">
            <v>自身が先頭の時、1ターンの間に合計30個以上パネルを破壊した場合に攻撃力小UP</v>
          </cell>
        </row>
        <row r="140">
          <cell r="A140">
            <v>812</v>
          </cell>
          <cell r="B140" t="str">
            <v>ja</v>
          </cell>
          <cell r="C140" t="str">
            <v>パネルブレイク40 HP小回復</v>
          </cell>
          <cell r="D140" t="str">
            <v>自身が先頭の時、1ターンの間に合計40個以上パネルを破壊した場合にターン終了時HP小回復</v>
          </cell>
        </row>
        <row r="141">
          <cell r="A141">
            <v>813</v>
          </cell>
          <cell r="B141" t="str">
            <v>ja</v>
          </cell>
          <cell r="C141" t="str">
            <v>パネルブレイク100 攻撃力UP</v>
          </cell>
          <cell r="D141" t="str">
            <v>自身が先頭の時、1ターンの間に合計100個以上パネルを破壊した場合に攻撃力2140UP</v>
          </cell>
        </row>
        <row r="142">
          <cell r="A142">
            <v>814</v>
          </cell>
          <cell r="B142" t="str">
            <v>ja</v>
          </cell>
          <cell r="C142" t="str">
            <v>パネルブレイク50 タップ回数UP</v>
          </cell>
          <cell r="D142" t="str">
            <v>自身が先頭の時、1ターンの間に合計50個以上パネルを破壊した場合にタップ回数1UP</v>
          </cell>
        </row>
        <row r="143">
          <cell r="A143">
            <v>815</v>
          </cell>
          <cell r="B143" t="str">
            <v>ja</v>
          </cell>
          <cell r="C143" t="str">
            <v>パネルブレイク50 HP回復</v>
          </cell>
          <cell r="D143" t="str">
            <v>自身が先頭の時、1ターンの間に合計50個以上パネルを破壊した場合にターン終了時HP回復</v>
          </cell>
        </row>
        <row r="144">
          <cell r="A144">
            <v>816</v>
          </cell>
          <cell r="B144" t="str">
            <v>ja</v>
          </cell>
          <cell r="C144" t="str">
            <v>ボムブレイク10 黄属性攻撃力UP</v>
          </cell>
          <cell r="D144" t="str">
            <v>自身または味方が1ターンの間に合計10個以上ボムパネルを破壊した場合に黄属性ユニットの攻撃力UP</v>
          </cell>
        </row>
        <row r="145">
          <cell r="A145">
            <v>817</v>
          </cell>
          <cell r="B145" t="str">
            <v>ja</v>
          </cell>
          <cell r="C145" t="str">
            <v>パネルブレイク50 生成短縮激烈</v>
          </cell>
          <cell r="D145" t="str">
            <v>自身が先頭の時、1ターンの間に合計50個以上パネルを破壊した場合にCパネル生成に必要なチェイン数を12短縮する</v>
          </cell>
        </row>
        <row r="146">
          <cell r="A146">
            <v>818</v>
          </cell>
          <cell r="B146" t="str">
            <v>ja</v>
          </cell>
          <cell r="C146" t="str">
            <v>パネルブレイク33 赤･緑属性防御UP</v>
          </cell>
          <cell r="D146" t="str">
            <v>自身が先頭の時、1ターンの間に合計33個以上パネルを破壊した場合に赤・緑属性の防御力を330UP</v>
          </cell>
        </row>
        <row r="147">
          <cell r="A147">
            <v>819</v>
          </cell>
          <cell r="B147" t="str">
            <v>ja</v>
          </cell>
          <cell r="C147" t="str">
            <v>パネルブレイク25 回復力UP</v>
          </cell>
          <cell r="D147" t="str">
            <v>自身が先頭の時、1ターンの間に合計25個以上パネルを破壊した場合に回復力UP</v>
          </cell>
        </row>
        <row r="148">
          <cell r="A148">
            <v>820</v>
          </cell>
          <cell r="B148" t="str">
            <v>ja</v>
          </cell>
          <cell r="C148" t="str">
            <v>パネルブレイク90 タップ回数UP</v>
          </cell>
          <cell r="D148" t="str">
            <v>自身が先頭の時、1ターンの間に合計90個以上パネルを破壊した場合にタップ回数を1回増やす</v>
          </cell>
        </row>
        <row r="149">
          <cell r="A149">
            <v>821</v>
          </cell>
          <cell r="B149" t="str">
            <v>ja</v>
          </cell>
          <cell r="C149" t="str">
            <v>パネルブレイク80 攻撃力特大UP</v>
          </cell>
          <cell r="D149" t="str">
            <v>自身が先頭の時、1ターンの間に合計80個以上パネルを破壊した場合に攻撃力特大UP</v>
          </cell>
        </row>
        <row r="150">
          <cell r="A150">
            <v>822</v>
          </cell>
          <cell r="B150" t="str">
            <v>ja</v>
          </cell>
          <cell r="C150" t="str">
            <v>パネルブレイク45 Cパネル生成短縮(特大)</v>
          </cell>
          <cell r="D150" t="str">
            <v>自身または、味方が1ターンの間に合計45個以上パネルを破壊した場合に先頭ユニットのCパネル生成短縮(効果特大)(1ターンに1度だけ発動)</v>
          </cell>
        </row>
        <row r="151">
          <cell r="A151">
            <v>900</v>
          </cell>
          <cell r="B151" t="str">
            <v>ja</v>
          </cell>
          <cell r="C151" t="str">
            <v>チェイン12 攻撃力UP</v>
          </cell>
          <cell r="D151" t="str">
            <v>自身が先頭の時、1タップで12個以上パネルを繋げた場合に攻撃力UP(1ターンに1度だけ発動)</v>
          </cell>
        </row>
        <row r="152">
          <cell r="A152">
            <v>901</v>
          </cell>
          <cell r="B152" t="str">
            <v>ja</v>
          </cell>
          <cell r="C152" t="str">
            <v>チェイン12 回復力UP</v>
          </cell>
          <cell r="D152" t="str">
            <v>自身が先頭の時、1タップで12個以上パネルを繋げた場合に回復力UP(1ターンに1度だけ発動)</v>
          </cell>
        </row>
        <row r="153">
          <cell r="A153">
            <v>902</v>
          </cell>
          <cell r="B153" t="str">
            <v>ja</v>
          </cell>
          <cell r="C153" t="str">
            <v>チェイン12 タップ回数UP</v>
          </cell>
          <cell r="D153" t="str">
            <v>自身が先頭の時、1タップで12個以上パネルを繋げた場合にタップ回数を1回増やす(1ターンに1度だけ発動)</v>
          </cell>
        </row>
        <row r="154">
          <cell r="A154">
            <v>903</v>
          </cell>
          <cell r="B154" t="str">
            <v>ja</v>
          </cell>
          <cell r="C154" t="str">
            <v>チェイン18 スキルゲージUP</v>
          </cell>
          <cell r="D154" t="str">
            <v>自身が先頭の時、1タップで18個以上パネルを繋げた場合に自身のスキルゲージを1増やす(1ターンに1度だけ発動)</v>
          </cell>
        </row>
        <row r="155">
          <cell r="A155">
            <v>904</v>
          </cell>
          <cell r="B155" t="str">
            <v>ja</v>
          </cell>
          <cell r="C155" t="str">
            <v>チェイン17 回復力UP</v>
          </cell>
          <cell r="D155" t="str">
            <v>自身が先頭の時、1タップで17個以上パネルを繋げた場合に自身の回復力を2017UP(1ターンに1度だけ発動)</v>
          </cell>
        </row>
        <row r="156">
          <cell r="A156">
            <v>905</v>
          </cell>
          <cell r="B156" t="str">
            <v>ja</v>
          </cell>
          <cell r="C156" t="str">
            <v>チェイン12 攻撃力小UP</v>
          </cell>
          <cell r="D156" t="str">
            <v>自身が先頭の時、1タップで12個以上パネルを繋げた場合に攻撃力小UP(1ターンに1度だけ発動)</v>
          </cell>
        </row>
        <row r="157">
          <cell r="A157">
            <v>906</v>
          </cell>
          <cell r="B157" t="str">
            <v>ja</v>
          </cell>
          <cell r="C157" t="str">
            <v>チェイン14 回復力小UP</v>
          </cell>
          <cell r="D157" t="str">
            <v>自身が先頭の時、1タップで14個以上パネルを繋げた場合に回復力小UP(1ターンに1度だけ発動)</v>
          </cell>
        </row>
        <row r="158">
          <cell r="A158">
            <v>907</v>
          </cell>
          <cell r="B158" t="str">
            <v>ja</v>
          </cell>
          <cell r="C158" t="str">
            <v>チェイン14 攻撃力UP</v>
          </cell>
          <cell r="D158" t="str">
            <v>自身が先頭の時、1タップで14個以上パネルを繋げた場合に攻撃力UP(1ターンに1度だけ発動)</v>
          </cell>
        </row>
        <row r="159">
          <cell r="A159">
            <v>908</v>
          </cell>
          <cell r="B159" t="str">
            <v>ja</v>
          </cell>
          <cell r="C159" t="str">
            <v>チェイン16 黄属性防御力UP</v>
          </cell>
          <cell r="D159" t="str">
            <v>自身が先頭の時、1タップで16個以上パネルを繋げた場合に黄属性ユニットの防御力UP(1ターンに1度だけ発動)</v>
          </cell>
        </row>
        <row r="160">
          <cell r="A160">
            <v>909</v>
          </cell>
          <cell r="B160" t="str">
            <v>ja</v>
          </cell>
          <cell r="C160" t="str">
            <v>チェイン30 Cパネル生成短縮(激烈)</v>
          </cell>
          <cell r="D160" t="str">
            <v>自身が先頭の時、1タップで30個以上パネルを繋げた場合にCパネル生成短縮(効果激烈)(1ターンに1度だけ発動)</v>
          </cell>
        </row>
        <row r="161">
          <cell r="A161">
            <v>910</v>
          </cell>
          <cell r="B161" t="str">
            <v>ja</v>
          </cell>
          <cell r="C161" t="str">
            <v>チェイン18 HP回復</v>
          </cell>
          <cell r="D161" t="str">
            <v>自身が先頭の時、1タップで18個以上パネルを繋げた場合にHPを2500回復(1ターンに1度だけ発動)</v>
          </cell>
        </row>
        <row r="162">
          <cell r="A162">
            <v>911</v>
          </cell>
          <cell r="B162" t="str">
            <v>ja</v>
          </cell>
          <cell r="C162" t="str">
            <v>チェイン24 ダメージ軽減</v>
          </cell>
          <cell r="D162" t="str">
            <v>自身が先頭の時、1タップで24個以上パネルを繋げた場合に敵からのダメージを15％軽減(1ターンに1度だけ発動)</v>
          </cell>
        </row>
        <row r="163">
          <cell r="A163">
            <v>912</v>
          </cell>
          <cell r="B163" t="str">
            <v>ja</v>
          </cell>
          <cell r="C163" t="str">
            <v>チェイン22 スキルゲージUP</v>
          </cell>
          <cell r="D163" t="str">
            <v>自身が先頭の時、1タップで22個以上パネルを繋げた場合に自身のスキルゲージを1増やす(1ターンに1度だけ発動)</v>
          </cell>
        </row>
        <row r="164">
          <cell r="A164">
            <v>913</v>
          </cell>
          <cell r="B164" t="str">
            <v>ja</v>
          </cell>
          <cell r="C164" t="str">
            <v>チェイン26 Cパネル生成短縮(特大)</v>
          </cell>
          <cell r="D164" t="str">
            <v>自身または、味方が1タップで26個以上パネルを繋げた場合に先頭ユニットのCパネル生成短縮(効果特大)(1ターンに1度だけ発動)</v>
          </cell>
        </row>
        <row r="165">
          <cell r="A165">
            <v>914</v>
          </cell>
          <cell r="B165" t="str">
            <v>ja</v>
          </cell>
          <cell r="C165" t="str">
            <v>チェイン14 スキルバインド解除</v>
          </cell>
          <cell r="D165" t="str">
            <v>自身が先頭の時、1タップで14個以上パネルを繋げた場合にスキルバインドを解除する</v>
          </cell>
        </row>
        <row r="166">
          <cell r="A166">
            <v>915</v>
          </cell>
          <cell r="B166" t="str">
            <v>ja</v>
          </cell>
          <cell r="C166" t="str">
            <v>チェイン16 スキルゲージUP</v>
          </cell>
          <cell r="D166" t="str">
            <v>自身が先頭の時、1タップで16個以上パネルを繋げた場合に自身のスキルゲージを1増やす(1ターンに1度だけ発動)</v>
          </cell>
        </row>
        <row r="167">
          <cell r="A167">
            <v>1100</v>
          </cell>
          <cell r="B167" t="str">
            <v>ja</v>
          </cell>
          <cell r="C167" t="str">
            <v>Cパネル生成短縮</v>
          </cell>
          <cell r="D167" t="str">
            <v>自身が先頭の時、Cパネル生成に必要なチェイン数を1短縮する</v>
          </cell>
        </row>
        <row r="168">
          <cell r="A168">
            <v>1101</v>
          </cell>
          <cell r="B168" t="str">
            <v>ja</v>
          </cell>
          <cell r="C168" t="str">
            <v>Cパネル生成短縮(大)</v>
          </cell>
          <cell r="D168" t="str">
            <v>自身が先頭の時、Cパネル生成に必要なチェイン数を2短縮する</v>
          </cell>
        </row>
        <row r="169">
          <cell r="A169">
            <v>1200</v>
          </cell>
          <cell r="B169" t="str">
            <v>ja</v>
          </cell>
          <cell r="C169" t="str">
            <v>フィーバー攻撃UP</v>
          </cell>
          <cell r="D169" t="str">
            <v>自身が先頭の時、フィーバー発動時に緑属性の攻撃力と回復力UP</v>
          </cell>
        </row>
        <row r="170">
          <cell r="A170">
            <v>1300</v>
          </cell>
          <cell r="B170" t="str">
            <v>ja</v>
          </cell>
          <cell r="C170" t="str">
            <v>チェイン12 HP回復</v>
          </cell>
          <cell r="D170" t="str">
            <v>自身が先頭の時、1タップで12個以上パネルを繋げた場合にHPを2000回復(1ターンに1度だけ発動)</v>
          </cell>
        </row>
        <row r="171">
          <cell r="A171">
            <v>1400</v>
          </cell>
          <cell r="B171" t="str">
            <v>ja</v>
          </cell>
          <cell r="C171" t="str">
            <v>カウンター威力UP</v>
          </cell>
          <cell r="D171" t="str">
            <v>4ターン毎に自身のカウンタースキルの威力が1ターンの間UP</v>
          </cell>
        </row>
        <row r="172">
          <cell r="A172">
            <v>1500</v>
          </cell>
          <cell r="B172" t="str">
            <v>ja</v>
          </cell>
          <cell r="C172" t="str">
            <v>バリア15000</v>
          </cell>
          <cell r="D172" t="str">
            <v>戦闘開始時に、自身への直接ダメージを15000まで防ぐバリアを一度だけ展開(バリアは破壊されると復活しない)</v>
          </cell>
        </row>
        <row r="173">
          <cell r="A173">
            <v>1501</v>
          </cell>
          <cell r="B173" t="str">
            <v>ja</v>
          </cell>
          <cell r="C173" t="str">
            <v>バリア</v>
          </cell>
          <cell r="D173" t="str">
            <v>戦闘開始時に、ダメージを25000まで防ぐバリアを一度だけ展開</v>
          </cell>
        </row>
        <row r="174">
          <cell r="A174">
            <v>1502</v>
          </cell>
          <cell r="B174" t="str">
            <v>ja</v>
          </cell>
          <cell r="C174" t="str">
            <v>バリア</v>
          </cell>
          <cell r="D174" t="str">
            <v>戦闘開始時に、ダメージを50000まで防ぐバリアを一度だけ展開</v>
          </cell>
        </row>
        <row r="175">
          <cell r="A175">
            <v>1503</v>
          </cell>
          <cell r="B175" t="str">
            <v>ja</v>
          </cell>
          <cell r="C175" t="str">
            <v>バリア8000</v>
          </cell>
          <cell r="D175" t="str">
            <v>戦闘開始時に、自身への直接ダメージを8000まで防ぐバリアを一度だけ展開(バリアは破壊されると復活しない)</v>
          </cell>
        </row>
        <row r="176">
          <cell r="A176">
            <v>1504</v>
          </cell>
          <cell r="B176" t="str">
            <v>ja</v>
          </cell>
          <cell r="C176" t="str">
            <v>バリア10000</v>
          </cell>
          <cell r="D176" t="str">
            <v>戦闘開始時に、自身への直接ダメージを10000まで防ぐバリアを一度だけ展開(バリアは破壊されると復活しない)</v>
          </cell>
        </row>
        <row r="177">
          <cell r="A177">
            <v>1505</v>
          </cell>
          <cell r="B177" t="str">
            <v>ja</v>
          </cell>
          <cell r="C177" t="str">
            <v>バリア3939</v>
          </cell>
          <cell r="D177" t="str">
            <v>戦闘開始時に、自身への直接ダメージを3939まで防ぐバリアを一度だけ展開(バリアは破壊されると復活しない)</v>
          </cell>
        </row>
        <row r="178">
          <cell r="A178">
            <v>1600</v>
          </cell>
          <cell r="B178" t="str">
            <v>ja</v>
          </cell>
          <cell r="C178" t="str">
            <v>攻撃力・回復力UP</v>
          </cell>
          <cell r="D178" t="str">
            <v>自身の攻撃力と回復力をUP</v>
          </cell>
        </row>
        <row r="179">
          <cell r="A179">
            <v>1700</v>
          </cell>
          <cell r="B179" t="str">
            <v>ja</v>
          </cell>
          <cell r="C179" t="str">
            <v>パネルブレイク30 ターンHP小回復</v>
          </cell>
          <cell r="D179" t="str">
            <v>自身が先頭の時、1ターンの間に合計30個以上パネルを破壊した場合に1ターン HP小回復</v>
          </cell>
        </row>
        <row r="180">
          <cell r="A180">
            <v>1800</v>
          </cell>
          <cell r="B180" t="str">
            <v>ja</v>
          </cell>
          <cell r="C180" t="str">
            <v>フィーバー強化</v>
          </cell>
          <cell r="D180" t="str">
            <v>フィーバー時自身の攻撃力、回復力を特大UP</v>
          </cell>
        </row>
        <row r="181">
          <cell r="A181">
            <v>1900</v>
          </cell>
          <cell r="B181" t="str">
            <v>ja</v>
          </cell>
          <cell r="C181" t="str">
            <v>ハート出現率UP</v>
          </cell>
          <cell r="D181" t="str">
            <v>自身が先頭の時、ハートパネルの出現率UP</v>
          </cell>
        </row>
        <row r="182">
          <cell r="A182">
            <v>2000</v>
          </cell>
          <cell r="B182" t="str">
            <v>ja</v>
          </cell>
          <cell r="C182" t="str">
            <v>赤パネル出現率UP</v>
          </cell>
          <cell r="D182" t="str">
            <v>自身が先頭の時、赤パネルの出現率UP</v>
          </cell>
        </row>
        <row r="183">
          <cell r="A183">
            <v>2100</v>
          </cell>
          <cell r="B183" t="str">
            <v>ja</v>
          </cell>
          <cell r="C183" t="str">
            <v>緑パネル出現率UP</v>
          </cell>
          <cell r="D183" t="str">
            <v>自身が先頭の時、緑パネルの出現率UP</v>
          </cell>
        </row>
        <row r="184">
          <cell r="A184">
            <v>2200</v>
          </cell>
          <cell r="B184" t="str">
            <v>ja</v>
          </cell>
          <cell r="C184" t="str">
            <v>青パネル出現率UP</v>
          </cell>
          <cell r="D184" t="str">
            <v>自身が先頭の時、青パネルの出現率UP</v>
          </cell>
        </row>
        <row r="185">
          <cell r="A185">
            <v>2201</v>
          </cell>
          <cell r="B185" t="str">
            <v>ja</v>
          </cell>
          <cell r="C185" t="str">
            <v>青パネル出現率UP</v>
          </cell>
          <cell r="D185" t="str">
            <v>自身が先頭の時、青パネルの出現率UP</v>
          </cell>
        </row>
        <row r="186">
          <cell r="A186">
            <v>2300</v>
          </cell>
          <cell r="B186" t="str">
            <v>ja</v>
          </cell>
          <cell r="C186" t="str">
            <v>黄パネル出現率UP</v>
          </cell>
          <cell r="D186" t="str">
            <v>自身が先頭の時、黄パネルの出現率UP</v>
          </cell>
        </row>
        <row r="187">
          <cell r="A187">
            <v>2400</v>
          </cell>
          <cell r="B187" t="str">
            <v>ja</v>
          </cell>
          <cell r="C187" t="str">
            <v>ハートボムパネルドロップ</v>
          </cell>
          <cell r="D187" t="str">
            <v>自身が先頭の時、ハートパネルを確率でハートボムパネルに変換しドロップ</v>
          </cell>
        </row>
        <row r="188">
          <cell r="A188">
            <v>2401</v>
          </cell>
          <cell r="B188" t="str">
            <v>ja</v>
          </cell>
          <cell r="C188" t="str">
            <v>赤ボムパネルドロップ</v>
          </cell>
          <cell r="D188" t="str">
            <v>自身が先頭の時、赤パネルを低確率で赤ボムパネルに変換しドロップ</v>
          </cell>
        </row>
        <row r="189">
          <cell r="A189">
            <v>2402</v>
          </cell>
          <cell r="B189" t="str">
            <v>ja</v>
          </cell>
          <cell r="C189" t="str">
            <v>緑ボムパネルドロップ</v>
          </cell>
          <cell r="D189" t="str">
            <v>自身が先頭の時、緑パネルを低確率で緑ボムパネルに変換しドロップ</v>
          </cell>
        </row>
        <row r="190">
          <cell r="A190">
            <v>2403</v>
          </cell>
          <cell r="B190" t="str">
            <v>ja</v>
          </cell>
          <cell r="C190" t="str">
            <v>青ボムパネルドロップ</v>
          </cell>
          <cell r="D190" t="str">
            <v>自身が先頭の時、青パネルを確率で青ボムパネルに変換しドロップ</v>
          </cell>
        </row>
        <row r="191">
          <cell r="A191">
            <v>2500</v>
          </cell>
          <cell r="B191" t="str">
            <v>ja</v>
          </cell>
          <cell r="C191" t="str">
            <v>青パネルドロップ</v>
          </cell>
          <cell r="D191" t="str">
            <v>自身が先頭の時、緑パネルを確率で青パネルに変換しドロップ</v>
          </cell>
        </row>
        <row r="192">
          <cell r="A192">
            <v>2501</v>
          </cell>
          <cell r="B192" t="str">
            <v>ja</v>
          </cell>
          <cell r="C192" t="str">
            <v>黄パネルドロップ</v>
          </cell>
          <cell r="D192" t="str">
            <v>自身が先頭の時、青パネルを確率で黄パネルに変換しドロップ</v>
          </cell>
        </row>
        <row r="193">
          <cell r="A193">
            <v>2502</v>
          </cell>
          <cell r="B193" t="str">
            <v>ja</v>
          </cell>
          <cell r="C193" t="str">
            <v>赤パネルドロップ</v>
          </cell>
          <cell r="D193" t="str">
            <v>自身が先頭の時、黄パネルを確率で赤パネルに変換しドロップ</v>
          </cell>
        </row>
        <row r="194">
          <cell r="A194">
            <v>2503</v>
          </cell>
          <cell r="B194" t="str">
            <v>ja</v>
          </cell>
          <cell r="C194" t="str">
            <v>黄パネルドロップ</v>
          </cell>
          <cell r="D194" t="str">
            <v>自身が先頭の時、赤パネルを確率で黄パネルに変換しドロップ</v>
          </cell>
        </row>
        <row r="195">
          <cell r="A195">
            <v>2504</v>
          </cell>
          <cell r="B195" t="str">
            <v>ja</v>
          </cell>
          <cell r="C195" t="str">
            <v>SCパネルドロップ</v>
          </cell>
          <cell r="D195" t="str">
            <v>自身が先頭の時、緑パネルを確率でSCパネルに変換しドロップ</v>
          </cell>
        </row>
        <row r="196">
          <cell r="A196">
            <v>2505</v>
          </cell>
          <cell r="B196" t="str">
            <v>ja</v>
          </cell>
          <cell r="C196" t="str">
            <v>緑ボムパネル(大)ドロップ</v>
          </cell>
          <cell r="D196" t="str">
            <v>自身が先頭の時、低確率で緑ボムパネル(大)をドロップ</v>
          </cell>
        </row>
        <row r="197">
          <cell r="A197">
            <v>2506</v>
          </cell>
          <cell r="B197" t="str">
            <v>ja</v>
          </cell>
          <cell r="C197" t="str">
            <v>ハートボムパネル(大)ドロップ</v>
          </cell>
          <cell r="D197" t="str">
            <v>自身が先頭の時、低確率でハートボムパネル(大)をドロップ</v>
          </cell>
        </row>
        <row r="198">
          <cell r="A198">
            <v>2507</v>
          </cell>
          <cell r="B198" t="str">
            <v>ja</v>
          </cell>
          <cell r="C198" t="str">
            <v>Cパネルドロップ</v>
          </cell>
          <cell r="D198" t="str">
            <v>自身が先頭の時、低確率でCパネルをドロップ</v>
          </cell>
        </row>
        <row r="199">
          <cell r="A199">
            <v>2508</v>
          </cell>
          <cell r="B199" t="str">
            <v>ja</v>
          </cell>
          <cell r="C199" t="str">
            <v>黄パネルドロップ</v>
          </cell>
          <cell r="D199" t="str">
            <v>自身が先頭の時、緑パネルを確率で黄パネルに変換しドロップ</v>
          </cell>
        </row>
        <row r="200">
          <cell r="A200">
            <v>2600</v>
          </cell>
          <cell r="B200" t="str">
            <v>ja</v>
          </cell>
          <cell r="C200" t="str">
            <v>回復力400UP</v>
          </cell>
          <cell r="D200" t="str">
            <v>自身の回復力を400UP</v>
          </cell>
        </row>
        <row r="201">
          <cell r="A201">
            <v>2601</v>
          </cell>
          <cell r="B201" t="str">
            <v>ja</v>
          </cell>
          <cell r="C201" t="str">
            <v>回復力300UP</v>
          </cell>
          <cell r="D201" t="str">
            <v>自身の回復力を300UP</v>
          </cell>
        </row>
        <row r="202">
          <cell r="A202">
            <v>2700</v>
          </cell>
          <cell r="B202" t="str">
            <v>ja</v>
          </cell>
          <cell r="C202" t="str">
            <v>攻撃力UP</v>
          </cell>
          <cell r="D202" t="str">
            <v>自身の攻撃力を300UP</v>
          </cell>
        </row>
        <row r="203">
          <cell r="A203">
            <v>2701</v>
          </cell>
          <cell r="B203" t="str">
            <v>ja</v>
          </cell>
          <cell r="C203" t="str">
            <v>攻撃力UP</v>
          </cell>
          <cell r="D203" t="str">
            <v>自身の攻撃力を500UP</v>
          </cell>
        </row>
        <row r="204">
          <cell r="A204">
            <v>2800</v>
          </cell>
          <cell r="B204" t="str">
            <v>ja</v>
          </cell>
          <cell r="C204" t="str">
            <v>防御力UP</v>
          </cell>
          <cell r="D204" t="str">
            <v>自身の防御力を250UP</v>
          </cell>
        </row>
        <row r="205">
          <cell r="A205">
            <v>2801</v>
          </cell>
          <cell r="B205" t="str">
            <v>ja</v>
          </cell>
          <cell r="C205" t="str">
            <v>防御力UP</v>
          </cell>
          <cell r="D205" t="str">
            <v>自身の防御力を350UP</v>
          </cell>
        </row>
        <row r="206">
          <cell r="A206">
            <v>2802</v>
          </cell>
          <cell r="B206" t="str">
            <v>ja</v>
          </cell>
          <cell r="C206" t="str">
            <v>防御力UP</v>
          </cell>
          <cell r="D206" t="str">
            <v>自身の防御力を300UP</v>
          </cell>
        </row>
        <row r="207">
          <cell r="A207">
            <v>2803</v>
          </cell>
          <cell r="B207" t="str">
            <v>ja</v>
          </cell>
          <cell r="C207" t="str">
            <v>防御力UP</v>
          </cell>
          <cell r="D207" t="str">
            <v>自身の防御力を400UP</v>
          </cell>
        </row>
        <row r="208">
          <cell r="A208">
            <v>2804</v>
          </cell>
          <cell r="B208" t="str">
            <v>ja</v>
          </cell>
          <cell r="C208" t="str">
            <v>防御力UP</v>
          </cell>
          <cell r="D208" t="str">
            <v>自身の防御力を280UP</v>
          </cell>
        </row>
        <row r="209">
          <cell r="A209">
            <v>2900</v>
          </cell>
          <cell r="B209" t="str">
            <v>ja</v>
          </cell>
          <cell r="C209" t="str">
            <v>フィーバー50 攻撃力小UP</v>
          </cell>
          <cell r="D209" t="str">
            <v>フィーバーゲージが50％以上の時、自身の攻撃力小UP</v>
          </cell>
        </row>
        <row r="210">
          <cell r="A210">
            <v>2901</v>
          </cell>
          <cell r="B210" t="str">
            <v>ja</v>
          </cell>
          <cell r="C210" t="str">
            <v>フィーバー40 攻撃力UP</v>
          </cell>
          <cell r="D210" t="str">
            <v>フィーバーゲージが40％以上の時、自身の攻撃力UP</v>
          </cell>
        </row>
        <row r="211">
          <cell r="A211">
            <v>2902</v>
          </cell>
          <cell r="B211" t="str">
            <v>ja</v>
          </cell>
          <cell r="C211" t="str">
            <v>フィーバー80 攻撃力大UP</v>
          </cell>
          <cell r="D211" t="str">
            <v>フィーバーゲージが80％以上の時、自身の攻撃力大UP</v>
          </cell>
        </row>
        <row r="212">
          <cell r="A212">
            <v>3000</v>
          </cell>
          <cell r="B212" t="str">
            <v>ja</v>
          </cell>
          <cell r="C212" t="str">
            <v>攻撃参加</v>
          </cell>
          <cell r="D212" t="str">
            <v>最初の1ターン目と、その後7ターン毎に自身が先頭以外でも通常攻撃に参加する</v>
          </cell>
        </row>
        <row r="213">
          <cell r="A213">
            <v>3001</v>
          </cell>
          <cell r="B213" t="str">
            <v>ja</v>
          </cell>
          <cell r="C213" t="str">
            <v>攻撃参加</v>
          </cell>
          <cell r="D213" t="str">
            <v>最初の1ターン目と、その後6ターン毎に自身が先頭以外でも通常攻撃に参加する</v>
          </cell>
        </row>
        <row r="214">
          <cell r="A214">
            <v>3002</v>
          </cell>
          <cell r="B214" t="str">
            <v>ja</v>
          </cell>
          <cell r="C214" t="str">
            <v>攻撃参加</v>
          </cell>
          <cell r="D214" t="str">
            <v>最初の1ターン目と、その後9ターン毎に自身が先頭以外でも通常攻撃に参加する</v>
          </cell>
        </row>
        <row r="215">
          <cell r="A215">
            <v>3100</v>
          </cell>
          <cell r="B215" t="str">
            <v>ja</v>
          </cell>
          <cell r="C215" t="str">
            <v>ボスフロア Cパネル生成短縮(特大)</v>
          </cell>
          <cell r="D215" t="str">
            <v>ボスフロア内で自身が先頭の時、Cパネル生成に必要なチェイン数を短縮する</v>
          </cell>
        </row>
        <row r="216">
          <cell r="A216">
            <v>3101</v>
          </cell>
          <cell r="B216" t="str">
            <v>ja</v>
          </cell>
          <cell r="C216" t="str">
            <v>ボスフロア時 バリア8000</v>
          </cell>
          <cell r="D216" t="str">
            <v>ボスフロアの1ターン目終了時に自身への直接ダメージを8000まで防ぐバリアを一度だけ展開(バリアは破壊されると復活しない)</v>
          </cell>
        </row>
        <row r="217">
          <cell r="A217">
            <v>3102</v>
          </cell>
          <cell r="B217" t="str">
            <v>ja</v>
          </cell>
          <cell r="C217" t="str">
            <v>ボスフロア時 Cスキル威力UP</v>
          </cell>
          <cell r="D217" t="str">
            <v>ボスフロアの1ターン目終了時に自身のCスキルの威力をUP</v>
          </cell>
        </row>
        <row r="218">
          <cell r="A218">
            <v>3103</v>
          </cell>
          <cell r="B218" t="str">
            <v>ja</v>
          </cell>
          <cell r="C218" t="str">
            <v>ボスフロア 攻撃力UP</v>
          </cell>
          <cell r="D218" t="str">
            <v>ボスフロア内で自身の攻撃力を700UP</v>
          </cell>
        </row>
        <row r="219">
          <cell r="A219">
            <v>3200</v>
          </cell>
          <cell r="B219" t="str">
            <v>ja</v>
          </cell>
          <cell r="C219" t="str">
            <v>HP33%以下 攻撃力UP</v>
          </cell>
          <cell r="D219" t="str">
            <v>自身が先頭の時、残りHPが33%以下で攻撃力特大UP</v>
          </cell>
        </row>
        <row r="220">
          <cell r="A220">
            <v>3201</v>
          </cell>
          <cell r="B220" t="str">
            <v>ja</v>
          </cell>
          <cell r="C220" t="str">
            <v>HP35%以下 回復力UP</v>
          </cell>
          <cell r="D220" t="str">
            <v>自身が先頭の時、残りHPが35%以下で回復力40%UP</v>
          </cell>
        </row>
        <row r="221">
          <cell r="A221">
            <v>3202</v>
          </cell>
          <cell r="B221" t="str">
            <v>ja</v>
          </cell>
          <cell r="C221" t="str">
            <v>HP90%以上 全属性耐性15</v>
          </cell>
          <cell r="D221" t="str">
            <v>自身が先頭の時、残りHPが90%以上で全ユニットに対する全属性の敵からの攻撃を15％軽減</v>
          </cell>
        </row>
        <row r="222">
          <cell r="A222">
            <v>3203</v>
          </cell>
          <cell r="B222" t="str">
            <v>ja</v>
          </cell>
          <cell r="C222" t="str">
            <v>HP50%以下 防御力UP</v>
          </cell>
          <cell r="D222" t="str">
            <v>自身が先頭の時、残りHPが50%以下で防御力398UP</v>
          </cell>
        </row>
        <row r="223">
          <cell r="A223">
            <v>3204</v>
          </cell>
          <cell r="B223" t="str">
            <v>ja</v>
          </cell>
          <cell r="C223" t="str">
            <v>HP30%以下 攻撃力30%UP</v>
          </cell>
          <cell r="D223" t="str">
            <v>自身が先頭の時、残りHPが30%以下で攻撃力30%UP</v>
          </cell>
        </row>
        <row r="224">
          <cell r="A224">
            <v>9000</v>
          </cell>
          <cell r="B224" t="str">
            <v>ja</v>
          </cell>
          <cell r="C224" t="str">
            <v>ハップルチャレンジ ダメージUP</v>
          </cell>
          <cell r="D224" t="str">
            <v>ハップルチャレンジ内で自身の全ての攻撃の威力をUP</v>
          </cell>
        </row>
        <row r="225">
          <cell r="A225">
            <v>9001</v>
          </cell>
          <cell r="B225" t="str">
            <v>ja</v>
          </cell>
          <cell r="C225" t="str">
            <v>クロネッカーチャレンジ ダメージUP</v>
          </cell>
          <cell r="D225" t="str">
            <v>クロネッカーチャレンジ内で自身の全ての攻撃の威力をUP</v>
          </cell>
        </row>
        <row r="226">
          <cell r="A226">
            <v>9002</v>
          </cell>
          <cell r="B226" t="str">
            <v>ja</v>
          </cell>
          <cell r="C226" t="str">
            <v>クロネッカーチャレンジ ダメージUP</v>
          </cell>
          <cell r="D226" t="str">
            <v>クロネッカーチャレンジ内で自身の全ての攻撃+カウンターの威力をUP</v>
          </cell>
        </row>
        <row r="227">
          <cell r="A227">
            <v>119402</v>
          </cell>
          <cell r="B227" t="str">
            <v>ja</v>
          </cell>
          <cell r="C227" t="str">
            <v>ハロウィンナイトパニック！ 威力UP</v>
          </cell>
          <cell r="D227" t="str">
            <v>ハロウィンナイトパニック！内で自身の全ての攻撃の威力を究極UP</v>
          </cell>
        </row>
        <row r="228">
          <cell r="A228">
            <v>808082</v>
          </cell>
          <cell r="B228" t="str">
            <v>ja</v>
          </cell>
          <cell r="C228" t="str">
            <v>Cパネルドロップ</v>
          </cell>
          <cell r="D228" t="str">
            <v>自身が先頭の時、低確率でCパネルをドロップ</v>
          </cell>
        </row>
        <row r="229">
          <cell r="A229">
            <v>500801</v>
          </cell>
          <cell r="B229" t="str">
            <v>ja</v>
          </cell>
          <cell r="C229" t="str">
            <v>パネルブレイク35 攻撃力小UP</v>
          </cell>
          <cell r="D229" t="str">
            <v>自身が先頭の時、1ターンの間に合計35個以上パネルを破壊した場合に攻撃力小UP</v>
          </cell>
        </row>
        <row r="230">
          <cell r="A230">
            <v>2502</v>
          </cell>
          <cell r="B230" t="str">
            <v>ja</v>
          </cell>
          <cell r="C230" t="str">
            <v>赤パネルドロップ</v>
          </cell>
          <cell r="D230" t="str">
            <v>自身が先頭の時、黄パネルを確率で赤パネルに変換しドロップ</v>
          </cell>
        </row>
        <row r="231">
          <cell r="A231">
            <v>2503</v>
          </cell>
          <cell r="B231" t="str">
            <v>ja</v>
          </cell>
          <cell r="C231" t="str">
            <v>黄パネルドロップ</v>
          </cell>
          <cell r="D231" t="str">
            <v>自身が先頭の時、赤パネルを確率で黄パネルに変換しドロップ</v>
          </cell>
        </row>
        <row r="232">
          <cell r="A232">
            <v>2504</v>
          </cell>
          <cell r="B232" t="str">
            <v>ja</v>
          </cell>
          <cell r="C232" t="str">
            <v>SCパネルドロップ</v>
          </cell>
          <cell r="D232" t="str">
            <v>自身が先頭の時、緑パネルを確率でSCパネルに変換しドロップ</v>
          </cell>
        </row>
        <row r="233">
          <cell r="A233">
            <v>2505</v>
          </cell>
          <cell r="B233" t="str">
            <v>ja</v>
          </cell>
          <cell r="C233" t="str">
            <v>緑ボムパネル(大)ドロップ</v>
          </cell>
          <cell r="D233" t="str">
            <v>自身が先頭の時、低確率で緑ボムパネル(大)をドロップ</v>
          </cell>
        </row>
        <row r="234">
          <cell r="A234">
            <v>2506</v>
          </cell>
          <cell r="B234" t="str">
            <v>ja</v>
          </cell>
          <cell r="C234" t="str">
            <v>ハートボムパネル(大)ドロップ</v>
          </cell>
          <cell r="D234" t="str">
            <v>自身が先頭の時、低確率でハートボムパネル(大)をドロップ</v>
          </cell>
        </row>
        <row r="235">
          <cell r="A235">
            <v>2507</v>
          </cell>
          <cell r="B235" t="str">
            <v>ja</v>
          </cell>
          <cell r="C235" t="str">
            <v>Cパネルドロップ</v>
          </cell>
          <cell r="D235" t="str">
            <v>自身が先頭の時、低確率でCパネルをドロップ</v>
          </cell>
        </row>
        <row r="236">
          <cell r="A236">
            <v>2508</v>
          </cell>
          <cell r="B236" t="str">
            <v>ja</v>
          </cell>
          <cell r="C236" t="str">
            <v>黄パネルドロップ</v>
          </cell>
          <cell r="D236" t="str">
            <v>自身が先頭の時、緑パネルを確率で黄パネルに変換しドロップ</v>
          </cell>
        </row>
        <row r="237">
          <cell r="A237">
            <v>2509</v>
          </cell>
          <cell r="B237" t="str">
            <v>ja</v>
          </cell>
          <cell r="C237" t="str">
            <v>赤ボムパネル(大)ドロップ</v>
          </cell>
          <cell r="D237" t="str">
            <v>自身が先頭の時、低確率で赤ボムパネル(大)をドロップ</v>
          </cell>
        </row>
        <row r="238">
          <cell r="A238">
            <v>2510</v>
          </cell>
          <cell r="B238" t="str">
            <v>ja</v>
          </cell>
          <cell r="C238" t="str">
            <v>青ボムパネル(大)ドロップ</v>
          </cell>
          <cell r="D238" t="str">
            <v>自身が先頭の時、低確率で青ボムパネル(大)をドロップ</v>
          </cell>
        </row>
        <row r="239">
          <cell r="A239">
            <v>2511</v>
          </cell>
          <cell r="B239" t="str">
            <v>ja</v>
          </cell>
          <cell r="C239" t="str">
            <v>緑ボムパネルドロップ</v>
          </cell>
          <cell r="D239" t="str">
            <v>自身が先頭の時、ハートパネルを確率で緑ボムパネルに変換しドロップ</v>
          </cell>
        </row>
        <row r="240">
          <cell r="A240">
            <v>2512</v>
          </cell>
          <cell r="B240" t="str">
            <v>ja</v>
          </cell>
          <cell r="C240" t="str">
            <v>ハートボムパネル(大)ドロップ</v>
          </cell>
          <cell r="D240" t="str">
            <v>自身が先頭の時、低確率でハートボムパネル(大)をドロップ</v>
          </cell>
        </row>
        <row r="241">
          <cell r="A241">
            <v>2513</v>
          </cell>
          <cell r="B241" t="str">
            <v>ja</v>
          </cell>
          <cell r="C241" t="str">
            <v>緑ボムパネル(大)ドロップ</v>
          </cell>
          <cell r="D241" t="str">
            <v>自身が先頭の時、低確率で緑ボムパネル(大)をドロップ</v>
          </cell>
        </row>
        <row r="242">
          <cell r="A242">
            <v>2514</v>
          </cell>
          <cell r="B242" t="str">
            <v>ja</v>
          </cell>
          <cell r="C242" t="str">
            <v>赤ボムパネルドロップ</v>
          </cell>
          <cell r="D242" t="str">
            <v>自身が先頭の時、青パネルを低確率で赤ボムパネルに変換しドロップ</v>
          </cell>
        </row>
        <row r="243">
          <cell r="A243">
            <v>2515</v>
          </cell>
          <cell r="B243" t="str">
            <v>ja</v>
          </cell>
          <cell r="C243" t="str">
            <v>テクニカルタイプ Cパネルドロップ</v>
          </cell>
          <cell r="D243" t="str">
            <v>テクニカルが先頭の時、低確率でCパネルをドロップ</v>
          </cell>
        </row>
        <row r="244">
          <cell r="A244">
            <v>2600</v>
          </cell>
          <cell r="B244" t="str">
            <v>ja</v>
          </cell>
          <cell r="C244" t="str">
            <v>回復力400UP</v>
          </cell>
          <cell r="D244" t="str">
            <v>自身の回復力を400UP</v>
          </cell>
        </row>
        <row r="245">
          <cell r="A245">
            <v>2601</v>
          </cell>
          <cell r="B245" t="str">
            <v>ja</v>
          </cell>
          <cell r="C245" t="str">
            <v>回復力300UP</v>
          </cell>
          <cell r="D245" t="str">
            <v>自身の回復力を300UP</v>
          </cell>
        </row>
        <row r="246">
          <cell r="A246">
            <v>2700</v>
          </cell>
          <cell r="B246" t="str">
            <v>ja</v>
          </cell>
          <cell r="C246" t="str">
            <v>攻撃力UP</v>
          </cell>
          <cell r="D246" t="str">
            <v>自身の攻撃力を300UP</v>
          </cell>
        </row>
        <row r="247">
          <cell r="A247">
            <v>2701</v>
          </cell>
          <cell r="B247" t="str">
            <v>ja</v>
          </cell>
          <cell r="C247" t="str">
            <v>攻撃力UP</v>
          </cell>
          <cell r="D247" t="str">
            <v>自身の攻撃力を500UP</v>
          </cell>
        </row>
        <row r="248">
          <cell r="A248">
            <v>2800</v>
          </cell>
          <cell r="B248" t="str">
            <v>ja</v>
          </cell>
          <cell r="C248" t="str">
            <v>防御力UP</v>
          </cell>
          <cell r="D248" t="str">
            <v>自身の防御力を250UP</v>
          </cell>
        </row>
        <row r="249">
          <cell r="A249">
            <v>2801</v>
          </cell>
          <cell r="B249" t="str">
            <v>ja</v>
          </cell>
          <cell r="C249" t="str">
            <v>防御力UP</v>
          </cell>
          <cell r="D249" t="str">
            <v>自身の防御力を350UP</v>
          </cell>
        </row>
        <row r="250">
          <cell r="A250">
            <v>2802</v>
          </cell>
          <cell r="B250" t="str">
            <v>ja</v>
          </cell>
          <cell r="C250" t="str">
            <v>防御力UP</v>
          </cell>
          <cell r="D250" t="str">
            <v>自身の防御力を300UP</v>
          </cell>
        </row>
        <row r="251">
          <cell r="A251">
            <v>2803</v>
          </cell>
          <cell r="B251" t="str">
            <v>ja</v>
          </cell>
          <cell r="C251" t="str">
            <v>防御力UP</v>
          </cell>
          <cell r="D251" t="str">
            <v>自身の防御力を400UP</v>
          </cell>
        </row>
        <row r="252">
          <cell r="A252">
            <v>2804</v>
          </cell>
          <cell r="B252" t="str">
            <v>ja</v>
          </cell>
          <cell r="C252" t="str">
            <v>防御力UP</v>
          </cell>
          <cell r="D252" t="str">
            <v>自身の防御力を280UP</v>
          </cell>
        </row>
        <row r="253">
          <cell r="A253">
            <v>2805</v>
          </cell>
          <cell r="B253" t="str">
            <v>ja</v>
          </cell>
          <cell r="C253" t="str">
            <v>3ターン毎、防御力UP</v>
          </cell>
          <cell r="D253" t="str">
            <v>最初の1ターン目と、その後3ターン毎に1ターン緑属性ユニットの防御力を500UP</v>
          </cell>
        </row>
        <row r="254">
          <cell r="A254">
            <v>2900</v>
          </cell>
          <cell r="B254" t="str">
            <v>ja</v>
          </cell>
          <cell r="C254" t="str">
            <v>フィーバー50 攻撃力小UP</v>
          </cell>
          <cell r="D254" t="str">
            <v>フィーバーゲージが50％以上の時、自身の攻撃力小UP</v>
          </cell>
        </row>
        <row r="255">
          <cell r="A255">
            <v>2901</v>
          </cell>
          <cell r="B255" t="str">
            <v>ja</v>
          </cell>
          <cell r="C255" t="str">
            <v>フィーバー40 攻撃力UP</v>
          </cell>
          <cell r="D255" t="str">
            <v>フィーバーゲージが40％以上の時、自身の攻撃力UP</v>
          </cell>
        </row>
        <row r="256">
          <cell r="A256">
            <v>2902</v>
          </cell>
          <cell r="B256" t="str">
            <v>ja</v>
          </cell>
          <cell r="C256" t="str">
            <v>フィーバー80 攻撃力大UP</v>
          </cell>
          <cell r="D256" t="str">
            <v>フィーバーゲージが80％以上の時、自身の攻撃力大UP</v>
          </cell>
        </row>
        <row r="257">
          <cell r="A257">
            <v>2903</v>
          </cell>
          <cell r="B257" t="str">
            <v>ja</v>
          </cell>
          <cell r="C257" t="str">
            <v>フィーバー100 攻撃参加</v>
          </cell>
          <cell r="D257" t="str">
            <v>フィーバーゲージが100％の時、自身が先頭以外でも通常攻撃に参加する</v>
          </cell>
        </row>
        <row r="258">
          <cell r="A258">
            <v>2904</v>
          </cell>
          <cell r="B258" t="str">
            <v>ja</v>
          </cell>
          <cell r="C258" t="str">
            <v>フィーバー70 HP回復</v>
          </cell>
          <cell r="D258" t="str">
            <v>フィーバーゲージが70%以上の時、毎ターン終了時、HPを1500回復する</v>
          </cell>
        </row>
        <row r="259">
          <cell r="A259">
            <v>2905</v>
          </cell>
          <cell r="B259" t="str">
            <v>ja</v>
          </cell>
          <cell r="C259" t="str">
            <v>フィーバー100 Cパネル生成短縮</v>
          </cell>
          <cell r="D259" t="str">
            <v>フィーバーゲージが100％の時、全ユニットのCパネル生成に必要なチェイン数を1短縮する</v>
          </cell>
        </row>
        <row r="260">
          <cell r="A260">
            <v>2906</v>
          </cell>
          <cell r="B260" t="str">
            <v>ja</v>
          </cell>
          <cell r="C260" t="str">
            <v>フィーバー100 HP1000回復</v>
          </cell>
          <cell r="D260" t="str">
            <v>フィーバーゲージが100%以上の時、毎ターン終了時、HPを1000回復する</v>
          </cell>
        </row>
        <row r="261">
          <cell r="A261">
            <v>2907</v>
          </cell>
          <cell r="B261" t="str">
            <v>ja</v>
          </cell>
          <cell r="C261" t="str">
            <v>フィーバー100 タップ回数UP</v>
          </cell>
          <cell r="D261" t="str">
            <v>フィーバーゲージが100％以上の時、自身のタップ回数を1増加</v>
          </cell>
        </row>
        <row r="262">
          <cell r="A262">
            <v>3000</v>
          </cell>
          <cell r="B262" t="str">
            <v>ja</v>
          </cell>
          <cell r="C262" t="str">
            <v>7ターン毎、攻撃参加</v>
          </cell>
          <cell r="D262" t="str">
            <v>最初の1ターン目と、その後7ターン毎に自身が先頭以外でも通常攻撃に参加する</v>
          </cell>
        </row>
        <row r="263">
          <cell r="A263">
            <v>3001</v>
          </cell>
          <cell r="B263" t="str">
            <v>ja</v>
          </cell>
          <cell r="C263" t="str">
            <v>6ターン毎、攻撃参加</v>
          </cell>
          <cell r="D263" t="str">
            <v>最初の1ターン目と、その後6ターン毎に自身が先頭以外でも通常攻撃に参加する</v>
          </cell>
        </row>
        <row r="264">
          <cell r="A264">
            <v>3002</v>
          </cell>
          <cell r="B264" t="str">
            <v>ja</v>
          </cell>
          <cell r="C264" t="str">
            <v>9ターン毎、攻撃参加</v>
          </cell>
          <cell r="D264" t="str">
            <v>最初の1ターン目と、その後9ターン毎に自身が先頭以外でも通常攻撃に参加する</v>
          </cell>
        </row>
        <row r="265">
          <cell r="A265">
            <v>3100</v>
          </cell>
          <cell r="B265" t="str">
            <v>ja</v>
          </cell>
          <cell r="C265" t="str">
            <v>最終フロア Cパネル生成短縮(特大)</v>
          </cell>
          <cell r="D265" t="str">
            <v>最終フロア内で自身が先頭の時、Cパネル生成に必要なチェイン数を4短縮する</v>
          </cell>
        </row>
        <row r="266">
          <cell r="A266">
            <v>3101</v>
          </cell>
          <cell r="B266" t="str">
            <v>ja</v>
          </cell>
          <cell r="C266" t="str">
            <v>最終フロア バリア3000</v>
          </cell>
          <cell r="D266" t="str">
            <v>最終フロア到達時に自身への直接ダメージを3000まで防ぐバリアを一度だけ展開(バリアは破壊されると復活しない)</v>
          </cell>
        </row>
        <row r="267">
          <cell r="A267">
            <v>3102</v>
          </cell>
          <cell r="B267" t="str">
            <v>ja</v>
          </cell>
          <cell r="C267" t="str">
            <v>最終フロア時 Cスキル威力UP</v>
          </cell>
          <cell r="D267" t="str">
            <v>最終フロアの1ターン目終了時に自身のCスキルの威力をUP</v>
          </cell>
        </row>
        <row r="268">
          <cell r="A268">
            <v>3103</v>
          </cell>
          <cell r="B268" t="str">
            <v>ja</v>
          </cell>
          <cell r="C268" t="str">
            <v>最終フロア 攻撃力UP</v>
          </cell>
          <cell r="D268" t="str">
            <v>最終フロア内で自身の攻撃力を700UP</v>
          </cell>
        </row>
        <row r="269">
          <cell r="A269">
            <v>3104</v>
          </cell>
          <cell r="B269" t="str">
            <v>ja</v>
          </cell>
          <cell r="C269" t="str">
            <v>最終フロア時 バリア5000</v>
          </cell>
          <cell r="D269" t="str">
            <v>最終フロア到達時に自身への直接ダメージを5000まで防ぐバリアを一度だけ展開(バリアは破壊されると復活しない)</v>
          </cell>
        </row>
        <row r="270">
          <cell r="A270">
            <v>3105</v>
          </cell>
          <cell r="B270" t="str">
            <v>ja</v>
          </cell>
          <cell r="C270" t="str">
            <v>最終フロア時 バリア7000</v>
          </cell>
          <cell r="D270" t="str">
            <v>最終フロア到達時に自身への直接ダメージを7000まで防ぐバリアを一度だけ展開(バリアは破壊されると復活しない)</v>
          </cell>
        </row>
        <row r="271">
          <cell r="A271">
            <v>3106</v>
          </cell>
          <cell r="B271" t="str">
            <v>ja</v>
          </cell>
          <cell r="C271" t="str">
            <v>最終フロア HP回復</v>
          </cell>
          <cell r="D271" t="str">
            <v>最終フロアの毎ターン終了時、パーティの合計HPの5%を回復</v>
          </cell>
        </row>
        <row r="272">
          <cell r="A272">
            <v>3107</v>
          </cell>
          <cell r="B272" t="str">
            <v>ja</v>
          </cell>
          <cell r="C272" t="str">
            <v>各フロア タップ回数UP</v>
          </cell>
          <cell r="D272" t="str">
            <v>各フロアの開始時、1ターン全ユニットのタップ回数1増加</v>
          </cell>
        </row>
        <row r="273">
          <cell r="A273">
            <v>3108</v>
          </cell>
          <cell r="B273" t="str">
            <v>ja</v>
          </cell>
          <cell r="C273" t="str">
            <v>最終フロア時 バリア10000</v>
          </cell>
          <cell r="D273" t="str">
            <v>最終フロア到達時に自身への直接ダメージを10000まで防ぐバリアを一度だけ展開(バリアは破壊されると復活しない)</v>
          </cell>
        </row>
        <row r="274">
          <cell r="A274">
            <v>3109</v>
          </cell>
          <cell r="B274" t="str">
            <v>ja</v>
          </cell>
          <cell r="C274" t="str">
            <v>最終フロア 赤ボムパネルドロップ</v>
          </cell>
          <cell r="D274" t="str">
            <v>最終フロア内で青パネルを低確率で赤ボムパネルに変換しドロップ</v>
          </cell>
        </row>
        <row r="275">
          <cell r="A275">
            <v>3200</v>
          </cell>
          <cell r="B275" t="str">
            <v>ja</v>
          </cell>
          <cell r="C275" t="str">
            <v>HP33%以下 攻撃力UP</v>
          </cell>
          <cell r="D275" t="str">
            <v>自身が先頭の時、残りHPが33%以下で攻撃力特大UP</v>
          </cell>
        </row>
        <row r="276">
          <cell r="A276">
            <v>3201</v>
          </cell>
          <cell r="B276" t="str">
            <v>ja</v>
          </cell>
          <cell r="C276" t="str">
            <v>HP35%以下 回復力UP</v>
          </cell>
          <cell r="D276" t="str">
            <v>自身が先頭の時、残りHPが35%以下で回復力40%UP</v>
          </cell>
        </row>
        <row r="277">
          <cell r="A277">
            <v>3202</v>
          </cell>
          <cell r="B277" t="str">
            <v>ja</v>
          </cell>
          <cell r="C277" t="str">
            <v>HP90%以上 全属性耐性15</v>
          </cell>
          <cell r="D277" t="str">
            <v>自身が先頭の時、残りHPが90%以上で全ユニットに対する全属性の敵からの攻撃を15％軽減</v>
          </cell>
        </row>
        <row r="278">
          <cell r="A278">
            <v>3203</v>
          </cell>
          <cell r="B278" t="str">
            <v>ja</v>
          </cell>
          <cell r="C278" t="str">
            <v>HP50%以下 防御力UP</v>
          </cell>
          <cell r="D278" t="str">
            <v>自身が先頭の時、残りHPが50%以下で防御力398UP</v>
          </cell>
        </row>
        <row r="279">
          <cell r="A279">
            <v>3204</v>
          </cell>
          <cell r="B279" t="str">
            <v>ja</v>
          </cell>
          <cell r="C279" t="str">
            <v>HP30%以下 攻撃力大UP</v>
          </cell>
          <cell r="D279" t="str">
            <v>自身が先頭の時、残りHPが30%以下で攻撃力大UP</v>
          </cell>
        </row>
        <row r="280">
          <cell r="A280">
            <v>3205</v>
          </cell>
          <cell r="B280" t="str">
            <v>ja</v>
          </cell>
          <cell r="C280" t="str">
            <v>HP90%以上 ダメージ軽減</v>
          </cell>
          <cell r="D280" t="str">
            <v>残りHPが90%以上の時、全ユニットが敵からの攻撃を15％軽減</v>
          </cell>
        </row>
        <row r="281">
          <cell r="A281">
            <v>3206</v>
          </cell>
          <cell r="B281" t="str">
            <v>ja</v>
          </cell>
          <cell r="C281" t="str">
            <v>HP30%以下 回復力UP</v>
          </cell>
          <cell r="D281" t="str">
            <v>残りHPが30%以下の時、全ユニットの回復力20%UP</v>
          </cell>
        </row>
        <row r="282">
          <cell r="A282">
            <v>3207</v>
          </cell>
          <cell r="B282" t="str">
            <v>ja</v>
          </cell>
          <cell r="C282" t="str">
            <v>HP50%以下 回復力UP</v>
          </cell>
          <cell r="D282" t="str">
            <v>残りHPが50%以下の時、全ユニットの回復力365UP</v>
          </cell>
        </row>
        <row r="283">
          <cell r="A283">
            <v>3208</v>
          </cell>
          <cell r="B283" t="str">
            <v>ja</v>
          </cell>
          <cell r="C283" t="str">
            <v>HP35%以下 防御力UP</v>
          </cell>
          <cell r="D283" t="str">
            <v>残りHPが35%以下の時、自身の防御力800UP</v>
          </cell>
        </row>
        <row r="284">
          <cell r="A284">
            <v>3209</v>
          </cell>
          <cell r="B284" t="str">
            <v>ja</v>
          </cell>
          <cell r="C284" t="str">
            <v>HP80%以下 攻撃力大UP</v>
          </cell>
          <cell r="D284" t="str">
            <v>残りHPが80%以下の時、自身の攻撃力大UP</v>
          </cell>
        </row>
        <row r="285">
          <cell r="A285">
            <v>3210</v>
          </cell>
          <cell r="B285" t="str">
            <v>ja</v>
          </cell>
          <cell r="C285" t="str">
            <v>HP75%以下 Cパネル生成短縮</v>
          </cell>
          <cell r="D285" t="str">
            <v>残りHPが75%以下の時、自身の攻撃力大UP</v>
          </cell>
        </row>
        <row r="286">
          <cell r="A286">
            <v>4000</v>
          </cell>
          <cell r="B286" t="str">
            <v>ja</v>
          </cell>
          <cell r="C286" t="str">
            <v>被ダメージ時 HP回復</v>
          </cell>
          <cell r="D286" t="str">
            <v>自身が攻撃を受けた場合、次のターンの開始時にHP500回復する</v>
          </cell>
        </row>
        <row r="287">
          <cell r="A287">
            <v>5000</v>
          </cell>
          <cell r="B287" t="str">
            <v>ja</v>
          </cell>
          <cell r="C287" t="str">
            <v>パーティー内ゴッド 攻撃力UP</v>
          </cell>
          <cell r="D287" t="str">
            <v>パーティー内に種族ゴッドがいる時、全ユニットの攻撃力を500UP</v>
          </cell>
        </row>
        <row r="288">
          <cell r="A288">
            <v>5001</v>
          </cell>
          <cell r="B288" t="str">
            <v>ja</v>
          </cell>
          <cell r="C288" t="str">
            <v>パーティー内バランス 回復力UP</v>
          </cell>
          <cell r="D288" t="str">
            <v>パーティー内にバランスタイプがいる時、全ユニットの回復力を500UP</v>
          </cell>
        </row>
        <row r="289">
          <cell r="A289">
            <v>5002</v>
          </cell>
          <cell r="B289" t="str">
            <v>ja</v>
          </cell>
          <cell r="C289" t="str">
            <v>パーティー内青属性 攻撃力UP</v>
          </cell>
          <cell r="D289" t="str">
            <v>パーティー内に青属性ユニットがいる時、全ユニットの攻撃力を700UP</v>
          </cell>
        </row>
        <row r="290">
          <cell r="A290">
            <v>5003</v>
          </cell>
          <cell r="B290" t="str">
            <v>ja</v>
          </cell>
          <cell r="C290" t="str">
            <v>パーティー内赤属性 自身攻撃力UP</v>
          </cell>
          <cell r="D290" t="str">
            <v>パーティー内に赤属性ユニットがいる時、自身の攻撃力を1500UP</v>
          </cell>
        </row>
        <row r="291">
          <cell r="A291">
            <v>8000</v>
          </cell>
          <cell r="B291" t="str">
            <v>ja</v>
          </cell>
          <cell r="C291" t="str">
            <v>ユニットが一番右にいるとき 攻撃力UP</v>
          </cell>
          <cell r="D291" t="str">
            <v>自身が一番右にいる場合、全ユニットの攻撃力UP</v>
          </cell>
        </row>
        <row r="292">
          <cell r="A292">
            <v>8001</v>
          </cell>
          <cell r="B292" t="str">
            <v>ja</v>
          </cell>
          <cell r="C292" t="str">
            <v>敵に青属性がいる場合 小カウンター</v>
          </cell>
          <cell r="D292" t="str">
            <v>敵に青属性がいる場合、小カウンター</v>
          </cell>
        </row>
        <row r="293">
          <cell r="A293">
            <v>8002</v>
          </cell>
          <cell r="B293" t="str">
            <v>ja</v>
          </cell>
          <cell r="C293" t="str">
            <v>テスト</v>
          </cell>
          <cell r="D293" t="str">
            <v>フロアスタート時、1ターン全ユニットの攻撃力UP</v>
          </cell>
        </row>
        <row r="294">
          <cell r="A294">
            <v>8003</v>
          </cell>
          <cell r="B294" t="str">
            <v>ja</v>
          </cell>
          <cell r="C294" t="str">
            <v>HP70%以上 ウィルス無効</v>
          </cell>
          <cell r="D294" t="str">
            <v>残りHPが70%以上で自身にかかるウィルスを無効化する</v>
          </cell>
        </row>
        <row r="295">
          <cell r="A295">
            <v>8004</v>
          </cell>
          <cell r="B295" t="str">
            <v>ja</v>
          </cell>
          <cell r="C295" t="str">
            <v>フロアスタート時 スキルブースト</v>
          </cell>
          <cell r="D295" t="str">
            <v>フロアスタート時、1ターンスキルブースト</v>
          </cell>
        </row>
        <row r="296">
          <cell r="A296">
            <v>8005</v>
          </cell>
          <cell r="B296" t="str">
            <v>ja</v>
          </cell>
          <cell r="C296" t="str">
            <v>ハートがハートボム大</v>
          </cell>
          <cell r="D296" t="str">
            <v>ハートがハートボム大</v>
          </cell>
        </row>
        <row r="297">
          <cell r="A297">
            <v>8006</v>
          </cell>
          <cell r="B297" t="str">
            <v>ja</v>
          </cell>
          <cell r="C297" t="str">
            <v>攻撃、回復、体力のCP短縮1</v>
          </cell>
          <cell r="D297" t="str">
            <v>攻撃、回復、体力のCP短縮1</v>
          </cell>
        </row>
        <row r="298">
          <cell r="A298">
            <v>8007</v>
          </cell>
          <cell r="B298" t="str">
            <v>ja</v>
          </cell>
          <cell r="C298" t="str">
            <v>自身の左ユニットが攻撃参加</v>
          </cell>
          <cell r="D298" t="str">
            <v>自身の左ユニットが攻撃参加</v>
          </cell>
        </row>
        <row r="299">
          <cell r="A299">
            <v>8008</v>
          </cell>
          <cell r="B299" t="str">
            <v>ja</v>
          </cell>
          <cell r="C299" t="str">
            <v>ターン経過回復力UP</v>
          </cell>
          <cell r="D299" t="str">
            <v>最初の1ターン目と、その後4ターン毎に2ターン全ユニットの回復力を1500UP</v>
          </cell>
        </row>
        <row r="300">
          <cell r="A300">
            <v>8009</v>
          </cell>
          <cell r="B300" t="str">
            <v>ja</v>
          </cell>
          <cell r="C300" t="str">
            <v>最終フロア Cパネル生成短縮(特大)</v>
          </cell>
          <cell r="D300" t="str">
            <v>最終フロア内で自身が先頭の時、Cパネル生成に必要なチェイン数を4短縮する</v>
          </cell>
        </row>
        <row r="301">
          <cell r="A301">
            <v>8010</v>
          </cell>
          <cell r="B301" t="str">
            <v>ja</v>
          </cell>
          <cell r="C301" t="str">
            <v>対Unknown&amp;青属性 ダメージUP</v>
          </cell>
          <cell r="D301" t="str">
            <v>自身の攻撃対象が種族Unknownで、青属性の場合全ての攻撃の威力をUP</v>
          </cell>
        </row>
        <row r="302">
          <cell r="A302">
            <v>8011</v>
          </cell>
          <cell r="B302" t="str">
            <v>ja</v>
          </cell>
          <cell r="C302" t="str">
            <v>対青属性 スリープ付与</v>
          </cell>
          <cell r="D302" t="str">
            <v>青属性を攻撃するとき、確率で1ターンスリープ付与</v>
          </cell>
        </row>
        <row r="303">
          <cell r="A303">
            <v>9000</v>
          </cell>
          <cell r="B303" t="str">
            <v>ja</v>
          </cell>
          <cell r="C303" t="str">
            <v>ハップルチャレンジ ダメージUP</v>
          </cell>
          <cell r="D303" t="str">
            <v>ハップルチャレンジ内で自身の全ての攻撃の威力をUP</v>
          </cell>
        </row>
        <row r="304">
          <cell r="A304">
            <v>9001</v>
          </cell>
          <cell r="B304" t="str">
            <v>ja</v>
          </cell>
          <cell r="C304" t="str">
            <v>クロネッカーチャレンジ ダメージUP</v>
          </cell>
          <cell r="D304" t="str">
            <v>クロネッカーチャレンジ内で自身の全ての攻撃の威力をUP</v>
          </cell>
        </row>
        <row r="305">
          <cell r="A305">
            <v>9002</v>
          </cell>
          <cell r="B305" t="str">
            <v>ja</v>
          </cell>
          <cell r="C305" t="str">
            <v>クロネッカーチャレンジ ダメージUP</v>
          </cell>
          <cell r="D305" t="str">
            <v>クロネッカーチャレンジ内で自身の全ての攻撃+カウンターの威力をUP</v>
          </cell>
        </row>
        <row r="306">
          <cell r="A306">
            <v>9003</v>
          </cell>
          <cell r="B306" t="str">
            <v>ja</v>
          </cell>
          <cell r="C306" t="str">
            <v>オイラーチャレンジ ダメージUP</v>
          </cell>
          <cell r="D306" t="str">
            <v>オイラーチャレンジ内で自身の全ての攻撃の威力をUP</v>
          </cell>
        </row>
        <row r="307">
          <cell r="A307">
            <v>9004</v>
          </cell>
          <cell r="B307" t="str">
            <v>ja</v>
          </cell>
          <cell r="C307" t="str">
            <v>オイラーチャレンジ ダメージ究極UP</v>
          </cell>
          <cell r="D307" t="str">
            <v>オイラーチャレンジ内で自身の全ての攻撃の威力を究極UP</v>
          </cell>
        </row>
        <row r="308">
          <cell r="A308">
            <v>9005</v>
          </cell>
          <cell r="B308" t="str">
            <v>ja</v>
          </cell>
          <cell r="C308" t="str">
            <v>ヘンペルチャレンジ ダメージUP</v>
          </cell>
          <cell r="D308" t="str">
            <v>ヘンペルチャレンジ内で自身の全ての攻撃の威力をUP</v>
          </cell>
        </row>
        <row r="309">
          <cell r="A309">
            <v>9006</v>
          </cell>
          <cell r="B309" t="str">
            <v>ja</v>
          </cell>
          <cell r="C309" t="str">
            <v>ヘンペルチャレンジ ダメージUP</v>
          </cell>
          <cell r="D309" t="str">
            <v>ヘンペルチャレンジ内で自身の全ての攻撃+カウンターの威力をUP</v>
          </cell>
        </row>
        <row r="310">
          <cell r="A310">
            <v>9007</v>
          </cell>
          <cell r="B310" t="str">
            <v>ja</v>
          </cell>
          <cell r="C310" t="str">
            <v>フロイトチャレンジ ダメージ究極UP</v>
          </cell>
          <cell r="D310" t="str">
            <v>フロイトチャレンジ内で自身の全ての攻撃の威力を究極UP</v>
          </cell>
        </row>
        <row r="311">
          <cell r="A311">
            <v>9008</v>
          </cell>
          <cell r="B311" t="str">
            <v>ja</v>
          </cell>
          <cell r="C311" t="str">
            <v>フロイトチャレンジ ダメージUP</v>
          </cell>
          <cell r="D311" t="str">
            <v>フロイトチャレンジ内で自身の全ての攻撃の威力をUP</v>
          </cell>
        </row>
        <row r="312">
          <cell r="A312">
            <v>9009</v>
          </cell>
          <cell r="B312" t="str">
            <v>ja</v>
          </cell>
          <cell r="C312" t="str">
            <v>フロイトチャレンジ ダメージUP</v>
          </cell>
          <cell r="D312" t="str">
            <v>フロイトチャレンジ内で自身の全ての攻撃+カウンターの威力をUP</v>
          </cell>
        </row>
        <row r="313">
          <cell r="A313">
            <v>9010</v>
          </cell>
          <cell r="B313" t="str">
            <v>ja</v>
          </cell>
          <cell r="C313" t="str">
            <v>ウエディングクエスト ダメージUP</v>
          </cell>
          <cell r="D313" t="str">
            <v>ウエディングクエスト内で自身の全ての攻撃の威力をUP</v>
          </cell>
        </row>
        <row r="314">
          <cell r="A314">
            <v>9011</v>
          </cell>
          <cell r="B314" t="str">
            <v>ja</v>
          </cell>
          <cell r="C314" t="str">
            <v>クリスマスクエストダメージ究極UP</v>
          </cell>
          <cell r="D314" t="str">
            <v>クリスマスクエスト内で自身の全ての攻撃の威力を究極UP</v>
          </cell>
        </row>
        <row r="315">
          <cell r="A315">
            <v>9012</v>
          </cell>
          <cell r="B315" t="str">
            <v>ja</v>
          </cell>
          <cell r="C315" t="str">
            <v>ウエディングクエスト ダメージ大UP</v>
          </cell>
          <cell r="D315" t="str">
            <v>ウエディングクエスト内で自身の全ての攻撃の威力を大UP</v>
          </cell>
        </row>
        <row r="316">
          <cell r="A316">
            <v>9013</v>
          </cell>
          <cell r="B316" t="str">
            <v>ja</v>
          </cell>
          <cell r="C316" t="str">
            <v>ラグランジュチャレンジ ダメージUP</v>
          </cell>
          <cell r="D316" t="str">
            <v>ラグランジュチャレンジ内で自身の全ての攻撃の威力をUP</v>
          </cell>
        </row>
        <row r="317">
          <cell r="A317">
            <v>9014</v>
          </cell>
          <cell r="B317" t="str">
            <v>ja</v>
          </cell>
          <cell r="C317" t="str">
            <v>ラグランジュチャレンジ ダメージ究極UP</v>
          </cell>
          <cell r="D317" t="str">
            <v>ラグランジュチャレンジ内で自身の全ての攻撃の威力を究極UP</v>
          </cell>
        </row>
        <row r="318">
          <cell r="A318">
            <v>9015</v>
          </cell>
          <cell r="B318" t="str">
            <v>ja</v>
          </cell>
          <cell r="C318" t="str">
            <v>ラグランジュチャレンジ ダメージUP</v>
          </cell>
          <cell r="D318" t="str">
            <v>ラグランジュチャレンジ内で自身の全ての攻撃+カウンターの威力をUP</v>
          </cell>
        </row>
        <row r="319">
          <cell r="A319">
            <v>119402</v>
          </cell>
          <cell r="B319" t="str">
            <v>ja</v>
          </cell>
          <cell r="C319" t="str">
            <v>ハロウィンナイトパニック！ 威力UP</v>
          </cell>
          <cell r="D319" t="str">
            <v>ハロウィンナイトパニック！内で自身の全ての攻撃の威力を究極UP</v>
          </cell>
        </row>
        <row r="320">
          <cell r="A320">
            <v>500801</v>
          </cell>
          <cell r="B320" t="str">
            <v>ja</v>
          </cell>
          <cell r="C320" t="str">
            <v>パネルブレイク35 攻撃力小UP</v>
          </cell>
          <cell r="D320" t="str">
            <v>自身が先頭の時、1ターンの間に合計35個以上パネルを破壊した場合に攻撃力小UP</v>
          </cell>
        </row>
        <row r="321">
          <cell r="A321">
            <v>808082</v>
          </cell>
          <cell r="B321" t="str">
            <v>ja</v>
          </cell>
          <cell r="C321" t="str">
            <v>Cパネルドロップ</v>
          </cell>
          <cell r="D321" t="str">
            <v>自身が先頭の時、低確率でCパネルをドロップ</v>
          </cell>
        </row>
        <row r="322">
          <cell r="A322">
            <v>900000</v>
          </cell>
          <cell r="B322" t="str">
            <v>ja</v>
          </cell>
          <cell r="C322" t="str">
            <v>フィーバー100 プロテクトブレイク</v>
          </cell>
          <cell r="D322" t="str">
            <v>フィーバーゲージが100％以上の時、1ターンプロテクトブレイク</v>
          </cell>
        </row>
        <row r="323">
          <cell r="A323">
            <v>900001</v>
          </cell>
          <cell r="B323" t="str">
            <v>ja</v>
          </cell>
          <cell r="C323" t="str">
            <v>フィーバー100 お邪魔ブレイク</v>
          </cell>
          <cell r="D323" t="str">
            <v>フィーバーゲージが100％以上の時、1ターンお邪魔ブレイク</v>
          </cell>
        </row>
        <row r="324">
          <cell r="A324">
            <v>900402</v>
          </cell>
          <cell r="B324" t="str">
            <v>ja</v>
          </cell>
          <cell r="C324" t="str">
            <v>バリア3500</v>
          </cell>
          <cell r="D324" t="str">
            <v>戦闘開始時に、自身への直接ダメージを3500まで防ぐバリアを一度だけ展開(バリアは破壊されると復活しない)</v>
          </cell>
        </row>
        <row r="325">
          <cell r="A325">
            <v>810202</v>
          </cell>
          <cell r="B325" t="str">
            <v>ja</v>
          </cell>
          <cell r="C325" t="str">
            <v>パネルブレイク50 ダメージ軽減</v>
          </cell>
          <cell r="D325" t="str">
            <v>自身が先頭の時、1ターンの間に合計50個以上パネルを破壊した場合敵からのダメージを15%軽減（1ターンに1度だけ発動）</v>
          </cell>
        </row>
        <row r="326">
          <cell r="A326">
            <v>811802</v>
          </cell>
          <cell r="B326" t="str">
            <v>ja</v>
          </cell>
          <cell r="C326" t="str">
            <v>ターン攻撃力UP</v>
          </cell>
          <cell r="D326" t="str">
            <v>最初の1ターン目と、その後6ターン毎に1ターン種族ドラゴン・ファンタジー・アニマルの攻撃力1000UP</v>
          </cell>
        </row>
        <row r="327">
          <cell r="A327">
            <v>812002</v>
          </cell>
          <cell r="B327" t="str">
            <v>ja</v>
          </cell>
          <cell r="C327" t="str">
            <v>ターンタップ増加</v>
          </cell>
          <cell r="D327" t="str">
            <v>最初の1ターン目と、その後6ターン毎に1ターン種族ドラゴン・ファンタジー・アニマルのタップ数1増加</v>
          </cell>
        </row>
        <row r="328">
          <cell r="A328">
            <v>811803</v>
          </cell>
          <cell r="B328" t="str">
            <v>ja</v>
          </cell>
          <cell r="C328" t="str">
            <v>端午クエスト ダメージUP</v>
          </cell>
          <cell r="D328" t="str">
            <v>端午クエスト内で自身の全ての攻撃の威力をUP</v>
          </cell>
        </row>
        <row r="329">
          <cell r="A329">
            <v>900802</v>
          </cell>
          <cell r="B329" t="str">
            <v>ja</v>
          </cell>
          <cell r="C329" t="str">
            <v>ターン攻撃力UP</v>
          </cell>
          <cell r="D329" t="str">
            <v>最初の1ターン目と、その後7ターン毎に1ターン赤属性の攻撃力777UP</v>
          </cell>
        </row>
      </sheetData>
      <sheetData sheetId="2"/>
      <sheetData sheetId="3"/>
      <sheetData sheetId="4"/>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A14" sqref="A14"/>
    </sheetView>
  </sheetViews>
  <sheetFormatPr baseColWidth="12" defaultRowHeight="15" x14ac:dyDescent="0.15"/>
  <cols>
    <col min="2" max="2" width="23.6640625" customWidth="1"/>
    <col min="5" max="5" width="17.6640625" bestFit="1" customWidth="1"/>
    <col min="6" max="6" width="22.1640625" bestFit="1" customWidth="1"/>
  </cols>
  <sheetData>
    <row r="1" spans="1:29" x14ac:dyDescent="0.15">
      <c r="A1" s="103" t="s">
        <v>125</v>
      </c>
      <c r="B1" s="103" t="s">
        <v>116</v>
      </c>
      <c r="C1" s="103" t="s">
        <v>117</v>
      </c>
      <c r="D1" s="103" t="s">
        <v>118</v>
      </c>
      <c r="E1" s="103" t="s">
        <v>119</v>
      </c>
      <c r="F1" s="103" t="s">
        <v>120</v>
      </c>
      <c r="G1" s="103" t="s">
        <v>121</v>
      </c>
      <c r="H1" s="103"/>
      <c r="I1" s="103"/>
      <c r="J1" s="103"/>
      <c r="K1" s="103"/>
      <c r="L1" s="104"/>
      <c r="M1" s="104"/>
      <c r="N1" s="104"/>
      <c r="O1" s="104"/>
      <c r="P1" s="104"/>
      <c r="Q1" s="104"/>
      <c r="R1" s="104"/>
      <c r="S1" s="104"/>
      <c r="T1" s="104"/>
      <c r="U1" s="104"/>
      <c r="V1" s="104"/>
      <c r="W1" s="104"/>
    </row>
    <row r="2" spans="1:29" x14ac:dyDescent="0.15">
      <c r="A2" s="105" t="s">
        <v>356</v>
      </c>
      <c r="B2" s="105" t="s">
        <v>129</v>
      </c>
      <c r="C2" s="162" t="s">
        <v>339</v>
      </c>
      <c r="D2" s="105" t="s">
        <v>128</v>
      </c>
      <c r="E2" s="104" t="str">
        <f>B2&amp;C2&amp;D2</f>
        <v>units_w2017.tmp</v>
      </c>
      <c r="F2" s="105" t="s">
        <v>124</v>
      </c>
      <c r="G2" s="59" t="s">
        <v>17</v>
      </c>
      <c r="H2" s="60" t="s">
        <v>96</v>
      </c>
      <c r="I2" s="60" t="s">
        <v>1</v>
      </c>
      <c r="J2" s="60" t="s">
        <v>3</v>
      </c>
      <c r="K2" s="60" t="s">
        <v>2</v>
      </c>
      <c r="L2" s="60" t="s">
        <v>98</v>
      </c>
      <c r="M2" s="60" t="s">
        <v>20</v>
      </c>
      <c r="N2" s="60" t="s">
        <v>103</v>
      </c>
      <c r="O2" s="60" t="s">
        <v>101</v>
      </c>
      <c r="P2" s="60" t="s">
        <v>39</v>
      </c>
      <c r="Q2" s="60" t="s">
        <v>57</v>
      </c>
      <c r="R2" s="60" t="s">
        <v>316</v>
      </c>
      <c r="S2" s="105"/>
      <c r="T2" s="105"/>
      <c r="U2" s="105"/>
      <c r="V2" s="105"/>
      <c r="W2" s="105"/>
    </row>
    <row r="3" spans="1:29" x14ac:dyDescent="0.15">
      <c r="A3" s="105" t="s">
        <v>356</v>
      </c>
      <c r="B3" s="105" t="s">
        <v>292</v>
      </c>
      <c r="C3" s="162" t="s">
        <v>339</v>
      </c>
      <c r="D3" s="105" t="s">
        <v>128</v>
      </c>
      <c r="E3" s="104" t="str">
        <f>B3&amp;C3&amp;D3</f>
        <v>fork_awake_units_w2017.tmp</v>
      </c>
      <c r="F3" s="105" t="s">
        <v>293</v>
      </c>
      <c r="G3" s="59" t="s">
        <v>17</v>
      </c>
      <c r="H3" s="60" t="s">
        <v>294</v>
      </c>
      <c r="I3" s="60" t="s">
        <v>295</v>
      </c>
      <c r="J3" s="60" t="s">
        <v>296</v>
      </c>
      <c r="K3" s="108"/>
      <c r="L3" s="108"/>
      <c r="M3" s="108"/>
      <c r="N3" s="108"/>
      <c r="O3" s="108"/>
      <c r="P3" s="108"/>
      <c r="Q3" s="108"/>
      <c r="R3" s="108"/>
      <c r="S3" s="108"/>
      <c r="T3" s="108"/>
      <c r="U3" s="108"/>
      <c r="V3" s="108"/>
      <c r="W3" s="108"/>
    </row>
    <row r="4" spans="1:29" x14ac:dyDescent="0.15">
      <c r="A4" s="105" t="s">
        <v>356</v>
      </c>
      <c r="B4" s="105" t="s">
        <v>130</v>
      </c>
      <c r="C4" s="162" t="s">
        <v>338</v>
      </c>
      <c r="D4" s="105" t="s">
        <v>128</v>
      </c>
      <c r="E4" s="104" t="str">
        <f>B4&amp;C4&amp;D4</f>
        <v>awake_materials_w2017.tmp</v>
      </c>
      <c r="F4" s="105" t="s">
        <v>123</v>
      </c>
      <c r="G4" s="106" t="s">
        <v>38</v>
      </c>
      <c r="H4" s="107" t="s">
        <v>36</v>
      </c>
      <c r="I4" s="107" t="s">
        <v>37</v>
      </c>
      <c r="J4" s="109" t="s">
        <v>126</v>
      </c>
      <c r="K4" s="108"/>
      <c r="L4" s="108"/>
      <c r="M4" s="108"/>
      <c r="N4" s="108"/>
      <c r="O4" s="108"/>
      <c r="P4" s="108"/>
      <c r="Q4" s="108"/>
      <c r="R4" s="108"/>
      <c r="S4" s="108"/>
      <c r="T4" s="108"/>
      <c r="U4" s="108"/>
      <c r="V4" s="108"/>
      <c r="W4" s="108"/>
    </row>
    <row r="5" spans="1:29" x14ac:dyDescent="0.15">
      <c r="A5" s="105" t="s">
        <v>356</v>
      </c>
      <c r="B5" s="105" t="s">
        <v>291</v>
      </c>
      <c r="C5" s="162" t="s">
        <v>338</v>
      </c>
      <c r="D5" s="105" t="s">
        <v>128</v>
      </c>
      <c r="E5" s="104" t="str">
        <f>B5&amp;C5&amp;D5</f>
        <v>fork_awake_materials_w2017.tmp</v>
      </c>
      <c r="F5" s="105" t="s">
        <v>123</v>
      </c>
      <c r="G5" s="181" t="s">
        <v>297</v>
      </c>
      <c r="H5" s="181" t="s">
        <v>298</v>
      </c>
      <c r="I5" s="181" t="s">
        <v>36</v>
      </c>
      <c r="J5" s="181" t="s">
        <v>37</v>
      </c>
      <c r="K5" s="181" t="s">
        <v>299</v>
      </c>
      <c r="L5" s="181" t="s">
        <v>300</v>
      </c>
      <c r="M5" s="108"/>
      <c r="N5" s="108"/>
      <c r="O5" s="108"/>
      <c r="P5" s="108"/>
      <c r="Q5" s="108"/>
      <c r="R5" s="108"/>
      <c r="S5" s="108"/>
      <c r="T5" s="108"/>
      <c r="U5" s="108"/>
      <c r="V5" s="108"/>
      <c r="W5" s="108"/>
    </row>
    <row r="6" spans="1:29" x14ac:dyDescent="0.15">
      <c r="A6" s="105" t="s">
        <v>356</v>
      </c>
      <c r="B6" s="105" t="s">
        <v>131</v>
      </c>
      <c r="C6" s="162" t="s">
        <v>338</v>
      </c>
      <c r="D6" s="105" t="s">
        <v>132</v>
      </c>
      <c r="E6" s="104" t="str">
        <f t="shared" ref="E6" si="0">B6&amp;C6&amp;D6</f>
        <v>unit_levels_calc_w2017.tmp</v>
      </c>
      <c r="F6" s="105" t="s">
        <v>122</v>
      </c>
      <c r="G6" s="55" t="s">
        <v>17</v>
      </c>
      <c r="H6" s="56" t="s">
        <v>2</v>
      </c>
      <c r="I6" s="57" t="s">
        <v>79</v>
      </c>
      <c r="J6" s="57" t="s">
        <v>80</v>
      </c>
      <c r="K6" s="57" t="s">
        <v>81</v>
      </c>
      <c r="L6" s="57" t="s">
        <v>82</v>
      </c>
      <c r="M6" s="57" t="s">
        <v>87</v>
      </c>
      <c r="N6" s="57" t="s">
        <v>88</v>
      </c>
      <c r="O6" s="57" t="s">
        <v>89</v>
      </c>
      <c r="P6" s="57" t="s">
        <v>90</v>
      </c>
      <c r="Q6" s="57" t="s">
        <v>91</v>
      </c>
      <c r="R6" s="57" t="s">
        <v>94</v>
      </c>
      <c r="S6" s="57" t="s">
        <v>92</v>
      </c>
      <c r="T6" s="57" t="s">
        <v>93</v>
      </c>
      <c r="U6" s="57" t="s">
        <v>83</v>
      </c>
      <c r="V6" s="57" t="s">
        <v>84</v>
      </c>
      <c r="W6" s="57" t="s">
        <v>85</v>
      </c>
    </row>
    <row r="7" spans="1:29" x14ac:dyDescent="0.15">
      <c r="A7" s="105" t="s">
        <v>356</v>
      </c>
      <c r="B7" s="105" t="s">
        <v>143</v>
      </c>
      <c r="C7" s="162" t="s">
        <v>338</v>
      </c>
      <c r="D7" s="105" t="s">
        <v>144</v>
      </c>
      <c r="E7" s="104" t="str">
        <f>B7&amp;C7&amp;D7</f>
        <v>unit_skills_data_w2017.tmp</v>
      </c>
      <c r="F7" s="105" t="s">
        <v>145</v>
      </c>
      <c r="G7" s="112" t="s">
        <v>20</v>
      </c>
      <c r="H7" s="112" t="s">
        <v>146</v>
      </c>
      <c r="I7" s="112" t="s">
        <v>2</v>
      </c>
      <c r="J7" s="112" t="s">
        <v>147</v>
      </c>
      <c r="K7" s="112" t="s">
        <v>148</v>
      </c>
      <c r="L7" s="112" t="s">
        <v>4</v>
      </c>
      <c r="M7" s="57"/>
      <c r="N7" s="57"/>
      <c r="O7" s="57"/>
      <c r="P7" s="57"/>
      <c r="Q7" s="57"/>
      <c r="R7" s="57"/>
      <c r="S7" s="57"/>
      <c r="T7" s="57"/>
      <c r="U7" s="57"/>
      <c r="V7" s="57"/>
      <c r="W7" s="57"/>
    </row>
    <row r="8" spans="1:29" x14ac:dyDescent="0.15">
      <c r="A8" s="105" t="s">
        <v>356</v>
      </c>
      <c r="B8" s="105" t="s">
        <v>149</v>
      </c>
      <c r="C8" s="162" t="s">
        <v>338</v>
      </c>
      <c r="D8" s="105" t="s">
        <v>128</v>
      </c>
      <c r="E8" s="104" t="str">
        <f>B8&amp;C8&amp;D8</f>
        <v>unit_skills_i18n_w2017.tmp</v>
      </c>
      <c r="F8" s="105" t="s">
        <v>145</v>
      </c>
      <c r="G8" s="112" t="s">
        <v>150</v>
      </c>
      <c r="H8" s="112" t="s">
        <v>134</v>
      </c>
      <c r="I8" s="112" t="s">
        <v>151</v>
      </c>
      <c r="J8" s="112" t="s">
        <v>152</v>
      </c>
      <c r="K8" s="108"/>
      <c r="L8" s="108"/>
      <c r="M8" s="57"/>
      <c r="N8" s="57"/>
      <c r="O8" s="57"/>
      <c r="P8" s="57"/>
      <c r="Q8" s="57"/>
      <c r="R8" s="57"/>
      <c r="S8" s="57"/>
      <c r="T8" s="57"/>
      <c r="U8" s="57"/>
      <c r="V8" s="57"/>
      <c r="W8" s="57"/>
    </row>
    <row r="9" spans="1:29" x14ac:dyDescent="0.15">
      <c r="A9" s="105" t="s">
        <v>356</v>
      </c>
      <c r="B9" s="105" t="s">
        <v>153</v>
      </c>
      <c r="C9" s="162" t="s">
        <v>338</v>
      </c>
      <c r="D9" s="105" t="s">
        <v>154</v>
      </c>
      <c r="E9" s="104" t="str">
        <f>B9&amp;C9&amp;D9</f>
        <v>crash_skills_data_w2017.tmp</v>
      </c>
      <c r="F9" s="105" t="s">
        <v>155</v>
      </c>
      <c r="G9" s="112" t="s">
        <v>156</v>
      </c>
      <c r="H9" s="112" t="s">
        <v>148</v>
      </c>
      <c r="I9" s="112" t="s">
        <v>4</v>
      </c>
      <c r="J9" s="108"/>
      <c r="K9" s="108"/>
      <c r="L9" s="108"/>
      <c r="M9" s="57"/>
      <c r="N9" s="57"/>
      <c r="O9" s="57"/>
      <c r="P9" s="57"/>
      <c r="Q9" s="57"/>
      <c r="R9" s="57"/>
      <c r="S9" s="57"/>
      <c r="T9" s="57"/>
      <c r="U9" s="57"/>
      <c r="V9" s="57"/>
      <c r="W9" s="57"/>
    </row>
    <row r="10" spans="1:29" x14ac:dyDescent="0.15">
      <c r="A10" s="105" t="s">
        <v>356</v>
      </c>
      <c r="B10" s="105" t="s">
        <v>157</v>
      </c>
      <c r="C10" s="162" t="s">
        <v>338</v>
      </c>
      <c r="D10" s="105" t="s">
        <v>158</v>
      </c>
      <c r="E10" s="104" t="str">
        <f t="shared" ref="E10" si="1">B10&amp;C10&amp;D10</f>
        <v>crash_skills_i18n_w2017.tmp</v>
      </c>
      <c r="F10" s="105" t="s">
        <v>155</v>
      </c>
      <c r="G10" s="112" t="s">
        <v>159</v>
      </c>
      <c r="H10" s="112" t="s">
        <v>160</v>
      </c>
      <c r="I10" s="112" t="s">
        <v>161</v>
      </c>
      <c r="J10" s="112" t="s">
        <v>162</v>
      </c>
      <c r="K10" s="113"/>
      <c r="L10" s="113"/>
      <c r="M10" s="57"/>
      <c r="N10" s="57"/>
      <c r="O10" s="57"/>
      <c r="P10" s="57"/>
      <c r="Q10" s="57"/>
      <c r="R10" s="57"/>
      <c r="S10" s="57"/>
      <c r="T10" s="57"/>
      <c r="U10" s="57"/>
      <c r="V10" s="57"/>
      <c r="W10" s="57"/>
    </row>
    <row r="11" spans="1:29" x14ac:dyDescent="0.15">
      <c r="A11" s="105" t="s">
        <v>356</v>
      </c>
      <c r="B11" s="108" t="s">
        <v>135</v>
      </c>
      <c r="C11" s="162" t="s">
        <v>338</v>
      </c>
      <c r="D11" s="105" t="s">
        <v>158</v>
      </c>
      <c r="E11" s="104" t="str">
        <f t="shared" ref="E11:E12" si="2">B11&amp;C11&amp;D11</f>
        <v>unit_serifs_data_w2017.tmp</v>
      </c>
      <c r="F11" s="108" t="s">
        <v>137</v>
      </c>
      <c r="G11" s="111" t="s">
        <v>138</v>
      </c>
      <c r="H11" s="112" t="s">
        <v>139</v>
      </c>
      <c r="I11" s="112" t="s">
        <v>133</v>
      </c>
      <c r="J11" s="110" t="s">
        <v>189</v>
      </c>
      <c r="K11" s="105"/>
      <c r="L11" s="105"/>
      <c r="M11" s="105"/>
      <c r="N11" s="105"/>
      <c r="O11" s="105"/>
      <c r="P11" s="105"/>
      <c r="Q11" s="105"/>
      <c r="R11" s="105"/>
      <c r="S11" s="105"/>
      <c r="T11" s="105"/>
      <c r="U11" s="105"/>
      <c r="V11" s="105"/>
      <c r="W11" s="105"/>
    </row>
    <row r="12" spans="1:29" x14ac:dyDescent="0.15">
      <c r="A12" s="105" t="s">
        <v>356</v>
      </c>
      <c r="B12" s="108" t="s">
        <v>136</v>
      </c>
      <c r="C12" s="162" t="s">
        <v>338</v>
      </c>
      <c r="D12" s="105" t="s">
        <v>158</v>
      </c>
      <c r="E12" s="104" t="str">
        <f t="shared" si="2"/>
        <v>unit_serifs_i18n_w2017.tmp</v>
      </c>
      <c r="F12" s="108" t="s">
        <v>137</v>
      </c>
      <c r="G12" s="111" t="s">
        <v>140</v>
      </c>
      <c r="H12" s="112" t="s">
        <v>141</v>
      </c>
      <c r="I12" s="112" t="s">
        <v>142</v>
      </c>
      <c r="J12" s="105"/>
      <c r="K12" s="105"/>
      <c r="L12" s="105"/>
      <c r="M12" s="105"/>
      <c r="N12" s="105"/>
      <c r="O12" s="105"/>
      <c r="P12" s="105"/>
      <c r="Q12" s="105"/>
      <c r="R12" s="105"/>
      <c r="S12" s="105"/>
      <c r="T12" s="105"/>
      <c r="U12" s="105"/>
      <c r="V12" s="105"/>
      <c r="W12" s="105"/>
    </row>
    <row r="13" spans="1:29" x14ac:dyDescent="0.15">
      <c r="A13" s="105" t="s">
        <v>438</v>
      </c>
      <c r="B13" s="105" t="s">
        <v>315</v>
      </c>
      <c r="C13" s="162" t="s">
        <v>338</v>
      </c>
      <c r="D13" s="105" t="s">
        <v>252</v>
      </c>
      <c r="E13" s="104" t="str">
        <f>B13&amp;C13&amp;D13</f>
        <v>abilities_tmp_w2017.tmp</v>
      </c>
      <c r="F13" s="105" t="s">
        <v>253</v>
      </c>
      <c r="G13" s="163" t="s">
        <v>254</v>
      </c>
      <c r="H13" s="163" t="s">
        <v>255</v>
      </c>
      <c r="I13" s="163" t="s">
        <v>256</v>
      </c>
      <c r="J13" s="163"/>
      <c r="K13" s="164"/>
      <c r="L13" s="105"/>
      <c r="M13" s="105"/>
      <c r="N13" s="105"/>
      <c r="O13" s="105"/>
      <c r="P13" s="105"/>
      <c r="Q13" s="105"/>
      <c r="R13" s="105"/>
      <c r="S13" s="105"/>
      <c r="T13" s="105"/>
      <c r="U13" s="105"/>
      <c r="V13" s="105"/>
      <c r="W13" s="105"/>
      <c r="X13" s="105"/>
      <c r="Y13" s="105"/>
      <c r="Z13" s="105"/>
      <c r="AA13" s="105"/>
      <c r="AB13" s="105"/>
      <c r="AC13" s="105"/>
    </row>
    <row r="14" spans="1:29" x14ac:dyDescent="0.15">
      <c r="A14" s="105" t="s">
        <v>356</v>
      </c>
      <c r="B14" s="105" t="s">
        <v>257</v>
      </c>
      <c r="C14" s="162" t="s">
        <v>338</v>
      </c>
      <c r="D14" s="105" t="s">
        <v>128</v>
      </c>
      <c r="E14" s="104" t="str">
        <f>B14&amp;C14&amp;D14</f>
        <v>abilities_i18n_w2017.tmp</v>
      </c>
      <c r="F14" s="105" t="s">
        <v>258</v>
      </c>
      <c r="G14" s="163" t="s">
        <v>254</v>
      </c>
      <c r="H14" s="163" t="s">
        <v>141</v>
      </c>
      <c r="I14" s="163" t="s">
        <v>259</v>
      </c>
      <c r="J14" s="163" t="s">
        <v>152</v>
      </c>
      <c r="K14" s="203" t="s">
        <v>424</v>
      </c>
      <c r="L14" s="105"/>
      <c r="M14" s="105"/>
      <c r="N14" s="105"/>
      <c r="O14" s="105"/>
      <c r="P14" s="105"/>
      <c r="Q14" s="105"/>
      <c r="R14" s="105"/>
      <c r="S14" s="105"/>
      <c r="T14" s="105"/>
      <c r="U14" s="105"/>
      <c r="V14" s="105"/>
      <c r="W14" s="105"/>
      <c r="X14" s="105"/>
      <c r="Y14" s="105"/>
      <c r="Z14" s="105"/>
      <c r="AA14" s="105"/>
      <c r="AB14" s="105"/>
      <c r="AC14" s="105"/>
    </row>
    <row r="15" spans="1:29" x14ac:dyDescent="0.15">
      <c r="A15" s="105" t="s">
        <v>356</v>
      </c>
      <c r="B15" s="105" t="s">
        <v>260</v>
      </c>
      <c r="C15" s="162" t="s">
        <v>338</v>
      </c>
      <c r="D15" s="105" t="s">
        <v>128</v>
      </c>
      <c r="E15" s="104" t="str">
        <f>B15&amp;C15&amp;D15</f>
        <v>unit_abilities_w2017.tmp</v>
      </c>
      <c r="F15" s="105" t="s">
        <v>261</v>
      </c>
      <c r="G15" s="163" t="s">
        <v>138</v>
      </c>
      <c r="H15" s="165" t="s">
        <v>262</v>
      </c>
      <c r="I15" s="165" t="s">
        <v>263</v>
      </c>
      <c r="J15" s="166" t="s">
        <v>264</v>
      </c>
      <c r="K15" s="163" t="s">
        <v>265</v>
      </c>
      <c r="L15" s="105"/>
      <c r="M15" s="105"/>
      <c r="N15" s="105"/>
      <c r="O15" s="105"/>
      <c r="P15" s="105"/>
      <c r="Q15" s="105"/>
      <c r="R15" s="105"/>
      <c r="S15" s="105"/>
      <c r="T15" s="105"/>
      <c r="U15" s="105"/>
      <c r="V15" s="105"/>
      <c r="W15" s="105"/>
      <c r="X15" s="105"/>
      <c r="Y15" s="105"/>
      <c r="Z15" s="105"/>
      <c r="AA15" s="105"/>
      <c r="AB15" s="105"/>
      <c r="AC15" s="105"/>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9"/>
  <sheetViews>
    <sheetView showGridLines="0" workbookViewId="0">
      <pane xSplit="9" ySplit="1" topLeftCell="AV2" activePane="bottomRight" state="frozen"/>
      <selection pane="topRight" activeCell="J1" sqref="J1"/>
      <selection pane="bottomLeft" activeCell="A3" sqref="A3"/>
      <selection pane="bottomRight" activeCell="G6" sqref="G6"/>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59.5" style="12" hidden="1" customWidth="1" outlineLevel="1"/>
    <col min="11" max="13" width="13.6640625" style="12" hidden="1" customWidth="1" outlineLevel="1"/>
    <col min="14" max="14" width="10" style="12" bestFit="1" customWidth="1"/>
    <col min="15" max="15" width="13.5" style="12" bestFit="1" customWidth="1"/>
    <col min="16" max="16" width="13.5" style="12" customWidth="1"/>
    <col min="17" max="17" width="18.83203125" style="12" bestFit="1" customWidth="1"/>
    <col min="18" max="18" width="14.1640625" style="12" customWidth="1"/>
    <col min="19" max="19" width="12.33203125" style="12" customWidth="1" outlineLevel="1"/>
    <col min="20" max="22" width="13.6640625" style="12" customWidth="1" outlineLevel="1"/>
    <col min="23" max="23" width="22.83203125" style="11" bestFit="1" customWidth="1"/>
    <col min="24" max="24" width="14.1640625" style="12" customWidth="1"/>
    <col min="25" max="25" width="22" style="12" customWidth="1" outlineLevel="1"/>
    <col min="26" max="26" width="14.1640625" style="12" customWidth="1" outlineLevel="1"/>
    <col min="27" max="27" width="12.33203125" style="12" customWidth="1" outlineLevel="1"/>
    <col min="28" max="30" width="13.6640625" style="12" customWidth="1" outlineLevel="1"/>
    <col min="31" max="31" width="20.1640625" style="11" bestFit="1" customWidth="1"/>
    <col min="32" max="32" width="18.83203125" style="12" bestFit="1" customWidth="1"/>
    <col min="33" max="34" width="18.83203125" style="12" customWidth="1"/>
    <col min="35" max="35" width="15.1640625" style="12" customWidth="1"/>
    <col min="36" max="36" width="13.1640625" style="11" customWidth="1"/>
    <col min="37" max="37" width="15.33203125" style="12" bestFit="1" customWidth="1"/>
    <col min="38" max="38" width="13.33203125" style="12" bestFit="1" customWidth="1"/>
    <col min="39" max="39" width="15.33203125" style="13" bestFit="1" customWidth="1"/>
    <col min="40" max="40" width="14" style="13" bestFit="1" customWidth="1"/>
    <col min="41" max="41" width="16" style="42" bestFit="1" customWidth="1"/>
    <col min="42" max="42" width="14.33203125" style="14" bestFit="1" customWidth="1"/>
    <col min="43" max="43" width="20.83203125" style="12" customWidth="1"/>
    <col min="44" max="44" width="80.6640625" style="12" customWidth="1" outlineLevel="1"/>
    <col min="45" max="45" width="6.83203125" style="12" customWidth="1"/>
    <col min="46" max="46" width="15.6640625" style="11" bestFit="1" customWidth="1"/>
    <col min="47" max="47" width="43.6640625" style="12" customWidth="1"/>
    <col min="48" max="48" width="43.6640625" style="12" customWidth="1" outlineLevel="1"/>
    <col min="49" max="49" width="6.83203125" style="12" customWidth="1"/>
    <col min="50" max="50" width="11.33203125" style="12" bestFit="1" customWidth="1"/>
    <col min="51" max="54" width="8.33203125" style="11" customWidth="1"/>
    <col min="55" max="56" width="12" style="12" bestFit="1" customWidth="1"/>
    <col min="57" max="57" width="14.33203125" style="12" customWidth="1" outlineLevel="1"/>
    <col min="58" max="58" width="16.1640625" style="12" customWidth="1" outlineLevel="1"/>
    <col min="59" max="62" width="11.83203125" style="12" customWidth="1"/>
    <col min="63" max="66" width="11.83203125" style="11" customWidth="1"/>
    <col min="67" max="67" width="12.83203125" style="11" bestFit="1" customWidth="1"/>
    <col min="68" max="68" width="12.6640625" style="11" bestFit="1" customWidth="1"/>
    <col min="69" max="69" width="13.5" style="11" bestFit="1" customWidth="1"/>
    <col min="70" max="16384" width="8.83203125" style="11"/>
  </cols>
  <sheetData>
    <row r="1" spans="1:70" ht="21" customHeight="1" x14ac:dyDescent="0.15">
      <c r="A1" s="77" t="s">
        <v>108</v>
      </c>
      <c r="B1" s="79" t="s">
        <v>44</v>
      </c>
      <c r="C1" s="82" t="s">
        <v>27</v>
      </c>
      <c r="D1" s="82" t="s">
        <v>30</v>
      </c>
      <c r="E1" s="82" t="s">
        <v>28</v>
      </c>
      <c r="F1" s="82" t="s">
        <v>29</v>
      </c>
      <c r="G1" s="77" t="s">
        <v>1</v>
      </c>
      <c r="H1" s="80" t="s">
        <v>19</v>
      </c>
      <c r="I1" s="81" t="s">
        <v>0</v>
      </c>
      <c r="J1" s="83" t="s">
        <v>49</v>
      </c>
      <c r="K1" s="83" t="s">
        <v>48</v>
      </c>
      <c r="L1" s="83" t="s">
        <v>50</v>
      </c>
      <c r="M1" s="83" t="s">
        <v>51</v>
      </c>
      <c r="N1" s="77" t="s">
        <v>3</v>
      </c>
      <c r="O1" s="84" t="s">
        <v>2</v>
      </c>
      <c r="P1" s="77" t="s">
        <v>97</v>
      </c>
      <c r="Q1" s="85" t="s">
        <v>18</v>
      </c>
      <c r="R1" s="76" t="s">
        <v>52</v>
      </c>
      <c r="S1" s="86" t="s">
        <v>23</v>
      </c>
      <c r="T1" s="86" t="s">
        <v>24</v>
      </c>
      <c r="U1" s="86" t="s">
        <v>26</v>
      </c>
      <c r="V1" s="86" t="s">
        <v>25</v>
      </c>
      <c r="W1" s="81" t="s">
        <v>32</v>
      </c>
      <c r="X1" s="82" t="s">
        <v>53</v>
      </c>
      <c r="Y1" s="81" t="s">
        <v>33</v>
      </c>
      <c r="Z1" s="82" t="s">
        <v>53</v>
      </c>
      <c r="AA1" s="83" t="s">
        <v>23</v>
      </c>
      <c r="AB1" s="83" t="s">
        <v>24</v>
      </c>
      <c r="AC1" s="83" t="s">
        <v>26</v>
      </c>
      <c r="AD1" s="83" t="s">
        <v>25</v>
      </c>
      <c r="AE1" s="87" t="s">
        <v>100</v>
      </c>
      <c r="AF1" s="76" t="s">
        <v>45</v>
      </c>
      <c r="AG1" s="88" t="s">
        <v>58</v>
      </c>
      <c r="AH1" s="76" t="s">
        <v>45</v>
      </c>
      <c r="AI1" s="88" t="s">
        <v>46</v>
      </c>
      <c r="AJ1" s="78" t="s">
        <v>67</v>
      </c>
      <c r="AK1" s="76" t="s">
        <v>21</v>
      </c>
      <c r="AL1" s="89" t="s">
        <v>68</v>
      </c>
      <c r="AM1" s="90" t="s">
        <v>66</v>
      </c>
      <c r="AN1" s="90" t="s">
        <v>69</v>
      </c>
      <c r="AO1" s="91" t="s">
        <v>31</v>
      </c>
      <c r="AP1" s="87" t="s">
        <v>20</v>
      </c>
      <c r="AQ1" s="92" t="s">
        <v>113</v>
      </c>
      <c r="AR1" s="92" t="s">
        <v>107</v>
      </c>
      <c r="AS1" s="76" t="s">
        <v>104</v>
      </c>
      <c r="AT1" s="87" t="s">
        <v>102</v>
      </c>
      <c r="AU1" s="76" t="s">
        <v>110</v>
      </c>
      <c r="AV1" s="92" t="s">
        <v>107</v>
      </c>
      <c r="AW1" s="76" t="s">
        <v>104</v>
      </c>
      <c r="AX1" s="82" t="s">
        <v>4</v>
      </c>
      <c r="AY1" s="93" t="s">
        <v>54</v>
      </c>
      <c r="AZ1" s="93" t="s">
        <v>55</v>
      </c>
      <c r="BA1" s="93" t="s">
        <v>114</v>
      </c>
      <c r="BB1" s="93" t="s">
        <v>56</v>
      </c>
      <c r="BC1" s="5" t="s">
        <v>22</v>
      </c>
      <c r="BD1" s="96" t="s">
        <v>34</v>
      </c>
      <c r="BE1" s="94" t="s">
        <v>5</v>
      </c>
      <c r="BF1" s="95" t="s">
        <v>6</v>
      </c>
      <c r="BG1" s="97" t="s">
        <v>70</v>
      </c>
      <c r="BH1" s="97" t="s">
        <v>71</v>
      </c>
      <c r="BI1" s="97" t="s">
        <v>72</v>
      </c>
      <c r="BJ1" s="97" t="s">
        <v>73</v>
      </c>
      <c r="BK1" s="98" t="s">
        <v>74</v>
      </c>
      <c r="BL1" s="98" t="s">
        <v>95</v>
      </c>
      <c r="BM1" s="98" t="s">
        <v>75</v>
      </c>
      <c r="BN1" s="98" t="s">
        <v>76</v>
      </c>
      <c r="BO1" s="99" t="s">
        <v>77</v>
      </c>
      <c r="BP1" s="100" t="s">
        <v>78</v>
      </c>
      <c r="BQ1" s="100" t="s">
        <v>86</v>
      </c>
      <c r="BR1" s="9" t="s">
        <v>317</v>
      </c>
    </row>
    <row r="2" spans="1:70" ht="26" customHeight="1" x14ac:dyDescent="0.15">
      <c r="A2" s="186">
        <v>1092</v>
      </c>
      <c r="B2" s="53" t="str">
        <f ca="1">VLOOKUP($A2,OFFSET([1]characters!$A$1,0,0,COUNTA([1]characters!$A:$A),MATCH(B$1,[1]characters!$1:$1,0)-MATCH($A$1,[1]characters!$1:$1,0)+1),MATCH(B$1,[1]characters!$1:$1,0)-MATCH($A$1,[1]characters!$1:$1,0)+1,FALSE)</f>
        <v>究護の戦王子 レイヴン</v>
      </c>
      <c r="C2" s="53" t="str">
        <f ca="1">VLOOKUP($A2,OFFSET([1]characters!$A$1,0,0,COUNTA([1]characters!$A:$A),MATCH(C$1,[1]characters!$1:$1,0)-MATCH($A$1,[1]characters!$1:$1,0)+1),MATCH(C$1,[1]characters!$1:$1,0)-MATCH($A$1,[1]characters!$1:$1,0)+1,FALSE)</f>
        <v>未定</v>
      </c>
      <c r="D2" s="53" t="str">
        <f ca="1">VLOOKUP($A2,OFFSET([1]characters!$A$1,0,0,COUNTA([1]characters!$A:$A),MATCH(D$1,[1]characters!$1:$1,0)-MATCH($A$1,[1]characters!$1:$1,0)+1),MATCH(D$1,[1]characters!$1:$1,0)-MATCH($A$1,[1]characters!$1:$1,0)+1,FALSE)</f>
        <v>アリス</v>
      </c>
      <c r="E2" s="53" t="str">
        <f ca="1">VLOOKUP($A2,OFFSET([1]characters!$A$1,0,0,COUNTA([1]characters!$A:$A),MATCH(E$1,[1]characters!$1:$1,0)-MATCH($A$1,[1]characters!$1:$1,0)+1),MATCH(E$1,[1]characters!$1:$1,0)-MATCH($A$1,[1]characters!$1:$1,0)+1,FALSE)</f>
        <v>世界観</v>
      </c>
      <c r="F2" s="53" t="str">
        <f ca="1">VLOOKUP($A2,OFFSET([1]characters!$A$1,0,0,COUNTA([1]characters!$A:$A),MATCH(F$1,[1]characters!$1:$1,0)-MATCH($A$1,[1]characters!$1:$1,0)+1),MATCH(F$1,[1]characters!$1:$1,0)-MATCH($A$1,[1]characters!$1:$1,0)+1,FALSE)</f>
        <v>不明</v>
      </c>
      <c r="G2" s="53">
        <f ca="1">VLOOKUP($A2,OFFSET([1]characters!$A$1,0,0,COUNTA([1]characters!$A:$A),MATCH(G$1,[1]characters!$1:$1,0)-MATCH($A$1,[1]characters!$1:$1,0)+1),MATCH(G$1,[1]characters!$1:$1,0)-MATCH($A$1,[1]characters!$1:$1,0)+1,FALSE)</f>
        <v>6</v>
      </c>
      <c r="H2" s="53" t="str">
        <f ca="1">VLOOKUP($A2,OFFSET([1]characters!$A$1,0,0,COUNTA([1]characters!$A:$A),MATCH(H$1,[1]characters!$1:$1,0)-MATCH($A$1,[1]characters!$1:$1,0)+1),MATCH(H$1,[1]characters!$1:$1,0)-MATCH($A$1,[1]characters!$1:$1,0)+1,FALSE)</f>
        <v>PremiumSS</v>
      </c>
      <c r="I2" s="53" t="str">
        <f ca="1">VLOOKUP($A2,OFFSET([1]characters!$A$1,0,0,COUNTA([1]characters!$A:$A),MATCH(I$1,[1]characters!$1:$1,0)-MATCH($A$1,[1]characters!$1:$1,0)+1),MATCH(I$1,[1]characters!$1:$1,0)-MATCH($A$1,[1]characters!$1:$1,0)+1,FALSE)</f>
        <v>green</v>
      </c>
      <c r="J2" s="10">
        <f ca="1">VLOOKUP(I2,[1]属性!$A:$E,2,FALSE)</f>
        <v>1.02</v>
      </c>
      <c r="K2" s="10">
        <f ca="1">VLOOKUP(I2,[1]属性!$A:$E,3,FALSE)</f>
        <v>0.98</v>
      </c>
      <c r="L2" s="10">
        <f ca="1">VLOOKUP(I2,[1]属性!$A:$E,4,FALSE)</f>
        <v>1</v>
      </c>
      <c r="M2" s="10">
        <f ca="1">VLOOKUP(I2,[1]属性!$A:$E,5,FALSE)</f>
        <v>1</v>
      </c>
      <c r="N2" s="10">
        <f ca="1">INDEX(コスト!$A$1:$I$21,MATCH(H2,コスト!$A$1:$A$21,FALSE),MATCH(G2,コスト!$A$1:$I$1,FALSE))</f>
        <v>50</v>
      </c>
      <c r="O2" s="10">
        <f ca="1">INDEX(レベル!$A$1:$I$22,MATCH(H2,レベル!$A$1:$A$22,FALSE),MATCH(G2,レベル!$A$1:$I$1,FALSE))</f>
        <v>99</v>
      </c>
      <c r="P2" s="44">
        <f t="shared" ref="P2:P3" ca="1" si="0">IF(G2 &gt;= 6, 99,G2*15)</f>
        <v>99</v>
      </c>
      <c r="Q2" s="53" t="str">
        <f ca="1">VLOOKUP($A2,OFFSET([1]characters!$A$1,0,0,COUNTA([1]characters!$A:$A),MATCH(Q$1,[1]characters!$1:$1,0)-MATCH($A$1,[1]characters!$1:$1,0)+1),MATCH(Q$1,[1]characters!$1:$1,0)-MATCH($A$1,[1]characters!$1:$1,0)+1,FALSE)</f>
        <v>attack</v>
      </c>
      <c r="R2" s="5" t="str">
        <f ca="1">VLOOKUP(Q2,[1]character_type_i18n!$A:$H,3,FALSE)</f>
        <v>攻撃タイプ</v>
      </c>
      <c r="S2" s="10">
        <f ca="1">VLOOKUP(Q2,[1]character_type_i18n!$A:$H,4,FALSE)</f>
        <v>1</v>
      </c>
      <c r="T2" s="10">
        <f ca="1">VLOOKUP(Q2,[1]character_type_i18n!$A:$H,5,FALSE)</f>
        <v>1.33</v>
      </c>
      <c r="U2" s="10">
        <f ca="1">VLOOKUP(Q2,[1]character_type_i18n!$A:$H,6,FALSE)</f>
        <v>1</v>
      </c>
      <c r="V2" s="10">
        <f ca="1">VLOOKUP(Q2,[1]character_type_i18n!$A:$H,7,FALSE)</f>
        <v>0.67</v>
      </c>
      <c r="W2" s="53" t="str">
        <f ca="1">VLOOKUP($A2,OFFSET([1]characters!$A$1,0,0,COUNTA([1]characters!$A:$A),MATCH(W$1,[1]characters!$1:$1,0)-MATCH($A$1,[1]characters!$1:$1,0)+1),MATCH(W$1,[1]characters!$1:$1,0)-MATCH($A$1,[1]characters!$1:$1,0)+1,FALSE)</f>
        <v>human</v>
      </c>
      <c r="X2" s="5" t="str">
        <f ca="1">VLOOKUP(W2,[1]character_tribe_i18n!$A:$H,3,FALSE)</f>
        <v>ヒューマン</v>
      </c>
      <c r="Y2" s="53" t="str">
        <f ca="1">VLOOKUP($A2,OFFSET([1]characters!$A$1,0,0,COUNTA([1]characters!$A:$A),MATCH(Y$1,[1]characters!$1:$1,0)-MATCH($A$1,[1]characters!$1:$1,0)+1),MATCH(Y$1,[1]characters!$1:$1,0)-MATCH($A$1,[1]characters!$1:$1,0)+1,FALSE)</f>
        <v>none</v>
      </c>
      <c r="Z2" s="5" t="str">
        <f ca="1">VLOOKUP(Y2,[1]character_tribe_i18n!$A:$H,3,FALSE)</f>
        <v>種族なし</v>
      </c>
      <c r="AA2" s="10">
        <f ca="1">VLOOKUP(W2,[1]character_tribe_i18n!$A:$H,4,FALSE)</f>
        <v>0.94</v>
      </c>
      <c r="AB2" s="10">
        <f ca="1">VLOOKUP(W2,[1]character_tribe_i18n!$A:$H,5,FALSE)</f>
        <v>0.99</v>
      </c>
      <c r="AC2" s="10">
        <f ca="1">VLOOKUP(W2,[1]character_tribe_i18n!$A:$H,6,FALSE)</f>
        <v>1</v>
      </c>
      <c r="AD2" s="10">
        <f ca="1">VLOOKUP(W2,[1]character_tribe_i18n!$A:$H,7,FALSE)</f>
        <v>1.07</v>
      </c>
      <c r="AE2" s="187" t="s">
        <v>341</v>
      </c>
      <c r="AF2" s="58" t="str">
        <f ca="1">IF(AE2="NULL","",VLOOKUP($AE2,OFFSET([1]characters!$A$1,0,0,COUNTA([1]characters!$A:$A),MATCH(AF$1,[1]characters!$1:$1,0)-MATCH($A$1,[1]characters!$1:$1,0)+1),MATCH(AF$1,[1]characters!$1:$1,0)-MATCH($A$1,[1]characters!$1:$1,0)+1,FALSE))</f>
        <v/>
      </c>
      <c r="AG2" s="187">
        <v>678</v>
      </c>
      <c r="AH2" s="58" t="str">
        <f ca="1">VLOOKUP($AG2,OFFSET([1]characters!$A$1,0,0,COUNTA([1]characters!$A:$A),MATCH(AH$1,[1]characters!$1:$1,0)-MATCH($A$1,[1]characters!$1:$1,0)+1),MATCH(AH$1,[1]characters!$1:$1,0)-MATCH($A$1,[1]characters!$1:$1,0)+1,FALSE)</f>
        <v>レイヴン</v>
      </c>
      <c r="AI2" s="10" t="str">
        <f>IF(AE2="NULL","NULL",VLOOKUP(G2,ビット!$A$2:$B$7,2))</f>
        <v>NULL</v>
      </c>
      <c r="AJ2" s="6">
        <v>2</v>
      </c>
      <c r="AK2" s="7" t="str">
        <f t="shared" ref="AK2" si="1">IF(AJ2=1,"早熟",IF(AJ2=2,"普通",IF(AJ2=3,"晩成","")))</f>
        <v>普通</v>
      </c>
      <c r="AL2" s="10" t="str">
        <f ca="1">INDEX(経験値!$A$1:$I$21,MATCH(H2,経験値!$A$1:$A$21,FALSE),MATCH(G2,経験値!$A$1:$I$1,FALSE))</f>
        <v>required_exp_250</v>
      </c>
      <c r="AM2" s="8">
        <f ca="1">VLOOKUP(G2,経験値!$A$28:$B$32,2)</f>
        <v>6400</v>
      </c>
      <c r="AN2" s="16">
        <f ca="1">VLOOKUP(G2,ビット!$G$2:$H$7,2)</f>
        <v>900</v>
      </c>
      <c r="AO2" s="41"/>
      <c r="AP2" s="63">
        <v>1092</v>
      </c>
      <c r="AQ2" s="53" t="str">
        <f ca="1">VLOOKUP($AP2,OFFSET(unit_skills!$A$1,0,0,COUNTA(unit_skills!$A:$A),MATCH(AQ$1,unit_skills!$1:$1,0)-MATCH($AP$1,unit_skills!$1:$1,0)+1),MATCH(AQ$1,unit_skills!$1:$1,0)-MATCH($AP$1,unit_skills!$1:$1,0)+1,FALSE)</f>
        <v>ヴィント・フェアシーセン</v>
      </c>
      <c r="AR2" s="53" t="str">
        <f ca="1">VLOOKUP($AP2,OFFSET(unit_skills!$A$1,0,0,COUNTA(unit_skills!$A:$A),MATCH(AR$1,unit_skills!$1:$1,0)-MATCH($AP$1,unit_skills!$1:$1,0)+1),MATCH(AR$1,unit_skills!$1:$1,0)-MATCH($AP$1,unit_skills!$1:$1,0)+1,FALSE)</f>
        <v>ランダムで最大4個SCP変換+1ターン自身の攻撃力UP(ハート吸収し効果超大UP)+2ターン自身が先頭以外でも通常攻撃に参加</v>
      </c>
      <c r="AS2" s="53">
        <f ca="1">VLOOKUP($AP2,OFFSET(unit_skills!$A$1,0,0,COUNTA(unit_skills!$A:$A),MATCH(AS$1,unit_skills!$1:$1,0)-MATCH($AP$1,unit_skills!$1:$1,0)+1),MATCH(AS$1,unit_skills!$1:$1,0)-MATCH($AP$1,unit_skills!$1:$1,0)+1,FALSE)</f>
        <v>0</v>
      </c>
      <c r="AT2" s="63">
        <v>1092</v>
      </c>
      <c r="AU2" s="53" t="str">
        <f ca="1">VLOOKUP($AT2,OFFSET(crash_skills!$A$1,0,0,COUNTA(crash_skills!$A:$A),MATCH(AU$1,crash_skills!$1:$1,0)-MATCH($AT$1,crash_skills!$1:$1,0)+1),MATCH(AU$1,crash_skills!$1:$1,0)-MATCH($AT$1,crash_skills!$1:$1,0)+1,FALSE)</f>
        <v>エメラ・リボリューション</v>
      </c>
      <c r="AV2" s="53" t="str">
        <f ca="1">VLOOKUP($AT2,OFFSET(crash_skills!$A$1,0,0,COUNTA(crash_skills!$A:$A),MATCH(AV$1,crash_skills!$1:$1,0)-MATCH($AT$1,crash_skills!$1:$1,0)+1),MATCH(AV$1,crash_skills!$1:$1,0)-MATCH($AT$1,crash_skills!$1:$1,0)+1,FALSE)</f>
        <v>1体に特大ダメージ</v>
      </c>
      <c r="AW2" s="53">
        <f ca="1">VLOOKUP($AT2,OFFSET(crash_skills!$A$1,0,0,COUNTA(crash_skills!$A:$A),MATCH(AW$1,crash_skills!$1:$1,0)-MATCH($AT$1,crash_skills!$1:$1,0)+1),MATCH(AW$1,crash_skills!$1:$1,0)-MATCH($AT$1,crash_skills!$1:$1,0)+1,FALSE)</f>
        <v>0</v>
      </c>
      <c r="AX2" s="54">
        <f ca="1">VLOOKUP($A2,OFFSET([1]characters!$A$1,0,0,COUNTA([1]characters!$A:$A),MATCH(AX$1,[1]characters!$1:$1,0)-MATCH($A$1,[1]characters!$1:$1,0)+1),MATCH(AX$1,[1]characters!$1:$1,0)-MATCH($A$1,[1]characters!$1:$1,0)+1,FALSE)</f>
        <v>3</v>
      </c>
      <c r="AY2" s="64">
        <v>0.96599999999999997</v>
      </c>
      <c r="AZ2" s="64">
        <v>0.996</v>
      </c>
      <c r="BA2" s="64">
        <v>0</v>
      </c>
      <c r="BB2" s="64">
        <v>0.76500000000000001</v>
      </c>
      <c r="BC2" s="10">
        <f ca="1">INDEX('RC6SV'!$A$1:$G$21,MATCH(H2,'RC6SV'!$A$1:$A$21,FALSE),MATCH(G2,'RC6SV'!$A$1:$G$1,FALSE))</f>
        <v>13000</v>
      </c>
      <c r="BD2" s="44">
        <f t="shared" ref="BD2" ca="1" si="2">ROUND(BC2*IF(AJ2=1,0.95,IF(AJ2=2,1,IF(AJ2,1.05,0))),0)</f>
        <v>13000</v>
      </c>
      <c r="BE2" s="10">
        <f t="shared" ref="BE2:BE9" ca="1" si="3">ROUND(IFERROR(INDIRECT(ADDRESS(MATCH($A2,$AE:$AE,0),MATCH($BC$1,$1:$1,0))),0),0)</f>
        <v>0</v>
      </c>
      <c r="BF2" s="10">
        <f t="shared" ref="BF2:BF9" ca="1" si="4">ROUND(IFERROR(INDIRECT(ADDRESS(MATCH($A2,$AE:$AE,0),10)),INDIRECT(ADDRESS(MATCH($A2,$A:$A,0),10))),0)</f>
        <v>1</v>
      </c>
      <c r="BG2" s="15">
        <f ca="1">IF($BE2&lt;=0,ROUND(BK2*0.5,0), ROUND($BE2*S2*AA2*J2*AY2*0.8*[1]ステータス!$B$2,0))</f>
        <v>3010</v>
      </c>
      <c r="BH2" s="15">
        <f ca="1">IF($BE2&lt;=0,ROUND(BL2*0.5,0), ROUND($BE2*T2*AB2*K2*AZ2*0.8*[1]ステータス!$C$2,0))</f>
        <v>2506</v>
      </c>
      <c r="BI2" s="15">
        <f ca="1">IF($BE2&lt;=0,ROUND(BM2*0.5,0), ROUND($BE2*U2*AC2*L2*BA2*0.8*[1]ステータス!$D$2,0))</f>
        <v>0</v>
      </c>
      <c r="BJ2" s="15">
        <f ca="1">IF($BE2&lt;=0,ROUND(BN2*0.5,0), ROUND($BE2*V2*AD2*M2*BB2*0.8*[1]ステータス!$E$2,0))</f>
        <v>891</v>
      </c>
      <c r="BK2" s="10">
        <f ca="1">ROUND(BD2*S2*AA2*J2*AY2*[1]ステータス!$B$2,0)</f>
        <v>6020</v>
      </c>
      <c r="BL2" s="10">
        <f ca="1">ROUND(BD2*T2*AB2*K2*AZ2*[1]ステータス!$C$2,0)</f>
        <v>5012</v>
      </c>
      <c r="BM2" s="10">
        <f ca="1">ROUND(BD2*U2*AC2*L2*BA2*[1]ステータス!$D$2,0)</f>
        <v>0</v>
      </c>
      <c r="BN2" s="10">
        <f ca="1">ROUND(BD2*V2*AD2*M2*BB2*[1]ステータス!$E$2,0)</f>
        <v>1782</v>
      </c>
      <c r="BO2" s="9">
        <v>0</v>
      </c>
      <c r="BP2" s="9">
        <v>1</v>
      </c>
      <c r="BQ2" s="36" t="s">
        <v>47</v>
      </c>
      <c r="BR2" s="9">
        <f ca="1">VLOOKUP(H2,[2]ghosts_label!$A$2:$B$19,2,FALSE)</f>
        <v>5500</v>
      </c>
    </row>
    <row r="3" spans="1:70" ht="26" customHeight="1" x14ac:dyDescent="0.15">
      <c r="A3" s="186">
        <v>1409</v>
      </c>
      <c r="B3" s="53" t="str">
        <f ca="1">VLOOKUP($A3,OFFSET([1]characters!$A$1,0,0,COUNTA([1]characters!$A:$A),MATCH(B$1,[1]characters!$1:$1,0)-MATCH($A$1,[1]characters!$1:$1,0)+1),MATCH(B$1,[1]characters!$1:$1,0)-MATCH($A$1,[1]characters!$1:$1,0)+1,FALSE)</f>
        <v>マシロ</v>
      </c>
      <c r="C3" s="53">
        <f ca="1">VLOOKUP($A3,OFFSET([1]characters!$A$1,0,0,COUNTA([1]characters!$A:$A),MATCH(C$1,[1]characters!$1:$1,0)-MATCH($A$1,[1]characters!$1:$1,0)+1),MATCH(C$1,[1]characters!$1:$1,0)-MATCH($A$1,[1]characters!$1:$1,0)+1,FALSE)</f>
        <v>0</v>
      </c>
      <c r="D3" s="53">
        <f ca="1">VLOOKUP($A3,OFFSET([1]characters!$A$1,0,0,COUNTA([1]characters!$A:$A),MATCH(D$1,[1]characters!$1:$1,0)-MATCH($A$1,[1]characters!$1:$1,0)+1),MATCH(D$1,[1]characters!$1:$1,0)-MATCH($A$1,[1]characters!$1:$1,0)+1,FALSE)</f>
        <v>0</v>
      </c>
      <c r="E3" s="53">
        <f ca="1">VLOOKUP($A3,OFFSET([1]characters!$A$1,0,0,COUNTA([1]characters!$A:$A),MATCH(E$1,[1]characters!$1:$1,0)-MATCH($A$1,[1]characters!$1:$1,0)+1),MATCH(E$1,[1]characters!$1:$1,0)-MATCH($A$1,[1]characters!$1:$1,0)+1,FALSE)</f>
        <v>0</v>
      </c>
      <c r="F3" s="53">
        <f ca="1">VLOOKUP($A3,OFFSET([1]characters!$A$1,0,0,COUNTA([1]characters!$A:$A),MATCH(F$1,[1]characters!$1:$1,0)-MATCH($A$1,[1]characters!$1:$1,0)+1),MATCH(F$1,[1]characters!$1:$1,0)-MATCH($A$1,[1]characters!$1:$1,0)+1,FALSE)</f>
        <v>0</v>
      </c>
      <c r="G3" s="53">
        <f ca="1">VLOOKUP($A3,OFFSET([1]characters!$A$1,0,0,COUNTA([1]characters!$A:$A),MATCH(G$1,[1]characters!$1:$1,0)-MATCH($A$1,[1]characters!$1:$1,0)+1),MATCH(G$1,[1]characters!$1:$1,0)-MATCH($A$1,[1]characters!$1:$1,0)+1,FALSE)</f>
        <v>5</v>
      </c>
      <c r="H3" s="53" t="str">
        <f ca="1">VLOOKUP($A3,OFFSET([1]characters!$A$1,0,0,COUNTA([1]characters!$A:$A),MATCH(H$1,[1]characters!$1:$1,0)-MATCH($A$1,[1]characters!$1:$1,0)+1),MATCH(H$1,[1]characters!$1:$1,0)-MATCH($A$1,[1]characters!$1:$1,0)+1,FALSE)</f>
        <v>PremiumSS</v>
      </c>
      <c r="I3" s="53" t="str">
        <f ca="1">VLOOKUP($A3,OFFSET([1]characters!$A$1,0,0,COUNTA([1]characters!$A:$A),MATCH(I$1,[1]characters!$1:$1,0)-MATCH($A$1,[1]characters!$1:$1,0)+1),MATCH(I$1,[1]characters!$1:$1,0)-MATCH($A$1,[1]characters!$1:$1,0)+1,FALSE)</f>
        <v>green</v>
      </c>
      <c r="J3" s="10">
        <f ca="1">VLOOKUP(I3,[1]属性!$A:$E,2,FALSE)</f>
        <v>1.02</v>
      </c>
      <c r="K3" s="10">
        <f ca="1">VLOOKUP(I3,[1]属性!$A:$E,3,FALSE)</f>
        <v>0.98</v>
      </c>
      <c r="L3" s="10">
        <f ca="1">VLOOKUP(I3,[1]属性!$A:$E,4,FALSE)</f>
        <v>1</v>
      </c>
      <c r="M3" s="10">
        <f ca="1">VLOOKUP(I3,[1]属性!$A:$E,5,FALSE)</f>
        <v>1</v>
      </c>
      <c r="N3" s="10">
        <f ca="1">INDEX(コスト!$A$1:$I$21,MATCH(H3,コスト!$A$1:$A$21,FALSE),MATCH(G3,コスト!$A$1:$I$1,FALSE))</f>
        <v>35</v>
      </c>
      <c r="O3" s="10">
        <f ca="1">INDEX(レベル!$A$1:$I$22,MATCH(H3,レベル!$A$1:$A$22,FALSE),MATCH(G3,レベル!$A$1:$I$1,FALSE))</f>
        <v>80</v>
      </c>
      <c r="P3" s="44">
        <f t="shared" ca="1" si="0"/>
        <v>75</v>
      </c>
      <c r="Q3" s="53" t="str">
        <f ca="1">VLOOKUP($A3,OFFSET([1]characters!$A$1,0,0,COUNTA([1]characters!$A:$A),MATCH(Q$1,[1]characters!$1:$1,0)-MATCH($A$1,[1]characters!$1:$1,0)+1),MATCH(Q$1,[1]characters!$1:$1,0)-MATCH($A$1,[1]characters!$1:$1,0)+1,FALSE)</f>
        <v>heal</v>
      </c>
      <c r="R3" s="5" t="str">
        <f ca="1">VLOOKUP(Q3,[1]character_type_i18n!$A:$H,3,FALSE)</f>
        <v>回復タイプ</v>
      </c>
      <c r="S3" s="10">
        <f ca="1">VLOOKUP(Q3,[1]character_type_i18n!$A:$H,4,FALSE)</f>
        <v>0.8</v>
      </c>
      <c r="T3" s="10">
        <f ca="1">VLOOKUP(Q3,[1]character_type_i18n!$A:$H,5,FALSE)</f>
        <v>0.78</v>
      </c>
      <c r="U3" s="10">
        <f ca="1">VLOOKUP(Q3,[1]character_type_i18n!$A:$H,6,FALSE)</f>
        <v>1</v>
      </c>
      <c r="V3" s="10">
        <f ca="1">VLOOKUP(Q3,[1]character_type_i18n!$A:$H,7,FALSE)</f>
        <v>1.42</v>
      </c>
      <c r="W3" s="53" t="str">
        <f ca="1">VLOOKUP($A3,OFFSET([1]characters!$A$1,0,0,COUNTA([1]characters!$A:$A),MATCH(W$1,[1]characters!$1:$1,0)-MATCH($A$1,[1]characters!$1:$1,0)+1),MATCH(W$1,[1]characters!$1:$1,0)-MATCH($A$1,[1]characters!$1:$1,0)+1,FALSE)</f>
        <v>human</v>
      </c>
      <c r="X3" s="5" t="str">
        <f ca="1">VLOOKUP(W3,[1]character_tribe_i18n!$A:$H,3,FALSE)</f>
        <v>ヒューマン</v>
      </c>
      <c r="Y3" s="53" t="str">
        <f ca="1">VLOOKUP($A3,OFFSET([1]characters!$A$1,0,0,COUNTA([1]characters!$A:$A),MATCH(Y$1,[1]characters!$1:$1,0)-MATCH($A$1,[1]characters!$1:$1,0)+1),MATCH(Y$1,[1]characters!$1:$1,0)-MATCH($A$1,[1]characters!$1:$1,0)+1,FALSE)</f>
        <v>none</v>
      </c>
      <c r="Z3" s="5" t="str">
        <f ca="1">VLOOKUP(Y3,[1]character_tribe_i18n!$A:$H,3,FALSE)</f>
        <v>種族なし</v>
      </c>
      <c r="AA3" s="10">
        <f ca="1">VLOOKUP(W3,[1]character_tribe_i18n!$A:$H,4,FALSE)</f>
        <v>0.94</v>
      </c>
      <c r="AB3" s="10">
        <f ca="1">VLOOKUP(W3,[1]character_tribe_i18n!$A:$H,5,FALSE)</f>
        <v>0.99</v>
      </c>
      <c r="AC3" s="10">
        <f ca="1">VLOOKUP(W3,[1]character_tribe_i18n!$A:$H,6,FALSE)</f>
        <v>1</v>
      </c>
      <c r="AD3" s="10">
        <f ca="1">VLOOKUP(W3,[1]character_tribe_i18n!$A:$H,7,FALSE)</f>
        <v>1.07</v>
      </c>
      <c r="AE3" s="187">
        <v>1410</v>
      </c>
      <c r="AF3" s="58" t="str">
        <f ca="1">IF(AE3="NULL","",VLOOKUP($AE3,OFFSET([1]characters!$A$1,0,0,COUNTA([1]characters!$A:$A),MATCH(AF$1,[1]characters!$1:$1,0)-MATCH($A$1,[1]characters!$1:$1,0)+1),MATCH(AF$1,[1]characters!$1:$1,0)-MATCH($A$1,[1]characters!$1:$1,0)+1,FALSE))</f>
        <v>浮遊する白恋 マシロ</v>
      </c>
      <c r="AG3" s="187">
        <v>1409</v>
      </c>
      <c r="AH3" s="58" t="str">
        <f ca="1">VLOOKUP($AG3,OFFSET([1]characters!$A$1,0,0,COUNTA([1]characters!$A:$A),MATCH(AH$1,[1]characters!$1:$1,0)-MATCH($A$1,[1]characters!$1:$1,0)+1),MATCH(AH$1,[1]characters!$1:$1,0)-MATCH($A$1,[1]characters!$1:$1,0)+1,FALSE)</f>
        <v>マシロ</v>
      </c>
      <c r="AI3" s="10">
        <f ca="1">IF(AE3="NULL","NULL",VLOOKUP(G3,ビット!$A$2:$B$7,2))</f>
        <v>200000</v>
      </c>
      <c r="AJ3" s="6">
        <v>2</v>
      </c>
      <c r="AK3" s="7" t="str">
        <f t="shared" ref="AK3:AK4" si="5">IF(AJ3=1,"早熟",IF(AJ3=2,"普通",IF(AJ3=3,"晩成","")))</f>
        <v>普通</v>
      </c>
      <c r="AL3" s="10" t="str">
        <f ca="1">INDEX(経験値!$A$1:$I$21,MATCH(H3,経験値!$A$1:$A$21,FALSE),MATCH(G3,経験値!$A$1:$I$1,FALSE))</f>
        <v>required_exp_200</v>
      </c>
      <c r="AM3" s="8">
        <f ca="1">VLOOKUP(G3,経験値!$A$28:$B$32,2)</f>
        <v>6400</v>
      </c>
      <c r="AN3" s="16">
        <f ca="1">VLOOKUP(G3,ビット!$G$2:$H$7,2)</f>
        <v>900</v>
      </c>
      <c r="AO3" s="41"/>
      <c r="AP3" s="63">
        <v>1409</v>
      </c>
      <c r="AQ3" s="53" t="str">
        <f ca="1">VLOOKUP($AP3,OFFSET(unit_skills!$A$1,0,0,COUNTA(unit_skills!$A:$A),MATCH(AQ$1,unit_skills!$1:$1,0)-MATCH($AP$1,unit_skills!$1:$1,0)+1),MATCH(AQ$1,unit_skills!$1:$1,0)-MATCH($AP$1,unit_skills!$1:$1,0)+1,FALSE)</f>
        <v>ラヴ・イズ・バック</v>
      </c>
      <c r="AR3" s="53" t="str">
        <f ca="1">VLOOKUP($AP3,OFFSET(unit_skills!$A$1,0,0,COUNTA(unit_skills!$A:$A),MATCH(AR$1,unit_skills!$1:$1,0)-MATCH($AP$1,unit_skills!$1:$1,0)+1),MATCH(AR$1,unit_skills!$1:$1,0)-MATCH($AP$1,unit_skills!$1:$1,0)+1,FALSE)</f>
        <v>緑パネルを最大10個Cパネルに、赤・黄パネルをハートパネルに、青パネルを緑パネルに変換+自身にバリア5000を展開</v>
      </c>
      <c r="AS3" s="53">
        <f ca="1">VLOOKUP($AP3,OFFSET(unit_skills!$A$1,0,0,COUNTA(unit_skills!$A:$A),MATCH(AS$1,unit_skills!$1:$1,0)-MATCH($AP$1,unit_skills!$1:$1,0)+1),MATCH(AS$1,unit_skills!$1:$1,0)-MATCH($AP$1,unit_skills!$1:$1,0)+1,FALSE)</f>
        <v>0</v>
      </c>
      <c r="AT3" s="63">
        <v>1409</v>
      </c>
      <c r="AU3" s="53" t="str">
        <f ca="1">VLOOKUP($AT3,OFFSET(crash_skills!$A$1,0,0,COUNTA(crash_skills!$A:$A),MATCH(AU$1,crash_skills!$1:$1,0)-MATCH($AT$1,crash_skills!$1:$1,0)+1),MATCH(AU$1,crash_skills!$1:$1,0)-MATCH($AT$1,crash_skills!$1:$1,0)+1,FALSE)</f>
        <v>フライ・ミー・トゥ・ユー</v>
      </c>
      <c r="AV3" s="53" t="str">
        <f ca="1">VLOOKUP($AT3,OFFSET(crash_skills!$A$1,0,0,COUNTA(crash_skills!$A:$A),MATCH(AV$1,crash_skills!$1:$1,0)-MATCH($AT$1,crash_skills!$1:$1,0)+1),MATCH(AV$1,crash_skills!$1:$1,0)-MATCH($AT$1,crash_skills!$1:$1,0)+1,FALSE)</f>
        <v>自身の回復力に比例して_x000D_全体に超大ダメージ</v>
      </c>
      <c r="AW3" s="53">
        <f ca="1">VLOOKUP($AT3,OFFSET(crash_skills!$A$1,0,0,COUNTA(crash_skills!$A:$A),MATCH(AW$1,crash_skills!$1:$1,0)-MATCH($AT$1,crash_skills!$1:$1,0)+1),MATCH(AW$1,crash_skills!$1:$1,0)-MATCH($AT$1,crash_skills!$1:$1,0)+1,FALSE)</f>
        <v>0</v>
      </c>
      <c r="AX3" s="54">
        <f ca="1">VLOOKUP($A3,OFFSET([1]characters!$A$1,0,0,COUNTA([1]characters!$A:$A),MATCH(AX$1,[1]characters!$1:$1,0)-MATCH($A$1,[1]characters!$1:$1,0)+1),MATCH(AX$1,[1]characters!$1:$1,0)-MATCH($A$1,[1]characters!$1:$1,0)+1,FALSE)</f>
        <v>3</v>
      </c>
      <c r="AY3" s="64">
        <v>0.80200000000000005</v>
      </c>
      <c r="AZ3" s="64">
        <v>0.68200000000000005</v>
      </c>
      <c r="BA3" s="64">
        <v>0</v>
      </c>
      <c r="BB3" s="64">
        <v>1.056</v>
      </c>
      <c r="BC3" s="10">
        <f ca="1">INDEX('RC6SV'!$A$1:$G$21,MATCH(H3,'RC6SV'!$A$1:$A$21,FALSE),MATCH(G3,'RC6SV'!$A$1:$G$1,FALSE))</f>
        <v>9500</v>
      </c>
      <c r="BD3" s="44">
        <f t="shared" ref="BD3:BD4" ca="1" si="6">ROUND(BC3*IF(AJ3=1,0.95,IF(AJ3=2,1,IF(AJ3,1.05,0))),0)</f>
        <v>9500</v>
      </c>
      <c r="BE3" s="10">
        <f t="shared" ca="1" si="3"/>
        <v>0</v>
      </c>
      <c r="BF3" s="10">
        <f t="shared" ca="1" si="4"/>
        <v>1</v>
      </c>
      <c r="BG3" s="15">
        <f ca="1">IF($BE3&lt;=0,ROUND(BK3*0.5,0), ROUND($BE3*S3*AA3*J3*AY3*0.8*[1]ステータス!$B$2,0))</f>
        <v>1461</v>
      </c>
      <c r="BH3" s="15">
        <f ca="1">IF($BE3&lt;=0,ROUND(BL3*0.5,0), ROUND($BE3*T3*AB3*K3*AZ3*0.8*[1]ステータス!$C$2,0))</f>
        <v>736</v>
      </c>
      <c r="BI3" s="15">
        <f ca="1">IF($BE3&lt;=0,ROUND(BM3*0.5,0), ROUND($BE3*U3*AC3*L3*BA3*0.8*[1]ステータス!$D$2,0))</f>
        <v>0</v>
      </c>
      <c r="BJ3" s="15">
        <f ca="1">IF($BE3&lt;=0,ROUND(BN3*0.5,0), ROUND($BE3*V3*AD3*M3*BB3*0.8*[1]ステータス!$E$2,0))</f>
        <v>1906</v>
      </c>
      <c r="BK3" s="10">
        <f ca="1">ROUND(BD3*S3*AA3*J3*AY3*[1]ステータス!$B$2,0)</f>
        <v>2922</v>
      </c>
      <c r="BL3" s="10">
        <f ca="1">ROUND(BD3*T3*AB3*K3*AZ3*[1]ステータス!$C$2,0)</f>
        <v>1471</v>
      </c>
      <c r="BM3" s="10">
        <f ca="1">ROUND(BD3*U3*AC3*L3*BA3*[1]ステータス!$D$2,0)</f>
        <v>0</v>
      </c>
      <c r="BN3" s="10">
        <f ca="1">ROUND(BD3*V3*AD3*M3*BB3*[1]ステータス!$E$2,0)</f>
        <v>3811</v>
      </c>
      <c r="BO3" s="9">
        <v>0</v>
      </c>
      <c r="BP3" s="9">
        <v>1</v>
      </c>
      <c r="BQ3" s="9" t="s">
        <v>47</v>
      </c>
      <c r="BR3" s="9">
        <f ca="1">VLOOKUP(H3,[2]ghosts_label!$A$2:$B$19,2,FALSE)</f>
        <v>5500</v>
      </c>
    </row>
    <row r="4" spans="1:70" ht="26" customHeight="1" x14ac:dyDescent="0.15">
      <c r="A4" s="186">
        <v>1410</v>
      </c>
      <c r="B4" s="53" t="str">
        <f ca="1">VLOOKUP($A4,OFFSET([1]characters!$A$1,0,0,COUNTA([1]characters!$A:$A),MATCH(B$1,[1]characters!$1:$1,0)-MATCH($A$1,[1]characters!$1:$1,0)+1),MATCH(B$1,[1]characters!$1:$1,0)-MATCH($A$1,[1]characters!$1:$1,0)+1,FALSE)</f>
        <v>浮遊する白恋 マシロ</v>
      </c>
      <c r="C4" s="53">
        <f ca="1">VLOOKUP($A4,OFFSET([1]characters!$A$1,0,0,COUNTA([1]characters!$A:$A),MATCH(C$1,[1]characters!$1:$1,0)-MATCH($A$1,[1]characters!$1:$1,0)+1),MATCH(C$1,[1]characters!$1:$1,0)-MATCH($A$1,[1]characters!$1:$1,0)+1,FALSE)</f>
        <v>0</v>
      </c>
      <c r="D4" s="53">
        <f ca="1">VLOOKUP($A4,OFFSET([1]characters!$A$1,0,0,COUNTA([1]characters!$A:$A),MATCH(D$1,[1]characters!$1:$1,0)-MATCH($A$1,[1]characters!$1:$1,0)+1),MATCH(D$1,[1]characters!$1:$1,0)-MATCH($A$1,[1]characters!$1:$1,0)+1,FALSE)</f>
        <v>0</v>
      </c>
      <c r="E4" s="53">
        <f ca="1">VLOOKUP($A4,OFFSET([1]characters!$A$1,0,0,COUNTA([1]characters!$A:$A),MATCH(E$1,[1]characters!$1:$1,0)-MATCH($A$1,[1]characters!$1:$1,0)+1),MATCH(E$1,[1]characters!$1:$1,0)-MATCH($A$1,[1]characters!$1:$1,0)+1,FALSE)</f>
        <v>0</v>
      </c>
      <c r="F4" s="53">
        <f ca="1">VLOOKUP($A4,OFFSET([1]characters!$A$1,0,0,COUNTA([1]characters!$A:$A),MATCH(F$1,[1]characters!$1:$1,0)-MATCH($A$1,[1]characters!$1:$1,0)+1),MATCH(F$1,[1]characters!$1:$1,0)-MATCH($A$1,[1]characters!$1:$1,0)+1,FALSE)</f>
        <v>0</v>
      </c>
      <c r="G4" s="53">
        <f ca="1">VLOOKUP($A4,OFFSET([1]characters!$A$1,0,0,COUNTA([1]characters!$A:$A),MATCH(G$1,[1]characters!$1:$1,0)-MATCH($A$1,[1]characters!$1:$1,0)+1),MATCH(G$1,[1]characters!$1:$1,0)-MATCH($A$1,[1]characters!$1:$1,0)+1,FALSE)</f>
        <v>6</v>
      </c>
      <c r="H4" s="53" t="str">
        <f ca="1">VLOOKUP($A4,OFFSET([1]characters!$A$1,0,0,COUNTA([1]characters!$A:$A),MATCH(H$1,[1]characters!$1:$1,0)-MATCH($A$1,[1]characters!$1:$1,0)+1),MATCH(H$1,[1]characters!$1:$1,0)-MATCH($A$1,[1]characters!$1:$1,0)+1,FALSE)</f>
        <v>PremiumSS</v>
      </c>
      <c r="I4" s="53" t="str">
        <f ca="1">VLOOKUP($A4,OFFSET([1]characters!$A$1,0,0,COUNTA([1]characters!$A:$A),MATCH(I$1,[1]characters!$1:$1,0)-MATCH($A$1,[1]characters!$1:$1,0)+1),MATCH(I$1,[1]characters!$1:$1,0)-MATCH($A$1,[1]characters!$1:$1,0)+1,FALSE)</f>
        <v>green</v>
      </c>
      <c r="J4" s="10">
        <f ca="1">VLOOKUP(I4,[1]属性!$A:$E,2,FALSE)</f>
        <v>1.02</v>
      </c>
      <c r="K4" s="10">
        <f ca="1">VLOOKUP(I4,[1]属性!$A:$E,3,FALSE)</f>
        <v>0.98</v>
      </c>
      <c r="L4" s="10">
        <f ca="1">VLOOKUP(I4,[1]属性!$A:$E,4,FALSE)</f>
        <v>1</v>
      </c>
      <c r="M4" s="10">
        <f ca="1">VLOOKUP(I4,[1]属性!$A:$E,5,FALSE)</f>
        <v>1</v>
      </c>
      <c r="N4" s="10">
        <f ca="1">INDEX(コスト!$A$1:$I$21,MATCH(H4,コスト!$A$1:$A$21,FALSE),MATCH(G4,コスト!$A$1:$I$1,FALSE))</f>
        <v>50</v>
      </c>
      <c r="O4" s="10">
        <f ca="1">INDEX(レベル!$A$1:$I$22,MATCH(H4,レベル!$A$1:$A$22,FALSE),MATCH(G4,レベル!$A$1:$I$1,FALSE))</f>
        <v>99</v>
      </c>
      <c r="P4" s="44">
        <f t="shared" ref="P4:P5" ca="1" si="7">IF(G4 &gt;= 6, 99,G4*15)</f>
        <v>99</v>
      </c>
      <c r="Q4" s="53" t="str">
        <f ca="1">VLOOKUP($A4,OFFSET([1]characters!$A$1,0,0,COUNTA([1]characters!$A:$A),MATCH(Q$1,[1]characters!$1:$1,0)-MATCH($A$1,[1]characters!$1:$1,0)+1),MATCH(Q$1,[1]characters!$1:$1,0)-MATCH($A$1,[1]characters!$1:$1,0)+1,FALSE)</f>
        <v>heal</v>
      </c>
      <c r="R4" s="5" t="str">
        <f ca="1">VLOOKUP(Q4,[1]character_type_i18n!$A:$H,3,FALSE)</f>
        <v>回復タイプ</v>
      </c>
      <c r="S4" s="10">
        <f ca="1">VLOOKUP(Q4,[1]character_type_i18n!$A:$H,4,FALSE)</f>
        <v>0.8</v>
      </c>
      <c r="T4" s="10">
        <f ca="1">VLOOKUP(Q4,[1]character_type_i18n!$A:$H,5,FALSE)</f>
        <v>0.78</v>
      </c>
      <c r="U4" s="10">
        <f ca="1">VLOOKUP(Q4,[1]character_type_i18n!$A:$H,6,FALSE)</f>
        <v>1</v>
      </c>
      <c r="V4" s="10">
        <f ca="1">VLOOKUP(Q4,[1]character_type_i18n!$A:$H,7,FALSE)</f>
        <v>1.42</v>
      </c>
      <c r="W4" s="53" t="str">
        <f ca="1">VLOOKUP($A4,OFFSET([1]characters!$A$1,0,0,COUNTA([1]characters!$A:$A),MATCH(W$1,[1]characters!$1:$1,0)-MATCH($A$1,[1]characters!$1:$1,0)+1),MATCH(W$1,[1]characters!$1:$1,0)-MATCH($A$1,[1]characters!$1:$1,0)+1,FALSE)</f>
        <v>human</v>
      </c>
      <c r="X4" s="5" t="str">
        <f ca="1">VLOOKUP(W4,[1]character_tribe_i18n!$A:$H,3,FALSE)</f>
        <v>ヒューマン</v>
      </c>
      <c r="Y4" s="53" t="str">
        <f ca="1">VLOOKUP($A4,OFFSET([1]characters!$A$1,0,0,COUNTA([1]characters!$A:$A),MATCH(Y$1,[1]characters!$1:$1,0)-MATCH($A$1,[1]characters!$1:$1,0)+1),MATCH(Y$1,[1]characters!$1:$1,0)-MATCH($A$1,[1]characters!$1:$1,0)+1,FALSE)</f>
        <v>none</v>
      </c>
      <c r="Z4" s="5" t="str">
        <f ca="1">VLOOKUP(Y4,[1]character_tribe_i18n!$A:$H,3,FALSE)</f>
        <v>種族なし</v>
      </c>
      <c r="AA4" s="10">
        <f ca="1">VLOOKUP(W4,[1]character_tribe_i18n!$A:$H,4,FALSE)</f>
        <v>0.94</v>
      </c>
      <c r="AB4" s="10">
        <f ca="1">VLOOKUP(W4,[1]character_tribe_i18n!$A:$H,5,FALSE)</f>
        <v>0.99</v>
      </c>
      <c r="AC4" s="10">
        <f ca="1">VLOOKUP(W4,[1]character_tribe_i18n!$A:$H,6,FALSE)</f>
        <v>1</v>
      </c>
      <c r="AD4" s="10">
        <f ca="1">VLOOKUP(W4,[1]character_tribe_i18n!$A:$H,7,FALSE)</f>
        <v>1.07</v>
      </c>
      <c r="AE4" s="187" t="s">
        <v>341</v>
      </c>
      <c r="AF4" s="58" t="str">
        <f ca="1">IF(AE4="NULL","",VLOOKUP($AE4,OFFSET([1]characters!$A$1,0,0,COUNTA([1]characters!$A:$A),MATCH(AF$1,[1]characters!$1:$1,0)-MATCH($A$1,[1]characters!$1:$1,0)+1),MATCH(AF$1,[1]characters!$1:$1,0)-MATCH($A$1,[1]characters!$1:$1,0)+1,FALSE))</f>
        <v/>
      </c>
      <c r="AG4" s="187">
        <v>1409</v>
      </c>
      <c r="AH4" s="58" t="str">
        <f ca="1">VLOOKUP($AG4,OFFSET([1]characters!$A$1,0,0,COUNTA([1]characters!$A:$A),MATCH(AH$1,[1]characters!$1:$1,0)-MATCH($A$1,[1]characters!$1:$1,0)+1),MATCH(AH$1,[1]characters!$1:$1,0)-MATCH($A$1,[1]characters!$1:$1,0)+1,FALSE)</f>
        <v>マシロ</v>
      </c>
      <c r="AI4" s="10" t="str">
        <f>IF(AE4="NULL","NULL",VLOOKUP(G4,ビット!$A$2:$B$7,2))</f>
        <v>NULL</v>
      </c>
      <c r="AJ4" s="6">
        <v>2</v>
      </c>
      <c r="AK4" s="7" t="str">
        <f t="shared" si="5"/>
        <v>普通</v>
      </c>
      <c r="AL4" s="10" t="str">
        <f ca="1">INDEX(経験値!$A$1:$I$21,MATCH(H4,経験値!$A$1:$A$21,FALSE),MATCH(G4,経験値!$A$1:$I$1,FALSE))</f>
        <v>required_exp_250</v>
      </c>
      <c r="AM4" s="8">
        <f ca="1">VLOOKUP(G4,経験値!$A$28:$B$32,2)</f>
        <v>6400</v>
      </c>
      <c r="AN4" s="16">
        <f ca="1">VLOOKUP(G4,ビット!$G$2:$H$7,2)</f>
        <v>900</v>
      </c>
      <c r="AO4" s="41"/>
      <c r="AP4" s="63">
        <v>1410</v>
      </c>
      <c r="AQ4" s="53" t="str">
        <f ca="1">VLOOKUP($AP4,OFFSET(unit_skills!$A$1,0,0,COUNTA(unit_skills!$A:$A),MATCH(AQ$1,unit_skills!$1:$1,0)-MATCH($AP$1,unit_skills!$1:$1,0)+1),MATCH(AQ$1,unit_skills!$1:$1,0)-MATCH($AP$1,unit_skills!$1:$1,0)+1,FALSE)</f>
        <v>ラヴ・イズ・バック＆ヒア</v>
      </c>
      <c r="AR4" s="53" t="str">
        <f ca="1">VLOOKUP($AP4,OFFSET(unit_skills!$A$1,0,0,COUNTA(unit_skills!$A:$A),MATCH(AR$1,unit_skills!$1:$1,0)-MATCH($AP$1,unit_skills!$1:$1,0)+1),MATCH(AR$1,unit_skills!$1:$1,0)-MATCH($AP$1,unit_skills!$1:$1,0)+1,FALSE)</f>
        <v>緑パネルを最大14個Cパネルに、赤・黄パネルをハートパネルに、青パネルを緑パネルに変換+自身にバリア7500を展開</v>
      </c>
      <c r="AS4" s="53">
        <f ca="1">VLOOKUP($AP4,OFFSET(unit_skills!$A$1,0,0,COUNTA(unit_skills!$A:$A),MATCH(AS$1,unit_skills!$1:$1,0)-MATCH($AP$1,unit_skills!$1:$1,0)+1),MATCH(AS$1,unit_skills!$1:$1,0)-MATCH($AP$1,unit_skills!$1:$1,0)+1,FALSE)</f>
        <v>0</v>
      </c>
      <c r="AT4" s="63">
        <v>1410</v>
      </c>
      <c r="AU4" s="53" t="str">
        <f ca="1">VLOOKUP($AT4,OFFSET(crash_skills!$A$1,0,0,COUNTA(crash_skills!$A:$A),MATCH(AU$1,crash_skills!$1:$1,0)-MATCH($AT$1,crash_skills!$1:$1,0)+1),MATCH(AU$1,crash_skills!$1:$1,0)-MATCH($AT$1,crash_skills!$1:$1,0)+1,FALSE)</f>
        <v>フライ・ユー・トゥ・ミー</v>
      </c>
      <c r="AV4" s="53" t="str">
        <f ca="1">VLOOKUP($AT4,OFFSET(crash_skills!$A$1,0,0,COUNTA(crash_skills!$A:$A),MATCH(AV$1,crash_skills!$1:$1,0)-MATCH($AT$1,crash_skills!$1:$1,0)+1),MATCH(AV$1,crash_skills!$1:$1,0)-MATCH($AT$1,crash_skills!$1:$1,0)+1,FALSE)</f>
        <v>自身の回復力に比例して_x000D_全体に激烈ダメージ</v>
      </c>
      <c r="AW4" s="53">
        <f ca="1">VLOOKUP($AT4,OFFSET(crash_skills!$A$1,0,0,COUNTA(crash_skills!$A:$A),MATCH(AW$1,crash_skills!$1:$1,0)-MATCH($AT$1,crash_skills!$1:$1,0)+1),MATCH(AW$1,crash_skills!$1:$1,0)-MATCH($AT$1,crash_skills!$1:$1,0)+1,FALSE)</f>
        <v>0</v>
      </c>
      <c r="AX4" s="54">
        <f ca="1">VLOOKUP($A4,OFFSET([1]characters!$A$1,0,0,COUNTA([1]characters!$A:$A),MATCH(AX$1,[1]characters!$1:$1,0)-MATCH($A$1,[1]characters!$1:$1,0)+1),MATCH(AX$1,[1]characters!$1:$1,0)-MATCH($A$1,[1]characters!$1:$1,0)+1,FALSE)</f>
        <v>3</v>
      </c>
      <c r="AY4" s="64">
        <v>0.80200000000000005</v>
      </c>
      <c r="AZ4" s="64">
        <v>0.68200000000000005</v>
      </c>
      <c r="BA4" s="64">
        <v>0</v>
      </c>
      <c r="BB4" s="64">
        <v>1.056</v>
      </c>
      <c r="BC4" s="10">
        <f ca="1">INDEX('RC6SV'!$A$1:$G$21,MATCH(H4,'RC6SV'!$A$1:$A$21,FALSE),MATCH(G4,'RC6SV'!$A$1:$G$1,FALSE))</f>
        <v>13000</v>
      </c>
      <c r="BD4" s="44">
        <f t="shared" ca="1" si="6"/>
        <v>13000</v>
      </c>
      <c r="BE4" s="10">
        <f t="shared" ca="1" si="3"/>
        <v>9500</v>
      </c>
      <c r="BF4" s="10">
        <f t="shared" ca="1" si="4"/>
        <v>1</v>
      </c>
      <c r="BG4" s="15">
        <f ca="1">IF($BE4&lt;=0,ROUND(BK4*0.5,0), ROUND($BE4*S4*AA4*J4*AY4*0.8*[1]ステータス!$B$2,0))</f>
        <v>2338</v>
      </c>
      <c r="BH4" s="15">
        <f ca="1">IF($BE4&lt;=0,ROUND(BL4*0.5,0), ROUND($BE4*T4*AB4*K4*AZ4*0.8*[1]ステータス!$C$2,0))</f>
        <v>1177</v>
      </c>
      <c r="BI4" s="15">
        <f ca="1">IF($BE4&lt;=0,ROUND(BM4*0.5,0), ROUND($BE4*U4*AC4*L4*BA4*0.8*[1]ステータス!$D$2,0))</f>
        <v>0</v>
      </c>
      <c r="BJ4" s="15">
        <f ca="1">IF($BE4&lt;=0,ROUND(BN4*0.5,0), ROUND($BE4*V4*AD4*M4*BB4*0.8*[1]ステータス!$E$2,0))</f>
        <v>3049</v>
      </c>
      <c r="BK4" s="10">
        <f ca="1">ROUND(BD4*S4*AA4*J4*AY4*[1]ステータス!$B$2,0)</f>
        <v>3999</v>
      </c>
      <c r="BL4" s="10">
        <f ca="1">ROUND(BD4*T4*AB4*K4*AZ4*[1]ステータス!$C$2,0)</f>
        <v>2013</v>
      </c>
      <c r="BM4" s="10">
        <f ca="1">ROUND(BD4*U4*AC4*L4*BA4*[1]ステータス!$D$2,0)</f>
        <v>0</v>
      </c>
      <c r="BN4" s="10">
        <f ca="1">ROUND(BD4*V4*AD4*M4*BB4*[1]ステータス!$E$2,0)</f>
        <v>5215</v>
      </c>
      <c r="BO4" s="9">
        <v>0</v>
      </c>
      <c r="BP4" s="9">
        <v>1</v>
      </c>
      <c r="BQ4" s="36" t="s">
        <v>47</v>
      </c>
      <c r="BR4" s="9">
        <f ca="1">VLOOKUP(H4,[2]ghosts_label!$A$2:$B$19,2,FALSE)</f>
        <v>5500</v>
      </c>
    </row>
    <row r="5" spans="1:70" ht="26" customHeight="1" x14ac:dyDescent="0.15">
      <c r="A5" s="186">
        <v>1407</v>
      </c>
      <c r="B5" s="53" t="str">
        <f ca="1">VLOOKUP($A5,OFFSET([1]characters!$A$1,0,0,COUNTA([1]characters!$A:$A),MATCH(B$1,[1]characters!$1:$1,0)-MATCH($A$1,[1]characters!$1:$1,0)+1),MATCH(B$1,[1]characters!$1:$1,0)-MATCH($A$1,[1]characters!$1:$1,0)+1,FALSE)</f>
        <v>グリム・ザ・ダンディ</v>
      </c>
      <c r="C5" s="53">
        <f ca="1">VLOOKUP($A5,OFFSET([1]characters!$A$1,0,0,COUNTA([1]characters!$A:$A),MATCH(C$1,[1]characters!$1:$1,0)-MATCH($A$1,[1]characters!$1:$1,0)+1),MATCH(C$1,[1]characters!$1:$1,0)-MATCH($A$1,[1]characters!$1:$1,0)+1,FALSE)</f>
        <v>0</v>
      </c>
      <c r="D5" s="53">
        <f ca="1">VLOOKUP($A5,OFFSET([1]characters!$A$1,0,0,COUNTA([1]characters!$A:$A),MATCH(D$1,[1]characters!$1:$1,0)-MATCH($A$1,[1]characters!$1:$1,0)+1),MATCH(D$1,[1]characters!$1:$1,0)-MATCH($A$1,[1]characters!$1:$1,0)+1,FALSE)</f>
        <v>0</v>
      </c>
      <c r="E5" s="53">
        <f ca="1">VLOOKUP($A5,OFFSET([1]characters!$A$1,0,0,COUNTA([1]characters!$A:$A),MATCH(E$1,[1]characters!$1:$1,0)-MATCH($A$1,[1]characters!$1:$1,0)+1),MATCH(E$1,[1]characters!$1:$1,0)-MATCH($A$1,[1]characters!$1:$1,0)+1,FALSE)</f>
        <v>0</v>
      </c>
      <c r="F5" s="53">
        <f ca="1">VLOOKUP($A5,OFFSET([1]characters!$A$1,0,0,COUNTA([1]characters!$A:$A),MATCH(F$1,[1]characters!$1:$1,0)-MATCH($A$1,[1]characters!$1:$1,0)+1),MATCH(F$1,[1]characters!$1:$1,0)-MATCH($A$1,[1]characters!$1:$1,0)+1,FALSE)</f>
        <v>0</v>
      </c>
      <c r="G5" s="53">
        <f ca="1">VLOOKUP($A5,OFFSET([1]characters!$A$1,0,0,COUNTA([1]characters!$A:$A),MATCH(G$1,[1]characters!$1:$1,0)-MATCH($A$1,[1]characters!$1:$1,0)+1),MATCH(G$1,[1]characters!$1:$1,0)-MATCH($A$1,[1]characters!$1:$1,0)+1,FALSE)</f>
        <v>5</v>
      </c>
      <c r="H5" s="53" t="str">
        <f ca="1">VLOOKUP($A5,OFFSET([1]characters!$A$1,0,0,COUNTA([1]characters!$A:$A),MATCH(H$1,[1]characters!$1:$1,0)-MATCH($A$1,[1]characters!$1:$1,0)+1),MATCH(H$1,[1]characters!$1:$1,0)-MATCH($A$1,[1]characters!$1:$1,0)+1,FALSE)</f>
        <v>DropWizS</v>
      </c>
      <c r="I5" s="53" t="str">
        <f ca="1">VLOOKUP($A5,OFFSET([1]characters!$A$1,0,0,COUNTA([1]characters!$A:$A),MATCH(I$1,[1]characters!$1:$1,0)-MATCH($A$1,[1]characters!$1:$1,0)+1),MATCH(I$1,[1]characters!$1:$1,0)-MATCH($A$1,[1]characters!$1:$1,0)+1,FALSE)</f>
        <v>yellow</v>
      </c>
      <c r="J5" s="10">
        <f ca="1">VLOOKUP(I5,[1]属性!$A:$E,2,FALSE)</f>
        <v>0.98</v>
      </c>
      <c r="K5" s="10">
        <f ca="1">VLOOKUP(I5,[1]属性!$A:$E,3,FALSE)</f>
        <v>1.01</v>
      </c>
      <c r="L5" s="10">
        <f ca="1">VLOOKUP(I5,[1]属性!$A:$E,4,FALSE)</f>
        <v>1</v>
      </c>
      <c r="M5" s="10">
        <f ca="1">VLOOKUP(I5,[1]属性!$A:$E,5,FALSE)</f>
        <v>1.01</v>
      </c>
      <c r="N5" s="10">
        <f ca="1">INDEX(コスト!$A$1:$I$21,MATCH(H5,コスト!$A$1:$A$21,FALSE),MATCH(G5,コスト!$A$1:$I$1,FALSE))</f>
        <v>30</v>
      </c>
      <c r="O5" s="10">
        <f ca="1">INDEX(レベル!$A$1:$I$22,MATCH(H5,レベル!$A$1:$A$22,FALSE),MATCH(G5,レベル!$A$1:$I$1,FALSE))</f>
        <v>80</v>
      </c>
      <c r="P5" s="44">
        <f t="shared" ca="1" si="7"/>
        <v>75</v>
      </c>
      <c r="Q5" s="53" t="str">
        <f ca="1">VLOOKUP($A5,OFFSET([1]characters!$A$1,0,0,COUNTA([1]characters!$A:$A),MATCH(Q$1,[1]characters!$1:$1,0)-MATCH($A$1,[1]characters!$1:$1,0)+1),MATCH(Q$1,[1]characters!$1:$1,0)-MATCH($A$1,[1]characters!$1:$1,0)+1,FALSE)</f>
        <v>balance</v>
      </c>
      <c r="R5" s="5" t="str">
        <f ca="1">VLOOKUP(Q5,[1]character_type_i18n!$A:$H,3,FALSE)</f>
        <v>バランスタイプ</v>
      </c>
      <c r="S5" s="10">
        <f ca="1">VLOOKUP(Q5,[1]character_type_i18n!$A:$H,4,FALSE)</f>
        <v>1</v>
      </c>
      <c r="T5" s="10">
        <f ca="1">VLOOKUP(Q5,[1]character_type_i18n!$A:$H,5,FALSE)</f>
        <v>1</v>
      </c>
      <c r="U5" s="10">
        <f ca="1">VLOOKUP(Q5,[1]character_type_i18n!$A:$H,6,FALSE)</f>
        <v>1</v>
      </c>
      <c r="V5" s="10">
        <f ca="1">VLOOKUP(Q5,[1]character_type_i18n!$A:$H,7,FALSE)</f>
        <v>1</v>
      </c>
      <c r="W5" s="53" t="str">
        <f ca="1">VLOOKUP($A5,OFFSET([1]characters!$A$1,0,0,COUNTA([1]characters!$A:$A),MATCH(W$1,[1]characters!$1:$1,0)-MATCH($A$1,[1]characters!$1:$1,0)+1),MATCH(W$1,[1]characters!$1:$1,0)-MATCH($A$1,[1]characters!$1:$1,0)+1,FALSE)</f>
        <v>human</v>
      </c>
      <c r="X5" s="5" t="str">
        <f ca="1">VLOOKUP(W5,[1]character_tribe_i18n!$A:$H,3,FALSE)</f>
        <v>ヒューマン</v>
      </c>
      <c r="Y5" s="53" t="str">
        <f ca="1">VLOOKUP($A5,OFFSET([1]characters!$A$1,0,0,COUNTA([1]characters!$A:$A),MATCH(Y$1,[1]characters!$1:$1,0)-MATCH($A$1,[1]characters!$1:$1,0)+1),MATCH(Y$1,[1]characters!$1:$1,0)-MATCH($A$1,[1]characters!$1:$1,0)+1,FALSE)</f>
        <v>unknown</v>
      </c>
      <c r="Z5" s="5" t="str">
        <f ca="1">VLOOKUP(Y5,[1]character_tribe_i18n!$A:$H,3,FALSE)</f>
        <v>Unknown</v>
      </c>
      <c r="AA5" s="10">
        <f ca="1">VLOOKUP(W5,[1]character_tribe_i18n!$A:$H,4,FALSE)</f>
        <v>0.94</v>
      </c>
      <c r="AB5" s="10">
        <f ca="1">VLOOKUP(W5,[1]character_tribe_i18n!$A:$H,5,FALSE)</f>
        <v>0.99</v>
      </c>
      <c r="AC5" s="10">
        <f ca="1">VLOOKUP(W5,[1]character_tribe_i18n!$A:$H,6,FALSE)</f>
        <v>1</v>
      </c>
      <c r="AD5" s="10">
        <f ca="1">VLOOKUP(W5,[1]character_tribe_i18n!$A:$H,7,FALSE)</f>
        <v>1.07</v>
      </c>
      <c r="AE5" s="187">
        <v>1408</v>
      </c>
      <c r="AF5" s="58" t="str">
        <f ca="1">IF(AE5="NULL","",VLOOKUP($AE5,OFFSET([1]characters!$A$1,0,0,COUNTA([1]characters!$A:$A),MATCH(AF$1,[1]characters!$1:$1,0)-MATCH($A$1,[1]characters!$1:$1,0)+1),MATCH(AF$1,[1]characters!$1:$1,0)-MATCH($A$1,[1]characters!$1:$1,0)+1,FALSE))</f>
        <v>爽愛の求魂 グリム・ザ・ダンディ</v>
      </c>
      <c r="AG5" s="187">
        <v>1407</v>
      </c>
      <c r="AH5" s="58" t="str">
        <f ca="1">VLOOKUP($AG5,OFFSET([1]characters!$A$1,0,0,COUNTA([1]characters!$A:$A),MATCH(AH$1,[1]characters!$1:$1,0)-MATCH($A$1,[1]characters!$1:$1,0)+1),MATCH(AH$1,[1]characters!$1:$1,0)-MATCH($A$1,[1]characters!$1:$1,0)+1,FALSE)</f>
        <v>グリム・ザ・ダンディ</v>
      </c>
      <c r="AI5" s="10">
        <f ca="1">IF(AE5="NULL","NULL",VLOOKUP(G5,ビット!$A$2:$B$7,2))</f>
        <v>200000</v>
      </c>
      <c r="AJ5" s="6">
        <v>2</v>
      </c>
      <c r="AK5" s="7" t="str">
        <f t="shared" ref="AK5:AK9" si="8">IF(AJ5=1,"早熟",IF(AJ5=2,"普通",IF(AJ5=3,"晩成","")))</f>
        <v>普通</v>
      </c>
      <c r="AL5" s="10" t="str">
        <f ca="1">INDEX(経験値!$A$1:$I$21,MATCH(H5,経験値!$A$1:$A$21,FALSE),MATCH(G5,経験値!$A$1:$I$1,FALSE))</f>
        <v>required_exp_200</v>
      </c>
      <c r="AM5" s="8">
        <f ca="1">VLOOKUP(G5,経験値!$A$28:$B$32,2)</f>
        <v>6400</v>
      </c>
      <c r="AN5" s="16">
        <f ca="1">VLOOKUP(G5,ビット!$G$2:$H$7,2)</f>
        <v>900</v>
      </c>
      <c r="AO5" s="41"/>
      <c r="AP5" s="63">
        <v>1407</v>
      </c>
      <c r="AQ5" s="53" t="str">
        <f ca="1">VLOOKUP($AP5,OFFSET(unit_skills!$A$1,0,0,COUNTA(unit_skills!$A:$A),MATCH(AQ$1,unit_skills!$1:$1,0)-MATCH($AP$1,unit_skills!$1:$1,0)+1),MATCH(AQ$1,unit_skills!$1:$1,0)-MATCH($AP$1,unit_skills!$1:$1,0)+1,FALSE)</f>
        <v>ハートセット・モアブーケ</v>
      </c>
      <c r="AR5" s="53" t="str">
        <f ca="1">VLOOKUP($AP5,OFFSET(unit_skills!$A$1,0,0,COUNTA(unit_skills!$A:$A),MATCH(AR$1,unit_skills!$1:$1,0)-MATCH($AP$1,unit_skills!$1:$1,0)+1),MATCH(AR$1,unit_skills!$1:$1,0)-MATCH($AP$1,unit_skills!$1:$1,0)+1,FALSE)</f>
        <v>緑パネルを黄パネルに変換+1ターン青属性の敵からのダメージを10％軽減、緑パネル出現率DOWN</v>
      </c>
      <c r="AS5" s="53">
        <f ca="1">VLOOKUP($AP5,OFFSET(unit_skills!$A$1,0,0,COUNTA(unit_skills!$A:$A),MATCH(AS$1,unit_skills!$1:$1,0)-MATCH($AP$1,unit_skills!$1:$1,0)+1),MATCH(AS$1,unit_skills!$1:$1,0)-MATCH($AP$1,unit_skills!$1:$1,0)+1,FALSE)</f>
        <v>0</v>
      </c>
      <c r="AT5" s="63">
        <v>1407</v>
      </c>
      <c r="AU5" s="53" t="str">
        <f ca="1">VLOOKUP($AT5,OFFSET(crash_skills!$A$1,0,0,COUNTA(crash_skills!$A:$A),MATCH(AU$1,crash_skills!$1:$1,0)-MATCH($AT$1,crash_skills!$1:$1,0)+1),MATCH(AU$1,crash_skills!$1:$1,0)-MATCH($AT$1,crash_skills!$1:$1,0)+1,FALSE)</f>
        <v>ホワイトリフレクションズ</v>
      </c>
      <c r="AV5" s="53" t="str">
        <f ca="1">VLOOKUP($AT5,OFFSET(crash_skills!$A$1,0,0,COUNTA(crash_skills!$A:$A),MATCH(AV$1,crash_skills!$1:$1,0)-MATCH($AT$1,crash_skills!$1:$1,0)+1),MATCH(AV$1,crash_skills!$1:$1,0)-MATCH($AT$1,crash_skills!$1:$1,0)+1,FALSE)</f>
        <v>1体に大ダメージ</v>
      </c>
      <c r="AW5" s="53">
        <f ca="1">VLOOKUP($AT5,OFFSET(crash_skills!$A$1,0,0,COUNTA(crash_skills!$A:$A),MATCH(AW$1,crash_skills!$1:$1,0)-MATCH($AT$1,crash_skills!$1:$1,0)+1),MATCH(AW$1,crash_skills!$1:$1,0)-MATCH($AT$1,crash_skills!$1:$1,0)+1,FALSE)</f>
        <v>0</v>
      </c>
      <c r="AX5" s="54">
        <f ca="1">VLOOKUP($A5,OFFSET([1]characters!$A$1,0,0,COUNTA([1]characters!$A:$A),MATCH(AX$1,[1]characters!$1:$1,0)-MATCH($A$1,[1]characters!$1:$1,0)+1),MATCH(AX$1,[1]characters!$1:$1,0)-MATCH($A$1,[1]characters!$1:$1,0)+1,FALSE)</f>
        <v>3</v>
      </c>
      <c r="AY5" s="64">
        <v>1.0449999999999999</v>
      </c>
      <c r="AZ5" s="64">
        <v>1.014</v>
      </c>
      <c r="BA5" s="64">
        <v>0</v>
      </c>
      <c r="BB5" s="64">
        <v>0.93</v>
      </c>
      <c r="BC5" s="10">
        <f ca="1">INDEX('RC6SV'!$A$1:$G$21,MATCH(H5,'RC6SV'!$A$1:$A$21,FALSE),MATCH(G5,'RC6SV'!$A$1:$G$1,FALSE))</f>
        <v>9000</v>
      </c>
      <c r="BD5" s="44">
        <f t="shared" ref="BD5:BD9" ca="1" si="9">ROUND(BC5*IF(AJ5=1,0.95,IF(AJ5=2,1,IF(AJ5,1.05,0))),0)</f>
        <v>9000</v>
      </c>
      <c r="BE5" s="10">
        <f t="shared" ca="1" si="3"/>
        <v>0</v>
      </c>
      <c r="BF5" s="10">
        <f t="shared" ca="1" si="4"/>
        <v>1</v>
      </c>
      <c r="BG5" s="15">
        <f ca="1">IF($BE5&lt;=0,ROUND(BK5*0.5,0), ROUND($BE5*S5*AA5*J5*AY5*0.8*[1]ステータス!$B$2,0))</f>
        <v>2166</v>
      </c>
      <c r="BH5" s="15">
        <f ca="1">IF($BE5&lt;=0,ROUND(BL5*0.5,0), ROUND($BE5*T5*AB5*K5*AZ5*0.8*[1]ステータス!$C$2,0))</f>
        <v>1369</v>
      </c>
      <c r="BI5" s="15">
        <f ca="1">IF($BE5&lt;=0,ROUND(BM5*0.5,0), ROUND($BE5*U5*AC5*L5*BA5*0.8*[1]ステータス!$D$2,0))</f>
        <v>0</v>
      </c>
      <c r="BJ5" s="15">
        <f ca="1">IF($BE5&lt;=0,ROUND(BN5*0.5,0), ROUND($BE5*V5*AD5*M5*BB5*0.8*[1]ステータス!$E$2,0))</f>
        <v>1131</v>
      </c>
      <c r="BK5" s="10">
        <f ca="1">ROUND(BD5*S5*AA5*J5*AY5*[1]ステータス!$B$2,0)</f>
        <v>4332</v>
      </c>
      <c r="BL5" s="10">
        <f ca="1">ROUND(BD5*T5*AB5*K5*AZ5*[1]ステータス!$C$2,0)</f>
        <v>2738</v>
      </c>
      <c r="BM5" s="10">
        <f ca="1">ROUND(BD5*U5*AC5*L5*BA5*[1]ステータス!$D$2,0)</f>
        <v>0</v>
      </c>
      <c r="BN5" s="10">
        <f ca="1">ROUND(BD5*V5*AD5*M5*BB5*[1]ステータス!$E$2,0)</f>
        <v>2261</v>
      </c>
      <c r="BO5" s="9">
        <v>0</v>
      </c>
      <c r="BP5" s="9">
        <v>1</v>
      </c>
      <c r="BQ5" s="9" t="s">
        <v>47</v>
      </c>
      <c r="BR5" s="9">
        <f ca="1">VLOOKUP(H5,[2]ghosts_label!$A$2:$B$19,2,FALSE)</f>
        <v>1</v>
      </c>
    </row>
    <row r="6" spans="1:70" ht="26" customHeight="1" x14ac:dyDescent="0.15">
      <c r="A6" s="186">
        <v>1408</v>
      </c>
      <c r="B6" s="53" t="str">
        <f ca="1">VLOOKUP($A6,OFFSET([1]characters!$A$1,0,0,COUNTA([1]characters!$A:$A),MATCH(B$1,[1]characters!$1:$1,0)-MATCH($A$1,[1]characters!$1:$1,0)+1),MATCH(B$1,[1]characters!$1:$1,0)-MATCH($A$1,[1]characters!$1:$1,0)+1,FALSE)</f>
        <v>爽愛の求魂 グリム・ザ・ダンディ</v>
      </c>
      <c r="C6" s="53">
        <f ca="1">VLOOKUP($A6,OFFSET([1]characters!$A$1,0,0,COUNTA([1]characters!$A:$A),MATCH(C$1,[1]characters!$1:$1,0)-MATCH($A$1,[1]characters!$1:$1,0)+1),MATCH(C$1,[1]characters!$1:$1,0)-MATCH($A$1,[1]characters!$1:$1,0)+1,FALSE)</f>
        <v>0</v>
      </c>
      <c r="D6" s="53">
        <f ca="1">VLOOKUP($A6,OFFSET([1]characters!$A$1,0,0,COUNTA([1]characters!$A:$A),MATCH(D$1,[1]characters!$1:$1,0)-MATCH($A$1,[1]characters!$1:$1,0)+1),MATCH(D$1,[1]characters!$1:$1,0)-MATCH($A$1,[1]characters!$1:$1,0)+1,FALSE)</f>
        <v>0</v>
      </c>
      <c r="E6" s="53">
        <f ca="1">VLOOKUP($A6,OFFSET([1]characters!$A$1,0,0,COUNTA([1]characters!$A:$A),MATCH(E$1,[1]characters!$1:$1,0)-MATCH($A$1,[1]characters!$1:$1,0)+1),MATCH(E$1,[1]characters!$1:$1,0)-MATCH($A$1,[1]characters!$1:$1,0)+1,FALSE)</f>
        <v>0</v>
      </c>
      <c r="F6" s="53">
        <f ca="1">VLOOKUP($A6,OFFSET([1]characters!$A$1,0,0,COUNTA([1]characters!$A:$A),MATCH(F$1,[1]characters!$1:$1,0)-MATCH($A$1,[1]characters!$1:$1,0)+1),MATCH(F$1,[1]characters!$1:$1,0)-MATCH($A$1,[1]characters!$1:$1,0)+1,FALSE)</f>
        <v>0</v>
      </c>
      <c r="G6" s="53">
        <f ca="1">VLOOKUP($A6,OFFSET([1]characters!$A$1,0,0,COUNTA([1]characters!$A:$A),MATCH(G$1,[1]characters!$1:$1,0)-MATCH($A$1,[1]characters!$1:$1,0)+1),MATCH(G$1,[1]characters!$1:$1,0)-MATCH($A$1,[1]characters!$1:$1,0)+1,FALSE)</f>
        <v>6</v>
      </c>
      <c r="H6" s="53" t="str">
        <f ca="1">VLOOKUP($A6,OFFSET([1]characters!$A$1,0,0,COUNTA([1]characters!$A:$A),MATCH(H$1,[1]characters!$1:$1,0)-MATCH($A$1,[1]characters!$1:$1,0)+1),MATCH(H$1,[1]characters!$1:$1,0)-MATCH($A$1,[1]characters!$1:$1,0)+1,FALSE)</f>
        <v>DropWizS</v>
      </c>
      <c r="I6" s="53" t="str">
        <f ca="1">VLOOKUP($A6,OFFSET([1]characters!$A$1,0,0,COUNTA([1]characters!$A:$A),MATCH(I$1,[1]characters!$1:$1,0)-MATCH($A$1,[1]characters!$1:$1,0)+1),MATCH(I$1,[1]characters!$1:$1,0)-MATCH($A$1,[1]characters!$1:$1,0)+1,FALSE)</f>
        <v>yellow</v>
      </c>
      <c r="J6" s="10">
        <f ca="1">VLOOKUP(I6,[1]属性!$A:$E,2,FALSE)</f>
        <v>0.98</v>
      </c>
      <c r="K6" s="10">
        <f ca="1">VLOOKUP(I6,[1]属性!$A:$E,3,FALSE)</f>
        <v>1.01</v>
      </c>
      <c r="L6" s="10">
        <f ca="1">VLOOKUP(I6,[1]属性!$A:$E,4,FALSE)</f>
        <v>1</v>
      </c>
      <c r="M6" s="10">
        <f ca="1">VLOOKUP(I6,[1]属性!$A:$E,5,FALSE)</f>
        <v>1.01</v>
      </c>
      <c r="N6" s="10">
        <f ca="1">INDEX(コスト!$A$1:$I$21,MATCH(H6,コスト!$A$1:$A$21,FALSE),MATCH(G6,コスト!$A$1:$I$1,FALSE))</f>
        <v>45</v>
      </c>
      <c r="O6" s="10">
        <f ca="1">INDEX(レベル!$A$1:$I$22,MATCH(H6,レベル!$A$1:$A$22,FALSE),MATCH(G6,レベル!$A$1:$I$1,FALSE))</f>
        <v>99</v>
      </c>
      <c r="P6" s="44">
        <f t="shared" ref="P6:P9" ca="1" si="10">IF(G6 &gt;= 6, 99,G6*15)</f>
        <v>99</v>
      </c>
      <c r="Q6" s="53" t="str">
        <f ca="1">VLOOKUP($A6,OFFSET([1]characters!$A$1,0,0,COUNTA([1]characters!$A:$A),MATCH(Q$1,[1]characters!$1:$1,0)-MATCH($A$1,[1]characters!$1:$1,0)+1),MATCH(Q$1,[1]characters!$1:$1,0)-MATCH($A$1,[1]characters!$1:$1,0)+1,FALSE)</f>
        <v>balance</v>
      </c>
      <c r="R6" s="5" t="str">
        <f ca="1">VLOOKUP(Q6,[1]character_type_i18n!$A:$H,3,FALSE)</f>
        <v>バランスタイプ</v>
      </c>
      <c r="S6" s="10">
        <f ca="1">VLOOKUP(Q6,[1]character_type_i18n!$A:$H,4,FALSE)</f>
        <v>1</v>
      </c>
      <c r="T6" s="10">
        <f ca="1">VLOOKUP(Q6,[1]character_type_i18n!$A:$H,5,FALSE)</f>
        <v>1</v>
      </c>
      <c r="U6" s="10">
        <f ca="1">VLOOKUP(Q6,[1]character_type_i18n!$A:$H,6,FALSE)</f>
        <v>1</v>
      </c>
      <c r="V6" s="10">
        <f ca="1">VLOOKUP(Q6,[1]character_type_i18n!$A:$H,7,FALSE)</f>
        <v>1</v>
      </c>
      <c r="W6" s="53" t="str">
        <f ca="1">VLOOKUP($A6,OFFSET([1]characters!$A$1,0,0,COUNTA([1]characters!$A:$A),MATCH(W$1,[1]characters!$1:$1,0)-MATCH($A$1,[1]characters!$1:$1,0)+1),MATCH(W$1,[1]characters!$1:$1,0)-MATCH($A$1,[1]characters!$1:$1,0)+1,FALSE)</f>
        <v>human</v>
      </c>
      <c r="X6" s="5" t="str">
        <f ca="1">VLOOKUP(W6,[1]character_tribe_i18n!$A:$H,3,FALSE)</f>
        <v>ヒューマン</v>
      </c>
      <c r="Y6" s="53" t="str">
        <f ca="1">VLOOKUP($A6,OFFSET([1]characters!$A$1,0,0,COUNTA([1]characters!$A:$A),MATCH(Y$1,[1]characters!$1:$1,0)-MATCH($A$1,[1]characters!$1:$1,0)+1),MATCH(Y$1,[1]characters!$1:$1,0)-MATCH($A$1,[1]characters!$1:$1,0)+1,FALSE)</f>
        <v>unknown</v>
      </c>
      <c r="Z6" s="5" t="str">
        <f ca="1">VLOOKUP(Y6,[1]character_tribe_i18n!$A:$H,3,FALSE)</f>
        <v>Unknown</v>
      </c>
      <c r="AA6" s="10">
        <f ca="1">VLOOKUP(W6,[1]character_tribe_i18n!$A:$H,4,FALSE)</f>
        <v>0.94</v>
      </c>
      <c r="AB6" s="10">
        <f ca="1">VLOOKUP(W6,[1]character_tribe_i18n!$A:$H,5,FALSE)</f>
        <v>0.99</v>
      </c>
      <c r="AC6" s="10">
        <f ca="1">VLOOKUP(W6,[1]character_tribe_i18n!$A:$H,6,FALSE)</f>
        <v>1</v>
      </c>
      <c r="AD6" s="10">
        <f ca="1">VLOOKUP(W6,[1]character_tribe_i18n!$A:$H,7,FALSE)</f>
        <v>1.07</v>
      </c>
      <c r="AE6" s="187" t="s">
        <v>341</v>
      </c>
      <c r="AF6" s="58" t="str">
        <f ca="1">IF(AE6="NULL","",VLOOKUP($AE6,OFFSET([1]characters!$A$1,0,0,COUNTA([1]characters!$A:$A),MATCH(AF$1,[1]characters!$1:$1,0)-MATCH($A$1,[1]characters!$1:$1,0)+1),MATCH(AF$1,[1]characters!$1:$1,0)-MATCH($A$1,[1]characters!$1:$1,0)+1,FALSE))</f>
        <v/>
      </c>
      <c r="AG6" s="187">
        <v>1407</v>
      </c>
      <c r="AH6" s="58" t="str">
        <f ca="1">VLOOKUP($AG6,OFFSET([1]characters!$A$1,0,0,COUNTA([1]characters!$A:$A),MATCH(AH$1,[1]characters!$1:$1,0)-MATCH($A$1,[1]characters!$1:$1,0)+1),MATCH(AH$1,[1]characters!$1:$1,0)-MATCH($A$1,[1]characters!$1:$1,0)+1,FALSE)</f>
        <v>グリム・ザ・ダンディ</v>
      </c>
      <c r="AI6" s="10" t="str">
        <f>IF(AE6="NULL","NULL",VLOOKUP(G6,ビット!$A$2:$B$7,2))</f>
        <v>NULL</v>
      </c>
      <c r="AJ6" s="6">
        <v>2</v>
      </c>
      <c r="AK6" s="7" t="str">
        <f t="shared" si="8"/>
        <v>普通</v>
      </c>
      <c r="AL6" s="10" t="str">
        <f ca="1">INDEX(経験値!$A$1:$I$21,MATCH(H6,経験値!$A$1:$A$21,FALSE),MATCH(G6,経験値!$A$1:$I$1,FALSE))</f>
        <v>required_exp_250</v>
      </c>
      <c r="AM6" s="8">
        <f ca="1">VLOOKUP(G6,経験値!$A$28:$B$32,2)</f>
        <v>6400</v>
      </c>
      <c r="AN6" s="16">
        <f ca="1">VLOOKUP(G6,ビット!$G$2:$H$7,2)</f>
        <v>900</v>
      </c>
      <c r="AO6" s="41"/>
      <c r="AP6" s="63">
        <v>1408</v>
      </c>
      <c r="AQ6" s="53" t="str">
        <f ca="1">VLOOKUP($AP6,OFFSET(unit_skills!$A$1,0,0,COUNTA(unit_skills!$A:$A),MATCH(AQ$1,unit_skills!$1:$1,0)-MATCH($AP$1,unit_skills!$1:$1,0)+1),MATCH(AQ$1,unit_skills!$1:$1,0)-MATCH($AP$1,unit_skills!$1:$1,0)+1,FALSE)</f>
        <v>ハートセット・ソウルラヴ</v>
      </c>
      <c r="AR6" s="53" t="str">
        <f ca="1">VLOOKUP($AP6,OFFSET(unit_skills!$A$1,0,0,COUNTA(unit_skills!$A:$A),MATCH(AR$1,unit_skills!$1:$1,0)-MATCH($AP$1,unit_skills!$1:$1,0)+1),MATCH(AR$1,unit_skills!$1:$1,0)-MATCH($AP$1,unit_skills!$1:$1,0)+1,FALSE)</f>
        <v>緑パネルを黄パネルに変換+1ターン青属性の敵からのダメージを30％軽減、緑パネル出現率DOWN</v>
      </c>
      <c r="AS6" s="53">
        <f ca="1">VLOOKUP($AP6,OFFSET(unit_skills!$A$1,0,0,COUNTA(unit_skills!$A:$A),MATCH(AS$1,unit_skills!$1:$1,0)-MATCH($AP$1,unit_skills!$1:$1,0)+1),MATCH(AS$1,unit_skills!$1:$1,0)-MATCH($AP$1,unit_skills!$1:$1,0)+1,FALSE)</f>
        <v>0</v>
      </c>
      <c r="AT6" s="63">
        <v>1408</v>
      </c>
      <c r="AU6" s="53" t="str">
        <f ca="1">VLOOKUP($AT6,OFFSET(crash_skills!$A$1,0,0,COUNTA(crash_skills!$A:$A),MATCH(AU$1,crash_skills!$1:$1,0)-MATCH($AT$1,crash_skills!$1:$1,0)+1),MATCH(AU$1,crash_skills!$1:$1,0)-MATCH($AT$1,crash_skills!$1:$1,0)+1,FALSE)</f>
        <v>ホワイトヴァイブレーションズ</v>
      </c>
      <c r="AV6" s="53" t="str">
        <f ca="1">VLOOKUP($AT6,OFFSET(crash_skills!$A$1,0,0,COUNTA(crash_skills!$A:$A),MATCH(AV$1,crash_skills!$1:$1,0)-MATCH($AT$1,crash_skills!$1:$1,0)+1),MATCH(AV$1,crash_skills!$1:$1,0)-MATCH($AT$1,crash_skills!$1:$1,0)+1,FALSE)</f>
        <v>1体に特大ダメージ</v>
      </c>
      <c r="AW6" s="53">
        <f ca="1">VLOOKUP($AT6,OFFSET(crash_skills!$A$1,0,0,COUNTA(crash_skills!$A:$A),MATCH(AW$1,crash_skills!$1:$1,0)-MATCH($AT$1,crash_skills!$1:$1,0)+1),MATCH(AW$1,crash_skills!$1:$1,0)-MATCH($AT$1,crash_skills!$1:$1,0)+1,FALSE)</f>
        <v>0</v>
      </c>
      <c r="AX6" s="54">
        <f ca="1">VLOOKUP($A6,OFFSET([1]characters!$A$1,0,0,COUNTA([1]characters!$A:$A),MATCH(AX$1,[1]characters!$1:$1,0)-MATCH($A$1,[1]characters!$1:$1,0)+1),MATCH(AX$1,[1]characters!$1:$1,0)-MATCH($A$1,[1]characters!$1:$1,0)+1,FALSE)</f>
        <v>3</v>
      </c>
      <c r="AY6" s="64">
        <v>1.0449999999999999</v>
      </c>
      <c r="AZ6" s="64">
        <v>1.014</v>
      </c>
      <c r="BA6" s="64">
        <v>0</v>
      </c>
      <c r="BB6" s="64">
        <v>0.93</v>
      </c>
      <c r="BC6" s="10">
        <f ca="1">INDEX('RC6SV'!$A$1:$G$21,MATCH(H6,'RC6SV'!$A$1:$A$21,FALSE),MATCH(G6,'RC6SV'!$A$1:$G$1,FALSE))</f>
        <v>12000</v>
      </c>
      <c r="BD6" s="44">
        <f t="shared" ca="1" si="9"/>
        <v>12000</v>
      </c>
      <c r="BE6" s="10">
        <f t="shared" ca="1" si="3"/>
        <v>9000</v>
      </c>
      <c r="BF6" s="10">
        <f t="shared" ca="1" si="4"/>
        <v>1</v>
      </c>
      <c r="BG6" s="15">
        <f ca="1">IF($BE6&lt;=0,ROUND(BK6*0.5,0), ROUND($BE6*S6*AA6*J6*AY6*0.8*[1]ステータス!$B$2,0))</f>
        <v>3466</v>
      </c>
      <c r="BH6" s="15">
        <f ca="1">IF($BE6&lt;=0,ROUND(BL6*0.5,0), ROUND($BE6*T6*AB6*K6*AZ6*0.8*[1]ステータス!$C$2,0))</f>
        <v>2190</v>
      </c>
      <c r="BI6" s="15">
        <f ca="1">IF($BE6&lt;=0,ROUND(BM6*0.5,0), ROUND($BE6*U6*AC6*L6*BA6*0.8*[1]ステータス!$D$2,0))</f>
        <v>0</v>
      </c>
      <c r="BJ6" s="15">
        <f ca="1">IF($BE6&lt;=0,ROUND(BN6*0.5,0), ROUND($BE6*V6*AD6*M6*BB6*0.8*[1]ステータス!$E$2,0))</f>
        <v>1809</v>
      </c>
      <c r="BK6" s="10">
        <f ca="1">ROUND(BD6*S6*AA6*J6*AY6*[1]ステータス!$B$2,0)</f>
        <v>5776</v>
      </c>
      <c r="BL6" s="10">
        <f ca="1">ROUND(BD6*T6*AB6*K6*AZ6*[1]ステータス!$C$2,0)</f>
        <v>3650</v>
      </c>
      <c r="BM6" s="10">
        <f ca="1">ROUND(BD6*U6*AC6*L6*BA6*[1]ステータス!$D$2,0)</f>
        <v>0</v>
      </c>
      <c r="BN6" s="10">
        <f ca="1">ROUND(BD6*V6*AD6*M6*BB6*[1]ステータス!$E$2,0)</f>
        <v>3015</v>
      </c>
      <c r="BO6" s="9">
        <v>0</v>
      </c>
      <c r="BP6" s="9">
        <v>1</v>
      </c>
      <c r="BQ6" s="36" t="s">
        <v>47</v>
      </c>
      <c r="BR6" s="9">
        <f ca="1">VLOOKUP(H6,[2]ghosts_label!$A$2:$B$19,2,FALSE)</f>
        <v>1</v>
      </c>
    </row>
    <row r="7" spans="1:70" ht="26" customHeight="1" x14ac:dyDescent="0.15">
      <c r="A7" s="186">
        <v>1411</v>
      </c>
      <c r="B7" s="53" t="str">
        <f ca="1">VLOOKUP($A7,OFFSET([1]characters!$A$1,0,0,COUNTA([1]characters!$A:$A),MATCH(B$1,[1]characters!$1:$1,0)-MATCH($A$1,[1]characters!$1:$1,0)+1),MATCH(B$1,[1]characters!$1:$1,0)-MATCH($A$1,[1]characters!$1:$1,0)+1,FALSE)</f>
        <v>ピーターパン・イノセンス</v>
      </c>
      <c r="C7" s="53">
        <f ca="1">VLOOKUP($A7,OFFSET([1]characters!$A$1,0,0,COUNTA([1]characters!$A:$A),MATCH(C$1,[1]characters!$1:$1,0)-MATCH($A$1,[1]characters!$1:$1,0)+1),MATCH(C$1,[1]characters!$1:$1,0)-MATCH($A$1,[1]characters!$1:$1,0)+1,FALSE)</f>
        <v>0</v>
      </c>
      <c r="D7" s="53">
        <f ca="1">VLOOKUP($A7,OFFSET([1]characters!$A$1,0,0,COUNTA([1]characters!$A:$A),MATCH(D$1,[1]characters!$1:$1,0)-MATCH($A$1,[1]characters!$1:$1,0)+1),MATCH(D$1,[1]characters!$1:$1,0)-MATCH($A$1,[1]characters!$1:$1,0)+1,FALSE)</f>
        <v>0</v>
      </c>
      <c r="E7" s="53">
        <f ca="1">VLOOKUP($A7,OFFSET([1]characters!$A$1,0,0,COUNTA([1]characters!$A:$A),MATCH(E$1,[1]characters!$1:$1,0)-MATCH($A$1,[1]characters!$1:$1,0)+1),MATCH(E$1,[1]characters!$1:$1,0)-MATCH($A$1,[1]characters!$1:$1,0)+1,FALSE)</f>
        <v>0</v>
      </c>
      <c r="F7" s="53">
        <f ca="1">VLOOKUP($A7,OFFSET([1]characters!$A$1,0,0,COUNTA([1]characters!$A:$A),MATCH(F$1,[1]characters!$1:$1,0)-MATCH($A$1,[1]characters!$1:$1,0)+1),MATCH(F$1,[1]characters!$1:$1,0)-MATCH($A$1,[1]characters!$1:$1,0)+1,FALSE)</f>
        <v>0</v>
      </c>
      <c r="G7" s="53">
        <f ca="1">VLOOKUP($A7,OFFSET([1]characters!$A$1,0,0,COUNTA([1]characters!$A:$A),MATCH(G$1,[1]characters!$1:$1,0)-MATCH($A$1,[1]characters!$1:$1,0)+1),MATCH(G$1,[1]characters!$1:$1,0)-MATCH($A$1,[1]characters!$1:$1,0)+1,FALSE)</f>
        <v>5</v>
      </c>
      <c r="H7" s="53" t="str">
        <f ca="1">VLOOKUP($A7,OFFSET([1]characters!$A$1,0,0,COUNTA([1]characters!$A:$A),MATCH(H$1,[1]characters!$1:$1,0)-MATCH($A$1,[1]characters!$1:$1,0)+1),MATCH(H$1,[1]characters!$1:$1,0)-MATCH($A$1,[1]characters!$1:$1,0)+1,FALSE)</f>
        <v>PremiumS</v>
      </c>
      <c r="I7" s="53" t="str">
        <f ca="1">VLOOKUP($A7,OFFSET([1]characters!$A$1,0,0,COUNTA([1]characters!$A:$A),MATCH(I$1,[1]characters!$1:$1,0)-MATCH($A$1,[1]characters!$1:$1,0)+1),MATCH(I$1,[1]characters!$1:$1,0)-MATCH($A$1,[1]characters!$1:$1,0)+1,FALSE)</f>
        <v>blue</v>
      </c>
      <c r="J7" s="10">
        <f ca="1">VLOOKUP(I7,[1]属性!$A:$E,2,FALSE)</f>
        <v>1</v>
      </c>
      <c r="K7" s="10">
        <f ca="1">VLOOKUP(I7,[1]属性!$A:$E,3,FALSE)</f>
        <v>0.98</v>
      </c>
      <c r="L7" s="10">
        <f ca="1">VLOOKUP(I7,[1]属性!$A:$E,4,FALSE)</f>
        <v>1</v>
      </c>
      <c r="M7" s="10">
        <f ca="1">VLOOKUP(I7,[1]属性!$A:$E,5,FALSE)</f>
        <v>1.02</v>
      </c>
      <c r="N7" s="10">
        <f ca="1">INDEX(コスト!$A$1:$I$21,MATCH(H7,コスト!$A$1:$A$21,FALSE),MATCH(G7,コスト!$A$1:$I$1,FALSE))</f>
        <v>30</v>
      </c>
      <c r="O7" s="10">
        <f ca="1">INDEX(レベル!$A$1:$I$22,MATCH(H7,レベル!$A$1:$A$22,FALSE),MATCH(G7,レベル!$A$1:$I$1,FALSE))</f>
        <v>80</v>
      </c>
      <c r="P7" s="44">
        <f t="shared" ca="1" si="10"/>
        <v>75</v>
      </c>
      <c r="Q7" s="53" t="str">
        <f ca="1">VLOOKUP($A7,OFFSET([1]characters!$A$1,0,0,COUNTA([1]characters!$A:$A),MATCH(Q$1,[1]characters!$1:$1,0)-MATCH($A$1,[1]characters!$1:$1,0)+1),MATCH(Q$1,[1]characters!$1:$1,0)-MATCH($A$1,[1]characters!$1:$1,0)+1,FALSE)</f>
        <v>attack</v>
      </c>
      <c r="R7" s="5" t="str">
        <f ca="1">VLOOKUP(Q7,[1]character_type_i18n!$A:$H,3,FALSE)</f>
        <v>攻撃タイプ</v>
      </c>
      <c r="S7" s="10">
        <f ca="1">VLOOKUP(Q7,[1]character_type_i18n!$A:$H,4,FALSE)</f>
        <v>1</v>
      </c>
      <c r="T7" s="10">
        <f ca="1">VLOOKUP(Q7,[1]character_type_i18n!$A:$H,5,FALSE)</f>
        <v>1.33</v>
      </c>
      <c r="U7" s="10">
        <f ca="1">VLOOKUP(Q7,[1]character_type_i18n!$A:$H,6,FALSE)</f>
        <v>1</v>
      </c>
      <c r="V7" s="10">
        <f ca="1">VLOOKUP(Q7,[1]character_type_i18n!$A:$H,7,FALSE)</f>
        <v>0.67</v>
      </c>
      <c r="W7" s="53" t="str">
        <f ca="1">VLOOKUP($A7,OFFSET([1]characters!$A$1,0,0,COUNTA([1]characters!$A:$A),MATCH(W$1,[1]characters!$1:$1,0)-MATCH($A$1,[1]characters!$1:$1,0)+1),MATCH(W$1,[1]characters!$1:$1,0)-MATCH($A$1,[1]characters!$1:$1,0)+1,FALSE)</f>
        <v>human</v>
      </c>
      <c r="X7" s="5" t="str">
        <f ca="1">VLOOKUP(W7,[1]character_tribe_i18n!$A:$H,3,FALSE)</f>
        <v>ヒューマン</v>
      </c>
      <c r="Y7" s="53" t="str">
        <f ca="1">VLOOKUP($A7,OFFSET([1]characters!$A$1,0,0,COUNTA([1]characters!$A:$A),MATCH(Y$1,[1]characters!$1:$1,0)-MATCH($A$1,[1]characters!$1:$1,0)+1),MATCH(Y$1,[1]characters!$1:$1,0)-MATCH($A$1,[1]characters!$1:$1,0)+1,FALSE)</f>
        <v>machine</v>
      </c>
      <c r="Z7" s="5" t="str">
        <f ca="1">VLOOKUP(Y7,[1]character_tribe_i18n!$A:$H,3,FALSE)</f>
        <v>マシン</v>
      </c>
      <c r="AA7" s="10">
        <f ca="1">VLOOKUP(W7,[1]character_tribe_i18n!$A:$H,4,FALSE)</f>
        <v>0.94</v>
      </c>
      <c r="AB7" s="10">
        <f ca="1">VLOOKUP(W7,[1]character_tribe_i18n!$A:$H,5,FALSE)</f>
        <v>0.99</v>
      </c>
      <c r="AC7" s="10">
        <f ca="1">VLOOKUP(W7,[1]character_tribe_i18n!$A:$H,6,FALSE)</f>
        <v>1</v>
      </c>
      <c r="AD7" s="10">
        <f ca="1">VLOOKUP(W7,[1]character_tribe_i18n!$A:$H,7,FALSE)</f>
        <v>1.07</v>
      </c>
      <c r="AE7" s="187" t="s">
        <v>341</v>
      </c>
      <c r="AF7" s="58" t="str">
        <f ca="1">IF(AE7="NULL","",VLOOKUP($AE7,OFFSET([1]characters!$A$1,0,0,COUNTA([1]characters!$A:$A),MATCH(AF$1,[1]characters!$1:$1,0)-MATCH($A$1,[1]characters!$1:$1,0)+1),MATCH(AF$1,[1]characters!$1:$1,0)-MATCH($A$1,[1]characters!$1:$1,0)+1,FALSE))</f>
        <v/>
      </c>
      <c r="AG7" s="187">
        <v>1411</v>
      </c>
      <c r="AH7" s="58" t="str">
        <f ca="1">VLOOKUP($AG7,OFFSET([1]characters!$A$1,0,0,COUNTA([1]characters!$A:$A),MATCH(AH$1,[1]characters!$1:$1,0)-MATCH($A$1,[1]characters!$1:$1,0)+1),MATCH(AH$1,[1]characters!$1:$1,0)-MATCH($A$1,[1]characters!$1:$1,0)+1,FALSE)</f>
        <v>ピーターパン・イノセンス</v>
      </c>
      <c r="AI7" s="10" t="str">
        <f>IF(AE7="NULL","NULL",VLOOKUP(G7,ビット!$A$2:$B$7,2))</f>
        <v>NULL</v>
      </c>
      <c r="AJ7" s="6">
        <v>2</v>
      </c>
      <c r="AK7" s="7" t="str">
        <f t="shared" si="8"/>
        <v>普通</v>
      </c>
      <c r="AL7" s="10" t="str">
        <f ca="1">INDEX(経験値!$A$1:$I$21,MATCH(H7,経験値!$A$1:$A$21,FALSE),MATCH(G7,経験値!$A$1:$I$1,FALSE))</f>
        <v>required_exp_200</v>
      </c>
      <c r="AM7" s="8">
        <f ca="1">VLOOKUP(G7,経験値!$A$28:$B$32,2)</f>
        <v>6400</v>
      </c>
      <c r="AN7" s="16">
        <f ca="1">VLOOKUP(G7,ビット!$G$2:$H$7,2)</f>
        <v>900</v>
      </c>
      <c r="AO7" s="41"/>
      <c r="AP7" s="63">
        <v>1411</v>
      </c>
      <c r="AQ7" s="53" t="str">
        <f ca="1">VLOOKUP($AP7,OFFSET(unit_skills!$A$1,0,0,COUNTA(unit_skills!$A:$A),MATCH(AQ$1,unit_skills!$1:$1,0)-MATCH($AP$1,unit_skills!$1:$1,0)+1),MATCH(AQ$1,unit_skills!$1:$1,0)-MATCH($AP$1,unit_skills!$1:$1,0)+1,FALSE)</f>
        <v>ヴァイス・ゲシェンク</v>
      </c>
      <c r="AR7" s="53" t="str">
        <f ca="1">VLOOKUP($AP7,OFFSET(unit_skills!$A$1,0,0,COUNTA(unit_skills!$A:$A),MATCH(AR$1,unit_skills!$1:$1,0)-MATCH($AP$1,unit_skills!$1:$1,0)+1),MATCH(AR$1,unit_skills!$1:$1,0)-MATCH($AP$1,unit_skills!$1:$1,0)+1,FALSE)</f>
        <v>ダメージ・お邪魔パネルを青ボムパネルに変換+1体に青属性の大ダメージ+HPを5000回復する</v>
      </c>
      <c r="AS7" s="53">
        <f ca="1">VLOOKUP($AP7,OFFSET(unit_skills!$A$1,0,0,COUNTA(unit_skills!$A:$A),MATCH(AS$1,unit_skills!$1:$1,0)-MATCH($AP$1,unit_skills!$1:$1,0)+1),MATCH(AS$1,unit_skills!$1:$1,0)-MATCH($AP$1,unit_skills!$1:$1,0)+1,FALSE)</f>
        <v>0</v>
      </c>
      <c r="AT7" s="63">
        <v>1411</v>
      </c>
      <c r="AU7" s="53" t="str">
        <f ca="1">VLOOKUP($AT7,OFFSET(crash_skills!$A$1,0,0,COUNTA(crash_skills!$A:$A),MATCH(AU$1,crash_skills!$1:$1,0)-MATCH($AT$1,crash_skills!$1:$1,0)+1),MATCH(AU$1,crash_skills!$1:$1,0)-MATCH($AT$1,crash_skills!$1:$1,0)+1,FALSE)</f>
        <v>アヴェク・トワ</v>
      </c>
      <c r="AV7" s="53" t="str">
        <f ca="1">VLOOKUP($AT7,OFFSET(crash_skills!$A$1,0,0,COUNTA(crash_skills!$A:$A),MATCH(AV$1,crash_skills!$1:$1,0)-MATCH($AT$1,crash_skills!$1:$1,0)+1),MATCH(AV$1,crash_skills!$1:$1,0)-MATCH($AT$1,crash_skills!$1:$1,0)+1,FALSE)</f>
        <v>単体に2回大ダメージ+ _x000D_1ターン青属性ユニットの攻撃力小UP</v>
      </c>
      <c r="AW7" s="53">
        <f ca="1">VLOOKUP($AT7,OFFSET(crash_skills!$A$1,0,0,COUNTA(crash_skills!$A:$A),MATCH(AW$1,crash_skills!$1:$1,0)-MATCH($AT$1,crash_skills!$1:$1,0)+1),MATCH(AW$1,crash_skills!$1:$1,0)-MATCH($AT$1,crash_skills!$1:$1,0)+1,FALSE)</f>
        <v>0</v>
      </c>
      <c r="AX7" s="54">
        <f ca="1">VLOOKUP($A7,OFFSET([1]characters!$A$1,0,0,COUNTA([1]characters!$A:$A),MATCH(AX$1,[1]characters!$1:$1,0)-MATCH($A$1,[1]characters!$1:$1,0)+1),MATCH(AX$1,[1]characters!$1:$1,0)-MATCH($A$1,[1]characters!$1:$1,0)+1,FALSE)</f>
        <v>3</v>
      </c>
      <c r="AY7" s="64">
        <v>1.1439999999999999</v>
      </c>
      <c r="AZ7" s="64">
        <v>1.2090000000000001</v>
      </c>
      <c r="BA7" s="64">
        <v>0</v>
      </c>
      <c r="BB7" s="64">
        <v>0.752</v>
      </c>
      <c r="BC7" s="10">
        <f ca="1">INDEX('RC6SV'!$A$1:$G$21,MATCH(H7,'RC6SV'!$A$1:$A$21,FALSE),MATCH(G7,'RC6SV'!$A$1:$G$1,FALSE))</f>
        <v>9000</v>
      </c>
      <c r="BD7" s="44">
        <f t="shared" ca="1" si="9"/>
        <v>9000</v>
      </c>
      <c r="BE7" s="10">
        <f t="shared" ca="1" si="3"/>
        <v>0</v>
      </c>
      <c r="BF7" s="10">
        <f t="shared" ca="1" si="4"/>
        <v>1</v>
      </c>
      <c r="BG7" s="15">
        <f ca="1">IF($BE7&lt;=0,ROUND(BK7*0.5,0), ROUND($BE7*S7*AA7*J7*AY7*0.8*[1]ステータス!$B$2,0))</f>
        <v>2420</v>
      </c>
      <c r="BH7" s="15">
        <f ca="1">IF($BE7&lt;=0,ROUND(BL7*0.5,0), ROUND($BE7*T7*AB7*K7*AZ7*0.8*[1]ステータス!$C$2,0))</f>
        <v>2106</v>
      </c>
      <c r="BI7" s="15">
        <f ca="1">IF($BE7&lt;=0,ROUND(BM7*0.5,0), ROUND($BE7*U7*AC7*L7*BA7*0.8*[1]ステータス!$D$2,0))</f>
        <v>0</v>
      </c>
      <c r="BJ7" s="15">
        <f ca="1">IF($BE7&lt;=0,ROUND(BN7*0.5,0), ROUND($BE7*V7*AD7*M7*BB7*0.8*[1]ステータス!$E$2,0))</f>
        <v>619</v>
      </c>
      <c r="BK7" s="10">
        <f ca="1">ROUND(BD7*S7*AA7*J7*AY7*[1]ステータス!$B$2,0)</f>
        <v>4839</v>
      </c>
      <c r="BL7" s="10">
        <f ca="1">ROUND(BD7*T7*AB7*K7*AZ7*[1]ステータス!$C$2,0)</f>
        <v>4212</v>
      </c>
      <c r="BM7" s="10">
        <f ca="1">ROUND(BD7*U7*AC7*L7*BA7*[1]ステータス!$D$2,0)</f>
        <v>0</v>
      </c>
      <c r="BN7" s="10">
        <f ca="1">ROUND(BD7*V7*AD7*M7*BB7*[1]ステータス!$E$2,0)</f>
        <v>1237</v>
      </c>
      <c r="BO7" s="9">
        <v>0</v>
      </c>
      <c r="BP7" s="9">
        <v>1</v>
      </c>
      <c r="BQ7" s="36" t="s">
        <v>47</v>
      </c>
      <c r="BR7" s="9">
        <f ca="1">VLOOKUP(H7,[2]ghosts_label!$A$2:$B$19,2,FALSE)</f>
        <v>700</v>
      </c>
    </row>
    <row r="8" spans="1:70" ht="26" customHeight="1" x14ac:dyDescent="0.15">
      <c r="A8" s="186">
        <v>1412</v>
      </c>
      <c r="B8" s="53" t="str">
        <f ca="1">VLOOKUP($A8,OFFSET([1]characters!$A$1,0,0,COUNTA([1]characters!$A:$A),MATCH(B$1,[1]characters!$1:$1,0)-MATCH($A$1,[1]characters!$1:$1,0)+1),MATCH(B$1,[1]characters!$1:$1,0)-MATCH($A$1,[1]characters!$1:$1,0)+1,FALSE)</f>
        <v>アレス・パッション</v>
      </c>
      <c r="C8" s="53">
        <f ca="1">VLOOKUP($A8,OFFSET([1]characters!$A$1,0,0,COUNTA([1]characters!$A:$A),MATCH(C$1,[1]characters!$1:$1,0)-MATCH($A$1,[1]characters!$1:$1,0)+1),MATCH(C$1,[1]characters!$1:$1,0)-MATCH($A$1,[1]characters!$1:$1,0)+1,FALSE)</f>
        <v>0</v>
      </c>
      <c r="D8" s="53">
        <f ca="1">VLOOKUP($A8,OFFSET([1]characters!$A$1,0,0,COUNTA([1]characters!$A:$A),MATCH(D$1,[1]characters!$1:$1,0)-MATCH($A$1,[1]characters!$1:$1,0)+1),MATCH(D$1,[1]characters!$1:$1,0)-MATCH($A$1,[1]characters!$1:$1,0)+1,FALSE)</f>
        <v>0</v>
      </c>
      <c r="E8" s="53">
        <f ca="1">VLOOKUP($A8,OFFSET([1]characters!$A$1,0,0,COUNTA([1]characters!$A:$A),MATCH(E$1,[1]characters!$1:$1,0)-MATCH($A$1,[1]characters!$1:$1,0)+1),MATCH(E$1,[1]characters!$1:$1,0)-MATCH($A$1,[1]characters!$1:$1,0)+1,FALSE)</f>
        <v>0</v>
      </c>
      <c r="F8" s="53">
        <f ca="1">VLOOKUP($A8,OFFSET([1]characters!$A$1,0,0,COUNTA([1]characters!$A:$A),MATCH(F$1,[1]characters!$1:$1,0)-MATCH($A$1,[1]characters!$1:$1,0)+1),MATCH(F$1,[1]characters!$1:$1,0)-MATCH($A$1,[1]characters!$1:$1,0)+1,FALSE)</f>
        <v>0</v>
      </c>
      <c r="G8" s="53">
        <f ca="1">VLOOKUP($A8,OFFSET([1]characters!$A$1,0,0,COUNTA([1]characters!$A:$A),MATCH(G$1,[1]characters!$1:$1,0)-MATCH($A$1,[1]characters!$1:$1,0)+1),MATCH(G$1,[1]characters!$1:$1,0)-MATCH($A$1,[1]characters!$1:$1,0)+1,FALSE)</f>
        <v>5</v>
      </c>
      <c r="H8" s="53" t="str">
        <f ca="1">VLOOKUP($A8,OFFSET([1]characters!$A$1,0,0,COUNTA([1]characters!$A:$A),MATCH(H$1,[1]characters!$1:$1,0)-MATCH($A$1,[1]characters!$1:$1,0)+1),MATCH(H$1,[1]characters!$1:$1,0)-MATCH($A$1,[1]characters!$1:$1,0)+1,FALSE)</f>
        <v>PremiumS</v>
      </c>
      <c r="I8" s="53" t="str">
        <f ca="1">VLOOKUP($A8,OFFSET([1]characters!$A$1,0,0,COUNTA([1]characters!$A:$A),MATCH(I$1,[1]characters!$1:$1,0)-MATCH($A$1,[1]characters!$1:$1,0)+1),MATCH(I$1,[1]characters!$1:$1,0)-MATCH($A$1,[1]characters!$1:$1,0)+1,FALSE)</f>
        <v>yellow</v>
      </c>
      <c r="J8" s="10">
        <f ca="1">VLOOKUP(I8,[1]属性!$A:$E,2,FALSE)</f>
        <v>0.98</v>
      </c>
      <c r="K8" s="10">
        <f ca="1">VLOOKUP(I8,[1]属性!$A:$E,3,FALSE)</f>
        <v>1.01</v>
      </c>
      <c r="L8" s="10">
        <f ca="1">VLOOKUP(I8,[1]属性!$A:$E,4,FALSE)</f>
        <v>1</v>
      </c>
      <c r="M8" s="10">
        <f ca="1">VLOOKUP(I8,[1]属性!$A:$E,5,FALSE)</f>
        <v>1.01</v>
      </c>
      <c r="N8" s="10">
        <f ca="1">INDEX(コスト!$A$1:$I$21,MATCH(H8,コスト!$A$1:$A$21,FALSE),MATCH(G8,コスト!$A$1:$I$1,FALSE))</f>
        <v>30</v>
      </c>
      <c r="O8" s="10">
        <f ca="1">INDEX(レベル!$A$1:$I$22,MATCH(H8,レベル!$A$1:$A$22,FALSE),MATCH(G8,レベル!$A$1:$I$1,FALSE))</f>
        <v>80</v>
      </c>
      <c r="P8" s="44">
        <f t="shared" ca="1" si="10"/>
        <v>75</v>
      </c>
      <c r="Q8" s="53" t="str">
        <f ca="1">VLOOKUP($A8,OFFSET([1]characters!$A$1,0,0,COUNTA([1]characters!$A:$A),MATCH(Q$1,[1]characters!$1:$1,0)-MATCH($A$1,[1]characters!$1:$1,0)+1),MATCH(Q$1,[1]characters!$1:$1,0)-MATCH($A$1,[1]characters!$1:$1,0)+1,FALSE)</f>
        <v>attack</v>
      </c>
      <c r="R8" s="5" t="str">
        <f ca="1">VLOOKUP(Q8,[1]character_type_i18n!$A:$H,3,FALSE)</f>
        <v>攻撃タイプ</v>
      </c>
      <c r="S8" s="10">
        <f ca="1">VLOOKUP(Q8,[1]character_type_i18n!$A:$H,4,FALSE)</f>
        <v>1</v>
      </c>
      <c r="T8" s="10">
        <f ca="1">VLOOKUP(Q8,[1]character_type_i18n!$A:$H,5,FALSE)</f>
        <v>1.33</v>
      </c>
      <c r="U8" s="10">
        <f ca="1">VLOOKUP(Q8,[1]character_type_i18n!$A:$H,6,FALSE)</f>
        <v>1</v>
      </c>
      <c r="V8" s="10">
        <f ca="1">VLOOKUP(Q8,[1]character_type_i18n!$A:$H,7,FALSE)</f>
        <v>0.67</v>
      </c>
      <c r="W8" s="53" t="str">
        <f ca="1">VLOOKUP($A8,OFFSET([1]characters!$A$1,0,0,COUNTA([1]characters!$A:$A),MATCH(W$1,[1]characters!$1:$1,0)-MATCH($A$1,[1]characters!$1:$1,0)+1),MATCH(W$1,[1]characters!$1:$1,0)-MATCH($A$1,[1]characters!$1:$1,0)+1,FALSE)</f>
        <v>god</v>
      </c>
      <c r="X8" s="5" t="str">
        <f ca="1">VLOOKUP(W8,[1]character_tribe_i18n!$A:$H,3,FALSE)</f>
        <v>ゴッド</v>
      </c>
      <c r="Y8" s="53" t="str">
        <f ca="1">VLOOKUP($A8,OFFSET([1]characters!$A$1,0,0,COUNTA([1]characters!$A:$A),MATCH(Y$1,[1]characters!$1:$1,0)-MATCH($A$1,[1]characters!$1:$1,0)+1),MATCH(Y$1,[1]characters!$1:$1,0)-MATCH($A$1,[1]characters!$1:$1,0)+1,FALSE)</f>
        <v>none</v>
      </c>
      <c r="Z8" s="5" t="str">
        <f ca="1">VLOOKUP(Y8,[1]character_tribe_i18n!$A:$H,3,FALSE)</f>
        <v>種族なし</v>
      </c>
      <c r="AA8" s="10">
        <f ca="1">VLOOKUP(W8,[1]character_tribe_i18n!$A:$H,4,FALSE)</f>
        <v>0.96</v>
      </c>
      <c r="AB8" s="10">
        <f ca="1">VLOOKUP(W8,[1]character_tribe_i18n!$A:$H,5,FALSE)</f>
        <v>1.02</v>
      </c>
      <c r="AC8" s="10">
        <f ca="1">VLOOKUP(W8,[1]character_tribe_i18n!$A:$H,6,FALSE)</f>
        <v>1</v>
      </c>
      <c r="AD8" s="10">
        <f ca="1">VLOOKUP(W8,[1]character_tribe_i18n!$A:$H,7,FALSE)</f>
        <v>1.02</v>
      </c>
      <c r="AE8" s="187" t="s">
        <v>341</v>
      </c>
      <c r="AF8" s="58" t="str">
        <f ca="1">IF(AE8="NULL","",VLOOKUP($AE8,OFFSET([1]characters!$A$1,0,0,COUNTA([1]characters!$A:$A),MATCH(AF$1,[1]characters!$1:$1,0)-MATCH($A$1,[1]characters!$1:$1,0)+1),MATCH(AF$1,[1]characters!$1:$1,0)-MATCH($A$1,[1]characters!$1:$1,0)+1,FALSE))</f>
        <v/>
      </c>
      <c r="AG8" s="187">
        <v>1412</v>
      </c>
      <c r="AH8" s="58" t="str">
        <f ca="1">VLOOKUP($AG8,OFFSET([1]characters!$A$1,0,0,COUNTA([1]characters!$A:$A),MATCH(AH$1,[1]characters!$1:$1,0)-MATCH($A$1,[1]characters!$1:$1,0)+1),MATCH(AH$1,[1]characters!$1:$1,0)-MATCH($A$1,[1]characters!$1:$1,0)+1,FALSE)</f>
        <v>アレス・パッション</v>
      </c>
      <c r="AI8" s="10" t="str">
        <f>IF(AE8="NULL","NULL",VLOOKUP(G8,ビット!$A$2:$B$7,2))</f>
        <v>NULL</v>
      </c>
      <c r="AJ8" s="6">
        <v>2</v>
      </c>
      <c r="AK8" s="7" t="str">
        <f t="shared" si="8"/>
        <v>普通</v>
      </c>
      <c r="AL8" s="10" t="str">
        <f ca="1">INDEX(経験値!$A$1:$I$21,MATCH(H8,経験値!$A$1:$A$21,FALSE),MATCH(G8,経験値!$A$1:$I$1,FALSE))</f>
        <v>required_exp_200</v>
      </c>
      <c r="AM8" s="8">
        <f ca="1">VLOOKUP(G8,経験値!$A$28:$B$32,2)</f>
        <v>6400</v>
      </c>
      <c r="AN8" s="16">
        <f ca="1">VLOOKUP(G8,ビット!$G$2:$H$7,2)</f>
        <v>900</v>
      </c>
      <c r="AO8" s="41"/>
      <c r="AP8" s="63">
        <v>1412</v>
      </c>
      <c r="AQ8" s="53" t="str">
        <f ca="1">VLOOKUP($AP8,OFFSET(unit_skills!$A$1,0,0,COUNTA(unit_skills!$A:$A),MATCH(AQ$1,unit_skills!$1:$1,0)-MATCH($AP$1,unit_skills!$1:$1,0)+1),MATCH(AQ$1,unit_skills!$1:$1,0)-MATCH($AP$1,unit_skills!$1:$1,0)+1,FALSE)</f>
        <v>戦神・愛の薔薇尽くし</v>
      </c>
      <c r="AR8" s="53" t="str">
        <f ca="1">VLOOKUP($AP8,OFFSET(unit_skills!$A$1,0,0,COUNTA(unit_skills!$A:$A),MATCH(AR$1,unit_skills!$1:$1,0)-MATCH($AP$1,unit_skills!$1:$1,0)+1),MATCH(AR$1,unit_skills!$1:$1,0)-MATCH($AP$1,unit_skills!$1:$1,0)+1,FALSE)</f>
        <v>1ターン全ユニットの攻撃力をUP(緑・ダメージパネルを吸収し効果UP)、黄パネルの出現率を大UP</v>
      </c>
      <c r="AS8" s="53">
        <f ca="1">VLOOKUP($AP8,OFFSET(unit_skills!$A$1,0,0,COUNTA(unit_skills!$A:$A),MATCH(AS$1,unit_skills!$1:$1,0)-MATCH($AP$1,unit_skills!$1:$1,0)+1),MATCH(AS$1,unit_skills!$1:$1,0)-MATCH($AP$1,unit_skills!$1:$1,0)+1,FALSE)</f>
        <v>0</v>
      </c>
      <c r="AT8" s="63">
        <v>1412</v>
      </c>
      <c r="AU8" s="53" t="str">
        <f ca="1">VLOOKUP($AT8,OFFSET(crash_skills!$A$1,0,0,COUNTA(crash_skills!$A:$A),MATCH(AU$1,crash_skills!$1:$1,0)-MATCH($AT$1,crash_skills!$1:$1,0)+1),MATCH(AU$1,crash_skills!$1:$1,0)-MATCH($AT$1,crash_skills!$1:$1,0)+1,FALSE)</f>
        <v>熱愛砲瞳</v>
      </c>
      <c r="AV8" s="53" t="str">
        <f ca="1">VLOOKUP($AT8,OFFSET(crash_skills!$A$1,0,0,COUNTA(crash_skills!$A:$A),MATCH(AV$1,crash_skills!$1:$1,0)-MATCH($AT$1,crash_skills!$1:$1,0)+1),MATCH(AV$1,crash_skills!$1:$1,0)-MATCH($AT$1,crash_skills!$1:$1,0)+1,FALSE)</f>
        <v>全体に大ダメージ_x000D_青属性に効果特大</v>
      </c>
      <c r="AW8" s="53">
        <f ca="1">VLOOKUP($AT8,OFFSET(crash_skills!$A$1,0,0,COUNTA(crash_skills!$A:$A),MATCH(AW$1,crash_skills!$1:$1,0)-MATCH($AT$1,crash_skills!$1:$1,0)+1),MATCH(AW$1,crash_skills!$1:$1,0)-MATCH($AT$1,crash_skills!$1:$1,0)+1,FALSE)</f>
        <v>0</v>
      </c>
      <c r="AX8" s="54">
        <f ca="1">VLOOKUP($A8,OFFSET([1]characters!$A$1,0,0,COUNTA([1]characters!$A:$A),MATCH(AX$1,[1]characters!$1:$1,0)-MATCH($A$1,[1]characters!$1:$1,0)+1),MATCH(AX$1,[1]characters!$1:$1,0)-MATCH($A$1,[1]characters!$1:$1,0)+1,FALSE)</f>
        <v>3</v>
      </c>
      <c r="AY8" s="64">
        <v>1.087</v>
      </c>
      <c r="AZ8" s="64">
        <v>1.0369999999999999</v>
      </c>
      <c r="BA8" s="64">
        <v>0</v>
      </c>
      <c r="BB8" s="64">
        <v>0.90500000000000003</v>
      </c>
      <c r="BC8" s="10">
        <f ca="1">INDEX('RC6SV'!$A$1:$G$21,MATCH(H8,'RC6SV'!$A$1:$A$21,FALSE),MATCH(G8,'RC6SV'!$A$1:$G$1,FALSE))</f>
        <v>9000</v>
      </c>
      <c r="BD8" s="44">
        <f t="shared" ca="1" si="9"/>
        <v>9000</v>
      </c>
      <c r="BE8" s="10">
        <f t="shared" ca="1" si="3"/>
        <v>0</v>
      </c>
      <c r="BF8" s="10">
        <f t="shared" ca="1" si="4"/>
        <v>1</v>
      </c>
      <c r="BG8" s="15">
        <f ca="1">IF($BE8&lt;=0,ROUND(BK8*0.5,0), ROUND($BE8*S8*AA8*J8*AY8*0.8*[1]ステータス!$B$2,0))</f>
        <v>2301</v>
      </c>
      <c r="BH8" s="15">
        <f ca="1">IF($BE8&lt;=0,ROUND(BL8*0.5,0), ROUND($BE8*T8*AB8*K8*AZ8*0.8*[1]ステータス!$C$2,0))</f>
        <v>1918</v>
      </c>
      <c r="BI8" s="15">
        <f ca="1">IF($BE8&lt;=0,ROUND(BM8*0.5,0), ROUND($BE8*U8*AC8*L8*BA8*0.8*[1]ステータス!$D$2,0))</f>
        <v>0</v>
      </c>
      <c r="BJ8" s="15">
        <f ca="1">IF($BE8&lt;=0,ROUND(BN8*0.5,0), ROUND($BE8*V8*AD8*M8*BB8*0.8*[1]ステータス!$E$2,0))</f>
        <v>703</v>
      </c>
      <c r="BK8" s="10">
        <f ca="1">ROUND(BD8*S8*AA8*J8*AY8*[1]ステータス!$B$2,0)</f>
        <v>4602</v>
      </c>
      <c r="BL8" s="10">
        <f ca="1">ROUND(BD8*T8*AB8*K8*AZ8*[1]ステータス!$C$2,0)</f>
        <v>3836</v>
      </c>
      <c r="BM8" s="10">
        <f ca="1">ROUND(BD8*U8*AC8*L8*BA8*[1]ステータス!$D$2,0)</f>
        <v>0</v>
      </c>
      <c r="BN8" s="10">
        <f ca="1">ROUND(BD8*V8*AD8*M8*BB8*[1]ステータス!$E$2,0)</f>
        <v>1405</v>
      </c>
      <c r="BO8" s="9">
        <v>0</v>
      </c>
      <c r="BP8" s="9">
        <v>1</v>
      </c>
      <c r="BQ8" s="36" t="s">
        <v>47</v>
      </c>
      <c r="BR8" s="9">
        <f ca="1">VLOOKUP(H8,[2]ghosts_label!$A$2:$B$19,2,FALSE)</f>
        <v>700</v>
      </c>
    </row>
    <row r="9" spans="1:70" ht="26" customHeight="1" x14ac:dyDescent="0.15">
      <c r="A9" s="186">
        <v>1413</v>
      </c>
      <c r="B9" s="53" t="str">
        <f ca="1">VLOOKUP($A9,OFFSET([1]characters!$A$1,0,0,COUNTA([1]characters!$A:$A),MATCH(B$1,[1]characters!$1:$1,0)-MATCH($A$1,[1]characters!$1:$1,0)+1),MATCH(B$1,[1]characters!$1:$1,0)-MATCH($A$1,[1]characters!$1:$1,0)+1,FALSE)</f>
        <v>クリムト・ペリューシド</v>
      </c>
      <c r="C9" s="53">
        <f ca="1">VLOOKUP($A9,OFFSET([1]characters!$A$1,0,0,COUNTA([1]characters!$A:$A),MATCH(C$1,[1]characters!$1:$1,0)-MATCH($A$1,[1]characters!$1:$1,0)+1),MATCH(C$1,[1]characters!$1:$1,0)-MATCH($A$1,[1]characters!$1:$1,0)+1,FALSE)</f>
        <v>0</v>
      </c>
      <c r="D9" s="53">
        <f ca="1">VLOOKUP($A9,OFFSET([1]characters!$A$1,0,0,COUNTA([1]characters!$A:$A),MATCH(D$1,[1]characters!$1:$1,0)-MATCH($A$1,[1]characters!$1:$1,0)+1),MATCH(D$1,[1]characters!$1:$1,0)-MATCH($A$1,[1]characters!$1:$1,0)+1,FALSE)</f>
        <v>0</v>
      </c>
      <c r="E9" s="53">
        <f ca="1">VLOOKUP($A9,OFFSET([1]characters!$A$1,0,0,COUNTA([1]characters!$A:$A),MATCH(E$1,[1]characters!$1:$1,0)-MATCH($A$1,[1]characters!$1:$1,0)+1),MATCH(E$1,[1]characters!$1:$1,0)-MATCH($A$1,[1]characters!$1:$1,0)+1,FALSE)</f>
        <v>0</v>
      </c>
      <c r="F9" s="53">
        <f ca="1">VLOOKUP($A9,OFFSET([1]characters!$A$1,0,0,COUNTA([1]characters!$A:$A),MATCH(F$1,[1]characters!$1:$1,0)-MATCH($A$1,[1]characters!$1:$1,0)+1),MATCH(F$1,[1]characters!$1:$1,0)-MATCH($A$1,[1]characters!$1:$1,0)+1,FALSE)</f>
        <v>0</v>
      </c>
      <c r="G9" s="53">
        <f ca="1">VLOOKUP($A9,OFFSET([1]characters!$A$1,0,0,COUNTA([1]characters!$A:$A),MATCH(G$1,[1]characters!$1:$1,0)-MATCH($A$1,[1]characters!$1:$1,0)+1),MATCH(G$1,[1]characters!$1:$1,0)-MATCH($A$1,[1]characters!$1:$1,0)+1,FALSE)</f>
        <v>5</v>
      </c>
      <c r="H9" s="53" t="str">
        <f ca="1">VLOOKUP($A9,OFFSET([1]characters!$A$1,0,0,COUNTA([1]characters!$A:$A),MATCH(H$1,[1]characters!$1:$1,0)-MATCH($A$1,[1]characters!$1:$1,0)+1),MATCH(H$1,[1]characters!$1:$1,0)-MATCH($A$1,[1]characters!$1:$1,0)+1,FALSE)</f>
        <v>PremiumS</v>
      </c>
      <c r="I9" s="53" t="str">
        <f ca="1">VLOOKUP($A9,OFFSET([1]characters!$A$1,0,0,COUNTA([1]characters!$A:$A),MATCH(I$1,[1]characters!$1:$1,0)-MATCH($A$1,[1]characters!$1:$1,0)+1),MATCH(I$1,[1]characters!$1:$1,0)-MATCH($A$1,[1]characters!$1:$1,0)+1,FALSE)</f>
        <v>green</v>
      </c>
      <c r="J9" s="10">
        <f ca="1">VLOOKUP(I9,[1]属性!$A:$E,2,FALSE)</f>
        <v>1.02</v>
      </c>
      <c r="K9" s="10">
        <f ca="1">VLOOKUP(I9,[1]属性!$A:$E,3,FALSE)</f>
        <v>0.98</v>
      </c>
      <c r="L9" s="10">
        <f ca="1">VLOOKUP(I9,[1]属性!$A:$E,4,FALSE)</f>
        <v>1</v>
      </c>
      <c r="M9" s="10">
        <f ca="1">VLOOKUP(I9,[1]属性!$A:$E,5,FALSE)</f>
        <v>1</v>
      </c>
      <c r="N9" s="10">
        <f ca="1">INDEX(コスト!$A$1:$I$21,MATCH(H9,コスト!$A$1:$A$21,FALSE),MATCH(G9,コスト!$A$1:$I$1,FALSE))</f>
        <v>30</v>
      </c>
      <c r="O9" s="10">
        <f ca="1">INDEX(レベル!$A$1:$I$22,MATCH(H9,レベル!$A$1:$A$22,FALSE),MATCH(G9,レベル!$A$1:$I$1,FALSE))</f>
        <v>80</v>
      </c>
      <c r="P9" s="44">
        <f t="shared" ca="1" si="10"/>
        <v>75</v>
      </c>
      <c r="Q9" s="53" t="str">
        <f ca="1">VLOOKUP($A9,OFFSET([1]characters!$A$1,0,0,COUNTA([1]characters!$A:$A),MATCH(Q$1,[1]characters!$1:$1,0)-MATCH($A$1,[1]characters!$1:$1,0)+1),MATCH(Q$1,[1]characters!$1:$1,0)-MATCH($A$1,[1]characters!$1:$1,0)+1,FALSE)</f>
        <v>technical</v>
      </c>
      <c r="R9" s="5" t="str">
        <f ca="1">VLOOKUP(Q9,[1]character_type_i18n!$A:$H,3,FALSE)</f>
        <v>テクニカルタイプ</v>
      </c>
      <c r="S9" s="10">
        <f ca="1">VLOOKUP(Q9,[1]character_type_i18n!$A:$H,4,FALSE)</f>
        <v>0.9</v>
      </c>
      <c r="T9" s="10">
        <f ca="1">VLOOKUP(Q9,[1]character_type_i18n!$A:$H,5,FALSE)</f>
        <v>0.9</v>
      </c>
      <c r="U9" s="10">
        <f ca="1">VLOOKUP(Q9,[1]character_type_i18n!$A:$H,6,FALSE)</f>
        <v>1</v>
      </c>
      <c r="V9" s="10">
        <f ca="1">VLOOKUP(Q9,[1]character_type_i18n!$A:$H,7,FALSE)</f>
        <v>0.9</v>
      </c>
      <c r="W9" s="53" t="str">
        <f ca="1">VLOOKUP($A9,OFFSET([1]characters!$A$1,0,0,COUNTA([1]characters!$A:$A),MATCH(W$1,[1]characters!$1:$1,0)-MATCH($A$1,[1]characters!$1:$1,0)+1),MATCH(W$1,[1]characters!$1:$1,0)-MATCH($A$1,[1]characters!$1:$1,0)+1,FALSE)</f>
        <v>human</v>
      </c>
      <c r="X9" s="5" t="str">
        <f ca="1">VLOOKUP(W9,[1]character_tribe_i18n!$A:$H,3,FALSE)</f>
        <v>ヒューマン</v>
      </c>
      <c r="Y9" s="53" t="str">
        <f ca="1">VLOOKUP($A9,OFFSET([1]characters!$A$1,0,0,COUNTA([1]characters!$A:$A),MATCH(Y$1,[1]characters!$1:$1,0)-MATCH($A$1,[1]characters!$1:$1,0)+1),MATCH(Y$1,[1]characters!$1:$1,0)-MATCH($A$1,[1]characters!$1:$1,0)+1,FALSE)</f>
        <v>unknown</v>
      </c>
      <c r="Z9" s="5" t="str">
        <f ca="1">VLOOKUP(Y9,[1]character_tribe_i18n!$A:$H,3,FALSE)</f>
        <v>Unknown</v>
      </c>
      <c r="AA9" s="10">
        <f ca="1">VLOOKUP(W9,[1]character_tribe_i18n!$A:$H,4,FALSE)</f>
        <v>0.94</v>
      </c>
      <c r="AB9" s="10">
        <f ca="1">VLOOKUP(W9,[1]character_tribe_i18n!$A:$H,5,FALSE)</f>
        <v>0.99</v>
      </c>
      <c r="AC9" s="10">
        <f ca="1">VLOOKUP(W9,[1]character_tribe_i18n!$A:$H,6,FALSE)</f>
        <v>1</v>
      </c>
      <c r="AD9" s="10">
        <f ca="1">VLOOKUP(W9,[1]character_tribe_i18n!$A:$H,7,FALSE)</f>
        <v>1.07</v>
      </c>
      <c r="AE9" s="187" t="s">
        <v>341</v>
      </c>
      <c r="AF9" s="58" t="str">
        <f ca="1">IF(AE9="NULL","",VLOOKUP($AE9,OFFSET([1]characters!$A$1,0,0,COUNTA([1]characters!$A:$A),MATCH(AF$1,[1]characters!$1:$1,0)-MATCH($A$1,[1]characters!$1:$1,0)+1),MATCH(AF$1,[1]characters!$1:$1,0)-MATCH($A$1,[1]characters!$1:$1,0)+1,FALSE))</f>
        <v/>
      </c>
      <c r="AG9" s="187">
        <v>1413</v>
      </c>
      <c r="AH9" s="58" t="str">
        <f ca="1">VLOOKUP($AG9,OFFSET([1]characters!$A$1,0,0,COUNTA([1]characters!$A:$A),MATCH(AH$1,[1]characters!$1:$1,0)-MATCH($A$1,[1]characters!$1:$1,0)+1),MATCH(AH$1,[1]characters!$1:$1,0)-MATCH($A$1,[1]characters!$1:$1,0)+1,FALSE)</f>
        <v>クリムト・ペリューシド</v>
      </c>
      <c r="AI9" s="10" t="str">
        <f>IF(AE9="NULL","NULL",VLOOKUP(G9,ビット!$A$2:$B$7,2))</f>
        <v>NULL</v>
      </c>
      <c r="AJ9" s="6">
        <v>2</v>
      </c>
      <c r="AK9" s="7" t="str">
        <f t="shared" si="8"/>
        <v>普通</v>
      </c>
      <c r="AL9" s="10" t="str">
        <f ca="1">INDEX(経験値!$A$1:$I$21,MATCH(H9,経験値!$A$1:$A$21,FALSE),MATCH(G9,経験値!$A$1:$I$1,FALSE))</f>
        <v>required_exp_200</v>
      </c>
      <c r="AM9" s="8">
        <f ca="1">VLOOKUP(G9,経験値!$A$28:$B$32,2)</f>
        <v>6400</v>
      </c>
      <c r="AN9" s="16">
        <f ca="1">VLOOKUP(G9,ビット!$G$2:$H$7,2)</f>
        <v>900</v>
      </c>
      <c r="AO9" s="41"/>
      <c r="AP9" s="63">
        <v>1413</v>
      </c>
      <c r="AQ9" s="53" t="str">
        <f ca="1">VLOOKUP($AP9,OFFSET(unit_skills!$A$1,0,0,COUNTA(unit_skills!$A:$A),MATCH(AQ$1,unit_skills!$1:$1,0)-MATCH($AP$1,unit_skills!$1:$1,0)+1),MATCH(AQ$1,unit_skills!$1:$1,0)-MATCH($AP$1,unit_skills!$1:$1,0)+1,FALSE)</f>
        <v>色愛のディアマン・ファタール</v>
      </c>
      <c r="AR9" s="53" t="str">
        <f ca="1">VLOOKUP($AP9,OFFSET(unit_skills!$A$1,0,0,COUNTA(unit_skills!$A:$A),MATCH(AR$1,unit_skills!$1:$1,0)-MATCH($AP$1,unit_skills!$1:$1,0)+1),MATCH(AR$1,unit_skills!$1:$1,0)-MATCH($AP$1,unit_skills!$1:$1,0)+1,FALSE)</f>
        <v>赤・ダメージパネルを緑パネルに変換+ウイルス解除+4ターン種族Unknownのタップ回数を1増やす</v>
      </c>
      <c r="AS9" s="53">
        <f ca="1">VLOOKUP($AP9,OFFSET(unit_skills!$A$1,0,0,COUNTA(unit_skills!$A:$A),MATCH(AS$1,unit_skills!$1:$1,0)-MATCH($AP$1,unit_skills!$1:$1,0)+1),MATCH(AS$1,unit_skills!$1:$1,0)-MATCH($AP$1,unit_skills!$1:$1,0)+1,FALSE)</f>
        <v>0</v>
      </c>
      <c r="AT9" s="63">
        <v>1413</v>
      </c>
      <c r="AU9" s="53" t="str">
        <f ca="1">VLOOKUP($AT9,OFFSET(crash_skills!$A$1,0,0,COUNTA(crash_skills!$A:$A),MATCH(AU$1,crash_skills!$1:$1,0)-MATCH($AT$1,crash_skills!$1:$1,0)+1),MATCH(AU$1,crash_skills!$1:$1,0)-MATCH($AT$1,crash_skills!$1:$1,0)+1,FALSE)</f>
        <v>透紫の恋影・蕩</v>
      </c>
      <c r="AV9" s="53" t="str">
        <f ca="1">VLOOKUP($AT9,OFFSET(crash_skills!$A$1,0,0,COUNTA(crash_skills!$A:$A),MATCH(AV$1,crash_skills!$1:$1,0)-MATCH($AT$1,crash_skills!$1:$1,0)+1),MATCH(AV$1,crash_skills!$1:$1,0)-MATCH($AT$1,crash_skills!$1:$1,0)+1,FALSE)</f>
        <v>1体に特大ダメージ_x000D_種族Unknownに効果超大</v>
      </c>
      <c r="AW9" s="53">
        <f ca="1">VLOOKUP($AT9,OFFSET(crash_skills!$A$1,0,0,COUNTA(crash_skills!$A:$A),MATCH(AW$1,crash_skills!$1:$1,0)-MATCH($AT$1,crash_skills!$1:$1,0)+1),MATCH(AW$1,crash_skills!$1:$1,0)-MATCH($AT$1,crash_skills!$1:$1,0)+1,FALSE)</f>
        <v>0</v>
      </c>
      <c r="AX9" s="54">
        <f ca="1">VLOOKUP($A9,OFFSET([1]characters!$A$1,0,0,COUNTA([1]characters!$A:$A),MATCH(AX$1,[1]characters!$1:$1,0)-MATCH($A$1,[1]characters!$1:$1,0)+1),MATCH(AX$1,[1]characters!$1:$1,0)-MATCH($A$1,[1]characters!$1:$1,0)+1,FALSE)</f>
        <v>3</v>
      </c>
      <c r="AY9" s="64">
        <v>1.151</v>
      </c>
      <c r="AZ9" s="64">
        <v>1.41</v>
      </c>
      <c r="BA9" s="64">
        <v>0</v>
      </c>
      <c r="BB9" s="64">
        <v>1.1279999999999999</v>
      </c>
      <c r="BC9" s="10">
        <f ca="1">INDEX('RC6SV'!$A$1:$G$21,MATCH(H9,'RC6SV'!$A$1:$A$21,FALSE),MATCH(G9,'RC6SV'!$A$1:$G$1,FALSE))</f>
        <v>9000</v>
      </c>
      <c r="BD9" s="44">
        <f t="shared" ca="1" si="9"/>
        <v>9000</v>
      </c>
      <c r="BE9" s="10">
        <f t="shared" ca="1" si="3"/>
        <v>0</v>
      </c>
      <c r="BF9" s="10">
        <f t="shared" ca="1" si="4"/>
        <v>1</v>
      </c>
      <c r="BG9" s="15">
        <f ca="1">IF($BE9&lt;=0,ROUND(BK9*0.5,0), ROUND($BE9*S9*AA9*J9*AY9*0.8*[1]ステータス!$B$2,0))</f>
        <v>2235</v>
      </c>
      <c r="BH9" s="15">
        <f ca="1">IF($BE9&lt;=0,ROUND(BL9*0.5,0), ROUND($BE9*T9*AB9*K9*AZ9*0.8*[1]ステータス!$C$2,0))</f>
        <v>1662</v>
      </c>
      <c r="BI9" s="15">
        <f ca="1">IF($BE9&lt;=0,ROUND(BM9*0.5,0), ROUND($BE9*U9*AC9*L9*BA9*0.8*[1]ステータス!$D$2,0))</f>
        <v>0</v>
      </c>
      <c r="BJ9" s="15">
        <f ca="1">IF($BE9&lt;=0,ROUND(BN9*0.5,0), ROUND($BE9*V9*AD9*M9*BB9*0.8*[1]ステータス!$E$2,0))</f>
        <v>1222</v>
      </c>
      <c r="BK9" s="10">
        <f ca="1">ROUND(BD9*S9*AA9*J9*AY9*[1]ステータス!$B$2,0)</f>
        <v>4469</v>
      </c>
      <c r="BL9" s="10">
        <f ca="1">ROUND(BD9*T9*AB9*K9*AZ9*[1]ステータス!$C$2,0)</f>
        <v>3324</v>
      </c>
      <c r="BM9" s="10">
        <f ca="1">ROUND(BD9*U9*AC9*L9*BA9*[1]ステータス!$D$2,0)</f>
        <v>0</v>
      </c>
      <c r="BN9" s="10">
        <f ca="1">ROUND(BD9*V9*AD9*M9*BB9*[1]ステータス!$E$2,0)</f>
        <v>2444</v>
      </c>
      <c r="BO9" s="9">
        <v>0</v>
      </c>
      <c r="BP9" s="9">
        <v>1</v>
      </c>
      <c r="BQ9" s="36" t="s">
        <v>47</v>
      </c>
      <c r="BR9" s="9">
        <f ca="1">VLOOKUP(H9,[2]ghosts_label!$A$2:$B$19,2,FALSE)</f>
        <v>700</v>
      </c>
    </row>
  </sheetData>
  <autoFilter ref="A1:BQ1"/>
  <phoneticPr fontId="10"/>
  <conditionalFormatting sqref="BO1">
    <cfRule type="cellIs" dxfId="46" priority="120" stopIfTrue="1" operator="equal">
      <formula>1</formula>
    </cfRule>
  </conditionalFormatting>
  <conditionalFormatting sqref="BQ1">
    <cfRule type="cellIs" dxfId="45"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9"/>
  <sheetViews>
    <sheetView showGridLines="0" zoomScale="115" workbookViewId="0">
      <pane xSplit="4" ySplit="1" topLeftCell="I2" activePane="bottomRight" state="frozen"/>
      <selection pane="topRight" activeCell="D1" sqref="D1"/>
      <selection pane="bottomLeft" activeCell="A2" sqref="A2"/>
      <selection pane="bottomRight" activeCell="B16" sqref="B16"/>
    </sheetView>
  </sheetViews>
  <sheetFormatPr baseColWidth="12" defaultColWidth="13" defaultRowHeight="21" customHeight="1" outlineLevelCol="1" x14ac:dyDescent="0.15"/>
  <cols>
    <col min="1" max="1" width="16.1640625" style="126" bestFit="1" customWidth="1"/>
    <col min="2" max="2" width="13" style="126" bestFit="1" customWidth="1"/>
    <col min="3" max="3" width="21.83203125" style="126" customWidth="1"/>
    <col min="4" max="4" width="41.83203125" style="126" customWidth="1"/>
    <col min="5" max="5" width="9" style="126" customWidth="1"/>
    <col min="6" max="6" width="7.83203125" style="126" bestFit="1" customWidth="1"/>
    <col min="7" max="7" width="8.1640625" style="126" bestFit="1" customWidth="1"/>
    <col min="8" max="8" width="13.6640625" style="126" bestFit="1" customWidth="1"/>
    <col min="9" max="10" width="51.6640625" style="126" customWidth="1"/>
    <col min="11" max="11" width="10.83203125" style="126" customWidth="1" outlineLevel="1"/>
    <col min="12" max="17" width="9.5" style="125" customWidth="1" outlineLevel="1"/>
    <col min="18" max="18" width="20.33203125" style="126" customWidth="1" outlineLevel="1"/>
    <col min="19" max="19" width="10.33203125" style="126" bestFit="1" customWidth="1"/>
    <col min="20" max="16384" width="13" style="126"/>
  </cols>
  <sheetData>
    <row r="1" spans="1:19" s="125" customFormat="1" ht="21" customHeight="1" x14ac:dyDescent="0.15">
      <c r="A1" s="114" t="s">
        <v>20</v>
      </c>
      <c r="B1" s="115" t="s">
        <v>134</v>
      </c>
      <c r="C1" s="116" t="s">
        <v>40</v>
      </c>
      <c r="D1" s="117" t="s">
        <v>163</v>
      </c>
      <c r="E1" s="117" t="s">
        <v>164</v>
      </c>
      <c r="F1" s="114" t="s">
        <v>146</v>
      </c>
      <c r="G1" s="118" t="s">
        <v>2</v>
      </c>
      <c r="H1" s="118" t="s">
        <v>165</v>
      </c>
      <c r="I1" s="118" t="s">
        <v>166</v>
      </c>
      <c r="J1" s="119" t="s">
        <v>183</v>
      </c>
      <c r="K1" s="118" t="s">
        <v>4</v>
      </c>
      <c r="L1" s="120" t="s">
        <v>167</v>
      </c>
      <c r="M1" s="121" t="s">
        <v>168</v>
      </c>
      <c r="N1" s="121" t="s">
        <v>169</v>
      </c>
      <c r="O1" s="121" t="s">
        <v>170</v>
      </c>
      <c r="P1" s="121" t="s">
        <v>171</v>
      </c>
      <c r="Q1" s="122" t="s">
        <v>172</v>
      </c>
      <c r="R1" s="123" t="s">
        <v>173</v>
      </c>
      <c r="S1" s="124" t="s">
        <v>174</v>
      </c>
    </row>
    <row r="2" spans="1:19" ht="21" customHeight="1" x14ac:dyDescent="0.15">
      <c r="A2" s="186">
        <v>1092</v>
      </c>
      <c r="B2" s="129" t="s">
        <v>184</v>
      </c>
      <c r="C2" s="188" t="s">
        <v>402</v>
      </c>
      <c r="D2" s="188" t="s">
        <v>426</v>
      </c>
      <c r="E2" s="131">
        <f t="shared" ref="E2" si="0">LEN(D2)</f>
        <v>62</v>
      </c>
      <c r="F2" s="63">
        <v>12</v>
      </c>
      <c r="G2" s="113">
        <v>5</v>
      </c>
      <c r="H2" s="132">
        <f>2001</f>
        <v>2001</v>
      </c>
      <c r="I2" s="189" t="s">
        <v>425</v>
      </c>
      <c r="J2" s="53" t="str">
        <f ca="1">VLOOKUP($A2,OFFSET([1]characters!$A$1,0,0,COUNTA([1]characters!$A:$A),MATCH("name",[1]characters!$1:$1,0)-MATCH("character_id",[1]characters!$1:$1,0)+1),MATCH("name",[1]characters!$1:$1,0)-MATCH("character_id",[1]characters!$1:$1,0)+1,FALSE)</f>
        <v>究護の戦王子 レイヴン</v>
      </c>
      <c r="K2" s="133">
        <f>IFERROR(VLOOKUP(A2,[1]characters!$A:$R,18),0)</f>
        <v>3</v>
      </c>
      <c r="L2" s="134"/>
      <c r="M2" s="135"/>
      <c r="N2" s="135"/>
      <c r="O2" s="135"/>
      <c r="P2" s="135"/>
      <c r="Q2" s="135"/>
      <c r="R2" s="130"/>
      <c r="S2" s="136"/>
    </row>
    <row r="3" spans="1:19" ht="21" customHeight="1" x14ac:dyDescent="0.15">
      <c r="A3" s="186">
        <v>1409</v>
      </c>
      <c r="B3" s="129" t="s">
        <v>184</v>
      </c>
      <c r="C3" s="188" t="s">
        <v>362</v>
      </c>
      <c r="D3" s="188" t="s">
        <v>420</v>
      </c>
      <c r="E3" s="131">
        <f t="shared" ref="E3" si="1">LEN(D3)</f>
        <v>57</v>
      </c>
      <c r="F3" s="63">
        <v>13</v>
      </c>
      <c r="G3" s="113">
        <v>5</v>
      </c>
      <c r="H3" s="132">
        <f>2001</f>
        <v>2001</v>
      </c>
      <c r="I3" s="189" t="s">
        <v>422</v>
      </c>
      <c r="J3" s="53" t="str">
        <f ca="1">VLOOKUP($A3,OFFSET([1]characters!$A$1,0,0,COUNTA([1]characters!$A:$A),MATCH("name",[1]characters!$1:$1,0)-MATCH("character_id",[1]characters!$1:$1,0)+1),MATCH("name",[1]characters!$1:$1,0)-MATCH("character_id",[1]characters!$1:$1,0)+1,FALSE)</f>
        <v>マシロ</v>
      </c>
      <c r="K3" s="133">
        <f>IFERROR(VLOOKUP(A3,[1]characters!$A:$R,18),0)</f>
        <v>3</v>
      </c>
      <c r="L3" s="134"/>
      <c r="M3" s="135"/>
      <c r="N3" s="135"/>
      <c r="O3" s="135"/>
      <c r="P3" s="135"/>
      <c r="Q3" s="135"/>
      <c r="R3" s="130"/>
      <c r="S3" s="136"/>
    </row>
    <row r="4" spans="1:19" ht="21" customHeight="1" x14ac:dyDescent="0.15">
      <c r="A4" s="186">
        <v>1410</v>
      </c>
      <c r="B4" s="129" t="s">
        <v>184</v>
      </c>
      <c r="C4" s="188" t="s">
        <v>363</v>
      </c>
      <c r="D4" s="188" t="s">
        <v>421</v>
      </c>
      <c r="E4" s="131">
        <f t="shared" ref="E4:E5" si="2">LEN(D4)</f>
        <v>57</v>
      </c>
      <c r="F4" s="63">
        <v>12</v>
      </c>
      <c r="G4" s="113">
        <v>5</v>
      </c>
      <c r="H4" s="132">
        <f>2001</f>
        <v>2001</v>
      </c>
      <c r="I4" s="189" t="s">
        <v>423</v>
      </c>
      <c r="J4" s="53" t="str">
        <f ca="1">VLOOKUP($A4,OFFSET([1]characters!$A$1,0,0,COUNTA([1]characters!$A:$A),MATCH("name",[1]characters!$1:$1,0)-MATCH("character_id",[1]characters!$1:$1,0)+1),MATCH("name",[1]characters!$1:$1,0)-MATCH("character_id",[1]characters!$1:$1,0)+1,FALSE)</f>
        <v>浮遊する白恋 マシロ</v>
      </c>
      <c r="K4" s="133">
        <f>IFERROR(VLOOKUP(A4,[1]characters!$A:$R,18),0)</f>
        <v>3</v>
      </c>
      <c r="L4" s="134"/>
      <c r="M4" s="135"/>
      <c r="N4" s="135"/>
      <c r="O4" s="135"/>
      <c r="P4" s="135"/>
      <c r="Q4" s="135"/>
      <c r="R4" s="130"/>
      <c r="S4" s="136"/>
    </row>
    <row r="5" spans="1:19" ht="21" customHeight="1" x14ac:dyDescent="0.15">
      <c r="A5" s="186">
        <v>1407</v>
      </c>
      <c r="B5" s="129" t="s">
        <v>184</v>
      </c>
      <c r="C5" s="188" t="s">
        <v>364</v>
      </c>
      <c r="D5" s="188" t="s">
        <v>418</v>
      </c>
      <c r="E5" s="131">
        <f t="shared" si="2"/>
        <v>47</v>
      </c>
      <c r="F5" s="63">
        <v>12</v>
      </c>
      <c r="G5" s="113">
        <v>7</v>
      </c>
      <c r="H5" s="132">
        <f>2001</f>
        <v>2001</v>
      </c>
      <c r="I5" s="205" t="s">
        <v>429</v>
      </c>
      <c r="J5" s="53" t="str">
        <f ca="1">VLOOKUP($A5,OFFSET([1]characters!$A$1,0,0,COUNTA([1]characters!$A:$A),MATCH("name",[1]characters!$1:$1,0)-MATCH("character_id",[1]characters!$1:$1,0)+1),MATCH("name",[1]characters!$1:$1,0)-MATCH("character_id",[1]characters!$1:$1,0)+1,FALSE)</f>
        <v>グリム・ザ・ダンディ</v>
      </c>
      <c r="K5" s="133">
        <f>IFERROR(VLOOKUP(A5,[1]characters!$A:$R,18),0)</f>
        <v>3</v>
      </c>
      <c r="L5" s="134"/>
      <c r="M5" s="135"/>
      <c r="N5" s="135"/>
      <c r="O5" s="135"/>
      <c r="P5" s="135"/>
      <c r="Q5" s="135"/>
      <c r="R5" s="130"/>
      <c r="S5" s="136"/>
    </row>
    <row r="6" spans="1:19" ht="21" customHeight="1" x14ac:dyDescent="0.15">
      <c r="A6" s="186">
        <v>1408</v>
      </c>
      <c r="B6" s="129" t="s">
        <v>184</v>
      </c>
      <c r="C6" s="188" t="s">
        <v>365</v>
      </c>
      <c r="D6" s="188" t="s">
        <v>419</v>
      </c>
      <c r="E6" s="131">
        <f t="shared" ref="E6:E9" si="3">LEN(D6)</f>
        <v>47</v>
      </c>
      <c r="F6" s="63">
        <v>11</v>
      </c>
      <c r="G6" s="113">
        <v>7</v>
      </c>
      <c r="H6" s="132">
        <f>2001</f>
        <v>2001</v>
      </c>
      <c r="I6" s="205" t="s">
        <v>430</v>
      </c>
      <c r="J6" s="53" t="str">
        <f ca="1">VLOOKUP($A6,OFFSET([1]characters!$A$1,0,0,COUNTA([1]characters!$A:$A),MATCH("name",[1]characters!$1:$1,0)-MATCH("character_id",[1]characters!$1:$1,0)+1),MATCH("name",[1]characters!$1:$1,0)-MATCH("character_id",[1]characters!$1:$1,0)+1,FALSE)</f>
        <v>爽愛の求魂 グリム・ザ・ダンディ</v>
      </c>
      <c r="K6" s="133">
        <f>IFERROR(VLOOKUP(A6,[1]characters!$A:$R,18),0)</f>
        <v>3</v>
      </c>
      <c r="L6" s="134"/>
      <c r="M6" s="135"/>
      <c r="N6" s="135"/>
      <c r="O6" s="135"/>
      <c r="P6" s="135"/>
      <c r="Q6" s="135"/>
      <c r="R6" s="130"/>
      <c r="S6" s="136"/>
    </row>
    <row r="7" spans="1:19" ht="21" customHeight="1" x14ac:dyDescent="0.15">
      <c r="A7" s="186">
        <v>1411</v>
      </c>
      <c r="B7" s="129" t="s">
        <v>184</v>
      </c>
      <c r="C7" s="188" t="s">
        <v>366</v>
      </c>
      <c r="D7" s="204" t="s">
        <v>428</v>
      </c>
      <c r="E7" s="131">
        <f t="shared" si="3"/>
        <v>46</v>
      </c>
      <c r="F7" s="63">
        <v>12</v>
      </c>
      <c r="G7" s="113">
        <v>5</v>
      </c>
      <c r="H7" s="132">
        <f>2001</f>
        <v>2001</v>
      </c>
      <c r="I7" s="189" t="s">
        <v>427</v>
      </c>
      <c r="J7" s="53" t="str">
        <f ca="1">VLOOKUP($A7,OFFSET([1]characters!$A$1,0,0,COUNTA([1]characters!$A:$A),MATCH("name",[1]characters!$1:$1,0)-MATCH("character_id",[1]characters!$1:$1,0)+1),MATCH("name",[1]characters!$1:$1,0)-MATCH("character_id",[1]characters!$1:$1,0)+1,FALSE)</f>
        <v>ピーターパン・イノセンス</v>
      </c>
      <c r="K7" s="133">
        <f>IFERROR(VLOOKUP(A7,[1]characters!$A:$R,18),0)</f>
        <v>3</v>
      </c>
      <c r="L7" s="134"/>
      <c r="M7" s="135"/>
      <c r="N7" s="135"/>
      <c r="O7" s="135"/>
      <c r="P7" s="135"/>
      <c r="Q7" s="135"/>
      <c r="R7" s="130"/>
      <c r="S7" s="136"/>
    </row>
    <row r="8" spans="1:19" ht="21" customHeight="1" x14ac:dyDescent="0.15">
      <c r="A8" s="186">
        <v>1412</v>
      </c>
      <c r="B8" s="129" t="s">
        <v>184</v>
      </c>
      <c r="C8" s="188" t="s">
        <v>367</v>
      </c>
      <c r="D8" s="188" t="s">
        <v>400</v>
      </c>
      <c r="E8" s="131">
        <f t="shared" si="3"/>
        <v>48</v>
      </c>
      <c r="F8" s="63">
        <v>11</v>
      </c>
      <c r="G8" s="113">
        <v>5</v>
      </c>
      <c r="H8" s="132">
        <f>2001</f>
        <v>2001</v>
      </c>
      <c r="I8" s="189" t="s">
        <v>399</v>
      </c>
      <c r="J8" s="53" t="str">
        <f ca="1">VLOOKUP($A8,OFFSET([1]characters!$A$1,0,0,COUNTA([1]characters!$A:$A),MATCH("name",[1]characters!$1:$1,0)-MATCH("character_id",[1]characters!$1:$1,0)+1),MATCH("name",[1]characters!$1:$1,0)-MATCH("character_id",[1]characters!$1:$1,0)+1,FALSE)</f>
        <v>アレス・パッション</v>
      </c>
      <c r="K8" s="133">
        <f>IFERROR(VLOOKUP(A8,[1]characters!$A:$R,18),0)</f>
        <v>3</v>
      </c>
      <c r="L8" s="134"/>
      <c r="M8" s="135"/>
      <c r="N8" s="135"/>
      <c r="O8" s="135"/>
      <c r="P8" s="135"/>
      <c r="Q8" s="135"/>
      <c r="R8" s="130"/>
      <c r="S8" s="136"/>
    </row>
    <row r="9" spans="1:19" ht="21" customHeight="1" x14ac:dyDescent="0.15">
      <c r="A9" s="186">
        <v>1413</v>
      </c>
      <c r="B9" s="129" t="s">
        <v>184</v>
      </c>
      <c r="C9" s="188" t="s">
        <v>368</v>
      </c>
      <c r="D9" s="188" t="s">
        <v>411</v>
      </c>
      <c r="E9" s="131">
        <f t="shared" si="3"/>
        <v>49</v>
      </c>
      <c r="F9" s="63">
        <v>12</v>
      </c>
      <c r="G9" s="113">
        <v>5</v>
      </c>
      <c r="H9" s="132">
        <f>2001</f>
        <v>2001</v>
      </c>
      <c r="I9" s="189" t="s">
        <v>412</v>
      </c>
      <c r="J9" s="53" t="str">
        <f ca="1">VLOOKUP($A9,OFFSET([1]characters!$A$1,0,0,COUNTA([1]characters!$A:$A),MATCH("name",[1]characters!$1:$1,0)-MATCH("character_id",[1]characters!$1:$1,0)+1),MATCH("name",[1]characters!$1:$1,0)-MATCH("character_id",[1]characters!$1:$1,0)+1,FALSE)</f>
        <v>クリムト・ペリューシド</v>
      </c>
      <c r="K9" s="133">
        <f>IFERROR(VLOOKUP(A9,[1]characters!$A:$R,18),0)</f>
        <v>3</v>
      </c>
      <c r="L9" s="134"/>
      <c r="M9" s="135"/>
      <c r="N9" s="135"/>
      <c r="O9" s="135"/>
      <c r="P9" s="135"/>
      <c r="Q9" s="135"/>
      <c r="R9" s="130"/>
      <c r="S9" s="136"/>
    </row>
  </sheetData>
  <sheetProtection selectLockedCells="1" selectUnlockedCells="1"/>
  <autoFilter ref="A1:S1">
    <sortState ref="A2:T432">
      <sortCondition ref="A1:A432"/>
    </sortState>
  </autoFilter>
  <phoneticPr fontId="22"/>
  <conditionalFormatting sqref="E1 E10:E1048576">
    <cfRule type="cellIs" dxfId="44" priority="30" operator="greaterThan">
      <formula>41</formula>
    </cfRule>
  </conditionalFormatting>
  <conditionalFormatting sqref="E2">
    <cfRule type="cellIs" dxfId="43" priority="24" operator="greaterThan">
      <formula>57</formula>
    </cfRule>
  </conditionalFormatting>
  <conditionalFormatting sqref="E3">
    <cfRule type="cellIs" dxfId="42" priority="23" operator="greaterThan">
      <formula>57</formula>
    </cfRule>
  </conditionalFormatting>
  <conditionalFormatting sqref="E4">
    <cfRule type="cellIs" dxfId="41" priority="6" operator="greaterThan">
      <formula>57</formula>
    </cfRule>
  </conditionalFormatting>
  <conditionalFormatting sqref="E5">
    <cfRule type="cellIs" dxfId="40" priority="5" operator="greaterThan">
      <formula>57</formula>
    </cfRule>
  </conditionalFormatting>
  <conditionalFormatting sqref="E6">
    <cfRule type="cellIs" dxfId="39" priority="4" operator="greaterThan">
      <formula>57</formula>
    </cfRule>
  </conditionalFormatting>
  <conditionalFormatting sqref="E7">
    <cfRule type="cellIs" dxfId="38" priority="3" operator="greaterThan">
      <formula>57</formula>
    </cfRule>
  </conditionalFormatting>
  <conditionalFormatting sqref="E8">
    <cfRule type="cellIs" dxfId="37" priority="2" operator="greaterThan">
      <formula>57</formula>
    </cfRule>
  </conditionalFormatting>
  <conditionalFormatting sqref="E9">
    <cfRule type="cellIs" dxfId="36" priority="1" operator="greaterThan">
      <formula>57</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9"/>
  <sheetViews>
    <sheetView showGridLines="0" workbookViewId="0">
      <pane xSplit="4" ySplit="1" topLeftCell="E2" activePane="bottomRight" state="frozen"/>
      <selection pane="topRight" activeCell="D1" sqref="D1"/>
      <selection pane="bottomLeft" activeCell="A3" sqref="A3"/>
      <selection pane="bottomRight" activeCell="C15" sqref="C15"/>
    </sheetView>
  </sheetViews>
  <sheetFormatPr baseColWidth="12" defaultColWidth="13" defaultRowHeight="21" customHeight="1" x14ac:dyDescent="0.15"/>
  <cols>
    <col min="1" max="2" width="12.1640625" style="126" customWidth="1"/>
    <col min="3" max="3" width="48.83203125" style="127" customWidth="1"/>
    <col min="4" max="4" width="23.83203125" style="127" customWidth="1"/>
    <col min="5" max="5" width="10.5" style="127" customWidth="1"/>
    <col min="6" max="7" width="59.1640625" style="127" customWidth="1"/>
    <col min="8" max="8" width="6.83203125" style="126" bestFit="1" customWidth="1"/>
    <col min="9" max="9" width="20.33203125" style="126" customWidth="1"/>
    <col min="10" max="10" width="5" style="126" bestFit="1" customWidth="1"/>
    <col min="11" max="16384" width="13" style="126"/>
  </cols>
  <sheetData>
    <row r="1" spans="1:19" ht="21" customHeight="1" x14ac:dyDescent="0.15">
      <c r="A1" s="114" t="s">
        <v>182</v>
      </c>
      <c r="B1" s="115" t="s">
        <v>181</v>
      </c>
      <c r="C1" s="116" t="s">
        <v>180</v>
      </c>
      <c r="D1" s="117" t="s">
        <v>179</v>
      </c>
      <c r="E1" s="117" t="s">
        <v>178</v>
      </c>
      <c r="F1" s="118" t="s">
        <v>177</v>
      </c>
      <c r="G1" s="119" t="s">
        <v>183</v>
      </c>
      <c r="H1" s="118" t="s">
        <v>176</v>
      </c>
      <c r="I1" s="119" t="s">
        <v>175</v>
      </c>
      <c r="J1" s="123" t="s">
        <v>174</v>
      </c>
    </row>
    <row r="2" spans="1:19" ht="21" customHeight="1" x14ac:dyDescent="0.15">
      <c r="A2" s="186">
        <v>1092</v>
      </c>
      <c r="B2" s="129" t="s">
        <v>185</v>
      </c>
      <c r="C2" s="188" t="s">
        <v>403</v>
      </c>
      <c r="D2" s="188" t="s">
        <v>346</v>
      </c>
      <c r="E2" s="131">
        <f t="shared" ref="E2" si="0">LEN(D2)</f>
        <v>9</v>
      </c>
      <c r="F2" s="190" t="s">
        <v>345</v>
      </c>
      <c r="G2" s="53" t="str">
        <f ca="1">VLOOKUP($A2,OFFSET([1]characters!$A$1,0,0,COUNTA([1]characters!$A:$A),MATCH("name",[1]characters!$1:$1,0)-MATCH("character_id",[1]characters!$1:$1,0)+1),MATCH("name",[1]characters!$1:$1,0)-MATCH("character_id",[1]characters!$1:$1,0)+1,FALSE)</f>
        <v>究護の戦王子 レイヴン</v>
      </c>
      <c r="H2" s="132">
        <f>IFERROR(VLOOKUP(A2,[1]characters!$A:$R,18),0)</f>
        <v>3</v>
      </c>
      <c r="I2" s="132"/>
      <c r="J2" s="137"/>
      <c r="K2" s="133">
        <v>1</v>
      </c>
      <c r="L2" s="134"/>
      <c r="M2" s="135"/>
      <c r="N2" s="135"/>
      <c r="O2" s="135"/>
      <c r="P2" s="135"/>
      <c r="Q2" s="135"/>
      <c r="R2" s="130"/>
      <c r="S2" s="136"/>
    </row>
    <row r="3" spans="1:19" ht="21" customHeight="1" x14ac:dyDescent="0.15">
      <c r="A3" s="186">
        <v>1409</v>
      </c>
      <c r="B3" s="129" t="s">
        <v>185</v>
      </c>
      <c r="C3" s="188" t="s">
        <v>369</v>
      </c>
      <c r="D3" s="188" t="s">
        <v>342</v>
      </c>
      <c r="E3" s="131">
        <f t="shared" ref="E3" si="1">LEN(D3)</f>
        <v>21</v>
      </c>
      <c r="F3" s="190" t="s">
        <v>357</v>
      </c>
      <c r="G3" s="53" t="str">
        <f ca="1">VLOOKUP($A3,OFFSET([1]characters!$A$1,0,0,COUNTA([1]characters!$A:$A),MATCH("name",[1]characters!$1:$1,0)-MATCH("character_id",[1]characters!$1:$1,0)+1),MATCH("name",[1]characters!$1:$1,0)-MATCH("character_id",[1]characters!$1:$1,0)+1,FALSE)</f>
        <v>マシロ</v>
      </c>
      <c r="H3" s="132">
        <f>IFERROR(VLOOKUP(A3,[1]characters!$A:$R,18),0)</f>
        <v>3</v>
      </c>
      <c r="I3" s="132"/>
      <c r="J3" s="137"/>
      <c r="K3" s="133">
        <v>1</v>
      </c>
      <c r="L3" s="134"/>
      <c r="M3" s="135"/>
      <c r="N3" s="135"/>
      <c r="O3" s="135"/>
      <c r="P3" s="135"/>
      <c r="Q3" s="135"/>
      <c r="R3" s="130"/>
      <c r="S3" s="136"/>
    </row>
    <row r="4" spans="1:19" ht="21" customHeight="1" x14ac:dyDescent="0.15">
      <c r="A4" s="186">
        <v>1410</v>
      </c>
      <c r="B4" s="129" t="s">
        <v>185</v>
      </c>
      <c r="C4" s="188" t="s">
        <v>370</v>
      </c>
      <c r="D4" s="188" t="s">
        <v>343</v>
      </c>
      <c r="E4" s="131">
        <f t="shared" ref="E4:E5" si="2">LEN(D4)</f>
        <v>21</v>
      </c>
      <c r="F4" s="190" t="s">
        <v>344</v>
      </c>
      <c r="G4" s="53" t="str">
        <f ca="1">VLOOKUP($A4,OFFSET([1]characters!$A$1,0,0,COUNTA([1]characters!$A:$A),MATCH("name",[1]characters!$1:$1,0)-MATCH("character_id",[1]characters!$1:$1,0)+1),MATCH("name",[1]characters!$1:$1,0)-MATCH("character_id",[1]characters!$1:$1,0)+1,FALSE)</f>
        <v>浮遊する白恋 マシロ</v>
      </c>
      <c r="H4" s="132">
        <f>IFERROR(VLOOKUP(A4,[1]characters!$A:$R,18),0)</f>
        <v>3</v>
      </c>
      <c r="I4" s="132"/>
      <c r="J4" s="137"/>
      <c r="K4" s="133">
        <v>1</v>
      </c>
      <c r="L4" s="134"/>
      <c r="M4" s="135"/>
      <c r="N4" s="135"/>
      <c r="O4" s="135"/>
      <c r="P4" s="135"/>
      <c r="Q4" s="135"/>
      <c r="R4" s="130"/>
      <c r="S4" s="136"/>
    </row>
    <row r="5" spans="1:19" ht="21" customHeight="1" x14ac:dyDescent="0.15">
      <c r="A5" s="186">
        <v>1407</v>
      </c>
      <c r="B5" s="129" t="s">
        <v>184</v>
      </c>
      <c r="C5" s="188" t="s">
        <v>371</v>
      </c>
      <c r="D5" s="188" t="s">
        <v>415</v>
      </c>
      <c r="E5" s="131">
        <f t="shared" si="2"/>
        <v>8</v>
      </c>
      <c r="F5" s="190" t="s">
        <v>413</v>
      </c>
      <c r="G5" s="53" t="str">
        <f ca="1">VLOOKUP($A5,OFFSET([1]characters!$A$1,0,0,COUNTA([1]characters!$A:$A),MATCH("name",[1]characters!$1:$1,0)-MATCH("character_id",[1]characters!$1:$1,0)+1),MATCH("name",[1]characters!$1:$1,0)-MATCH("character_id",[1]characters!$1:$1,0)+1,FALSE)</f>
        <v>グリム・ザ・ダンディ</v>
      </c>
      <c r="H5" s="132">
        <f>IFERROR(VLOOKUP(A5,[1]characters!$A:$R,18),0)</f>
        <v>3</v>
      </c>
      <c r="I5" s="132"/>
      <c r="J5" s="137"/>
      <c r="K5" s="133">
        <v>1</v>
      </c>
      <c r="L5" s="134"/>
      <c r="M5" s="135"/>
      <c r="N5" s="135"/>
      <c r="O5" s="135"/>
      <c r="P5" s="135"/>
      <c r="Q5" s="135"/>
      <c r="R5" s="130"/>
      <c r="S5" s="136"/>
    </row>
    <row r="6" spans="1:19" ht="21" customHeight="1" x14ac:dyDescent="0.15">
      <c r="A6" s="186">
        <v>1408</v>
      </c>
      <c r="B6" s="129" t="s">
        <v>184</v>
      </c>
      <c r="C6" s="188" t="s">
        <v>372</v>
      </c>
      <c r="D6" s="188" t="s">
        <v>346</v>
      </c>
      <c r="E6" s="131">
        <f t="shared" ref="E6:E9" si="3">LEN(D6)</f>
        <v>9</v>
      </c>
      <c r="F6" s="190" t="s">
        <v>414</v>
      </c>
      <c r="G6" s="53" t="str">
        <f ca="1">VLOOKUP($A6,OFFSET([1]characters!$A$1,0,0,COUNTA([1]characters!$A:$A),MATCH("name",[1]characters!$1:$1,0)-MATCH("character_id",[1]characters!$1:$1,0)+1),MATCH("name",[1]characters!$1:$1,0)-MATCH("character_id",[1]characters!$1:$1,0)+1,FALSE)</f>
        <v>爽愛の求魂 グリム・ザ・ダンディ</v>
      </c>
      <c r="H6" s="132">
        <f>IFERROR(VLOOKUP(A6,[1]characters!$A:$R,18),0)</f>
        <v>3</v>
      </c>
      <c r="I6" s="132"/>
      <c r="J6" s="137"/>
      <c r="K6" s="133">
        <v>1</v>
      </c>
      <c r="L6" s="134"/>
      <c r="M6" s="135"/>
      <c r="N6" s="135"/>
      <c r="O6" s="135"/>
      <c r="P6" s="135"/>
      <c r="Q6" s="135"/>
      <c r="R6" s="130"/>
      <c r="S6" s="136"/>
    </row>
    <row r="7" spans="1:19" ht="21" customHeight="1" x14ac:dyDescent="0.15">
      <c r="A7" s="186">
        <v>1411</v>
      </c>
      <c r="B7" s="129" t="s">
        <v>185</v>
      </c>
      <c r="C7" s="188" t="s">
        <v>373</v>
      </c>
      <c r="D7" s="188" t="s">
        <v>398</v>
      </c>
      <c r="E7" s="131">
        <f t="shared" si="3"/>
        <v>31</v>
      </c>
      <c r="F7" s="190" t="s">
        <v>410</v>
      </c>
      <c r="G7" s="53" t="str">
        <f ca="1">VLOOKUP($A7,OFFSET([1]characters!$A$1,0,0,COUNTA([1]characters!$A:$A),MATCH("name",[1]characters!$1:$1,0)-MATCH("character_id",[1]characters!$1:$1,0)+1),MATCH("name",[1]characters!$1:$1,0)-MATCH("character_id",[1]characters!$1:$1,0)+1,FALSE)</f>
        <v>ピーターパン・イノセンス</v>
      </c>
      <c r="H7" s="132">
        <f>IFERROR(VLOOKUP(A7,[1]characters!$A:$R,18),0)</f>
        <v>3</v>
      </c>
      <c r="I7" s="132"/>
      <c r="J7" s="137"/>
      <c r="K7" s="133">
        <v>1</v>
      </c>
      <c r="L7" s="134"/>
      <c r="M7" s="135"/>
      <c r="N7" s="135"/>
      <c r="O7" s="135"/>
      <c r="P7" s="135"/>
      <c r="Q7" s="135"/>
      <c r="R7" s="130"/>
      <c r="S7" s="136"/>
    </row>
    <row r="8" spans="1:19" ht="21" customHeight="1" x14ac:dyDescent="0.15">
      <c r="A8" s="186">
        <v>1412</v>
      </c>
      <c r="B8" s="129" t="s">
        <v>185</v>
      </c>
      <c r="C8" s="188" t="s">
        <v>374</v>
      </c>
      <c r="D8" s="188" t="s">
        <v>401</v>
      </c>
      <c r="E8" s="131">
        <f t="shared" si="3"/>
        <v>17</v>
      </c>
      <c r="F8" s="190" t="s">
        <v>409</v>
      </c>
      <c r="G8" s="53" t="str">
        <f ca="1">VLOOKUP($A8,OFFSET([1]characters!$A$1,0,0,COUNTA([1]characters!$A:$A),MATCH("name",[1]characters!$1:$1,0)-MATCH("character_id",[1]characters!$1:$1,0)+1),MATCH("name",[1]characters!$1:$1,0)-MATCH("character_id",[1]characters!$1:$1,0)+1,FALSE)</f>
        <v>アレス・パッション</v>
      </c>
      <c r="H8" s="132">
        <f>IFERROR(VLOOKUP(A8,[1]characters!$A:$R,18),0)</f>
        <v>3</v>
      </c>
      <c r="I8" s="132"/>
      <c r="J8" s="137"/>
      <c r="K8" s="133">
        <v>1</v>
      </c>
      <c r="L8" s="134"/>
      <c r="M8" s="135"/>
      <c r="N8" s="135"/>
      <c r="O8" s="135"/>
      <c r="P8" s="135"/>
      <c r="Q8" s="135"/>
      <c r="R8" s="130"/>
      <c r="S8" s="136"/>
    </row>
    <row r="9" spans="1:19" ht="21" customHeight="1" x14ac:dyDescent="0.15">
      <c r="A9" s="186">
        <v>1413</v>
      </c>
      <c r="B9" s="129" t="s">
        <v>185</v>
      </c>
      <c r="C9" s="188" t="s">
        <v>375</v>
      </c>
      <c r="D9" s="188" t="s">
        <v>360</v>
      </c>
      <c r="E9" s="131">
        <f t="shared" si="3"/>
        <v>24</v>
      </c>
      <c r="F9" s="190" t="s">
        <v>361</v>
      </c>
      <c r="G9" s="53" t="str">
        <f ca="1">VLOOKUP($A9,OFFSET([1]characters!$A$1,0,0,COUNTA([1]characters!$A:$A),MATCH("name",[1]characters!$1:$1,0)-MATCH("character_id",[1]characters!$1:$1,0)+1),MATCH("name",[1]characters!$1:$1,0)-MATCH("character_id",[1]characters!$1:$1,0)+1,FALSE)</f>
        <v>クリムト・ペリューシド</v>
      </c>
      <c r="H9" s="132">
        <f>IFERROR(VLOOKUP(A9,[1]characters!$A:$R,18),0)</f>
        <v>3</v>
      </c>
      <c r="I9" s="132"/>
      <c r="J9" s="137"/>
      <c r="K9" s="133">
        <v>1</v>
      </c>
      <c r="L9" s="134"/>
      <c r="M9" s="135"/>
      <c r="N9" s="135"/>
      <c r="O9" s="135"/>
      <c r="P9" s="135"/>
      <c r="Q9" s="135"/>
      <c r="R9" s="130"/>
      <c r="S9" s="136"/>
    </row>
  </sheetData>
  <sheetProtection selectLockedCells="1" selectUnlockedCells="1"/>
  <autoFilter ref="A1:J1"/>
  <phoneticPr fontId="22"/>
  <conditionalFormatting sqref="E2">
    <cfRule type="cellIs" dxfId="35" priority="24" operator="greaterThan">
      <formula>57</formula>
    </cfRule>
  </conditionalFormatting>
  <conditionalFormatting sqref="E3">
    <cfRule type="cellIs" dxfId="34" priority="23" operator="greaterThan">
      <formula>57</formula>
    </cfRule>
  </conditionalFormatting>
  <conditionalFormatting sqref="E4">
    <cfRule type="cellIs" dxfId="33" priority="6" operator="greaterThan">
      <formula>57</formula>
    </cfRule>
  </conditionalFormatting>
  <conditionalFormatting sqref="E5">
    <cfRule type="cellIs" dxfId="32" priority="5" operator="greaterThan">
      <formula>57</formula>
    </cfRule>
  </conditionalFormatting>
  <conditionalFormatting sqref="E6">
    <cfRule type="cellIs" dxfId="31" priority="4" operator="greaterThan">
      <formula>57</formula>
    </cfRule>
  </conditionalFormatting>
  <conditionalFormatting sqref="E7">
    <cfRule type="cellIs" dxfId="30" priority="3" operator="greaterThan">
      <formula>57</formula>
    </cfRule>
  </conditionalFormatting>
  <conditionalFormatting sqref="E8">
    <cfRule type="cellIs" dxfId="29" priority="2" operator="greaterThan">
      <formula>57</formula>
    </cfRule>
  </conditionalFormatting>
  <conditionalFormatting sqref="E9">
    <cfRule type="cellIs" dxfId="28" priority="1" operator="greaterThan">
      <formula>57</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36"/>
  <sheetViews>
    <sheetView zoomScale="110" workbookViewId="0">
      <selection activeCell="H23" sqref="H23"/>
    </sheetView>
  </sheetViews>
  <sheetFormatPr baseColWidth="12" defaultRowHeight="15" outlineLevelCol="1" x14ac:dyDescent="0.15"/>
  <cols>
    <col min="2" max="2" width="12.83203125" style="139"/>
    <col min="4" max="4" width="12.83203125" style="139" customWidth="1" outlineLevel="1"/>
    <col min="5" max="5" width="12.83203125" style="139"/>
    <col min="8" max="8" width="26" customWidth="1"/>
  </cols>
  <sheetData>
    <row r="1" spans="1:8" x14ac:dyDescent="0.15">
      <c r="A1" s="110" t="s">
        <v>186</v>
      </c>
      <c r="B1" s="138" t="s">
        <v>187</v>
      </c>
      <c r="C1" s="110" t="s">
        <v>188</v>
      </c>
      <c r="D1" s="138" t="s">
        <v>190</v>
      </c>
      <c r="E1" s="138" t="s">
        <v>191</v>
      </c>
      <c r="F1" s="109" t="s">
        <v>192</v>
      </c>
      <c r="G1" s="110" t="s">
        <v>189</v>
      </c>
      <c r="H1" s="109" t="s">
        <v>193</v>
      </c>
    </row>
    <row r="2" spans="1:8" x14ac:dyDescent="0.15">
      <c r="A2" s="105">
        <v>1092</v>
      </c>
      <c r="B2" s="138" t="str">
        <f>VLOOKUP(A2,[1]characters!$A:$C,3,FALSE)</f>
        <v>究護の戦王子 レイヴン</v>
      </c>
      <c r="C2" s="105" t="s">
        <v>194</v>
      </c>
      <c r="D2" s="138" t="str">
        <f t="shared" ref="D2" si="0">A2&amp;C2</f>
        <v>1092skill</v>
      </c>
      <c r="E2" s="138" t="str">
        <f>A2&amp;+(COUNTIF(A2:A$105,A2)-1)</f>
        <v>10924</v>
      </c>
      <c r="F2" s="105" t="s">
        <v>185</v>
      </c>
      <c r="G2" s="162" t="s">
        <v>348</v>
      </c>
      <c r="H2" s="162" t="s">
        <v>404</v>
      </c>
    </row>
    <row r="3" spans="1:8" x14ac:dyDescent="0.15">
      <c r="A3" s="105">
        <v>1092</v>
      </c>
      <c r="B3" s="138" t="str">
        <f>VLOOKUP(A3,[1]characters!$A:$C,3,FALSE)</f>
        <v>究護の戦王子 レイヴン</v>
      </c>
      <c r="C3" s="105" t="s">
        <v>197</v>
      </c>
      <c r="D3" s="138" t="str">
        <f>A3&amp;C3</f>
        <v>1092cskill</v>
      </c>
      <c r="E3" s="138" t="str">
        <f>A3&amp;+(COUNTIF(A3:A$105,A3)-1)</f>
        <v>10923</v>
      </c>
      <c r="F3" s="105" t="s">
        <v>185</v>
      </c>
      <c r="G3" s="162" t="s">
        <v>347</v>
      </c>
      <c r="H3" s="162" t="s">
        <v>349</v>
      </c>
    </row>
    <row r="4" spans="1:8" x14ac:dyDescent="0.15">
      <c r="A4" s="105">
        <v>1092</v>
      </c>
      <c r="B4" s="138" t="str">
        <f>VLOOKUP(A4,[1]characters!$A:$C,3,FALSE)</f>
        <v>究護の戦王子 レイヴン</v>
      </c>
      <c r="C4" s="105" t="s">
        <v>197</v>
      </c>
      <c r="D4" s="138" t="str">
        <f>A4&amp;C4</f>
        <v>1092cskill</v>
      </c>
      <c r="E4" s="138" t="str">
        <f>A4&amp;+(COUNTIF(A4:A$105,A4)-1)</f>
        <v>10922</v>
      </c>
      <c r="F4" s="105" t="s">
        <v>185</v>
      </c>
      <c r="G4" s="162" t="s">
        <v>347</v>
      </c>
      <c r="H4" s="162" t="s">
        <v>350</v>
      </c>
    </row>
    <row r="5" spans="1:8" x14ac:dyDescent="0.15">
      <c r="A5" s="105">
        <v>1092</v>
      </c>
      <c r="B5" s="138" t="str">
        <f>VLOOKUP(A5,[1]characters!$A:$C,3,FALSE)</f>
        <v>究護の戦王子 レイヴン</v>
      </c>
      <c r="C5" s="105" t="s">
        <v>197</v>
      </c>
      <c r="D5" s="138" t="str">
        <f>A5&amp;C5</f>
        <v>1092cskill</v>
      </c>
      <c r="E5" s="138" t="str">
        <f>A5&amp;+(COUNTIF(A5:A$105,A5)-1)</f>
        <v>10921</v>
      </c>
      <c r="F5" s="105" t="s">
        <v>185</v>
      </c>
      <c r="G5" s="162" t="s">
        <v>347</v>
      </c>
      <c r="H5" s="162" t="s">
        <v>351</v>
      </c>
    </row>
    <row r="6" spans="1:8" x14ac:dyDescent="0.15">
      <c r="A6" s="105">
        <v>1092</v>
      </c>
      <c r="B6" s="138" t="str">
        <f>VLOOKUP(A6,[1]characters!$A:$C,3,FALSE)</f>
        <v>究護の戦王子 レイヴン</v>
      </c>
      <c r="C6" s="105" t="s">
        <v>197</v>
      </c>
      <c r="D6" s="138" t="str">
        <f>A6&amp;C6</f>
        <v>1092cskill</v>
      </c>
      <c r="E6" s="138" t="str">
        <f>A6&amp;+(COUNTIF(A6:A$105,A6)-1)</f>
        <v>10920</v>
      </c>
      <c r="F6" s="105" t="s">
        <v>185</v>
      </c>
      <c r="G6" s="162" t="s">
        <v>348</v>
      </c>
      <c r="H6" s="162" t="s">
        <v>405</v>
      </c>
    </row>
    <row r="7" spans="1:8" x14ac:dyDescent="0.15">
      <c r="A7" s="105">
        <v>1409</v>
      </c>
      <c r="B7" s="138" t="str">
        <f>VLOOKUP(A7,[1]characters!$A:$C,3,FALSE)</f>
        <v>マシロ</v>
      </c>
      <c r="C7" s="105" t="s">
        <v>194</v>
      </c>
      <c r="D7" s="138" t="str">
        <f t="shared" ref="D7" si="1">A7&amp;C7</f>
        <v>1409skill</v>
      </c>
      <c r="E7" s="138" t="str">
        <f>A7&amp;+(COUNTIF(A7:A$105,A7)-1)</f>
        <v>14093</v>
      </c>
      <c r="F7" s="105" t="s">
        <v>196</v>
      </c>
      <c r="G7" s="162" t="s">
        <v>195</v>
      </c>
      <c r="H7" s="162" t="s">
        <v>376</v>
      </c>
    </row>
    <row r="8" spans="1:8" x14ac:dyDescent="0.15">
      <c r="A8" s="105">
        <v>1409</v>
      </c>
      <c r="B8" s="138" t="str">
        <f>VLOOKUP(A8,[1]characters!$A:$C,3,FALSE)</f>
        <v>マシロ</v>
      </c>
      <c r="C8" s="105" t="s">
        <v>197</v>
      </c>
      <c r="D8" s="138" t="str">
        <f>A8&amp;C8</f>
        <v>1409cskill</v>
      </c>
      <c r="E8" s="138" t="str">
        <f>A8&amp;+(COUNTIF(A8:A$105,A8)-1)</f>
        <v>14092</v>
      </c>
      <c r="F8" s="105" t="s">
        <v>185</v>
      </c>
      <c r="G8" s="162" t="s">
        <v>195</v>
      </c>
      <c r="H8" s="162" t="s">
        <v>377</v>
      </c>
    </row>
    <row r="9" spans="1:8" x14ac:dyDescent="0.15">
      <c r="A9" s="105">
        <v>1409</v>
      </c>
      <c r="B9" s="138" t="str">
        <f>VLOOKUP(A9,[1]characters!$A:$C,3,FALSE)</f>
        <v>マシロ</v>
      </c>
      <c r="C9" s="105" t="s">
        <v>197</v>
      </c>
      <c r="D9" s="138" t="str">
        <f>A9&amp;C9</f>
        <v>1409cskill</v>
      </c>
      <c r="E9" s="138" t="str">
        <f>A9&amp;+(COUNTIF(A9:A$105,A9)-1)</f>
        <v>14091</v>
      </c>
      <c r="F9" s="105" t="s">
        <v>185</v>
      </c>
      <c r="G9" s="162" t="s">
        <v>314</v>
      </c>
      <c r="H9" s="162" t="s">
        <v>378</v>
      </c>
    </row>
    <row r="10" spans="1:8" x14ac:dyDescent="0.15">
      <c r="A10" s="105">
        <v>1409</v>
      </c>
      <c r="B10" s="138" t="str">
        <f>VLOOKUP(A10,[1]characters!$A:$C,3,FALSE)</f>
        <v>マシロ</v>
      </c>
      <c r="C10" s="105" t="s">
        <v>197</v>
      </c>
      <c r="D10" s="138" t="str">
        <f>A10&amp;C10</f>
        <v>1409cskill</v>
      </c>
      <c r="E10" s="138" t="str">
        <f>A10&amp;+(COUNTIF(A10:A$105,A10)-1)</f>
        <v>14090</v>
      </c>
      <c r="F10" s="105" t="s">
        <v>196</v>
      </c>
      <c r="G10" s="162" t="s">
        <v>314</v>
      </c>
      <c r="H10" s="162" t="s">
        <v>379</v>
      </c>
    </row>
    <row r="11" spans="1:8" x14ac:dyDescent="0.15">
      <c r="A11" s="105">
        <v>1410</v>
      </c>
      <c r="B11" s="138" t="str">
        <f>VLOOKUP(A11,[1]characters!$A:$C,3,FALSE)</f>
        <v>浮遊する白恋 マシロ</v>
      </c>
      <c r="C11" s="105" t="s">
        <v>194</v>
      </c>
      <c r="D11" s="138" t="str">
        <f t="shared" ref="D11" si="2">A11&amp;C11</f>
        <v>1410skill</v>
      </c>
      <c r="E11" s="138" t="str">
        <f>A11&amp;+(COUNTIF(A11:A$105,A11)-1)</f>
        <v>14104</v>
      </c>
      <c r="F11" s="105" t="s">
        <v>185</v>
      </c>
      <c r="G11" s="162" t="s">
        <v>195</v>
      </c>
      <c r="H11" s="162" t="s">
        <v>380</v>
      </c>
    </row>
    <row r="12" spans="1:8" x14ac:dyDescent="0.15">
      <c r="A12" s="105">
        <v>1410</v>
      </c>
      <c r="B12" s="138" t="str">
        <f>VLOOKUP(A12,[1]characters!$A:$C,3,FALSE)</f>
        <v>浮遊する白恋 マシロ</v>
      </c>
      <c r="C12" s="105" t="s">
        <v>197</v>
      </c>
      <c r="D12" s="138" t="str">
        <f>A12&amp;C12</f>
        <v>1410cskill</v>
      </c>
      <c r="E12" s="138" t="str">
        <f>A12&amp;+(COUNTIF(A12:A$105,A12)-1)</f>
        <v>14103</v>
      </c>
      <c r="F12" s="105" t="s">
        <v>185</v>
      </c>
      <c r="G12" s="162" t="s">
        <v>195</v>
      </c>
      <c r="H12" s="162" t="s">
        <v>377</v>
      </c>
    </row>
    <row r="13" spans="1:8" x14ac:dyDescent="0.15">
      <c r="A13" s="105">
        <v>1410</v>
      </c>
      <c r="B13" s="138" t="str">
        <f>VLOOKUP(A13,[1]characters!$A:$C,3,FALSE)</f>
        <v>浮遊する白恋 マシロ</v>
      </c>
      <c r="C13" s="105" t="s">
        <v>197</v>
      </c>
      <c r="D13" s="138" t="str">
        <f>A13&amp;C13</f>
        <v>1410cskill</v>
      </c>
      <c r="E13" s="138" t="str">
        <f>A13&amp;+(COUNTIF(A13:A$105,A13)-1)</f>
        <v>14102</v>
      </c>
      <c r="F13" s="105" t="s">
        <v>185</v>
      </c>
      <c r="G13" s="162" t="s">
        <v>314</v>
      </c>
      <c r="H13" s="162" t="s">
        <v>378</v>
      </c>
    </row>
    <row r="14" spans="1:8" x14ac:dyDescent="0.15">
      <c r="A14" s="105">
        <v>1410</v>
      </c>
      <c r="B14" s="138" t="str">
        <f>VLOOKUP(A14,[1]characters!$A:$C,3,FALSE)</f>
        <v>浮遊する白恋 マシロ</v>
      </c>
      <c r="C14" s="105" t="s">
        <v>197</v>
      </c>
      <c r="D14" s="138" t="str">
        <f>A14&amp;C14</f>
        <v>1410cskill</v>
      </c>
      <c r="E14" s="138" t="str">
        <f>A14&amp;+(COUNTIF(A14:A$105,A14)-1)</f>
        <v>14101</v>
      </c>
      <c r="F14" s="105" t="s">
        <v>185</v>
      </c>
      <c r="G14" s="162" t="s">
        <v>314</v>
      </c>
      <c r="H14" s="162" t="s">
        <v>379</v>
      </c>
    </row>
    <row r="15" spans="1:8" x14ac:dyDescent="0.15">
      <c r="A15" s="105">
        <v>1410</v>
      </c>
      <c r="B15" s="138" t="str">
        <f>VLOOKUP(A15,[1]characters!$A:$C,3,FALSE)</f>
        <v>浮遊する白恋 マシロ</v>
      </c>
      <c r="C15" s="105" t="s">
        <v>197</v>
      </c>
      <c r="D15" s="138" t="str">
        <f>A15&amp;C15</f>
        <v>1410cskill</v>
      </c>
      <c r="E15" s="138" t="str">
        <f>A15&amp;+(COUNTIF(A15:A$105,A15)-1)</f>
        <v>14100</v>
      </c>
      <c r="F15" s="105" t="s">
        <v>185</v>
      </c>
      <c r="G15" s="162" t="s">
        <v>195</v>
      </c>
      <c r="H15" s="162" t="s">
        <v>381</v>
      </c>
    </row>
    <row r="16" spans="1:8" x14ac:dyDescent="0.15">
      <c r="A16" s="105">
        <v>1407</v>
      </c>
      <c r="B16" s="138" t="str">
        <f>VLOOKUP(A16,[1]characters!$A:$C,3,FALSE)</f>
        <v>グリム・ザ・ダンディ</v>
      </c>
      <c r="C16" s="105" t="s">
        <v>194</v>
      </c>
      <c r="D16" s="138" t="str">
        <f t="shared" ref="D16" si="3">A16&amp;C16</f>
        <v>1407skill</v>
      </c>
      <c r="E16" s="138" t="str">
        <f>A16&amp;+(COUNTIF(A16:A$105,A16)-1)</f>
        <v>14073</v>
      </c>
      <c r="F16" s="105" t="s">
        <v>196</v>
      </c>
      <c r="G16" s="162" t="s">
        <v>195</v>
      </c>
      <c r="H16" s="162" t="s">
        <v>383</v>
      </c>
    </row>
    <row r="17" spans="1:8" x14ac:dyDescent="0.15">
      <c r="A17" s="105">
        <v>1407</v>
      </c>
      <c r="B17" s="138" t="str">
        <f>VLOOKUP(A17,[1]characters!$A:$C,3,FALSE)</f>
        <v>グリム・ザ・ダンディ</v>
      </c>
      <c r="C17" s="105" t="s">
        <v>197</v>
      </c>
      <c r="D17" s="138" t="str">
        <f>A17&amp;C17</f>
        <v>1407cskill</v>
      </c>
      <c r="E17" s="138" t="str">
        <f>A17&amp;+(COUNTIF(A17:A$105,A17)-1)</f>
        <v>14072</v>
      </c>
      <c r="F17" s="105" t="s">
        <v>184</v>
      </c>
      <c r="G17" s="162" t="s">
        <v>387</v>
      </c>
      <c r="H17" s="162" t="s">
        <v>384</v>
      </c>
    </row>
    <row r="18" spans="1:8" x14ac:dyDescent="0.15">
      <c r="A18" s="105">
        <v>1407</v>
      </c>
      <c r="B18" s="138" t="str">
        <f>VLOOKUP(A18,[1]characters!$A:$C,3,FALSE)</f>
        <v>グリム・ザ・ダンディ</v>
      </c>
      <c r="C18" s="105" t="s">
        <v>197</v>
      </c>
      <c r="D18" s="138" t="str">
        <f>A18&amp;C18</f>
        <v>1407cskill</v>
      </c>
      <c r="E18" s="138" t="str">
        <f>A18&amp;+(COUNTIF(A18:A$105,A18)-1)</f>
        <v>14071</v>
      </c>
      <c r="F18" s="105" t="s">
        <v>184</v>
      </c>
      <c r="G18" s="162" t="s">
        <v>348</v>
      </c>
      <c r="H18" s="162" t="s">
        <v>385</v>
      </c>
    </row>
    <row r="19" spans="1:8" x14ac:dyDescent="0.15">
      <c r="A19" s="105">
        <v>1407</v>
      </c>
      <c r="B19" s="138" t="str">
        <f>VLOOKUP(A19,[1]characters!$A:$C,3,FALSE)</f>
        <v>グリム・ザ・ダンディ</v>
      </c>
      <c r="C19" s="105" t="s">
        <v>197</v>
      </c>
      <c r="D19" s="138" t="str">
        <f>A19&amp;C19</f>
        <v>1407cskill</v>
      </c>
      <c r="E19" s="138" t="str">
        <f>A19&amp;+(COUNTIF(A19:A$105,A19)-1)</f>
        <v>14070</v>
      </c>
      <c r="F19" s="105" t="s">
        <v>196</v>
      </c>
      <c r="G19" s="162" t="s">
        <v>348</v>
      </c>
      <c r="H19" s="162" t="s">
        <v>386</v>
      </c>
    </row>
    <row r="20" spans="1:8" x14ac:dyDescent="0.15">
      <c r="A20" s="105">
        <v>1408</v>
      </c>
      <c r="B20" s="138" t="str">
        <f>VLOOKUP(A20,[1]characters!$A:$C,3,FALSE)</f>
        <v>爽愛の求魂 グリム・ザ・ダンディ</v>
      </c>
      <c r="C20" s="105" t="s">
        <v>194</v>
      </c>
      <c r="D20" s="138" t="str">
        <f t="shared" ref="D20" si="4">A20&amp;C20</f>
        <v>1408skill</v>
      </c>
      <c r="E20" s="138" t="str">
        <f>A20&amp;+(COUNTIF(A20:A$105,A20)-1)</f>
        <v>14084</v>
      </c>
      <c r="F20" s="105" t="s">
        <v>184</v>
      </c>
      <c r="G20" s="162" t="s">
        <v>348</v>
      </c>
      <c r="H20" s="162" t="s">
        <v>382</v>
      </c>
    </row>
    <row r="21" spans="1:8" x14ac:dyDescent="0.15">
      <c r="A21" s="105">
        <v>1408</v>
      </c>
      <c r="B21" s="138" t="str">
        <f>VLOOKUP(A21,[1]characters!$A:$C,3,FALSE)</f>
        <v>爽愛の求魂 グリム・ザ・ダンディ</v>
      </c>
      <c r="C21" s="105" t="s">
        <v>197</v>
      </c>
      <c r="D21" s="138" t="str">
        <f>A21&amp;C21</f>
        <v>1408cskill</v>
      </c>
      <c r="E21" s="138" t="str">
        <f>A21&amp;+(COUNTIF(A21:A$105,A21)-1)</f>
        <v>14083</v>
      </c>
      <c r="F21" s="105" t="s">
        <v>184</v>
      </c>
      <c r="G21" s="162" t="s">
        <v>387</v>
      </c>
      <c r="H21" s="162" t="s">
        <v>384</v>
      </c>
    </row>
    <row r="22" spans="1:8" x14ac:dyDescent="0.15">
      <c r="A22" s="105">
        <v>1408</v>
      </c>
      <c r="B22" s="138" t="str">
        <f>VLOOKUP(A22,[1]characters!$A:$C,3,FALSE)</f>
        <v>爽愛の求魂 グリム・ザ・ダンディ</v>
      </c>
      <c r="C22" s="105" t="s">
        <v>197</v>
      </c>
      <c r="D22" s="138" t="str">
        <f>A22&amp;C22</f>
        <v>1408cskill</v>
      </c>
      <c r="E22" s="138" t="str">
        <f>A22&amp;+(COUNTIF(A22:A$105,A22)-1)</f>
        <v>14082</v>
      </c>
      <c r="F22" s="105" t="s">
        <v>184</v>
      </c>
      <c r="G22" s="162" t="s">
        <v>348</v>
      </c>
      <c r="H22" s="162" t="s">
        <v>385</v>
      </c>
    </row>
    <row r="23" spans="1:8" x14ac:dyDescent="0.15">
      <c r="A23" s="105">
        <v>1408</v>
      </c>
      <c r="B23" s="138" t="str">
        <f>VLOOKUP(A23,[1]characters!$A:$C,3,FALSE)</f>
        <v>爽愛の求魂 グリム・ザ・ダンディ</v>
      </c>
      <c r="C23" s="105" t="s">
        <v>197</v>
      </c>
      <c r="D23" s="138" t="str">
        <f>A23&amp;C23</f>
        <v>1408cskill</v>
      </c>
      <c r="E23" s="138" t="str">
        <f>A23&amp;+(COUNTIF(A23:A$105,A23)-1)</f>
        <v>14081</v>
      </c>
      <c r="F23" s="105" t="s">
        <v>184</v>
      </c>
      <c r="G23" s="162" t="s">
        <v>348</v>
      </c>
      <c r="H23" s="162" t="s">
        <v>386</v>
      </c>
    </row>
    <row r="24" spans="1:8" x14ac:dyDescent="0.15">
      <c r="A24" s="105">
        <v>1408</v>
      </c>
      <c r="B24" s="138" t="str">
        <f>VLOOKUP(A24,[1]characters!$A:$C,3,FALSE)</f>
        <v>爽愛の求魂 グリム・ザ・ダンディ</v>
      </c>
      <c r="C24" s="105" t="s">
        <v>197</v>
      </c>
      <c r="D24" s="138" t="str">
        <f>A24&amp;C24</f>
        <v>1408cskill</v>
      </c>
      <c r="E24" s="138" t="str">
        <f>A24&amp;+(COUNTIF(A24:A$105,A24)-1)</f>
        <v>14080</v>
      </c>
      <c r="F24" s="105" t="s">
        <v>184</v>
      </c>
      <c r="G24" s="162" t="s">
        <v>348</v>
      </c>
      <c r="H24" s="162" t="s">
        <v>388</v>
      </c>
    </row>
    <row r="25" spans="1:8" x14ac:dyDescent="0.15">
      <c r="A25" s="105">
        <v>1411</v>
      </c>
      <c r="B25" s="138" t="str">
        <f>VLOOKUP(A25,[1]characters!$A:$C,3,FALSE)</f>
        <v>ピーターパン・イノセンス</v>
      </c>
      <c r="C25" s="105" t="s">
        <v>194</v>
      </c>
      <c r="D25" s="138" t="str">
        <f t="shared" ref="D25" si="5">A25&amp;C25</f>
        <v>1411skill</v>
      </c>
      <c r="E25" s="138" t="str">
        <f>A25&amp;+(COUNTIF(A25:A$105,A25)-1)</f>
        <v>14113</v>
      </c>
      <c r="F25" s="105" t="s">
        <v>196</v>
      </c>
      <c r="G25" s="162" t="s">
        <v>195</v>
      </c>
      <c r="H25" s="162" t="s">
        <v>389</v>
      </c>
    </row>
    <row r="26" spans="1:8" x14ac:dyDescent="0.15">
      <c r="A26" s="105">
        <v>1411</v>
      </c>
      <c r="B26" s="138" t="str">
        <f>VLOOKUP(A26,[1]characters!$A:$C,3,FALSE)</f>
        <v>ピーターパン・イノセンス</v>
      </c>
      <c r="C26" s="105" t="s">
        <v>197</v>
      </c>
      <c r="D26" s="138" t="str">
        <f>A26&amp;C26</f>
        <v>1411cskill</v>
      </c>
      <c r="E26" s="138" t="str">
        <f>A26&amp;+(COUNTIF(A26:A$105,A26)-1)</f>
        <v>14112</v>
      </c>
      <c r="F26" s="105" t="s">
        <v>184</v>
      </c>
      <c r="G26" s="162" t="s">
        <v>195</v>
      </c>
      <c r="H26" s="162" t="s">
        <v>390</v>
      </c>
    </row>
    <row r="27" spans="1:8" x14ac:dyDescent="0.15">
      <c r="A27" s="105">
        <v>1411</v>
      </c>
      <c r="B27" s="138" t="str">
        <f>VLOOKUP(A27,[1]characters!$A:$C,3,FALSE)</f>
        <v>ピーターパン・イノセンス</v>
      </c>
      <c r="C27" s="105" t="s">
        <v>197</v>
      </c>
      <c r="D27" s="138" t="str">
        <f>A27&amp;C27</f>
        <v>1411cskill</v>
      </c>
      <c r="E27" s="138" t="str">
        <f>A27&amp;+(COUNTIF(A27:A$105,A27)-1)</f>
        <v>14111</v>
      </c>
      <c r="F27" s="105" t="s">
        <v>184</v>
      </c>
      <c r="G27" s="162" t="s">
        <v>348</v>
      </c>
      <c r="H27" s="162" t="s">
        <v>391</v>
      </c>
    </row>
    <row r="28" spans="1:8" x14ac:dyDescent="0.15">
      <c r="A28" s="105">
        <v>1411</v>
      </c>
      <c r="B28" s="138" t="str">
        <f>VLOOKUP(A28,[1]characters!$A:$C,3,FALSE)</f>
        <v>ピーターパン・イノセンス</v>
      </c>
      <c r="C28" s="105" t="s">
        <v>197</v>
      </c>
      <c r="D28" s="138" t="str">
        <f>A28&amp;C28</f>
        <v>1411cskill</v>
      </c>
      <c r="E28" s="138" t="str">
        <f>A28&amp;+(COUNTIF(A28:A$105,A28)-1)</f>
        <v>14110</v>
      </c>
      <c r="F28" s="105" t="s">
        <v>196</v>
      </c>
      <c r="G28" s="162" t="s">
        <v>348</v>
      </c>
      <c r="H28" s="162" t="s">
        <v>392</v>
      </c>
    </row>
    <row r="29" spans="1:8" x14ac:dyDescent="0.15">
      <c r="A29" s="105">
        <v>1412</v>
      </c>
      <c r="B29" s="138" t="str">
        <f>VLOOKUP(A29,[1]characters!$A:$C,3,FALSE)</f>
        <v>アレス・パッション</v>
      </c>
      <c r="C29" s="105" t="s">
        <v>194</v>
      </c>
      <c r="D29" s="138" t="str">
        <f t="shared" ref="D29" si="6">A29&amp;C29</f>
        <v>1412skill</v>
      </c>
      <c r="E29" s="138" t="str">
        <f>A29&amp;+(COUNTIF(A29:A$105,A29)-1)</f>
        <v>14123</v>
      </c>
      <c r="F29" s="105" t="s">
        <v>196</v>
      </c>
      <c r="G29" s="162" t="s">
        <v>195</v>
      </c>
      <c r="H29" s="162" t="s">
        <v>393</v>
      </c>
    </row>
    <row r="30" spans="1:8" x14ac:dyDescent="0.15">
      <c r="A30" s="105">
        <v>1412</v>
      </c>
      <c r="B30" s="138" t="str">
        <f>VLOOKUP(A30,[1]characters!$A:$C,3,FALSE)</f>
        <v>アレス・パッション</v>
      </c>
      <c r="C30" s="105" t="s">
        <v>197</v>
      </c>
      <c r="D30" s="138" t="str">
        <f>A30&amp;C30</f>
        <v>1412cskill</v>
      </c>
      <c r="E30" s="138" t="str">
        <f>A30&amp;+(COUNTIF(A30:A$105,A30)-1)</f>
        <v>14122</v>
      </c>
      <c r="F30" s="105" t="s">
        <v>184</v>
      </c>
      <c r="G30" s="162" t="s">
        <v>348</v>
      </c>
      <c r="H30" s="162" t="s">
        <v>394</v>
      </c>
    </row>
    <row r="31" spans="1:8" x14ac:dyDescent="0.15">
      <c r="A31" s="105">
        <v>1412</v>
      </c>
      <c r="B31" s="138" t="str">
        <f>VLOOKUP(A31,[1]characters!$A:$C,3,FALSE)</f>
        <v>アレス・パッション</v>
      </c>
      <c r="C31" s="105" t="s">
        <v>197</v>
      </c>
      <c r="D31" s="138" t="str">
        <f>A31&amp;C31</f>
        <v>1412cskill</v>
      </c>
      <c r="E31" s="138" t="str">
        <f>A31&amp;+(COUNTIF(A31:A$105,A31)-1)</f>
        <v>14121</v>
      </c>
      <c r="F31" s="105" t="s">
        <v>184</v>
      </c>
      <c r="G31" s="162" t="s">
        <v>348</v>
      </c>
      <c r="H31" s="162" t="s">
        <v>395</v>
      </c>
    </row>
    <row r="32" spans="1:8" x14ac:dyDescent="0.15">
      <c r="A32" s="105">
        <v>1412</v>
      </c>
      <c r="B32" s="138" t="str">
        <f>VLOOKUP(A32,[1]characters!$A:$C,3,FALSE)</f>
        <v>アレス・パッション</v>
      </c>
      <c r="C32" s="105" t="s">
        <v>197</v>
      </c>
      <c r="D32" s="138" t="str">
        <f>A32&amp;C32</f>
        <v>1412cskill</v>
      </c>
      <c r="E32" s="138" t="str">
        <f>A32&amp;+(COUNTIF(A32:A$105,A32)-1)</f>
        <v>14120</v>
      </c>
      <c r="F32" s="105" t="s">
        <v>196</v>
      </c>
      <c r="G32" s="162" t="s">
        <v>348</v>
      </c>
      <c r="H32" s="162" t="s">
        <v>396</v>
      </c>
    </row>
    <row r="33" spans="1:8" x14ac:dyDescent="0.15">
      <c r="A33" s="105">
        <v>1413</v>
      </c>
      <c r="B33" s="138" t="str">
        <f>VLOOKUP(A33,[1]characters!$A:$C,3,FALSE)</f>
        <v>クリムト・ペリューシド</v>
      </c>
      <c r="C33" s="105" t="s">
        <v>194</v>
      </c>
      <c r="D33" s="138" t="str">
        <f t="shared" ref="D33" si="7">A33&amp;C33</f>
        <v>1413skill</v>
      </c>
      <c r="E33" s="138" t="str">
        <f>A33&amp;+(COUNTIF(A33:A$105,A33)-1)</f>
        <v>14133</v>
      </c>
      <c r="F33" s="105" t="s">
        <v>196</v>
      </c>
      <c r="G33" s="162" t="s">
        <v>195</v>
      </c>
      <c r="H33" s="162" t="s">
        <v>397</v>
      </c>
    </row>
    <row r="34" spans="1:8" x14ac:dyDescent="0.15">
      <c r="A34" s="105">
        <v>1413</v>
      </c>
      <c r="B34" s="138" t="str">
        <f>VLOOKUP(A34,[1]characters!$A:$C,3,FALSE)</f>
        <v>クリムト・ペリューシド</v>
      </c>
      <c r="C34" s="105" t="s">
        <v>197</v>
      </c>
      <c r="D34" s="138" t="str">
        <f>A34&amp;C34</f>
        <v>1413cskill</v>
      </c>
      <c r="E34" s="138" t="str">
        <f>A34&amp;+(COUNTIF(A34:A$105,A34)-1)</f>
        <v>14132</v>
      </c>
      <c r="F34" s="105" t="s">
        <v>184</v>
      </c>
      <c r="G34" s="162" t="s">
        <v>195</v>
      </c>
      <c r="H34" s="162" t="s">
        <v>406</v>
      </c>
    </row>
    <row r="35" spans="1:8" x14ac:dyDescent="0.15">
      <c r="A35" s="105">
        <v>1413</v>
      </c>
      <c r="B35" s="138" t="str">
        <f>VLOOKUP(A35,[1]characters!$A:$C,3,FALSE)</f>
        <v>クリムト・ペリューシド</v>
      </c>
      <c r="C35" s="105" t="s">
        <v>197</v>
      </c>
      <c r="D35" s="138" t="str">
        <f>A35&amp;C35</f>
        <v>1413cskill</v>
      </c>
      <c r="E35" s="138" t="str">
        <f>A35&amp;+(COUNTIF(A35:A$105,A35)-1)</f>
        <v>14131</v>
      </c>
      <c r="F35" s="105" t="s">
        <v>184</v>
      </c>
      <c r="G35" s="162" t="s">
        <v>195</v>
      </c>
      <c r="H35" s="162" t="s">
        <v>407</v>
      </c>
    </row>
    <row r="36" spans="1:8" x14ac:dyDescent="0.15">
      <c r="A36" s="105">
        <v>1413</v>
      </c>
      <c r="B36" s="138" t="str">
        <f>VLOOKUP(A36,[1]characters!$A:$C,3,FALSE)</f>
        <v>クリムト・ペリューシド</v>
      </c>
      <c r="C36" s="105" t="s">
        <v>197</v>
      </c>
      <c r="D36" s="138" t="str">
        <f>A36&amp;C36</f>
        <v>1413cskill</v>
      </c>
      <c r="E36" s="138" t="str">
        <f>A36&amp;+(COUNTIF(A36:A$105,A36)-1)</f>
        <v>14130</v>
      </c>
      <c r="F36" s="105" t="s">
        <v>196</v>
      </c>
      <c r="G36" s="162" t="s">
        <v>195</v>
      </c>
      <c r="H36" s="162" t="s">
        <v>408</v>
      </c>
    </row>
  </sheetData>
  <phoneticPr fontId="22"/>
  <dataValidations count="2">
    <dataValidation type="list" allowBlank="1" showInputMessage="1" showErrorMessage="1" sqref="G2:G36">
      <formula1>"maru,giza,kumo"</formula1>
    </dataValidation>
    <dataValidation type="list" allowBlank="1" showInputMessage="1" showErrorMessage="1" sqref="C2:C36">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5"/>
  <sheetViews>
    <sheetView showGridLines="0" workbookViewId="0">
      <pane xSplit="9" ySplit="1" topLeftCell="P2" activePane="bottomRight" state="frozen"/>
      <selection pane="topRight" activeCell="J1" sqref="J1"/>
      <selection pane="bottomLeft" activeCell="A3" sqref="A3"/>
      <selection pane="bottomRight" activeCell="S10" sqref="S10"/>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22" style="12" hidden="1" customWidth="1" outlineLevel="1"/>
    <col min="11" max="11" width="14.1640625" style="12" hidden="1" customWidth="1" outlineLevel="1"/>
    <col min="12" max="12" width="12.33203125" style="12" hidden="1" customWidth="1" outlineLevel="1"/>
    <col min="13" max="15" width="13.6640625" style="12" hidden="1" customWidth="1" outlineLevel="1"/>
    <col min="16" max="16" width="15.1640625" style="12" customWidth="1"/>
    <col min="17" max="17" width="20.1640625" style="11" bestFit="1" customWidth="1"/>
    <col min="18" max="18" width="18.83203125" style="12" bestFit="1" customWidth="1"/>
    <col min="19" max="20" width="18.83203125" style="12" customWidth="1"/>
    <col min="21" max="21" width="15.1640625" style="12" customWidth="1"/>
    <col min="22" max="16384" width="8.83203125" style="11"/>
  </cols>
  <sheetData>
    <row r="1" spans="1:21" ht="21" customHeight="1" x14ac:dyDescent="0.15">
      <c r="A1" s="77" t="s">
        <v>274</v>
      </c>
      <c r="B1" s="91" t="s">
        <v>275</v>
      </c>
      <c r="C1" s="82" t="s">
        <v>276</v>
      </c>
      <c r="D1" s="82" t="s">
        <v>277</v>
      </c>
      <c r="E1" s="82" t="s">
        <v>278</v>
      </c>
      <c r="F1" s="82" t="s">
        <v>279</v>
      </c>
      <c r="G1" s="82" t="s">
        <v>1</v>
      </c>
      <c r="H1" s="175" t="s">
        <v>19</v>
      </c>
      <c r="I1" s="82" t="s">
        <v>0</v>
      </c>
      <c r="J1" s="81" t="s">
        <v>280</v>
      </c>
      <c r="K1" s="82" t="s">
        <v>275</v>
      </c>
      <c r="L1" s="83" t="s">
        <v>49</v>
      </c>
      <c r="M1" s="83" t="s">
        <v>48</v>
      </c>
      <c r="N1" s="83" t="s">
        <v>281</v>
      </c>
      <c r="O1" s="83" t="s">
        <v>282</v>
      </c>
      <c r="P1" s="88" t="s">
        <v>283</v>
      </c>
      <c r="Q1" s="87" t="s">
        <v>284</v>
      </c>
      <c r="R1" s="76" t="s">
        <v>275</v>
      </c>
      <c r="S1" s="88" t="s">
        <v>285</v>
      </c>
      <c r="T1" s="76" t="s">
        <v>275</v>
      </c>
      <c r="U1" s="88" t="s">
        <v>286</v>
      </c>
    </row>
    <row r="2" spans="1:21" ht="21" customHeight="1" x14ac:dyDescent="0.15">
      <c r="A2" s="191">
        <v>679</v>
      </c>
      <c r="B2" s="53" t="str">
        <f ca="1">VLOOKUP($A2,OFFSET([1]characters!$A$1,0,0,COUNTA([1]characters!$A:$A),MATCH(B$1,[1]characters!$1:$1,0)-MATCH($A$1,[1]characters!$1:$1,0)+1),MATCH(B$1,[1]characters!$1:$1,0)-MATCH($A$1,[1]characters!$1:$1,0)+1,FALSE)</f>
        <v>孤高の王子 レイヴン</v>
      </c>
      <c r="C2" s="53" t="str">
        <f ca="1">VLOOKUP($A2,OFFSET([1]characters!$A$1,0,0,COUNTA([1]characters!$A:$A),MATCH(C$1,[1]characters!$1:$1,0)-MATCH($A$1,[1]characters!$1:$1,0)+1),MATCH(C$1,[1]characters!$1:$1,0)-MATCH($A$1,[1]characters!$1:$1,0)+1,FALSE)</f>
        <v>ガチャ:ホワイトデー2016</v>
      </c>
      <c r="D2" s="53" t="str">
        <f ca="1">VLOOKUP($A2,OFFSET([1]characters!$A$1,0,0,COUNTA([1]characters!$A:$A),MATCH(D$1,[1]characters!$1:$1,0)-MATCH($A$1,[1]characters!$1:$1,0)+1),MATCH(D$1,[1]characters!$1:$1,0)-MATCH($A$1,[1]characters!$1:$1,0)+1,FALSE)</f>
        <v>執行者</v>
      </c>
      <c r="E2" s="53" t="str">
        <f ca="1">VLOOKUP($A2,OFFSET([1]characters!$A$1,0,0,COUNTA([1]characters!$A:$A),MATCH(E$1,[1]characters!$1:$1,0)-MATCH($A$1,[1]characters!$1:$1,0)+1),MATCH(E$1,[1]characters!$1:$1,0)-MATCH($A$1,[1]characters!$1:$1,0)+1,FALSE)</f>
        <v>格好いい</v>
      </c>
      <c r="F2" s="53" t="str">
        <f ca="1">VLOOKUP($A2,OFFSET([1]characters!$A$1,0,0,COUNTA([1]characters!$A:$A),MATCH(F$1,[1]characters!$1:$1,0)-MATCH($A$1,[1]characters!$1:$1,0)+1),MATCH(F$1,[1]characters!$1:$1,0)-MATCH($A$1,[1]characters!$1:$1,0)+1,FALSE)</f>
        <v>男性</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PremiumSS</v>
      </c>
      <c r="I2" s="53" t="str">
        <f ca="1">VLOOKUP($A2,OFFSET([1]characters!$A$1,0,0,COUNTA([1]characters!$A:$A),MATCH(I$1,[1]characters!$1:$1,0)-MATCH($A$1,[1]characters!$1:$1,0)+1),MATCH(I$1,[1]characters!$1:$1,0)-MATCH($A$1,[1]characters!$1:$1,0)+1,FALSE)</f>
        <v>green</v>
      </c>
      <c r="J2" s="53" t="str">
        <f ca="1">VLOOKUP($A2,OFFSET([1]characters!$A$1,0,0,COUNTA([1]characters!$A:$A),MATCH(J$1,[1]characters!$1:$1,0)-MATCH($A$1,[1]characters!$1:$1,0)+1),MATCH(J$1,[1]characters!$1:$1,0)-MATCH($A$1,[1]characters!$1:$1,0)+1,FALSE)</f>
        <v>none</v>
      </c>
      <c r="K2" s="5" t="str">
        <f ca="1">VLOOKUP(J2,[1]character_tribe_i18n!$A:$H,3,FALSE)</f>
        <v>種族なし</v>
      </c>
      <c r="L2" s="10" t="e">
        <f>VLOOKUP(#REF!,[1]character_tribe_i18n!$A:$H,4,FALSE)</f>
        <v>#REF!</v>
      </c>
      <c r="M2" s="10" t="e">
        <f>VLOOKUP(#REF!,[1]character_tribe_i18n!$A:$H,5,FALSE)</f>
        <v>#REF!</v>
      </c>
      <c r="N2" s="10" t="e">
        <f>VLOOKUP(#REF!,[1]character_tribe_i18n!$A:$H,6,FALSE)</f>
        <v>#REF!</v>
      </c>
      <c r="O2" s="10" t="e">
        <f>VLOOKUP(#REF!,[1]character_tribe_i18n!$A:$H,7,FALSE)</f>
        <v>#REF!</v>
      </c>
      <c r="P2" s="176" t="str">
        <f>VLOOKUP(Q2,[1]characters!$A:$AC,20)</f>
        <v>normal</v>
      </c>
      <c r="Q2" s="187">
        <v>1092</v>
      </c>
      <c r="R2" s="58" t="str">
        <f ca="1">IF(Q2="NULL","",VLOOKUP($Q2,OFFSET([1]characters!$A$1,0,0,COUNTA([1]characters!$A:$A),MATCH(R$1,[1]characters!$1:$1,0)-MATCH($A$1,[1]characters!$1:$1,0)+1),MATCH(R$1,[1]characters!$1:$1,0)-MATCH($A$1,[1]characters!$1:$1,0)+1,FALSE))</f>
        <v>究護の戦王子 レイヴン</v>
      </c>
      <c r="S2" s="5">
        <f ca="1">IF(ISNA(MATCH(A2,Q:Q,0)),A2,INDIRECT(ADDRESS(MATCH(A2,Q:Q,0),COLUMN())))</f>
        <v>678</v>
      </c>
      <c r="T2" s="58" t="str">
        <f ca="1">VLOOKUP($S2,OFFSET([1]characters!$A$1,0,0,COUNTA([1]characters!$A:$A),MATCH(T$1,[1]characters!$1:$1,0)-MATCH($A$1,[1]characters!$1:$1,0)+1),MATCH(T$1,[1]characters!$1:$1,0)-MATCH($A$1,[1]characters!$1:$1,0)+1,FALSE)</f>
        <v>レイヴン</v>
      </c>
      <c r="U2" s="10">
        <f ca="1">IF(Q2="NULL","NULL",VLOOKUP(G2,[3]ビット!$A$2:$B$7,2))</f>
        <v>200000</v>
      </c>
    </row>
    <row r="3" spans="1:21" ht="21" customHeight="1" x14ac:dyDescent="0.15">
      <c r="A3" s="191">
        <v>1409</v>
      </c>
      <c r="B3" s="53" t="str">
        <f ca="1">VLOOKUP($A3,OFFSET([1]characters!$A$1,0,0,COUNTA([1]characters!$A:$A),MATCH(B$1,[1]characters!$1:$1,0)-MATCH($A$1,[1]characters!$1:$1,0)+1),MATCH(B$1,[1]characters!$1:$1,0)-MATCH($A$1,[1]characters!$1:$1,0)+1,FALSE)</f>
        <v>マシロ</v>
      </c>
      <c r="C3" s="53">
        <f ca="1">VLOOKUP($A3,OFFSET([1]characters!$A$1,0,0,COUNTA([1]characters!$A:$A),MATCH(C$1,[1]characters!$1:$1,0)-MATCH($A$1,[1]characters!$1:$1,0)+1),MATCH(C$1,[1]characters!$1:$1,0)-MATCH($A$1,[1]characters!$1:$1,0)+1,FALSE)</f>
        <v>0</v>
      </c>
      <c r="D3" s="53">
        <f ca="1">VLOOKUP($A3,OFFSET([1]characters!$A$1,0,0,COUNTA([1]characters!$A:$A),MATCH(D$1,[1]characters!$1:$1,0)-MATCH($A$1,[1]characters!$1:$1,0)+1),MATCH(D$1,[1]characters!$1:$1,0)-MATCH($A$1,[1]characters!$1:$1,0)+1,FALSE)</f>
        <v>0</v>
      </c>
      <c r="E3" s="53">
        <f ca="1">VLOOKUP($A3,OFFSET([1]characters!$A$1,0,0,COUNTA([1]characters!$A:$A),MATCH(E$1,[1]characters!$1:$1,0)-MATCH($A$1,[1]characters!$1:$1,0)+1),MATCH(E$1,[1]characters!$1:$1,0)-MATCH($A$1,[1]characters!$1:$1,0)+1,FALSE)</f>
        <v>0</v>
      </c>
      <c r="F3" s="53">
        <f ca="1">VLOOKUP($A3,OFFSET([1]characters!$A$1,0,0,COUNTA([1]characters!$A:$A),MATCH(F$1,[1]characters!$1:$1,0)-MATCH($A$1,[1]characters!$1:$1,0)+1),MATCH(F$1,[1]characters!$1:$1,0)-MATCH($A$1,[1]characters!$1:$1,0)+1,FALSE)</f>
        <v>0</v>
      </c>
      <c r="G3" s="53">
        <f ca="1">VLOOKUP($A3,OFFSET([1]characters!$A$1,0,0,COUNTA([1]characters!$A:$A),MATCH(G$1,[1]characters!$1:$1,0)-MATCH($A$1,[1]characters!$1:$1,0)+1),MATCH(G$1,[1]characters!$1:$1,0)-MATCH($A$1,[1]characters!$1:$1,0)+1,FALSE)</f>
        <v>5</v>
      </c>
      <c r="H3" s="53" t="str">
        <f ca="1">VLOOKUP($A3,OFFSET([1]characters!$A$1,0,0,COUNTA([1]characters!$A:$A),MATCH(H$1,[1]characters!$1:$1,0)-MATCH($A$1,[1]characters!$1:$1,0)+1),MATCH(H$1,[1]characters!$1:$1,0)-MATCH($A$1,[1]characters!$1:$1,0)+1,FALSE)</f>
        <v>PremiumSS</v>
      </c>
      <c r="I3" s="53" t="str">
        <f ca="1">VLOOKUP($A3,OFFSET([1]characters!$A$1,0,0,COUNTA([1]characters!$A:$A),MATCH(I$1,[1]characters!$1:$1,0)-MATCH($A$1,[1]characters!$1:$1,0)+1),MATCH(I$1,[1]characters!$1:$1,0)-MATCH($A$1,[1]characters!$1:$1,0)+1,FALSE)</f>
        <v>green</v>
      </c>
      <c r="J3" s="53" t="str">
        <f ca="1">VLOOKUP($A3,OFFSET([1]characters!$A$1,0,0,COUNTA([1]characters!$A:$A),MATCH(J$1,[1]characters!$1:$1,0)-MATCH($A$1,[1]characters!$1:$1,0)+1),MATCH(J$1,[1]characters!$1:$1,0)-MATCH($A$1,[1]characters!$1:$1,0)+1,FALSE)</f>
        <v>none</v>
      </c>
      <c r="K3" s="5" t="str">
        <f ca="1">VLOOKUP(J3,[1]character_tribe_i18n!$A:$H,3,FALSE)</f>
        <v>種族なし</v>
      </c>
      <c r="L3" s="10" t="e">
        <f>VLOOKUP(#REF!,[1]character_tribe_i18n!$A:$H,4,FALSE)</f>
        <v>#REF!</v>
      </c>
      <c r="M3" s="10" t="e">
        <f>VLOOKUP(#REF!,[1]character_tribe_i18n!$A:$H,5,FALSE)</f>
        <v>#REF!</v>
      </c>
      <c r="N3" s="10" t="e">
        <f>VLOOKUP(#REF!,[1]character_tribe_i18n!$A:$H,6,FALSE)</f>
        <v>#REF!</v>
      </c>
      <c r="O3" s="10" t="e">
        <f>VLOOKUP(#REF!,[1]character_tribe_i18n!$A:$H,7,FALSE)</f>
        <v>#REF!</v>
      </c>
      <c r="P3" s="176" t="str">
        <f>VLOOKUP(Q3,[1]characters!$A:$AC,20)</f>
        <v>normal</v>
      </c>
      <c r="Q3" s="187">
        <v>1410</v>
      </c>
      <c r="R3" s="58" t="str">
        <f ca="1">IF(Q3="NULL","",VLOOKUP($Q3,OFFSET([1]characters!$A$1,0,0,COUNTA([1]characters!$A:$A),MATCH(R$1,[1]characters!$1:$1,0)-MATCH($A$1,[1]characters!$1:$1,0)+1),MATCH(R$1,[1]characters!$1:$1,0)-MATCH($A$1,[1]characters!$1:$1,0)+1,FALSE))</f>
        <v>浮遊する白恋 マシロ</v>
      </c>
      <c r="S3" s="5">
        <f ca="1">IF(ISNA(MATCH(A3,Q:Q,0)),A3,INDIRECT(ADDRESS(MATCH(A3,Q:Q,0),COLUMN())))</f>
        <v>1409</v>
      </c>
      <c r="T3" s="58" t="str">
        <f ca="1">VLOOKUP($S3,OFFSET([1]characters!$A$1,0,0,COUNTA([1]characters!$A:$A),MATCH(T$1,[1]characters!$1:$1,0)-MATCH($A$1,[1]characters!$1:$1,0)+1),MATCH(T$1,[1]characters!$1:$1,0)-MATCH($A$1,[1]characters!$1:$1,0)+1,FALSE)</f>
        <v>マシロ</v>
      </c>
      <c r="U3" s="10">
        <f ca="1">IF(Q3="NULL","NULL",VLOOKUP(G3,[3]ビット!$A$2:$B$7,2))</f>
        <v>200000</v>
      </c>
    </row>
    <row r="4" spans="1:21" ht="21" customHeight="1" x14ac:dyDescent="0.15">
      <c r="A4" s="191">
        <v>1407</v>
      </c>
      <c r="B4" s="53" t="str">
        <f ca="1">VLOOKUP($A4,OFFSET([1]characters!$A$1,0,0,COUNTA([1]characters!$A:$A),MATCH(B$1,[1]characters!$1:$1,0)-MATCH($A$1,[1]characters!$1:$1,0)+1),MATCH(B$1,[1]characters!$1:$1,0)-MATCH($A$1,[1]characters!$1:$1,0)+1,FALSE)</f>
        <v>グリム・ザ・ダンディ</v>
      </c>
      <c r="C4" s="53">
        <f ca="1">VLOOKUP($A4,OFFSET([1]characters!$A$1,0,0,COUNTA([1]characters!$A:$A),MATCH(C$1,[1]characters!$1:$1,0)-MATCH($A$1,[1]characters!$1:$1,0)+1),MATCH(C$1,[1]characters!$1:$1,0)-MATCH($A$1,[1]characters!$1:$1,0)+1,FALSE)</f>
        <v>0</v>
      </c>
      <c r="D4" s="53">
        <f ca="1">VLOOKUP($A4,OFFSET([1]characters!$A$1,0,0,COUNTA([1]characters!$A:$A),MATCH(D$1,[1]characters!$1:$1,0)-MATCH($A$1,[1]characters!$1:$1,0)+1),MATCH(D$1,[1]characters!$1:$1,0)-MATCH($A$1,[1]characters!$1:$1,0)+1,FALSE)</f>
        <v>0</v>
      </c>
      <c r="E4" s="53">
        <f ca="1">VLOOKUP($A4,OFFSET([1]characters!$A$1,0,0,COUNTA([1]characters!$A:$A),MATCH(E$1,[1]characters!$1:$1,0)-MATCH($A$1,[1]characters!$1:$1,0)+1),MATCH(E$1,[1]characters!$1:$1,0)-MATCH($A$1,[1]characters!$1:$1,0)+1,FALSE)</f>
        <v>0</v>
      </c>
      <c r="F4" s="53">
        <f ca="1">VLOOKUP($A4,OFFSET([1]characters!$A$1,0,0,COUNTA([1]characters!$A:$A),MATCH(F$1,[1]characters!$1:$1,0)-MATCH($A$1,[1]characters!$1:$1,0)+1),MATCH(F$1,[1]characters!$1:$1,0)-MATCH($A$1,[1]characters!$1:$1,0)+1,FALSE)</f>
        <v>0</v>
      </c>
      <c r="G4" s="53">
        <f ca="1">VLOOKUP($A4,OFFSET([1]characters!$A$1,0,0,COUNTA([1]characters!$A:$A),MATCH(G$1,[1]characters!$1:$1,0)-MATCH($A$1,[1]characters!$1:$1,0)+1),MATCH(G$1,[1]characters!$1:$1,0)-MATCH($A$1,[1]characters!$1:$1,0)+1,FALSE)</f>
        <v>5</v>
      </c>
      <c r="H4" s="53" t="str">
        <f ca="1">VLOOKUP($A4,OFFSET([1]characters!$A$1,0,0,COUNTA([1]characters!$A:$A),MATCH(H$1,[1]characters!$1:$1,0)-MATCH($A$1,[1]characters!$1:$1,0)+1),MATCH(H$1,[1]characters!$1:$1,0)-MATCH($A$1,[1]characters!$1:$1,0)+1,FALSE)</f>
        <v>DropWizS</v>
      </c>
      <c r="I4" s="53" t="str">
        <f ca="1">VLOOKUP($A4,OFFSET([1]characters!$A$1,0,0,COUNTA([1]characters!$A:$A),MATCH(I$1,[1]characters!$1:$1,0)-MATCH($A$1,[1]characters!$1:$1,0)+1),MATCH(I$1,[1]characters!$1:$1,0)-MATCH($A$1,[1]characters!$1:$1,0)+1,FALSE)</f>
        <v>yellow</v>
      </c>
      <c r="J4" s="53" t="str">
        <f ca="1">VLOOKUP($A4,OFFSET([1]characters!$A$1,0,0,COUNTA([1]characters!$A:$A),MATCH(J$1,[1]characters!$1:$1,0)-MATCH($A$1,[1]characters!$1:$1,0)+1),MATCH(J$1,[1]characters!$1:$1,0)-MATCH($A$1,[1]characters!$1:$1,0)+1,FALSE)</f>
        <v>unknown</v>
      </c>
      <c r="K4" s="5" t="str">
        <f ca="1">VLOOKUP(J4,[1]character_tribe_i18n!$A:$H,3,FALSE)</f>
        <v>Unknown</v>
      </c>
      <c r="L4" s="10" t="e">
        <f>VLOOKUP(#REF!,[1]character_tribe_i18n!$A:$H,4,FALSE)</f>
        <v>#REF!</v>
      </c>
      <c r="M4" s="10" t="e">
        <f>VLOOKUP(#REF!,[1]character_tribe_i18n!$A:$H,5,FALSE)</f>
        <v>#REF!</v>
      </c>
      <c r="N4" s="10" t="e">
        <f>VLOOKUP(#REF!,[1]character_tribe_i18n!$A:$H,6,FALSE)</f>
        <v>#REF!</v>
      </c>
      <c r="O4" s="10" t="e">
        <f>VLOOKUP(#REF!,[1]character_tribe_i18n!$A:$H,7,FALSE)</f>
        <v>#REF!</v>
      </c>
      <c r="P4" s="176" t="str">
        <f>VLOOKUP(Q4,[1]characters!$A:$AC,20)</f>
        <v>normal</v>
      </c>
      <c r="Q4" s="187">
        <v>1408</v>
      </c>
      <c r="R4" s="58" t="str">
        <f ca="1">IF(Q4="NULL","",VLOOKUP($Q4,OFFSET([1]characters!$A$1,0,0,COUNTA([1]characters!$A:$A),MATCH(R$1,[1]characters!$1:$1,0)-MATCH($A$1,[1]characters!$1:$1,0)+1),MATCH(R$1,[1]characters!$1:$1,0)-MATCH($A$1,[1]characters!$1:$1,0)+1,FALSE))</f>
        <v>爽愛の求魂 グリム・ザ・ダンディ</v>
      </c>
      <c r="S4" s="5">
        <f ca="1">IF(ISNA(MATCH(A4,Q:Q,0)),A4,INDIRECT(ADDRESS(MATCH(A4,Q:Q,0),COLUMN())))</f>
        <v>1407</v>
      </c>
      <c r="T4" s="58" t="str">
        <f ca="1">VLOOKUP($S4,OFFSET([1]characters!$A$1,0,0,COUNTA([1]characters!$A:$A),MATCH(T$1,[1]characters!$1:$1,0)-MATCH($A$1,[1]characters!$1:$1,0)+1),MATCH(T$1,[1]characters!$1:$1,0)-MATCH($A$1,[1]characters!$1:$1,0)+1,FALSE)</f>
        <v>グリム・ザ・ダンディ</v>
      </c>
      <c r="U4" s="10">
        <f ca="1">IF(Q4="NULL","NULL",VLOOKUP(G4,[3]ビット!$A$2:$B$7,2))</f>
        <v>200000</v>
      </c>
    </row>
    <row r="5" spans="1:21" ht="21" customHeight="1" x14ac:dyDescent="0.15">
      <c r="A5" s="191">
        <v>678</v>
      </c>
      <c r="B5" s="53" t="str">
        <f ca="1">VLOOKUP($A5,OFFSET([1]characters!$A$1,0,0,COUNTA([1]characters!$A:$A),MATCH(B$1,[1]characters!$1:$1,0)-MATCH($A$1,[1]characters!$1:$1,0)+1),MATCH(B$1,[1]characters!$1:$1,0)-MATCH($A$1,[1]characters!$1:$1,0)+1,FALSE)</f>
        <v>レイヴン</v>
      </c>
      <c r="C5" s="53" t="str">
        <f ca="1">VLOOKUP($A5,OFFSET([1]characters!$A$1,0,0,COUNTA([1]characters!$A:$A),MATCH(C$1,[1]characters!$1:$1,0)-MATCH($A$1,[1]characters!$1:$1,0)+1),MATCH(C$1,[1]characters!$1:$1,0)-MATCH($A$1,[1]characters!$1:$1,0)+1,FALSE)</f>
        <v>ガチャ:ホワイトデー2016</v>
      </c>
      <c r="D5" s="53" t="str">
        <f ca="1">VLOOKUP($A5,OFFSET([1]characters!$A$1,0,0,COUNTA([1]characters!$A:$A),MATCH(D$1,[1]characters!$1:$1,0)-MATCH($A$1,[1]characters!$1:$1,0)+1),MATCH(D$1,[1]characters!$1:$1,0)-MATCH($A$1,[1]characters!$1:$1,0)+1,FALSE)</f>
        <v>執行者</v>
      </c>
      <c r="E5" s="53" t="str">
        <f ca="1">VLOOKUP($A5,OFFSET([1]characters!$A$1,0,0,COUNTA([1]characters!$A:$A),MATCH(E$1,[1]characters!$1:$1,0)-MATCH($A$1,[1]characters!$1:$1,0)+1),MATCH(E$1,[1]characters!$1:$1,0)-MATCH($A$1,[1]characters!$1:$1,0)+1,FALSE)</f>
        <v>格好いい</v>
      </c>
      <c r="F5" s="53" t="str">
        <f ca="1">VLOOKUP($A5,OFFSET([1]characters!$A$1,0,0,COUNTA([1]characters!$A:$A),MATCH(F$1,[1]characters!$1:$1,0)-MATCH($A$1,[1]characters!$1:$1,0)+1),MATCH(F$1,[1]characters!$1:$1,0)-MATCH($A$1,[1]characters!$1:$1,0)+1,FALSE)</f>
        <v>男性</v>
      </c>
      <c r="G5" s="53">
        <f ca="1">VLOOKUP($A5,OFFSET([1]characters!$A$1,0,0,COUNTA([1]characters!$A:$A),MATCH(G$1,[1]characters!$1:$1,0)-MATCH($A$1,[1]characters!$1:$1,0)+1),MATCH(G$1,[1]characters!$1:$1,0)-MATCH($A$1,[1]characters!$1:$1,0)+1,FALSE)</f>
        <v>4</v>
      </c>
      <c r="H5" s="53" t="str">
        <f ca="1">VLOOKUP($A5,OFFSET([1]characters!$A$1,0,0,COUNTA([1]characters!$A:$A),MATCH(H$1,[1]characters!$1:$1,0)-MATCH($A$1,[1]characters!$1:$1,0)+1),MATCH(H$1,[1]characters!$1:$1,0)-MATCH($A$1,[1]characters!$1:$1,0)+1,FALSE)</f>
        <v>PremiumSS</v>
      </c>
      <c r="I5" s="53" t="str">
        <f ca="1">VLOOKUP($A5,OFFSET([1]characters!$A$1,0,0,COUNTA([1]characters!$A:$A),MATCH(I$1,[1]characters!$1:$1,0)-MATCH($A$1,[1]characters!$1:$1,0)+1),MATCH(I$1,[1]characters!$1:$1,0)-MATCH($A$1,[1]characters!$1:$1,0)+1,FALSE)</f>
        <v>green</v>
      </c>
      <c r="J5" s="53" t="str">
        <f ca="1">VLOOKUP($A5,OFFSET([1]characters!$A$1,0,0,COUNTA([1]characters!$A:$A),MATCH(J$1,[1]characters!$1:$1,0)-MATCH($A$1,[1]characters!$1:$1,0)+1),MATCH(J$1,[1]characters!$1:$1,0)-MATCH($A$1,[1]characters!$1:$1,0)+1,FALSE)</f>
        <v>none</v>
      </c>
      <c r="K5" s="5" t="str">
        <f ca="1">VLOOKUP(J5,[1]character_tribe_i18n!$A:$H,3,FALSE)</f>
        <v>種族なし</v>
      </c>
      <c r="L5" s="10" t="e">
        <f>VLOOKUP(#REF!,[1]character_tribe_i18n!$A:$H,4,FALSE)</f>
        <v>#REF!</v>
      </c>
      <c r="M5" s="10" t="e">
        <f>VLOOKUP(#REF!,[1]character_tribe_i18n!$A:$H,5,FALSE)</f>
        <v>#REF!</v>
      </c>
      <c r="N5" s="10" t="e">
        <f>VLOOKUP(#REF!,[1]character_tribe_i18n!$A:$H,6,FALSE)</f>
        <v>#REF!</v>
      </c>
      <c r="O5" s="10" t="e">
        <f>VLOOKUP(#REF!,[1]character_tribe_i18n!$A:$H,7,FALSE)</f>
        <v>#REF!</v>
      </c>
      <c r="P5" s="176" t="str">
        <f>VLOOKUP(Q5,[1]characters!$A:$AC,20)</f>
        <v>normal</v>
      </c>
      <c r="Q5" s="187">
        <v>679</v>
      </c>
      <c r="R5" s="58" t="str">
        <f ca="1">IF(Q5="NULL","",VLOOKUP($Q5,OFFSET([1]characters!$A$1,0,0,COUNTA([1]characters!$A:$A),MATCH(R$1,[1]characters!$1:$1,0)-MATCH($A$1,[1]characters!$1:$1,0)+1),MATCH(R$1,[1]characters!$1:$1,0)-MATCH($A$1,[1]characters!$1:$1,0)+1,FALSE))</f>
        <v>孤高の王子 レイヴン</v>
      </c>
      <c r="S5" s="5">
        <f ca="1">IF(ISNA(MATCH(A5,Q:Q,0)),A5,INDIRECT(ADDRESS(MATCH(A5,Q:Q,0),COLUMN())))</f>
        <v>678</v>
      </c>
      <c r="T5" s="58" t="str">
        <f ca="1">VLOOKUP($S5,OFFSET([1]characters!$A$1,0,0,COUNTA([1]characters!$A:$A),MATCH(T$1,[1]characters!$1:$1,0)-MATCH($A$1,[1]characters!$1:$1,0)+1),MATCH(T$1,[1]characters!$1:$1,0)-MATCH($A$1,[1]characters!$1:$1,0)+1,FALSE)</f>
        <v>レイヴン</v>
      </c>
      <c r="U5" s="10">
        <f ca="1">IF(Q5="NULL","NULL",VLOOKUP(G5,[3]ビット!$A$2:$B$7,2))</f>
        <v>50000</v>
      </c>
    </row>
  </sheetData>
  <autoFilter ref="A1:U2"/>
  <phoneticPr fontId="22"/>
  <conditionalFormatting sqref="W1:W2 W6:W1048576">
    <cfRule type="cellIs" dxfId="27" priority="10" operator="equal">
      <formula>"FALSE"</formula>
    </cfRule>
  </conditionalFormatting>
  <conditionalFormatting sqref="W3">
    <cfRule type="cellIs" dxfId="26" priority="4" operator="equal">
      <formula>"FALSE"</formula>
    </cfRule>
  </conditionalFormatting>
  <conditionalFormatting sqref="W4">
    <cfRule type="cellIs" dxfId="25" priority="3" operator="equal">
      <formula>"FALSE"</formula>
    </cfRule>
  </conditionalFormatting>
  <conditionalFormatting sqref="W5">
    <cfRule type="cellIs" dxfId="24" priority="1"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N16"/>
  <sheetViews>
    <sheetView showGridLines="0" workbookViewId="0">
      <pane ySplit="1" topLeftCell="A2" activePane="bottomLeft" state="frozen"/>
      <selection pane="bottomLeft" activeCell="D22" sqref="D22"/>
    </sheetView>
  </sheetViews>
  <sheetFormatPr baseColWidth="12" defaultColWidth="13" defaultRowHeight="15" x14ac:dyDescent="0.15"/>
  <cols>
    <col min="1" max="1" width="11.5" style="61"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13.5" style="2" bestFit="1" customWidth="1"/>
    <col min="11" max="11" width="17" style="1" bestFit="1" customWidth="1"/>
    <col min="12" max="16384" width="13" style="2"/>
  </cols>
  <sheetData>
    <row r="1" spans="1:14" ht="21" customHeight="1" x14ac:dyDescent="0.15">
      <c r="A1" s="61" t="s">
        <v>99</v>
      </c>
      <c r="B1" s="39" t="s">
        <v>38</v>
      </c>
      <c r="C1" s="177" t="s">
        <v>287</v>
      </c>
      <c r="D1" s="18" t="s">
        <v>40</v>
      </c>
      <c r="E1" s="18" t="s">
        <v>42</v>
      </c>
      <c r="F1" s="18" t="s">
        <v>43</v>
      </c>
      <c r="G1" s="177" t="s">
        <v>288</v>
      </c>
      <c r="H1" s="18" t="s">
        <v>40</v>
      </c>
      <c r="I1" s="40" t="s">
        <v>36</v>
      </c>
      <c r="J1" s="18" t="s">
        <v>41</v>
      </c>
      <c r="K1" s="17" t="s">
        <v>37</v>
      </c>
      <c r="L1" s="179" t="s">
        <v>127</v>
      </c>
      <c r="M1" s="180" t="s">
        <v>290</v>
      </c>
    </row>
    <row r="2" spans="1:14" ht="21" customHeight="1" x14ac:dyDescent="0.15">
      <c r="A2" s="61" t="str">
        <f t="shared" ref="A2:A9" si="0">B2&amp;"_"&amp;I2</f>
        <v>679_106</v>
      </c>
      <c r="B2" s="195">
        <v>679</v>
      </c>
      <c r="C2" s="178">
        <f t="shared" ref="C2:C9" si="1">B2</f>
        <v>679</v>
      </c>
      <c r="D2" s="53" t="str">
        <f ca="1">VLOOKUP($C2,OFFSET([1]characters!$A$1,0,0,COUNTA([1]characters!$A:$A),MATCH(D$1,[1]characters!$1:$1,0)-MATCH($C$1,[1]characters!$1:$1,0)+1),MATCH(D$1,[1]characters!$1:$1,0)-MATCH($C$1,[1]characters!$1:$1,0)+1,FALSE)</f>
        <v>孤高の王子 レイヴン</v>
      </c>
      <c r="E2" s="53">
        <f ca="1">VLOOKUP($C2,OFFSET([1]characters!$A$1,0,0,COUNTA([1]characters!$A:$A),MATCH(E$1,[1]characters!$1:$1,0)-MATCH($C$1,[1]characters!$1:$1,0)+1),MATCH(E$1,[1]characters!$1:$1,0)-MATCH($C$1,[1]characters!$1:$1,0)+1,FALSE)</f>
        <v>5</v>
      </c>
      <c r="F2" s="53" t="str">
        <f ca="1">VLOOKUP($C2,OFFSET([1]characters!$A$1,0,0,COUNTA([1]characters!$A:$A),MATCH(F$1,[1]characters!$1:$1,0)-MATCH($C$1,[1]characters!$1:$1,0)+1),MATCH(F$1,[1]characters!$1:$1,0)-MATCH($C$1,[1]characters!$1:$1,0)+1,FALSE)</f>
        <v>PremiumSS</v>
      </c>
      <c r="G2" s="195">
        <v>1092</v>
      </c>
      <c r="H2" s="53" t="str">
        <f ca="1">VLOOKUP($G2,OFFSET([1]characters!$A$1,0,0,COUNTA([1]characters!$A:$A),MATCH(H$1,[1]characters!$1:$1,0)-MATCH($C$1,[1]characters!$1:$1,0)+1),MATCH(H$1,[1]characters!$1:$1,0)-MATCH($C$1,[1]characters!$1:$1,0)+1,FALSE)</f>
        <v>究護の戦王子 レイヴン</v>
      </c>
      <c r="I2" s="194">
        <v>106</v>
      </c>
      <c r="J2" s="53" t="str">
        <f ca="1">VLOOKUP($I2,OFFSET([1]characters!$A$1,0,0,COUNTA([1]characters!$A:$A),MATCH(J$1,[1]characters!$1:$1,0)-MATCH($C$1,[1]characters!$1:$1,0)+1),MATCH(J$1,[1]characters!$1:$1,0)-MATCH($C$1,[1]characters!$1:$1,0)+1,FALSE)</f>
        <v>グリーンラビット</v>
      </c>
      <c r="K2" s="192">
        <v>1</v>
      </c>
      <c r="L2" s="193">
        <v>1</v>
      </c>
      <c r="M2" s="193">
        <v>10</v>
      </c>
      <c r="N2" s="2" t="s">
        <v>289</v>
      </c>
    </row>
    <row r="3" spans="1:14" ht="21" customHeight="1" x14ac:dyDescent="0.15">
      <c r="A3" s="61" t="str">
        <f t="shared" si="0"/>
        <v>679_107</v>
      </c>
      <c r="B3" s="195">
        <v>679</v>
      </c>
      <c r="C3" s="178">
        <f t="shared" si="1"/>
        <v>679</v>
      </c>
      <c r="D3" s="53" t="str">
        <f ca="1">VLOOKUP($C3,OFFSET([1]characters!$A$1,0,0,COUNTA([1]characters!$A:$A),MATCH(D$1,[1]characters!$1:$1,0)-MATCH($C$1,[1]characters!$1:$1,0)+1),MATCH(D$1,[1]characters!$1:$1,0)-MATCH($C$1,[1]characters!$1:$1,0)+1,FALSE)</f>
        <v>孤高の王子 レイヴン</v>
      </c>
      <c r="E3" s="53">
        <f ca="1">VLOOKUP($C3,OFFSET([1]characters!$A$1,0,0,COUNTA([1]characters!$A:$A),MATCH(E$1,[1]characters!$1:$1,0)-MATCH($C$1,[1]characters!$1:$1,0)+1),MATCH(E$1,[1]characters!$1:$1,0)-MATCH($C$1,[1]characters!$1:$1,0)+1,FALSE)</f>
        <v>5</v>
      </c>
      <c r="F3" s="53" t="str">
        <f ca="1">VLOOKUP($C3,OFFSET([1]characters!$A$1,0,0,COUNTA([1]characters!$A:$A),MATCH(F$1,[1]characters!$1:$1,0)-MATCH($C$1,[1]characters!$1:$1,0)+1),MATCH(F$1,[1]characters!$1:$1,0)-MATCH($C$1,[1]characters!$1:$1,0)+1,FALSE)</f>
        <v>PremiumSS</v>
      </c>
      <c r="G3" s="195">
        <v>1092</v>
      </c>
      <c r="H3" s="53" t="str">
        <f ca="1">VLOOKUP($G3,OFFSET([1]characters!$A$1,0,0,COUNTA([1]characters!$A:$A),MATCH(H$1,[1]characters!$1:$1,0)-MATCH($C$1,[1]characters!$1:$1,0)+1),MATCH(H$1,[1]characters!$1:$1,0)-MATCH($C$1,[1]characters!$1:$1,0)+1,FALSE)</f>
        <v>究護の戦王子 レイヴン</v>
      </c>
      <c r="I3" s="194">
        <v>107</v>
      </c>
      <c r="J3" s="53" t="str">
        <f ca="1">VLOOKUP($I3,OFFSET([1]characters!$A$1,0,0,COUNTA([1]characters!$A:$A),MATCH(J$1,[1]characters!$1:$1,0)-MATCH($C$1,[1]characters!$1:$1,0)+1),MATCH(J$1,[1]characters!$1:$1,0)-MATCH($C$1,[1]characters!$1:$1,0)+1,FALSE)</f>
        <v>グリーンキャタップ</v>
      </c>
      <c r="K3" s="192">
        <v>1</v>
      </c>
      <c r="L3" s="193">
        <v>1</v>
      </c>
      <c r="M3" s="193">
        <v>10</v>
      </c>
      <c r="N3" s="2" t="s">
        <v>289</v>
      </c>
    </row>
    <row r="4" spans="1:14" ht="21" customHeight="1" x14ac:dyDescent="0.15">
      <c r="A4" s="61" t="str">
        <f t="shared" si="0"/>
        <v>679_108</v>
      </c>
      <c r="B4" s="195">
        <v>679</v>
      </c>
      <c r="C4" s="178">
        <f t="shared" si="1"/>
        <v>679</v>
      </c>
      <c r="D4" s="53" t="str">
        <f ca="1">VLOOKUP($C4,OFFSET([1]characters!$A$1,0,0,COUNTA([1]characters!$A:$A),MATCH(D$1,[1]characters!$1:$1,0)-MATCH($C$1,[1]characters!$1:$1,0)+1),MATCH(D$1,[1]characters!$1:$1,0)-MATCH($C$1,[1]characters!$1:$1,0)+1,FALSE)</f>
        <v>孤高の王子 レイヴン</v>
      </c>
      <c r="E4" s="53">
        <f ca="1">VLOOKUP($C4,OFFSET([1]characters!$A$1,0,0,COUNTA([1]characters!$A:$A),MATCH(E$1,[1]characters!$1:$1,0)-MATCH($C$1,[1]characters!$1:$1,0)+1),MATCH(E$1,[1]characters!$1:$1,0)-MATCH($C$1,[1]characters!$1:$1,0)+1,FALSE)</f>
        <v>5</v>
      </c>
      <c r="F4" s="53" t="str">
        <f ca="1">VLOOKUP($C4,OFFSET([1]characters!$A$1,0,0,COUNTA([1]characters!$A:$A),MATCH(F$1,[1]characters!$1:$1,0)-MATCH($C$1,[1]characters!$1:$1,0)+1),MATCH(F$1,[1]characters!$1:$1,0)-MATCH($C$1,[1]characters!$1:$1,0)+1,FALSE)</f>
        <v>PremiumSS</v>
      </c>
      <c r="G4" s="195">
        <v>1092</v>
      </c>
      <c r="H4" s="53" t="str">
        <f ca="1">VLOOKUP($G4,OFFSET([1]characters!$A$1,0,0,COUNTA([1]characters!$A:$A),MATCH(H$1,[1]characters!$1:$1,0)-MATCH($C$1,[1]characters!$1:$1,0)+1),MATCH(H$1,[1]characters!$1:$1,0)-MATCH($C$1,[1]characters!$1:$1,0)+1,FALSE)</f>
        <v>究護の戦王子 レイヴン</v>
      </c>
      <c r="I4" s="194">
        <v>108</v>
      </c>
      <c r="J4" s="53" t="str">
        <f ca="1">VLOOKUP($I4,OFFSET([1]characters!$A$1,0,0,COUNTA([1]characters!$A:$A),MATCH(J$1,[1]characters!$1:$1,0)-MATCH($C$1,[1]characters!$1:$1,0)+1),MATCH(J$1,[1]characters!$1:$1,0)-MATCH($C$1,[1]characters!$1:$1,0)+1,FALSE)</f>
        <v>森のマッドハッター</v>
      </c>
      <c r="K4" s="192">
        <v>1</v>
      </c>
      <c r="L4" s="193">
        <v>1</v>
      </c>
      <c r="M4" s="193">
        <v>10</v>
      </c>
      <c r="N4" s="2" t="s">
        <v>289</v>
      </c>
    </row>
    <row r="5" spans="1:14" ht="21" customHeight="1" x14ac:dyDescent="0.15">
      <c r="A5" s="61" t="str">
        <f t="shared" si="0"/>
        <v>679_837</v>
      </c>
      <c r="B5" s="195">
        <v>679</v>
      </c>
      <c r="C5" s="178">
        <f t="shared" si="1"/>
        <v>679</v>
      </c>
      <c r="D5" s="53" t="str">
        <f ca="1">VLOOKUP($C5,OFFSET([1]characters!$A$1,0,0,COUNTA([1]characters!$A:$A),MATCH(D$1,[1]characters!$1:$1,0)-MATCH($C$1,[1]characters!$1:$1,0)+1),MATCH(D$1,[1]characters!$1:$1,0)-MATCH($C$1,[1]characters!$1:$1,0)+1,FALSE)</f>
        <v>孤高の王子 レイヴン</v>
      </c>
      <c r="E5" s="53">
        <f ca="1">VLOOKUP($C5,OFFSET([1]characters!$A$1,0,0,COUNTA([1]characters!$A:$A),MATCH(E$1,[1]characters!$1:$1,0)-MATCH($C$1,[1]characters!$1:$1,0)+1),MATCH(E$1,[1]characters!$1:$1,0)-MATCH($C$1,[1]characters!$1:$1,0)+1,FALSE)</f>
        <v>5</v>
      </c>
      <c r="F5" s="53" t="str">
        <f ca="1">VLOOKUP($C5,OFFSET([1]characters!$A$1,0,0,COUNTA([1]characters!$A:$A),MATCH(F$1,[1]characters!$1:$1,0)-MATCH($C$1,[1]characters!$1:$1,0)+1),MATCH(F$1,[1]characters!$1:$1,0)-MATCH($C$1,[1]characters!$1:$1,0)+1,FALSE)</f>
        <v>PremiumSS</v>
      </c>
      <c r="G5" s="195">
        <v>1092</v>
      </c>
      <c r="H5" s="53" t="str">
        <f ca="1">VLOOKUP($G5,OFFSET([1]characters!$A$1,0,0,COUNTA([1]characters!$A:$A),MATCH(H$1,[1]characters!$1:$1,0)-MATCH($C$1,[1]characters!$1:$1,0)+1),MATCH(H$1,[1]characters!$1:$1,0)-MATCH($C$1,[1]characters!$1:$1,0)+1,FALSE)</f>
        <v>究護の戦王子 レイヴン</v>
      </c>
      <c r="I5" s="194">
        <v>837</v>
      </c>
      <c r="J5" s="53" t="str">
        <f ca="1">VLOOKUP($I5,OFFSET([1]characters!$A$1,0,0,COUNTA([1]characters!$A:$A),MATCH(J$1,[1]characters!$1:$1,0)-MATCH($C$1,[1]characters!$1:$1,0)+1),MATCH(J$1,[1]characters!$1:$1,0)-MATCH($C$1,[1]characters!$1:$1,0)+1,FALSE)</f>
        <v>リトルハンプティ</v>
      </c>
      <c r="K5" s="192">
        <v>1</v>
      </c>
      <c r="L5" s="193">
        <v>1</v>
      </c>
      <c r="M5" s="193">
        <v>1000</v>
      </c>
      <c r="N5" s="2" t="s">
        <v>289</v>
      </c>
    </row>
    <row r="6" spans="1:14" ht="21" customHeight="1" x14ac:dyDescent="0.15">
      <c r="A6" s="61" t="str">
        <f t="shared" si="0"/>
        <v>1409_106</v>
      </c>
      <c r="B6" s="195">
        <v>1409</v>
      </c>
      <c r="C6" s="178">
        <f t="shared" si="1"/>
        <v>1409</v>
      </c>
      <c r="D6" s="53" t="str">
        <f ca="1">VLOOKUP($C6,OFFSET([1]characters!$A$1,0,0,COUNTA([1]characters!$A:$A),MATCH(D$1,[1]characters!$1:$1,0)-MATCH($C$1,[1]characters!$1:$1,0)+1),MATCH(D$1,[1]characters!$1:$1,0)-MATCH($C$1,[1]characters!$1:$1,0)+1,FALSE)</f>
        <v>マシロ</v>
      </c>
      <c r="E6" s="53">
        <f ca="1">VLOOKUP($C6,OFFSET([1]characters!$A$1,0,0,COUNTA([1]characters!$A:$A),MATCH(E$1,[1]characters!$1:$1,0)-MATCH($C$1,[1]characters!$1:$1,0)+1),MATCH(E$1,[1]characters!$1:$1,0)-MATCH($C$1,[1]characters!$1:$1,0)+1,FALSE)</f>
        <v>5</v>
      </c>
      <c r="F6" s="53" t="str">
        <f ca="1">VLOOKUP($C6,OFFSET([1]characters!$A$1,0,0,COUNTA([1]characters!$A:$A),MATCH(F$1,[1]characters!$1:$1,0)-MATCH($C$1,[1]characters!$1:$1,0)+1),MATCH(F$1,[1]characters!$1:$1,0)-MATCH($C$1,[1]characters!$1:$1,0)+1,FALSE)</f>
        <v>PremiumSS</v>
      </c>
      <c r="G6" s="195">
        <v>1410</v>
      </c>
      <c r="H6" s="53" t="str">
        <f ca="1">VLOOKUP($G6,OFFSET([1]characters!$A$1,0,0,COUNTA([1]characters!$A:$A),MATCH(H$1,[1]characters!$1:$1,0)-MATCH($C$1,[1]characters!$1:$1,0)+1),MATCH(H$1,[1]characters!$1:$1,0)-MATCH($C$1,[1]characters!$1:$1,0)+1,FALSE)</f>
        <v>浮遊する白恋 マシロ</v>
      </c>
      <c r="I6" s="194">
        <v>106</v>
      </c>
      <c r="J6" s="53" t="str">
        <f ca="1">VLOOKUP($I6,OFFSET([1]characters!$A$1,0,0,COUNTA([1]characters!$A:$A),MATCH(J$1,[1]characters!$1:$1,0)-MATCH($C$1,[1]characters!$1:$1,0)+1),MATCH(J$1,[1]characters!$1:$1,0)-MATCH($C$1,[1]characters!$1:$1,0)+1,FALSE)</f>
        <v>グリーンラビット</v>
      </c>
      <c r="K6" s="192">
        <v>1</v>
      </c>
      <c r="L6" s="193">
        <v>1</v>
      </c>
      <c r="M6" s="193">
        <v>10</v>
      </c>
      <c r="N6" s="2" t="s">
        <v>289</v>
      </c>
    </row>
    <row r="7" spans="1:14" ht="21" customHeight="1" x14ac:dyDescent="0.15">
      <c r="A7" s="61" t="str">
        <f t="shared" si="0"/>
        <v>1409_107</v>
      </c>
      <c r="B7" s="195">
        <v>1409</v>
      </c>
      <c r="C7" s="178">
        <f t="shared" si="1"/>
        <v>1409</v>
      </c>
      <c r="D7" s="53" t="str">
        <f ca="1">VLOOKUP($C7,OFFSET([1]characters!$A$1,0,0,COUNTA([1]characters!$A:$A),MATCH(D$1,[1]characters!$1:$1,0)-MATCH($C$1,[1]characters!$1:$1,0)+1),MATCH(D$1,[1]characters!$1:$1,0)-MATCH($C$1,[1]characters!$1:$1,0)+1,FALSE)</f>
        <v>マシロ</v>
      </c>
      <c r="E7" s="53">
        <f ca="1">VLOOKUP($C7,OFFSET([1]characters!$A$1,0,0,COUNTA([1]characters!$A:$A),MATCH(E$1,[1]characters!$1:$1,0)-MATCH($C$1,[1]characters!$1:$1,0)+1),MATCH(E$1,[1]characters!$1:$1,0)-MATCH($C$1,[1]characters!$1:$1,0)+1,FALSE)</f>
        <v>5</v>
      </c>
      <c r="F7" s="53" t="str">
        <f ca="1">VLOOKUP($C7,OFFSET([1]characters!$A$1,0,0,COUNTA([1]characters!$A:$A),MATCH(F$1,[1]characters!$1:$1,0)-MATCH($C$1,[1]characters!$1:$1,0)+1),MATCH(F$1,[1]characters!$1:$1,0)-MATCH($C$1,[1]characters!$1:$1,0)+1,FALSE)</f>
        <v>PremiumSS</v>
      </c>
      <c r="G7" s="195">
        <v>1410</v>
      </c>
      <c r="H7" s="53" t="str">
        <f ca="1">VLOOKUP($G7,OFFSET([1]characters!$A$1,0,0,COUNTA([1]characters!$A:$A),MATCH(H$1,[1]characters!$1:$1,0)-MATCH($C$1,[1]characters!$1:$1,0)+1),MATCH(H$1,[1]characters!$1:$1,0)-MATCH($C$1,[1]characters!$1:$1,0)+1,FALSE)</f>
        <v>浮遊する白恋 マシロ</v>
      </c>
      <c r="I7" s="194">
        <v>107</v>
      </c>
      <c r="J7" s="53" t="str">
        <f ca="1">VLOOKUP($I7,OFFSET([1]characters!$A$1,0,0,COUNTA([1]characters!$A:$A),MATCH(J$1,[1]characters!$1:$1,0)-MATCH($C$1,[1]characters!$1:$1,0)+1),MATCH(J$1,[1]characters!$1:$1,0)-MATCH($C$1,[1]characters!$1:$1,0)+1,FALSE)</f>
        <v>グリーンキャタップ</v>
      </c>
      <c r="K7" s="192">
        <v>1</v>
      </c>
      <c r="L7" s="193">
        <v>1</v>
      </c>
      <c r="M7" s="193">
        <v>10</v>
      </c>
      <c r="N7" s="2" t="s">
        <v>289</v>
      </c>
    </row>
    <row r="8" spans="1:14" ht="21" customHeight="1" x14ac:dyDescent="0.15">
      <c r="A8" s="61" t="str">
        <f t="shared" si="0"/>
        <v>1409_357</v>
      </c>
      <c r="B8" s="195">
        <v>1409</v>
      </c>
      <c r="C8" s="178">
        <f t="shared" si="1"/>
        <v>1409</v>
      </c>
      <c r="D8" s="53" t="str">
        <f ca="1">VLOOKUP($C8,OFFSET([1]characters!$A$1,0,0,COUNTA([1]characters!$A:$A),MATCH(D$1,[1]characters!$1:$1,0)-MATCH($C$1,[1]characters!$1:$1,0)+1),MATCH(D$1,[1]characters!$1:$1,0)-MATCH($C$1,[1]characters!$1:$1,0)+1,FALSE)</f>
        <v>マシロ</v>
      </c>
      <c r="E8" s="53">
        <f ca="1">VLOOKUP($C8,OFFSET([1]characters!$A$1,0,0,COUNTA([1]characters!$A:$A),MATCH(E$1,[1]characters!$1:$1,0)-MATCH($C$1,[1]characters!$1:$1,0)+1),MATCH(E$1,[1]characters!$1:$1,0)-MATCH($C$1,[1]characters!$1:$1,0)+1,FALSE)</f>
        <v>5</v>
      </c>
      <c r="F8" s="53" t="str">
        <f ca="1">VLOOKUP($C8,OFFSET([1]characters!$A$1,0,0,COUNTA([1]characters!$A:$A),MATCH(F$1,[1]characters!$1:$1,0)-MATCH($C$1,[1]characters!$1:$1,0)+1),MATCH(F$1,[1]characters!$1:$1,0)-MATCH($C$1,[1]characters!$1:$1,0)+1,FALSE)</f>
        <v>PremiumSS</v>
      </c>
      <c r="G8" s="195">
        <v>1410</v>
      </c>
      <c r="H8" s="53" t="str">
        <f ca="1">VLOOKUP($G8,OFFSET([1]characters!$A$1,0,0,COUNTA([1]characters!$A:$A),MATCH(H$1,[1]characters!$1:$1,0)-MATCH($C$1,[1]characters!$1:$1,0)+1),MATCH(H$1,[1]characters!$1:$1,0)-MATCH($C$1,[1]characters!$1:$1,0)+1,FALSE)</f>
        <v>浮遊する白恋 マシロ</v>
      </c>
      <c r="I8" s="194">
        <v>357</v>
      </c>
      <c r="J8" s="53" t="str">
        <f ca="1">VLOOKUP($I8,OFFSET([1]characters!$A$1,0,0,COUNTA([1]characters!$A:$A),MATCH(J$1,[1]characters!$1:$1,0)-MATCH($C$1,[1]characters!$1:$1,0)+1),MATCH(J$1,[1]characters!$1:$1,0)-MATCH($C$1,[1]characters!$1:$1,0)+1,FALSE)</f>
        <v>千風のグリフォン</v>
      </c>
      <c r="K8" s="192">
        <v>1</v>
      </c>
      <c r="L8" s="193">
        <v>1</v>
      </c>
      <c r="M8" s="193">
        <v>10</v>
      </c>
      <c r="N8" s="2" t="s">
        <v>289</v>
      </c>
    </row>
    <row r="9" spans="1:14" ht="21" customHeight="1" x14ac:dyDescent="0.15">
      <c r="A9" s="61" t="str">
        <f t="shared" si="0"/>
        <v>1409_837</v>
      </c>
      <c r="B9" s="195">
        <v>1409</v>
      </c>
      <c r="C9" s="178">
        <f t="shared" si="1"/>
        <v>1409</v>
      </c>
      <c r="D9" s="53" t="str">
        <f ca="1">VLOOKUP($C9,OFFSET([1]characters!$A$1,0,0,COUNTA([1]characters!$A:$A),MATCH(D$1,[1]characters!$1:$1,0)-MATCH($C$1,[1]characters!$1:$1,0)+1),MATCH(D$1,[1]characters!$1:$1,0)-MATCH($C$1,[1]characters!$1:$1,0)+1,FALSE)</f>
        <v>マシロ</v>
      </c>
      <c r="E9" s="53">
        <f ca="1">VLOOKUP($C9,OFFSET([1]characters!$A$1,0,0,COUNTA([1]characters!$A:$A),MATCH(E$1,[1]characters!$1:$1,0)-MATCH($C$1,[1]characters!$1:$1,0)+1),MATCH(E$1,[1]characters!$1:$1,0)-MATCH($C$1,[1]characters!$1:$1,0)+1,FALSE)</f>
        <v>5</v>
      </c>
      <c r="F9" s="53" t="str">
        <f ca="1">VLOOKUP($C9,OFFSET([1]characters!$A$1,0,0,COUNTA([1]characters!$A:$A),MATCH(F$1,[1]characters!$1:$1,0)-MATCH($C$1,[1]characters!$1:$1,0)+1),MATCH(F$1,[1]characters!$1:$1,0)-MATCH($C$1,[1]characters!$1:$1,0)+1,FALSE)</f>
        <v>PremiumSS</v>
      </c>
      <c r="G9" s="195">
        <v>1410</v>
      </c>
      <c r="H9" s="53" t="str">
        <f ca="1">VLOOKUP($G9,OFFSET([1]characters!$A$1,0,0,COUNTA([1]characters!$A:$A),MATCH(H$1,[1]characters!$1:$1,0)-MATCH($C$1,[1]characters!$1:$1,0)+1),MATCH(H$1,[1]characters!$1:$1,0)-MATCH($C$1,[1]characters!$1:$1,0)+1,FALSE)</f>
        <v>浮遊する白恋 マシロ</v>
      </c>
      <c r="I9" s="194">
        <v>837</v>
      </c>
      <c r="J9" s="53" t="str">
        <f ca="1">VLOOKUP($I9,OFFSET([1]characters!$A$1,0,0,COUNTA([1]characters!$A:$A),MATCH(J$1,[1]characters!$1:$1,0)-MATCH($C$1,[1]characters!$1:$1,0)+1),MATCH(J$1,[1]characters!$1:$1,0)-MATCH($C$1,[1]characters!$1:$1,0)+1,FALSE)</f>
        <v>リトルハンプティ</v>
      </c>
      <c r="K9" s="192">
        <v>1</v>
      </c>
      <c r="L9" s="193">
        <v>1</v>
      </c>
      <c r="M9" s="193">
        <v>1000</v>
      </c>
      <c r="N9" s="2" t="s">
        <v>289</v>
      </c>
    </row>
    <row r="10" spans="1:14" ht="21" customHeight="1" x14ac:dyDescent="0.15">
      <c r="A10" s="61" t="str">
        <f t="shared" ref="A10:A16" si="2">B10&amp;"_"&amp;I10</f>
        <v>1407_116</v>
      </c>
      <c r="B10" s="195">
        <v>1407</v>
      </c>
      <c r="C10" s="178">
        <f t="shared" ref="C10:C16" si="3">B10</f>
        <v>1407</v>
      </c>
      <c r="D10" s="53" t="str">
        <f ca="1">VLOOKUP($C10,OFFSET([1]characters!$A$1,0,0,COUNTA([1]characters!$A:$A),MATCH(D$1,[1]characters!$1:$1,0)-MATCH($C$1,[1]characters!$1:$1,0)+1),MATCH(D$1,[1]characters!$1:$1,0)-MATCH($C$1,[1]characters!$1:$1,0)+1,FALSE)</f>
        <v>グリム・ザ・ダンディ</v>
      </c>
      <c r="E10" s="53">
        <f ca="1">VLOOKUP($C10,OFFSET([1]characters!$A$1,0,0,COUNTA([1]characters!$A:$A),MATCH(E$1,[1]characters!$1:$1,0)-MATCH($C$1,[1]characters!$1:$1,0)+1),MATCH(E$1,[1]characters!$1:$1,0)-MATCH($C$1,[1]characters!$1:$1,0)+1,FALSE)</f>
        <v>5</v>
      </c>
      <c r="F10" s="53" t="str">
        <f ca="1">VLOOKUP($C10,OFFSET([1]characters!$A$1,0,0,COUNTA([1]characters!$A:$A),MATCH(F$1,[1]characters!$1:$1,0)-MATCH($C$1,[1]characters!$1:$1,0)+1),MATCH(F$1,[1]characters!$1:$1,0)-MATCH($C$1,[1]characters!$1:$1,0)+1,FALSE)</f>
        <v>DropWizS</v>
      </c>
      <c r="G10" s="195">
        <v>1408</v>
      </c>
      <c r="H10" s="53" t="str">
        <f ca="1">VLOOKUP($G10,OFFSET([1]characters!$A$1,0,0,COUNTA([1]characters!$A:$A),MATCH(H$1,[1]characters!$1:$1,0)-MATCH($C$1,[1]characters!$1:$1,0)+1),MATCH(H$1,[1]characters!$1:$1,0)-MATCH($C$1,[1]characters!$1:$1,0)+1,FALSE)</f>
        <v>爽愛の求魂 グリム・ザ・ダンディ</v>
      </c>
      <c r="I10" s="194">
        <v>116</v>
      </c>
      <c r="J10" s="53" t="str">
        <f ca="1">VLOOKUP($I10,OFFSET([1]characters!$A$1,0,0,COUNTA([1]characters!$A:$A),MATCH(J$1,[1]characters!$1:$1,0)-MATCH($C$1,[1]characters!$1:$1,0)+1),MATCH(J$1,[1]characters!$1:$1,0)-MATCH($C$1,[1]characters!$1:$1,0)+1,FALSE)</f>
        <v>雷のマッドハッター</v>
      </c>
      <c r="K10" s="192">
        <v>1</v>
      </c>
      <c r="L10" s="193">
        <v>1</v>
      </c>
      <c r="M10" s="193">
        <v>10</v>
      </c>
      <c r="N10" s="2" t="s">
        <v>289</v>
      </c>
    </row>
    <row r="11" spans="1:14" ht="21" customHeight="1" x14ac:dyDescent="0.15">
      <c r="A11" s="61" t="str">
        <f t="shared" si="2"/>
        <v>1407_738</v>
      </c>
      <c r="B11" s="195">
        <v>1407</v>
      </c>
      <c r="C11" s="178">
        <f t="shared" si="3"/>
        <v>1407</v>
      </c>
      <c r="D11" s="53" t="str">
        <f ca="1">VLOOKUP($C11,OFFSET([1]characters!$A$1,0,0,COUNTA([1]characters!$A:$A),MATCH(D$1,[1]characters!$1:$1,0)-MATCH($C$1,[1]characters!$1:$1,0)+1),MATCH(D$1,[1]characters!$1:$1,0)-MATCH($C$1,[1]characters!$1:$1,0)+1,FALSE)</f>
        <v>グリム・ザ・ダンディ</v>
      </c>
      <c r="E11" s="53">
        <f ca="1">VLOOKUP($C11,OFFSET([1]characters!$A$1,0,0,COUNTA([1]characters!$A:$A),MATCH(E$1,[1]characters!$1:$1,0)-MATCH($C$1,[1]characters!$1:$1,0)+1),MATCH(E$1,[1]characters!$1:$1,0)-MATCH($C$1,[1]characters!$1:$1,0)+1,FALSE)</f>
        <v>5</v>
      </c>
      <c r="F11" s="53" t="str">
        <f ca="1">VLOOKUP($C11,OFFSET([1]characters!$A$1,0,0,COUNTA([1]characters!$A:$A),MATCH(F$1,[1]characters!$1:$1,0)-MATCH($C$1,[1]characters!$1:$1,0)+1),MATCH(F$1,[1]characters!$1:$1,0)-MATCH($C$1,[1]characters!$1:$1,0)+1,FALSE)</f>
        <v>DropWizS</v>
      </c>
      <c r="G11" s="195">
        <v>1408</v>
      </c>
      <c r="H11" s="53" t="str">
        <f ca="1">VLOOKUP($G11,OFFSET([1]characters!$A$1,0,0,COUNTA([1]characters!$A:$A),MATCH(H$1,[1]characters!$1:$1,0)-MATCH($C$1,[1]characters!$1:$1,0)+1),MATCH(H$1,[1]characters!$1:$1,0)-MATCH($C$1,[1]characters!$1:$1,0)+1,FALSE)</f>
        <v>爽愛の求魂 グリム・ザ・ダンディ</v>
      </c>
      <c r="I11" s="194">
        <v>738</v>
      </c>
      <c r="J11" s="53" t="str">
        <f ca="1">VLOOKUP($I11,OFFSET([1]characters!$A$1,0,0,COUNTA([1]characters!$A:$A),MATCH(J$1,[1]characters!$1:$1,0)-MATCH($C$1,[1]characters!$1:$1,0)+1),MATCH(J$1,[1]characters!$1:$1,0)-MATCH($C$1,[1]characters!$1:$1,0)+1,FALSE)</f>
        <v>ラドン</v>
      </c>
      <c r="K11" s="192">
        <v>1</v>
      </c>
      <c r="L11" s="193">
        <v>2</v>
      </c>
      <c r="M11" s="193">
        <v>100</v>
      </c>
      <c r="N11" s="2" t="s">
        <v>289</v>
      </c>
    </row>
    <row r="12" spans="1:14" ht="21" customHeight="1" x14ac:dyDescent="0.15">
      <c r="A12" s="61" t="str">
        <f t="shared" si="2"/>
        <v>1407_764</v>
      </c>
      <c r="B12" s="195">
        <v>1407</v>
      </c>
      <c r="C12" s="178">
        <f t="shared" si="3"/>
        <v>1407</v>
      </c>
      <c r="D12" s="53" t="str">
        <f ca="1">VLOOKUP($C12,OFFSET([1]characters!$A$1,0,0,COUNTA([1]characters!$A:$A),MATCH(D$1,[1]characters!$1:$1,0)-MATCH($C$1,[1]characters!$1:$1,0)+1),MATCH(D$1,[1]characters!$1:$1,0)-MATCH($C$1,[1]characters!$1:$1,0)+1,FALSE)</f>
        <v>グリム・ザ・ダンディ</v>
      </c>
      <c r="E12" s="53">
        <f ca="1">VLOOKUP($C12,OFFSET([1]characters!$A$1,0,0,COUNTA([1]characters!$A:$A),MATCH(E$1,[1]characters!$1:$1,0)-MATCH($C$1,[1]characters!$1:$1,0)+1),MATCH(E$1,[1]characters!$1:$1,0)-MATCH($C$1,[1]characters!$1:$1,0)+1,FALSE)</f>
        <v>5</v>
      </c>
      <c r="F12" s="53" t="str">
        <f ca="1">VLOOKUP($C12,OFFSET([1]characters!$A$1,0,0,COUNTA([1]characters!$A:$A),MATCH(F$1,[1]characters!$1:$1,0)-MATCH($C$1,[1]characters!$1:$1,0)+1),MATCH(F$1,[1]characters!$1:$1,0)-MATCH($C$1,[1]characters!$1:$1,0)+1,FALSE)</f>
        <v>DropWizS</v>
      </c>
      <c r="G12" s="195">
        <v>1408</v>
      </c>
      <c r="H12" s="53" t="str">
        <f ca="1">VLOOKUP($G12,OFFSET([1]characters!$A$1,0,0,COUNTA([1]characters!$A:$A),MATCH(H$1,[1]characters!$1:$1,0)-MATCH($C$1,[1]characters!$1:$1,0)+1),MATCH(H$1,[1]characters!$1:$1,0)-MATCH($C$1,[1]characters!$1:$1,0)+1,FALSE)</f>
        <v>爽愛の求魂 グリム・ザ・ダンディ</v>
      </c>
      <c r="I12" s="194">
        <v>764</v>
      </c>
      <c r="J12" s="53" t="str">
        <f ca="1">VLOOKUP($I12,OFFSET([1]characters!$A$1,0,0,COUNTA([1]characters!$A:$A),MATCH(J$1,[1]characters!$1:$1,0)-MATCH($C$1,[1]characters!$1:$1,0)+1),MATCH(J$1,[1]characters!$1:$1,0)-MATCH($C$1,[1]characters!$1:$1,0)+1,FALSE)</f>
        <v>ライオネル</v>
      </c>
      <c r="K12" s="192">
        <v>1</v>
      </c>
      <c r="L12" s="193">
        <v>3</v>
      </c>
      <c r="M12" s="193">
        <v>100</v>
      </c>
      <c r="N12" s="2" t="s">
        <v>289</v>
      </c>
    </row>
    <row r="13" spans="1:14" ht="21" customHeight="1" x14ac:dyDescent="0.15">
      <c r="A13" s="61" t="str">
        <f t="shared" si="2"/>
        <v>1407_837</v>
      </c>
      <c r="B13" s="195">
        <v>1407</v>
      </c>
      <c r="C13" s="178">
        <f t="shared" si="3"/>
        <v>1407</v>
      </c>
      <c r="D13" s="53" t="str">
        <f ca="1">VLOOKUP($C13,OFFSET([1]characters!$A$1,0,0,COUNTA([1]characters!$A:$A),MATCH(D$1,[1]characters!$1:$1,0)-MATCH($C$1,[1]characters!$1:$1,0)+1),MATCH(D$1,[1]characters!$1:$1,0)-MATCH($C$1,[1]characters!$1:$1,0)+1,FALSE)</f>
        <v>グリム・ザ・ダンディ</v>
      </c>
      <c r="E13" s="53">
        <f ca="1">VLOOKUP($C13,OFFSET([1]characters!$A$1,0,0,COUNTA([1]characters!$A:$A),MATCH(E$1,[1]characters!$1:$1,0)-MATCH($C$1,[1]characters!$1:$1,0)+1),MATCH(E$1,[1]characters!$1:$1,0)-MATCH($C$1,[1]characters!$1:$1,0)+1,FALSE)</f>
        <v>5</v>
      </c>
      <c r="F13" s="53" t="str">
        <f ca="1">VLOOKUP($C13,OFFSET([1]characters!$A$1,0,0,COUNTA([1]characters!$A:$A),MATCH(F$1,[1]characters!$1:$1,0)-MATCH($C$1,[1]characters!$1:$1,0)+1),MATCH(F$1,[1]characters!$1:$1,0)-MATCH($C$1,[1]characters!$1:$1,0)+1,FALSE)</f>
        <v>DropWizS</v>
      </c>
      <c r="G13" s="195">
        <v>1408</v>
      </c>
      <c r="H13" s="53" t="str">
        <f ca="1">VLOOKUP($G13,OFFSET([1]characters!$A$1,0,0,COUNTA([1]characters!$A:$A),MATCH(H$1,[1]characters!$1:$1,0)-MATCH($C$1,[1]characters!$1:$1,0)+1),MATCH(H$1,[1]characters!$1:$1,0)-MATCH($C$1,[1]characters!$1:$1,0)+1,FALSE)</f>
        <v>爽愛の求魂 グリム・ザ・ダンディ</v>
      </c>
      <c r="I13" s="194">
        <v>837</v>
      </c>
      <c r="J13" s="53" t="str">
        <f ca="1">VLOOKUP($I13,OFFSET([1]characters!$A$1,0,0,COUNTA([1]characters!$A:$A),MATCH(J$1,[1]characters!$1:$1,0)-MATCH($C$1,[1]characters!$1:$1,0)+1),MATCH(J$1,[1]characters!$1:$1,0)-MATCH($C$1,[1]characters!$1:$1,0)+1,FALSE)</f>
        <v>リトルハンプティ</v>
      </c>
      <c r="K13" s="192">
        <v>1</v>
      </c>
      <c r="L13" s="193">
        <v>1</v>
      </c>
      <c r="M13" s="193">
        <v>1000</v>
      </c>
      <c r="N13" s="2" t="s">
        <v>289</v>
      </c>
    </row>
    <row r="14" spans="1:14" ht="21" customHeight="1" x14ac:dyDescent="0.15">
      <c r="A14" s="61" t="str">
        <f t="shared" si="2"/>
        <v>678_108</v>
      </c>
      <c r="B14" s="195">
        <v>678</v>
      </c>
      <c r="C14" s="178">
        <f t="shared" si="3"/>
        <v>678</v>
      </c>
      <c r="D14" s="53" t="str">
        <f ca="1">VLOOKUP($C14,OFFSET([1]characters!$A$1,0,0,COUNTA([1]characters!$A:$A),MATCH(D$1,[1]characters!$1:$1,0)-MATCH($C$1,[1]characters!$1:$1,0)+1),MATCH(D$1,[1]characters!$1:$1,0)-MATCH($C$1,[1]characters!$1:$1,0)+1,FALSE)</f>
        <v>レイヴン</v>
      </c>
      <c r="E14" s="53">
        <f ca="1">VLOOKUP($C14,OFFSET([1]characters!$A$1,0,0,COUNTA([1]characters!$A:$A),MATCH(E$1,[1]characters!$1:$1,0)-MATCH($C$1,[1]characters!$1:$1,0)+1),MATCH(E$1,[1]characters!$1:$1,0)-MATCH($C$1,[1]characters!$1:$1,0)+1,FALSE)</f>
        <v>4</v>
      </c>
      <c r="F14" s="53" t="str">
        <f ca="1">VLOOKUP($C14,OFFSET([1]characters!$A$1,0,0,COUNTA([1]characters!$A:$A),MATCH(F$1,[1]characters!$1:$1,0)-MATCH($C$1,[1]characters!$1:$1,0)+1),MATCH(F$1,[1]characters!$1:$1,0)-MATCH($C$1,[1]characters!$1:$1,0)+1,FALSE)</f>
        <v>PremiumSS</v>
      </c>
      <c r="G14" s="195">
        <v>679</v>
      </c>
      <c r="H14" s="53" t="str">
        <f ca="1">VLOOKUP($G14,OFFSET([1]characters!$A$1,0,0,COUNTA([1]characters!$A:$A),MATCH(H$1,[1]characters!$1:$1,0)-MATCH($C$1,[1]characters!$1:$1,0)+1),MATCH(H$1,[1]characters!$1:$1,0)-MATCH($C$1,[1]characters!$1:$1,0)+1,FALSE)</f>
        <v>孤高の王子 レイヴン</v>
      </c>
      <c r="I14" s="194">
        <v>108</v>
      </c>
      <c r="J14" s="53" t="str">
        <f ca="1">VLOOKUP($I14,OFFSET([1]characters!$A$1,0,0,COUNTA([1]characters!$A:$A),MATCH(J$1,[1]characters!$1:$1,0)-MATCH($C$1,[1]characters!$1:$1,0)+1),MATCH(J$1,[1]characters!$1:$1,0)-MATCH($C$1,[1]characters!$1:$1,0)+1,FALSE)</f>
        <v>森のマッドハッター</v>
      </c>
      <c r="K14" s="192">
        <v>1</v>
      </c>
      <c r="L14" s="193">
        <v>1</v>
      </c>
      <c r="M14" s="193">
        <v>10</v>
      </c>
      <c r="N14" s="2" t="s">
        <v>289</v>
      </c>
    </row>
    <row r="15" spans="1:14" ht="21" customHeight="1" x14ac:dyDescent="0.15">
      <c r="A15" s="61" t="str">
        <f t="shared" si="2"/>
        <v>678_264</v>
      </c>
      <c r="B15" s="195">
        <v>678</v>
      </c>
      <c r="C15" s="178">
        <f t="shared" si="3"/>
        <v>678</v>
      </c>
      <c r="D15" s="53" t="str">
        <f ca="1">VLOOKUP($C15,OFFSET([1]characters!$A$1,0,0,COUNTA([1]characters!$A:$A),MATCH(D$1,[1]characters!$1:$1,0)-MATCH($C$1,[1]characters!$1:$1,0)+1),MATCH(D$1,[1]characters!$1:$1,0)-MATCH($C$1,[1]characters!$1:$1,0)+1,FALSE)</f>
        <v>レイヴン</v>
      </c>
      <c r="E15" s="53">
        <f ca="1">VLOOKUP($C15,OFFSET([1]characters!$A$1,0,0,COUNTA([1]characters!$A:$A),MATCH(E$1,[1]characters!$1:$1,0)-MATCH($C$1,[1]characters!$1:$1,0)+1),MATCH(E$1,[1]characters!$1:$1,0)-MATCH($C$1,[1]characters!$1:$1,0)+1,FALSE)</f>
        <v>4</v>
      </c>
      <c r="F15" s="53" t="str">
        <f ca="1">VLOOKUP($C15,OFFSET([1]characters!$A$1,0,0,COUNTA([1]characters!$A:$A),MATCH(F$1,[1]characters!$1:$1,0)-MATCH($C$1,[1]characters!$1:$1,0)+1),MATCH(F$1,[1]characters!$1:$1,0)-MATCH($C$1,[1]characters!$1:$1,0)+1,FALSE)</f>
        <v>PremiumSS</v>
      </c>
      <c r="G15" s="195">
        <v>679</v>
      </c>
      <c r="H15" s="53" t="str">
        <f ca="1">VLOOKUP($G15,OFFSET([1]characters!$A$1,0,0,COUNTA([1]characters!$A:$A),MATCH(H$1,[1]characters!$1:$1,0)-MATCH($C$1,[1]characters!$1:$1,0)+1),MATCH(H$1,[1]characters!$1:$1,0)-MATCH($C$1,[1]characters!$1:$1,0)+1,FALSE)</f>
        <v>孤高の王子 レイヴン</v>
      </c>
      <c r="I15" s="194">
        <v>264</v>
      </c>
      <c r="J15" s="53" t="str">
        <f ca="1">VLOOKUP($I15,OFFSET([1]characters!$A$1,0,0,COUNTA([1]characters!$A:$A),MATCH(J$1,[1]characters!$1:$1,0)-MATCH($C$1,[1]characters!$1:$1,0)+1),MATCH(J$1,[1]characters!$1:$1,0)-MATCH($C$1,[1]characters!$1:$1,0)+1,FALSE)</f>
        <v>ユニコーン</v>
      </c>
      <c r="K15" s="192">
        <v>1</v>
      </c>
      <c r="L15" s="193">
        <v>1</v>
      </c>
      <c r="M15" s="193">
        <v>100</v>
      </c>
      <c r="N15" s="2" t="s">
        <v>289</v>
      </c>
    </row>
    <row r="16" spans="1:14" ht="21" customHeight="1" x14ac:dyDescent="0.15">
      <c r="A16" s="61" t="str">
        <f t="shared" si="2"/>
        <v>678_931</v>
      </c>
      <c r="B16" s="195">
        <v>678</v>
      </c>
      <c r="C16" s="178">
        <f t="shared" si="3"/>
        <v>678</v>
      </c>
      <c r="D16" s="53" t="str">
        <f ca="1">VLOOKUP($C16,OFFSET([1]characters!$A$1,0,0,COUNTA([1]characters!$A:$A),MATCH(D$1,[1]characters!$1:$1,0)-MATCH($C$1,[1]characters!$1:$1,0)+1),MATCH(D$1,[1]characters!$1:$1,0)-MATCH($C$1,[1]characters!$1:$1,0)+1,FALSE)</f>
        <v>レイヴン</v>
      </c>
      <c r="E16" s="53">
        <f ca="1">VLOOKUP($C16,OFFSET([1]characters!$A$1,0,0,COUNTA([1]characters!$A:$A),MATCH(E$1,[1]characters!$1:$1,0)-MATCH($C$1,[1]characters!$1:$1,0)+1),MATCH(E$1,[1]characters!$1:$1,0)-MATCH($C$1,[1]characters!$1:$1,0)+1,FALSE)</f>
        <v>4</v>
      </c>
      <c r="F16" s="53" t="str">
        <f ca="1">VLOOKUP($C16,OFFSET([1]characters!$A$1,0,0,COUNTA([1]characters!$A:$A),MATCH(F$1,[1]characters!$1:$1,0)-MATCH($C$1,[1]characters!$1:$1,0)+1),MATCH(F$1,[1]characters!$1:$1,0)-MATCH($C$1,[1]characters!$1:$1,0)+1,FALSE)</f>
        <v>PremiumSS</v>
      </c>
      <c r="G16" s="195">
        <v>679</v>
      </c>
      <c r="H16" s="53" t="str">
        <f ca="1">VLOOKUP($G16,OFFSET([1]characters!$A$1,0,0,COUNTA([1]characters!$A:$A),MATCH(H$1,[1]characters!$1:$1,0)-MATCH($C$1,[1]characters!$1:$1,0)+1),MATCH(H$1,[1]characters!$1:$1,0)-MATCH($C$1,[1]characters!$1:$1,0)+1,FALSE)</f>
        <v>孤高の王子 レイヴン</v>
      </c>
      <c r="I16" s="194">
        <v>931</v>
      </c>
      <c r="J16" s="53" t="str">
        <f ca="1">VLOOKUP($I16,OFFSET([1]characters!$A$1,0,0,COUNTA([1]characters!$A:$A),MATCH(J$1,[1]characters!$1:$1,0)-MATCH($C$1,[1]characters!$1:$1,0)+1),MATCH(J$1,[1]characters!$1:$1,0)-MATCH($C$1,[1]characters!$1:$1,0)+1,FALSE)</f>
        <v>ネルソン</v>
      </c>
      <c r="K16" s="192">
        <v>1</v>
      </c>
      <c r="L16" s="193">
        <v>1</v>
      </c>
      <c r="M16" s="193">
        <v>100</v>
      </c>
      <c r="N16" s="2" t="s">
        <v>289</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K4"/>
  <sheetViews>
    <sheetView topLeftCell="D1" workbookViewId="0">
      <selection activeCell="J1" sqref="J1"/>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10" width="15.1640625" customWidth="1"/>
  </cols>
  <sheetData>
    <row r="1" spans="1:11" s="21" customFormat="1" ht="21" customHeight="1" x14ac:dyDescent="0.15">
      <c r="A1" s="167" t="s">
        <v>301</v>
      </c>
      <c r="B1" s="115" t="s">
        <v>302</v>
      </c>
      <c r="C1" s="116" t="s">
        <v>303</v>
      </c>
      <c r="D1" s="117" t="s">
        <v>304</v>
      </c>
      <c r="E1" s="117" t="s">
        <v>305</v>
      </c>
      <c r="F1" s="117" t="s">
        <v>306</v>
      </c>
      <c r="G1" s="117" t="s">
        <v>307</v>
      </c>
      <c r="H1" s="117" t="s">
        <v>308</v>
      </c>
      <c r="I1" s="173" t="s">
        <v>309</v>
      </c>
      <c r="J1" s="117" t="s">
        <v>424</v>
      </c>
      <c r="K1" s="168" t="s">
        <v>310</v>
      </c>
    </row>
    <row r="2" spans="1:11" ht="56" x14ac:dyDescent="0.15">
      <c r="A2" s="62">
        <v>141001</v>
      </c>
      <c r="B2" s="169" t="s">
        <v>185</v>
      </c>
      <c r="C2" s="198" t="s">
        <v>355</v>
      </c>
      <c r="D2" s="198" t="s">
        <v>354</v>
      </c>
      <c r="E2" s="198" t="s">
        <v>352</v>
      </c>
      <c r="F2" s="199" t="s">
        <v>358</v>
      </c>
      <c r="G2" s="200" t="s">
        <v>359</v>
      </c>
      <c r="H2" s="198" t="s">
        <v>353</v>
      </c>
      <c r="I2" s="201" t="str">
        <f t="shared" ref="I2" si="0">"{"&amp;""""&amp;$E$1&amp;""""&amp;":"&amp;""""&amp;E2&amp;""""&amp;","&amp;""""&amp;"type"&amp;""""&amp;":"&amp;""""&amp;"ability"&amp;""""&amp;","&amp;""""&amp;$G$1&amp;""""&amp;":"&amp;""""&amp;G2&amp;""""&amp;","&amp;""""&amp;$F$1&amp;""""&amp;":"&amp;""""&amp;F2&amp;""""&amp;","&amp;""""&amp;$H$1&amp;""""&amp;":"&amp;H2&amp;"}"</f>
        <v>{"ver":"1.7.0","type":"ability","effects":"[effect:damage_up, target:myself, val:1.7, turn:1, type01:all, option:killer]","conditions":"[condition:enclose,[condition:quest_id,quest:47010],[condition:unit_attack_target],logic:and]","priority":0}</v>
      </c>
      <c r="J2" s="198" t="s">
        <v>437</v>
      </c>
      <c r="K2" s="202">
        <f ca="1">units!AX4</f>
        <v>3</v>
      </c>
    </row>
    <row r="3" spans="1:11" ht="56" x14ac:dyDescent="0.15">
      <c r="A3" s="62">
        <v>141002</v>
      </c>
      <c r="B3" s="169" t="s">
        <v>185</v>
      </c>
      <c r="C3" s="198" t="s">
        <v>435</v>
      </c>
      <c r="D3" s="198" t="s">
        <v>432</v>
      </c>
      <c r="E3" s="198" t="s">
        <v>352</v>
      </c>
      <c r="F3" s="199" t="s">
        <v>358</v>
      </c>
      <c r="G3" s="200" t="s">
        <v>433</v>
      </c>
      <c r="H3" s="198" t="s">
        <v>353</v>
      </c>
      <c r="I3" s="201" t="str">
        <f t="shared" ref="I3" si="1">"{"&amp;""""&amp;$E$1&amp;""""&amp;":"&amp;""""&amp;E3&amp;""""&amp;","&amp;""""&amp;"type"&amp;""""&amp;":"&amp;""""&amp;"ability"&amp;""""&amp;","&amp;""""&amp;$G$1&amp;""""&amp;":"&amp;""""&amp;G3&amp;""""&amp;","&amp;""""&amp;$F$1&amp;""""&amp;":"&amp;""""&amp;F3&amp;""""&amp;","&amp;""""&amp;$H$1&amp;""""&amp;":"&amp;H3&amp;"}"</f>
        <v>{"ver":"1.7.0","type":"ability","effects":"[effect:damage_up, target:myself, val:2, turn:1, type01:all, option:killer]","conditions":"[condition:enclose,[condition:quest_id,quest:47010],[condition:unit_attack_target],logic:and]","priority":0}</v>
      </c>
      <c r="J3" s="198" t="s">
        <v>437</v>
      </c>
      <c r="K3" s="202">
        <f ca="1">units!AX5</f>
        <v>3</v>
      </c>
    </row>
    <row r="4" spans="1:11" ht="56" x14ac:dyDescent="0.15">
      <c r="A4" s="62">
        <v>141003</v>
      </c>
      <c r="B4" s="169" t="s">
        <v>185</v>
      </c>
      <c r="C4" s="198" t="s">
        <v>436</v>
      </c>
      <c r="D4" s="198" t="s">
        <v>431</v>
      </c>
      <c r="E4" s="198" t="s">
        <v>352</v>
      </c>
      <c r="F4" s="199" t="s">
        <v>358</v>
      </c>
      <c r="G4" s="200" t="s">
        <v>434</v>
      </c>
      <c r="H4" s="198" t="s">
        <v>353</v>
      </c>
      <c r="I4" s="201" t="str">
        <f t="shared" ref="I4" si="2">"{"&amp;""""&amp;$E$1&amp;""""&amp;":"&amp;""""&amp;E4&amp;""""&amp;","&amp;""""&amp;"type"&amp;""""&amp;":"&amp;""""&amp;"ability"&amp;""""&amp;","&amp;""""&amp;$G$1&amp;""""&amp;":"&amp;""""&amp;G4&amp;""""&amp;","&amp;""""&amp;$F$1&amp;""""&amp;":"&amp;""""&amp;F4&amp;""""&amp;","&amp;""""&amp;$H$1&amp;""""&amp;":"&amp;H4&amp;"}"</f>
        <v>{"ver":"1.7.0","type":"ability","effects":"[effect:damage_up, target:myself, val:4.5, turn:1, type01:all, option:killer]","conditions":"[condition:enclose,[condition:quest_id,quest:47010],[condition:unit_attack_target],logic:and]","priority":0}</v>
      </c>
      <c r="J4" s="198" t="s">
        <v>437</v>
      </c>
      <c r="K4" s="202">
        <f ca="1">units!AX6</f>
        <v>3</v>
      </c>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10"/>
  <sheetViews>
    <sheetView workbookViewId="0">
      <selection activeCell="D17" sqref="D17"/>
    </sheetView>
  </sheetViews>
  <sheetFormatPr baseColWidth="12" defaultRowHeight="15" x14ac:dyDescent="0.15"/>
  <cols>
    <col min="2" max="2" width="23.83203125" bestFit="1" customWidth="1"/>
    <col min="5" max="5" width="22.6640625" customWidth="1"/>
    <col min="6" max="6" width="58.5" customWidth="1"/>
  </cols>
  <sheetData>
    <row r="1" spans="1:8" s="21" customFormat="1" ht="21" customHeight="1" x14ac:dyDescent="0.15">
      <c r="A1" s="167" t="s">
        <v>138</v>
      </c>
      <c r="B1" s="170" t="s">
        <v>266</v>
      </c>
      <c r="C1" s="115" t="s">
        <v>267</v>
      </c>
      <c r="D1" s="115" t="s">
        <v>268</v>
      </c>
      <c r="E1" s="171" t="s">
        <v>269</v>
      </c>
      <c r="F1" s="171" t="s">
        <v>270</v>
      </c>
      <c r="G1" s="118" t="s">
        <v>271</v>
      </c>
      <c r="H1" s="167" t="s">
        <v>272</v>
      </c>
    </row>
    <row r="2" spans="1:8" s="4" customFormat="1" ht="21" customHeight="1" x14ac:dyDescent="0.15">
      <c r="A2" s="169">
        <v>1092</v>
      </c>
      <c r="B2" s="172" t="str">
        <f>VLOOKUP(A2,[1]characters!$A:$C,3)</f>
        <v>究護の戦王子 レイヴン</v>
      </c>
      <c r="C2" s="196">
        <v>1</v>
      </c>
      <c r="D2" s="196">
        <v>103</v>
      </c>
      <c r="E2" s="173" t="str">
        <f>IF(ISERROR(VLOOKUP(D2,[4]abilities!A:D,3,FALSE))=FALSE,VLOOKUP(D2,[4]abilities!A:D,3),IF(ISERROR(VLOOKUP(D2,abilities!A:D,3,FALSE))=FALSE,VLOOKUP(D2,abilities!A:D,3),"なし"))</f>
        <v>お邪魔ブレイク</v>
      </c>
      <c r="F2" s="173" t="str">
        <f>IF(ISERROR(VLOOKUP(D2,[4]abilities!A:D,4,FALSE))=FALSE,VLOOKUP(D2,[4]abilities!A:D,4),IF(ISERROR(VLOOKUP(D2,abilities!A:D,4,FALSE))=FALSE,VLOOKUP(D2,abilities!A:D,4),"なし"))</f>
        <v>自身が先頭の時、お邪魔パネルを破壊できる</v>
      </c>
      <c r="G2" s="174" t="s">
        <v>273</v>
      </c>
      <c r="H2" s="197" t="s">
        <v>340</v>
      </c>
    </row>
    <row r="3" spans="1:8" s="4" customFormat="1" ht="21" customHeight="1" x14ac:dyDescent="0.15">
      <c r="A3" s="169">
        <v>1092</v>
      </c>
      <c r="B3" s="172" t="str">
        <f>VLOOKUP(A3,[1]characters!$A:$C,3)</f>
        <v>究護の戦王子 レイヴン</v>
      </c>
      <c r="C3" s="196">
        <v>2</v>
      </c>
      <c r="D3" s="196">
        <v>3204</v>
      </c>
      <c r="E3" s="173" t="str">
        <f>IF(ISERROR(VLOOKUP(D3,[4]abilities!A:D,3,FALSE))=FALSE,VLOOKUP(D3,[4]abilities!A:D,3),IF(ISERROR(VLOOKUP(D3,abilities!A:D,3,FALSE))=FALSE,VLOOKUP(D3,abilities!A:D,3),"なし"))</f>
        <v>HP30%以下 攻撃力大UP</v>
      </c>
      <c r="F3" s="173" t="str">
        <f>IF(ISERROR(VLOOKUP(D3,[4]abilities!A:D,4,FALSE))=FALSE,VLOOKUP(D3,[4]abilities!A:D,4),IF(ISERROR(VLOOKUP(D3,abilities!A:D,4,FALSE))=FALSE,VLOOKUP(D3,abilities!A:D,4),"なし"))</f>
        <v>自身が先頭の時、残りHPが30%以下で攻撃力大UP</v>
      </c>
      <c r="G3" s="174" t="s">
        <v>273</v>
      </c>
      <c r="H3" s="197" t="s">
        <v>340</v>
      </c>
    </row>
    <row r="4" spans="1:8" s="4" customFormat="1" ht="21" customHeight="1" x14ac:dyDescent="0.15">
      <c r="A4" s="169">
        <v>1410</v>
      </c>
      <c r="B4" s="172" t="str">
        <f>VLOOKUP(A4,[1]characters!$A:$C,3)</f>
        <v>浮遊する白恋 マシロ</v>
      </c>
      <c r="C4" s="196">
        <v>1</v>
      </c>
      <c r="D4" s="196">
        <v>103</v>
      </c>
      <c r="E4" s="173" t="str">
        <f>IF(ISERROR(VLOOKUP(D4,[4]abilities!A:D,3,FALSE))=FALSE,VLOOKUP(D4,[4]abilities!A:D,3),IF(ISERROR(VLOOKUP(D4,abilities!A:D,3,FALSE))=FALSE,VLOOKUP(D4,abilities!A:D,3),"なし"))</f>
        <v>お邪魔ブレイク</v>
      </c>
      <c r="F4" s="173" t="str">
        <f>IF(ISERROR(VLOOKUP(D4,[4]abilities!A:D,4,FALSE))=FALSE,VLOOKUP(D4,[4]abilities!A:D,4),IF(ISERROR(VLOOKUP(D4,abilities!A:D,4,FALSE))=FALSE,VLOOKUP(D4,abilities!A:D,4),"なし"))</f>
        <v>自身が先頭の時、お邪魔パネルを破壊できる</v>
      </c>
      <c r="G4" s="174" t="s">
        <v>273</v>
      </c>
      <c r="H4" s="197" t="s">
        <v>340</v>
      </c>
    </row>
    <row r="5" spans="1:8" s="4" customFormat="1" ht="21" customHeight="1" x14ac:dyDescent="0.15">
      <c r="A5" s="169">
        <v>1410</v>
      </c>
      <c r="B5" s="172" t="str">
        <f>VLOOKUP(A5,[1]characters!$A:$C,3)</f>
        <v>浮遊する白恋 マシロ</v>
      </c>
      <c r="C5" s="196">
        <v>2</v>
      </c>
      <c r="D5" s="196">
        <v>1900</v>
      </c>
      <c r="E5" s="173" t="str">
        <f>IF(ISERROR(VLOOKUP(D5,[4]abilities!A:D,3,FALSE))=FALSE,VLOOKUP(D5,[4]abilities!A:D,3),IF(ISERROR(VLOOKUP(D5,abilities!A:D,3,FALSE))=FALSE,VLOOKUP(D5,abilities!A:D,3),"なし"))</f>
        <v>ハート出現率UP</v>
      </c>
      <c r="F5" s="173" t="str">
        <f>IF(ISERROR(VLOOKUP(D5,[4]abilities!A:D,4,FALSE))=FALSE,VLOOKUP(D5,[4]abilities!A:D,4),IF(ISERROR(VLOOKUP(D5,abilities!A:D,4,FALSE))=FALSE,VLOOKUP(D5,abilities!A:D,4),"なし"))</f>
        <v>自身が先頭の時、ハートパネルの出現率UP</v>
      </c>
      <c r="G5" s="174" t="s">
        <v>273</v>
      </c>
      <c r="H5" s="197" t="s">
        <v>340</v>
      </c>
    </row>
    <row r="6" spans="1:8" s="4" customFormat="1" ht="21" customHeight="1" x14ac:dyDescent="0.15">
      <c r="A6" s="169">
        <v>1408</v>
      </c>
      <c r="B6" s="172" t="str">
        <f>VLOOKUP(A6,[1]characters!$A:$C,3)</f>
        <v>爽愛の求魂 グリム・ザ・ダンディ</v>
      </c>
      <c r="C6" s="196">
        <v>1</v>
      </c>
      <c r="D6" s="196">
        <v>2902</v>
      </c>
      <c r="E6" s="173" t="str">
        <f>IF(ISERROR(VLOOKUP(D6,[4]abilities!A:D,3,FALSE))=FALSE,VLOOKUP(D6,[4]abilities!A:D,3),IF(ISERROR(VLOOKUP(D6,abilities!A:D,3,FALSE))=FALSE,VLOOKUP(D6,abilities!A:D,3),"なし"))</f>
        <v>フィーバー80 攻撃力大UP</v>
      </c>
      <c r="F6" s="173" t="str">
        <f>IF(ISERROR(VLOOKUP(D6,[4]abilities!A:D,4,FALSE))=FALSE,VLOOKUP(D6,[4]abilities!A:D,4),IF(ISERROR(VLOOKUP(D6,abilities!A:D,4,FALSE))=FALSE,VLOOKUP(D6,abilities!A:D,4),"なし"))</f>
        <v>フィーバーゲージが80％以上の時、自身の攻撃力大UP</v>
      </c>
      <c r="G6" s="174" t="s">
        <v>273</v>
      </c>
      <c r="H6" s="197" t="s">
        <v>416</v>
      </c>
    </row>
    <row r="7" spans="1:8" s="4" customFormat="1" ht="21" customHeight="1" x14ac:dyDescent="0.15">
      <c r="A7" s="169">
        <v>1408</v>
      </c>
      <c r="B7" s="172" t="str">
        <f>VLOOKUP(A7,[1]characters!$A:$C,3)</f>
        <v>爽愛の求魂 グリム・ザ・ダンディ</v>
      </c>
      <c r="C7" s="196">
        <v>2</v>
      </c>
      <c r="D7" s="196">
        <v>3201</v>
      </c>
      <c r="E7" s="173" t="str">
        <f>IF(ISERROR(VLOOKUP(D7,[4]abilities!A:D,3,FALSE))=FALSE,VLOOKUP(D7,[4]abilities!A:D,3),IF(ISERROR(VLOOKUP(D7,abilities!A:D,3,FALSE))=FALSE,VLOOKUP(D7,abilities!A:D,3),"なし"))</f>
        <v>HP35%以下 回復力UP</v>
      </c>
      <c r="F7" s="173" t="str">
        <f>IF(ISERROR(VLOOKUP(D7,[4]abilities!A:D,4,FALSE))=FALSE,VLOOKUP(D7,[4]abilities!A:D,4),IF(ISERROR(VLOOKUP(D7,abilities!A:D,4,FALSE))=FALSE,VLOOKUP(D7,abilities!A:D,4),"なし"))</f>
        <v>自身が先頭の時、残りHPが35%以下で回復力40%UP</v>
      </c>
      <c r="G7" s="174" t="s">
        <v>273</v>
      </c>
      <c r="H7" s="197" t="s">
        <v>417</v>
      </c>
    </row>
    <row r="8" spans="1:8" s="4" customFormat="1" ht="21" customHeight="1" x14ac:dyDescent="0.15">
      <c r="A8" s="169">
        <v>1411</v>
      </c>
      <c r="B8" s="172" t="str">
        <f>VLOOKUP(A8,[1]characters!$A:$C,3)</f>
        <v>ピーターパン・イノセンス</v>
      </c>
      <c r="C8" s="196">
        <v>1</v>
      </c>
      <c r="D8" s="196">
        <v>141001</v>
      </c>
      <c r="E8" s="173" t="str">
        <f>IF(ISERROR(VLOOKUP(D8,[4]abilities!A:D,3,FALSE))=FALSE,VLOOKUP(D8,[4]abilities!A:D,3),IF(ISERROR(VLOOKUP(D8,abilities!A:D,3,FALSE))=FALSE,VLOOKUP(D8,abilities!A:D,3),"なし"))</f>
        <v>ホワイトデークエスト ダメージUP</v>
      </c>
      <c r="F8" s="173" t="str">
        <f>IF(ISERROR(VLOOKUP(D8,[4]abilities!A:D,4,FALSE))=FALSE,VLOOKUP(D8,[4]abilities!A:D,4),IF(ISERROR(VLOOKUP(D8,abilities!A:D,4,FALSE))=FALSE,VLOOKUP(D8,abilities!A:D,4),"なし"))</f>
        <v>ホワイトデークエスト内で自身の全ての攻撃の威力をUP</v>
      </c>
      <c r="G8" s="174" t="s">
        <v>273</v>
      </c>
      <c r="H8" s="197" t="s">
        <v>340</v>
      </c>
    </row>
    <row r="9" spans="1:8" s="4" customFormat="1" ht="21" customHeight="1" x14ac:dyDescent="0.15">
      <c r="A9" s="169">
        <v>1412</v>
      </c>
      <c r="B9" s="172" t="str">
        <f>VLOOKUP(A9,[1]characters!$A:$C,3)</f>
        <v>アレス・パッション</v>
      </c>
      <c r="C9" s="196">
        <v>1</v>
      </c>
      <c r="D9" s="196">
        <v>141001</v>
      </c>
      <c r="E9" s="173" t="str">
        <f>IF(ISERROR(VLOOKUP(D9,[4]abilities!A:D,3,FALSE))=FALSE,VLOOKUP(D9,[4]abilities!A:D,3),IF(ISERROR(VLOOKUP(D9,abilities!A:D,3,FALSE))=FALSE,VLOOKUP(D9,abilities!A:D,3),"なし"))</f>
        <v>ホワイトデークエスト ダメージUP</v>
      </c>
      <c r="F9" s="173" t="str">
        <f>IF(ISERROR(VLOOKUP(D9,[4]abilities!A:D,4,FALSE))=FALSE,VLOOKUP(D9,[4]abilities!A:D,4),IF(ISERROR(VLOOKUP(D9,abilities!A:D,4,FALSE))=FALSE,VLOOKUP(D9,abilities!A:D,4),"なし"))</f>
        <v>ホワイトデークエスト内で自身の全ての攻撃の威力をUP</v>
      </c>
      <c r="G9" s="174" t="s">
        <v>273</v>
      </c>
      <c r="H9" s="197" t="s">
        <v>340</v>
      </c>
    </row>
    <row r="10" spans="1:8" s="4" customFormat="1" ht="21" customHeight="1" x14ac:dyDescent="0.15">
      <c r="A10" s="169">
        <v>1413</v>
      </c>
      <c r="B10" s="172" t="str">
        <f>VLOOKUP(A10,[1]characters!$A:$C,3)</f>
        <v>クリムト・ペリューシド</v>
      </c>
      <c r="C10" s="196">
        <v>1</v>
      </c>
      <c r="D10" s="196">
        <v>141001</v>
      </c>
      <c r="E10" s="173" t="str">
        <f>IF(ISERROR(VLOOKUP(D10,[4]abilities!A:D,3,FALSE))=FALSE,VLOOKUP(D10,[4]abilities!A:D,3),IF(ISERROR(VLOOKUP(D10,abilities!A:D,3,FALSE))=FALSE,VLOOKUP(D10,abilities!A:D,3),"なし"))</f>
        <v>ホワイトデークエスト ダメージUP</v>
      </c>
      <c r="F10" s="173" t="str">
        <f>IF(ISERROR(VLOOKUP(D10,[4]abilities!A:D,4,FALSE))=FALSE,VLOOKUP(D10,[4]abilities!A:D,4),IF(ISERROR(VLOOKUP(D10,abilities!A:D,4,FALSE))=FALSE,VLOOKUP(D10,abilities!A:D,4),"なし"))</f>
        <v>ホワイトデークエスト内で自身の全ての攻撃の威力をUP</v>
      </c>
      <c r="G10" s="174" t="s">
        <v>273</v>
      </c>
      <c r="H10" s="197" t="s">
        <v>340</v>
      </c>
    </row>
  </sheetData>
  <phoneticPr fontId="2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tabSelected="1" workbookViewId="0">
      <selection activeCell="I21" sqref="I21"/>
    </sheetView>
  </sheetViews>
  <sheetFormatPr baseColWidth="12" defaultColWidth="13" defaultRowHeight="21" customHeight="1" x14ac:dyDescent="0.15"/>
  <cols>
    <col min="1" max="1" width="13" style="4"/>
    <col min="2" max="16384" width="13" style="21"/>
  </cols>
  <sheetData>
    <row r="1" spans="1:9" s="4" customFormat="1" ht="21" customHeight="1" x14ac:dyDescent="0.15">
      <c r="A1" s="28" t="s">
        <v>233</v>
      </c>
      <c r="B1" s="30">
        <v>1</v>
      </c>
      <c r="C1" s="30">
        <v>2</v>
      </c>
      <c r="D1" s="30">
        <v>3</v>
      </c>
      <c r="E1" s="30">
        <v>4</v>
      </c>
      <c r="F1" s="30">
        <v>5</v>
      </c>
      <c r="G1" s="30">
        <v>6</v>
      </c>
      <c r="H1" s="30">
        <v>7</v>
      </c>
      <c r="I1" s="30">
        <v>8</v>
      </c>
    </row>
    <row r="2" spans="1:9" s="4" customFormat="1" ht="21" customHeight="1" x14ac:dyDescent="0.15">
      <c r="A2" s="141" t="s">
        <v>234</v>
      </c>
      <c r="B2" s="142"/>
      <c r="C2" s="143"/>
      <c r="D2" s="144" t="s">
        <v>235</v>
      </c>
      <c r="E2" s="144">
        <v>30</v>
      </c>
      <c r="F2" s="144">
        <v>40</v>
      </c>
      <c r="G2" s="144">
        <f>15+F2</f>
        <v>55</v>
      </c>
      <c r="H2" s="143"/>
      <c r="I2" s="143"/>
    </row>
    <row r="3" spans="1:9" s="4" customFormat="1" ht="21" customHeight="1" x14ac:dyDescent="0.15">
      <c r="A3" s="141" t="s">
        <v>236</v>
      </c>
      <c r="B3" s="145"/>
      <c r="C3" s="146"/>
      <c r="D3" s="147" t="s">
        <v>235</v>
      </c>
      <c r="E3" s="147">
        <v>25</v>
      </c>
      <c r="F3" s="147">
        <v>35</v>
      </c>
      <c r="G3" s="144">
        <f t="shared" ref="G3:G4" si="0">15+F3</f>
        <v>50</v>
      </c>
      <c r="H3" s="146"/>
      <c r="I3" s="146"/>
    </row>
    <row r="4" spans="1:9" s="4" customFormat="1" ht="21" customHeight="1" x14ac:dyDescent="0.15">
      <c r="A4" s="141" t="s">
        <v>237</v>
      </c>
      <c r="B4" s="148"/>
      <c r="C4" s="149"/>
      <c r="D4" s="150">
        <v>10</v>
      </c>
      <c r="E4" s="150">
        <v>20</v>
      </c>
      <c r="F4" s="150">
        <v>30</v>
      </c>
      <c r="G4" s="150">
        <f t="shared" si="0"/>
        <v>45</v>
      </c>
      <c r="H4" s="149"/>
      <c r="I4" s="149"/>
    </row>
    <row r="5" spans="1:9" s="4" customFormat="1" ht="21" customHeight="1" x14ac:dyDescent="0.15">
      <c r="A5" s="160" t="s">
        <v>238</v>
      </c>
      <c r="B5" s="155"/>
      <c r="C5" s="156"/>
      <c r="D5" s="26">
        <v>9</v>
      </c>
      <c r="E5" s="26">
        <v>18</v>
      </c>
      <c r="F5" s="26">
        <v>28</v>
      </c>
      <c r="G5" s="37">
        <v>38</v>
      </c>
      <c r="H5" s="156"/>
      <c r="I5" s="156"/>
    </row>
    <row r="6" spans="1:9" s="4" customFormat="1" ht="21" customHeight="1" x14ac:dyDescent="0.15">
      <c r="A6" s="160" t="s">
        <v>239</v>
      </c>
      <c r="B6" s="155"/>
      <c r="C6" s="156"/>
      <c r="D6" s="26">
        <v>7</v>
      </c>
      <c r="E6" s="26">
        <v>16</v>
      </c>
      <c r="F6" s="65" t="s">
        <v>11</v>
      </c>
      <c r="G6" s="65" t="s">
        <v>11</v>
      </c>
      <c r="H6" s="156"/>
      <c r="I6" s="156"/>
    </row>
    <row r="7" spans="1:9" ht="21" customHeight="1" x14ac:dyDescent="0.15">
      <c r="A7" s="70" t="s">
        <v>240</v>
      </c>
      <c r="B7" s="43" t="s">
        <v>11</v>
      </c>
      <c r="C7" s="43" t="s">
        <v>11</v>
      </c>
      <c r="D7" s="37" t="s">
        <v>235</v>
      </c>
      <c r="E7" s="37" t="s">
        <v>235</v>
      </c>
      <c r="F7" s="37" t="s">
        <v>235</v>
      </c>
      <c r="G7" s="37" t="s">
        <v>235</v>
      </c>
      <c r="H7" s="37" t="s">
        <v>235</v>
      </c>
      <c r="I7" s="37" t="s">
        <v>235</v>
      </c>
    </row>
    <row r="8" spans="1:9" ht="21" customHeight="1" x14ac:dyDescent="0.15">
      <c r="A8" s="71" t="s">
        <v>241</v>
      </c>
      <c r="B8" s="43" t="s">
        <v>11</v>
      </c>
      <c r="C8" s="43" t="s">
        <v>11</v>
      </c>
      <c r="D8" s="37" t="s">
        <v>235</v>
      </c>
      <c r="E8" s="37">
        <v>30</v>
      </c>
      <c r="F8" s="37">
        <v>40</v>
      </c>
      <c r="G8" s="37">
        <f>15+F8</f>
        <v>55</v>
      </c>
      <c r="H8" s="37" t="s">
        <v>235</v>
      </c>
      <c r="I8" s="37" t="s">
        <v>235</v>
      </c>
    </row>
    <row r="9" spans="1:9" s="42" customFormat="1" ht="21" customHeight="1" x14ac:dyDescent="0.15">
      <c r="A9" s="72" t="s">
        <v>311</v>
      </c>
      <c r="B9" s="26" t="s">
        <v>11</v>
      </c>
      <c r="C9" s="26" t="s">
        <v>11</v>
      </c>
      <c r="D9" s="102" t="s">
        <v>109</v>
      </c>
      <c r="E9" s="102" t="s">
        <v>109</v>
      </c>
      <c r="F9" s="102">
        <v>38</v>
      </c>
      <c r="G9" s="37">
        <f>15+F9</f>
        <v>53</v>
      </c>
      <c r="H9" s="102" t="s">
        <v>109</v>
      </c>
      <c r="I9" s="102" t="s">
        <v>109</v>
      </c>
    </row>
    <row r="10" spans="1:9" s="42" customFormat="1" ht="21" customHeight="1" x14ac:dyDescent="0.15">
      <c r="A10" s="72" t="s">
        <v>242</v>
      </c>
      <c r="B10" s="26" t="s">
        <v>11</v>
      </c>
      <c r="C10" s="26" t="s">
        <v>11</v>
      </c>
      <c r="D10" s="102" t="s">
        <v>235</v>
      </c>
      <c r="E10" s="102">
        <v>25</v>
      </c>
      <c r="F10" s="102">
        <v>35</v>
      </c>
      <c r="G10" s="37">
        <f t="shared" ref="G10:G11" si="1">15+F10</f>
        <v>50</v>
      </c>
      <c r="H10" s="102" t="s">
        <v>235</v>
      </c>
      <c r="I10" s="102" t="s">
        <v>235</v>
      </c>
    </row>
    <row r="11" spans="1:9" ht="21" customHeight="1" x14ac:dyDescent="0.15">
      <c r="A11" s="72" t="s">
        <v>9</v>
      </c>
      <c r="B11" s="65" t="s">
        <v>11</v>
      </c>
      <c r="C11" s="65" t="s">
        <v>11</v>
      </c>
      <c r="D11" s="26">
        <v>10</v>
      </c>
      <c r="E11" s="26">
        <v>20</v>
      </c>
      <c r="F11" s="26">
        <v>30</v>
      </c>
      <c r="G11" s="37">
        <f t="shared" si="1"/>
        <v>45</v>
      </c>
      <c r="H11" s="65" t="s">
        <v>11</v>
      </c>
      <c r="I11" s="65" t="s">
        <v>11</v>
      </c>
    </row>
    <row r="12" spans="1:9" ht="21" customHeight="1" x14ac:dyDescent="0.15">
      <c r="A12" s="72" t="s">
        <v>243</v>
      </c>
      <c r="B12" s="65" t="s">
        <v>11</v>
      </c>
      <c r="C12" s="65" t="s">
        <v>11</v>
      </c>
      <c r="D12" s="26">
        <v>9</v>
      </c>
      <c r="E12" s="26">
        <v>18</v>
      </c>
      <c r="F12" s="26">
        <v>28</v>
      </c>
      <c r="G12" s="37">
        <v>38</v>
      </c>
      <c r="H12" s="65" t="s">
        <v>11</v>
      </c>
      <c r="I12" s="65" t="s">
        <v>11</v>
      </c>
    </row>
    <row r="13" spans="1:9" ht="21" customHeight="1" x14ac:dyDescent="0.15">
      <c r="A13" s="72" t="s">
        <v>244</v>
      </c>
      <c r="B13" s="65" t="s">
        <v>11</v>
      </c>
      <c r="C13" s="65" t="s">
        <v>11</v>
      </c>
      <c r="D13" s="26">
        <v>7</v>
      </c>
      <c r="E13" s="26">
        <v>16</v>
      </c>
      <c r="F13" s="183">
        <v>26</v>
      </c>
      <c r="G13" s="65" t="s">
        <v>11</v>
      </c>
      <c r="H13" s="65" t="s">
        <v>11</v>
      </c>
      <c r="I13" s="65" t="s">
        <v>11</v>
      </c>
    </row>
    <row r="14" spans="1:9" ht="21" customHeight="1" x14ac:dyDescent="0.15">
      <c r="A14" s="101" t="s">
        <v>245</v>
      </c>
      <c r="B14" s="65" t="s">
        <v>11</v>
      </c>
      <c r="C14" s="65" t="s">
        <v>11</v>
      </c>
      <c r="D14" s="26">
        <v>8</v>
      </c>
      <c r="E14" s="26">
        <v>17</v>
      </c>
      <c r="F14" s="26">
        <v>26</v>
      </c>
      <c r="G14" s="65" t="s">
        <v>11</v>
      </c>
      <c r="H14" s="65" t="s">
        <v>11</v>
      </c>
      <c r="I14" s="65" t="s">
        <v>11</v>
      </c>
    </row>
    <row r="15" spans="1:9" ht="21" customHeight="1" x14ac:dyDescent="0.15">
      <c r="A15" s="72" t="s">
        <v>246</v>
      </c>
      <c r="B15" s="65" t="s">
        <v>11</v>
      </c>
      <c r="C15" s="65" t="s">
        <v>11</v>
      </c>
      <c r="D15" s="26">
        <v>8</v>
      </c>
      <c r="E15" s="26">
        <v>17</v>
      </c>
      <c r="F15" s="26">
        <v>26</v>
      </c>
      <c r="G15" s="65" t="s">
        <v>11</v>
      </c>
      <c r="H15" s="65" t="s">
        <v>11</v>
      </c>
      <c r="I15" s="65" t="s">
        <v>11</v>
      </c>
    </row>
    <row r="16" spans="1:9" ht="21" customHeight="1" x14ac:dyDescent="0.15">
      <c r="A16" s="72" t="s">
        <v>247</v>
      </c>
      <c r="B16" s="65" t="s">
        <v>11</v>
      </c>
      <c r="C16" s="65" t="s">
        <v>11</v>
      </c>
      <c r="D16" s="26">
        <v>6</v>
      </c>
      <c r="E16" s="26">
        <v>14</v>
      </c>
      <c r="F16" s="65" t="s">
        <v>11</v>
      </c>
      <c r="G16" s="65" t="s">
        <v>11</v>
      </c>
      <c r="H16" s="65" t="s">
        <v>11</v>
      </c>
      <c r="I16" s="65" t="s">
        <v>11</v>
      </c>
    </row>
    <row r="17" spans="1:9" ht="21" customHeight="1" x14ac:dyDescent="0.15">
      <c r="A17" s="72" t="s">
        <v>248</v>
      </c>
      <c r="B17" s="65" t="s">
        <v>11</v>
      </c>
      <c r="C17" s="26">
        <v>4</v>
      </c>
      <c r="D17" s="26">
        <v>6</v>
      </c>
      <c r="E17" s="26">
        <v>14</v>
      </c>
      <c r="F17" s="65" t="s">
        <v>11</v>
      </c>
      <c r="G17" s="65" t="s">
        <v>11</v>
      </c>
      <c r="H17" s="65" t="s">
        <v>11</v>
      </c>
      <c r="I17" s="65" t="s">
        <v>11</v>
      </c>
    </row>
    <row r="18" spans="1:9" ht="21" customHeight="1" x14ac:dyDescent="0.15">
      <c r="A18" s="72" t="s">
        <v>8</v>
      </c>
      <c r="B18" s="26">
        <v>2</v>
      </c>
      <c r="C18" s="26">
        <v>4</v>
      </c>
      <c r="D18" s="26">
        <v>6</v>
      </c>
      <c r="E18" s="65" t="s">
        <v>11</v>
      </c>
      <c r="F18" s="65" t="s">
        <v>11</v>
      </c>
      <c r="G18" s="65" t="s">
        <v>11</v>
      </c>
      <c r="H18" s="65" t="s">
        <v>11</v>
      </c>
      <c r="I18" s="65" t="s">
        <v>11</v>
      </c>
    </row>
    <row r="19" spans="1:9" ht="21" customHeight="1" x14ac:dyDescent="0.15">
      <c r="A19" s="73" t="s">
        <v>7</v>
      </c>
      <c r="B19" s="29">
        <v>1</v>
      </c>
      <c r="C19" s="29">
        <v>2</v>
      </c>
      <c r="D19" s="66" t="s">
        <v>11</v>
      </c>
      <c r="E19" s="66" t="s">
        <v>11</v>
      </c>
      <c r="F19" s="66" t="s">
        <v>11</v>
      </c>
      <c r="G19" s="66" t="s">
        <v>11</v>
      </c>
      <c r="H19" s="66" t="s">
        <v>11</v>
      </c>
      <c r="I19" s="66" t="s">
        <v>11</v>
      </c>
    </row>
    <row r="20" spans="1:9" ht="21" customHeight="1" x14ac:dyDescent="0.15">
      <c r="A20" s="74" t="s">
        <v>249</v>
      </c>
      <c r="B20" s="24">
        <v>1</v>
      </c>
      <c r="C20" s="24">
        <v>1</v>
      </c>
      <c r="D20" s="66" t="s">
        <v>11</v>
      </c>
      <c r="E20" s="66" t="s">
        <v>11</v>
      </c>
      <c r="F20" s="66" t="s">
        <v>11</v>
      </c>
      <c r="G20" s="66" t="s">
        <v>11</v>
      </c>
      <c r="H20" s="66" t="s">
        <v>11</v>
      </c>
      <c r="I20" s="66" t="s">
        <v>11</v>
      </c>
    </row>
    <row r="21" spans="1:9" ht="21" customHeight="1" x14ac:dyDescent="0.15">
      <c r="A21" s="35" t="s">
        <v>250</v>
      </c>
      <c r="B21" s="24">
        <v>99</v>
      </c>
      <c r="C21" s="24">
        <v>99</v>
      </c>
      <c r="D21" s="24">
        <v>99</v>
      </c>
      <c r="E21" s="24">
        <v>99</v>
      </c>
      <c r="F21" s="24">
        <v>99</v>
      </c>
      <c r="G21" s="24">
        <v>99</v>
      </c>
      <c r="H21" s="24">
        <v>99</v>
      </c>
      <c r="I21" s="24">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workbookViewId="0">
      <selection activeCell="J17" sqref="J17"/>
    </sheetView>
  </sheetViews>
  <sheetFormatPr baseColWidth="12" defaultColWidth="13" defaultRowHeight="21" customHeight="1" x14ac:dyDescent="0.15"/>
  <cols>
    <col min="1" max="1" width="13" style="4"/>
    <col min="2" max="16384" width="13" style="21"/>
  </cols>
  <sheetData>
    <row r="1" spans="1:9" ht="21" customHeight="1" x14ac:dyDescent="0.15">
      <c r="A1" s="30" t="s">
        <v>10</v>
      </c>
      <c r="B1" s="20">
        <v>1</v>
      </c>
      <c r="C1" s="20">
        <v>2</v>
      </c>
      <c r="D1" s="20">
        <v>3</v>
      </c>
      <c r="E1" s="20">
        <v>4</v>
      </c>
      <c r="F1" s="20">
        <v>5</v>
      </c>
      <c r="G1" s="20">
        <v>6</v>
      </c>
      <c r="H1" s="20">
        <v>7</v>
      </c>
      <c r="I1" s="20">
        <v>8</v>
      </c>
    </row>
    <row r="2" spans="1:9" s="4" customFormat="1" ht="21" customHeight="1" x14ac:dyDescent="0.15">
      <c r="A2" s="141" t="s">
        <v>234</v>
      </c>
      <c r="B2" s="157"/>
      <c r="C2" s="143"/>
      <c r="D2" s="151" t="s">
        <v>109</v>
      </c>
      <c r="E2" s="151">
        <v>60</v>
      </c>
      <c r="F2" s="151">
        <v>80</v>
      </c>
      <c r="G2" s="151">
        <v>99</v>
      </c>
      <c r="H2" s="143"/>
      <c r="I2" s="143"/>
    </row>
    <row r="3" spans="1:9" s="4" customFormat="1" ht="21" customHeight="1" x14ac:dyDescent="0.15">
      <c r="A3" s="141" t="s">
        <v>236</v>
      </c>
      <c r="B3" s="158"/>
      <c r="C3" s="146"/>
      <c r="D3" s="151" t="s">
        <v>109</v>
      </c>
      <c r="E3" s="151">
        <v>60</v>
      </c>
      <c r="F3" s="151">
        <v>80</v>
      </c>
      <c r="G3" s="151">
        <v>99</v>
      </c>
      <c r="H3" s="146"/>
      <c r="I3" s="146"/>
    </row>
    <row r="4" spans="1:9" s="4" customFormat="1" ht="21" customHeight="1" x14ac:dyDescent="0.15">
      <c r="A4" s="141" t="s">
        <v>230</v>
      </c>
      <c r="B4" s="159"/>
      <c r="C4" s="149"/>
      <c r="D4" s="151">
        <v>40</v>
      </c>
      <c r="E4" s="151">
        <v>60</v>
      </c>
      <c r="F4" s="151">
        <v>80</v>
      </c>
      <c r="G4" s="151">
        <v>99</v>
      </c>
      <c r="H4" s="149"/>
      <c r="I4" s="149"/>
    </row>
    <row r="5" spans="1:9" s="4" customFormat="1" ht="21" customHeight="1" x14ac:dyDescent="0.15">
      <c r="A5" s="160" t="s">
        <v>238</v>
      </c>
      <c r="B5" s="155"/>
      <c r="C5" s="156"/>
      <c r="D5" s="151">
        <v>40</v>
      </c>
      <c r="E5" s="151">
        <v>60</v>
      </c>
      <c r="F5" s="151">
        <v>80</v>
      </c>
      <c r="G5" s="151">
        <v>99</v>
      </c>
      <c r="H5" s="156"/>
      <c r="I5" s="156"/>
    </row>
    <row r="6" spans="1:9" s="4" customFormat="1" ht="21" customHeight="1" x14ac:dyDescent="0.15">
      <c r="A6" s="160" t="s">
        <v>239</v>
      </c>
      <c r="B6" s="155"/>
      <c r="C6" s="156"/>
      <c r="D6" s="151">
        <v>40</v>
      </c>
      <c r="E6" s="151">
        <v>60</v>
      </c>
      <c r="F6" s="151" t="s">
        <v>109</v>
      </c>
      <c r="G6" s="151" t="s">
        <v>109</v>
      </c>
      <c r="H6" s="156"/>
      <c r="I6" s="156"/>
    </row>
    <row r="7" spans="1:9" ht="21" customHeight="1" x14ac:dyDescent="0.15">
      <c r="A7" s="70" t="s">
        <v>206</v>
      </c>
      <c r="B7" s="38" t="s">
        <v>109</v>
      </c>
      <c r="C7" s="38" t="s">
        <v>109</v>
      </c>
      <c r="D7" s="38" t="s">
        <v>109</v>
      </c>
      <c r="E7" s="38" t="s">
        <v>109</v>
      </c>
      <c r="F7" s="38" t="s">
        <v>109</v>
      </c>
      <c r="G7" s="38" t="s">
        <v>109</v>
      </c>
      <c r="H7" s="38" t="s">
        <v>109</v>
      </c>
      <c r="I7" s="38" t="s">
        <v>109</v>
      </c>
    </row>
    <row r="8" spans="1:9" ht="21" customHeight="1" x14ac:dyDescent="0.15">
      <c r="A8" s="71" t="s">
        <v>241</v>
      </c>
      <c r="B8" s="38" t="s">
        <v>109</v>
      </c>
      <c r="C8" s="38" t="s">
        <v>109</v>
      </c>
      <c r="D8" s="38" t="s">
        <v>109</v>
      </c>
      <c r="E8" s="38">
        <v>60</v>
      </c>
      <c r="F8" s="38">
        <v>80</v>
      </c>
      <c r="G8" s="38">
        <v>99</v>
      </c>
      <c r="H8" s="38" t="s">
        <v>109</v>
      </c>
      <c r="I8" s="38" t="s">
        <v>109</v>
      </c>
    </row>
    <row r="9" spans="1:9" s="42" customFormat="1" ht="21" customHeight="1" x14ac:dyDescent="0.15">
      <c r="A9" s="72" t="s">
        <v>312</v>
      </c>
      <c r="B9" s="62" t="s">
        <v>109</v>
      </c>
      <c r="C9" s="62" t="s">
        <v>109</v>
      </c>
      <c r="D9" s="62" t="s">
        <v>109</v>
      </c>
      <c r="E9" s="62" t="s">
        <v>109</v>
      </c>
      <c r="F9" s="62">
        <v>80</v>
      </c>
      <c r="G9" s="62">
        <v>99</v>
      </c>
      <c r="H9" s="62" t="s">
        <v>109</v>
      </c>
      <c r="I9" s="62" t="s">
        <v>109</v>
      </c>
    </row>
    <row r="10" spans="1:9" s="42" customFormat="1" ht="21" customHeight="1" x14ac:dyDescent="0.15">
      <c r="A10" s="72" t="s">
        <v>242</v>
      </c>
      <c r="B10" s="62" t="s">
        <v>109</v>
      </c>
      <c r="C10" s="62" t="s">
        <v>109</v>
      </c>
      <c r="D10" s="62" t="s">
        <v>109</v>
      </c>
      <c r="E10" s="62">
        <v>60</v>
      </c>
      <c r="F10" s="62">
        <v>80</v>
      </c>
      <c r="G10" s="62">
        <v>99</v>
      </c>
      <c r="H10" s="62" t="s">
        <v>109</v>
      </c>
      <c r="I10" s="62" t="s">
        <v>109</v>
      </c>
    </row>
    <row r="11" spans="1:9" ht="21" customHeight="1" x14ac:dyDescent="0.15">
      <c r="A11" s="72" t="s">
        <v>9</v>
      </c>
      <c r="B11" s="67" t="s">
        <v>109</v>
      </c>
      <c r="C11" s="67" t="s">
        <v>109</v>
      </c>
      <c r="D11" s="34">
        <v>40</v>
      </c>
      <c r="E11" s="34">
        <v>60</v>
      </c>
      <c r="F11" s="34">
        <v>80</v>
      </c>
      <c r="G11" s="38">
        <v>99</v>
      </c>
      <c r="H11" s="67" t="s">
        <v>109</v>
      </c>
      <c r="I11" s="67" t="s">
        <v>109</v>
      </c>
    </row>
    <row r="12" spans="1:9" ht="21" customHeight="1" x14ac:dyDescent="0.15">
      <c r="A12" s="72" t="s">
        <v>209</v>
      </c>
      <c r="B12" s="67" t="s">
        <v>109</v>
      </c>
      <c r="C12" s="67" t="s">
        <v>109</v>
      </c>
      <c r="D12" s="34">
        <v>40</v>
      </c>
      <c r="E12" s="34">
        <v>60</v>
      </c>
      <c r="F12" s="34">
        <v>80</v>
      </c>
      <c r="G12" s="62">
        <v>99</v>
      </c>
      <c r="H12" s="67" t="s">
        <v>109</v>
      </c>
      <c r="I12" s="67" t="s">
        <v>109</v>
      </c>
    </row>
    <row r="13" spans="1:9" ht="21" customHeight="1" x14ac:dyDescent="0.15">
      <c r="A13" s="72" t="s">
        <v>205</v>
      </c>
      <c r="B13" s="67" t="s">
        <v>109</v>
      </c>
      <c r="C13" s="67" t="s">
        <v>109</v>
      </c>
      <c r="D13" s="34">
        <v>40</v>
      </c>
      <c r="E13" s="34">
        <v>60</v>
      </c>
      <c r="F13" s="184">
        <v>80</v>
      </c>
      <c r="G13" s="67" t="s">
        <v>109</v>
      </c>
      <c r="H13" s="67" t="s">
        <v>109</v>
      </c>
      <c r="I13" s="67" t="s">
        <v>109</v>
      </c>
    </row>
    <row r="14" spans="1:9" ht="21" customHeight="1" x14ac:dyDescent="0.15">
      <c r="A14" s="101" t="s">
        <v>245</v>
      </c>
      <c r="B14" s="67" t="s">
        <v>109</v>
      </c>
      <c r="C14" s="67" t="s">
        <v>109</v>
      </c>
      <c r="D14" s="34">
        <v>40</v>
      </c>
      <c r="E14" s="34">
        <v>60</v>
      </c>
      <c r="F14" s="34">
        <v>80</v>
      </c>
      <c r="G14" s="67" t="s">
        <v>109</v>
      </c>
      <c r="H14" s="67" t="s">
        <v>109</v>
      </c>
      <c r="I14" s="67" t="s">
        <v>109</v>
      </c>
    </row>
    <row r="15" spans="1:9" ht="21" customHeight="1" x14ac:dyDescent="0.15">
      <c r="A15" s="72" t="s">
        <v>246</v>
      </c>
      <c r="B15" s="67" t="s">
        <v>109</v>
      </c>
      <c r="C15" s="67" t="s">
        <v>109</v>
      </c>
      <c r="D15" s="34">
        <v>40</v>
      </c>
      <c r="E15" s="34">
        <v>60</v>
      </c>
      <c r="F15" s="34">
        <v>80</v>
      </c>
      <c r="G15" s="67" t="s">
        <v>109</v>
      </c>
      <c r="H15" s="67" t="s">
        <v>109</v>
      </c>
      <c r="I15" s="67" t="s">
        <v>109</v>
      </c>
    </row>
    <row r="16" spans="1:9" ht="21" customHeight="1" x14ac:dyDescent="0.15">
      <c r="A16" s="72" t="s">
        <v>105</v>
      </c>
      <c r="B16" s="67" t="s">
        <v>109</v>
      </c>
      <c r="C16" s="34">
        <v>30</v>
      </c>
      <c r="D16" s="34">
        <v>40</v>
      </c>
      <c r="E16" s="34">
        <v>60</v>
      </c>
      <c r="F16" s="67" t="s">
        <v>109</v>
      </c>
      <c r="G16" s="67" t="s">
        <v>109</v>
      </c>
      <c r="H16" s="67" t="s">
        <v>109</v>
      </c>
      <c r="I16" s="67" t="s">
        <v>109</v>
      </c>
    </row>
    <row r="17" spans="1:9" ht="21" customHeight="1" x14ac:dyDescent="0.15">
      <c r="A17" s="72" t="s">
        <v>248</v>
      </c>
      <c r="B17" s="67" t="s">
        <v>109</v>
      </c>
      <c r="C17" s="34">
        <v>30</v>
      </c>
      <c r="D17" s="34">
        <v>40</v>
      </c>
      <c r="E17" s="34">
        <v>60</v>
      </c>
      <c r="F17" s="67" t="s">
        <v>109</v>
      </c>
      <c r="G17" s="67" t="s">
        <v>109</v>
      </c>
      <c r="H17" s="67" t="s">
        <v>109</v>
      </c>
      <c r="I17" s="67" t="s">
        <v>109</v>
      </c>
    </row>
    <row r="18" spans="1:9" ht="21" customHeight="1" x14ac:dyDescent="0.15">
      <c r="A18" s="72" t="s">
        <v>8</v>
      </c>
      <c r="B18" s="34">
        <v>15</v>
      </c>
      <c r="C18" s="34">
        <v>30</v>
      </c>
      <c r="D18" s="34">
        <v>40</v>
      </c>
      <c r="E18" s="67" t="s">
        <v>109</v>
      </c>
      <c r="F18" s="67" t="s">
        <v>109</v>
      </c>
      <c r="G18" s="67" t="s">
        <v>109</v>
      </c>
      <c r="H18" s="67" t="s">
        <v>109</v>
      </c>
      <c r="I18" s="67" t="s">
        <v>109</v>
      </c>
    </row>
    <row r="19" spans="1:9" ht="21" customHeight="1" x14ac:dyDescent="0.15">
      <c r="A19" s="73" t="s">
        <v>7</v>
      </c>
      <c r="B19" s="34">
        <v>15</v>
      </c>
      <c r="C19" s="34">
        <v>30</v>
      </c>
      <c r="D19" s="34">
        <v>40</v>
      </c>
      <c r="E19" s="67" t="s">
        <v>215</v>
      </c>
      <c r="F19" s="67" t="s">
        <v>215</v>
      </c>
      <c r="G19" s="67" t="s">
        <v>215</v>
      </c>
      <c r="H19" s="67" t="s">
        <v>215</v>
      </c>
      <c r="I19" s="67" t="s">
        <v>215</v>
      </c>
    </row>
    <row r="20" spans="1:9" ht="21" customHeight="1" x14ac:dyDescent="0.15">
      <c r="A20" s="74" t="s">
        <v>249</v>
      </c>
      <c r="B20" s="34">
        <v>10</v>
      </c>
      <c r="C20" s="34">
        <v>20</v>
      </c>
      <c r="D20" s="67" t="s">
        <v>215</v>
      </c>
      <c r="E20" s="67" t="s">
        <v>215</v>
      </c>
      <c r="F20" s="67" t="s">
        <v>215</v>
      </c>
      <c r="G20" s="67" t="s">
        <v>215</v>
      </c>
      <c r="H20" s="67" t="s">
        <v>215</v>
      </c>
      <c r="I20" s="67" t="s">
        <v>215</v>
      </c>
    </row>
    <row r="21" spans="1:9" ht="21" customHeight="1" x14ac:dyDescent="0.15">
      <c r="A21" s="35" t="s">
        <v>250</v>
      </c>
      <c r="B21" s="34">
        <v>1</v>
      </c>
      <c r="C21" s="34">
        <v>1</v>
      </c>
      <c r="D21" s="34">
        <v>1</v>
      </c>
      <c r="E21" s="34">
        <v>1</v>
      </c>
      <c r="F21" s="34">
        <v>1</v>
      </c>
      <c r="G21" s="34">
        <v>1</v>
      </c>
      <c r="H21" s="34">
        <v>1</v>
      </c>
      <c r="I21" s="34">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F15" sqref="F15"/>
    </sheetView>
  </sheetViews>
  <sheetFormatPr baseColWidth="12" defaultColWidth="13" defaultRowHeight="21" customHeight="1" x14ac:dyDescent="0.15"/>
  <cols>
    <col min="1" max="16384" width="13" style="21"/>
  </cols>
  <sheetData>
    <row r="1" spans="1:11" ht="21" customHeight="1" x14ac:dyDescent="0.15">
      <c r="A1" s="45" t="s">
        <v>10</v>
      </c>
      <c r="B1" s="46">
        <v>1</v>
      </c>
      <c r="C1" s="46">
        <v>2</v>
      </c>
      <c r="D1" s="46">
        <v>3</v>
      </c>
      <c r="E1" s="46">
        <v>4</v>
      </c>
      <c r="F1" s="46">
        <v>5</v>
      </c>
      <c r="G1" s="46">
        <v>6</v>
      </c>
      <c r="H1" s="46">
        <v>7</v>
      </c>
      <c r="I1" s="46">
        <v>8</v>
      </c>
    </row>
    <row r="2" spans="1:11" s="4" customFormat="1" ht="21" customHeight="1" x14ac:dyDescent="0.15">
      <c r="A2" s="141" t="s">
        <v>234</v>
      </c>
      <c r="B2" s="142"/>
      <c r="C2" s="143"/>
      <c r="D2" s="151" t="s">
        <v>109</v>
      </c>
      <c r="E2" s="152" t="s">
        <v>59</v>
      </c>
      <c r="F2" s="152" t="s">
        <v>59</v>
      </c>
      <c r="G2" s="152" t="s">
        <v>251</v>
      </c>
      <c r="H2" s="143"/>
      <c r="I2" s="143"/>
    </row>
    <row r="3" spans="1:11" s="4" customFormat="1" ht="21" customHeight="1" x14ac:dyDescent="0.15">
      <c r="A3" s="141" t="s">
        <v>236</v>
      </c>
      <c r="B3" s="145"/>
      <c r="C3" s="146"/>
      <c r="D3" s="152" t="s">
        <v>59</v>
      </c>
      <c r="E3" s="152" t="s">
        <v>59</v>
      </c>
      <c r="F3" s="152" t="s">
        <v>59</v>
      </c>
      <c r="G3" s="152" t="s">
        <v>229</v>
      </c>
      <c r="H3" s="146"/>
      <c r="I3" s="146"/>
    </row>
    <row r="4" spans="1:11" s="4" customFormat="1" ht="21" customHeight="1" x14ac:dyDescent="0.15">
      <c r="A4" s="141" t="s">
        <v>230</v>
      </c>
      <c r="B4" s="148"/>
      <c r="C4" s="149"/>
      <c r="D4" s="153" t="s">
        <v>59</v>
      </c>
      <c r="E4" s="153" t="s">
        <v>59</v>
      </c>
      <c r="F4" s="153" t="s">
        <v>59</v>
      </c>
      <c r="G4" s="152" t="s">
        <v>229</v>
      </c>
      <c r="H4" s="149"/>
      <c r="I4" s="149"/>
    </row>
    <row r="5" spans="1:11" s="4" customFormat="1" ht="21" customHeight="1" x14ac:dyDescent="0.15">
      <c r="A5" s="160" t="s">
        <v>238</v>
      </c>
      <c r="B5" s="155"/>
      <c r="C5" s="156"/>
      <c r="D5" s="153" t="s">
        <v>59</v>
      </c>
      <c r="E5" s="153" t="s">
        <v>59</v>
      </c>
      <c r="F5" s="153" t="s">
        <v>59</v>
      </c>
      <c r="G5" s="152" t="s">
        <v>219</v>
      </c>
      <c r="H5" s="156"/>
      <c r="I5" s="156"/>
    </row>
    <row r="6" spans="1:11" s="4" customFormat="1" ht="21" customHeight="1" x14ac:dyDescent="0.15">
      <c r="A6" s="160" t="s">
        <v>239</v>
      </c>
      <c r="B6" s="155"/>
      <c r="C6" s="156"/>
      <c r="D6" s="161" t="s">
        <v>60</v>
      </c>
      <c r="E6" s="161" t="s">
        <v>60</v>
      </c>
      <c r="F6" s="151" t="s">
        <v>109</v>
      </c>
      <c r="G6" s="151" t="s">
        <v>109</v>
      </c>
      <c r="H6" s="156"/>
      <c r="I6" s="156"/>
    </row>
    <row r="7" spans="1:11" ht="21" customHeight="1" x14ac:dyDescent="0.15">
      <c r="A7" s="70" t="s">
        <v>206</v>
      </c>
      <c r="B7" s="38" t="s">
        <v>109</v>
      </c>
      <c r="C7" s="38" t="s">
        <v>109</v>
      </c>
      <c r="D7" s="38" t="s">
        <v>109</v>
      </c>
      <c r="E7" s="38" t="s">
        <v>109</v>
      </c>
      <c r="F7" s="38" t="s">
        <v>109</v>
      </c>
      <c r="G7" s="38" t="s">
        <v>109</v>
      </c>
      <c r="H7" s="38" t="s">
        <v>109</v>
      </c>
      <c r="I7" s="38" t="s">
        <v>109</v>
      </c>
    </row>
    <row r="8" spans="1:11" ht="21" customHeight="1" x14ac:dyDescent="0.15">
      <c r="A8" s="71" t="s">
        <v>241</v>
      </c>
      <c r="B8" s="38" t="s">
        <v>109</v>
      </c>
      <c r="C8" s="38" t="s">
        <v>109</v>
      </c>
      <c r="D8" s="38" t="s">
        <v>216</v>
      </c>
      <c r="E8" s="48" t="s">
        <v>115</v>
      </c>
      <c r="F8" s="48" t="s">
        <v>115</v>
      </c>
      <c r="G8" s="48" t="s">
        <v>217</v>
      </c>
      <c r="H8" s="38" t="s">
        <v>216</v>
      </c>
      <c r="I8" s="38" t="s">
        <v>109</v>
      </c>
    </row>
    <row r="9" spans="1:11" s="42" customFormat="1" ht="21" customHeight="1" x14ac:dyDescent="0.15">
      <c r="A9" s="72" t="s">
        <v>311</v>
      </c>
      <c r="B9" s="62" t="s">
        <v>109</v>
      </c>
      <c r="C9" s="62" t="s">
        <v>109</v>
      </c>
      <c r="D9" s="62" t="s">
        <v>109</v>
      </c>
      <c r="E9" s="62" t="s">
        <v>109</v>
      </c>
      <c r="F9" s="48" t="s">
        <v>59</v>
      </c>
      <c r="G9" s="48" t="s">
        <v>115</v>
      </c>
      <c r="H9" s="62" t="s">
        <v>109</v>
      </c>
      <c r="I9" s="62" t="s">
        <v>109</v>
      </c>
    </row>
    <row r="10" spans="1:11" s="42" customFormat="1" ht="21" customHeight="1" x14ac:dyDescent="0.15">
      <c r="A10" s="72" t="s">
        <v>242</v>
      </c>
      <c r="B10" s="62" t="s">
        <v>109</v>
      </c>
      <c r="C10" s="62" t="s">
        <v>109</v>
      </c>
      <c r="D10" s="62" t="s">
        <v>109</v>
      </c>
      <c r="E10" s="48" t="s">
        <v>59</v>
      </c>
      <c r="F10" s="48" t="s">
        <v>59</v>
      </c>
      <c r="G10" s="48" t="s">
        <v>115</v>
      </c>
      <c r="H10" s="62" t="s">
        <v>218</v>
      </c>
      <c r="I10" s="62" t="s">
        <v>218</v>
      </c>
    </row>
    <row r="11" spans="1:11" ht="21" customHeight="1" x14ac:dyDescent="0.15">
      <c r="A11" s="72" t="s">
        <v>9</v>
      </c>
      <c r="B11" s="67" t="s">
        <v>109</v>
      </c>
      <c r="C11" s="67" t="s">
        <v>109</v>
      </c>
      <c r="D11" s="48" t="s">
        <v>59</v>
      </c>
      <c r="E11" s="48" t="s">
        <v>59</v>
      </c>
      <c r="F11" s="48" t="s">
        <v>59</v>
      </c>
      <c r="G11" s="48" t="s">
        <v>219</v>
      </c>
      <c r="H11" s="67" t="s">
        <v>218</v>
      </c>
      <c r="I11" s="67" t="s">
        <v>218</v>
      </c>
      <c r="K11" s="25" t="s">
        <v>12</v>
      </c>
    </row>
    <row r="12" spans="1:11" ht="21" customHeight="1" x14ac:dyDescent="0.15">
      <c r="A12" s="72" t="s">
        <v>209</v>
      </c>
      <c r="B12" s="67" t="s">
        <v>109</v>
      </c>
      <c r="C12" s="67" t="s">
        <v>109</v>
      </c>
      <c r="D12" s="49" t="s">
        <v>59</v>
      </c>
      <c r="E12" s="49" t="s">
        <v>59</v>
      </c>
      <c r="F12" s="49" t="s">
        <v>59</v>
      </c>
      <c r="G12" s="48" t="s">
        <v>219</v>
      </c>
      <c r="H12" s="67" t="s">
        <v>218</v>
      </c>
      <c r="I12" s="67" t="s">
        <v>218</v>
      </c>
      <c r="K12" s="27" t="s">
        <v>13</v>
      </c>
    </row>
    <row r="13" spans="1:11" ht="21" customHeight="1" x14ac:dyDescent="0.15">
      <c r="A13" s="72" t="s">
        <v>205</v>
      </c>
      <c r="B13" s="67" t="s">
        <v>109</v>
      </c>
      <c r="C13" s="67" t="s">
        <v>109</v>
      </c>
      <c r="D13" s="50" t="s">
        <v>60</v>
      </c>
      <c r="E13" s="50" t="s">
        <v>60</v>
      </c>
      <c r="F13" s="185" t="s">
        <v>59</v>
      </c>
      <c r="G13" s="67" t="s">
        <v>109</v>
      </c>
      <c r="H13" s="67" t="s">
        <v>109</v>
      </c>
      <c r="I13" s="67" t="s">
        <v>109</v>
      </c>
      <c r="K13" s="68" t="s">
        <v>35</v>
      </c>
    </row>
    <row r="14" spans="1:11" ht="21" customHeight="1" x14ac:dyDescent="0.15">
      <c r="A14" s="101" t="s">
        <v>245</v>
      </c>
      <c r="B14" s="67" t="s">
        <v>109</v>
      </c>
      <c r="C14" s="67" t="s">
        <v>109</v>
      </c>
      <c r="D14" s="51" t="s">
        <v>59</v>
      </c>
      <c r="E14" s="51" t="s">
        <v>59</v>
      </c>
      <c r="F14" s="51" t="s">
        <v>59</v>
      </c>
      <c r="G14" s="67" t="s">
        <v>109</v>
      </c>
      <c r="H14" s="67" t="s">
        <v>109</v>
      </c>
      <c r="I14" s="67" t="s">
        <v>109</v>
      </c>
      <c r="K14" s="69"/>
    </row>
    <row r="15" spans="1:11" ht="21" customHeight="1" x14ac:dyDescent="0.15">
      <c r="A15" s="72" t="s">
        <v>246</v>
      </c>
      <c r="B15" s="67" t="s">
        <v>109</v>
      </c>
      <c r="C15" s="67" t="s">
        <v>109</v>
      </c>
      <c r="D15" s="51" t="s">
        <v>59</v>
      </c>
      <c r="E15" s="51" t="s">
        <v>59</v>
      </c>
      <c r="F15" s="51" t="s">
        <v>59</v>
      </c>
      <c r="G15" s="67" t="s">
        <v>109</v>
      </c>
      <c r="H15" s="67" t="s">
        <v>109</v>
      </c>
      <c r="I15" s="67" t="s">
        <v>109</v>
      </c>
    </row>
    <row r="16" spans="1:11" ht="21" customHeight="1" x14ac:dyDescent="0.15">
      <c r="A16" s="72" t="s">
        <v>105</v>
      </c>
      <c r="B16" s="67" t="s">
        <v>109</v>
      </c>
      <c r="C16" s="67" t="s">
        <v>109</v>
      </c>
      <c r="D16" s="51" t="s">
        <v>60</v>
      </c>
      <c r="E16" s="51" t="s">
        <v>60</v>
      </c>
      <c r="F16" s="67" t="s">
        <v>109</v>
      </c>
      <c r="G16" s="67" t="s">
        <v>109</v>
      </c>
      <c r="H16" s="67" t="s">
        <v>109</v>
      </c>
      <c r="I16" s="67" t="s">
        <v>109</v>
      </c>
    </row>
    <row r="17" spans="1:9" ht="21" customHeight="1" x14ac:dyDescent="0.15">
      <c r="A17" s="72" t="s">
        <v>248</v>
      </c>
      <c r="B17" s="67" t="s">
        <v>109</v>
      </c>
      <c r="C17" s="51" t="s">
        <v>60</v>
      </c>
      <c r="D17" s="51" t="s">
        <v>60</v>
      </c>
      <c r="E17" s="51" t="s">
        <v>60</v>
      </c>
      <c r="F17" s="67" t="s">
        <v>109</v>
      </c>
      <c r="G17" s="67" t="s">
        <v>109</v>
      </c>
      <c r="H17" s="67" t="s">
        <v>109</v>
      </c>
      <c r="I17" s="67" t="s">
        <v>109</v>
      </c>
    </row>
    <row r="18" spans="1:9" ht="21" customHeight="1" x14ac:dyDescent="0.15">
      <c r="A18" s="72" t="s">
        <v>8</v>
      </c>
      <c r="B18" s="52" t="s">
        <v>61</v>
      </c>
      <c r="C18" s="52" t="s">
        <v>61</v>
      </c>
      <c r="D18" s="52" t="s">
        <v>61</v>
      </c>
      <c r="E18" s="67" t="s">
        <v>109</v>
      </c>
      <c r="F18" s="67" t="s">
        <v>109</v>
      </c>
      <c r="G18" s="67" t="s">
        <v>109</v>
      </c>
      <c r="H18" s="67" t="s">
        <v>109</v>
      </c>
      <c r="I18" s="67" t="s">
        <v>109</v>
      </c>
    </row>
    <row r="19" spans="1:9" ht="21" customHeight="1" x14ac:dyDescent="0.15">
      <c r="A19" s="73" t="s">
        <v>7</v>
      </c>
      <c r="B19" s="47" t="s">
        <v>62</v>
      </c>
      <c r="C19" s="47" t="s">
        <v>62</v>
      </c>
      <c r="D19" s="67" t="s">
        <v>109</v>
      </c>
      <c r="E19" s="67" t="s">
        <v>109</v>
      </c>
      <c r="F19" s="67" t="s">
        <v>109</v>
      </c>
      <c r="G19" s="67" t="s">
        <v>109</v>
      </c>
      <c r="H19" s="67" t="s">
        <v>109</v>
      </c>
      <c r="I19" s="67" t="s">
        <v>109</v>
      </c>
    </row>
    <row r="20" spans="1:9" ht="21" customHeight="1" x14ac:dyDescent="0.15">
      <c r="A20" s="74" t="s">
        <v>249</v>
      </c>
      <c r="B20" s="49" t="s">
        <v>63</v>
      </c>
      <c r="C20" s="49" t="s">
        <v>63</v>
      </c>
      <c r="D20" s="67" t="s">
        <v>109</v>
      </c>
      <c r="E20" s="67" t="s">
        <v>109</v>
      </c>
      <c r="F20" s="67" t="s">
        <v>109</v>
      </c>
      <c r="G20" s="67" t="s">
        <v>109</v>
      </c>
      <c r="H20" s="67" t="s">
        <v>109</v>
      </c>
      <c r="I20" s="67" t="s">
        <v>109</v>
      </c>
    </row>
    <row r="21" spans="1:9" ht="21" customHeight="1" x14ac:dyDescent="0.15">
      <c r="A21" s="35" t="s">
        <v>250</v>
      </c>
      <c r="B21" s="75" t="s">
        <v>47</v>
      </c>
      <c r="C21" s="75" t="s">
        <v>47</v>
      </c>
      <c r="D21" s="75" t="s">
        <v>47</v>
      </c>
      <c r="E21" s="75" t="s">
        <v>47</v>
      </c>
      <c r="F21" s="75" t="s">
        <v>47</v>
      </c>
      <c r="G21" s="75" t="s">
        <v>47</v>
      </c>
      <c r="H21" s="75" t="s">
        <v>47</v>
      </c>
      <c r="I21" s="75" t="s">
        <v>47</v>
      </c>
    </row>
    <row r="26" spans="1:9" ht="21" customHeight="1" x14ac:dyDescent="0.15">
      <c r="A26" s="21" t="s">
        <v>14</v>
      </c>
    </row>
    <row r="27" spans="1:9" ht="21" customHeight="1" x14ac:dyDescent="0.15">
      <c r="A27" s="19" t="s">
        <v>64</v>
      </c>
      <c r="B27" s="19" t="s">
        <v>65</v>
      </c>
    </row>
    <row r="28" spans="1:9" ht="21" customHeight="1" x14ac:dyDescent="0.15">
      <c r="A28" s="22">
        <v>1</v>
      </c>
      <c r="B28" s="22">
        <v>200</v>
      </c>
    </row>
    <row r="29" spans="1:9" ht="21" customHeight="1" x14ac:dyDescent="0.15">
      <c r="A29" s="22">
        <v>2</v>
      </c>
      <c r="B29" s="22">
        <v>600</v>
      </c>
    </row>
    <row r="30" spans="1:9" ht="21" customHeight="1" x14ac:dyDescent="0.15">
      <c r="A30" s="22">
        <v>3</v>
      </c>
      <c r="B30" s="22">
        <v>1500</v>
      </c>
    </row>
    <row r="31" spans="1:9" ht="21" customHeight="1" x14ac:dyDescent="0.15">
      <c r="A31" s="22">
        <v>4</v>
      </c>
      <c r="B31" s="22">
        <v>3400</v>
      </c>
    </row>
    <row r="32" spans="1:9" ht="21" customHeight="1" x14ac:dyDescent="0.15">
      <c r="A32" s="22">
        <v>5</v>
      </c>
      <c r="B32" s="22">
        <v>6400</v>
      </c>
    </row>
  </sheetData>
  <sheetProtection selectLockedCells="1" selectUnlockedCells="1"/>
  <phoneticPr fontId="9"/>
  <conditionalFormatting sqref="A35:I65541 J1:IV1 J11:J14 L11:IV14 J15:IV65541 J7:IV7">
    <cfRule type="cellIs" dxfId="23" priority="28" stopIfTrue="1" operator="equal">
      <formula>1</formula>
    </cfRule>
  </conditionalFormatting>
  <conditionalFormatting sqref="A25:B26 A33:B34 C25:I34">
    <cfRule type="cellIs" dxfId="22" priority="27" stopIfTrue="1" operator="equal">
      <formula>1</formula>
    </cfRule>
  </conditionalFormatting>
  <conditionalFormatting sqref="K11:K14">
    <cfRule type="cellIs" dxfId="21" priority="23" stopIfTrue="1" operator="equal">
      <formula>1</formula>
    </cfRule>
  </conditionalFormatting>
  <conditionalFormatting sqref="J8:IV8">
    <cfRule type="cellIs" dxfId="20" priority="22" stopIfTrue="1" operator="equal">
      <formula>1</formula>
    </cfRule>
  </conditionalFormatting>
  <conditionalFormatting sqref="J10:IV10">
    <cfRule type="cellIs" dxfId="19" priority="21" stopIfTrue="1" operator="equal">
      <formula>1</formula>
    </cfRule>
  </conditionalFormatting>
  <conditionalFormatting sqref="G20:I20">
    <cfRule type="cellIs" dxfId="18" priority="13" stopIfTrue="1" operator="equal">
      <formula>1</formula>
    </cfRule>
  </conditionalFormatting>
  <conditionalFormatting sqref="D19:G19 F16:G18 H16:I19">
    <cfRule type="cellIs" dxfId="17" priority="12" stopIfTrue="1" operator="equal">
      <formula>1</formula>
    </cfRule>
  </conditionalFormatting>
  <conditionalFormatting sqref="F18:G18">
    <cfRule type="cellIs" dxfId="16" priority="11" stopIfTrue="1" operator="equal">
      <formula>1</formula>
    </cfRule>
  </conditionalFormatting>
  <conditionalFormatting sqref="A21">
    <cfRule type="cellIs" dxfId="15" priority="10" stopIfTrue="1" operator="equal">
      <formula>1</formula>
    </cfRule>
  </conditionalFormatting>
  <conditionalFormatting sqref="G13:I15 H11:I12">
    <cfRule type="cellIs" dxfId="14" priority="9" stopIfTrue="1" operator="equal">
      <formula>1</formula>
    </cfRule>
  </conditionalFormatting>
  <conditionalFormatting sqref="B11:C16">
    <cfRule type="cellIs" dxfId="13" priority="8" stopIfTrue="1" operator="equal">
      <formula>1</formula>
    </cfRule>
  </conditionalFormatting>
  <conditionalFormatting sqref="B17">
    <cfRule type="cellIs" dxfId="12" priority="7" stopIfTrue="1" operator="equal">
      <formula>1</formula>
    </cfRule>
  </conditionalFormatting>
  <conditionalFormatting sqref="E18">
    <cfRule type="cellIs" dxfId="11" priority="6"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G15" sqref="G15"/>
    </sheetView>
  </sheetViews>
  <sheetFormatPr baseColWidth="12" defaultColWidth="13" defaultRowHeight="21" customHeight="1" x14ac:dyDescent="0.15"/>
  <cols>
    <col min="1" max="1" width="13" style="4"/>
    <col min="2" max="16384" width="13" style="21"/>
  </cols>
  <sheetData>
    <row r="1" spans="1:9" s="4" customFormat="1" ht="21" customHeight="1" x14ac:dyDescent="0.15">
      <c r="A1" s="30" t="s">
        <v>10</v>
      </c>
      <c r="B1" s="30">
        <v>1</v>
      </c>
      <c r="C1" s="30">
        <v>2</v>
      </c>
      <c r="D1" s="30">
        <v>3</v>
      </c>
      <c r="E1" s="30">
        <v>4</v>
      </c>
      <c r="F1" s="30">
        <v>5</v>
      </c>
      <c r="G1" s="30">
        <v>6</v>
      </c>
      <c r="H1" s="30">
        <v>7</v>
      </c>
      <c r="I1" s="30">
        <v>8</v>
      </c>
    </row>
    <row r="2" spans="1:9" s="4" customFormat="1" ht="21" customHeight="1" x14ac:dyDescent="0.15">
      <c r="A2" s="141" t="s">
        <v>227</v>
      </c>
      <c r="B2" s="142"/>
      <c r="C2" s="143"/>
      <c r="D2" s="154" t="s">
        <v>11</v>
      </c>
      <c r="E2" s="154">
        <v>8000</v>
      </c>
      <c r="F2" s="154">
        <v>10000</v>
      </c>
      <c r="G2" s="154">
        <v>14000</v>
      </c>
      <c r="H2" s="143"/>
      <c r="I2" s="143"/>
    </row>
    <row r="3" spans="1:9" s="4" customFormat="1" ht="21" customHeight="1" x14ac:dyDescent="0.15">
      <c r="A3" s="141" t="s">
        <v>228</v>
      </c>
      <c r="B3" s="145"/>
      <c r="C3" s="146"/>
      <c r="D3" s="154" t="s">
        <v>11</v>
      </c>
      <c r="E3" s="154">
        <v>7500</v>
      </c>
      <c r="F3" s="154">
        <v>9500</v>
      </c>
      <c r="G3" s="154">
        <v>13000</v>
      </c>
      <c r="H3" s="146"/>
      <c r="I3" s="146"/>
    </row>
    <row r="4" spans="1:9" s="4" customFormat="1" ht="21" customHeight="1" x14ac:dyDescent="0.15">
      <c r="A4" s="141" t="s">
        <v>230</v>
      </c>
      <c r="B4" s="148"/>
      <c r="C4" s="149"/>
      <c r="D4" s="154">
        <v>5000</v>
      </c>
      <c r="E4" s="154">
        <v>7000</v>
      </c>
      <c r="F4" s="154">
        <v>9000</v>
      </c>
      <c r="G4" s="154">
        <v>12000</v>
      </c>
      <c r="H4" s="149"/>
      <c r="I4" s="149"/>
    </row>
    <row r="5" spans="1:9" s="4" customFormat="1" ht="21" customHeight="1" x14ac:dyDescent="0.15">
      <c r="A5" s="160" t="s">
        <v>231</v>
      </c>
      <c r="B5" s="155"/>
      <c r="C5" s="156"/>
      <c r="D5" s="154">
        <v>4900</v>
      </c>
      <c r="E5" s="154">
        <v>6700</v>
      </c>
      <c r="F5" s="154">
        <v>8500</v>
      </c>
      <c r="G5" s="154">
        <v>11000</v>
      </c>
      <c r="H5" s="156"/>
      <c r="I5" s="156"/>
    </row>
    <row r="6" spans="1:9" s="4" customFormat="1" ht="21" customHeight="1" x14ac:dyDescent="0.15">
      <c r="A6" s="160" t="s">
        <v>232</v>
      </c>
      <c r="B6" s="155"/>
      <c r="C6" s="156"/>
      <c r="D6" s="154">
        <v>4800</v>
      </c>
      <c r="E6" s="154">
        <v>6600</v>
      </c>
      <c r="F6" s="154" t="s">
        <v>11</v>
      </c>
      <c r="G6" s="154" t="s">
        <v>11</v>
      </c>
      <c r="H6" s="156"/>
      <c r="I6" s="156"/>
    </row>
    <row r="7" spans="1:9" ht="21" customHeight="1" x14ac:dyDescent="0.15">
      <c r="A7" s="70" t="s">
        <v>206</v>
      </c>
      <c r="B7" s="43" t="s">
        <v>11</v>
      </c>
      <c r="C7" s="43" t="s">
        <v>11</v>
      </c>
      <c r="D7" s="43" t="s">
        <v>11</v>
      </c>
      <c r="E7" s="43" t="s">
        <v>11</v>
      </c>
      <c r="F7" s="43" t="s">
        <v>11</v>
      </c>
      <c r="G7" s="43" t="s">
        <v>11</v>
      </c>
      <c r="H7" s="43" t="s">
        <v>11</v>
      </c>
      <c r="I7" s="43" t="s">
        <v>11</v>
      </c>
    </row>
    <row r="8" spans="1:9" ht="21" customHeight="1" x14ac:dyDescent="0.15">
      <c r="A8" s="71" t="s">
        <v>207</v>
      </c>
      <c r="B8" s="43" t="s">
        <v>11</v>
      </c>
      <c r="C8" s="43" t="s">
        <v>11</v>
      </c>
      <c r="D8" s="43" t="s">
        <v>11</v>
      </c>
      <c r="E8" s="43">
        <v>8000</v>
      </c>
      <c r="F8" s="26">
        <v>10000</v>
      </c>
      <c r="G8" s="43">
        <v>14000</v>
      </c>
      <c r="H8" s="43" t="s">
        <v>11</v>
      </c>
      <c r="I8" s="43" t="s">
        <v>11</v>
      </c>
    </row>
    <row r="9" spans="1:9" s="42" customFormat="1" ht="21" customHeight="1" x14ac:dyDescent="0.15">
      <c r="A9" s="182" t="s">
        <v>313</v>
      </c>
      <c r="B9" s="26" t="s">
        <v>11</v>
      </c>
      <c r="C9" s="26" t="s">
        <v>11</v>
      </c>
      <c r="D9" s="26" t="s">
        <v>11</v>
      </c>
      <c r="E9" s="26" t="s">
        <v>11</v>
      </c>
      <c r="F9" s="26">
        <v>10000</v>
      </c>
      <c r="G9" s="43">
        <v>14000</v>
      </c>
      <c r="H9" s="26" t="s">
        <v>11</v>
      </c>
      <c r="I9" s="26" t="s">
        <v>11</v>
      </c>
    </row>
    <row r="10" spans="1:9" s="42" customFormat="1" ht="21" customHeight="1" x14ac:dyDescent="0.15">
      <c r="A10" s="72" t="s">
        <v>208</v>
      </c>
      <c r="B10" s="26" t="s">
        <v>11</v>
      </c>
      <c r="C10" s="26" t="s">
        <v>11</v>
      </c>
      <c r="D10" s="26" t="s">
        <v>11</v>
      </c>
      <c r="E10" s="26">
        <v>7500</v>
      </c>
      <c r="F10" s="26">
        <v>9500</v>
      </c>
      <c r="G10" s="43">
        <v>13000</v>
      </c>
      <c r="H10" s="26" t="s">
        <v>11</v>
      </c>
      <c r="I10" s="26" t="s">
        <v>11</v>
      </c>
    </row>
    <row r="11" spans="1:9" ht="21" customHeight="1" x14ac:dyDescent="0.15">
      <c r="A11" s="72" t="s">
        <v>9</v>
      </c>
      <c r="B11" s="65" t="s">
        <v>11</v>
      </c>
      <c r="C11" s="65" t="s">
        <v>11</v>
      </c>
      <c r="D11" s="26">
        <v>5000</v>
      </c>
      <c r="E11" s="26">
        <v>7000</v>
      </c>
      <c r="F11" s="26">
        <v>9000</v>
      </c>
      <c r="G11" s="43">
        <v>12000</v>
      </c>
      <c r="H11" s="65" t="s">
        <v>11</v>
      </c>
      <c r="I11" s="65" t="s">
        <v>11</v>
      </c>
    </row>
    <row r="12" spans="1:9" ht="21" customHeight="1" x14ac:dyDescent="0.15">
      <c r="A12" s="72" t="s">
        <v>209</v>
      </c>
      <c r="B12" s="65" t="s">
        <v>11</v>
      </c>
      <c r="C12" s="65" t="s">
        <v>11</v>
      </c>
      <c r="D12" s="26">
        <v>4900</v>
      </c>
      <c r="E12" s="26">
        <v>6700</v>
      </c>
      <c r="F12" s="26">
        <v>8500</v>
      </c>
      <c r="G12" s="43">
        <v>11000</v>
      </c>
      <c r="H12" s="65" t="s">
        <v>11</v>
      </c>
      <c r="I12" s="65" t="s">
        <v>11</v>
      </c>
    </row>
    <row r="13" spans="1:9" ht="21" customHeight="1" x14ac:dyDescent="0.15">
      <c r="A13" s="72" t="s">
        <v>106</v>
      </c>
      <c r="B13" s="65" t="s">
        <v>11</v>
      </c>
      <c r="C13" s="65" t="s">
        <v>11</v>
      </c>
      <c r="D13" s="26">
        <v>4800</v>
      </c>
      <c r="E13" s="26">
        <v>6600</v>
      </c>
      <c r="F13" s="183">
        <v>9000</v>
      </c>
      <c r="G13" s="65" t="s">
        <v>11</v>
      </c>
      <c r="H13" s="65" t="s">
        <v>11</v>
      </c>
      <c r="I13" s="65" t="s">
        <v>11</v>
      </c>
    </row>
    <row r="14" spans="1:9" ht="21" customHeight="1" x14ac:dyDescent="0.15">
      <c r="A14" s="72" t="s">
        <v>210</v>
      </c>
      <c r="B14" s="65" t="s">
        <v>11</v>
      </c>
      <c r="C14" s="65" t="s">
        <v>11</v>
      </c>
      <c r="D14" s="65" t="s">
        <v>11</v>
      </c>
      <c r="E14" s="26">
        <v>6300</v>
      </c>
      <c r="F14" s="65" t="s">
        <v>11</v>
      </c>
      <c r="G14" s="65" t="s">
        <v>11</v>
      </c>
      <c r="H14" s="65" t="s">
        <v>11</v>
      </c>
      <c r="I14" s="65" t="s">
        <v>11</v>
      </c>
    </row>
    <row r="15" spans="1:9" ht="21" customHeight="1" x14ac:dyDescent="0.15">
      <c r="A15" s="72" t="s">
        <v>211</v>
      </c>
      <c r="B15" s="65" t="s">
        <v>11</v>
      </c>
      <c r="C15" s="65" t="s">
        <v>11</v>
      </c>
      <c r="D15" s="26">
        <v>4600</v>
      </c>
      <c r="E15" s="26">
        <v>5800</v>
      </c>
      <c r="F15" s="26">
        <v>7600</v>
      </c>
      <c r="G15" s="65" t="s">
        <v>11</v>
      </c>
      <c r="H15" s="65" t="s">
        <v>11</v>
      </c>
      <c r="I15" s="65" t="s">
        <v>11</v>
      </c>
    </row>
    <row r="16" spans="1:9" ht="21" customHeight="1" x14ac:dyDescent="0.15">
      <c r="A16" s="72" t="s">
        <v>105</v>
      </c>
      <c r="B16" s="65" t="s">
        <v>11</v>
      </c>
      <c r="C16" s="65" t="s">
        <v>11</v>
      </c>
      <c r="D16" s="26">
        <v>4400</v>
      </c>
      <c r="E16" s="26">
        <v>5600</v>
      </c>
      <c r="F16" s="65" t="s">
        <v>11</v>
      </c>
      <c r="G16" s="65" t="s">
        <v>11</v>
      </c>
      <c r="H16" s="65" t="s">
        <v>11</v>
      </c>
      <c r="I16" s="65" t="s">
        <v>11</v>
      </c>
    </row>
    <row r="17" spans="1:9" ht="21" customHeight="1" x14ac:dyDescent="0.15">
      <c r="A17" s="72" t="s">
        <v>212</v>
      </c>
      <c r="B17" s="65" t="s">
        <v>11</v>
      </c>
      <c r="C17" s="26">
        <v>3000</v>
      </c>
      <c r="D17" s="26">
        <v>4200</v>
      </c>
      <c r="E17" s="26">
        <v>5400</v>
      </c>
      <c r="F17" s="65" t="s">
        <v>11</v>
      </c>
      <c r="G17" s="65" t="s">
        <v>11</v>
      </c>
      <c r="H17" s="65" t="s">
        <v>11</v>
      </c>
      <c r="I17" s="65" t="s">
        <v>11</v>
      </c>
    </row>
    <row r="18" spans="1:9" ht="21" customHeight="1" x14ac:dyDescent="0.15">
      <c r="A18" s="72" t="s">
        <v>8</v>
      </c>
      <c r="B18" s="26">
        <v>2000</v>
      </c>
      <c r="C18" s="26">
        <v>2800</v>
      </c>
      <c r="D18" s="26">
        <v>4000</v>
      </c>
      <c r="E18" s="65" t="s">
        <v>11</v>
      </c>
      <c r="F18" s="65" t="s">
        <v>11</v>
      </c>
      <c r="G18" s="65" t="s">
        <v>11</v>
      </c>
      <c r="H18" s="65" t="s">
        <v>11</v>
      </c>
      <c r="I18" s="65" t="s">
        <v>11</v>
      </c>
    </row>
    <row r="19" spans="1:9" ht="21" customHeight="1" x14ac:dyDescent="0.15">
      <c r="A19" s="73" t="s">
        <v>7</v>
      </c>
      <c r="B19" s="26">
        <v>1750</v>
      </c>
      <c r="C19" s="26">
        <v>2550</v>
      </c>
      <c r="D19" s="65" t="s">
        <v>11</v>
      </c>
      <c r="E19" s="65" t="s">
        <v>11</v>
      </c>
      <c r="F19" s="65" t="s">
        <v>11</v>
      </c>
      <c r="G19" s="65" t="s">
        <v>11</v>
      </c>
      <c r="H19" s="65" t="s">
        <v>11</v>
      </c>
      <c r="I19" s="65" t="s">
        <v>11</v>
      </c>
    </row>
    <row r="20" spans="1:9" ht="21" customHeight="1" x14ac:dyDescent="0.15">
      <c r="A20" s="73" t="s">
        <v>213</v>
      </c>
      <c r="B20" s="26">
        <v>1500</v>
      </c>
      <c r="C20" s="26">
        <v>2300</v>
      </c>
      <c r="D20" s="65" t="s">
        <v>11</v>
      </c>
      <c r="E20" s="65" t="s">
        <v>11</v>
      </c>
      <c r="F20" s="65" t="s">
        <v>11</v>
      </c>
      <c r="G20" s="65" t="s">
        <v>11</v>
      </c>
      <c r="H20" s="65" t="s">
        <v>11</v>
      </c>
      <c r="I20" s="65" t="s">
        <v>11</v>
      </c>
    </row>
    <row r="21" spans="1:9" ht="21" customHeight="1" x14ac:dyDescent="0.15">
      <c r="A21" s="35" t="s">
        <v>214</v>
      </c>
      <c r="B21" s="34">
        <v>1000</v>
      </c>
      <c r="C21" s="34">
        <v>1000</v>
      </c>
      <c r="D21" s="34">
        <v>1000</v>
      </c>
      <c r="E21" s="34">
        <v>1000</v>
      </c>
      <c r="F21" s="34">
        <v>1000</v>
      </c>
      <c r="G21" s="34">
        <v>1000</v>
      </c>
      <c r="H21" s="34">
        <v>1000</v>
      </c>
      <c r="I21" s="34">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1"/>
  </cols>
  <sheetData>
    <row r="1" spans="1:8" ht="21" customHeight="1" x14ac:dyDescent="0.15">
      <c r="A1" s="21" t="s">
        <v>111</v>
      </c>
      <c r="G1" s="21" t="s">
        <v>112</v>
      </c>
    </row>
    <row r="2" spans="1:8" ht="21" customHeight="1" x14ac:dyDescent="0.15">
      <c r="A2" s="19" t="s">
        <v>15</v>
      </c>
      <c r="B2" s="19" t="s">
        <v>16</v>
      </c>
      <c r="G2" s="19" t="s">
        <v>15</v>
      </c>
      <c r="H2" s="19" t="s">
        <v>16</v>
      </c>
    </row>
    <row r="3" spans="1:8" ht="21" customHeight="1" x14ac:dyDescent="0.15">
      <c r="A3" s="22">
        <v>1</v>
      </c>
      <c r="B3" s="31">
        <v>5000</v>
      </c>
      <c r="G3" s="22">
        <v>1</v>
      </c>
      <c r="H3" s="22">
        <v>75</v>
      </c>
    </row>
    <row r="4" spans="1:8" ht="21" customHeight="1" x14ac:dyDescent="0.15">
      <c r="A4" s="22">
        <v>2</v>
      </c>
      <c r="B4" s="23">
        <v>10000</v>
      </c>
      <c r="G4" s="22">
        <v>2</v>
      </c>
      <c r="H4" s="22">
        <v>150</v>
      </c>
    </row>
    <row r="5" spans="1:8" ht="21" customHeight="1" x14ac:dyDescent="0.15">
      <c r="A5" s="22">
        <v>3</v>
      </c>
      <c r="B5" s="23">
        <v>20000</v>
      </c>
      <c r="G5" s="22">
        <v>3</v>
      </c>
      <c r="H5" s="22">
        <v>300</v>
      </c>
    </row>
    <row r="6" spans="1:8" ht="21" customHeight="1" x14ac:dyDescent="0.15">
      <c r="A6" s="22">
        <v>4</v>
      </c>
      <c r="B6" s="23">
        <v>50000</v>
      </c>
      <c r="G6" s="22">
        <v>4</v>
      </c>
      <c r="H6" s="22">
        <v>600</v>
      </c>
    </row>
    <row r="7" spans="1:8" ht="21" customHeight="1" x14ac:dyDescent="0.15">
      <c r="A7" s="22">
        <v>5</v>
      </c>
      <c r="B7" s="23">
        <v>200000</v>
      </c>
      <c r="G7" s="22">
        <v>5</v>
      </c>
      <c r="H7" s="22">
        <v>900</v>
      </c>
    </row>
    <row r="8" spans="1:8" ht="21" customHeight="1" x14ac:dyDescent="0.15">
      <c r="A8" s="22">
        <v>6</v>
      </c>
      <c r="B8" s="32">
        <v>0</v>
      </c>
      <c r="G8" s="22">
        <v>6</v>
      </c>
      <c r="H8" s="33">
        <v>1200</v>
      </c>
    </row>
    <row r="9" spans="1:8" ht="21" customHeight="1" x14ac:dyDescent="0.15">
      <c r="A9" s="22">
        <v>7</v>
      </c>
      <c r="B9" s="32"/>
      <c r="G9" s="22">
        <v>7</v>
      </c>
      <c r="H9" s="32"/>
    </row>
    <row r="10" spans="1:8" ht="21" customHeight="1" x14ac:dyDescent="0.15">
      <c r="A10" s="22">
        <v>8</v>
      </c>
      <c r="B10" s="32"/>
      <c r="G10" s="22">
        <v>8</v>
      </c>
      <c r="H10" s="32"/>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17"/>
  </sheetPr>
  <dimension ref="A1:B19"/>
  <sheetViews>
    <sheetView workbookViewId="0">
      <selection sqref="A1:B19"/>
    </sheetView>
  </sheetViews>
  <sheetFormatPr baseColWidth="12" defaultRowHeight="15" x14ac:dyDescent="0.15"/>
  <sheetData>
    <row r="1" spans="1:2" x14ac:dyDescent="0.15">
      <c r="A1" t="s">
        <v>318</v>
      </c>
      <c r="B1" t="s">
        <v>319</v>
      </c>
    </row>
    <row r="2" spans="1:2" x14ac:dyDescent="0.15">
      <c r="A2" t="s">
        <v>320</v>
      </c>
      <c r="B2">
        <v>1</v>
      </c>
    </row>
    <row r="3" spans="1:2" x14ac:dyDescent="0.15">
      <c r="A3" t="s">
        <v>321</v>
      </c>
      <c r="B3">
        <v>1</v>
      </c>
    </row>
    <row r="4" spans="1:2" x14ac:dyDescent="0.15">
      <c r="A4" t="s">
        <v>322</v>
      </c>
      <c r="B4">
        <v>1</v>
      </c>
    </row>
    <row r="5" spans="1:2" x14ac:dyDescent="0.15">
      <c r="A5" t="s">
        <v>323</v>
      </c>
      <c r="B5">
        <v>1</v>
      </c>
    </row>
    <row r="6" spans="1:2" x14ac:dyDescent="0.15">
      <c r="A6" t="s">
        <v>324</v>
      </c>
      <c r="B6">
        <v>1</v>
      </c>
    </row>
    <row r="7" spans="1:2" x14ac:dyDescent="0.15">
      <c r="A7" t="s">
        <v>325</v>
      </c>
      <c r="B7">
        <v>1</v>
      </c>
    </row>
    <row r="8" spans="1:2" x14ac:dyDescent="0.15">
      <c r="A8" t="s">
        <v>326</v>
      </c>
      <c r="B8">
        <v>1</v>
      </c>
    </row>
    <row r="9" spans="1:2" x14ac:dyDescent="0.15">
      <c r="A9" t="s">
        <v>327</v>
      </c>
      <c r="B9">
        <v>1</v>
      </c>
    </row>
    <row r="10" spans="1:2" x14ac:dyDescent="0.15">
      <c r="A10" t="s">
        <v>328</v>
      </c>
      <c r="B10">
        <v>1</v>
      </c>
    </row>
    <row r="11" spans="1:2" x14ac:dyDescent="0.15">
      <c r="A11" t="s">
        <v>329</v>
      </c>
      <c r="B11">
        <v>1</v>
      </c>
    </row>
    <row r="12" spans="1:2" x14ac:dyDescent="0.15">
      <c r="A12" t="s">
        <v>330</v>
      </c>
      <c r="B12">
        <v>1</v>
      </c>
    </row>
    <row r="13" spans="1:2" x14ac:dyDescent="0.15">
      <c r="A13" t="s">
        <v>331</v>
      </c>
      <c r="B13">
        <v>0</v>
      </c>
    </row>
    <row r="14" spans="1:2" x14ac:dyDescent="0.15">
      <c r="A14" t="s">
        <v>332</v>
      </c>
      <c r="B14">
        <v>500</v>
      </c>
    </row>
    <row r="15" spans="1:2" x14ac:dyDescent="0.15">
      <c r="A15" t="s">
        <v>333</v>
      </c>
      <c r="B15">
        <v>600</v>
      </c>
    </row>
    <row r="16" spans="1:2" x14ac:dyDescent="0.15">
      <c r="A16" t="s">
        <v>334</v>
      </c>
      <c r="B16">
        <v>700</v>
      </c>
    </row>
    <row r="17" spans="1:2" x14ac:dyDescent="0.15">
      <c r="A17" t="s">
        <v>335</v>
      </c>
      <c r="B17">
        <v>5500</v>
      </c>
    </row>
    <row r="18" spans="1:2" x14ac:dyDescent="0.15">
      <c r="A18" t="s">
        <v>336</v>
      </c>
      <c r="B18">
        <v>6000</v>
      </c>
    </row>
    <row r="19" spans="1:2" x14ac:dyDescent="0.15">
      <c r="A19" t="s">
        <v>337</v>
      </c>
      <c r="B19">
        <v>30000</v>
      </c>
    </row>
  </sheetData>
  <phoneticPr fontId="2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198</v>
      </c>
      <c r="B2" s="11">
        <v>591</v>
      </c>
    </row>
    <row r="3" spans="1:4" x14ac:dyDescent="0.15">
      <c r="A3" t="s">
        <v>199</v>
      </c>
      <c r="B3" s="128">
        <v>592</v>
      </c>
    </row>
    <row r="4" spans="1:4" x14ac:dyDescent="0.15">
      <c r="A4" t="s">
        <v>200</v>
      </c>
      <c r="B4" s="128">
        <v>593</v>
      </c>
    </row>
    <row r="7" spans="1:4" x14ac:dyDescent="0.15">
      <c r="A7" t="s">
        <v>201</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220</v>
      </c>
    </row>
    <row r="13" spans="1:4" x14ac:dyDescent="0.15">
      <c r="B13" t="s">
        <v>224</v>
      </c>
      <c r="C13" t="s">
        <v>225</v>
      </c>
      <c r="D13" t="s">
        <v>226</v>
      </c>
    </row>
    <row r="14" spans="1:4" x14ac:dyDescent="0.15">
      <c r="A14" t="s">
        <v>222</v>
      </c>
      <c r="B14" t="e">
        <f>VLOOKUP($B2,units!$A:$BN,63)</f>
        <v>#N/A</v>
      </c>
      <c r="C14" t="e">
        <f>VLOOKUP($B2,units!$A:$BN,64)</f>
        <v>#N/A</v>
      </c>
      <c r="D14" t="e">
        <f>VLOOKUP($B2,units!$A:$BN,66)</f>
        <v>#N/A</v>
      </c>
    </row>
    <row r="15" spans="1:4" x14ac:dyDescent="0.15">
      <c r="A15" t="s">
        <v>223</v>
      </c>
      <c r="B15" t="e">
        <f>VLOOKUP($B3,units!$A:$BN,63)</f>
        <v>#N/A</v>
      </c>
      <c r="C15" t="e">
        <f>VLOOKUP($B3,units!$A:$BN,64)</f>
        <v>#N/A</v>
      </c>
      <c r="D15" t="e">
        <f>VLOOKUP($B3,units!$A:$BN,66)</f>
        <v>#N/A</v>
      </c>
    </row>
    <row r="16" spans="1:4" x14ac:dyDescent="0.15">
      <c r="A16" t="s">
        <v>221</v>
      </c>
      <c r="B16" t="e">
        <f>VLOOKUP($B4,units!$A:$BN,63)</f>
        <v>#N/A</v>
      </c>
      <c r="C16" t="e">
        <f>VLOOKUP($B4,units!$A:$BN,64)</f>
        <v>#N/A</v>
      </c>
      <c r="D16" t="e">
        <f>VLOOKUP($B4,units!$A:$BN,66)</f>
        <v>#N/A</v>
      </c>
    </row>
    <row r="19" spans="1:1" ht="19" customHeight="1" x14ac:dyDescent="0.15">
      <c r="A19" t="s">
        <v>202</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なし</v>
      </c>
    </row>
    <row r="31" spans="1:1" x14ac:dyDescent="0.15">
      <c r="A31" t="str">
        <f>IFERROR(VLOOKUP($B$4,unit_skills!A:I,4),"なし")</f>
        <v>なし</v>
      </c>
    </row>
    <row r="32" spans="1:1" x14ac:dyDescent="0.15">
      <c r="A32" t="str">
        <f>"cost:"&amp;IFERROR(VLOOKUP($B$4,unit_skills!A:I,6),"なし")</f>
        <v>cost:なし</v>
      </c>
    </row>
    <row r="33" spans="1:1" x14ac:dyDescent="0.15">
      <c r="A33" t="str">
        <f>IFERROR(VLOOKUP($B$4,unit_skills!A:I,9),"なし")</f>
        <v>なし</v>
      </c>
    </row>
    <row r="35" spans="1:1" x14ac:dyDescent="0.15">
      <c r="A35" t="s">
        <v>203</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なし</v>
      </c>
    </row>
    <row r="45" spans="1:1" x14ac:dyDescent="0.15">
      <c r="A45" t="str">
        <f>IFERROR(VLOOKUP($B$4,crash_skills!A:I,4),"なし")</f>
        <v>なし</v>
      </c>
    </row>
    <row r="46" spans="1:1" x14ac:dyDescent="0.15">
      <c r="A46" t="str">
        <f>IFERROR(VLOOKUP($B$4,crash_skills!A:I,6),"なし")</f>
        <v>なし</v>
      </c>
    </row>
    <row r="48" spans="1:1" x14ac:dyDescent="0.15">
      <c r="A48" t="s">
        <v>204</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40"/>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17</vt:i4>
      </vt:variant>
    </vt:vector>
  </HeadingPairs>
  <TitlesOfParts>
    <vt:vector size="17" baseType="lpstr">
      <vt:lpstr>output</vt:lpstr>
      <vt:lpstr>units</vt:lpstr>
      <vt:lpstr>unit_skills</vt:lpstr>
      <vt:lpstr>crash_skills</vt:lpstr>
      <vt:lpstr>unit_serifs</vt:lpstr>
      <vt:lpstr>fork_awake_units</vt:lpstr>
      <vt:lpstr>awake_materials</vt:lpstr>
      <vt:lpstr>abilities</vt:lpstr>
      <vt:lpstr>unit_abilities</vt:lpstr>
      <vt:lpstr>→base値</vt:lpstr>
      <vt:lpstr>コスト</vt:lpstr>
      <vt:lpstr>レベル</vt:lpstr>
      <vt:lpstr>経験値</vt:lpstr>
      <vt:lpstr>RC6SV</vt:lpstr>
      <vt:lpstr>ビット</vt:lpstr>
      <vt:lpstr>ghosts_label</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2017-06-06T10:48:04Z</dcterms:modified>
</cp:coreProperties>
</file>