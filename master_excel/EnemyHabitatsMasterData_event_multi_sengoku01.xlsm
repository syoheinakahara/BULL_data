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01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.Mori/GitHub/BULL_data/master_excel/"/>
    </mc:Choice>
  </mc:AlternateContent>
  <bookViews>
    <workbookView xWindow="500" yWindow="460" windowWidth="35040" windowHeight="1554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enemy_habitat_S!$B$1:$Y$2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8" l="1"/>
  <c r="D3" i="18"/>
  <c r="C4" i="18"/>
  <c r="D4" i="18"/>
  <c r="C5" i="18"/>
  <c r="D5" i="18"/>
  <c r="C6" i="18"/>
  <c r="D6" i="18"/>
  <c r="C7" i="18"/>
  <c r="D7" i="18"/>
  <c r="C8" i="18"/>
  <c r="D8" i="18"/>
  <c r="C9" i="18"/>
  <c r="D9" i="18"/>
  <c r="C10" i="18"/>
  <c r="D10" i="18"/>
  <c r="C11" i="18"/>
  <c r="D11" i="18"/>
  <c r="C12" i="18"/>
  <c r="D12" i="18"/>
  <c r="C13" i="18"/>
  <c r="D13" i="18"/>
  <c r="C14" i="18"/>
  <c r="D14" i="18"/>
  <c r="C15" i="18"/>
  <c r="D15" i="18"/>
  <c r="C16" i="18"/>
  <c r="D16" i="18"/>
  <c r="C17" i="18"/>
  <c r="D17" i="18"/>
  <c r="C18" i="18"/>
  <c r="D18" i="18"/>
  <c r="C19" i="18"/>
  <c r="D19" i="18"/>
  <c r="C20" i="18"/>
  <c r="D20" i="18"/>
  <c r="C21" i="18"/>
  <c r="D21" i="18"/>
  <c r="C22" i="18"/>
  <c r="D22" i="18"/>
  <c r="C23" i="18"/>
  <c r="D23" i="18"/>
  <c r="C24" i="18"/>
  <c r="D24" i="18"/>
  <c r="C25" i="18"/>
  <c r="D25" i="18"/>
  <c r="C26" i="18"/>
  <c r="D26" i="18"/>
  <c r="C27" i="18"/>
  <c r="D27" i="18"/>
  <c r="C28" i="18"/>
  <c r="D28" i="18"/>
  <c r="C29" i="18"/>
  <c r="D29" i="18"/>
  <c r="C30" i="18"/>
  <c r="D30" i="18"/>
  <c r="C31" i="18"/>
  <c r="D31" i="18"/>
  <c r="C32" i="18"/>
  <c r="D32" i="18"/>
  <c r="J41" i="9"/>
  <c r="E2" i="9"/>
  <c r="V2" i="1"/>
  <c r="J23" i="11"/>
  <c r="A50" i="9"/>
  <c r="D50" i="9"/>
  <c r="E50" i="9"/>
  <c r="G50" i="9"/>
  <c r="H50" i="9"/>
  <c r="I50" i="9"/>
  <c r="J50" i="9"/>
  <c r="K50" i="9"/>
  <c r="L50" i="9"/>
  <c r="M50" i="9"/>
  <c r="N50" i="9"/>
  <c r="O50" i="9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A44" i="9"/>
  <c r="D44" i="9"/>
  <c r="E44" i="9"/>
  <c r="G44" i="9"/>
  <c r="H44" i="9"/>
  <c r="I44" i="9"/>
  <c r="J44" i="9"/>
  <c r="K44" i="9"/>
  <c r="L44" i="9"/>
  <c r="M44" i="9"/>
  <c r="N44" i="9"/>
  <c r="J22" i="11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J21" i="11"/>
  <c r="O43" i="9"/>
  <c r="N43" i="9"/>
  <c r="M43" i="9"/>
  <c r="L43" i="9"/>
  <c r="K43" i="9"/>
  <c r="J43" i="9"/>
  <c r="I43" i="9"/>
  <c r="H43" i="9"/>
  <c r="G43" i="9"/>
  <c r="E43" i="9"/>
  <c r="D43" i="9"/>
  <c r="A43" i="9"/>
  <c r="J20" i="11"/>
  <c r="O42" i="9"/>
  <c r="N42" i="9"/>
  <c r="M42" i="9"/>
  <c r="L42" i="9"/>
  <c r="K42" i="9"/>
  <c r="J42" i="9"/>
  <c r="I42" i="9"/>
  <c r="H42" i="9"/>
  <c r="G42" i="9"/>
  <c r="E42" i="9"/>
  <c r="D42" i="9"/>
  <c r="A42" i="9"/>
  <c r="J19" i="11"/>
  <c r="O41" i="9"/>
  <c r="N41" i="9"/>
  <c r="M41" i="9"/>
  <c r="L41" i="9"/>
  <c r="K41" i="9"/>
  <c r="I41" i="9"/>
  <c r="H41" i="9"/>
  <c r="G41" i="9"/>
  <c r="E41" i="9"/>
  <c r="D41" i="9"/>
  <c r="A41" i="9"/>
  <c r="J18" i="11"/>
  <c r="O40" i="9"/>
  <c r="N40" i="9"/>
  <c r="M40" i="9"/>
  <c r="L40" i="9"/>
  <c r="K40" i="9"/>
  <c r="J40" i="9"/>
  <c r="I40" i="9"/>
  <c r="H40" i="9"/>
  <c r="G40" i="9"/>
  <c r="E40" i="9"/>
  <c r="D40" i="9"/>
  <c r="A40" i="9"/>
  <c r="J17" i="11"/>
  <c r="O39" i="9"/>
  <c r="N39" i="9"/>
  <c r="M39" i="9"/>
  <c r="L39" i="9"/>
  <c r="K39" i="9"/>
  <c r="J39" i="9"/>
  <c r="I39" i="9"/>
  <c r="H39" i="9"/>
  <c r="G39" i="9"/>
  <c r="E39" i="9"/>
  <c r="D39" i="9"/>
  <c r="A39" i="9"/>
  <c r="J16" i="11"/>
  <c r="O38" i="9"/>
  <c r="N38" i="9"/>
  <c r="M38" i="9"/>
  <c r="L38" i="9"/>
  <c r="K38" i="9"/>
  <c r="J38" i="9"/>
  <c r="I38" i="9"/>
  <c r="H38" i="9"/>
  <c r="G38" i="9"/>
  <c r="E38" i="9"/>
  <c r="D38" i="9"/>
  <c r="A38" i="9"/>
  <c r="J15" i="11"/>
  <c r="O37" i="9"/>
  <c r="N37" i="9"/>
  <c r="M37" i="9"/>
  <c r="L37" i="9"/>
  <c r="K37" i="9"/>
  <c r="J37" i="9"/>
  <c r="I37" i="9"/>
  <c r="H37" i="9"/>
  <c r="G37" i="9"/>
  <c r="E37" i="9"/>
  <c r="D37" i="9"/>
  <c r="A37" i="9"/>
  <c r="J14" i="11"/>
  <c r="O36" i="9"/>
  <c r="N36" i="9"/>
  <c r="M36" i="9"/>
  <c r="L36" i="9"/>
  <c r="K36" i="9"/>
  <c r="J36" i="9"/>
  <c r="I36" i="9"/>
  <c r="H36" i="9"/>
  <c r="G36" i="9"/>
  <c r="E36" i="9"/>
  <c r="D36" i="9"/>
  <c r="A36" i="9"/>
  <c r="J13" i="11"/>
  <c r="O35" i="9"/>
  <c r="N35" i="9"/>
  <c r="M35" i="9"/>
  <c r="L35" i="9"/>
  <c r="K35" i="9"/>
  <c r="J35" i="9"/>
  <c r="I35" i="9"/>
  <c r="H35" i="9"/>
  <c r="G35" i="9"/>
  <c r="E35" i="9"/>
  <c r="D35" i="9"/>
  <c r="A35" i="9"/>
  <c r="J12" i="11"/>
  <c r="O34" i="9"/>
  <c r="N34" i="9"/>
  <c r="M34" i="9"/>
  <c r="L34" i="9"/>
  <c r="K34" i="9"/>
  <c r="J34" i="9"/>
  <c r="I34" i="9"/>
  <c r="H34" i="9"/>
  <c r="G34" i="9"/>
  <c r="E34" i="9"/>
  <c r="D34" i="9"/>
  <c r="A34" i="9"/>
  <c r="J11" i="11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B3" i="21"/>
  <c r="C3" i="21"/>
  <c r="D3" i="21"/>
  <c r="F3" i="21"/>
  <c r="G3" i="21"/>
  <c r="I3" i="21"/>
  <c r="J3" i="21"/>
  <c r="B4" i="21"/>
  <c r="C4" i="21"/>
  <c r="D4" i="21"/>
  <c r="F4" i="21"/>
  <c r="G4" i="21"/>
  <c r="I4" i="21"/>
  <c r="J4" i="21"/>
  <c r="B5" i="21"/>
  <c r="C5" i="21"/>
  <c r="D5" i="21"/>
  <c r="F5" i="21"/>
  <c r="G5" i="21"/>
  <c r="I5" i="21"/>
  <c r="J5" i="21"/>
  <c r="B6" i="21"/>
  <c r="C6" i="21"/>
  <c r="D6" i="21"/>
  <c r="F6" i="21"/>
  <c r="G6" i="21"/>
  <c r="I6" i="21"/>
  <c r="J6" i="21"/>
  <c r="B7" i="21"/>
  <c r="C7" i="21"/>
  <c r="D7" i="21"/>
  <c r="F7" i="21"/>
  <c r="G7" i="21"/>
  <c r="I7" i="21"/>
  <c r="J7" i="21"/>
  <c r="B8" i="21"/>
  <c r="C8" i="21"/>
  <c r="D8" i="21"/>
  <c r="F8" i="21"/>
  <c r="G8" i="21"/>
  <c r="I8" i="21"/>
  <c r="J8" i="21"/>
  <c r="B9" i="21"/>
  <c r="C9" i="21"/>
  <c r="D9" i="21"/>
  <c r="F9" i="21"/>
  <c r="G9" i="21"/>
  <c r="I9" i="21"/>
  <c r="J9" i="21"/>
  <c r="B10" i="21"/>
  <c r="C10" i="21"/>
  <c r="D10" i="21"/>
  <c r="F10" i="21"/>
  <c r="G10" i="21"/>
  <c r="I10" i="21"/>
  <c r="J10" i="21"/>
  <c r="B11" i="21"/>
  <c r="C11" i="21"/>
  <c r="D11" i="21"/>
  <c r="F11" i="21"/>
  <c r="G11" i="21"/>
  <c r="I11" i="21"/>
  <c r="J11" i="21"/>
  <c r="B12" i="21"/>
  <c r="C12" i="21"/>
  <c r="D12" i="21"/>
  <c r="F12" i="21"/>
  <c r="G12" i="21"/>
  <c r="I12" i="21"/>
  <c r="J12" i="21"/>
  <c r="B13" i="21"/>
  <c r="C13" i="21"/>
  <c r="D13" i="21"/>
  <c r="F13" i="21"/>
  <c r="G13" i="21"/>
  <c r="I13" i="21"/>
  <c r="J13" i="21"/>
  <c r="J3" i="11"/>
  <c r="J4" i="11"/>
  <c r="J5" i="11"/>
  <c r="J6" i="11"/>
  <c r="J7" i="11"/>
  <c r="J8" i="11"/>
  <c r="J9" i="11"/>
  <c r="J10" i="11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28" i="10"/>
  <c r="T28" i="10"/>
  <c r="W28" i="10"/>
  <c r="V28" i="10"/>
  <c r="X28" i="10"/>
  <c r="U28" i="10"/>
  <c r="Y28" i="10"/>
  <c r="M43" i="10"/>
  <c r="N43" i="10"/>
  <c r="Q43" i="10"/>
  <c r="P43" i="10"/>
  <c r="R43" i="10"/>
  <c r="O43" i="10"/>
  <c r="S43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M42" i="10"/>
  <c r="N42" i="10"/>
  <c r="Q42" i="10"/>
  <c r="P42" i="10"/>
  <c r="R42" i="10"/>
  <c r="O42" i="10"/>
  <c r="S42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M41" i="10"/>
  <c r="N41" i="10"/>
  <c r="Q41" i="10"/>
  <c r="P41" i="10"/>
  <c r="R41" i="10"/>
  <c r="O41" i="10"/>
  <c r="S41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M40" i="10"/>
  <c r="N40" i="10"/>
  <c r="Q40" i="10"/>
  <c r="P40" i="10"/>
  <c r="R40" i="10"/>
  <c r="O40" i="10"/>
  <c r="S40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M32" i="10"/>
  <c r="N32" i="10"/>
  <c r="Q32" i="10"/>
  <c r="P32" i="10"/>
  <c r="R32" i="10"/>
  <c r="O32" i="10"/>
  <c r="S32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M31" i="10"/>
  <c r="N31" i="10"/>
  <c r="Q31" i="10"/>
  <c r="P31" i="10"/>
  <c r="R31" i="10"/>
  <c r="O31" i="10"/>
  <c r="S31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M30" i="10"/>
  <c r="N30" i="10"/>
  <c r="Q30" i="10"/>
  <c r="P30" i="10"/>
  <c r="R30" i="10"/>
  <c r="O30" i="10"/>
  <c r="S30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T43" i="10"/>
  <c r="W43" i="10"/>
  <c r="V43" i="10"/>
  <c r="X43" i="10"/>
  <c r="U43" i="10"/>
  <c r="Y43" i="10"/>
  <c r="G43" i="10"/>
  <c r="J43" i="10"/>
  <c r="I43" i="10"/>
  <c r="K43" i="10"/>
  <c r="H43" i="10"/>
  <c r="L43" i="10"/>
  <c r="T42" i="10"/>
  <c r="W42" i="10"/>
  <c r="V42" i="10"/>
  <c r="X42" i="10"/>
  <c r="U42" i="10"/>
  <c r="Y42" i="10"/>
  <c r="G42" i="10"/>
  <c r="J42" i="10"/>
  <c r="I42" i="10"/>
  <c r="K42" i="10"/>
  <c r="H42" i="10"/>
  <c r="L42" i="10"/>
  <c r="T41" i="10"/>
  <c r="W41" i="10"/>
  <c r="V41" i="10"/>
  <c r="X41" i="10"/>
  <c r="U41" i="10"/>
  <c r="Y41" i="10"/>
  <c r="G41" i="10"/>
  <c r="J41" i="10"/>
  <c r="I41" i="10"/>
  <c r="K41" i="10"/>
  <c r="H41" i="10"/>
  <c r="L41" i="10"/>
  <c r="T40" i="10"/>
  <c r="W40" i="10"/>
  <c r="V40" i="10"/>
  <c r="X40" i="10"/>
  <c r="U40" i="10"/>
  <c r="Y40" i="10"/>
  <c r="G40" i="10"/>
  <c r="J40" i="10"/>
  <c r="I40" i="10"/>
  <c r="K40" i="10"/>
  <c r="H40" i="10"/>
  <c r="L40" i="10"/>
  <c r="T32" i="10"/>
  <c r="W32" i="10"/>
  <c r="V32" i="10"/>
  <c r="X32" i="10"/>
  <c r="U32" i="10"/>
  <c r="Y32" i="10"/>
  <c r="G32" i="10"/>
  <c r="J32" i="10"/>
  <c r="I32" i="10"/>
  <c r="K32" i="10"/>
  <c r="H32" i="10"/>
  <c r="L32" i="10"/>
  <c r="T31" i="10"/>
  <c r="W31" i="10"/>
  <c r="V31" i="10"/>
  <c r="X31" i="10"/>
  <c r="U31" i="10"/>
  <c r="Y31" i="10"/>
  <c r="G31" i="10"/>
  <c r="J31" i="10"/>
  <c r="I31" i="10"/>
  <c r="K31" i="10"/>
  <c r="H31" i="10"/>
  <c r="L31" i="10"/>
  <c r="T30" i="10"/>
  <c r="W30" i="10"/>
  <c r="V30" i="10"/>
  <c r="X30" i="10"/>
  <c r="U30" i="10"/>
  <c r="Y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I3" i="7"/>
  <c r="J3" i="7"/>
  <c r="N3" i="7"/>
  <c r="O3" i="7"/>
  <c r="P3" i="7"/>
  <c r="Q3" i="7"/>
  <c r="R3" i="7"/>
  <c r="W3" i="7"/>
  <c r="A4" i="7"/>
  <c r="D4" i="7"/>
  <c r="E4" i="7"/>
  <c r="F4" i="7"/>
  <c r="H4" i="7"/>
  <c r="I4" i="7"/>
  <c r="J4" i="7"/>
  <c r="N4" i="7"/>
  <c r="O4" i="7"/>
  <c r="P4" i="7"/>
  <c r="Q4" i="7"/>
  <c r="R4" i="7"/>
  <c r="W4" i="7"/>
  <c r="G3" i="10"/>
  <c r="H3" i="10"/>
  <c r="I3" i="10"/>
  <c r="J3" i="10"/>
  <c r="K3" i="10"/>
  <c r="L3" i="10"/>
  <c r="M3" i="10"/>
  <c r="M13" i="10"/>
  <c r="N13" i="10"/>
  <c r="Q13" i="10"/>
  <c r="P13" i="10"/>
  <c r="R13" i="10"/>
  <c r="O13" i="10"/>
  <c r="S13" i="10"/>
  <c r="N3" i="10"/>
  <c r="O3" i="10"/>
  <c r="P3" i="10"/>
  <c r="Q3" i="10"/>
  <c r="R3" i="10"/>
  <c r="S3" i="10"/>
  <c r="T3" i="10"/>
  <c r="U3" i="10"/>
  <c r="V3" i="10"/>
  <c r="W3" i="10"/>
  <c r="X3" i="10"/>
  <c r="Y3" i="10"/>
  <c r="G4" i="10"/>
  <c r="H4" i="10"/>
  <c r="I4" i="10"/>
  <c r="J4" i="10"/>
  <c r="K4" i="10"/>
  <c r="L4" i="10"/>
  <c r="M4" i="10"/>
  <c r="M1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AA15" i="1"/>
  <c r="A15" i="1"/>
  <c r="D15" i="1"/>
  <c r="E15" i="1"/>
  <c r="F15" i="1"/>
  <c r="H15" i="1"/>
  <c r="I15" i="1"/>
  <c r="J15" i="1"/>
  <c r="M15" i="1"/>
  <c r="N15" i="1"/>
  <c r="O15" i="1"/>
  <c r="P15" i="1"/>
  <c r="Q15" i="1"/>
  <c r="V15" i="1"/>
  <c r="AB15" i="1"/>
  <c r="AC15" i="1"/>
  <c r="AD15" i="1"/>
  <c r="AE15" i="1"/>
  <c r="AG15" i="1"/>
  <c r="AA16" i="1"/>
  <c r="A16" i="1"/>
  <c r="D16" i="1"/>
  <c r="E16" i="1"/>
  <c r="F16" i="1"/>
  <c r="H16" i="1"/>
  <c r="I16" i="1"/>
  <c r="J16" i="1"/>
  <c r="M16" i="1"/>
  <c r="N16" i="1"/>
  <c r="O16" i="1"/>
  <c r="P16" i="1"/>
  <c r="Q16" i="1"/>
  <c r="V16" i="1"/>
  <c r="AB16" i="1"/>
  <c r="AC16" i="1"/>
  <c r="AD16" i="1"/>
  <c r="AE16" i="1"/>
  <c r="AG16" i="1"/>
  <c r="AA17" i="1"/>
  <c r="A17" i="1"/>
  <c r="D17" i="1"/>
  <c r="E17" i="1"/>
  <c r="F17" i="1"/>
  <c r="H17" i="1"/>
  <c r="I17" i="1"/>
  <c r="J17" i="1"/>
  <c r="M17" i="1"/>
  <c r="N17" i="1"/>
  <c r="O17" i="1"/>
  <c r="P17" i="1"/>
  <c r="Q17" i="1"/>
  <c r="V17" i="1"/>
  <c r="AB17" i="1"/>
  <c r="AC17" i="1"/>
  <c r="AD17" i="1"/>
  <c r="AE17" i="1"/>
  <c r="AG17" i="1"/>
  <c r="AA18" i="1"/>
  <c r="A18" i="1"/>
  <c r="D18" i="1"/>
  <c r="E18" i="1"/>
  <c r="F18" i="1"/>
  <c r="H18" i="1"/>
  <c r="I18" i="1"/>
  <c r="J18" i="1"/>
  <c r="M18" i="1"/>
  <c r="N18" i="1"/>
  <c r="O18" i="1"/>
  <c r="P18" i="1"/>
  <c r="Q18" i="1"/>
  <c r="V18" i="1"/>
  <c r="AB18" i="1"/>
  <c r="AC18" i="1"/>
  <c r="AD18" i="1"/>
  <c r="AE18" i="1"/>
  <c r="AG18" i="1"/>
  <c r="A19" i="1"/>
  <c r="D19" i="1"/>
  <c r="E19" i="1"/>
  <c r="F19" i="1"/>
  <c r="H19" i="1"/>
  <c r="I19" i="1"/>
  <c r="J19" i="1"/>
  <c r="M19" i="1"/>
  <c r="N19" i="1"/>
  <c r="O19" i="1"/>
  <c r="P19" i="1"/>
  <c r="Q19" i="1"/>
  <c r="V19" i="1"/>
  <c r="AB19" i="1"/>
  <c r="AC19" i="1"/>
  <c r="AD19" i="1"/>
  <c r="AE19" i="1"/>
  <c r="AG19" i="1"/>
  <c r="AA4" i="1"/>
  <c r="A4" i="1"/>
  <c r="D4" i="1"/>
  <c r="E4" i="1"/>
  <c r="F4" i="1"/>
  <c r="H4" i="1"/>
  <c r="I4" i="1"/>
  <c r="J4" i="1"/>
  <c r="M4" i="1"/>
  <c r="N4" i="1"/>
  <c r="O4" i="1"/>
  <c r="P4" i="1"/>
  <c r="Q4" i="1"/>
  <c r="V4" i="1"/>
  <c r="AB4" i="1"/>
  <c r="AC4" i="1"/>
  <c r="AD4" i="1"/>
  <c r="AE4" i="1"/>
  <c r="AG4" i="1"/>
  <c r="AA5" i="1"/>
  <c r="A5" i="1"/>
  <c r="D5" i="1"/>
  <c r="E5" i="1"/>
  <c r="F5" i="1"/>
  <c r="H5" i="1"/>
  <c r="I5" i="1"/>
  <c r="J5" i="1"/>
  <c r="M5" i="1"/>
  <c r="N5" i="1"/>
  <c r="O5" i="1"/>
  <c r="P5" i="1"/>
  <c r="Q5" i="1"/>
  <c r="V5" i="1"/>
  <c r="AB5" i="1"/>
  <c r="AC5" i="1"/>
  <c r="AD5" i="1"/>
  <c r="AE5" i="1"/>
  <c r="AG5" i="1"/>
  <c r="AA6" i="1"/>
  <c r="A6" i="1"/>
  <c r="D6" i="1"/>
  <c r="E6" i="1"/>
  <c r="F6" i="1"/>
  <c r="H6" i="1"/>
  <c r="I6" i="1"/>
  <c r="J6" i="1"/>
  <c r="M6" i="1"/>
  <c r="N6" i="1"/>
  <c r="O6" i="1"/>
  <c r="P6" i="1"/>
  <c r="Q6" i="1"/>
  <c r="V6" i="1"/>
  <c r="AB6" i="1"/>
  <c r="AC6" i="1"/>
  <c r="AD6" i="1"/>
  <c r="AE6" i="1"/>
  <c r="AG6" i="1"/>
  <c r="A7" i="1"/>
  <c r="D7" i="1"/>
  <c r="E7" i="1"/>
  <c r="F7" i="1"/>
  <c r="H7" i="1"/>
  <c r="I7" i="1"/>
  <c r="J7" i="1"/>
  <c r="M7" i="1"/>
  <c r="N7" i="1"/>
  <c r="O7" i="1"/>
  <c r="P7" i="1"/>
  <c r="Q7" i="1"/>
  <c r="V7" i="1"/>
  <c r="AB7" i="1"/>
  <c r="AC7" i="1"/>
  <c r="AD7" i="1"/>
  <c r="AE7" i="1"/>
  <c r="AG7" i="1"/>
  <c r="AA8" i="1"/>
  <c r="A8" i="1"/>
  <c r="D8" i="1"/>
  <c r="E8" i="1"/>
  <c r="F8" i="1"/>
  <c r="H8" i="1"/>
  <c r="I8" i="1"/>
  <c r="J8" i="1"/>
  <c r="M8" i="1"/>
  <c r="N8" i="1"/>
  <c r="O8" i="1"/>
  <c r="P8" i="1"/>
  <c r="Q8" i="1"/>
  <c r="V8" i="1"/>
  <c r="AB8" i="1"/>
  <c r="AC8" i="1"/>
  <c r="AD8" i="1"/>
  <c r="AE8" i="1"/>
  <c r="AG8" i="1"/>
  <c r="AA9" i="1"/>
  <c r="A9" i="1"/>
  <c r="D9" i="1"/>
  <c r="E9" i="1"/>
  <c r="F9" i="1"/>
  <c r="H9" i="1"/>
  <c r="I9" i="1"/>
  <c r="J9" i="1"/>
  <c r="M9" i="1"/>
  <c r="N9" i="1"/>
  <c r="O9" i="1"/>
  <c r="P9" i="1"/>
  <c r="Q9" i="1"/>
  <c r="V9" i="1"/>
  <c r="AB9" i="1"/>
  <c r="AC9" i="1"/>
  <c r="AD9" i="1"/>
  <c r="AE9" i="1"/>
  <c r="AG9" i="1"/>
  <c r="AA10" i="1"/>
  <c r="A10" i="1"/>
  <c r="D10" i="1"/>
  <c r="E10" i="1"/>
  <c r="F10" i="1"/>
  <c r="H10" i="1"/>
  <c r="I10" i="1"/>
  <c r="J10" i="1"/>
  <c r="M10" i="1"/>
  <c r="N10" i="1"/>
  <c r="O10" i="1"/>
  <c r="P10" i="1"/>
  <c r="Q10" i="1"/>
  <c r="V10" i="1"/>
  <c r="AB10" i="1"/>
  <c r="AC10" i="1"/>
  <c r="AD10" i="1"/>
  <c r="AE10" i="1"/>
  <c r="AG10" i="1"/>
  <c r="AA11" i="1"/>
  <c r="A11" i="1"/>
  <c r="D11" i="1"/>
  <c r="E11" i="1"/>
  <c r="F11" i="1"/>
  <c r="H11" i="1"/>
  <c r="I11" i="1"/>
  <c r="J11" i="1"/>
  <c r="M11" i="1"/>
  <c r="N11" i="1"/>
  <c r="O11" i="1"/>
  <c r="P11" i="1"/>
  <c r="Q11" i="1"/>
  <c r="V11" i="1"/>
  <c r="AB11" i="1"/>
  <c r="AC11" i="1"/>
  <c r="AD11" i="1"/>
  <c r="AE11" i="1"/>
  <c r="AG11" i="1"/>
  <c r="AA12" i="1"/>
  <c r="A12" i="1"/>
  <c r="D12" i="1"/>
  <c r="E12" i="1"/>
  <c r="F12" i="1"/>
  <c r="H12" i="1"/>
  <c r="I12" i="1"/>
  <c r="J12" i="1"/>
  <c r="M12" i="1"/>
  <c r="N12" i="1"/>
  <c r="O12" i="1"/>
  <c r="P12" i="1"/>
  <c r="Q12" i="1"/>
  <c r="V12" i="1"/>
  <c r="AB12" i="1"/>
  <c r="AC12" i="1"/>
  <c r="AD12" i="1"/>
  <c r="AE12" i="1"/>
  <c r="AG12" i="1"/>
  <c r="A13" i="1"/>
  <c r="D13" i="1"/>
  <c r="E13" i="1"/>
  <c r="F13" i="1"/>
  <c r="H13" i="1"/>
  <c r="I13" i="1"/>
  <c r="J13" i="1"/>
  <c r="M13" i="1"/>
  <c r="N13" i="1"/>
  <c r="O13" i="1"/>
  <c r="P13" i="1"/>
  <c r="Q13" i="1"/>
  <c r="V13" i="1"/>
  <c r="AB13" i="1"/>
  <c r="AC13" i="1"/>
  <c r="AD13" i="1"/>
  <c r="AE13" i="1"/>
  <c r="AG13" i="1"/>
  <c r="AA14" i="1"/>
  <c r="A14" i="1"/>
  <c r="D14" i="1"/>
  <c r="E14" i="1"/>
  <c r="F14" i="1"/>
  <c r="H14" i="1"/>
  <c r="I14" i="1"/>
  <c r="J14" i="1"/>
  <c r="M14" i="1"/>
  <c r="N14" i="1"/>
  <c r="O14" i="1"/>
  <c r="P14" i="1"/>
  <c r="Q14" i="1"/>
  <c r="V14" i="1"/>
  <c r="AB14" i="1"/>
  <c r="AC14" i="1"/>
  <c r="AD14" i="1"/>
  <c r="AE14" i="1"/>
  <c r="AG14" i="1"/>
  <c r="H2" i="1"/>
  <c r="H3" i="1"/>
  <c r="B3" i="2"/>
  <c r="D3" i="2"/>
  <c r="E3" i="2"/>
  <c r="H3" i="2"/>
  <c r="B4" i="2"/>
  <c r="D4" i="2"/>
  <c r="E4" i="2"/>
  <c r="H4" i="2"/>
  <c r="B5" i="2"/>
  <c r="D5" i="2"/>
  <c r="E5" i="2"/>
  <c r="H5" i="2"/>
  <c r="B6" i="2"/>
  <c r="D6" i="2"/>
  <c r="E6" i="2"/>
  <c r="H6" i="2"/>
  <c r="B7" i="2"/>
  <c r="D7" i="2"/>
  <c r="E7" i="2"/>
  <c r="H7" i="2"/>
  <c r="B8" i="2"/>
  <c r="D8" i="2"/>
  <c r="E8" i="2"/>
  <c r="H8" i="2"/>
  <c r="B9" i="2"/>
  <c r="D9" i="2"/>
  <c r="E9" i="2"/>
  <c r="H9" i="2"/>
  <c r="B10" i="2"/>
  <c r="D10" i="2"/>
  <c r="E10" i="2"/>
  <c r="H10" i="2"/>
  <c r="B11" i="2"/>
  <c r="D11" i="2"/>
  <c r="E11" i="2"/>
  <c r="H11" i="2"/>
  <c r="B12" i="2"/>
  <c r="D12" i="2"/>
  <c r="E12" i="2"/>
  <c r="H12" i="2"/>
  <c r="B13" i="2"/>
  <c r="D13" i="2"/>
  <c r="E13" i="2"/>
  <c r="H13" i="2"/>
  <c r="B61" i="19"/>
  <c r="C61" i="19"/>
  <c r="D61" i="19"/>
  <c r="F61" i="19"/>
  <c r="G61" i="19"/>
  <c r="B62" i="19"/>
  <c r="C62" i="19"/>
  <c r="D62" i="19"/>
  <c r="F62" i="19"/>
  <c r="G62" i="19"/>
  <c r="B63" i="19"/>
  <c r="C63" i="19"/>
  <c r="D63" i="19"/>
  <c r="F63" i="19"/>
  <c r="G63" i="19"/>
  <c r="B64" i="19"/>
  <c r="C64" i="19"/>
  <c r="D64" i="19"/>
  <c r="F64" i="19"/>
  <c r="G64" i="19"/>
  <c r="B65" i="19"/>
  <c r="C65" i="19"/>
  <c r="D65" i="19"/>
  <c r="F65" i="19"/>
  <c r="G65" i="19"/>
  <c r="B66" i="19"/>
  <c r="C66" i="19"/>
  <c r="D66" i="19"/>
  <c r="F66" i="19"/>
  <c r="G66" i="19"/>
  <c r="B67" i="19"/>
  <c r="C67" i="19"/>
  <c r="D67" i="19"/>
  <c r="F67" i="19"/>
  <c r="G67" i="19"/>
  <c r="B68" i="19"/>
  <c r="C68" i="19"/>
  <c r="D68" i="19"/>
  <c r="F68" i="19"/>
  <c r="G68" i="19"/>
  <c r="B69" i="19"/>
  <c r="C69" i="19"/>
  <c r="D69" i="19"/>
  <c r="F69" i="19"/>
  <c r="G69" i="19"/>
  <c r="B70" i="19"/>
  <c r="C70" i="19"/>
  <c r="D70" i="19"/>
  <c r="F70" i="19"/>
  <c r="G70" i="19"/>
  <c r="B71" i="19"/>
  <c r="C71" i="19"/>
  <c r="D71" i="19"/>
  <c r="F71" i="19"/>
  <c r="G71" i="19"/>
  <c r="B72" i="19"/>
  <c r="C72" i="19"/>
  <c r="D72" i="19"/>
  <c r="F72" i="19"/>
  <c r="G72" i="19"/>
  <c r="B73" i="19"/>
  <c r="C73" i="19"/>
  <c r="D73" i="19"/>
  <c r="F73" i="19"/>
  <c r="G73" i="19"/>
  <c r="B74" i="19"/>
  <c r="C74" i="19"/>
  <c r="D74" i="19"/>
  <c r="F74" i="19"/>
  <c r="G74" i="19"/>
  <c r="B75" i="19"/>
  <c r="C75" i="19"/>
  <c r="D75" i="19"/>
  <c r="F75" i="19"/>
  <c r="G75" i="19"/>
  <c r="B76" i="19"/>
  <c r="C76" i="19"/>
  <c r="D76" i="19"/>
  <c r="F76" i="19"/>
  <c r="G76" i="19"/>
  <c r="B77" i="19"/>
  <c r="C77" i="19"/>
  <c r="D77" i="19"/>
  <c r="F77" i="19"/>
  <c r="G77" i="19"/>
  <c r="B78" i="19"/>
  <c r="C78" i="19"/>
  <c r="D78" i="19"/>
  <c r="F78" i="19"/>
  <c r="G78" i="19"/>
  <c r="B79" i="19"/>
  <c r="C79" i="19"/>
  <c r="D79" i="19"/>
  <c r="F79" i="19"/>
  <c r="G79" i="19"/>
  <c r="B80" i="19"/>
  <c r="C80" i="19"/>
  <c r="D80" i="19"/>
  <c r="F80" i="19"/>
  <c r="G80" i="19"/>
  <c r="B81" i="19"/>
  <c r="C81" i="19"/>
  <c r="D81" i="19"/>
  <c r="F81" i="19"/>
  <c r="G81" i="19"/>
  <c r="B82" i="19"/>
  <c r="C82" i="19"/>
  <c r="D82" i="19"/>
  <c r="F82" i="19"/>
  <c r="G82" i="19"/>
  <c r="B83" i="19"/>
  <c r="C83" i="19"/>
  <c r="D83" i="19"/>
  <c r="F83" i="19"/>
  <c r="G83" i="19"/>
  <c r="B84" i="19"/>
  <c r="C84" i="19"/>
  <c r="D84" i="19"/>
  <c r="F84" i="19"/>
  <c r="G84" i="19"/>
  <c r="B85" i="19"/>
  <c r="C85" i="19"/>
  <c r="D85" i="19"/>
  <c r="F85" i="19"/>
  <c r="G85" i="19"/>
  <c r="B86" i="19"/>
  <c r="C86" i="19"/>
  <c r="D86" i="19"/>
  <c r="F86" i="19"/>
  <c r="G86" i="19"/>
  <c r="B87" i="19"/>
  <c r="C87" i="19"/>
  <c r="D87" i="19"/>
  <c r="F87" i="19"/>
  <c r="G87" i="19"/>
  <c r="B88" i="19"/>
  <c r="C88" i="19"/>
  <c r="D88" i="19"/>
  <c r="F88" i="19"/>
  <c r="G88" i="19"/>
  <c r="B89" i="19"/>
  <c r="C89" i="19"/>
  <c r="D89" i="19"/>
  <c r="F89" i="19"/>
  <c r="G89" i="19"/>
  <c r="B90" i="19"/>
  <c r="C90" i="19"/>
  <c r="D90" i="19"/>
  <c r="F90" i="19"/>
  <c r="G90" i="19"/>
  <c r="B91" i="19"/>
  <c r="C91" i="19"/>
  <c r="D91" i="19"/>
  <c r="F91" i="19"/>
  <c r="G91" i="19"/>
  <c r="B92" i="19"/>
  <c r="C92" i="19"/>
  <c r="D92" i="19"/>
  <c r="F92" i="19"/>
  <c r="G92" i="19"/>
  <c r="B93" i="19"/>
  <c r="C93" i="19"/>
  <c r="D93" i="19"/>
  <c r="F93" i="19"/>
  <c r="G93" i="19"/>
  <c r="K60" i="19"/>
  <c r="L60" i="19"/>
  <c r="K61" i="19"/>
  <c r="L61" i="19"/>
  <c r="K62" i="19"/>
  <c r="L62" i="19"/>
  <c r="K63" i="19"/>
  <c r="L63" i="19"/>
  <c r="K64" i="19"/>
  <c r="L64" i="19"/>
  <c r="K65" i="19"/>
  <c r="L65" i="19"/>
  <c r="K66" i="19"/>
  <c r="L66" i="19"/>
  <c r="K67" i="19"/>
  <c r="L67" i="19"/>
  <c r="K68" i="19"/>
  <c r="L68" i="19"/>
  <c r="K69" i="19"/>
  <c r="L69" i="19"/>
  <c r="K70" i="19"/>
  <c r="L70" i="19"/>
  <c r="K71" i="19"/>
  <c r="L71" i="19"/>
  <c r="K72" i="19"/>
  <c r="L72" i="19"/>
  <c r="K73" i="19"/>
  <c r="L73" i="19"/>
  <c r="K74" i="19"/>
  <c r="L74" i="19"/>
  <c r="K75" i="19"/>
  <c r="L75" i="19"/>
  <c r="K76" i="19"/>
  <c r="L76" i="19"/>
  <c r="K77" i="19"/>
  <c r="L77" i="19"/>
  <c r="K78" i="19"/>
  <c r="L78" i="19"/>
  <c r="K79" i="19"/>
  <c r="L79" i="19"/>
  <c r="K80" i="19"/>
  <c r="L80" i="19"/>
  <c r="K81" i="19"/>
  <c r="L81" i="19"/>
  <c r="K82" i="19"/>
  <c r="L82" i="19"/>
  <c r="K83" i="19"/>
  <c r="L83" i="19"/>
  <c r="K84" i="19"/>
  <c r="L84" i="19"/>
  <c r="K85" i="19"/>
  <c r="L85" i="19"/>
  <c r="K86" i="19"/>
  <c r="L86" i="19"/>
  <c r="K87" i="19"/>
  <c r="L87" i="19"/>
  <c r="K88" i="19"/>
  <c r="L88" i="19"/>
  <c r="K89" i="19"/>
  <c r="L89" i="19"/>
  <c r="K90" i="19"/>
  <c r="L90" i="19"/>
  <c r="K91" i="19"/>
  <c r="L91" i="19"/>
  <c r="K92" i="19"/>
  <c r="L92" i="19"/>
  <c r="K93" i="19"/>
  <c r="L93" i="19"/>
  <c r="B60" i="19"/>
  <c r="C60" i="19"/>
  <c r="D60" i="19"/>
  <c r="F60" i="19"/>
  <c r="G60" i="19"/>
  <c r="B29" i="19"/>
  <c r="C29" i="19"/>
  <c r="D29" i="19"/>
  <c r="F29" i="19"/>
  <c r="G29" i="19"/>
  <c r="B30" i="19"/>
  <c r="C30" i="19"/>
  <c r="D30" i="19"/>
  <c r="F30" i="19"/>
  <c r="G30" i="19"/>
  <c r="B31" i="19"/>
  <c r="C31" i="19"/>
  <c r="D31" i="19"/>
  <c r="F31" i="19"/>
  <c r="G31" i="19"/>
  <c r="B32" i="19"/>
  <c r="C32" i="19"/>
  <c r="D32" i="19"/>
  <c r="F32" i="19"/>
  <c r="G32" i="19"/>
  <c r="B33" i="19"/>
  <c r="C33" i="19"/>
  <c r="D33" i="19"/>
  <c r="F33" i="19"/>
  <c r="G33" i="19"/>
  <c r="B34" i="19"/>
  <c r="C34" i="19"/>
  <c r="D34" i="19"/>
  <c r="F34" i="19"/>
  <c r="G34" i="19"/>
  <c r="B35" i="19"/>
  <c r="C35" i="19"/>
  <c r="D35" i="19"/>
  <c r="F35" i="19"/>
  <c r="G35" i="19"/>
  <c r="B36" i="19"/>
  <c r="C36" i="19"/>
  <c r="D36" i="19"/>
  <c r="F36" i="19"/>
  <c r="G36" i="19"/>
  <c r="B37" i="19"/>
  <c r="C37" i="19"/>
  <c r="D37" i="19"/>
  <c r="F37" i="19"/>
  <c r="G37" i="19"/>
  <c r="B38" i="19"/>
  <c r="C38" i="19"/>
  <c r="D38" i="19"/>
  <c r="F38" i="19"/>
  <c r="G38" i="19"/>
  <c r="B39" i="19"/>
  <c r="C39" i="19"/>
  <c r="D39" i="19"/>
  <c r="F39" i="19"/>
  <c r="G39" i="19"/>
  <c r="B40" i="19"/>
  <c r="C40" i="19"/>
  <c r="D40" i="19"/>
  <c r="F40" i="19"/>
  <c r="G40" i="19"/>
  <c r="B41" i="19"/>
  <c r="C41" i="19"/>
  <c r="D41" i="19"/>
  <c r="F41" i="19"/>
  <c r="G41" i="19"/>
  <c r="B42" i="19"/>
  <c r="C42" i="19"/>
  <c r="D42" i="19"/>
  <c r="F42" i="19"/>
  <c r="G42" i="19"/>
  <c r="B43" i="19"/>
  <c r="C43" i="19"/>
  <c r="D43" i="19"/>
  <c r="F43" i="19"/>
  <c r="G43" i="19"/>
  <c r="B44" i="19"/>
  <c r="C44" i="19"/>
  <c r="D44" i="19"/>
  <c r="F44" i="19"/>
  <c r="G44" i="19"/>
  <c r="B45" i="19"/>
  <c r="C45" i="19"/>
  <c r="D45" i="19"/>
  <c r="F45" i="19"/>
  <c r="G45" i="19"/>
  <c r="B46" i="19"/>
  <c r="C46" i="19"/>
  <c r="D46" i="19"/>
  <c r="F46" i="19"/>
  <c r="G46" i="19"/>
  <c r="B47" i="19"/>
  <c r="C47" i="19"/>
  <c r="D47" i="19"/>
  <c r="F47" i="19"/>
  <c r="G47" i="19"/>
  <c r="B48" i="19"/>
  <c r="C48" i="19"/>
  <c r="D48" i="19"/>
  <c r="F48" i="19"/>
  <c r="G48" i="19"/>
  <c r="B49" i="19"/>
  <c r="C49" i="19"/>
  <c r="D49" i="19"/>
  <c r="F49" i="19"/>
  <c r="G49" i="19"/>
  <c r="B50" i="19"/>
  <c r="C50" i="19"/>
  <c r="D50" i="19"/>
  <c r="F50" i="19"/>
  <c r="G50" i="19"/>
  <c r="B51" i="19"/>
  <c r="C51" i="19"/>
  <c r="D51" i="19"/>
  <c r="F51" i="19"/>
  <c r="G51" i="19"/>
  <c r="B52" i="19"/>
  <c r="C52" i="19"/>
  <c r="D52" i="19"/>
  <c r="F52" i="19"/>
  <c r="G52" i="19"/>
  <c r="B53" i="19"/>
  <c r="C53" i="19"/>
  <c r="D53" i="19"/>
  <c r="F53" i="19"/>
  <c r="G53" i="19"/>
  <c r="B54" i="19"/>
  <c r="C54" i="19"/>
  <c r="D54" i="19"/>
  <c r="F54" i="19"/>
  <c r="G54" i="19"/>
  <c r="B55" i="19"/>
  <c r="C55" i="19"/>
  <c r="D55" i="19"/>
  <c r="F55" i="19"/>
  <c r="G55" i="19"/>
  <c r="B56" i="19"/>
  <c r="C56" i="19"/>
  <c r="D56" i="19"/>
  <c r="F56" i="19"/>
  <c r="G56" i="19"/>
  <c r="B57" i="19"/>
  <c r="C57" i="19"/>
  <c r="D57" i="19"/>
  <c r="F57" i="19"/>
  <c r="G57" i="19"/>
  <c r="B58" i="19"/>
  <c r="C58" i="19"/>
  <c r="D58" i="19"/>
  <c r="F58" i="19"/>
  <c r="G58" i="19"/>
  <c r="B59" i="19"/>
  <c r="C59" i="19"/>
  <c r="D59" i="19"/>
  <c r="F59" i="19"/>
  <c r="G59" i="19"/>
  <c r="K28" i="19"/>
  <c r="L28" i="19"/>
  <c r="K29" i="19"/>
  <c r="L29" i="19"/>
  <c r="K30" i="19"/>
  <c r="L30" i="19"/>
  <c r="K31" i="19"/>
  <c r="L31" i="19"/>
  <c r="K32" i="19"/>
  <c r="L32" i="19"/>
  <c r="K33" i="19"/>
  <c r="L33" i="19"/>
  <c r="K34" i="19"/>
  <c r="L34" i="19"/>
  <c r="K35" i="19"/>
  <c r="L35" i="19"/>
  <c r="K36" i="19"/>
  <c r="L36" i="19"/>
  <c r="K37" i="19"/>
  <c r="L37" i="19"/>
  <c r="K38" i="19"/>
  <c r="L38" i="19"/>
  <c r="K39" i="19"/>
  <c r="L39" i="19"/>
  <c r="K40" i="19"/>
  <c r="L40" i="19"/>
  <c r="K41" i="19"/>
  <c r="L41" i="19"/>
  <c r="K42" i="19"/>
  <c r="L42" i="19"/>
  <c r="K43" i="19"/>
  <c r="L43" i="19"/>
  <c r="K44" i="19"/>
  <c r="L44" i="19"/>
  <c r="K45" i="19"/>
  <c r="L45" i="19"/>
  <c r="K46" i="19"/>
  <c r="L46" i="19"/>
  <c r="K47" i="19"/>
  <c r="L47" i="19"/>
  <c r="K48" i="19"/>
  <c r="L48" i="19"/>
  <c r="K49" i="19"/>
  <c r="L49" i="19"/>
  <c r="K50" i="19"/>
  <c r="L50" i="19"/>
  <c r="K51" i="19"/>
  <c r="L51" i="19"/>
  <c r="K52" i="19"/>
  <c r="L52" i="19"/>
  <c r="K53" i="19"/>
  <c r="L53" i="19"/>
  <c r="K54" i="19"/>
  <c r="L54" i="19"/>
  <c r="K55" i="19"/>
  <c r="L55" i="19"/>
  <c r="K56" i="19"/>
  <c r="L56" i="19"/>
  <c r="K57" i="19"/>
  <c r="L57" i="19"/>
  <c r="K58" i="19"/>
  <c r="L58" i="19"/>
  <c r="K59" i="19"/>
  <c r="L59" i="19"/>
  <c r="B28" i="19"/>
  <c r="C28" i="19"/>
  <c r="D28" i="19"/>
  <c r="F28" i="19"/>
  <c r="G28" i="19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17" i="19"/>
  <c r="C17" i="19"/>
  <c r="D17" i="19"/>
  <c r="F17" i="19"/>
  <c r="G17" i="19"/>
  <c r="B18" i="19"/>
  <c r="C18" i="19"/>
  <c r="D18" i="19"/>
  <c r="F18" i="19"/>
  <c r="G18" i="19"/>
  <c r="B19" i="19"/>
  <c r="C19" i="19"/>
  <c r="D19" i="19"/>
  <c r="F19" i="19"/>
  <c r="G19" i="19"/>
  <c r="B20" i="19"/>
  <c r="C20" i="19"/>
  <c r="D20" i="19"/>
  <c r="F20" i="19"/>
  <c r="G20" i="19"/>
  <c r="B21" i="19"/>
  <c r="C21" i="19"/>
  <c r="D21" i="19"/>
  <c r="F21" i="19"/>
  <c r="G21" i="19"/>
  <c r="B22" i="19"/>
  <c r="C22" i="19"/>
  <c r="D22" i="19"/>
  <c r="F22" i="19"/>
  <c r="G22" i="19"/>
  <c r="B23" i="19"/>
  <c r="C23" i="19"/>
  <c r="D23" i="19"/>
  <c r="F23" i="19"/>
  <c r="G23" i="19"/>
  <c r="B24" i="19"/>
  <c r="C24" i="19"/>
  <c r="D24" i="19"/>
  <c r="F24" i="19"/>
  <c r="G24" i="19"/>
  <c r="B25" i="19"/>
  <c r="C25" i="19"/>
  <c r="D25" i="19"/>
  <c r="F25" i="19"/>
  <c r="G25" i="19"/>
  <c r="B26" i="19"/>
  <c r="C26" i="19"/>
  <c r="D26" i="19"/>
  <c r="F26" i="19"/>
  <c r="G26" i="19"/>
  <c r="B27" i="19"/>
  <c r="C27" i="19"/>
  <c r="D27" i="19"/>
  <c r="F27" i="19"/>
  <c r="G27" i="19"/>
  <c r="K27" i="19"/>
  <c r="L27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K17" i="19"/>
  <c r="L17" i="19"/>
  <c r="K18" i="19"/>
  <c r="L18" i="19"/>
  <c r="K19" i="19"/>
  <c r="L19" i="19"/>
  <c r="K20" i="19"/>
  <c r="L20" i="19"/>
  <c r="K21" i="19"/>
  <c r="L21" i="19"/>
  <c r="K22" i="19"/>
  <c r="L22" i="19"/>
  <c r="K23" i="19"/>
  <c r="L23" i="19"/>
  <c r="K24" i="19"/>
  <c r="L24" i="19"/>
  <c r="K25" i="19"/>
  <c r="L25" i="19"/>
  <c r="K26" i="19"/>
  <c r="L26" i="19"/>
  <c r="K2" i="19"/>
  <c r="C12" i="16"/>
  <c r="L2" i="19"/>
  <c r="B2" i="21"/>
  <c r="I2" i="21"/>
  <c r="J2" i="21"/>
  <c r="G2" i="21"/>
  <c r="F2" i="21"/>
  <c r="D2" i="21"/>
  <c r="C2" i="21"/>
  <c r="E12" i="16"/>
  <c r="C10" i="16"/>
  <c r="C11" i="16"/>
  <c r="E11" i="16"/>
  <c r="B2" i="19"/>
  <c r="G2" i="19"/>
  <c r="F2" i="19"/>
  <c r="D2" i="19"/>
  <c r="C2" i="19"/>
  <c r="E10" i="16"/>
  <c r="C2" i="18"/>
  <c r="D2" i="18"/>
  <c r="J2" i="11"/>
  <c r="O2" i="9"/>
  <c r="N2" i="9"/>
  <c r="M2" i="9"/>
  <c r="L2" i="9"/>
  <c r="K2" i="9"/>
  <c r="J2" i="9"/>
  <c r="I2" i="9"/>
  <c r="H2" i="9"/>
  <c r="G2" i="9"/>
  <c r="D2" i="9"/>
  <c r="C4" i="16"/>
  <c r="C5" i="16"/>
  <c r="C6" i="16"/>
  <c r="C7" i="16"/>
  <c r="C8" i="16"/>
  <c r="C9" i="16"/>
  <c r="C3" i="16"/>
  <c r="E9" i="16"/>
  <c r="W2" i="7"/>
  <c r="R2" i="7"/>
  <c r="Q2" i="7"/>
  <c r="P2" i="7"/>
  <c r="O2" i="7"/>
  <c r="N2" i="7"/>
  <c r="AB3" i="1"/>
  <c r="AE3" i="1"/>
  <c r="AD3" i="1"/>
  <c r="AC3" i="1"/>
  <c r="AB2" i="1"/>
  <c r="AE2" i="1"/>
  <c r="AD2" i="1"/>
  <c r="AC2" i="1"/>
  <c r="AA3" i="1"/>
  <c r="AA2" i="1"/>
  <c r="V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8" i="16"/>
  <c r="E7" i="16"/>
  <c r="E6" i="16"/>
  <c r="E5" i="16"/>
  <c r="E4" i="16"/>
  <c r="E3" i="16"/>
  <c r="E2" i="16"/>
  <c r="A3" i="1"/>
  <c r="A2" i="1"/>
  <c r="AG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<sst xmlns="http://schemas.openxmlformats.org/spreadsheetml/2006/main" count="1140" uniqueCount="345">
  <si>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</si>
  <si>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</si>
  <si>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</si>
  <si>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</si>
  <si>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</si>
  <si>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</si>
  <si>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</si>
  <si>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</si>
  <si>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</si>
  <si>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</si>
  <si>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</si>
  <si>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</si>
  <si>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</si>
  <si>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</si>
  <si>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</si>
  <si>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</si>
  <si>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</si>
  <si>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</si>
  <si>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</si>
  <si>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</si>
  <si>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</si>
  <si>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</si>
  <si>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</si>
  <si>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</si>
  <si>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</si>
  <si>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</si>
  <si>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</si>
  <si>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</si>
  <si>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</si>
  <si>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</si>
  <si>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</si>
  <si>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</si>
  <si>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</si>
  <si>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</si>
  <si>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</si>
  <si>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</si>
  <si>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</si>
  <si>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</si>
  <si>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</si>
  <si>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</si>
  <si>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</si>
  <si>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</si>
  <si>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</si>
  <si>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</si>
  <si>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</si>
  <si>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</si>
  <si>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</si>
  <si>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</si>
  <si>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</si>
  <si>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</si>
  <si>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</si>
  <si>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</si>
  <si>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</si>
  <si>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</si>
  <si>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</si>
  <si>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</si>
  <si>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</si>
  <si>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</si>
  <si>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</si>
  <si>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</si>
  <si>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</si>
  <si>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</si>
  <si>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</si>
  <si>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</si>
  <si>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</si>
  <si>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</si>
  <si>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</si>
  <si>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</si>
  <si>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</si>
  <si>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</si>
  <si>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</si>
  <si>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</si>
  <si>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</si>
  <si>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</si>
  <si>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</si>
  <si>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</si>
  <si>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</si>
  <si>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</si>
  <si>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</si>
  <si>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</si>
  <si>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</si>
  <si>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</si>
  <si>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</si>
  <si>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</si>
  <si>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</si>
  <si>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</si>
  <si>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</si>
  <si>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</si>
  <si>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</si>
  <si>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</si>
  <si>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</si>
  <si>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</si>
  <si>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</si>
  <si>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</si>
  <si>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</si>
  <si>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</si>
  <si>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</si>
  <si>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</si>
  <si>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</si>
  <si>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</si>
  <si>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</si>
  <si>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</si>
  <si>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</si>
  <si>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</si>
  <si>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</si>
  <si>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</si>
  <si>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</si>
  <si>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</si>
  <si>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</si>
  <si>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</si>
  <si>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</si>
  <si>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</si>
  <si>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</si>
  <si>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</si>
  <si>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</si>
  <si>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</si>
  <si>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</si>
  <si>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</si>
  <si>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</si>
  <si>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</si>
  <si>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</si>
  <si>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</si>
  <si>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</si>
  <si>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</si>
  <si>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</si>
  <si>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</si>
  <si>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</si>
  <si>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</si>
  <si>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</si>
  <si>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</si>
  <si>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</si>
  <si>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</si>
  <si>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</si>
  <si>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</si>
  <si>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</si>
  <si>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</si>
  <si>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</si>
  <si>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</si>
  <si>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</si>
  <si>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</si>
  <si>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</si>
  <si>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</si>
  <si>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</si>
  <si>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</si>
  <si>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</si>
  <si>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</si>
  <si>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</si>
  <si>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</si>
  <si>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</si>
  <si>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</si>
  <si>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</si>
  <si>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</si>
  <si>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</si>
  <si>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</si>
  <si>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</si>
  <si>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</si>
  <si>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</si>
  <si>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</si>
  <si>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</si>
  <si>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</si>
  <si>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</si>
  <si>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</si>
  <si>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</si>
  <si>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</si>
  <si>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</si>
  <si>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</si>
  <si>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</si>
  <si>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</si>
  <si>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</si>
  <si>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</si>
  <si>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</si>
  <si>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</si>
  <si>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</si>
  <si>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</si>
  <si>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</si>
  <si>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</si>
  <si>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</si>
  <si>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</si>
  <si>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</si>
  <si>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</si>
  <si>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</si>
  <si>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</si>
  <si>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</si>
  <si>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</si>
  <si>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</si>
  <si>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</si>
  <si>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</si>
  <si>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</si>
  <si>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</si>
  <si>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</si>
  <si>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</si>
  <si>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</si>
  <si>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</si>
  <si>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</si>
  <si>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</si>
  <si>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</si>
  <si>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</si>
  <si>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</si>
  <si>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</si>
  <si>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</si>
  <si>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</si>
  <si>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</si>
  <si>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</si>
  <si>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</si>
  <si>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</si>
  <si>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</si>
  <si>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</si>
  <si>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</si>
  <si>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</si>
  <si>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</si>
  <si>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</si>
  <si>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</si>
  <si>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</si>
  <si>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ジョーさん</t>
  </si>
  <si>
    <t>八咫烏</t>
  </si>
  <si>
    <t>チハヤ</t>
  </si>
  <si>
    <t>タマモ</t>
  </si>
  <si>
    <t>かぐや</t>
  </si>
  <si>
    <t>テマリ</t>
  </si>
  <si>
    <t>沢庵</t>
  </si>
  <si>
    <t>夕霧</t>
  </si>
  <si>
    <t>マイ</t>
  </si>
  <si>
    <t>直江初級</t>
  </si>
  <si>
    <t>直江中級</t>
  </si>
  <si>
    <t>直江上級</t>
  </si>
  <si>
    <t>直江初級/２ゲージ目</t>
  </si>
  <si>
    <t>直江中級/２ゲージ目</t>
  </si>
  <si>
    <t>直江上級/２ゲージ目</t>
  </si>
  <si>
    <t>ハートパネルをプロテクト</t>
    <phoneticPr fontId="5"/>
  </si>
  <si>
    <t>old</t>
  </si>
  <si>
    <t>LB小原</t>
    <rPh sb="2" eb="4">
      <t>オバラ</t>
    </rPh>
    <phoneticPr fontId="5"/>
  </si>
  <si>
    <t xml:space="preserve">[effect:heal, target:myself, val:0.75, animation:enemy_heal]    </t>
    <phoneticPr fontId="5"/>
  </si>
  <si>
    <t xml:space="preserve">[effect:suicide, val:1, dead_type:escape, target:myself, animation:enemy_suicide]    </t>
    <phoneticPr fontId="5"/>
  </si>
  <si>
    <t xml:space="preserve">[effect:dis_heart, turn:5, animation:enemy_dis_heart]    </t>
    <phoneticPr fontId="5"/>
  </si>
  <si>
    <t xml:space="preserve">[effect:change_block, new_block:jammer, target:block_heart, count:4, val:0, animation:change_block]    </t>
    <phoneticPr fontId="5"/>
  </si>
  <si>
    <t xml:space="preserve">[effect:change_block, new_block:jammer, target:block_heart, count:3, val:0, animation:change_block]    </t>
    <phoneticPr fontId="5"/>
  </si>
  <si>
    <t>ハートパネルを3個お邪魔パネルに変換</t>
    <rPh sb="8" eb="9">
      <t>コ</t>
    </rPh>
    <rPh sb="10" eb="12">
      <t>ジャマ</t>
    </rPh>
    <rPh sb="16" eb="18">
      <t>ヘンカン</t>
    </rPh>
    <phoneticPr fontId="5"/>
  </si>
  <si>
    <t>ハートパネルを4個お邪魔パネルに変換</t>
    <rPh sb="8" eb="9">
      <t>コ</t>
    </rPh>
    <rPh sb="10" eb="12">
      <t>ジャマ</t>
    </rPh>
    <rPh sb="16" eb="18">
      <t>ヘンカン</t>
    </rPh>
    <phoneticPr fontId="5"/>
  </si>
  <si>
    <t xml:space="preserve">[effect:change_block, new_block:time_bomb, target:block_heart, color:block_yellow, count:5, val:0.1, min_time_count:3, max_time_count:5, no_effect_msg:no_effect_msg_change_block, animation:change_block]    </t>
    <phoneticPr fontId="5"/>
  </si>
  <si>
    <t xml:space="preserve">[effect:degrade_unit, target:unit_all, turn:2, status:action, val:1, calc:add, animation:enemy_tap_down]    </t>
    <phoneticPr fontId="5"/>
  </si>
  <si>
    <t>ジョーさん、八咫烏のお供</t>
    <rPh sb="6" eb="9">
      <t>ヤタガラス</t>
    </rPh>
    <rPh sb="11" eb="12">
      <t>トモ</t>
    </rPh>
    <phoneticPr fontId="5"/>
  </si>
  <si>
    <t>八咫烏</t>
    <rPh sb="0" eb="3">
      <t>ヤタガラス</t>
    </rPh>
    <phoneticPr fontId="5"/>
  </si>
  <si>
    <t>チハヤ</t>
    <phoneticPr fontId="5"/>
  </si>
  <si>
    <t>タマモ</t>
    <phoneticPr fontId="5"/>
  </si>
  <si>
    <t>かぐや</t>
    <phoneticPr fontId="5"/>
  </si>
  <si>
    <t>テマリ</t>
    <phoneticPr fontId="5"/>
  </si>
  <si>
    <t>沢庵</t>
    <rPh sb="0" eb="2">
      <t>タクアン</t>
    </rPh>
    <phoneticPr fontId="5"/>
  </si>
  <si>
    <t>夕霧</t>
    <rPh sb="0" eb="2">
      <t>ユウギリ</t>
    </rPh>
    <phoneticPr fontId="5"/>
  </si>
  <si>
    <t>マイ</t>
    <phoneticPr fontId="5"/>
  </si>
  <si>
    <t>null</t>
  </si>
  <si>
    <t xml:space="preserve">[effect:change_block, new_block:jammer, target:block_heart, count:4, val:0, no_effect_msg:no_effect_msg_change_block, animation:change_block]    </t>
    <phoneticPr fontId="5"/>
  </si>
  <si>
    <t>[effect:change_block, new_block:block_yellow, target:block_heart, count:4, val:0, no_effect_msg:no_effect_msg_change_block, animation:change_block],[effect:change_block, new_block:block_heart, target:block_red, count:2, val:0, no_effect_msg:no_effect_msg_change_block, animation:change_block]</t>
    <phoneticPr fontId="5"/>
  </si>
  <si>
    <t>赤パネル9個をハートパネルに変換＋攻撃</t>
    <rPh sb="0" eb="1">
      <t>アカ</t>
    </rPh>
    <rPh sb="14" eb="16">
      <t>ヘンカン</t>
    </rPh>
    <rPh sb="17" eb="19">
      <t>コウゲキ</t>
    </rPh>
    <phoneticPr fontId="5"/>
  </si>
  <si>
    <t>緑パネル9個をハートパネルに変換＋攻撃</t>
    <rPh sb="0" eb="1">
      <t>ミドリ</t>
    </rPh>
    <rPh sb="14" eb="16">
      <t>ヘンカン</t>
    </rPh>
    <rPh sb="17" eb="19">
      <t>コウゲキ</t>
    </rPh>
    <phoneticPr fontId="5"/>
  </si>
  <si>
    <t>青パネル9個をハートパネルに変換＋攻撃</t>
    <rPh sb="0" eb="1">
      <t>アオ</t>
    </rPh>
    <rPh sb="14" eb="16">
      <t>ヘンカン</t>
    </rPh>
    <rPh sb="17" eb="19">
      <t>コウゲキ</t>
    </rPh>
    <phoneticPr fontId="5"/>
  </si>
  <si>
    <t xml:space="preserve">[effect:change_block, new_block:block_green, target:block_heart, count:5, val:0, no_effect_msg:no_effect_msg_change_block, animation:change_block]    </t>
    <phoneticPr fontId="5"/>
  </si>
  <si>
    <t>赤パネル5個をハートパネルに変換＋攻撃</t>
    <rPh sb="0" eb="1">
      <t>アカ</t>
    </rPh>
    <rPh sb="5" eb="6">
      <t>コ</t>
    </rPh>
    <rPh sb="14" eb="16">
      <t>ヘンカン</t>
    </rPh>
    <rPh sb="17" eb="19">
      <t>コウゲキ</t>
    </rPh>
    <phoneticPr fontId="5"/>
  </si>
  <si>
    <t>緑パネル5個をハートパネルに変換＋攻撃</t>
    <rPh sb="0" eb="1">
      <t>ミドリ</t>
    </rPh>
    <rPh sb="14" eb="16">
      <t>ヘンカン</t>
    </rPh>
    <rPh sb="17" eb="19">
      <t>コウゲキ</t>
    </rPh>
    <phoneticPr fontId="5"/>
  </si>
  <si>
    <t>青パネル5個をハートパネルに変換＋攻撃</t>
    <rPh sb="0" eb="1">
      <t>アオ</t>
    </rPh>
    <rPh sb="14" eb="16">
      <t>ヘンカン</t>
    </rPh>
    <rPh sb="17" eb="19">
      <t>コウゲキ</t>
    </rPh>
    <phoneticPr fontId="5"/>
  </si>
  <si>
    <t>黄パネル5個をハートパネルに変換＋攻撃</t>
    <rPh sb="0" eb="1">
      <t>キ</t>
    </rPh>
    <rPh sb="14" eb="16">
      <t>ヘンカン</t>
    </rPh>
    <rPh sb="17" eb="19">
      <t>コウゲキ</t>
    </rPh>
    <phoneticPr fontId="5"/>
  </si>
  <si>
    <t>赤パネル7個をハートパネルに変換＋攻撃</t>
    <rPh sb="0" eb="1">
      <t>アカ</t>
    </rPh>
    <rPh sb="14" eb="16">
      <t>ヘンカン</t>
    </rPh>
    <rPh sb="17" eb="19">
      <t>コウゲキ</t>
    </rPh>
    <phoneticPr fontId="5"/>
  </si>
  <si>
    <t>緑パネル7個をハートパネルに変換＋攻撃</t>
    <rPh sb="0" eb="1">
      <t>ミドリ</t>
    </rPh>
    <rPh sb="14" eb="16">
      <t>ヘンカン</t>
    </rPh>
    <rPh sb="17" eb="19">
      <t>コウゲキ</t>
    </rPh>
    <phoneticPr fontId="5"/>
  </si>
  <si>
    <t>青パネル7個をハートパネルに変換＋攻撃</t>
    <rPh sb="0" eb="1">
      <t>アオ</t>
    </rPh>
    <rPh sb="14" eb="16">
      <t>ヘンカン</t>
    </rPh>
    <rPh sb="17" eb="19">
      <t>コウゲキ</t>
    </rPh>
    <phoneticPr fontId="5"/>
  </si>
  <si>
    <t>黄パネル7個をハートパネルに変換＋攻撃</t>
    <rPh sb="0" eb="1">
      <t>キ</t>
    </rPh>
    <rPh sb="14" eb="16">
      <t>ヘンカン</t>
    </rPh>
    <rPh sb="17" eb="19">
      <t>コウゲキ</t>
    </rPh>
    <phoneticPr fontId="5"/>
  </si>
  <si>
    <t>黄パネル9個をハートパネルに変換＋攻撃</t>
    <rPh sb="0" eb="1">
      <t>キ</t>
    </rPh>
    <rPh sb="5" eb="6">
      <t>コ</t>
    </rPh>
    <rPh sb="14" eb="16">
      <t>ヘンカン</t>
    </rPh>
    <rPh sb="17" eb="19">
      <t>コウゲキ</t>
    </rPh>
    <phoneticPr fontId="5"/>
  </si>
  <si>
    <t xml:space="preserve">[effect:panel_freeze, target:block_heart, color:block_heart, count:-1]    </t>
    <phoneticPr fontId="5"/>
  </si>
  <si>
    <t>静撃の翠眼 八咫烏を
先に攻撃しましょう</t>
    <rPh sb="11" eb="12">
      <t>サキ</t>
    </rPh>
    <rPh sb="13" eb="15">
      <t>コウゲキ</t>
    </rPh>
    <phoneticPr fontId="5"/>
  </si>
  <si>
    <t>静撃の翠眼 八咫烏を
先に攻撃しましょう</t>
    <phoneticPr fontId="5"/>
  </si>
  <si>
    <t>ターゲット指定を使って
敵の数を減らしましょう</t>
    <rPh sb="5" eb="7">
      <t>シテイ</t>
    </rPh>
    <rPh sb="8" eb="9">
      <t>ツカ</t>
    </rPh>
    <rPh sb="12" eb="13">
      <t>テk</t>
    </rPh>
    <rPh sb="14" eb="15">
      <t>カズ</t>
    </rPh>
    <rPh sb="16" eb="17">
      <t>ヘ</t>
    </rPh>
    <phoneticPr fontId="5"/>
  </si>
  <si>
    <t>ハートパネルでの安定した回復が
期待できないため 回復スキルを持つ
青属性以外のユニットを編成しましょう</t>
    <rPh sb="8" eb="10">
      <t>アンテイ</t>
    </rPh>
    <rPh sb="12" eb="14">
      <t>カイフク</t>
    </rPh>
    <rPh sb="16" eb="18">
      <t>キタイ</t>
    </rPh>
    <rPh sb="25" eb="27">
      <t>カイフク</t>
    </rPh>
    <rPh sb="31" eb="32">
      <t>モ</t>
    </rPh>
    <rPh sb="34" eb="35">
      <t>アオ</t>
    </rPh>
    <rPh sb="35" eb="37">
      <t>ゾクセイ</t>
    </rPh>
    <rPh sb="37" eb="39">
      <t>イガイ</t>
    </rPh>
    <rPh sb="45" eb="47">
      <t>ヘンセイ</t>
    </rPh>
    <phoneticPr fontId="5"/>
  </si>
  <si>
    <t>八咫烏</t>
    <rPh sb="0" eb="3">
      <t>ヤタガラス</t>
    </rPh>
    <phoneticPr fontId="5"/>
  </si>
  <si>
    <t>ハートパネルにプロテクト</t>
    <phoneticPr fontId="5"/>
  </si>
  <si>
    <t>自身のHPを回復</t>
    <rPh sb="0" eb="3">
      <t>jisiンンンo</t>
    </rPh>
    <rPh sb="6" eb="8">
      <t>カイフク</t>
    </rPh>
    <phoneticPr fontId="5"/>
  </si>
  <si>
    <t xml:space="preserve">[effect:change_block, new_block:block_heart, target:block_red, count:5, val:0, no_effect_msg:no_effect_msg_change_block, animation:change_block]    </t>
    <phoneticPr fontId="5"/>
  </si>
  <si>
    <t xml:space="preserve">[effect:dis_heart, turn:5, animation:enemy_dis_heart]    </t>
    <phoneticPr fontId="5"/>
  </si>
  <si>
    <t>[effect:change_block, new_block:block_heart, target:block_red, count:5, val:0, no_effect_msg:no_effect_msg_change_block, animation:change_block],[effect:rush, count:1, val:1]</t>
    <phoneticPr fontId="5"/>
  </si>
  <si>
    <t xml:space="preserve">[effect:change_block, new_block:block_heart, target:block_green, count:5, val:0, no_effect_msg:no_effect_msg_change_block, animation:change_block],[effect:rush, count:1, val:1]    </t>
    <phoneticPr fontId="5"/>
  </si>
  <si>
    <t xml:space="preserve">[effect:change_block, new_block:block_heart, target:block_blue, count:5, val:0, no_effect_msg:no_effect_msg_change_block, animation:change_block],[effect:rush, count:1, val:1]    </t>
    <phoneticPr fontId="5"/>
  </si>
  <si>
    <t xml:space="preserve">[effect:change_block, new_block:block_heart, target:block_red, count:7, val:0, no_effect_msg:no_effect_msg_change_block, animation:change_block],[effect:rush, count:1, val:1]    </t>
    <phoneticPr fontId="5"/>
  </si>
  <si>
    <t xml:space="preserve">[effect:change_block, new_block:block_heart, target:block_green, count:7, val:0, no_effect_msg:no_effect_msg_change_block, animation:change_block],[effect:rush, count:1, val:1]    </t>
    <phoneticPr fontId="5"/>
  </si>
  <si>
    <t xml:space="preserve">[effect:change_block, new_block:block_heart, target:block_blue, count:7, val:0, no_effect_msg:no_effect_msg_change_block, animation:change_block],[effect:rush, count:1, val:1]    </t>
    <phoneticPr fontId="5"/>
  </si>
  <si>
    <t xml:space="preserve">[effect:change_block, new_block:block_heart, target:block_red, count:9, val:0, no_effect_msg:no_effect_msg_change_block, animation:change_block],[effect:rush, count:1, val:1]    </t>
    <phoneticPr fontId="5"/>
  </si>
  <si>
    <t xml:space="preserve">[effect:change_block, new_block:block_heart, target:block_green, count:9, val:0, no_effect_msg:no_effect_msg_change_block, animation:change_block],[effect:rush, count:1, val:1]    </t>
    <phoneticPr fontId="5"/>
  </si>
  <si>
    <t xml:space="preserve">[effect:change_block, new_block:block_heart, target:block_blue, count:9, val:0, no_effect_msg:no_effect_msg_change_block, animation:change_block],[effect:rush, count:1, val:1]    </t>
    <phoneticPr fontId="5"/>
  </si>
  <si>
    <t xml:space="preserve">[effect:break_attack, val:0.05, lowest_val:1000, count:10, block:block_heart, target:unit_all]    </t>
    <phoneticPr fontId="5"/>
  </si>
  <si>
    <t xml:space="preserve">[effect:damage_anti_color, target:unit_all, color:blue, val1:1.5, val2:0.5]    </t>
    <phoneticPr fontId="5"/>
  </si>
  <si>
    <t xml:space="preserve">[effect:damage_anti_color, target:unit_all, color:blue, val1:1.5, val2:0.5]    </t>
    <phoneticPr fontId="5"/>
  </si>
  <si>
    <t xml:space="preserve">[effect:break_enchance_enemy, val:100, lowest_val:0, count :-1, status:defense, turn:3, block:block_heart, target:myself, calc:add, animation:enemy_enhance_attack]    </t>
    <phoneticPr fontId="5"/>
  </si>
  <si>
    <t xml:space="preserve">[effect:break_enchance_enemy, val:0.03, lowest_val:0, count :-1, status:attack, turn:1, block:block_heart, target:myself, calc:mul, animation:enemy_enhance_attack],[effect:rush, count:1, val:1]    </t>
    <phoneticPr fontId="5"/>
  </si>
  <si>
    <t xml:space="preserve">[effect:break_enchance_enemy, val:0.02, lowest_val:0, count :-1, status:attack, turn:1, block:block_heart, target:myself, calc:mul, animation:enemy_enhance_attack],[effect:rush, count:1, val:1]    </t>
    <phoneticPr fontId="5"/>
  </si>
  <si>
    <t xml:space="preserve">[effect:break_enchance_enemy, val:500, lowest_val:0, count :-1, status:defense, turn:3, block:block_heart, target:myself, calc:add, animation:enemy_enhance_attack]    </t>
    <phoneticPr fontId="5"/>
  </si>
  <si>
    <t xml:space="preserve">[effect:break_enchance_enemy, val:0.04, lowest_val:0, count :-1, status:attack, turn:1, block:block_heart, target:myself, calc:mul, animation:enemy_enhance_attack],[effect:rush, count:1, val:1]    </t>
    <phoneticPr fontId="5"/>
  </si>
  <si>
    <t xml:space="preserve">[effect:break_enchance_enemy, val:1000, lowest_val:0, count :-1, status:defense, turn:3, block:block_heart, target:myself, calc:add, animation:enemy_enhance_attack]    </t>
    <phoneticPr fontId="5"/>
  </si>
  <si>
    <t>[effect:change_block, new_block:block_heart, target:block_red, count:1, val:0, animation:change_block],[effect:change_block,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count:1, val:1]</t>
    <phoneticPr fontId="5"/>
  </si>
  <si>
    <t>赤緑黄青パネル各1個をハートパネルに変換＋攻撃</t>
    <rPh sb="0" eb="1">
      <t>アカ</t>
    </rPh>
    <rPh sb="1" eb="2">
      <t>ミドリ</t>
    </rPh>
    <rPh sb="2" eb="3">
      <t>キ</t>
    </rPh>
    <rPh sb="3" eb="4">
      <t>アオ</t>
    </rPh>
    <rPh sb="7" eb="8">
      <t>kaku</t>
    </rPh>
    <rPh sb="9" eb="10">
      <t>コ</t>
    </rPh>
    <rPh sb="18" eb="20">
      <t>ヘンカン</t>
    </rPh>
    <rPh sb="21" eb="23">
      <t>コウゲキ</t>
    </rPh>
    <phoneticPr fontId="5"/>
  </si>
  <si>
    <t xml:space="preserve">[effect:change_block, new_block:jammer, target:block_heart, count:4, val:0, animation:change_block]    </t>
    <phoneticPr fontId="5"/>
  </si>
  <si>
    <t>赤緑黄青パネル各1個をハートパネルに変換＋2回攻撃</t>
    <rPh sb="0" eb="1">
      <t>アカ</t>
    </rPh>
    <rPh sb="1" eb="2">
      <t>ミドリ</t>
    </rPh>
    <rPh sb="2" eb="3">
      <t>キ</t>
    </rPh>
    <rPh sb="3" eb="4">
      <t>アオ</t>
    </rPh>
    <rPh sb="7" eb="8">
      <t>kaku</t>
    </rPh>
    <rPh sb="9" eb="10">
      <t>コ</t>
    </rPh>
    <rPh sb="18" eb="20">
      <t>ヘンカン</t>
    </rPh>
    <rPh sb="22" eb="23">
      <t>カイ</t>
    </rPh>
    <rPh sb="23" eb="25">
      <t>コウゲキ</t>
    </rPh>
    <phoneticPr fontId="5"/>
  </si>
  <si>
    <t xml:space="preserve">[effect:change_block, new_block:block_heart, target:block_yellow, count:9, val:0, no_effect_msg:no_effect_msg_change_block, animation:change_block],[effect:rush, count:1, val:1]    </t>
    <phoneticPr fontId="5"/>
  </si>
  <si>
    <t xml:space="preserve">[effect:change_block, new_block:block_heart, target:block_yellow, count:7, val:0, no_effect_msg:no_effect_msg_change_block, animation:change_block],[effect:rush, count:1, val:1]    </t>
    <phoneticPr fontId="5"/>
  </si>
  <si>
    <t xml:space="preserve">[effect:change_block, new_block:block_heart, target:block_yellow, count:5, val:0, no_effect_msg:no_effect_msg_change_block, animation:change_block],[effect:rush, count:1, val:1]    </t>
    <phoneticPr fontId="5"/>
  </si>
  <si>
    <t>[effect:change_block, new_block:block_heart, target:block_red, count:1, val:0, animation:change_block],[effect:change_block,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count:3, val:0.75]</t>
    <phoneticPr fontId="5"/>
  </si>
  <si>
    <t>赤緑黄青パネル各1個をハートパネルに変換＋3回攻撃</t>
    <rPh sb="0" eb="1">
      <t>アカ</t>
    </rPh>
    <rPh sb="1" eb="2">
      <t>ミドリ</t>
    </rPh>
    <rPh sb="2" eb="3">
      <t>キ</t>
    </rPh>
    <rPh sb="3" eb="4">
      <t>アオ</t>
    </rPh>
    <rPh sb="7" eb="8">
      <t>kaku</t>
    </rPh>
    <rPh sb="9" eb="10">
      <t>コ</t>
    </rPh>
    <rPh sb="18" eb="20">
      <t>ヘンカン</t>
    </rPh>
    <rPh sb="22" eb="23">
      <t>カイ</t>
    </rPh>
    <rPh sb="23" eb="25">
      <t>コウゲキ</t>
    </rPh>
    <phoneticPr fontId="5"/>
  </si>
  <si>
    <t>[effect:change_block, new_block:block_heart, target:block_red, count:1, val:0, animation:change_block],[effect:change_block,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count:2, val:0.8]</t>
    <phoneticPr fontId="5"/>
  </si>
  <si>
    <t>どうだい、私に釘付けだろう？</t>
    <rPh sb="5" eb="6">
      <t>ワタシ</t>
    </rPh>
    <rPh sb="7" eb="9">
      <t>クギヅ</t>
    </rPh>
    <phoneticPr fontId="5"/>
  </si>
  <si>
    <t>どんな子も、私の下に来たいなら歓迎するよ</t>
    <rPh sb="3" eb="4">
      <t>コ</t>
    </rPh>
    <rPh sb="6" eb="7">
      <t>ワタシ</t>
    </rPh>
    <rPh sb="8" eb="9">
      <t>モト</t>
    </rPh>
    <rPh sb="10" eb="11">
      <t>ク</t>
    </rPh>
    <rPh sb="15" eb="17">
      <t>カンゲイ</t>
    </rPh>
    <phoneticPr fontId="5"/>
  </si>
  <si>
    <t>撤退していった・・・</t>
    <rPh sb="0" eb="2">
      <t>テッタイ</t>
    </rPh>
    <phoneticPr fontId="5"/>
  </si>
  <si>
    <t>狙いをつけているようだ・・・</t>
    <rPh sb="0" eb="1">
      <t>ネラ</t>
    </rPh>
    <phoneticPr fontId="5"/>
  </si>
  <si>
    <t>マルチターゲットスナイプ</t>
    <phoneticPr fontId="5"/>
  </si>
  <si>
    <t>心奪われる衣裳</t>
    <rPh sb="0" eb="1">
      <t>ココロ</t>
    </rPh>
    <rPh sb="1" eb="2">
      <t>ウバ</t>
    </rPh>
    <rPh sb="5" eb="7">
      <t>isyou</t>
    </rPh>
    <phoneticPr fontId="5"/>
  </si>
  <si>
    <t>月光の守護</t>
    <rPh sb="0" eb="2">
      <t>ゲッコウ</t>
    </rPh>
    <rPh sb="3" eb="5">
      <t>シュゴ</t>
    </rPh>
    <phoneticPr fontId="5"/>
  </si>
  <si>
    <t>お神輿じゃ！担ぐのじゃ！</t>
    <rPh sb="1" eb="3">
      <t>ミコシ</t>
    </rPh>
    <rPh sb="6" eb="7">
      <t>カツ</t>
    </rPh>
    <phoneticPr fontId="5"/>
  </si>
  <si>
    <t>ハートパネルをお邪魔パネルに変換</t>
    <rPh sb="8" eb="10">
      <t>ジャマ</t>
    </rPh>
    <rPh sb="14" eb="16">
      <t>ヘンカン</t>
    </rPh>
    <phoneticPr fontId="5"/>
  </si>
  <si>
    <t>ハートパネルを緑パネルに変換</t>
    <rPh sb="7" eb="8">
      <t>ミドリ</t>
    </rPh>
    <rPh sb="12" eb="14">
      <t>ヘンカン</t>
    </rPh>
    <phoneticPr fontId="5"/>
  </si>
  <si>
    <t>撤収！撤収！</t>
    <rPh sb="0" eb="2">
      <t>テッシュウ</t>
    </rPh>
    <rPh sb="3" eb="5">
      <t>テッシュウ</t>
    </rPh>
    <phoneticPr fontId="5"/>
  </si>
  <si>
    <t>2ターンの間　防御力上昇</t>
    <rPh sb="5" eb="6">
      <t>アイダ</t>
    </rPh>
    <rPh sb="7" eb="10">
      <t>ボウギョリョク</t>
    </rPh>
    <rPh sb="10" eb="12">
      <t>ジョウショウ</t>
    </rPh>
    <phoneticPr fontId="5"/>
  </si>
  <si>
    <t>そーれ！ぐるぐるぐるー♪</t>
    <phoneticPr fontId="5"/>
  </si>
  <si>
    <t>緊急リカバリー</t>
    <rPh sb="0" eb="2">
      <t>キンキュウ</t>
    </rPh>
    <phoneticPr fontId="5"/>
  </si>
  <si>
    <t>いいね〜燃える恋心ってやつかな？</t>
    <rPh sb="4" eb="5">
      <t>モ</t>
    </rPh>
    <rPh sb="7" eb="9">
      <t>コイゴコロ</t>
    </rPh>
    <phoneticPr fontId="5"/>
  </si>
  <si>
    <t>はははっ爽快だね！</t>
    <rPh sb="4" eb="6">
      <t>ソウカイ</t>
    </rPh>
    <phoneticPr fontId="5"/>
  </si>
  <si>
    <t>たまには、ブルーな気分も悪くない…か</t>
    <rPh sb="9" eb="11">
      <t>キブン</t>
    </rPh>
    <rPh sb="12" eb="13">
      <t>ワル</t>
    </rPh>
    <phoneticPr fontId="5"/>
  </si>
  <si>
    <t>やはり、幸せじゃないといけないよな！</t>
    <rPh sb="4" eb="5">
      <t>シアワ</t>
    </rPh>
    <phoneticPr fontId="5"/>
  </si>
  <si>
    <t>誰にでも、秘めた想いがあるものだろう？</t>
    <rPh sb="0" eb="1">
      <t>ダレ</t>
    </rPh>
    <rPh sb="5" eb="6">
      <t>ヒ</t>
    </rPh>
    <rPh sb="8" eb="10">
      <t>omoi</t>
    </rPh>
    <phoneticPr fontId="5"/>
  </si>
  <si>
    <t>私の実力、お見せしよう！</t>
    <rPh sb="0" eb="1">
      <t>ワタシ</t>
    </rPh>
    <rPh sb="2" eb="4">
      <t>ジツリョク</t>
    </rPh>
    <rPh sb="6" eb="7">
      <t>ミ</t>
    </rPh>
    <phoneticPr fontId="5"/>
  </si>
  <si>
    <t>ぐぬぬっ！障壁展開だ！！</t>
    <rPh sb="5" eb="7">
      <t>ショウヘキ</t>
    </rPh>
    <rPh sb="7" eb="9">
      <t>テンカイ</t>
    </rPh>
    <phoneticPr fontId="5"/>
  </si>
  <si>
    <t>今、キミたちのハートを釘付けにしようじゃないか！</t>
    <rPh sb="0" eb="1">
      <t>イマ</t>
    </rPh>
    <rPh sb="11" eb="13">
      <t>クギヅ</t>
    </rPh>
    <phoneticPr fontId="5"/>
  </si>
  <si>
    <t>謙信さまの笑顔が私の勇気の源なのだよ！</t>
    <rPh sb="0" eb="2">
      <t>ケンシンサマ</t>
    </rPh>
    <rPh sb="5" eb="7">
      <t>エガオ</t>
    </rPh>
    <rPh sb="8" eb="9">
      <t>ワタシ</t>
    </rPh>
    <rPh sb="10" eb="12">
      <t>ユウキ</t>
    </rPh>
    <rPh sb="13" eb="14">
      <t>ミナモト</t>
    </rPh>
    <phoneticPr fontId="5"/>
  </si>
  <si>
    <t>ハートパネルを吸収して全体攻撃</t>
    <phoneticPr fontId="5"/>
  </si>
  <si>
    <t>5ターンハートパネルが使用できない</t>
    <phoneticPr fontId="5"/>
  </si>
  <si>
    <t>ハートパネル吸収攻撃</t>
    <phoneticPr fontId="5"/>
  </si>
  <si>
    <t>ハートパネルを吸収して防御力UP</t>
    <phoneticPr fontId="5"/>
  </si>
  <si>
    <t>青属性に対して大ダメージの全体攻撃</t>
    <phoneticPr fontId="5"/>
  </si>
  <si>
    <t>青属性に対して大ダメージの全体攻撃</t>
    <phoneticPr fontId="5"/>
  </si>
  <si>
    <t>5ターンハートパネルが使用できない</t>
    <phoneticPr fontId="5"/>
  </si>
  <si>
    <t>2ターンの間、タップ回数が1減少</t>
    <phoneticPr fontId="5"/>
  </si>
  <si>
    <t>ハートパネルを吸収して全体攻撃</t>
    <phoneticPr fontId="5"/>
  </si>
  <si>
    <t>赤パネル5個をハートパネルに変換
＋次のターン強力なハート吸収攻撃</t>
    <phoneticPr fontId="5"/>
  </si>
  <si>
    <t>ハートパネルを吸収して防御力UP</t>
    <phoneticPr fontId="5"/>
  </si>
  <si>
    <t>ハートパネルを黄パネルに変換
＆赤パネルをハートパネルに変換</t>
    <rPh sb="7" eb="8">
      <t>キ</t>
    </rPh>
    <rPh sb="12" eb="14">
      <t>ヘンカン</t>
    </rPh>
    <rPh sb="16" eb="17">
      <t>アカ</t>
    </rPh>
    <rPh sb="28" eb="30">
      <t>ヘンカン</t>
    </rPh>
    <phoneticPr fontId="5"/>
  </si>
  <si>
    <t>ハートパネルを5個 時限式パネルに変換</t>
    <rPh sb="8" eb="9">
      <t>コ</t>
    </rPh>
    <rPh sb="10" eb="13">
      <t>jigeンンsiki</t>
    </rPh>
    <rPh sb="17" eb="19">
      <t>ヘンカン</t>
    </rPh>
    <phoneticPr fontId="5"/>
  </si>
  <si>
    <t>null</t>
    <phoneticPr fontId="5"/>
  </si>
  <si>
    <t>unit</t>
    <phoneticPr fontId="5"/>
  </si>
  <si>
    <t>link</t>
    <phoneticPr fontId="5"/>
  </si>
  <si>
    <t>プレッシャーを放っている！</t>
    <rPh sb="7" eb="8">
      <t>ハナ</t>
    </rPh>
    <phoneticPr fontId="5"/>
  </si>
  <si>
    <t>兼続サン…アタシも見てよ…</t>
    <rPh sb="0" eb="2">
      <t>カネツグ</t>
    </rPh>
    <rPh sb="9" eb="10">
      <t>ミ</t>
    </rPh>
    <phoneticPr fontId="5"/>
  </si>
  <si>
    <t xml:space="preserve">[effect:enhance_enemy, target:enemy_all, turn:2, status:defense, val:1.5, calc:mul, animation:enemy_enhance_defense]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</si>
</sst>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84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6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6" fillId="0" borderId="0" xfId="0" applyFont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31" fillId="0" borderId="12" xfId="0" applyFont="1" applyFill="1" applyBorder="1"/>
    <xf numFmtId="0" fontId="28" fillId="0" borderId="23" xfId="0" applyFont="1" applyFill="1" applyBorder="1"/>
    <xf numFmtId="0" fontId="29" fillId="3" borderId="23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3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0" fontId="27" fillId="6" borderId="24" xfId="0" applyFont="1" applyFill="1" applyBorder="1" applyAlignment="1">
      <alignment horizontal="center"/>
    </xf>
    <xf numFmtId="0" fontId="16" fillId="6" borderId="25" xfId="0" applyFont="1" applyFill="1" applyBorder="1" applyAlignment="1">
      <alignment horizontal="center"/>
    </xf>
    <xf numFmtId="0" fontId="16" fillId="3" borderId="25" xfId="0" applyFont="1" applyFill="1" applyBorder="1" applyAlignment="1">
      <alignment horizontal="center"/>
    </xf>
    <xf numFmtId="0" fontId="16" fillId="30" borderId="25" xfId="0" applyFont="1" applyFill="1" applyBorder="1" applyAlignment="1">
      <alignment horizontal="center"/>
    </xf>
    <xf numFmtId="0" fontId="16" fillId="13" borderId="25" xfId="0" applyFont="1" applyFill="1" applyBorder="1" applyAlignment="1">
      <alignment horizontal="center"/>
    </xf>
    <xf numFmtId="0" fontId="16" fillId="15" borderId="25" xfId="0" applyFont="1" applyFill="1" applyBorder="1" applyAlignment="1">
      <alignment horizontal="center"/>
    </xf>
    <xf numFmtId="0" fontId="16" fillId="14" borderId="25" xfId="0" applyFont="1" applyFill="1" applyBorder="1" applyAlignment="1">
      <alignment horizontal="center"/>
    </xf>
    <xf numFmtId="56" fontId="16" fillId="14" borderId="25" xfId="0" applyNumberFormat="1" applyFont="1" applyFill="1" applyBorder="1" applyAlignment="1">
      <alignment horizontal="center"/>
    </xf>
    <xf numFmtId="0" fontId="0" fillId="15" borderId="26" xfId="0" applyFill="1" applyBorder="1"/>
    <xf numFmtId="0" fontId="27" fillId="0" borderId="27" xfId="0" applyFont="1" applyFill="1" applyBorder="1"/>
    <xf numFmtId="0" fontId="0" fillId="0" borderId="28" xfId="0" applyBorder="1"/>
    <xf numFmtId="0" fontId="27" fillId="0" borderId="29" xfId="0" applyFont="1" applyFill="1" applyBorder="1"/>
    <xf numFmtId="0" fontId="0" fillId="0" borderId="30" xfId="0" applyBorder="1"/>
    <xf numFmtId="0" fontId="27" fillId="0" borderId="31" xfId="0" applyFont="1" applyFill="1" applyBorder="1"/>
    <xf numFmtId="0" fontId="0" fillId="0" borderId="32" xfId="0" applyBorder="1"/>
    <xf numFmtId="0" fontId="29" fillId="3" borderId="33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12" fillId="7" borderId="34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35" xfId="0" applyFont="1" applyBorder="1" applyAlignment="1">
      <alignment vertical="center"/>
    </xf>
    <xf numFmtId="177" fontId="8" fillId="0" borderId="35" xfId="0" applyNumberFormat="1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6" fontId="4" fillId="0" borderId="37" xfId="0" applyNumberFormat="1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38" xfId="0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177" fontId="8" fillId="0" borderId="39" xfId="0" applyNumberFormat="1" applyFont="1" applyBorder="1" applyAlignment="1">
      <alignment vertical="center"/>
    </xf>
    <xf numFmtId="0" fontId="4" fillId="0" borderId="40" xfId="0" applyFont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41" xfId="0" applyFont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12" fillId="7" borderId="42" xfId="0" applyFont="1" applyFill="1" applyBorder="1" applyAlignment="1">
      <alignment horizontal="left" vertical="center"/>
    </xf>
    <xf numFmtId="0" fontId="4" fillId="2" borderId="25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0" fontId="4" fillId="6" borderId="25" xfId="0" applyFont="1" applyFill="1" applyBorder="1" applyAlignment="1">
      <alignment horizontal="left" vertical="center"/>
    </xf>
    <xf numFmtId="0" fontId="4" fillId="3" borderId="43" xfId="0" applyFont="1" applyFill="1" applyBorder="1" applyAlignment="1">
      <alignment horizontal="left" vertical="center"/>
    </xf>
    <xf numFmtId="0" fontId="4" fillId="3" borderId="44" xfId="0" applyFont="1" applyFill="1" applyBorder="1" applyAlignment="1">
      <alignment horizontal="left" vertical="center"/>
    </xf>
    <xf numFmtId="0" fontId="4" fillId="2" borderId="45" xfId="0" applyFont="1" applyFill="1" applyBorder="1" applyAlignment="1">
      <alignment horizontal="left" vertical="center"/>
    </xf>
    <xf numFmtId="0" fontId="6" fillId="4" borderId="25" xfId="0" applyFont="1" applyFill="1" applyBorder="1" applyAlignment="1">
      <alignment horizontal="left" vertical="center"/>
    </xf>
    <xf numFmtId="0" fontId="4" fillId="6" borderId="26" xfId="0" applyFont="1" applyFill="1" applyBorder="1" applyAlignment="1">
      <alignment horizontal="left" vertical="center"/>
    </xf>
    <xf numFmtId="0" fontId="12" fillId="7" borderId="46" xfId="0" applyFont="1" applyFill="1" applyBorder="1" applyAlignment="1">
      <alignment vertical="center"/>
    </xf>
    <xf numFmtId="0" fontId="4" fillId="0" borderId="28" xfId="0" applyFont="1" applyBorder="1" applyAlignment="1">
      <alignment vertical="center"/>
    </xf>
    <xf numFmtId="0" fontId="12" fillId="7" borderId="47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32" xfId="0" applyFont="1" applyBorder="1" applyAlignment="1">
      <alignment vertical="center"/>
    </xf>
    <xf numFmtId="14" fontId="16" fillId="0" borderId="7" xfId="0" applyNumberFormat="1" applyFont="1" applyFill="1" applyBorder="1" applyAlignment="1">
      <alignment vertical="center"/>
    </xf>
    <xf numFmtId="0" fontId="16" fillId="0" borderId="39" xfId="0" applyFont="1" applyFill="1" applyBorder="1" applyAlignment="1">
      <alignment vertical="center"/>
    </xf>
    <xf numFmtId="0" fontId="16" fillId="3" borderId="10" xfId="0" applyFont="1" applyFill="1" applyBorder="1" applyAlignment="1">
      <alignment horizontal="left" vertical="center" wrapText="1"/>
    </xf>
    <xf numFmtId="0" fontId="16" fillId="6" borderId="2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center" vertical="center"/>
    </xf>
    <xf numFmtId="0" fontId="16" fillId="3" borderId="24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horizontal="left" vertical="center" wrapText="1"/>
    </xf>
    <xf numFmtId="0" fontId="16" fillId="3" borderId="25" xfId="0" applyFont="1" applyFill="1" applyBorder="1" applyAlignment="1">
      <alignment vertical="center"/>
    </xf>
    <xf numFmtId="0" fontId="16" fillId="3" borderId="27" xfId="0" applyFont="1" applyFill="1" applyBorder="1" applyAlignment="1">
      <alignment horizontal="left" vertical="center" wrapText="1"/>
    </xf>
    <xf numFmtId="0" fontId="16" fillId="0" borderId="28" xfId="0" applyFont="1" applyFill="1" applyBorder="1" applyAlignment="1">
      <alignment horizontal="left" vertical="center"/>
    </xf>
    <xf numFmtId="0" fontId="16" fillId="31" borderId="49" xfId="0" applyFont="1" applyFill="1" applyBorder="1" applyAlignment="1">
      <alignment vertical="center"/>
    </xf>
    <xf numFmtId="0" fontId="16" fillId="31" borderId="49" xfId="0" applyFont="1" applyFill="1" applyBorder="1" applyAlignment="1">
      <alignment horizontal="left" vertical="center"/>
    </xf>
    <xf numFmtId="0" fontId="16" fillId="31" borderId="49" xfId="0" applyFont="1" applyFill="1" applyBorder="1" applyAlignment="1">
      <alignment horizontal="left" vertical="center" wrapText="1"/>
    </xf>
    <xf numFmtId="0" fontId="16" fillId="31" borderId="50" xfId="0" applyFont="1" applyFill="1" applyBorder="1" applyAlignment="1">
      <alignment horizontal="left" vertical="center" wrapText="1"/>
    </xf>
    <xf numFmtId="0" fontId="16" fillId="31" borderId="10" xfId="0" applyFont="1" applyFill="1" applyBorder="1" applyAlignment="1">
      <alignment horizontal="left" vertical="center" wrapText="1"/>
    </xf>
    <xf numFmtId="0" fontId="16" fillId="31" borderId="7" xfId="0" applyFont="1" applyFill="1" applyBorder="1" applyAlignment="1">
      <alignment horizontal="left" vertical="center" wrapText="1"/>
    </xf>
    <xf numFmtId="0" fontId="16" fillId="31" borderId="8" xfId="0" applyFont="1" applyFill="1" applyBorder="1" applyAlignment="1">
      <alignment horizontal="left" vertical="center" wrapText="1"/>
    </xf>
    <xf numFmtId="0" fontId="16" fillId="31" borderId="48" xfId="0" applyFont="1" applyFill="1" applyBorder="1" applyAlignment="1">
      <alignment horizontal="left" vertical="center" wrapText="1"/>
    </xf>
    <xf numFmtId="14" fontId="16" fillId="31" borderId="49" xfId="0" applyNumberFormat="1" applyFont="1" applyFill="1" applyBorder="1" applyAlignment="1">
      <alignment horizontal="left" vertical="center"/>
    </xf>
    <xf numFmtId="0" fontId="16" fillId="31" borderId="50" xfId="0" applyFont="1" applyFill="1" applyBorder="1" applyAlignment="1">
      <alignment horizontal="left" vertical="center"/>
    </xf>
    <xf numFmtId="0" fontId="16" fillId="31" borderId="7" xfId="0" applyFont="1" applyFill="1" applyBorder="1" applyAlignment="1">
      <alignment vertical="center"/>
    </xf>
    <xf numFmtId="0" fontId="16" fillId="31" borderId="7" xfId="0" applyFont="1" applyFill="1" applyBorder="1" applyAlignment="1">
      <alignment horizontal="left" vertical="center"/>
    </xf>
    <xf numFmtId="0" fontId="16" fillId="31" borderId="28" xfId="0" applyFont="1" applyFill="1" applyBorder="1" applyAlignment="1">
      <alignment horizontal="left" vertical="center" wrapText="1"/>
    </xf>
    <xf numFmtId="0" fontId="16" fillId="31" borderId="27" xfId="0" applyFont="1" applyFill="1" applyBorder="1" applyAlignment="1">
      <alignment horizontal="left" vertical="center" wrapText="1"/>
    </xf>
    <xf numFmtId="14" fontId="16" fillId="31" borderId="7" xfId="0" applyNumberFormat="1" applyFont="1" applyFill="1" applyBorder="1" applyAlignment="1">
      <alignment horizontal="left" vertical="center"/>
    </xf>
    <xf numFmtId="0" fontId="16" fillId="31" borderId="28" xfId="0" applyFont="1" applyFill="1" applyBorder="1" applyAlignment="1">
      <alignment horizontal="left" vertical="center"/>
    </xf>
    <xf numFmtId="0" fontId="16" fillId="31" borderId="23" xfId="0" applyFont="1" applyFill="1" applyBorder="1" applyAlignment="1">
      <alignment vertical="center"/>
    </xf>
    <xf numFmtId="0" fontId="16" fillId="31" borderId="23" xfId="0" applyFont="1" applyFill="1" applyBorder="1" applyAlignment="1">
      <alignment horizontal="left" vertical="center"/>
    </xf>
    <xf numFmtId="0" fontId="16" fillId="31" borderId="23" xfId="0" applyFont="1" applyFill="1" applyBorder="1" applyAlignment="1">
      <alignment horizontal="left" vertical="center" wrapText="1"/>
    </xf>
    <xf numFmtId="0" fontId="16" fillId="31" borderId="30" xfId="0" applyFont="1" applyFill="1" applyBorder="1" applyAlignment="1">
      <alignment horizontal="left" vertical="center" wrapText="1"/>
    </xf>
    <xf numFmtId="0" fontId="16" fillId="31" borderId="29" xfId="0" applyFont="1" applyFill="1" applyBorder="1" applyAlignment="1">
      <alignment horizontal="left" vertical="center" wrapText="1"/>
    </xf>
    <xf numFmtId="14" fontId="16" fillId="31" borderId="23" xfId="0" applyNumberFormat="1" applyFont="1" applyFill="1" applyBorder="1" applyAlignment="1">
      <alignment horizontal="left" vertical="center"/>
    </xf>
    <xf numFmtId="0" fontId="16" fillId="31" borderId="30" xfId="0" applyFont="1" applyFill="1" applyBorder="1" applyAlignment="1">
      <alignment horizontal="left" vertical="center"/>
    </xf>
    <xf numFmtId="0" fontId="16" fillId="31" borderId="25" xfId="0" applyFont="1" applyFill="1" applyBorder="1" applyAlignment="1">
      <alignment vertical="center"/>
    </xf>
    <xf numFmtId="0" fontId="16" fillId="31" borderId="25" xfId="0" applyFont="1" applyFill="1" applyBorder="1" applyAlignment="1">
      <alignment horizontal="left" vertical="center"/>
    </xf>
    <xf numFmtId="0" fontId="16" fillId="31" borderId="25" xfId="0" applyFont="1" applyFill="1" applyBorder="1" applyAlignment="1">
      <alignment horizontal="left" vertical="center" wrapText="1"/>
    </xf>
    <xf numFmtId="0" fontId="16" fillId="31" borderId="26" xfId="0" applyFont="1" applyFill="1" applyBorder="1" applyAlignment="1">
      <alignment horizontal="left" vertical="center" wrapText="1"/>
    </xf>
    <xf numFmtId="0" fontId="16" fillId="31" borderId="24" xfId="0" applyFont="1" applyFill="1" applyBorder="1" applyAlignment="1">
      <alignment horizontal="left" vertical="center" wrapText="1"/>
    </xf>
    <xf numFmtId="14" fontId="16" fillId="31" borderId="25" xfId="0" applyNumberFormat="1" applyFont="1" applyFill="1" applyBorder="1" applyAlignment="1">
      <alignment horizontal="left" vertical="center"/>
    </xf>
    <xf numFmtId="0" fontId="16" fillId="31" borderId="26" xfId="0" applyFont="1" applyFill="1" applyBorder="1" applyAlignment="1">
      <alignment horizontal="left" vertical="center"/>
    </xf>
    <xf numFmtId="0" fontId="16" fillId="31" borderId="48" xfId="0" applyFont="1" applyFill="1" applyBorder="1" applyAlignment="1">
      <alignment vertical="center"/>
    </xf>
    <xf numFmtId="0" fontId="16" fillId="31" borderId="27" xfId="0" applyFont="1" applyFill="1" applyBorder="1" applyAlignment="1">
      <alignment vertical="center"/>
    </xf>
    <xf numFmtId="0" fontId="16" fillId="31" borderId="29" xfId="0" applyFont="1" applyFill="1" applyBorder="1" applyAlignment="1">
      <alignment vertical="center"/>
    </xf>
    <xf numFmtId="0" fontId="16" fillId="31" borderId="24" xfId="0" applyFont="1" applyFill="1" applyBorder="1" applyAlignment="1">
      <alignment vertical="center"/>
    </xf>
    <xf numFmtId="0" fontId="11" fillId="0" borderId="7" xfId="0" applyFont="1" applyBorder="1" applyAlignment="1">
      <alignment vertical="center"/>
    </xf>
    <xf numFmtId="0" fontId="16" fillId="3" borderId="48" xfId="0" applyFont="1" applyFill="1" applyBorder="1" applyAlignment="1">
      <alignment horizontal="left" vertical="center" wrapText="1"/>
    </xf>
    <xf numFmtId="0" fontId="16" fillId="3" borderId="49" xfId="0" applyFont="1" applyFill="1" applyBorder="1" applyAlignment="1">
      <alignment horizontal="left" vertical="center" wrapText="1"/>
    </xf>
    <xf numFmtId="0" fontId="16" fillId="3" borderId="49" xfId="0" applyFont="1" applyFill="1" applyBorder="1" applyAlignment="1">
      <alignment vertical="center"/>
    </xf>
    <xf numFmtId="0" fontId="16" fillId="32" borderId="27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7" xfId="0" applyFont="1" applyFill="1" applyBorder="1" applyAlignment="1">
      <alignment horizontal="left" vertical="center"/>
    </xf>
    <xf numFmtId="0" fontId="16" fillId="32" borderId="7" xfId="0" applyFont="1" applyFill="1" applyBorder="1" applyAlignment="1">
      <alignment horizontal="left" vertical="center" wrapText="1"/>
    </xf>
    <xf numFmtId="0" fontId="16" fillId="32" borderId="28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38" fontId="16" fillId="0" borderId="23" xfId="628" applyFont="1" applyFill="1" applyBorder="1" applyAlignment="1">
      <alignment wrapText="1"/>
    </xf>
    <xf numFmtId="0" fontId="27" fillId="33" borderId="7" xfId="0" applyFont="1" applyFill="1" applyBorder="1"/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0" fillId="0" borderId="12" xfId="0" applyBorder="1"/>
    <xf numFmtId="0" fontId="0" fillId="3" borderId="12" xfId="0" applyFill="1" applyBorder="1"/>
    <xf numFmtId="0" fontId="27" fillId="33" borderId="12" xfId="0" applyFont="1" applyFill="1" applyBorder="1"/>
    <xf numFmtId="0" fontId="0" fillId="0" borderId="24" xfId="0" applyBorder="1"/>
    <xf numFmtId="0" fontId="0" fillId="0" borderId="25" xfId="0" applyBorder="1"/>
    <xf numFmtId="0" fontId="0" fillId="3" borderId="25" xfId="0" applyFill="1" applyBorder="1"/>
    <xf numFmtId="0" fontId="6" fillId="5" borderId="25" xfId="0" applyFont="1" applyFill="1" applyBorder="1" applyAlignment="1">
      <alignment vertical="center"/>
    </xf>
    <xf numFmtId="0" fontId="27" fillId="33" borderId="25" xfId="0" applyFont="1" applyFill="1" applyBorder="1"/>
    <xf numFmtId="0" fontId="27" fillId="33" borderId="26" xfId="0" applyFont="1" applyFill="1" applyBorder="1"/>
    <xf numFmtId="0" fontId="0" fillId="0" borderId="27" xfId="0" applyBorder="1"/>
    <xf numFmtId="0" fontId="27" fillId="33" borderId="28" xfId="0" applyFont="1" applyFill="1" applyBorder="1"/>
    <xf numFmtId="0" fontId="0" fillId="0" borderId="29" xfId="0" applyBorder="1"/>
    <xf numFmtId="0" fontId="0" fillId="0" borderId="23" xfId="0" applyBorder="1"/>
    <xf numFmtId="0" fontId="0" fillId="3" borderId="23" xfId="0" applyFill="1" applyBorder="1"/>
    <xf numFmtId="0" fontId="27" fillId="33" borderId="23" xfId="0" applyFont="1" applyFill="1" applyBorder="1"/>
    <xf numFmtId="0" fontId="27" fillId="33" borderId="30" xfId="0" applyFont="1" applyFill="1" applyBorder="1"/>
    <xf numFmtId="0" fontId="27" fillId="0" borderId="25" xfId="0" applyFont="1" applyFill="1" applyBorder="1"/>
    <xf numFmtId="0" fontId="27" fillId="0" borderId="23" xfId="0" applyFont="1" applyFill="1" applyBorder="1"/>
    <xf numFmtId="0" fontId="27" fillId="0" borderId="12" xfId="0" applyFont="1" applyFill="1" applyBorder="1"/>
  </cellXfs>
  <cellStyles count="84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1454</v>
          </cell>
        </row>
        <row r="1406">
          <cell r="A1406">
            <v>1455</v>
          </cell>
        </row>
        <row r="1407">
          <cell r="A1407">
            <v>1458</v>
          </cell>
        </row>
        <row r="1408">
          <cell r="A1408">
            <v>1459</v>
          </cell>
        </row>
        <row r="1409">
          <cell r="A1409">
            <v>1460</v>
          </cell>
        </row>
        <row r="1410">
          <cell r="A1410">
            <v>1461</v>
          </cell>
        </row>
        <row r="1411">
          <cell r="A1411">
            <v>1462</v>
          </cell>
        </row>
        <row r="1412">
          <cell r="A1412">
            <v>1463</v>
          </cell>
        </row>
        <row r="1413">
          <cell r="A1413">
            <v>1464</v>
          </cell>
        </row>
        <row r="1414">
          <cell r="A1414">
            <v>1465</v>
          </cell>
        </row>
        <row r="1415">
          <cell r="A1415">
            <v>1466</v>
          </cell>
        </row>
        <row r="1416">
          <cell r="A1416">
            <v>1467</v>
          </cell>
        </row>
        <row r="1417">
          <cell r="A1417">
            <v>1468</v>
          </cell>
        </row>
        <row r="1418">
          <cell r="A1418">
            <v>1469</v>
          </cell>
        </row>
        <row r="1419">
          <cell r="A1419">
            <v>1470</v>
          </cell>
        </row>
        <row r="1420">
          <cell r="A1420">
            <v>1488</v>
          </cell>
        </row>
        <row r="1421">
          <cell r="A1421">
            <v>1489</v>
          </cell>
        </row>
        <row r="1422">
          <cell r="A1422">
            <v>1504</v>
          </cell>
        </row>
        <row r="1423">
          <cell r="A1423">
            <v>1505</v>
          </cell>
        </row>
        <row r="1424">
          <cell r="A1424">
            <v>1506</v>
          </cell>
        </row>
        <row r="1425">
          <cell r="A1425">
            <v>1507</v>
          </cell>
        </row>
        <row r="1426">
          <cell r="A1426">
            <v>1508</v>
          </cell>
        </row>
        <row r="1427">
          <cell r="A1427">
            <v>1509</v>
          </cell>
        </row>
        <row r="1428">
          <cell r="A1428">
            <v>1510</v>
          </cell>
        </row>
        <row r="1429">
          <cell r="A1429">
            <v>1511</v>
          </cell>
        </row>
        <row r="1430">
          <cell r="A1430">
            <v>1512</v>
          </cell>
        </row>
        <row r="1431">
          <cell r="A1431">
            <v>1513</v>
          </cell>
        </row>
        <row r="1432">
          <cell r="A1432">
            <v>1514</v>
          </cell>
        </row>
        <row r="1433">
          <cell r="A1433">
            <v>1515</v>
          </cell>
        </row>
        <row r="1434">
          <cell r="A1434">
            <v>1516</v>
          </cell>
        </row>
        <row r="1435">
          <cell r="A1435">
            <v>1517</v>
          </cell>
        </row>
        <row r="1436">
          <cell r="A1436">
            <v>1518</v>
          </cell>
        </row>
        <row r="1437">
          <cell r="A1437">
            <v>1519</v>
          </cell>
        </row>
        <row r="1438">
          <cell r="A1438">
            <v>1520</v>
          </cell>
        </row>
        <row r="1439">
          <cell r="A1439">
            <v>1521</v>
          </cell>
        </row>
        <row r="1440">
          <cell r="A1440">
            <v>1522</v>
          </cell>
        </row>
        <row r="1441">
          <cell r="A1441">
            <v>1523</v>
          </cell>
        </row>
        <row r="1442">
          <cell r="A1442">
            <v>1524</v>
          </cell>
        </row>
        <row r="1443">
          <cell r="A1443">
            <v>1525</v>
          </cell>
        </row>
        <row r="1444">
          <cell r="A1444">
            <v>1526</v>
          </cell>
        </row>
        <row r="1445">
          <cell r="A1445">
            <v>1527</v>
          </cell>
        </row>
        <row r="1446">
          <cell r="A1446">
            <v>1528</v>
          </cell>
        </row>
        <row r="1447">
          <cell r="A1447">
            <v>1529</v>
          </cell>
        </row>
        <row r="1448">
          <cell r="A1448">
            <v>1530</v>
          </cell>
        </row>
        <row r="1449">
          <cell r="A1449">
            <v>1531</v>
          </cell>
        </row>
        <row r="1450">
          <cell r="A1450">
            <v>1532</v>
          </cell>
        </row>
        <row r="1451">
          <cell r="A1451">
            <v>1533</v>
          </cell>
        </row>
        <row r="1452">
          <cell r="A1452">
            <v>1534</v>
          </cell>
        </row>
        <row r="1453">
          <cell r="A1453">
            <v>1535</v>
          </cell>
        </row>
        <row r="1454">
          <cell r="A1454">
            <v>1536</v>
          </cell>
        </row>
        <row r="1455">
          <cell r="A1455">
            <v>1537</v>
          </cell>
        </row>
        <row r="1456">
          <cell r="A1456">
            <v>1538</v>
          </cell>
        </row>
        <row r="1457">
          <cell r="A1457">
            <v>1539</v>
          </cell>
        </row>
        <row r="1458">
          <cell r="A1458">
            <v>1540</v>
          </cell>
        </row>
        <row r="1459">
          <cell r="A1459">
            <v>1541</v>
          </cell>
        </row>
        <row r="1460">
          <cell r="A1460">
            <v>1542</v>
          </cell>
        </row>
        <row r="1461">
          <cell r="A1461">
            <v>1543</v>
          </cell>
        </row>
        <row r="1462">
          <cell r="A1462">
            <v>1544</v>
          </cell>
        </row>
        <row r="1463">
          <cell r="A1463">
            <v>1545</v>
          </cell>
        </row>
        <row r="1464">
          <cell r="A1464">
            <v>1546</v>
          </cell>
        </row>
        <row r="1465">
          <cell r="A1465">
            <v>1547</v>
          </cell>
        </row>
        <row r="1466">
          <cell r="A1466">
            <v>1548</v>
          </cell>
        </row>
        <row r="1467">
          <cell r="A1467">
            <v>1549</v>
          </cell>
        </row>
        <row r="1468">
          <cell r="A1468">
            <v>1550</v>
          </cell>
        </row>
        <row r="1469">
          <cell r="A1469">
            <v>5001</v>
          </cell>
        </row>
        <row r="1470">
          <cell r="A1470">
            <v>5002</v>
          </cell>
        </row>
        <row r="1471">
          <cell r="A1471">
            <v>5003</v>
          </cell>
        </row>
        <row r="1472">
          <cell r="A1472">
            <v>5004</v>
          </cell>
        </row>
        <row r="1473">
          <cell r="A1473">
            <v>5005</v>
          </cell>
        </row>
        <row r="1474">
          <cell r="A1474">
            <v>5006</v>
          </cell>
        </row>
        <row r="1475">
          <cell r="A1475">
            <v>5007</v>
          </cell>
        </row>
        <row r="1476">
          <cell r="A1476">
            <v>5008</v>
          </cell>
        </row>
        <row r="1477">
          <cell r="A1477">
            <v>6001</v>
          </cell>
        </row>
        <row r="1478">
          <cell r="A1478">
            <v>6002</v>
          </cell>
        </row>
        <row r="1479">
          <cell r="A1479">
            <v>6003</v>
          </cell>
        </row>
        <row r="1480">
          <cell r="A1480">
            <v>6004</v>
          </cell>
        </row>
        <row r="1481">
          <cell r="A1481">
            <v>6005</v>
          </cell>
        </row>
        <row r="1482">
          <cell r="A1482">
            <v>6006</v>
          </cell>
        </row>
        <row r="1483">
          <cell r="A1483">
            <v>6007</v>
          </cell>
        </row>
        <row r="1484">
          <cell r="A1484">
            <v>6008</v>
          </cell>
        </row>
        <row r="1485">
          <cell r="A1485">
            <v>6009</v>
          </cell>
        </row>
        <row r="1486">
          <cell r="A1486">
            <v>6010</v>
          </cell>
        </row>
        <row r="1487">
          <cell r="A1487">
            <v>6011</v>
          </cell>
        </row>
        <row r="1488">
          <cell r="A1488">
            <v>6012</v>
          </cell>
        </row>
        <row r="1489">
          <cell r="A1489">
            <v>6013</v>
          </cell>
        </row>
        <row r="1490">
          <cell r="A1490">
            <v>6014</v>
          </cell>
        </row>
        <row r="1491">
          <cell r="A1491">
            <v>6015</v>
          </cell>
        </row>
        <row r="1492">
          <cell r="A1492">
            <v>6016</v>
          </cell>
        </row>
        <row r="1493">
          <cell r="A1493">
            <v>6017</v>
          </cell>
        </row>
        <row r="1494">
          <cell r="A1494">
            <v>6018</v>
          </cell>
        </row>
        <row r="1495">
          <cell r="A1495">
            <v>6019</v>
          </cell>
        </row>
        <row r="1496">
          <cell r="A1496">
            <v>6020</v>
          </cell>
        </row>
        <row r="1497">
          <cell r="A1497">
            <v>8001</v>
          </cell>
        </row>
        <row r="1498">
          <cell r="A1498">
            <v>8002</v>
          </cell>
        </row>
        <row r="1499">
          <cell r="A1499">
            <v>8003</v>
          </cell>
        </row>
        <row r="1500">
          <cell r="A1500">
            <v>8004</v>
          </cell>
        </row>
        <row r="1501">
          <cell r="A1501">
            <v>8005</v>
          </cell>
        </row>
        <row r="1502">
          <cell r="A1502">
            <v>8006</v>
          </cell>
        </row>
        <row r="1503">
          <cell r="A1503">
            <v>8007</v>
          </cell>
        </row>
        <row r="1504">
          <cell r="A1504">
            <v>8008</v>
          </cell>
        </row>
        <row r="1505">
          <cell r="A1505">
            <v>8009</v>
          </cell>
        </row>
        <row r="1506">
          <cell r="A1506">
            <v>8010</v>
          </cell>
        </row>
        <row r="1507">
          <cell r="A1507">
            <v>8011</v>
          </cell>
        </row>
        <row r="1508">
          <cell r="A1508">
            <v>8012</v>
          </cell>
        </row>
        <row r="1509">
          <cell r="A1509">
            <v>8013</v>
          </cell>
        </row>
        <row r="1510">
          <cell r="A1510">
            <v>8014</v>
          </cell>
        </row>
        <row r="1511">
          <cell r="A1511">
            <v>8015</v>
          </cell>
        </row>
        <row r="1512">
          <cell r="A1512">
            <v>8016</v>
          </cell>
        </row>
        <row r="1513">
          <cell r="A1513">
            <v>8017</v>
          </cell>
        </row>
        <row r="1514">
          <cell r="A1514">
            <v>8018</v>
          </cell>
        </row>
        <row r="1515">
          <cell r="A1515">
            <v>8019</v>
          </cell>
        </row>
        <row r="1516">
          <cell r="A1516">
            <v>8020</v>
          </cell>
        </row>
        <row r="1517">
          <cell r="A1517">
            <v>8021</v>
          </cell>
        </row>
        <row r="1518">
          <cell r="A1518">
            <v>8022</v>
          </cell>
        </row>
        <row r="1519">
          <cell r="A1519">
            <v>8023</v>
          </cell>
        </row>
        <row r="1520">
          <cell r="A1520">
            <v>8024</v>
          </cell>
        </row>
        <row r="1521">
          <cell r="A1521">
            <v>8025</v>
          </cell>
        </row>
        <row r="1522">
          <cell r="A1522">
            <v>8026</v>
          </cell>
        </row>
        <row r="1523">
          <cell r="A1523">
            <v>8027</v>
          </cell>
        </row>
        <row r="1524">
          <cell r="A1524">
            <v>8028</v>
          </cell>
        </row>
        <row r="1525">
          <cell r="A1525">
            <v>8029</v>
          </cell>
        </row>
        <row r="1526">
          <cell r="A1526">
            <v>8030</v>
          </cell>
        </row>
        <row r="1527">
          <cell r="A1527">
            <v>8031</v>
          </cell>
        </row>
        <row r="1528">
          <cell r="A1528">
            <v>8032</v>
          </cell>
        </row>
        <row r="1529">
          <cell r="A1529">
            <v>8033</v>
          </cell>
        </row>
        <row r="1530">
          <cell r="A1530">
            <v>8034</v>
          </cell>
        </row>
        <row r="1531">
          <cell r="A1531">
            <v>8035</v>
          </cell>
        </row>
        <row r="1532">
          <cell r="A1532">
            <v>8036</v>
          </cell>
        </row>
        <row r="1533">
          <cell r="A1533">
            <v>8037</v>
          </cell>
        </row>
        <row r="1534">
          <cell r="A1534">
            <v>8038</v>
          </cell>
        </row>
        <row r="1535">
          <cell r="A1535">
            <v>8039</v>
          </cell>
        </row>
        <row r="1536">
          <cell r="A1536">
            <v>8040</v>
          </cell>
        </row>
        <row r="1537">
          <cell r="A1537">
            <v>8041</v>
          </cell>
        </row>
        <row r="1538">
          <cell r="A1538">
            <v>8042</v>
          </cell>
        </row>
        <row r="1539">
          <cell r="A1539">
            <v>8043</v>
          </cell>
        </row>
        <row r="1540">
          <cell r="A1540">
            <v>8044</v>
          </cell>
        </row>
        <row r="1541">
          <cell r="A1541">
            <v>8045</v>
          </cell>
        </row>
        <row r="1542">
          <cell r="A1542">
            <v>8046</v>
          </cell>
        </row>
        <row r="1543">
          <cell r="A1543">
            <v>8047</v>
          </cell>
        </row>
        <row r="1544">
          <cell r="A1544">
            <v>8048</v>
          </cell>
        </row>
        <row r="1545">
          <cell r="A1545">
            <v>8049</v>
          </cell>
        </row>
        <row r="1546">
          <cell r="A1546">
            <v>8050</v>
          </cell>
        </row>
        <row r="1547">
          <cell r="A1547">
            <v>8051</v>
          </cell>
        </row>
        <row r="1548">
          <cell r="A1548">
            <v>8052</v>
          </cell>
        </row>
        <row r="1549">
          <cell r="A1549">
            <v>8053</v>
          </cell>
        </row>
        <row r="1550">
          <cell r="A1550">
            <v>8054</v>
          </cell>
        </row>
        <row r="1551">
          <cell r="A1551">
            <v>8055</v>
          </cell>
        </row>
        <row r="1552">
          <cell r="A1552">
            <v>8056</v>
          </cell>
        </row>
        <row r="1553">
          <cell r="A1553">
            <v>8057</v>
          </cell>
        </row>
        <row r="1554">
          <cell r="A1554">
            <v>8058</v>
          </cell>
        </row>
        <row r="1555">
          <cell r="A1555">
            <v>8059</v>
          </cell>
        </row>
        <row r="1556">
          <cell r="A1556">
            <v>8060</v>
          </cell>
        </row>
        <row r="1557">
          <cell r="A1557">
            <v>8061</v>
          </cell>
        </row>
        <row r="1558">
          <cell r="A1558">
            <v>8062</v>
          </cell>
        </row>
        <row r="1559">
          <cell r="A1559">
            <v>8063</v>
          </cell>
        </row>
        <row r="1560">
          <cell r="A1560">
            <v>8064</v>
          </cell>
        </row>
        <row r="1561">
          <cell r="A1561">
            <v>8065</v>
          </cell>
        </row>
        <row r="1562">
          <cell r="A1562">
            <v>8066</v>
          </cell>
        </row>
        <row r="1563">
          <cell r="A1563">
            <v>8067</v>
          </cell>
        </row>
        <row r="1564">
          <cell r="A1564">
            <v>8068</v>
          </cell>
        </row>
        <row r="1565">
          <cell r="A1565">
            <v>8069</v>
          </cell>
        </row>
        <row r="1566">
          <cell r="A1566">
            <v>8070</v>
          </cell>
        </row>
        <row r="1567">
          <cell r="A1567">
            <v>8071</v>
          </cell>
        </row>
        <row r="1568">
          <cell r="A1568">
            <v>8072</v>
          </cell>
        </row>
        <row r="1569">
          <cell r="A1569">
            <v>8073</v>
          </cell>
        </row>
        <row r="1570">
          <cell r="A1570">
            <v>8074</v>
          </cell>
        </row>
        <row r="1571">
          <cell r="A1571">
            <v>8075</v>
          </cell>
        </row>
        <row r="1572">
          <cell r="A1572">
            <v>8076</v>
          </cell>
        </row>
        <row r="1573">
          <cell r="A1573">
            <v>8077</v>
          </cell>
        </row>
        <row r="1574">
          <cell r="A1574">
            <v>8078</v>
          </cell>
        </row>
        <row r="1575">
          <cell r="A1575">
            <v>8079</v>
          </cell>
        </row>
        <row r="1576">
          <cell r="A1576">
            <v>8080</v>
          </cell>
        </row>
        <row r="1577">
          <cell r="A1577">
            <v>8081</v>
          </cell>
        </row>
        <row r="1578">
          <cell r="A1578">
            <v>8082</v>
          </cell>
        </row>
        <row r="1579">
          <cell r="A1579">
            <v>8083</v>
          </cell>
        </row>
        <row r="1580">
          <cell r="A1580">
            <v>8084</v>
          </cell>
        </row>
        <row r="1581">
          <cell r="A1581">
            <v>8087</v>
          </cell>
        </row>
        <row r="1582">
          <cell r="A1582">
            <v>8088</v>
          </cell>
        </row>
        <row r="1583">
          <cell r="A1583">
            <v>8089</v>
          </cell>
        </row>
        <row r="1584">
          <cell r="A1584">
            <v>8090</v>
          </cell>
        </row>
        <row r="1585">
          <cell r="A1585">
            <v>8095</v>
          </cell>
        </row>
        <row r="1586">
          <cell r="A1586">
            <v>8096</v>
          </cell>
        </row>
        <row r="1587">
          <cell r="A1587">
            <v>8097</v>
          </cell>
        </row>
        <row r="1588">
          <cell r="A1588">
            <v>8098</v>
          </cell>
        </row>
        <row r="1589">
          <cell r="A1589">
            <v>8099</v>
          </cell>
        </row>
        <row r="1590">
          <cell r="A1590">
            <v>9001</v>
          </cell>
        </row>
        <row r="1591">
          <cell r="A1591">
            <v>9002</v>
          </cell>
        </row>
        <row r="1592">
          <cell r="A1592">
            <v>9003</v>
          </cell>
        </row>
        <row r="1593">
          <cell r="A1593">
            <v>9004</v>
          </cell>
        </row>
        <row r="1594">
          <cell r="A1594">
            <v>10001</v>
          </cell>
        </row>
        <row r="1595">
          <cell r="A1595">
            <v>10002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F30" sqref="F30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130</v>
      </c>
      <c r="B1" s="51" t="s">
        <v>100</v>
      </c>
      <c r="C1" s="51" t="s">
        <v>101</v>
      </c>
      <c r="D1" s="51" t="s">
        <v>102</v>
      </c>
      <c r="E1" s="51" t="s">
        <v>103</v>
      </c>
      <c r="F1" s="51" t="s">
        <v>104</v>
      </c>
      <c r="G1" s="51" t="s">
        <v>105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</row>
    <row r="2" spans="1:30" x14ac:dyDescent="0.15">
      <c r="A2" s="57" t="s">
        <v>229</v>
      </c>
      <c r="B2" s="53" t="s">
        <v>106</v>
      </c>
      <c r="C2" s="58">
        <v>20013</v>
      </c>
      <c r="D2" s="53" t="s">
        <v>107</v>
      </c>
      <c r="E2" s="52" t="str">
        <f>B2&amp;C2&amp;D2</f>
        <v>floors_20013.tmp</v>
      </c>
      <c r="F2" s="53" t="s">
        <v>108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</row>
    <row r="3" spans="1:30" x14ac:dyDescent="0.15">
      <c r="A3" s="57" t="s">
        <v>229</v>
      </c>
      <c r="B3" s="53" t="s">
        <v>109</v>
      </c>
      <c r="C3" s="58">
        <f>C$2</f>
        <v>20013</v>
      </c>
      <c r="D3" s="53" t="s">
        <v>107</v>
      </c>
      <c r="E3" s="52" t="str">
        <f>B3&amp;C3&amp;D3</f>
        <v>enemy_habitats_20013.tmp</v>
      </c>
      <c r="F3" s="53" t="s">
        <v>110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178</v>
      </c>
    </row>
    <row r="4" spans="1:30" x14ac:dyDescent="0.15">
      <c r="A4" s="57" t="s">
        <v>229</v>
      </c>
      <c r="B4" s="53" t="s">
        <v>111</v>
      </c>
      <c r="C4" s="58">
        <f t="shared" ref="C4:C12" si="0">C$2</f>
        <v>20013</v>
      </c>
      <c r="D4" s="53" t="s">
        <v>107</v>
      </c>
      <c r="E4" s="52" t="str">
        <f>B4&amp;C4&amp;D4</f>
        <v>enemy_habitat_S_20013.tmp</v>
      </c>
      <c r="F4" s="53" t="s">
        <v>112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</row>
    <row r="5" spans="1:30" x14ac:dyDescent="0.15">
      <c r="A5" s="57" t="s">
        <v>229</v>
      </c>
      <c r="B5" s="53" t="s">
        <v>113</v>
      </c>
      <c r="C5" s="58">
        <f t="shared" si="0"/>
        <v>20013</v>
      </c>
      <c r="D5" s="53" t="s">
        <v>107</v>
      </c>
      <c r="E5" s="52" t="str">
        <f>B5&amp;C5&amp;D5</f>
        <v>enemy_skill_sets_20013.tmp</v>
      </c>
      <c r="F5" s="53" t="s">
        <v>114</v>
      </c>
      <c r="G5" s="55" t="s">
        <v>22</v>
      </c>
      <c r="H5" s="55" t="s">
        <v>99</v>
      </c>
      <c r="I5" s="55" t="s">
        <v>94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</row>
    <row r="6" spans="1:30" x14ac:dyDescent="0.15">
      <c r="A6" s="57" t="s">
        <v>229</v>
      </c>
      <c r="B6" s="53" t="s">
        <v>115</v>
      </c>
      <c r="C6" s="58">
        <f t="shared" si="0"/>
        <v>20013</v>
      </c>
      <c r="D6" s="53" t="s">
        <v>116</v>
      </c>
      <c r="E6" s="52" t="str">
        <f t="shared" ref="E6:E10" si="1">B6&amp;C6&amp;D6</f>
        <v>enemy_skills_tmp_20013.tmp</v>
      </c>
      <c r="F6" s="53" t="s">
        <v>90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</row>
    <row r="7" spans="1:30" x14ac:dyDescent="0.15">
      <c r="A7" s="57" t="s">
        <v>229</v>
      </c>
      <c r="B7" s="53" t="s">
        <v>117</v>
      </c>
      <c r="C7" s="58">
        <f t="shared" si="0"/>
        <v>20013</v>
      </c>
      <c r="D7" s="53" t="s">
        <v>107</v>
      </c>
      <c r="E7" s="52" t="str">
        <f>B7&amp;C7&amp;D7</f>
        <v>enemy_skills_i18n_20013.tmp</v>
      </c>
      <c r="F7" s="53" t="s">
        <v>118</v>
      </c>
      <c r="G7" s="54" t="s">
        <v>79</v>
      </c>
      <c r="H7" s="54" t="s">
        <v>91</v>
      </c>
      <c r="I7" s="54" t="s">
        <v>92</v>
      </c>
      <c r="J7" s="54" t="s">
        <v>93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</row>
    <row r="8" spans="1:30" x14ac:dyDescent="0.15">
      <c r="A8" s="57" t="s">
        <v>229</v>
      </c>
      <c r="B8" s="53" t="s">
        <v>119</v>
      </c>
      <c r="C8" s="58">
        <f t="shared" si="0"/>
        <v>20013</v>
      </c>
      <c r="D8" s="53" t="s">
        <v>120</v>
      </c>
      <c r="E8" s="52" t="str">
        <f t="shared" si="1"/>
        <v>enemy_skill_triggers_20013.tmp</v>
      </c>
      <c r="F8" s="53" t="s">
        <v>121</v>
      </c>
      <c r="G8" s="54" t="s">
        <v>94</v>
      </c>
      <c r="H8" s="54" t="s">
        <v>95</v>
      </c>
      <c r="I8" s="54" t="s">
        <v>96</v>
      </c>
      <c r="J8" s="54" t="s">
        <v>97</v>
      </c>
      <c r="K8" s="54" t="s">
        <v>122</v>
      </c>
      <c r="L8" s="54" t="s">
        <v>98</v>
      </c>
      <c r="M8" s="54" t="s">
        <v>123</v>
      </c>
      <c r="N8" s="54" t="s">
        <v>124</v>
      </c>
      <c r="O8" s="54" t="s">
        <v>125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</row>
    <row r="9" spans="1:30" x14ac:dyDescent="0.15">
      <c r="A9" s="57" t="s">
        <v>229</v>
      </c>
      <c r="B9" s="63" t="s">
        <v>177</v>
      </c>
      <c r="C9" s="58">
        <f t="shared" si="0"/>
        <v>20013</v>
      </c>
      <c r="D9" s="63" t="s">
        <v>171</v>
      </c>
      <c r="E9" s="64" t="str">
        <f t="shared" si="1"/>
        <v>stage_bug_bonuses_20013.tmp</v>
      </c>
      <c r="F9" s="63" t="s">
        <v>172</v>
      </c>
      <c r="G9" s="60" t="s">
        <v>150</v>
      </c>
      <c r="H9" s="60" t="s">
        <v>173</v>
      </c>
      <c r="I9" s="60" t="s">
        <v>174</v>
      </c>
      <c r="J9" s="62" t="s">
        <v>175</v>
      </c>
      <c r="K9" s="60" t="s">
        <v>176</v>
      </c>
      <c r="L9" s="60" t="s">
        <v>156</v>
      </c>
      <c r="M9" s="60" t="s">
        <v>157</v>
      </c>
      <c r="N9" s="60" t="s">
        <v>158</v>
      </c>
      <c r="O9" s="60" t="s">
        <v>159</v>
      </c>
      <c r="P9" s="60" t="s">
        <v>160</v>
      </c>
      <c r="Q9" s="60" t="s">
        <v>161</v>
      </c>
      <c r="R9" s="60" t="s">
        <v>162</v>
      </c>
      <c r="S9" s="60" t="s">
        <v>163</v>
      </c>
      <c r="T9" s="60" t="s">
        <v>164</v>
      </c>
      <c r="U9" s="60" t="s">
        <v>165</v>
      </c>
      <c r="V9" s="60" t="s">
        <v>166</v>
      </c>
      <c r="W9" s="60" t="s">
        <v>167</v>
      </c>
    </row>
    <row r="10" spans="1:30" s="70" customFormat="1" x14ac:dyDescent="0.15">
      <c r="A10" s="57" t="s">
        <v>229</v>
      </c>
      <c r="B10" s="63" t="s">
        <v>201</v>
      </c>
      <c r="C10" s="58">
        <f>C$2</f>
        <v>20013</v>
      </c>
      <c r="D10" s="63" t="s">
        <v>180</v>
      </c>
      <c r="E10" s="64" t="str">
        <f t="shared" si="1"/>
        <v>stage_hints_data_c_20013.tmp</v>
      </c>
      <c r="F10" s="63" t="s">
        <v>209</v>
      </c>
      <c r="G10" s="67" t="s">
        <v>181</v>
      </c>
      <c r="H10" s="67" t="s">
        <v>173</v>
      </c>
      <c r="I10" s="68" t="s">
        <v>182</v>
      </c>
      <c r="J10" s="62" t="s">
        <v>183</v>
      </c>
      <c r="K10" s="69" t="s">
        <v>184</v>
      </c>
    </row>
    <row r="11" spans="1:30" s="70" customFormat="1" x14ac:dyDescent="0.15">
      <c r="A11" s="57" t="s">
        <v>229</v>
      </c>
      <c r="B11" s="63" t="s">
        <v>202</v>
      </c>
      <c r="C11" s="58">
        <f t="shared" si="0"/>
        <v>20013</v>
      </c>
      <c r="D11" s="63" t="s">
        <v>171</v>
      </c>
      <c r="E11" s="64" t="str">
        <f t="shared" ref="E11:E12" si="2">B11&amp;C11&amp;D11</f>
        <v>stage_hints_data_f_20013.tmp</v>
      </c>
      <c r="F11" s="63" t="s">
        <v>211</v>
      </c>
      <c r="G11" s="67" t="s">
        <v>181</v>
      </c>
      <c r="H11" s="67" t="s">
        <v>173</v>
      </c>
      <c r="I11" s="68" t="s">
        <v>182</v>
      </c>
      <c r="J11" s="62" t="s">
        <v>183</v>
      </c>
      <c r="K11" s="69" t="s">
        <v>184</v>
      </c>
    </row>
    <row r="12" spans="1:30" s="70" customFormat="1" x14ac:dyDescent="0.15">
      <c r="A12" s="57" t="s">
        <v>229</v>
      </c>
      <c r="B12" s="63" t="s">
        <v>203</v>
      </c>
      <c r="C12" s="58">
        <f t="shared" si="0"/>
        <v>20013</v>
      </c>
      <c r="D12" s="63" t="s">
        <v>171</v>
      </c>
      <c r="E12" s="64" t="str">
        <f t="shared" si="2"/>
        <v>stage_hints_i18n_20013.tmp</v>
      </c>
      <c r="F12" s="63" t="s">
        <v>212</v>
      </c>
      <c r="G12" s="68" t="s">
        <v>204</v>
      </c>
      <c r="H12" s="89" t="s">
        <v>205</v>
      </c>
      <c r="I12" s="67" t="s">
        <v>206</v>
      </c>
      <c r="J12" s="90" t="s">
        <v>207</v>
      </c>
      <c r="K12" s="69" t="s">
        <v>208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D26" sqref="D2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20013_1-1</v>
      </c>
      <c r="B2" s="16" t="str">
        <f>IF(COUNTIF(enemy_habitats!$H:$H,A2),"OK","NG")</f>
        <v>OK</v>
      </c>
      <c r="C2" s="7">
        <v>20013</v>
      </c>
      <c r="D2" s="11" t="str">
        <f ca="1">VLOOKUP($C2,OFFSET([2]quests!$A$1,0,0,COUNTA([2]quests!$A:$A),MATCH(D$1,[2]quests!$1:$1,0)-MATCH($C$1,[2]quests!$1:$1,0)+1),MATCH(D$1,[2]quests!$1:$1,0)-MATCH($C$1,[2]quests!$1:$1,0)+1,FALSE)</f>
        <v>天の時、地の利、人の和</v>
      </c>
      <c r="E2" s="18" t="str">
        <f ca="1">VLOOKUP($C2,OFFSET([2]quests!$A$1,0,0,COUNTA([2]quests!$A:$A),MATCH(E$1,[2]quests!$1:$1,0)-MATCH($C$1,[2]quests!$1:$1,0)+1),MATCH(E$1,[2]quests!$1:$1,0)-MATCH($C$1,[2]quests!$1:$1,0)+1,FALSE)</f>
        <v>ドロップイベント4</v>
      </c>
      <c r="F2" s="21">
        <v>1</v>
      </c>
      <c r="G2" s="23" t="str">
        <f>C2&amp;"_"&amp;F2</f>
        <v>20013_1</v>
      </c>
      <c r="H2" s="15" t="str">
        <f ca="1">VLOOKUP($G2,OFFSET([2]stages!$A$1,0,0,COUNTA([2]stages!$A:$A),MATCH(H$1,[2]stages!$2:$2,0)-MATCH($G$1,[2]stages!$2:$2,0)+1),MATCH(H$1,[2]stages!$2:$2,0)-MATCH($G$1,[2]stages!$2:$2,0)+1,FALSE)</f>
        <v>【初級】天の時、地の利、人の和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13" si="0">G3&amp;"-"&amp;I3</f>
        <v>20013_1-2</v>
      </c>
      <c r="B3" s="16" t="str">
        <f>IF(COUNTIF(enemy_habitats!$H:$H,A3),"OK","NG")</f>
        <v>OK</v>
      </c>
      <c r="C3" s="7">
        <v>20013</v>
      </c>
      <c r="D3" s="11" t="str">
        <f ca="1">VLOOKUP($C3,OFFSET([2]quests!$A$1,0,0,COUNTA([2]quests!$A:$A),MATCH(D$1,[2]quests!$1:$1,0)-MATCH($C$1,[2]quests!$1:$1,0)+1),MATCH(D$1,[2]quests!$1:$1,0)-MATCH($C$1,[2]quests!$1:$1,0)+1,FALSE)</f>
        <v>天の時、地の利、人の和</v>
      </c>
      <c r="E3" s="18" t="str">
        <f ca="1">VLOOKUP($C3,OFFSET([2]quests!$A$1,0,0,COUNTA([2]quests!$A:$A),MATCH(E$1,[2]quests!$1:$1,0)-MATCH($C$1,[2]quests!$1:$1,0)+1),MATCH(E$1,[2]quests!$1:$1,0)-MATCH($C$1,[2]quests!$1:$1,0)+1,FALSE)</f>
        <v>ドロップイベント4</v>
      </c>
      <c r="F3" s="21">
        <v>1</v>
      </c>
      <c r="G3" s="23" t="str">
        <f t="shared" ref="G3:G13" si="1">C3&amp;"_"&amp;F3</f>
        <v>20013_1</v>
      </c>
      <c r="H3" s="15" t="str">
        <f ca="1">VLOOKUP($G3,OFFSET([2]stages!$A$1,0,0,COUNTA([2]stages!$A:$A),MATCH(H$1,[2]stages!$2:$2,0)-MATCH($G$1,[2]stages!$2:$2,0)+1),MATCH(H$1,[2]stages!$2:$2,0)-MATCH($G$1,[2]stages!$2:$2,0)+1,FALSE)</f>
        <v>【初級】天の時、地の利、人の和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20013_1-3</v>
      </c>
      <c r="B4" s="16" t="str">
        <f>IF(COUNTIF(enemy_habitats!$H:$H,A4),"OK","NG")</f>
        <v>OK</v>
      </c>
      <c r="C4" s="7">
        <v>20013</v>
      </c>
      <c r="D4" s="11" t="str">
        <f ca="1">VLOOKUP($C4,OFFSET([2]quests!$A$1,0,0,COUNTA([2]quests!$A:$A),MATCH(D$1,[2]quests!$1:$1,0)-MATCH($C$1,[2]quests!$1:$1,0)+1),MATCH(D$1,[2]quests!$1:$1,0)-MATCH($C$1,[2]quests!$1:$1,0)+1,FALSE)</f>
        <v>天の時、地の利、人の和</v>
      </c>
      <c r="E4" s="18" t="str">
        <f ca="1">VLOOKUP($C4,OFFSET([2]quests!$A$1,0,0,COUNTA([2]quests!$A:$A),MATCH(E$1,[2]quests!$1:$1,0)-MATCH($C$1,[2]quests!$1:$1,0)+1),MATCH(E$1,[2]quests!$1:$1,0)-MATCH($C$1,[2]quests!$1:$1,0)+1,FALSE)</f>
        <v>ドロップイベント4</v>
      </c>
      <c r="F4" s="21">
        <v>1</v>
      </c>
      <c r="G4" s="23" t="str">
        <f t="shared" si="1"/>
        <v>20013_1</v>
      </c>
      <c r="H4" s="15" t="str">
        <f ca="1">VLOOKUP($G4,OFFSET([2]stages!$A$1,0,0,COUNTA([2]stages!$A:$A),MATCH(H$1,[2]stages!$2:$2,0)-MATCH($G$1,[2]stages!$2:$2,0)+1),MATCH(H$1,[2]stages!$2:$2,0)-MATCH($G$1,[2]stages!$2:$2,0)+1,FALSE)</f>
        <v>【初級】天の時、地の利、人の和</v>
      </c>
      <c r="I4" s="21">
        <v>3</v>
      </c>
      <c r="J4" s="12">
        <v>60</v>
      </c>
      <c r="K4" s="12">
        <v>60</v>
      </c>
    </row>
    <row r="5" spans="1:11" ht="21" customHeight="1" thickBot="1" x14ac:dyDescent="0.2">
      <c r="A5" s="127" t="str">
        <f t="shared" si="0"/>
        <v>20013_1-4</v>
      </c>
      <c r="B5" s="127" t="str">
        <f>IF(COUNTIF(enemy_habitats!$H:$H,A5),"OK","NG")</f>
        <v>OK</v>
      </c>
      <c r="C5" s="128">
        <v>20013</v>
      </c>
      <c r="D5" s="129" t="str">
        <f ca="1">VLOOKUP($C5,OFFSET([2]quests!$A$1,0,0,COUNTA([2]quests!$A:$A),MATCH(D$1,[2]quests!$1:$1,0)-MATCH($C$1,[2]quests!$1:$1,0)+1),MATCH(D$1,[2]quests!$1:$1,0)-MATCH($C$1,[2]quests!$1:$1,0)+1,FALSE)</f>
        <v>天の時、地の利、人の和</v>
      </c>
      <c r="E5" s="129" t="str">
        <f ca="1">VLOOKUP($C5,OFFSET([2]quests!$A$1,0,0,COUNTA([2]quests!$A:$A),MATCH(E$1,[2]quests!$1:$1,0)-MATCH($C$1,[2]quests!$1:$1,0)+1),MATCH(E$1,[2]quests!$1:$1,0)-MATCH($C$1,[2]quests!$1:$1,0)+1,FALSE)</f>
        <v>ドロップイベント4</v>
      </c>
      <c r="F5" s="130">
        <v>1</v>
      </c>
      <c r="G5" s="131" t="str">
        <f t="shared" si="1"/>
        <v>20013_1</v>
      </c>
      <c r="H5" s="132" t="str">
        <f ca="1">VLOOKUP($G5,OFFSET([2]stages!$A$1,0,0,COUNTA([2]stages!$A:$A),MATCH(H$1,[2]stages!$2:$2,0)-MATCH($G$1,[2]stages!$2:$2,0)+1),MATCH(H$1,[2]stages!$2:$2,0)-MATCH($G$1,[2]stages!$2:$2,0)+1,FALSE)</f>
        <v>【初級】天の時、地の利、人の和</v>
      </c>
      <c r="I5" s="130">
        <v>4</v>
      </c>
      <c r="J5" s="133">
        <v>60</v>
      </c>
      <c r="K5" s="133">
        <v>60</v>
      </c>
    </row>
    <row r="6" spans="1:11" ht="21" customHeight="1" x14ac:dyDescent="0.15">
      <c r="A6" s="16" t="str">
        <f t="shared" si="0"/>
        <v>20013_2-1</v>
      </c>
      <c r="B6" s="16" t="str">
        <f>IF(COUNTIF(enemy_habitats!$H:$H,A6),"OK","NG")</f>
        <v>OK</v>
      </c>
      <c r="C6" s="121">
        <v>20013</v>
      </c>
      <c r="D6" s="122" t="str">
        <f ca="1">VLOOKUP($C6,OFFSET([2]quests!$A$1,0,0,COUNTA([2]quests!$A:$A),MATCH(D$1,[2]quests!$1:$1,0)-MATCH($C$1,[2]quests!$1:$1,0)+1),MATCH(D$1,[2]quests!$1:$1,0)-MATCH($C$1,[2]quests!$1:$1,0)+1,FALSE)</f>
        <v>天の時、地の利、人の和</v>
      </c>
      <c r="E6" s="122" t="str">
        <f ca="1">VLOOKUP($C6,OFFSET([2]quests!$A$1,0,0,COUNTA([2]quests!$A:$A),MATCH(E$1,[2]quests!$1:$1,0)-MATCH($C$1,[2]quests!$1:$1,0)+1),MATCH(E$1,[2]quests!$1:$1,0)-MATCH($C$1,[2]quests!$1:$1,0)+1,FALSE)</f>
        <v>ドロップイベント4</v>
      </c>
      <c r="F6" s="123">
        <v>2</v>
      </c>
      <c r="G6" s="124" t="str">
        <f t="shared" si="1"/>
        <v>20013_2</v>
      </c>
      <c r="H6" s="125" t="str">
        <f ca="1">VLOOKUP($G6,OFFSET([2]stages!$A$1,0,0,COUNTA([2]stages!$A:$A),MATCH(H$1,[2]stages!$2:$2,0)-MATCH($G$1,[2]stages!$2:$2,0)+1),MATCH(H$1,[2]stages!$2:$2,0)-MATCH($G$1,[2]stages!$2:$2,0)+1,FALSE)</f>
        <v>【中級】天の時、地の利、人の和</v>
      </c>
      <c r="I6" s="123">
        <v>1</v>
      </c>
      <c r="J6" s="126">
        <v>60</v>
      </c>
      <c r="K6" s="126">
        <v>60</v>
      </c>
    </row>
    <row r="7" spans="1:11" ht="21" customHeight="1" x14ac:dyDescent="0.15">
      <c r="A7" s="16" t="str">
        <f t="shared" si="0"/>
        <v>20013_2-2</v>
      </c>
      <c r="B7" s="16" t="str">
        <f>IF(COUNTIF(enemy_habitats!$H:$H,A7),"OK","NG")</f>
        <v>OK</v>
      </c>
      <c r="C7" s="7">
        <v>20013</v>
      </c>
      <c r="D7" s="11" t="str">
        <f ca="1">VLOOKUP($C7,OFFSET([2]quests!$A$1,0,0,COUNTA([2]quests!$A:$A),MATCH(D$1,[2]quests!$1:$1,0)-MATCH($C$1,[2]quests!$1:$1,0)+1),MATCH(D$1,[2]quests!$1:$1,0)-MATCH($C$1,[2]quests!$1:$1,0)+1,FALSE)</f>
        <v>天の時、地の利、人の和</v>
      </c>
      <c r="E7" s="18" t="str">
        <f ca="1">VLOOKUP($C7,OFFSET([2]quests!$A$1,0,0,COUNTA([2]quests!$A:$A),MATCH(E$1,[2]quests!$1:$1,0)-MATCH($C$1,[2]quests!$1:$1,0)+1),MATCH(E$1,[2]quests!$1:$1,0)-MATCH($C$1,[2]quests!$1:$1,0)+1,FALSE)</f>
        <v>ドロップイベント4</v>
      </c>
      <c r="F7" s="21">
        <v>2</v>
      </c>
      <c r="G7" s="23" t="str">
        <f t="shared" si="1"/>
        <v>20013_2</v>
      </c>
      <c r="H7" s="15" t="str">
        <f ca="1">VLOOKUP($G7,OFFSET([2]stages!$A$1,0,0,COUNTA([2]stages!$A:$A),MATCH(H$1,[2]stages!$2:$2,0)-MATCH($G$1,[2]stages!$2:$2,0)+1),MATCH(H$1,[2]stages!$2:$2,0)-MATCH($G$1,[2]stages!$2:$2,0)+1,FALSE)</f>
        <v>【中級】天の時、地の利、人の和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20013_2-3</v>
      </c>
      <c r="B8" s="16" t="str">
        <f>IF(COUNTIF(enemy_habitats!$H:$H,A8),"OK","NG")</f>
        <v>OK</v>
      </c>
      <c r="C8" s="7">
        <v>20013</v>
      </c>
      <c r="D8" s="11" t="str">
        <f ca="1">VLOOKUP($C8,OFFSET([2]quests!$A$1,0,0,COUNTA([2]quests!$A:$A),MATCH(D$1,[2]quests!$1:$1,0)-MATCH($C$1,[2]quests!$1:$1,0)+1),MATCH(D$1,[2]quests!$1:$1,0)-MATCH($C$1,[2]quests!$1:$1,0)+1,FALSE)</f>
        <v>天の時、地の利、人の和</v>
      </c>
      <c r="E8" s="18" t="str">
        <f ca="1">VLOOKUP($C8,OFFSET([2]quests!$A$1,0,0,COUNTA([2]quests!$A:$A),MATCH(E$1,[2]quests!$1:$1,0)-MATCH($C$1,[2]quests!$1:$1,0)+1),MATCH(E$1,[2]quests!$1:$1,0)-MATCH($C$1,[2]quests!$1:$1,0)+1,FALSE)</f>
        <v>ドロップイベント4</v>
      </c>
      <c r="F8" s="21">
        <v>2</v>
      </c>
      <c r="G8" s="23" t="str">
        <f t="shared" si="1"/>
        <v>20013_2</v>
      </c>
      <c r="H8" s="15" t="str">
        <f ca="1">VLOOKUP($G8,OFFSET([2]stages!$A$1,0,0,COUNTA([2]stages!$A:$A),MATCH(H$1,[2]stages!$2:$2,0)-MATCH($G$1,[2]stages!$2:$2,0)+1),MATCH(H$1,[2]stages!$2:$2,0)-MATCH($G$1,[2]stages!$2:$2,0)+1,FALSE)</f>
        <v>【中級】天の時、地の利、人の和</v>
      </c>
      <c r="I8" s="21">
        <v>3</v>
      </c>
      <c r="J8" s="12">
        <v>60</v>
      </c>
      <c r="K8" s="12">
        <v>60</v>
      </c>
    </row>
    <row r="9" spans="1:11" ht="21" customHeight="1" thickBot="1" x14ac:dyDescent="0.2">
      <c r="A9" s="127" t="str">
        <f t="shared" si="0"/>
        <v>20013_2-4</v>
      </c>
      <c r="B9" s="127" t="str">
        <f>IF(COUNTIF(enemy_habitats!$H:$H,A9),"OK","NG")</f>
        <v>OK</v>
      </c>
      <c r="C9" s="128">
        <v>20013</v>
      </c>
      <c r="D9" s="129" t="str">
        <f ca="1">VLOOKUP($C9,OFFSET([2]quests!$A$1,0,0,COUNTA([2]quests!$A:$A),MATCH(D$1,[2]quests!$1:$1,0)-MATCH($C$1,[2]quests!$1:$1,0)+1),MATCH(D$1,[2]quests!$1:$1,0)-MATCH($C$1,[2]quests!$1:$1,0)+1,FALSE)</f>
        <v>天の時、地の利、人の和</v>
      </c>
      <c r="E9" s="129" t="str">
        <f ca="1">VLOOKUP($C9,OFFSET([2]quests!$A$1,0,0,COUNTA([2]quests!$A:$A),MATCH(E$1,[2]quests!$1:$1,0)-MATCH($C$1,[2]quests!$1:$1,0)+1),MATCH(E$1,[2]quests!$1:$1,0)-MATCH($C$1,[2]quests!$1:$1,0)+1,FALSE)</f>
        <v>ドロップイベント4</v>
      </c>
      <c r="F9" s="130">
        <v>2</v>
      </c>
      <c r="G9" s="131" t="str">
        <f t="shared" si="1"/>
        <v>20013_2</v>
      </c>
      <c r="H9" s="132" t="str">
        <f ca="1">VLOOKUP($G9,OFFSET([2]stages!$A$1,0,0,COUNTA([2]stages!$A:$A),MATCH(H$1,[2]stages!$2:$2,0)-MATCH($G$1,[2]stages!$2:$2,0)+1),MATCH(H$1,[2]stages!$2:$2,0)-MATCH($G$1,[2]stages!$2:$2,0)+1,FALSE)</f>
        <v>【中級】天の時、地の利、人の和</v>
      </c>
      <c r="I9" s="130">
        <v>4</v>
      </c>
      <c r="J9" s="133">
        <v>60</v>
      </c>
      <c r="K9" s="133">
        <v>60</v>
      </c>
    </row>
    <row r="10" spans="1:11" ht="21" customHeight="1" x14ac:dyDescent="0.15">
      <c r="A10" s="16" t="str">
        <f t="shared" si="0"/>
        <v>20013_3-1</v>
      </c>
      <c r="B10" s="16" t="str">
        <f>IF(COUNTIF(enemy_habitats!$H:$H,A10),"OK","NG")</f>
        <v>OK</v>
      </c>
      <c r="C10" s="121">
        <v>20013</v>
      </c>
      <c r="D10" s="122" t="str">
        <f ca="1">VLOOKUP($C10,OFFSET([2]quests!$A$1,0,0,COUNTA([2]quests!$A:$A),MATCH(D$1,[2]quests!$1:$1,0)-MATCH($C$1,[2]quests!$1:$1,0)+1),MATCH(D$1,[2]quests!$1:$1,0)-MATCH($C$1,[2]quests!$1:$1,0)+1,FALSE)</f>
        <v>天の時、地の利、人の和</v>
      </c>
      <c r="E10" s="122" t="str">
        <f ca="1">VLOOKUP($C10,OFFSET([2]quests!$A$1,0,0,COUNTA([2]quests!$A:$A),MATCH(E$1,[2]quests!$1:$1,0)-MATCH($C$1,[2]quests!$1:$1,0)+1),MATCH(E$1,[2]quests!$1:$1,0)-MATCH($C$1,[2]quests!$1:$1,0)+1,FALSE)</f>
        <v>ドロップイベント4</v>
      </c>
      <c r="F10" s="123">
        <v>3</v>
      </c>
      <c r="G10" s="124" t="str">
        <f t="shared" si="1"/>
        <v>20013_3</v>
      </c>
      <c r="H10" s="125" t="str">
        <f ca="1">VLOOKUP($G10,OFFSET([2]stages!$A$1,0,0,COUNTA([2]stages!$A:$A),MATCH(H$1,[2]stages!$2:$2,0)-MATCH($G$1,[2]stages!$2:$2,0)+1),MATCH(H$1,[2]stages!$2:$2,0)-MATCH($G$1,[2]stages!$2:$2,0)+1,FALSE)</f>
        <v>【上級】天の時、地の利、人の和</v>
      </c>
      <c r="I10" s="123">
        <v>1</v>
      </c>
      <c r="J10" s="126">
        <v>60</v>
      </c>
      <c r="K10" s="126">
        <v>60</v>
      </c>
    </row>
    <row r="11" spans="1:11" ht="21" customHeight="1" x14ac:dyDescent="0.15">
      <c r="A11" s="16" t="str">
        <f t="shared" si="0"/>
        <v>20013_3-2</v>
      </c>
      <c r="B11" s="16" t="str">
        <f>IF(COUNTIF(enemy_habitats!$H:$H,A11),"OK","NG")</f>
        <v>OK</v>
      </c>
      <c r="C11" s="7">
        <v>20013</v>
      </c>
      <c r="D11" s="11" t="str">
        <f ca="1">VLOOKUP($C11,OFFSET([2]quests!$A$1,0,0,COUNTA([2]quests!$A:$A),MATCH(D$1,[2]quests!$1:$1,0)-MATCH($C$1,[2]quests!$1:$1,0)+1),MATCH(D$1,[2]quests!$1:$1,0)-MATCH($C$1,[2]quests!$1:$1,0)+1,FALSE)</f>
        <v>天の時、地の利、人の和</v>
      </c>
      <c r="E11" s="18" t="str">
        <f ca="1">VLOOKUP($C11,OFFSET([2]quests!$A$1,0,0,COUNTA([2]quests!$A:$A),MATCH(E$1,[2]quests!$1:$1,0)-MATCH($C$1,[2]quests!$1:$1,0)+1),MATCH(E$1,[2]quests!$1:$1,0)-MATCH($C$1,[2]quests!$1:$1,0)+1,FALSE)</f>
        <v>ドロップイベント4</v>
      </c>
      <c r="F11" s="21">
        <v>3</v>
      </c>
      <c r="G11" s="23" t="str">
        <f t="shared" si="1"/>
        <v>20013_3</v>
      </c>
      <c r="H11" s="15" t="str">
        <f ca="1">VLOOKUP($G11,OFFSET([2]stages!$A$1,0,0,COUNTA([2]stages!$A:$A),MATCH(H$1,[2]stages!$2:$2,0)-MATCH($G$1,[2]stages!$2:$2,0)+1),MATCH(H$1,[2]stages!$2:$2,0)-MATCH($G$1,[2]stages!$2:$2,0)+1,FALSE)</f>
        <v>【上級】天の時、地の利、人の和</v>
      </c>
      <c r="I11" s="21">
        <v>2</v>
      </c>
      <c r="J11" s="12">
        <v>60</v>
      </c>
      <c r="K11" s="12">
        <v>60</v>
      </c>
    </row>
    <row r="12" spans="1:11" ht="21" customHeight="1" x14ac:dyDescent="0.15">
      <c r="A12" s="16" t="str">
        <f t="shared" si="0"/>
        <v>20013_3-3</v>
      </c>
      <c r="B12" s="16" t="str">
        <f>IF(COUNTIF(enemy_habitats!$H:$H,A12),"OK","NG")</f>
        <v>OK</v>
      </c>
      <c r="C12" s="7">
        <v>20013</v>
      </c>
      <c r="D12" s="11" t="str">
        <f ca="1">VLOOKUP($C12,OFFSET([2]quests!$A$1,0,0,COUNTA([2]quests!$A:$A),MATCH(D$1,[2]quests!$1:$1,0)-MATCH($C$1,[2]quests!$1:$1,0)+1),MATCH(D$1,[2]quests!$1:$1,0)-MATCH($C$1,[2]quests!$1:$1,0)+1,FALSE)</f>
        <v>天の時、地の利、人の和</v>
      </c>
      <c r="E12" s="18" t="str">
        <f ca="1">VLOOKUP($C12,OFFSET([2]quests!$A$1,0,0,COUNTA([2]quests!$A:$A),MATCH(E$1,[2]quests!$1:$1,0)-MATCH($C$1,[2]quests!$1:$1,0)+1),MATCH(E$1,[2]quests!$1:$1,0)-MATCH($C$1,[2]quests!$1:$1,0)+1,FALSE)</f>
        <v>ドロップイベント4</v>
      </c>
      <c r="F12" s="21">
        <v>3</v>
      </c>
      <c r="G12" s="23" t="str">
        <f t="shared" si="1"/>
        <v>20013_3</v>
      </c>
      <c r="H12" s="15" t="str">
        <f ca="1">VLOOKUP($G12,OFFSET([2]stages!$A$1,0,0,COUNTA([2]stages!$A:$A),MATCH(H$1,[2]stages!$2:$2,0)-MATCH($G$1,[2]stages!$2:$2,0)+1),MATCH(H$1,[2]stages!$2:$2,0)-MATCH($G$1,[2]stages!$2:$2,0)+1,FALSE)</f>
        <v>【上級】天の時、地の利、人の和</v>
      </c>
      <c r="I12" s="21">
        <v>3</v>
      </c>
      <c r="J12" s="12">
        <v>60</v>
      </c>
      <c r="K12" s="12">
        <v>60</v>
      </c>
    </row>
    <row r="13" spans="1:11" ht="21" customHeight="1" x14ac:dyDescent="0.15">
      <c r="A13" s="16" t="str">
        <f t="shared" si="0"/>
        <v>20013_3-4</v>
      </c>
      <c r="B13" s="16" t="str">
        <f>IF(COUNTIF(enemy_habitats!$H:$H,A13),"OK","NG")</f>
        <v>OK</v>
      </c>
      <c r="C13" s="7">
        <v>20013</v>
      </c>
      <c r="D13" s="11" t="str">
        <f ca="1">VLOOKUP($C13,OFFSET([2]quests!$A$1,0,0,COUNTA([2]quests!$A:$A),MATCH(D$1,[2]quests!$1:$1,0)-MATCH($C$1,[2]quests!$1:$1,0)+1),MATCH(D$1,[2]quests!$1:$1,0)-MATCH($C$1,[2]quests!$1:$1,0)+1,FALSE)</f>
        <v>天の時、地の利、人の和</v>
      </c>
      <c r="E13" s="18" t="str">
        <f ca="1">VLOOKUP($C13,OFFSET([2]quests!$A$1,0,0,COUNTA([2]quests!$A:$A),MATCH(E$1,[2]quests!$1:$1,0)-MATCH($C$1,[2]quests!$1:$1,0)+1),MATCH(E$1,[2]quests!$1:$1,0)-MATCH($C$1,[2]quests!$1:$1,0)+1,FALSE)</f>
        <v>ドロップイベント4</v>
      </c>
      <c r="F13" s="21">
        <v>3</v>
      </c>
      <c r="G13" s="23" t="str">
        <f t="shared" si="1"/>
        <v>20013_3</v>
      </c>
      <c r="H13" s="15" t="str">
        <f ca="1">VLOOKUP($G13,OFFSET([2]stages!$A$1,0,0,COUNTA([2]stages!$A:$A),MATCH(H$1,[2]stages!$2:$2,0)-MATCH($G$1,[2]stages!$2:$2,0)+1),MATCH(H$1,[2]stages!$2:$2,0)-MATCH($G$1,[2]stages!$2:$2,0)+1,FALSE)</f>
        <v>【上級】天の時、地の利、人の和</v>
      </c>
      <c r="I13" s="21">
        <v>4</v>
      </c>
      <c r="J13" s="12">
        <v>60</v>
      </c>
      <c r="K1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H22" sqref="AH2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20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2" customFormat="1" ht="21" customHeight="1" x14ac:dyDescent="0.15">
      <c r="A1" s="153" t="s">
        <v>29</v>
      </c>
      <c r="B1" s="154" t="s">
        <v>0</v>
      </c>
      <c r="C1" s="154" t="s">
        <v>1</v>
      </c>
      <c r="D1" s="155" t="s">
        <v>28</v>
      </c>
      <c r="E1" s="155" t="s">
        <v>20</v>
      </c>
      <c r="F1" s="155" t="s">
        <v>20</v>
      </c>
      <c r="G1" s="154" t="s">
        <v>19</v>
      </c>
      <c r="H1" s="155" t="s">
        <v>35</v>
      </c>
      <c r="I1" s="155" t="s">
        <v>14</v>
      </c>
      <c r="J1" s="155" t="s">
        <v>15</v>
      </c>
      <c r="K1" s="156" t="s">
        <v>54</v>
      </c>
      <c r="L1" s="156" t="s">
        <v>2</v>
      </c>
      <c r="M1" s="157" t="s">
        <v>21</v>
      </c>
      <c r="N1" s="155" t="s">
        <v>24</v>
      </c>
      <c r="O1" s="155" t="s">
        <v>23</v>
      </c>
      <c r="P1" s="158" t="s">
        <v>26</v>
      </c>
      <c r="Q1" s="155" t="s">
        <v>25</v>
      </c>
      <c r="R1" s="154" t="s">
        <v>3</v>
      </c>
      <c r="S1" s="154" t="s">
        <v>48</v>
      </c>
      <c r="T1" s="154" t="s">
        <v>50</v>
      </c>
      <c r="U1" s="154" t="s">
        <v>52</v>
      </c>
      <c r="V1" s="155" t="s">
        <v>31</v>
      </c>
      <c r="W1" s="154" t="s">
        <v>4</v>
      </c>
      <c r="X1" s="154" t="s">
        <v>5</v>
      </c>
      <c r="Y1" s="154" t="s">
        <v>6</v>
      </c>
      <c r="Z1" s="154" t="s">
        <v>7</v>
      </c>
      <c r="AA1" s="154" t="s">
        <v>8</v>
      </c>
      <c r="AB1" s="159" t="s">
        <v>9</v>
      </c>
      <c r="AC1" s="160" t="s">
        <v>16</v>
      </c>
      <c r="AD1" s="160" t="s">
        <v>17</v>
      </c>
      <c r="AE1" s="160" t="s">
        <v>27</v>
      </c>
      <c r="AF1" s="159" t="s">
        <v>10</v>
      </c>
      <c r="AG1" s="154" t="s">
        <v>11</v>
      </c>
      <c r="AH1" s="154" t="s">
        <v>12</v>
      </c>
      <c r="AI1" s="154" t="s">
        <v>38</v>
      </c>
      <c r="AJ1" s="154" t="s">
        <v>40</v>
      </c>
      <c r="AK1" s="154" t="s">
        <v>42</v>
      </c>
      <c r="AL1" s="154" t="s">
        <v>44</v>
      </c>
      <c r="AM1" s="154" t="s">
        <v>46</v>
      </c>
      <c r="AN1" s="161" t="s">
        <v>179</v>
      </c>
    </row>
    <row r="2" spans="1:40" ht="21" customHeight="1" x14ac:dyDescent="0.15">
      <c r="A2" s="162" t="str">
        <f ca="1">B2&amp;"_"&amp;C2&amp;"-"&amp;G2&amp;"/"&amp;L2&amp;"&lt;lv"&amp;R2&amp;"&gt;s"&amp;AA2</f>
        <v>20013_1-1/4&lt;lv5&gt;s2</v>
      </c>
      <c r="B2" s="22">
        <v>20013</v>
      </c>
      <c r="C2" s="149">
        <v>1</v>
      </c>
      <c r="D2" s="15" t="str">
        <f>B2&amp;"_"&amp;C2</f>
        <v>20013_1</v>
      </c>
      <c r="E2" s="4" t="str">
        <f ca="1">VLOOKUP($B2,OFFSET([2]quests!$A$1,0,0,COUNTA([2]quests!$A:$A),MATCH(E$1,[2]quests!$1:$1,0)-MATCH($B$1,[2]quests!$1:$1,0)+1),MATCH(E$1,[2]quests!$1:$1,0)-MATCH($B$1,[2]quests!$1:$1,0)+1,FALSE)</f>
        <v>天の時、地の利、人の和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【初級】天の時、地の利、人の和</v>
      </c>
      <c r="G2" s="149">
        <v>1</v>
      </c>
      <c r="H2" s="15" t="str">
        <f>B2&amp;"_"&amp;C2&amp;"-"&amp;G2</f>
        <v>20013_1-1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 t="s">
        <v>53</v>
      </c>
      <c r="L2" s="150">
        <v>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エースエージェント ジョー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5</v>
      </c>
      <c r="S2" s="24">
        <v>1.5</v>
      </c>
      <c r="T2" s="24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撤退していった・・・</v>
      </c>
      <c r="W2" s="4">
        <v>20013100</v>
      </c>
      <c r="X2" s="6">
        <v>0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2</v>
      </c>
      <c r="AB2" s="151">
        <f>L2</f>
        <v>4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152">
        <v>1</v>
      </c>
      <c r="AG2" s="151">
        <f ca="1">AD2</f>
        <v>2</v>
      </c>
      <c r="AH2" s="8">
        <v>50</v>
      </c>
      <c r="AI2" s="152">
        <v>0</v>
      </c>
      <c r="AJ2" s="152">
        <v>0</v>
      </c>
      <c r="AK2" s="152">
        <v>0</v>
      </c>
      <c r="AL2" s="152">
        <v>0</v>
      </c>
      <c r="AM2" s="152">
        <v>1</v>
      </c>
      <c r="AN2" s="163">
        <v>1</v>
      </c>
    </row>
    <row r="3" spans="1:40" ht="21" customHeight="1" x14ac:dyDescent="0.15">
      <c r="A3" s="162" t="str">
        <f ca="1">B3&amp;"_"&amp;C3&amp;"-"&amp;G3&amp;"/"&amp;L3&amp;"&lt;lv"&amp;R3&amp;"&gt;s"&amp;AA3</f>
        <v>20013_1-2/403&lt;lv5&gt;s3</v>
      </c>
      <c r="B3" s="22">
        <v>20013</v>
      </c>
      <c r="C3" s="149">
        <v>1</v>
      </c>
      <c r="D3" s="15" t="str">
        <f>B3&amp;"_"&amp;C3</f>
        <v>20013_1</v>
      </c>
      <c r="E3" s="4" t="str">
        <f ca="1">VLOOKUP($B3,OFFSET([2]quests!$A$1,0,0,COUNTA([2]quests!$A:$A),MATCH(E$1,[2]quests!$1:$1,0)-MATCH($B$1,[2]quests!$1:$1,0)+1),MATCH(E$1,[2]quests!$1:$1,0)-MATCH($B$1,[2]quests!$1:$1,0)+1,FALSE)</f>
        <v>天の時、地の利、人の和</v>
      </c>
      <c r="F3" s="4" t="str">
        <f ca="1">VLOOKUP($D3,OFFSET([2]stages!$A$1,0,0,COUNTA([2]stages!$A:$A),MATCH(F$1,[2]stages!$2:$2,0)-MATCH($D$1,[2]stages!$2:$2,0)+1),MATCH(F$1,[2]stages!$2:$2,0)-MATCH($D$1,[2]stages!$2:$2,0)+1,FALSE)</f>
        <v>【初級】天の時、地の利、人の和</v>
      </c>
      <c r="G3" s="149">
        <v>2</v>
      </c>
      <c r="H3" s="15" t="str">
        <f>B3&amp;"_"&amp;C3&amp;"-"&amp;G3</f>
        <v>20013_1-2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 t="s">
        <v>53</v>
      </c>
      <c r="L3" s="150">
        <v>403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静撃の翠眼 八咫烏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</v>
      </c>
      <c r="S3" s="24">
        <v>1.2</v>
      </c>
      <c r="T3" s="24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ハートパネルを吸収して全体攻撃</v>
      </c>
      <c r="W3" s="4">
        <v>20013101</v>
      </c>
      <c r="X3" s="6">
        <v>1</v>
      </c>
      <c r="Y3" s="6">
        <v>100</v>
      </c>
      <c r="Z3" s="6">
        <v>1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151">
        <f>L3</f>
        <v>403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4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3" s="152">
        <v>1</v>
      </c>
      <c r="AG3" s="151">
        <f ca="1">AD3</f>
        <v>4</v>
      </c>
      <c r="AH3" s="8">
        <v>0</v>
      </c>
      <c r="AI3" s="152">
        <v>0</v>
      </c>
      <c r="AJ3" s="152">
        <v>0</v>
      </c>
      <c r="AK3" s="152">
        <v>0</v>
      </c>
      <c r="AL3" s="152">
        <v>0</v>
      </c>
      <c r="AM3" s="152">
        <v>1</v>
      </c>
      <c r="AN3" s="163">
        <v>1</v>
      </c>
    </row>
    <row r="4" spans="1:40" ht="21" customHeight="1" x14ac:dyDescent="0.15">
      <c r="A4" s="162" t="str">
        <f t="shared" ref="A4:A15" ca="1" si="0">B4&amp;"_"&amp;C4&amp;"-"&amp;G4&amp;"/"&amp;L4&amp;"&lt;lv"&amp;R4&amp;"&gt;s"&amp;AA4</f>
        <v>20013_1-2/136&lt;lv5&gt;s4</v>
      </c>
      <c r="B4" s="22">
        <v>20013</v>
      </c>
      <c r="C4" s="149">
        <v>1</v>
      </c>
      <c r="D4" s="15" t="str">
        <f t="shared" ref="D4:D15" si="1">B4&amp;"_"&amp;C4</f>
        <v>20013_1</v>
      </c>
      <c r="E4" s="4" t="str">
        <f ca="1">VLOOKUP($B4,OFFSET([2]quests!$A$1,0,0,COUNTA([2]quests!$A:$A),MATCH(E$1,[2]quests!$1:$1,0)-MATCH($B$1,[2]quests!$1:$1,0)+1),MATCH(E$1,[2]quests!$1:$1,0)-MATCH($B$1,[2]quests!$1:$1,0)+1,FALSE)</f>
        <v>天の時、地の利、人の和</v>
      </c>
      <c r="F4" s="4" t="str">
        <f ca="1">VLOOKUP($D4,OFFSET([2]stages!$A$1,0,0,COUNTA([2]stages!$A:$A),MATCH(F$1,[2]stages!$2:$2,0)-MATCH($D$1,[2]stages!$2:$2,0)+1),MATCH(F$1,[2]stages!$2:$2,0)-MATCH($D$1,[2]stages!$2:$2,0)+1,FALSE)</f>
        <v>【初級】天の時、地の利、人の和</v>
      </c>
      <c r="G4" s="149">
        <v>2</v>
      </c>
      <c r="H4" s="15" t="str">
        <f t="shared" ref="H4:H15" si="2">B4&amp;"_"&amp;C4&amp;"-"&amp;G4</f>
        <v>20013_1-2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 t="s">
        <v>53</v>
      </c>
      <c r="L4" s="150">
        <v>136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お針子チハヤ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5</v>
      </c>
      <c r="S4" s="24">
        <v>1</v>
      </c>
      <c r="T4" s="24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ハートパネルを緑パネルに変換</v>
      </c>
      <c r="W4" s="4">
        <v>20013102</v>
      </c>
      <c r="X4" s="6">
        <v>0</v>
      </c>
      <c r="Y4" s="6">
        <v>100</v>
      </c>
      <c r="Z4" s="6">
        <v>2</v>
      </c>
      <c r="AA4" s="17">
        <f ca="1">VLOOKUP($L4,OFFSET([3]enemies!$A$1,0,0,COUNTA([3]enemies!$A:$A),MATCH(AA$1,[3]enemies!$1:$1,0)-MATCH($L$1,[3]enemies!$1:$1,0)+1),MATCH(AA$1,[3]enemies!$1:$1,0)-MATCH($L$1,[3]enemies!$1:$1,0)+1,FALSE)</f>
        <v>4</v>
      </c>
      <c r="AB4" s="151">
        <f t="shared" ref="AB4:AB15" si="3">L4</f>
        <v>136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お針子チハヤ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152">
        <v>1</v>
      </c>
      <c r="AG4" s="151">
        <f t="shared" ref="AG4:AG15" ca="1" si="4">AD4</f>
        <v>3</v>
      </c>
      <c r="AH4" s="8">
        <v>0</v>
      </c>
      <c r="AI4" s="152">
        <v>0</v>
      </c>
      <c r="AJ4" s="152">
        <v>0</v>
      </c>
      <c r="AK4" s="152">
        <v>0</v>
      </c>
      <c r="AL4" s="152">
        <v>0</v>
      </c>
      <c r="AM4" s="152">
        <v>1</v>
      </c>
      <c r="AN4" s="163">
        <v>1</v>
      </c>
    </row>
    <row r="5" spans="1:40" ht="21" customHeight="1" x14ac:dyDescent="0.15">
      <c r="A5" s="162" t="str">
        <f t="shared" ca="1" si="0"/>
        <v>20013_1-2/140&lt;lv5&gt;s2</v>
      </c>
      <c r="B5" s="22">
        <v>20013</v>
      </c>
      <c r="C5" s="149">
        <v>1</v>
      </c>
      <c r="D5" s="15" t="str">
        <f t="shared" si="1"/>
        <v>20013_1</v>
      </c>
      <c r="E5" s="4" t="str">
        <f ca="1">VLOOKUP($B5,OFFSET([2]quests!$A$1,0,0,COUNTA([2]quests!$A:$A),MATCH(E$1,[2]quests!$1:$1,0)-MATCH($B$1,[2]quests!$1:$1,0)+1),MATCH(E$1,[2]quests!$1:$1,0)-MATCH($B$1,[2]quests!$1:$1,0)+1,FALSE)</f>
        <v>天の時、地の利、人の和</v>
      </c>
      <c r="F5" s="4" t="str">
        <f ca="1">VLOOKUP($D5,OFFSET([2]stages!$A$1,0,0,COUNTA([2]stages!$A:$A),MATCH(F$1,[2]stages!$2:$2,0)-MATCH($D$1,[2]stages!$2:$2,0)+1),MATCH(F$1,[2]stages!$2:$2,0)-MATCH($D$1,[2]stages!$2:$2,0)+1,FALSE)</f>
        <v>【初級】天の時、地の利、人の和</v>
      </c>
      <c r="G5" s="149">
        <v>2</v>
      </c>
      <c r="H5" s="15" t="str">
        <f t="shared" si="2"/>
        <v>20013_1-2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5" t="s">
        <v>53</v>
      </c>
      <c r="L5" s="150">
        <v>140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秋祭のタマモ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5</v>
      </c>
      <c r="S5" s="24">
        <v>1</v>
      </c>
      <c r="T5" s="24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ハートパネルをお邪魔パネルに変換</v>
      </c>
      <c r="W5" s="4">
        <v>20013103</v>
      </c>
      <c r="X5" s="6">
        <v>0</v>
      </c>
      <c r="Y5" s="6">
        <v>100</v>
      </c>
      <c r="Z5" s="6">
        <v>2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151">
        <f t="shared" si="3"/>
        <v>140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秋祭のタマモ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3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5" s="152">
        <v>1</v>
      </c>
      <c r="AG5" s="151">
        <f t="shared" ca="1" si="4"/>
        <v>3</v>
      </c>
      <c r="AH5" s="8">
        <v>0</v>
      </c>
      <c r="AI5" s="152">
        <v>0</v>
      </c>
      <c r="AJ5" s="152">
        <v>0</v>
      </c>
      <c r="AK5" s="152">
        <v>0</v>
      </c>
      <c r="AL5" s="152">
        <v>0</v>
      </c>
      <c r="AM5" s="152">
        <v>1</v>
      </c>
      <c r="AN5" s="163">
        <v>1</v>
      </c>
    </row>
    <row r="6" spans="1:40" ht="21" customHeight="1" x14ac:dyDescent="0.15">
      <c r="A6" s="162" t="str">
        <f t="shared" ca="1" si="0"/>
        <v>20013_1-3/52&lt;lv5&gt;s2</v>
      </c>
      <c r="B6" s="22">
        <v>20013</v>
      </c>
      <c r="C6" s="149">
        <v>1</v>
      </c>
      <c r="D6" s="15" t="str">
        <f t="shared" si="1"/>
        <v>20013_1</v>
      </c>
      <c r="E6" s="4" t="str">
        <f ca="1">VLOOKUP($B6,OFFSET([2]quests!$A$1,0,0,COUNTA([2]quests!$A:$A),MATCH(E$1,[2]quests!$1:$1,0)-MATCH($B$1,[2]quests!$1:$1,0)+1),MATCH(E$1,[2]quests!$1:$1,0)-MATCH($B$1,[2]quests!$1:$1,0)+1,FALSE)</f>
        <v>天の時、地の利、人の和</v>
      </c>
      <c r="F6" s="4" t="str">
        <f ca="1">VLOOKUP($D6,OFFSET([2]stages!$A$1,0,0,COUNTA([2]stages!$A:$A),MATCH(F$1,[2]stages!$2:$2,0)-MATCH($D$1,[2]stages!$2:$2,0)+1),MATCH(F$1,[2]stages!$2:$2,0)-MATCH($D$1,[2]stages!$2:$2,0)+1,FALSE)</f>
        <v>【初級】天の時、地の利、人の和</v>
      </c>
      <c r="G6" s="149">
        <v>3</v>
      </c>
      <c r="H6" s="15" t="str">
        <f t="shared" si="2"/>
        <v>20013_1-3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5" t="s">
        <v>53</v>
      </c>
      <c r="L6" s="150">
        <v>52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翠槍のレジスタンス マイ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5</v>
      </c>
      <c r="S6" s="24">
        <v>1</v>
      </c>
      <c r="T6" s="24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自身のHPを回復</v>
      </c>
      <c r="W6" s="44">
        <v>20013108</v>
      </c>
      <c r="X6" s="6">
        <v>0</v>
      </c>
      <c r="Y6" s="6">
        <v>100</v>
      </c>
      <c r="Z6" s="6">
        <v>0</v>
      </c>
      <c r="AA6" s="17">
        <f ca="1">VLOOKUP($L6,OFFSET([3]enemies!$A$1,0,0,COUNTA([3]enemies!$A:$A),MATCH(AA$1,[3]enemies!$1:$1,0)-MATCH($L$1,[3]enemies!$1:$1,0)+1),MATCH(AA$1,[3]enemies!$1:$1,0)-MATCH($L$1,[3]enemies!$1:$1,0)+1,FALSE)</f>
        <v>2</v>
      </c>
      <c r="AB6" s="151">
        <f t="shared" si="3"/>
        <v>52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翠槍のレジスタンス マイ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3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152">
        <v>1</v>
      </c>
      <c r="AG6" s="151">
        <f t="shared" ca="1" si="4"/>
        <v>3</v>
      </c>
      <c r="AH6" s="8">
        <v>50</v>
      </c>
      <c r="AI6" s="152">
        <v>0</v>
      </c>
      <c r="AJ6" s="152">
        <v>0</v>
      </c>
      <c r="AK6" s="152">
        <v>0</v>
      </c>
      <c r="AL6" s="152">
        <v>0</v>
      </c>
      <c r="AM6" s="152">
        <v>1</v>
      </c>
      <c r="AN6" s="163">
        <v>1</v>
      </c>
    </row>
    <row r="7" spans="1:40" ht="21" customHeight="1" thickBot="1" x14ac:dyDescent="0.2">
      <c r="A7" s="164" t="str">
        <f t="shared" si="0"/>
        <v>20013_1-4/720&lt;lv5&gt;s1</v>
      </c>
      <c r="B7" s="140">
        <v>20013</v>
      </c>
      <c r="C7" s="130">
        <v>1</v>
      </c>
      <c r="D7" s="132" t="str">
        <f t="shared" si="1"/>
        <v>20013_1</v>
      </c>
      <c r="E7" s="141" t="str">
        <f ca="1">VLOOKUP($B7,OFFSET([2]quests!$A$1,0,0,COUNTA([2]quests!$A:$A),MATCH(E$1,[2]quests!$1:$1,0)-MATCH($B$1,[2]quests!$1:$1,0)+1),MATCH(E$1,[2]quests!$1:$1,0)-MATCH($B$1,[2]quests!$1:$1,0)+1,FALSE)</f>
        <v>天の時、地の利、人の和</v>
      </c>
      <c r="F7" s="141" t="str">
        <f ca="1">VLOOKUP($D7,OFFSET([2]stages!$A$1,0,0,COUNTA([2]stages!$A:$A),MATCH(F$1,[2]stages!$2:$2,0)-MATCH($D$1,[2]stages!$2:$2,0)+1),MATCH(F$1,[2]stages!$2:$2,0)-MATCH($D$1,[2]stages!$2:$2,0)+1,FALSE)</f>
        <v>【初級】天の時、地の利、人の和</v>
      </c>
      <c r="G7" s="130">
        <v>4</v>
      </c>
      <c r="H7" s="132" t="str">
        <f t="shared" si="2"/>
        <v>20013_1-4</v>
      </c>
      <c r="I7" s="141">
        <f ca="1">VLOOKUP($H7,OFFSET(floors!$A$1,0,0,COUNTA(floors!$A:$A),MATCH(I$1,floors!$1:$1,0)-MATCH($H$1,floors!$1:$1,0)+1),MATCH(I$1,floors!$1:$1,0)-MATCH($H$1,floors!$1:$1,0)+1,FALSE)</f>
        <v>60</v>
      </c>
      <c r="J7" s="141">
        <f ca="1">VLOOKUP($H7,OFFSET(floors!$A$1,0,0,COUNTA(floors!$A:$A),MATCH(J$1,floors!$1:$1,0)-MATCH($H$1,floors!$1:$1,0)+1),MATCH(J$1,floors!$1:$1,0)-MATCH($H$1,floors!$1:$1,0)+1,FALSE)</f>
        <v>60</v>
      </c>
      <c r="K7" s="133">
        <v>1</v>
      </c>
      <c r="L7" s="142">
        <v>720</v>
      </c>
      <c r="M7" s="143" t="str">
        <f ca="1">VLOOKUP($L7,OFFSET([3]enemies!$A$1,0,0,COUNTA([3]enemies!$A:$A),MATCH(M$1,[3]enemies!$1:$1,0)-MATCH($L$1,[3]enemies!$1:$1,0)+1),MATCH(M$1,[3]enemies!$1:$1,0)-MATCH($L$1,[3]enemies!$1:$1,0)+1,FALSE)</f>
        <v>直江兼続</v>
      </c>
      <c r="N7" s="143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43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43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43">
        <f ca="1">VLOOKUP($L7,OFFSET([3]enemies!$A$1,0,0,COUNTA([3]enemies!$A:$A),MATCH(Q$1,[3]enemies!$1:$1,0)-MATCH($L$1,[3]enemies!$1:$1,0)+1),MATCH(Q$1,[3]enemies!$1:$1,0)-MATCH($L$1,[3]enemies!$1:$1,0)+1,FALSE)</f>
        <v>30</v>
      </c>
      <c r="R7" s="144">
        <v>5</v>
      </c>
      <c r="S7" s="145">
        <v>2</v>
      </c>
      <c r="T7" s="145">
        <v>1</v>
      </c>
      <c r="U7" s="144">
        <v>0</v>
      </c>
      <c r="V7" s="141" t="str">
        <f ca="1">VLOOKUP($W7,OFFSET(enemy_skill_sets!$B$1,0,0,COUNTA(enemy_skill_sets!$B:$B),MATCH(M$1,enemy_skill_sets!$1:$1,0)-MATCH($W$1,enemy_skill_sets!$1:$1,0)+2),MATCH(M$1,enemy_skill_sets!$1:$1,0)-MATCH($W$1,enemy_skill_sets!$1:$1,0)+2,FALSE)</f>
        <v>5ターンハートパネルが使用できない</v>
      </c>
      <c r="W7" s="168">
        <v>20013109</v>
      </c>
      <c r="X7" s="146">
        <v>1</v>
      </c>
      <c r="Y7" s="146">
        <v>100</v>
      </c>
      <c r="Z7" s="146">
        <v>1</v>
      </c>
      <c r="AA7" s="143">
        <v>1</v>
      </c>
      <c r="AB7" s="147">
        <f t="shared" si="3"/>
        <v>720</v>
      </c>
      <c r="AC7" s="141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直江兼続</v>
      </c>
      <c r="AD7" s="141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141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Drop2N</v>
      </c>
      <c r="AF7" s="128">
        <v>1</v>
      </c>
      <c r="AG7" s="147">
        <f t="shared" ca="1" si="4"/>
        <v>4</v>
      </c>
      <c r="AH7" s="148">
        <v>20</v>
      </c>
      <c r="AI7" s="128">
        <v>0</v>
      </c>
      <c r="AJ7" s="128">
        <v>0</v>
      </c>
      <c r="AK7" s="128">
        <v>0</v>
      </c>
      <c r="AL7" s="128">
        <v>0</v>
      </c>
      <c r="AM7" s="128">
        <v>1</v>
      </c>
      <c r="AN7" s="165">
        <v>1</v>
      </c>
    </row>
    <row r="8" spans="1:40" ht="21" customHeight="1" x14ac:dyDescent="0.15">
      <c r="A8" s="162" t="str">
        <f t="shared" ca="1" si="0"/>
        <v>20013_2-1/4&lt;lv20&gt;s2</v>
      </c>
      <c r="B8" s="22">
        <v>20013</v>
      </c>
      <c r="C8" s="123">
        <v>2</v>
      </c>
      <c r="D8" s="125" t="str">
        <f t="shared" si="1"/>
        <v>20013_2</v>
      </c>
      <c r="E8" s="4" t="str">
        <f ca="1">VLOOKUP($B8,OFFSET([2]quests!$A$1,0,0,COUNTA([2]quests!$A:$A),MATCH(E$1,[2]quests!$1:$1,0)-MATCH($B$1,[2]quests!$1:$1,0)+1),MATCH(E$1,[2]quests!$1:$1,0)-MATCH($B$1,[2]quests!$1:$1,0)+1,FALSE)</f>
        <v>天の時、地の利、人の和</v>
      </c>
      <c r="F8" s="4" t="str">
        <f ca="1">VLOOKUP($D8,OFFSET([2]stages!$A$1,0,0,COUNTA([2]stages!$A:$A),MATCH(F$1,[2]stages!$2:$2,0)-MATCH($D$1,[2]stages!$2:$2,0)+1),MATCH(F$1,[2]stages!$2:$2,0)-MATCH($D$1,[2]stages!$2:$2,0)+1,FALSE)</f>
        <v>【中級】天の時、地の利、人の和</v>
      </c>
      <c r="G8" s="123">
        <v>1</v>
      </c>
      <c r="H8" s="125" t="str">
        <f t="shared" si="2"/>
        <v>20013_2-1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126" t="s">
        <v>53</v>
      </c>
      <c r="L8" s="134">
        <v>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エースエージェント ジョー</v>
      </c>
      <c r="N8" s="17" t="str">
        <f ca="1">VLOOKUP($L8,OFFSET([3]enemies!$A$1,0,0,COUNTA([3]enemies!$A:$A),MATCH(N$1,[3]enemies!$1:$1,0)-MATCH($L$1,[3]enemies!$1:$1,0)+1),MATCH(N$1,[3]enemies!$1:$1,0)-MATCH($L$1,[3]enemies!$1:$1,0)+1,FALSE)</f>
        <v>green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Drop1T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135">
        <v>20</v>
      </c>
      <c r="S8" s="136">
        <v>1.4</v>
      </c>
      <c r="T8" s="136">
        <v>1</v>
      </c>
      <c r="U8" s="13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撤退していった・・・</v>
      </c>
      <c r="W8" s="4">
        <v>20013100</v>
      </c>
      <c r="X8" s="137">
        <v>0</v>
      </c>
      <c r="Y8" s="137">
        <v>100</v>
      </c>
      <c r="Z8" s="137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2</v>
      </c>
      <c r="AB8" s="138">
        <f t="shared" si="3"/>
        <v>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Drop1T</v>
      </c>
      <c r="AF8" s="121">
        <v>1</v>
      </c>
      <c r="AG8" s="138">
        <f t="shared" ca="1" si="4"/>
        <v>2</v>
      </c>
      <c r="AH8" s="139">
        <v>50</v>
      </c>
      <c r="AI8" s="121">
        <v>0</v>
      </c>
      <c r="AJ8" s="121">
        <v>0</v>
      </c>
      <c r="AK8" s="121">
        <v>0</v>
      </c>
      <c r="AL8" s="121">
        <v>0</v>
      </c>
      <c r="AM8" s="121">
        <v>1</v>
      </c>
      <c r="AN8" s="166">
        <v>1</v>
      </c>
    </row>
    <row r="9" spans="1:40" ht="21" customHeight="1" x14ac:dyDescent="0.15">
      <c r="A9" s="162" t="str">
        <f t="shared" ca="1" si="0"/>
        <v>20013_2-2/403&lt;lv20&gt;s3</v>
      </c>
      <c r="B9" s="22">
        <v>20013</v>
      </c>
      <c r="C9" s="149">
        <v>2</v>
      </c>
      <c r="D9" s="15" t="str">
        <f t="shared" si="1"/>
        <v>20013_2</v>
      </c>
      <c r="E9" s="4" t="str">
        <f ca="1">VLOOKUP($B9,OFFSET([2]quests!$A$1,0,0,COUNTA([2]quests!$A:$A),MATCH(E$1,[2]quests!$1:$1,0)-MATCH($B$1,[2]quests!$1:$1,0)+1),MATCH(E$1,[2]quests!$1:$1,0)-MATCH($B$1,[2]quests!$1:$1,0)+1,FALSE)</f>
        <v>天の時、地の利、人の和</v>
      </c>
      <c r="F9" s="4" t="str">
        <f ca="1">VLOOKUP($D9,OFFSET([2]stages!$A$1,0,0,COUNTA([2]stages!$A:$A),MATCH(F$1,[2]stages!$2:$2,0)-MATCH($D$1,[2]stages!$2:$2,0)+1),MATCH(F$1,[2]stages!$2:$2,0)-MATCH($D$1,[2]stages!$2:$2,0)+1,FALSE)</f>
        <v>【中級】天の時、地の利、人の和</v>
      </c>
      <c r="G9" s="149">
        <v>2</v>
      </c>
      <c r="H9" s="15" t="str">
        <f t="shared" si="2"/>
        <v>20013_2-2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5" t="s">
        <v>53</v>
      </c>
      <c r="L9" s="150">
        <v>403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静撃の翠眼 八咫烏</v>
      </c>
      <c r="N9" s="17" t="str">
        <f ca="1">VLOOKUP($L9,OFFSET([3]enemies!$A$1,0,0,COUNTA([3]enemies!$A:$A),MATCH(N$1,[3]enemies!$1:$1,0)-MATCH($L$1,[3]enemies!$1:$1,0)+1),MATCH(N$1,[3]enemies!$1:$1,0)-MATCH($L$1,[3]enemies!$1:$1,0)+1,FALSE)</f>
        <v>green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20</v>
      </c>
      <c r="S9" s="24">
        <v>1.2</v>
      </c>
      <c r="T9" s="24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ハートパネルを吸収して全体攻撃</v>
      </c>
      <c r="W9" s="4">
        <v>20013101</v>
      </c>
      <c r="X9" s="6">
        <v>1</v>
      </c>
      <c r="Y9" s="6">
        <v>100</v>
      </c>
      <c r="Z9" s="6">
        <v>1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151">
        <f t="shared" si="3"/>
        <v>403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9" s="152">
        <v>1</v>
      </c>
      <c r="AG9" s="151">
        <f t="shared" ca="1" si="4"/>
        <v>4</v>
      </c>
      <c r="AH9" s="8">
        <v>0</v>
      </c>
      <c r="AI9" s="152">
        <v>0</v>
      </c>
      <c r="AJ9" s="152">
        <v>0</v>
      </c>
      <c r="AK9" s="152">
        <v>0</v>
      </c>
      <c r="AL9" s="152">
        <v>0</v>
      </c>
      <c r="AM9" s="152">
        <v>1</v>
      </c>
      <c r="AN9" s="163">
        <v>1</v>
      </c>
    </row>
    <row r="10" spans="1:40" ht="21" customHeight="1" x14ac:dyDescent="0.15">
      <c r="A10" s="162" t="str">
        <f t="shared" ca="1" si="0"/>
        <v>20013_2-2/144&lt;lv20&gt;s2</v>
      </c>
      <c r="B10" s="22">
        <v>20013</v>
      </c>
      <c r="C10" s="149">
        <v>2</v>
      </c>
      <c r="D10" s="15" t="str">
        <f t="shared" si="1"/>
        <v>20013_2</v>
      </c>
      <c r="E10" s="4" t="str">
        <f ca="1">VLOOKUP($B10,OFFSET([2]quests!$A$1,0,0,COUNTA([2]quests!$A:$A),MATCH(E$1,[2]quests!$1:$1,0)-MATCH($B$1,[2]quests!$1:$1,0)+1),MATCH(E$1,[2]quests!$1:$1,0)-MATCH($B$1,[2]quests!$1:$1,0)+1,FALSE)</f>
        <v>天の時、地の利、人の和</v>
      </c>
      <c r="F10" s="4" t="str">
        <f ca="1">VLOOKUP($D10,OFFSET([2]stages!$A$1,0,0,COUNTA([2]stages!$A:$A),MATCH(F$1,[2]stages!$2:$2,0)-MATCH($D$1,[2]stages!$2:$2,0)+1),MATCH(F$1,[2]stages!$2:$2,0)-MATCH($D$1,[2]stages!$2:$2,0)+1,FALSE)</f>
        <v>【中級】天の時、地の利、人の和</v>
      </c>
      <c r="G10" s="149">
        <v>2</v>
      </c>
      <c r="H10" s="15" t="str">
        <f t="shared" si="2"/>
        <v>20013_2-2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5" t="s">
        <v>53</v>
      </c>
      <c r="L10" s="150">
        <v>144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かぐや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PremiumW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20</v>
      </c>
      <c r="R10" s="5">
        <v>20</v>
      </c>
      <c r="S10" s="24">
        <v>1</v>
      </c>
      <c r="T10" s="24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2ターンの間　防御力上昇</v>
      </c>
      <c r="W10" s="44">
        <v>20013104</v>
      </c>
      <c r="X10" s="6">
        <v>0</v>
      </c>
      <c r="Y10" s="6">
        <v>100</v>
      </c>
      <c r="Z10" s="6">
        <v>2</v>
      </c>
      <c r="AA10" s="17">
        <f ca="1">VLOOKUP($L10,OFFSET([3]enemies!$A$1,0,0,COUNTA([3]enemies!$A:$A),MATCH(AA$1,[3]enemies!$1:$1,0)-MATCH($L$1,[3]enemies!$1:$1,0)+1),MATCH(AA$1,[3]enemies!$1:$1,0)-MATCH($L$1,[3]enemies!$1:$1,0)+1,FALSE)</f>
        <v>2</v>
      </c>
      <c r="AB10" s="151">
        <f t="shared" si="3"/>
        <v>144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かぐや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3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0" s="152">
        <v>1</v>
      </c>
      <c r="AG10" s="151">
        <f t="shared" ca="1" si="4"/>
        <v>3</v>
      </c>
      <c r="AH10" s="8">
        <v>0</v>
      </c>
      <c r="AI10" s="152">
        <v>0</v>
      </c>
      <c r="AJ10" s="152">
        <v>0</v>
      </c>
      <c r="AK10" s="152">
        <v>0</v>
      </c>
      <c r="AL10" s="152">
        <v>0</v>
      </c>
      <c r="AM10" s="152">
        <v>1</v>
      </c>
      <c r="AN10" s="163">
        <v>1</v>
      </c>
    </row>
    <row r="11" spans="1:40" ht="21" customHeight="1" x14ac:dyDescent="0.15">
      <c r="A11" s="162" t="str">
        <f t="shared" ca="1" si="0"/>
        <v>20013_2-2/665&lt;lv20&gt;s3</v>
      </c>
      <c r="B11" s="22">
        <v>20013</v>
      </c>
      <c r="C11" s="149">
        <v>2</v>
      </c>
      <c r="D11" s="15" t="str">
        <f t="shared" si="1"/>
        <v>20013_2</v>
      </c>
      <c r="E11" s="4" t="str">
        <f ca="1">VLOOKUP($B11,OFFSET([2]quests!$A$1,0,0,COUNTA([2]quests!$A:$A),MATCH(E$1,[2]quests!$1:$1,0)-MATCH($B$1,[2]quests!$1:$1,0)+1),MATCH(E$1,[2]quests!$1:$1,0)-MATCH($B$1,[2]quests!$1:$1,0)+1,FALSE)</f>
        <v>天の時、地の利、人の和</v>
      </c>
      <c r="F11" s="4" t="str">
        <f ca="1">VLOOKUP($D11,OFFSET([2]stages!$A$1,0,0,COUNTA([2]stages!$A:$A),MATCH(F$1,[2]stages!$2:$2,0)-MATCH($D$1,[2]stages!$2:$2,0)+1),MATCH(F$1,[2]stages!$2:$2,0)-MATCH($D$1,[2]stages!$2:$2,0)+1,FALSE)</f>
        <v>【中級】天の時、地の利、人の和</v>
      </c>
      <c r="G11" s="149">
        <v>2</v>
      </c>
      <c r="H11" s="15" t="str">
        <f t="shared" si="2"/>
        <v>20013_2-2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5" t="s">
        <v>53</v>
      </c>
      <c r="L11" s="150">
        <v>665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座敷童子 テマリ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7">
        <f ca="1">VLOOKUP($L11,OFFSET([3]enemies!$A$1,0,0,COUNTA([3]enemies!$A:$A),MATCH(Q$1,[3]enemies!$1:$1,0)-MATCH($L$1,[3]enemies!$1:$1,0)+1),MATCH(Q$1,[3]enemies!$1:$1,0)-MATCH($L$1,[3]enemies!$1:$1,0)+1,FALSE)</f>
        <v>25</v>
      </c>
      <c r="R11" s="5">
        <v>20</v>
      </c>
      <c r="S11" s="24">
        <v>1</v>
      </c>
      <c r="T11" s="24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ハートパネルを黄パネルに変換_x000D_＆赤パネルをハートパネルに変換</v>
      </c>
      <c r="W11" s="44">
        <v>20013105</v>
      </c>
      <c r="X11" s="6">
        <v>0</v>
      </c>
      <c r="Y11" s="6">
        <v>100</v>
      </c>
      <c r="Z11" s="6">
        <v>2</v>
      </c>
      <c r="AA11" s="17">
        <f ca="1">VLOOKUP($L11,OFFSET([3]enemies!$A$1,0,0,COUNTA([3]enemies!$A:$A),MATCH(AA$1,[3]enemies!$1:$1,0)-MATCH($L$1,[3]enemies!$1:$1,0)+1),MATCH(AA$1,[3]enemies!$1:$1,0)-MATCH($L$1,[3]enemies!$1:$1,0)+1,FALSE)</f>
        <v>3</v>
      </c>
      <c r="AB11" s="151">
        <f t="shared" si="3"/>
        <v>665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座敷童子 テマリ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3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1" s="152">
        <v>1</v>
      </c>
      <c r="AG11" s="151">
        <f t="shared" ca="1" si="4"/>
        <v>3</v>
      </c>
      <c r="AH11" s="8">
        <v>0</v>
      </c>
      <c r="AI11" s="152">
        <v>0</v>
      </c>
      <c r="AJ11" s="152">
        <v>0</v>
      </c>
      <c r="AK11" s="152">
        <v>0</v>
      </c>
      <c r="AL11" s="152">
        <v>0</v>
      </c>
      <c r="AM11" s="152">
        <v>1</v>
      </c>
      <c r="AN11" s="163">
        <v>1</v>
      </c>
    </row>
    <row r="12" spans="1:40" ht="21" customHeight="1" x14ac:dyDescent="0.15">
      <c r="A12" s="162" t="str">
        <f t="shared" ca="1" si="0"/>
        <v>20013_2-3/52&lt;lv20&gt;s2</v>
      </c>
      <c r="B12" s="22">
        <v>20013</v>
      </c>
      <c r="C12" s="149">
        <v>2</v>
      </c>
      <c r="D12" s="15" t="str">
        <f t="shared" si="1"/>
        <v>20013_2</v>
      </c>
      <c r="E12" s="4" t="str">
        <f ca="1">VLOOKUP($B12,OFFSET([2]quests!$A$1,0,0,COUNTA([2]quests!$A:$A),MATCH(E$1,[2]quests!$1:$1,0)-MATCH($B$1,[2]quests!$1:$1,0)+1),MATCH(E$1,[2]quests!$1:$1,0)-MATCH($B$1,[2]quests!$1:$1,0)+1,FALSE)</f>
        <v>天の時、地の利、人の和</v>
      </c>
      <c r="F12" s="4" t="str">
        <f ca="1">VLOOKUP($D12,OFFSET([2]stages!$A$1,0,0,COUNTA([2]stages!$A:$A),MATCH(F$1,[2]stages!$2:$2,0)-MATCH($D$1,[2]stages!$2:$2,0)+1),MATCH(F$1,[2]stages!$2:$2,0)-MATCH($D$1,[2]stages!$2:$2,0)+1,FALSE)</f>
        <v>【中級】天の時、地の利、人の和</v>
      </c>
      <c r="G12" s="149">
        <v>3</v>
      </c>
      <c r="H12" s="15" t="str">
        <f t="shared" si="2"/>
        <v>20013_2-3</v>
      </c>
      <c r="I12" s="4">
        <f ca="1">VLOOKUP($H12,OFFSET(floors!$A$1,0,0,COUNTA(floors!$A:$A),MATCH(I$1,floors!$1:$1,0)-MATCH($H$1,floors!$1:$1,0)+1),MATCH(I$1,floors!$1:$1,0)-MATCH($H$1,floors!$1:$1,0)+1,FALSE)</f>
        <v>60</v>
      </c>
      <c r="J12" s="4">
        <f ca="1">VLOOKUP($H12,OFFSET(floors!$A$1,0,0,COUNTA(floors!$A:$A),MATCH(J$1,floors!$1:$1,0)-MATCH($H$1,floors!$1:$1,0)+1),MATCH(J$1,floors!$1:$1,0)-MATCH($H$1,floors!$1:$1,0)+1,FALSE)</f>
        <v>60</v>
      </c>
      <c r="K12" s="35" t="s">
        <v>53</v>
      </c>
      <c r="L12" s="150">
        <v>52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翠槍のレジスタンス マイ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20</v>
      </c>
      <c r="S12" s="24">
        <v>1</v>
      </c>
      <c r="T12" s="24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自身のHPを回復</v>
      </c>
      <c r="W12" s="44">
        <v>20013108</v>
      </c>
      <c r="X12" s="6">
        <v>0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2</v>
      </c>
      <c r="AB12" s="151">
        <f t="shared" si="3"/>
        <v>52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翠槍のレジスタンス マイ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152">
        <v>1</v>
      </c>
      <c r="AG12" s="151">
        <f t="shared" ca="1" si="4"/>
        <v>3</v>
      </c>
      <c r="AH12" s="8">
        <v>50</v>
      </c>
      <c r="AI12" s="152">
        <v>0</v>
      </c>
      <c r="AJ12" s="152">
        <v>0</v>
      </c>
      <c r="AK12" s="152">
        <v>0</v>
      </c>
      <c r="AL12" s="152">
        <v>0</v>
      </c>
      <c r="AM12" s="152">
        <v>1</v>
      </c>
      <c r="AN12" s="163">
        <v>1</v>
      </c>
    </row>
    <row r="13" spans="1:40" ht="21" customHeight="1" thickBot="1" x14ac:dyDescent="0.2">
      <c r="A13" s="164" t="str">
        <f t="shared" si="0"/>
        <v>20013_2-4/720&lt;lv20&gt;s1</v>
      </c>
      <c r="B13" s="140">
        <v>20013</v>
      </c>
      <c r="C13" s="130">
        <v>2</v>
      </c>
      <c r="D13" s="132" t="str">
        <f t="shared" si="1"/>
        <v>20013_2</v>
      </c>
      <c r="E13" s="141" t="str">
        <f ca="1">VLOOKUP($B13,OFFSET([2]quests!$A$1,0,0,COUNTA([2]quests!$A:$A),MATCH(E$1,[2]quests!$1:$1,0)-MATCH($B$1,[2]quests!$1:$1,0)+1),MATCH(E$1,[2]quests!$1:$1,0)-MATCH($B$1,[2]quests!$1:$1,0)+1,FALSE)</f>
        <v>天の時、地の利、人の和</v>
      </c>
      <c r="F13" s="141" t="str">
        <f ca="1">VLOOKUP($D13,OFFSET([2]stages!$A$1,0,0,COUNTA([2]stages!$A:$A),MATCH(F$1,[2]stages!$2:$2,0)-MATCH($D$1,[2]stages!$2:$2,0)+1),MATCH(F$1,[2]stages!$2:$2,0)-MATCH($D$1,[2]stages!$2:$2,0)+1,FALSE)</f>
        <v>【中級】天の時、地の利、人の和</v>
      </c>
      <c r="G13" s="130">
        <v>4</v>
      </c>
      <c r="H13" s="132" t="str">
        <f t="shared" si="2"/>
        <v>20013_2-4</v>
      </c>
      <c r="I13" s="141">
        <f ca="1">VLOOKUP($H13,OFFSET(floors!$A$1,0,0,COUNTA(floors!$A:$A),MATCH(I$1,floors!$1:$1,0)-MATCH($H$1,floors!$1:$1,0)+1),MATCH(I$1,floors!$1:$1,0)-MATCH($H$1,floors!$1:$1,0)+1,FALSE)</f>
        <v>60</v>
      </c>
      <c r="J13" s="141">
        <f ca="1">VLOOKUP($H13,OFFSET(floors!$A$1,0,0,COUNTA(floors!$A:$A),MATCH(J$1,floors!$1:$1,0)-MATCH($H$1,floors!$1:$1,0)+1),MATCH(J$1,floors!$1:$1,0)-MATCH($H$1,floors!$1:$1,0)+1,FALSE)</f>
        <v>60</v>
      </c>
      <c r="K13" s="133">
        <v>2</v>
      </c>
      <c r="L13" s="142">
        <v>720</v>
      </c>
      <c r="M13" s="143" t="str">
        <f ca="1">VLOOKUP($L13,OFFSET([3]enemies!$A$1,0,0,COUNTA([3]enemies!$A:$A),MATCH(M$1,[3]enemies!$1:$1,0)-MATCH($L$1,[3]enemies!$1:$1,0)+1),MATCH(M$1,[3]enemies!$1:$1,0)-MATCH($L$1,[3]enemies!$1:$1,0)+1,FALSE)</f>
        <v>直江兼続</v>
      </c>
      <c r="N13" s="143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43" t="str">
        <f ca="1">VLOOKUP($L13,OFFSET([4]characters!$A$1,0,0,COUNTA([4]characters!$A:$A),MATCH(O$1,[4]characters!$1:$1,0)-MATCH($L$1,[4]characters!$1:$1,0)+1),MATCH(O$1,[4]characters!$1:$1,0)-MATCH($L$1,[4]characters!$1:$1,0)+1,FALSE)</f>
        <v>Drop2N</v>
      </c>
      <c r="P13" s="143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43">
        <f ca="1">VLOOKUP($L13,OFFSET([3]enemies!$A$1,0,0,COUNTA([3]enemies!$A:$A),MATCH(Q$1,[3]enemies!$1:$1,0)-MATCH($L$1,[3]enemies!$1:$1,0)+1),MATCH(Q$1,[3]enemies!$1:$1,0)-MATCH($L$1,[3]enemies!$1:$1,0)+1,FALSE)</f>
        <v>30</v>
      </c>
      <c r="R13" s="144">
        <v>20</v>
      </c>
      <c r="S13" s="145">
        <v>2</v>
      </c>
      <c r="T13" s="145">
        <v>1</v>
      </c>
      <c r="U13" s="144">
        <v>0</v>
      </c>
      <c r="V13" s="141" t="str">
        <f ca="1">VLOOKUP($W13,OFFSET(enemy_skill_sets!$B$1,0,0,COUNTA(enemy_skill_sets!$B:$B),MATCH(M$1,enemy_skill_sets!$1:$1,0)-MATCH($W$1,enemy_skill_sets!$1:$1,0)+2),MATCH(M$1,enemy_skill_sets!$1:$1,0)-MATCH($W$1,enemy_skill_sets!$1:$1,0)+2,FALSE)</f>
        <v>5ターンハートパネルが使用できない</v>
      </c>
      <c r="W13" s="168">
        <v>20013111</v>
      </c>
      <c r="X13" s="146">
        <v>1</v>
      </c>
      <c r="Y13" s="146">
        <v>100</v>
      </c>
      <c r="Z13" s="146">
        <v>1</v>
      </c>
      <c r="AA13" s="143">
        <v>1</v>
      </c>
      <c r="AB13" s="147">
        <f t="shared" si="3"/>
        <v>720</v>
      </c>
      <c r="AC13" s="141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直江兼続</v>
      </c>
      <c r="AD13" s="141">
        <f ca="1">VLOOKUP($AB13,OFFSET([4]characters!$A$1,0,0,COUNTA([4]characters!$A:$A),MATCH(AD$1,[4]characters!$1:$1,0)-MATCH("character_id",[4]characters!$1:$1,0)+1),MATCH(AD$1,[4]characters!$1:$1,0)-MATCH("character_id",[4]characters!$1:$1,0)+1,FALSE)</f>
        <v>4</v>
      </c>
      <c r="AE13" s="141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Drop2N</v>
      </c>
      <c r="AF13" s="128">
        <v>1</v>
      </c>
      <c r="AG13" s="147">
        <f t="shared" ca="1" si="4"/>
        <v>4</v>
      </c>
      <c r="AH13" s="148">
        <v>50</v>
      </c>
      <c r="AI13" s="128">
        <v>0</v>
      </c>
      <c r="AJ13" s="128">
        <v>0</v>
      </c>
      <c r="AK13" s="128">
        <v>0</v>
      </c>
      <c r="AL13" s="128">
        <v>0</v>
      </c>
      <c r="AM13" s="128">
        <v>1</v>
      </c>
      <c r="AN13" s="165">
        <v>1</v>
      </c>
    </row>
    <row r="14" spans="1:40" ht="21" customHeight="1" x14ac:dyDescent="0.15">
      <c r="A14" s="162" t="str">
        <f t="shared" ca="1" si="0"/>
        <v>20013_3-1/4&lt;lv40&gt;s2</v>
      </c>
      <c r="B14" s="22">
        <v>20013</v>
      </c>
      <c r="C14" s="123">
        <v>3</v>
      </c>
      <c r="D14" s="125" t="str">
        <f t="shared" si="1"/>
        <v>20013_3</v>
      </c>
      <c r="E14" s="4" t="str">
        <f ca="1">VLOOKUP($B14,OFFSET([2]quests!$A$1,0,0,COUNTA([2]quests!$A:$A),MATCH(E$1,[2]quests!$1:$1,0)-MATCH($B$1,[2]quests!$1:$1,0)+1),MATCH(E$1,[2]quests!$1:$1,0)-MATCH($B$1,[2]quests!$1:$1,0)+1,FALSE)</f>
        <v>天の時、地の利、人の和</v>
      </c>
      <c r="F14" s="4" t="str">
        <f ca="1">VLOOKUP($D14,OFFSET([2]stages!$A$1,0,0,COUNTA([2]stages!$A:$A),MATCH(F$1,[2]stages!$2:$2,0)-MATCH($D$1,[2]stages!$2:$2,0)+1),MATCH(F$1,[2]stages!$2:$2,0)-MATCH($D$1,[2]stages!$2:$2,0)+1,FALSE)</f>
        <v>【上級】天の時、地の利、人の和</v>
      </c>
      <c r="G14" s="123">
        <v>1</v>
      </c>
      <c r="H14" s="125" t="str">
        <f t="shared" si="2"/>
        <v>20013_3-1</v>
      </c>
      <c r="I14" s="4">
        <f ca="1">VLOOKUP($H14,OFFSET(floors!$A$1,0,0,COUNTA(floors!$A:$A),MATCH(I$1,floors!$1:$1,0)-MATCH($H$1,floors!$1:$1,0)+1),MATCH(I$1,floors!$1:$1,0)-MATCH($H$1,floors!$1:$1,0)+1,FALSE)</f>
        <v>60</v>
      </c>
      <c r="J14" s="4">
        <f ca="1">VLOOKUP($H14,OFFSET(floors!$A$1,0,0,COUNTA(floors!$A:$A),MATCH(J$1,floors!$1:$1,0)-MATCH($H$1,floors!$1:$1,0)+1),MATCH(J$1,floors!$1:$1,0)-MATCH($H$1,floors!$1:$1,0)+1,FALSE)</f>
        <v>60</v>
      </c>
      <c r="K14" s="126" t="s">
        <v>53</v>
      </c>
      <c r="L14" s="134">
        <v>4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エースエージェント ジョー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Drop1T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135">
        <v>40</v>
      </c>
      <c r="S14" s="136">
        <v>1.2</v>
      </c>
      <c r="T14" s="136">
        <v>1</v>
      </c>
      <c r="U14" s="13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撤退していった・・・</v>
      </c>
      <c r="W14" s="4">
        <v>20013100</v>
      </c>
      <c r="X14" s="137">
        <v>0</v>
      </c>
      <c r="Y14" s="137">
        <v>100</v>
      </c>
      <c r="Z14" s="137">
        <v>0</v>
      </c>
      <c r="AA14" s="17">
        <f ca="1">VLOOKUP($L14,OFFSET([3]enemies!$A$1,0,0,COUNTA([3]enemies!$A:$A),MATCH(AA$1,[3]enemies!$1:$1,0)-MATCH($L$1,[3]enemies!$1:$1,0)+1),MATCH(AA$1,[3]enemies!$1:$1,0)-MATCH($L$1,[3]enemies!$1:$1,0)+1,FALSE)</f>
        <v>2</v>
      </c>
      <c r="AB14" s="138">
        <f t="shared" si="3"/>
        <v>4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エースエージェント ジョー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2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Drop1T</v>
      </c>
      <c r="AF14" s="121">
        <v>1</v>
      </c>
      <c r="AG14" s="138">
        <f t="shared" ca="1" si="4"/>
        <v>2</v>
      </c>
      <c r="AH14" s="139">
        <v>50</v>
      </c>
      <c r="AI14" s="121">
        <v>0</v>
      </c>
      <c r="AJ14" s="121">
        <v>0</v>
      </c>
      <c r="AK14" s="121">
        <v>0</v>
      </c>
      <c r="AL14" s="121">
        <v>0</v>
      </c>
      <c r="AM14" s="121">
        <v>1</v>
      </c>
      <c r="AN14" s="166">
        <v>1</v>
      </c>
    </row>
    <row r="15" spans="1:40" ht="21" customHeight="1" x14ac:dyDescent="0.15">
      <c r="A15" s="162" t="str">
        <f t="shared" ca="1" si="0"/>
        <v>20013_3-2/403&lt;lv40&gt;s3</v>
      </c>
      <c r="B15" s="22">
        <v>20013</v>
      </c>
      <c r="C15" s="149">
        <v>3</v>
      </c>
      <c r="D15" s="15" t="str">
        <f t="shared" si="1"/>
        <v>20013_3</v>
      </c>
      <c r="E15" s="4" t="str">
        <f ca="1">VLOOKUP($B15,OFFSET([2]quests!$A$1,0,0,COUNTA([2]quests!$A:$A),MATCH(E$1,[2]quests!$1:$1,0)-MATCH($B$1,[2]quests!$1:$1,0)+1),MATCH(E$1,[2]quests!$1:$1,0)-MATCH($B$1,[2]quests!$1:$1,0)+1,FALSE)</f>
        <v>天の時、地の利、人の和</v>
      </c>
      <c r="F15" s="4" t="str">
        <f ca="1">VLOOKUP($D15,OFFSET([2]stages!$A$1,0,0,COUNTA([2]stages!$A:$A),MATCH(F$1,[2]stages!$2:$2,0)-MATCH($D$1,[2]stages!$2:$2,0)+1),MATCH(F$1,[2]stages!$2:$2,0)-MATCH($D$1,[2]stages!$2:$2,0)+1,FALSE)</f>
        <v>【上級】天の時、地の利、人の和</v>
      </c>
      <c r="G15" s="149">
        <v>2</v>
      </c>
      <c r="H15" s="15" t="str">
        <f t="shared" si="2"/>
        <v>20013_3-2</v>
      </c>
      <c r="I15" s="4">
        <f ca="1">VLOOKUP($H15,OFFSET(floors!$A$1,0,0,COUNTA(floors!$A:$A),MATCH(I$1,floors!$1:$1,0)-MATCH($H$1,floors!$1:$1,0)+1),MATCH(I$1,floors!$1:$1,0)-MATCH($H$1,floors!$1:$1,0)+1,FALSE)</f>
        <v>60</v>
      </c>
      <c r="J15" s="4">
        <f ca="1">VLOOKUP($H15,OFFSET(floors!$A$1,0,0,COUNTA(floors!$A:$A),MATCH(J$1,floors!$1:$1,0)-MATCH($H$1,floors!$1:$1,0)+1),MATCH(J$1,floors!$1:$1,0)-MATCH($H$1,floors!$1:$1,0)+1,FALSE)</f>
        <v>60</v>
      </c>
      <c r="K15" s="35" t="s">
        <v>53</v>
      </c>
      <c r="L15" s="150">
        <v>403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静撃の翠眼 八咫烏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40</v>
      </c>
      <c r="S15" s="24">
        <v>1.2</v>
      </c>
      <c r="T15" s="24">
        <v>1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ハートパネルを吸収して全体攻撃</v>
      </c>
      <c r="W15" s="4">
        <v>20013101</v>
      </c>
      <c r="X15" s="6">
        <v>1</v>
      </c>
      <c r="Y15" s="6">
        <v>100</v>
      </c>
      <c r="Z15" s="6">
        <v>1</v>
      </c>
      <c r="AA15" s="17">
        <f ca="1">VLOOKUP($L15,OFFSET([3]enemies!$A$1,0,0,COUNTA([3]enemies!$A:$A),MATCH(AA$1,[3]enemies!$1:$1,0)-MATCH($L$1,[3]enemies!$1:$1,0)+1),MATCH(AA$1,[3]enemies!$1:$1,0)-MATCH($L$1,[3]enemies!$1:$1,0)+1,FALSE)</f>
        <v>3</v>
      </c>
      <c r="AB15" s="151">
        <f t="shared" si="3"/>
        <v>403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静撃の翠眼 八咫烏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5" s="152">
        <v>1</v>
      </c>
      <c r="AG15" s="151">
        <f t="shared" ca="1" si="4"/>
        <v>4</v>
      </c>
      <c r="AH15" s="8">
        <v>0</v>
      </c>
      <c r="AI15" s="152">
        <v>0</v>
      </c>
      <c r="AJ15" s="152">
        <v>0</v>
      </c>
      <c r="AK15" s="152">
        <v>0</v>
      </c>
      <c r="AL15" s="152">
        <v>0</v>
      </c>
      <c r="AM15" s="152">
        <v>1</v>
      </c>
      <c r="AN15" s="163">
        <v>1</v>
      </c>
    </row>
    <row r="16" spans="1:40" ht="21" customHeight="1" x14ac:dyDescent="0.15">
      <c r="A16" s="162" t="str">
        <f t="shared" ref="A16:A19" ca="1" si="5">B16&amp;"_"&amp;C16&amp;"-"&amp;G16&amp;"/"&amp;L16&amp;"&lt;lv"&amp;R16&amp;"&gt;s"&amp;AA16</f>
        <v>20013_3-2/481&lt;lv40&gt;s3</v>
      </c>
      <c r="B16" s="22">
        <v>20013</v>
      </c>
      <c r="C16" s="149">
        <v>3</v>
      </c>
      <c r="D16" s="15" t="str">
        <f t="shared" ref="D16:D19" si="6">B16&amp;"_"&amp;C16</f>
        <v>20013_3</v>
      </c>
      <c r="E16" s="4" t="str">
        <f ca="1">VLOOKUP($B16,OFFSET([2]quests!$A$1,0,0,COUNTA([2]quests!$A:$A),MATCH(E$1,[2]quests!$1:$1,0)-MATCH($B$1,[2]quests!$1:$1,0)+1),MATCH(E$1,[2]quests!$1:$1,0)-MATCH($B$1,[2]quests!$1:$1,0)+1,FALSE)</f>
        <v>天の時、地の利、人の和</v>
      </c>
      <c r="F16" s="4" t="str">
        <f ca="1">VLOOKUP($D16,OFFSET([2]stages!$A$1,0,0,COUNTA([2]stages!$A:$A),MATCH(F$1,[2]stages!$2:$2,0)-MATCH($D$1,[2]stages!$2:$2,0)+1),MATCH(F$1,[2]stages!$2:$2,0)-MATCH($D$1,[2]stages!$2:$2,0)+1,FALSE)</f>
        <v>【上級】天の時、地の利、人の和</v>
      </c>
      <c r="G16" s="149">
        <v>2</v>
      </c>
      <c r="H16" s="15" t="str">
        <f t="shared" ref="H16:H19" si="7">B16&amp;"_"&amp;C16&amp;"-"&amp;G16</f>
        <v>20013_3-2</v>
      </c>
      <c r="I16" s="4">
        <f ca="1">VLOOKUP($H16,OFFSET(floors!$A$1,0,0,COUNTA(floors!$A:$A),MATCH(I$1,floors!$1:$1,0)-MATCH($H$1,floors!$1:$1,0)+1),MATCH(I$1,floors!$1:$1,0)-MATCH($H$1,floors!$1:$1,0)+1,FALSE)</f>
        <v>60</v>
      </c>
      <c r="J16" s="4">
        <f ca="1">VLOOKUP($H16,OFFSET(floors!$A$1,0,0,COUNTA(floors!$A:$A),MATCH(J$1,floors!$1:$1,0)-MATCH($H$1,floors!$1:$1,0)+1),MATCH(J$1,floors!$1:$1,0)-MATCH($H$1,floors!$1:$1,0)+1,FALSE)</f>
        <v>60</v>
      </c>
      <c r="K16" s="35" t="s">
        <v>53</v>
      </c>
      <c r="L16" s="150">
        <v>481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沢庵宗彭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yellow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human</v>
      </c>
      <c r="Q16" s="17">
        <f ca="1">VLOOKUP($L16,OFFSET([3]enemies!$A$1,0,0,COUNTA([3]enemies!$A:$A),MATCH(Q$1,[3]enemies!$1:$1,0)-MATCH($L$1,[3]enemies!$1:$1,0)+1),MATCH(Q$1,[3]enemies!$1:$1,0)-MATCH($L$1,[3]enemies!$1:$1,0)+1,FALSE)</f>
        <v>25</v>
      </c>
      <c r="R16" s="5">
        <v>40</v>
      </c>
      <c r="S16" s="24">
        <v>1</v>
      </c>
      <c r="T16" s="24">
        <v>1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2ターンの間、タップ回数が1減少</v>
      </c>
      <c r="W16" s="44">
        <v>20013106</v>
      </c>
      <c r="X16" s="6">
        <v>0</v>
      </c>
      <c r="Y16" s="6">
        <v>100</v>
      </c>
      <c r="Z16" s="6">
        <v>2</v>
      </c>
      <c r="AA16" s="17">
        <f ca="1">VLOOKUP($L16,OFFSET([3]enemies!$A$1,0,0,COUNTA([3]enemies!$A:$A),MATCH(AA$1,[3]enemies!$1:$1,0)-MATCH($L$1,[3]enemies!$1:$1,0)+1),MATCH(AA$1,[3]enemies!$1:$1,0)-MATCH($L$1,[3]enemies!$1:$1,0)+1,FALSE)</f>
        <v>3</v>
      </c>
      <c r="AB16" s="151">
        <f t="shared" ref="AB16:AB19" si="8">L16</f>
        <v>481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沢庵宗彭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3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6" s="152">
        <v>1</v>
      </c>
      <c r="AG16" s="151">
        <f t="shared" ref="AG16:AG19" ca="1" si="9">AD16</f>
        <v>3</v>
      </c>
      <c r="AH16" s="8">
        <v>0</v>
      </c>
      <c r="AI16" s="152">
        <v>0</v>
      </c>
      <c r="AJ16" s="152">
        <v>0</v>
      </c>
      <c r="AK16" s="152">
        <v>0</v>
      </c>
      <c r="AL16" s="152">
        <v>0</v>
      </c>
      <c r="AM16" s="152">
        <v>1</v>
      </c>
      <c r="AN16" s="163">
        <v>1</v>
      </c>
    </row>
    <row r="17" spans="1:40" ht="21" customHeight="1" x14ac:dyDescent="0.15">
      <c r="A17" s="162" t="str">
        <f t="shared" ca="1" si="5"/>
        <v>20013_3-2/134&lt;lv40&gt;s3</v>
      </c>
      <c r="B17" s="22">
        <v>20013</v>
      </c>
      <c r="C17" s="149">
        <v>3</v>
      </c>
      <c r="D17" s="15" t="str">
        <f t="shared" si="6"/>
        <v>20013_3</v>
      </c>
      <c r="E17" s="4" t="str">
        <f ca="1">VLOOKUP($B17,OFFSET([2]quests!$A$1,0,0,COUNTA([2]quests!$A:$A),MATCH(E$1,[2]quests!$1:$1,0)-MATCH($B$1,[2]quests!$1:$1,0)+1),MATCH(E$1,[2]quests!$1:$1,0)-MATCH($B$1,[2]quests!$1:$1,0)+1,FALSE)</f>
        <v>天の時、地の利、人の和</v>
      </c>
      <c r="F17" s="4" t="str">
        <f ca="1">VLOOKUP($D17,OFFSET([2]stages!$A$1,0,0,COUNTA([2]stages!$A:$A),MATCH(F$1,[2]stages!$2:$2,0)-MATCH($D$1,[2]stages!$2:$2,0)+1),MATCH(F$1,[2]stages!$2:$2,0)-MATCH($D$1,[2]stages!$2:$2,0)+1,FALSE)</f>
        <v>【上級】天の時、地の利、人の和</v>
      </c>
      <c r="G17" s="149">
        <v>2</v>
      </c>
      <c r="H17" s="15" t="str">
        <f t="shared" si="7"/>
        <v>20013_3-2</v>
      </c>
      <c r="I17" s="4">
        <f ca="1">VLOOKUP($H17,OFFSET(floors!$A$1,0,0,COUNTA(floors!$A:$A),MATCH(I$1,floors!$1:$1,0)-MATCH($H$1,floors!$1:$1,0)+1),MATCH(I$1,floors!$1:$1,0)-MATCH($H$1,floors!$1:$1,0)+1,FALSE)</f>
        <v>60</v>
      </c>
      <c r="J17" s="4">
        <f ca="1">VLOOKUP($H17,OFFSET(floors!$A$1,0,0,COUNTA(floors!$A:$A),MATCH(J$1,floors!$1:$1,0)-MATCH($H$1,floors!$1:$1,0)+1),MATCH(J$1,floors!$1:$1,0)-MATCH($H$1,floors!$1:$1,0)+1,FALSE)</f>
        <v>60</v>
      </c>
      <c r="K17" s="35" t="s">
        <v>53</v>
      </c>
      <c r="L17" s="150">
        <v>134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妖炎の夕霧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red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human</v>
      </c>
      <c r="Q17" s="17">
        <f ca="1">VLOOKUP($L17,OFFSET([3]enemies!$A$1,0,0,COUNTA([3]enemies!$A:$A),MATCH(Q$1,[3]enemies!$1:$1,0)-MATCH($L$1,[3]enemies!$1:$1,0)+1),MATCH(Q$1,[3]enemies!$1:$1,0)-MATCH($L$1,[3]enemies!$1:$1,0)+1,FALSE)</f>
        <v>20</v>
      </c>
      <c r="R17" s="5">
        <v>40</v>
      </c>
      <c r="S17" s="24">
        <v>1</v>
      </c>
      <c r="T17" s="24">
        <v>1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ハートパネルを5個 時限式パネルに変換</v>
      </c>
      <c r="W17" s="44">
        <v>20013107</v>
      </c>
      <c r="X17" s="6">
        <v>0</v>
      </c>
      <c r="Y17" s="6">
        <v>100</v>
      </c>
      <c r="Z17" s="6">
        <v>2</v>
      </c>
      <c r="AA17" s="17">
        <f ca="1">VLOOKUP($L17,OFFSET([3]enemies!$A$1,0,0,COUNTA([3]enemies!$A:$A),MATCH(AA$1,[3]enemies!$1:$1,0)-MATCH($L$1,[3]enemies!$1:$1,0)+1),MATCH(AA$1,[3]enemies!$1:$1,0)-MATCH($L$1,[3]enemies!$1:$1,0)+1,FALSE)</f>
        <v>3</v>
      </c>
      <c r="AB17" s="151">
        <f t="shared" si="8"/>
        <v>134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妖炎の夕霧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3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7" s="152">
        <v>1</v>
      </c>
      <c r="AG17" s="151">
        <f t="shared" ca="1" si="9"/>
        <v>3</v>
      </c>
      <c r="AH17" s="8">
        <v>0</v>
      </c>
      <c r="AI17" s="152">
        <v>0</v>
      </c>
      <c r="AJ17" s="152">
        <v>0</v>
      </c>
      <c r="AK17" s="152">
        <v>0</v>
      </c>
      <c r="AL17" s="152">
        <v>0</v>
      </c>
      <c r="AM17" s="152">
        <v>1</v>
      </c>
      <c r="AN17" s="163">
        <v>1</v>
      </c>
    </row>
    <row r="18" spans="1:40" ht="21" customHeight="1" x14ac:dyDescent="0.15">
      <c r="A18" s="162" t="str">
        <f t="shared" ca="1" si="5"/>
        <v>20013_3-3/52&lt;lv40&gt;s2</v>
      </c>
      <c r="B18" s="22">
        <v>20013</v>
      </c>
      <c r="C18" s="149">
        <v>3</v>
      </c>
      <c r="D18" s="15" t="str">
        <f t="shared" si="6"/>
        <v>20013_3</v>
      </c>
      <c r="E18" s="4" t="str">
        <f ca="1">VLOOKUP($B18,OFFSET([2]quests!$A$1,0,0,COUNTA([2]quests!$A:$A),MATCH(E$1,[2]quests!$1:$1,0)-MATCH($B$1,[2]quests!$1:$1,0)+1),MATCH(E$1,[2]quests!$1:$1,0)-MATCH($B$1,[2]quests!$1:$1,0)+1,FALSE)</f>
        <v>天の時、地の利、人の和</v>
      </c>
      <c r="F18" s="4" t="str">
        <f ca="1">VLOOKUP($D18,OFFSET([2]stages!$A$1,0,0,COUNTA([2]stages!$A:$A),MATCH(F$1,[2]stages!$2:$2,0)-MATCH($D$1,[2]stages!$2:$2,0)+1),MATCH(F$1,[2]stages!$2:$2,0)-MATCH($D$1,[2]stages!$2:$2,0)+1,FALSE)</f>
        <v>【上級】天の時、地の利、人の和</v>
      </c>
      <c r="G18" s="149">
        <v>3</v>
      </c>
      <c r="H18" s="15" t="str">
        <f t="shared" si="7"/>
        <v>20013_3-3</v>
      </c>
      <c r="I18" s="4">
        <f ca="1">VLOOKUP($H18,OFFSET(floors!$A$1,0,0,COUNTA(floors!$A:$A),MATCH(I$1,floors!$1:$1,0)-MATCH($H$1,floors!$1:$1,0)+1),MATCH(I$1,floors!$1:$1,0)-MATCH($H$1,floors!$1:$1,0)+1,FALSE)</f>
        <v>60</v>
      </c>
      <c r="J18" s="4">
        <f ca="1">VLOOKUP($H18,OFFSET(floors!$A$1,0,0,COUNTA(floors!$A:$A),MATCH(J$1,floors!$1:$1,0)-MATCH($H$1,floors!$1:$1,0)+1),MATCH(J$1,floors!$1:$1,0)-MATCH($H$1,floors!$1:$1,0)+1,FALSE)</f>
        <v>60</v>
      </c>
      <c r="K18" s="35" t="s">
        <v>53</v>
      </c>
      <c r="L18" s="150">
        <v>52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翠槍のレジスタンス マイ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Drop1N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human</v>
      </c>
      <c r="Q18" s="17">
        <f ca="1">VLOOKUP($L18,OFFSET([3]enemies!$A$1,0,0,COUNTA([3]enemies!$A:$A),MATCH(Q$1,[3]enemies!$1:$1,0)-MATCH($L$1,[3]enemies!$1:$1,0)+1),MATCH(Q$1,[3]enemies!$1:$1,0)-MATCH($L$1,[3]enemies!$1:$1,0)+1,FALSE)</f>
        <v>20</v>
      </c>
      <c r="R18" s="5">
        <v>40</v>
      </c>
      <c r="S18" s="24">
        <v>1</v>
      </c>
      <c r="T18" s="24">
        <v>1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自身のHPを回復</v>
      </c>
      <c r="W18" s="44">
        <v>20013108</v>
      </c>
      <c r="X18" s="6">
        <v>0</v>
      </c>
      <c r="Y18" s="6">
        <v>100</v>
      </c>
      <c r="Z18" s="6">
        <v>0</v>
      </c>
      <c r="AA18" s="17">
        <f ca="1">VLOOKUP($L18,OFFSET([3]enemies!$A$1,0,0,COUNTA([3]enemies!$A:$A),MATCH(AA$1,[3]enemies!$1:$1,0)-MATCH($L$1,[3]enemies!$1:$1,0)+1),MATCH(AA$1,[3]enemies!$1:$1,0)-MATCH($L$1,[3]enemies!$1:$1,0)+1,FALSE)</f>
        <v>2</v>
      </c>
      <c r="AB18" s="151">
        <f t="shared" si="8"/>
        <v>52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翠槍のレジスタンス マイ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3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Drop1N</v>
      </c>
      <c r="AF18" s="152">
        <v>1</v>
      </c>
      <c r="AG18" s="151">
        <f t="shared" ca="1" si="9"/>
        <v>3</v>
      </c>
      <c r="AH18" s="8">
        <v>50</v>
      </c>
      <c r="AI18" s="152">
        <v>0</v>
      </c>
      <c r="AJ18" s="152">
        <v>0</v>
      </c>
      <c r="AK18" s="152">
        <v>0</v>
      </c>
      <c r="AL18" s="152">
        <v>0</v>
      </c>
      <c r="AM18" s="152">
        <v>1</v>
      </c>
      <c r="AN18" s="163">
        <v>1</v>
      </c>
    </row>
    <row r="19" spans="1:40" ht="21" customHeight="1" thickBot="1" x14ac:dyDescent="0.2">
      <c r="A19" s="164" t="str">
        <f t="shared" si="5"/>
        <v>20013_3-4/720&lt;lv40&gt;s1</v>
      </c>
      <c r="B19" s="140">
        <v>20013</v>
      </c>
      <c r="C19" s="130">
        <v>3</v>
      </c>
      <c r="D19" s="132" t="str">
        <f t="shared" si="6"/>
        <v>20013_3</v>
      </c>
      <c r="E19" s="141" t="str">
        <f ca="1">VLOOKUP($B19,OFFSET([2]quests!$A$1,0,0,COUNTA([2]quests!$A:$A),MATCH(E$1,[2]quests!$1:$1,0)-MATCH($B$1,[2]quests!$1:$1,0)+1),MATCH(E$1,[2]quests!$1:$1,0)-MATCH($B$1,[2]quests!$1:$1,0)+1,FALSE)</f>
        <v>天の時、地の利、人の和</v>
      </c>
      <c r="F19" s="141" t="str">
        <f ca="1">VLOOKUP($D19,OFFSET([2]stages!$A$1,0,0,COUNTA([2]stages!$A:$A),MATCH(F$1,[2]stages!$2:$2,0)-MATCH($D$1,[2]stages!$2:$2,0)+1),MATCH(F$1,[2]stages!$2:$2,0)-MATCH($D$1,[2]stages!$2:$2,0)+1,FALSE)</f>
        <v>【上級】天の時、地の利、人の和</v>
      </c>
      <c r="G19" s="130">
        <v>4</v>
      </c>
      <c r="H19" s="132" t="str">
        <f t="shared" si="7"/>
        <v>20013_3-4</v>
      </c>
      <c r="I19" s="141">
        <f ca="1">VLOOKUP($H19,OFFSET(floors!$A$1,0,0,COUNTA(floors!$A:$A),MATCH(I$1,floors!$1:$1,0)-MATCH($H$1,floors!$1:$1,0)+1),MATCH(I$1,floors!$1:$1,0)-MATCH($H$1,floors!$1:$1,0)+1,FALSE)</f>
        <v>60</v>
      </c>
      <c r="J19" s="141">
        <f ca="1">VLOOKUP($H19,OFFSET(floors!$A$1,0,0,COUNTA(floors!$A:$A),MATCH(J$1,floors!$1:$1,0)-MATCH($H$1,floors!$1:$1,0)+1),MATCH(J$1,floors!$1:$1,0)-MATCH($H$1,floors!$1:$1,0)+1,FALSE)</f>
        <v>60</v>
      </c>
      <c r="K19" s="133">
        <v>3</v>
      </c>
      <c r="L19" s="142">
        <v>720</v>
      </c>
      <c r="M19" s="143" t="str">
        <f ca="1">VLOOKUP($L19,OFFSET([3]enemies!$A$1,0,0,COUNTA([3]enemies!$A:$A),MATCH(M$1,[3]enemies!$1:$1,0)-MATCH($L$1,[3]enemies!$1:$1,0)+1),MATCH(M$1,[3]enemies!$1:$1,0)-MATCH($L$1,[3]enemies!$1:$1,0)+1,FALSE)</f>
        <v>直江兼続</v>
      </c>
      <c r="N19" s="143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143" t="str">
        <f ca="1">VLOOKUP($L19,OFFSET([4]characters!$A$1,0,0,COUNTA([4]characters!$A:$A),MATCH(O$1,[4]characters!$1:$1,0)-MATCH($L$1,[4]characters!$1:$1,0)+1),MATCH(O$1,[4]characters!$1:$1,0)-MATCH($L$1,[4]characters!$1:$1,0)+1,FALSE)</f>
        <v>Drop2N</v>
      </c>
      <c r="P19" s="143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43">
        <f ca="1">VLOOKUP($L19,OFFSET([3]enemies!$A$1,0,0,COUNTA([3]enemies!$A:$A),MATCH(Q$1,[3]enemies!$1:$1,0)-MATCH($L$1,[3]enemies!$1:$1,0)+1),MATCH(Q$1,[3]enemies!$1:$1,0)-MATCH($L$1,[3]enemies!$1:$1,0)+1,FALSE)</f>
        <v>30</v>
      </c>
      <c r="R19" s="144">
        <v>40</v>
      </c>
      <c r="S19" s="145">
        <v>2</v>
      </c>
      <c r="T19" s="145">
        <v>1</v>
      </c>
      <c r="U19" s="144">
        <v>0</v>
      </c>
      <c r="V19" s="141" t="str">
        <f ca="1">VLOOKUP($W19,OFFSET(enemy_skill_sets!$B$1,0,0,COUNTA(enemy_skill_sets!$B:$B),MATCH(M$1,enemy_skill_sets!$1:$1,0)-MATCH($W$1,enemy_skill_sets!$1:$1,0)+2),MATCH(M$1,enemy_skill_sets!$1:$1,0)-MATCH($W$1,enemy_skill_sets!$1:$1,0)+2,FALSE)</f>
        <v>5ターンハートパネルが使用できない</v>
      </c>
      <c r="W19" s="168">
        <v>20013113</v>
      </c>
      <c r="X19" s="146">
        <v>1</v>
      </c>
      <c r="Y19" s="146">
        <v>100</v>
      </c>
      <c r="Z19" s="146">
        <v>1</v>
      </c>
      <c r="AA19" s="143">
        <v>1</v>
      </c>
      <c r="AB19" s="147">
        <f t="shared" si="8"/>
        <v>720</v>
      </c>
      <c r="AC19" s="141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直江兼続</v>
      </c>
      <c r="AD19" s="141">
        <f ca="1">VLOOKUP($AB19,OFFSET([4]characters!$A$1,0,0,COUNTA([4]characters!$A:$A),MATCH(AD$1,[4]characters!$1:$1,0)-MATCH("character_id",[4]characters!$1:$1,0)+1),MATCH(AD$1,[4]characters!$1:$1,0)-MATCH("character_id",[4]characters!$1:$1,0)+1,FALSE)</f>
        <v>4</v>
      </c>
      <c r="AE19" s="141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Drop2N</v>
      </c>
      <c r="AF19" s="128">
        <v>1</v>
      </c>
      <c r="AG19" s="147">
        <f t="shared" ca="1" si="9"/>
        <v>4</v>
      </c>
      <c r="AH19" s="148">
        <v>100</v>
      </c>
      <c r="AI19" s="128">
        <v>0</v>
      </c>
      <c r="AJ19" s="128">
        <v>0</v>
      </c>
      <c r="AK19" s="128">
        <v>0</v>
      </c>
      <c r="AL19" s="128">
        <v>0</v>
      </c>
      <c r="AM19" s="128">
        <v>1</v>
      </c>
      <c r="AN19" s="165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P23" sqref="P23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2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3" t="s">
        <v>54</v>
      </c>
      <c r="L1" s="33" t="s">
        <v>55</v>
      </c>
      <c r="M1" s="34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129</v>
      </c>
      <c r="X1" s="28" t="s">
        <v>128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20013_1-4/721&lt;lv10&gt;sq1st2</v>
      </c>
      <c r="B2" s="22">
        <v>20013</v>
      </c>
      <c r="C2" s="21">
        <v>1</v>
      </c>
      <c r="D2" s="2" t="str">
        <f>B2&amp;"_"&amp;C2</f>
        <v>20013_1</v>
      </c>
      <c r="E2" s="4" t="str">
        <f ca="1">VLOOKUP($B2,OFFSET([2]quests!$A$1,0,0,COUNTA([2]quests!$A:$A),MATCH(E$1,[2]quests!$1:$1,0)-MATCH($B$1,[2]quests!$1:$1,0)+1),MATCH(E$1,[2]quests!$1:$1,0)-MATCH($B$1,[2]quests!$1:$1,0)+1,FALSE)</f>
        <v>天の時、地の利、人の和</v>
      </c>
      <c r="F2" s="4" t="str">
        <f ca="1">VLOOKUP($D2,OFFSET([2]stages!$A$1,0,0,COUNTA([2]stages!$A:$A),MATCH(F$1,[2]stages!$2:$2,0)-MATCH($D$1,[2]stages!$2:$2,0)+1),MATCH(F$1,[2]stages!$2:$2,0)-MATCH($D$1,[2]stages!$2:$2,0)+1,FALSE)</f>
        <v>【初級】天の時、地の利、人の和</v>
      </c>
      <c r="G2" s="21">
        <v>4</v>
      </c>
      <c r="H2" s="15" t="str">
        <f>B2&amp;"_"&amp;C2&amp;"-"&amp;G2</f>
        <v>20013_1-4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5">
        <v>1</v>
      </c>
      <c r="L2" s="35">
        <v>2</v>
      </c>
      <c r="M2" s="20">
        <v>721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迎激の愛銃 直江兼続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10</v>
      </c>
      <c r="T2" s="24">
        <v>2</v>
      </c>
      <c r="U2" s="24">
        <v>1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4">
        <v>20013110</v>
      </c>
      <c r="Y2" s="65">
        <v>2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20013_2-4/721&lt;lv20&gt;sq2st2</v>
      </c>
      <c r="B3" s="22">
        <v>20013</v>
      </c>
      <c r="C3" s="21">
        <v>2</v>
      </c>
      <c r="D3" s="2" t="str">
        <f t="shared" ref="D3:D4" si="1">B3&amp;"_"&amp;C3</f>
        <v>20013_2</v>
      </c>
      <c r="E3" s="4" t="str">
        <f ca="1">VLOOKUP($B3,OFFSET([2]quests!$A$1,0,0,COUNTA([2]quests!$A:$A),MATCH(E$1,[2]quests!$1:$1,0)-MATCH($B$1,[2]quests!$1:$1,0)+1),MATCH(E$1,[2]quests!$1:$1,0)-MATCH($B$1,[2]quests!$1:$1,0)+1,FALSE)</f>
        <v>天の時、地の利、人の和</v>
      </c>
      <c r="F3" s="4" t="str">
        <f ca="1">VLOOKUP($D3,OFFSET([2]stages!$A$1,0,0,COUNTA([2]stages!$A:$A),MATCH(F$1,[2]stages!$2:$2,0)-MATCH($D$1,[2]stages!$2:$2,0)+1),MATCH(F$1,[2]stages!$2:$2,0)-MATCH($D$1,[2]stages!$2:$2,0)+1,FALSE)</f>
        <v>【中級】天の時、地の利、人の和</v>
      </c>
      <c r="G3" s="21">
        <v>4</v>
      </c>
      <c r="H3" s="15" t="str">
        <f t="shared" ref="H3:H4" si="2">B3&amp;"_"&amp;C3&amp;"-"&amp;G3</f>
        <v>20013_2-4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5">
        <v>2</v>
      </c>
      <c r="L3" s="35">
        <v>2</v>
      </c>
      <c r="M3" s="20">
        <v>721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迎激の愛銃 直江兼続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Drop2N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20</v>
      </c>
      <c r="T3" s="24">
        <v>2</v>
      </c>
      <c r="U3" s="24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4">
        <v>20013112</v>
      </c>
      <c r="Y3" s="65">
        <v>2</v>
      </c>
    </row>
    <row r="4" spans="1:25" ht="21" customHeight="1" x14ac:dyDescent="0.15">
      <c r="A4" s="16" t="str">
        <f t="shared" si="0"/>
        <v>20013_3-4/721&lt;lv40&gt;sq3st2</v>
      </c>
      <c r="B4" s="22">
        <v>20013</v>
      </c>
      <c r="C4" s="21">
        <v>3</v>
      </c>
      <c r="D4" s="2" t="str">
        <f t="shared" si="1"/>
        <v>20013_3</v>
      </c>
      <c r="E4" s="4" t="str">
        <f ca="1">VLOOKUP($B4,OFFSET([2]quests!$A$1,0,0,COUNTA([2]quests!$A:$A),MATCH(E$1,[2]quests!$1:$1,0)-MATCH($B$1,[2]quests!$1:$1,0)+1),MATCH(E$1,[2]quests!$1:$1,0)-MATCH($B$1,[2]quests!$1:$1,0)+1,FALSE)</f>
        <v>天の時、地の利、人の和</v>
      </c>
      <c r="F4" s="4" t="str">
        <f ca="1">VLOOKUP($D4,OFFSET([2]stages!$A$1,0,0,COUNTA([2]stages!$A:$A),MATCH(F$1,[2]stages!$2:$2,0)-MATCH($D$1,[2]stages!$2:$2,0)+1),MATCH(F$1,[2]stages!$2:$2,0)-MATCH($D$1,[2]stages!$2:$2,0)+1,FALSE)</f>
        <v>【上級】天の時、地の利、人の和</v>
      </c>
      <c r="G4" s="21">
        <v>4</v>
      </c>
      <c r="H4" s="15" t="str">
        <f t="shared" si="2"/>
        <v>20013_3-4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5">
        <v>3</v>
      </c>
      <c r="L4" s="35">
        <v>2</v>
      </c>
      <c r="M4" s="20">
        <v>721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迎激の愛銃 直江兼続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40</v>
      </c>
      <c r="T4" s="24">
        <v>2</v>
      </c>
      <c r="U4" s="24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4">
        <v>20013114</v>
      </c>
      <c r="Y4" s="65">
        <v>2</v>
      </c>
    </row>
  </sheetData>
  <sheetProtection selectLockedCells="1" selectUnlockedCells="1"/>
  <autoFilter ref="B1:Y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0"/>
  <sheetViews>
    <sheetView showGridLines="0" workbookViewId="0">
      <pane xSplit="5" ySplit="1" topLeftCell="F8" activePane="bottomRight" state="frozen"/>
      <selection pane="topRight"/>
      <selection pane="bottomLeft"/>
      <selection pane="bottomRight" activeCell="E5" sqref="E5"/>
    </sheetView>
  </sheetViews>
  <sheetFormatPr baseColWidth="12" defaultColWidth="12.83203125" defaultRowHeight="21" customHeight="1" outlineLevelCol="1" x14ac:dyDescent="0.15"/>
  <cols>
    <col min="1" max="1" width="11.33203125" style="36" bestFit="1" customWidth="1"/>
    <col min="2" max="2" width="9.5" style="46" bestFit="1" customWidth="1"/>
    <col min="3" max="3" width="9.6640625" style="46" customWidth="1"/>
    <col min="4" max="4" width="18.5" style="46" customWidth="1" outlineLevel="1"/>
    <col min="5" max="5" width="44.1640625" style="46" bestFit="1" customWidth="1" outlineLevel="1"/>
    <col min="6" max="6" width="10.83203125" style="46" bestFit="1" customWidth="1"/>
    <col min="7" max="7" width="8.33203125" style="46" bestFit="1" customWidth="1" outlineLevel="1"/>
    <col min="8" max="9" width="12.83203125" style="46" outlineLevel="1"/>
    <col min="10" max="10" width="17.6640625" style="46" bestFit="1" customWidth="1" outlineLevel="1"/>
    <col min="11" max="15" width="12.83203125" style="46" outlineLevel="1"/>
    <col min="16" max="16" width="8.33203125" style="42" bestFit="1" customWidth="1"/>
    <col min="17" max="17" width="9.6640625" style="42" customWidth="1"/>
    <col min="18" max="18" width="56.5" style="42" bestFit="1" customWidth="1"/>
    <col min="19" max="16384" width="12.83203125" style="42"/>
  </cols>
  <sheetData>
    <row r="1" spans="1:18" ht="21" customHeight="1" x14ac:dyDescent="0.15">
      <c r="A1" s="36" t="s">
        <v>60</v>
      </c>
      <c r="B1" s="37" t="s">
        <v>61</v>
      </c>
      <c r="C1" s="37" t="s">
        <v>62</v>
      </c>
      <c r="D1" s="38" t="s">
        <v>63</v>
      </c>
      <c r="E1" s="38" t="s">
        <v>64</v>
      </c>
      <c r="F1" s="3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1" t="s">
        <v>71</v>
      </c>
      <c r="L1" s="41" t="s">
        <v>72</v>
      </c>
      <c r="M1" s="40" t="s">
        <v>73</v>
      </c>
      <c r="N1" s="40" t="s">
        <v>74</v>
      </c>
      <c r="O1" s="40" t="s">
        <v>75</v>
      </c>
      <c r="P1" s="38" t="s">
        <v>76</v>
      </c>
      <c r="Q1" s="38" t="s">
        <v>77</v>
      </c>
      <c r="R1" s="38" t="s">
        <v>78</v>
      </c>
    </row>
    <row r="2" spans="1:18" ht="21" customHeight="1" x14ac:dyDescent="0.15">
      <c r="A2" s="36" t="str">
        <f t="shared" ref="A2" si="0">B2&amp;"_"&amp;C2</f>
        <v>20013100_20013100</v>
      </c>
      <c r="B2" s="44">
        <v>20013100</v>
      </c>
      <c r="C2" s="44">
        <v>20013100</v>
      </c>
      <c r="D2" s="43" t="str">
        <f ca="1">VLOOKUP($C2,OFFSET(enemy_skills!$A$1,0,0,COUNTA(enemy_skills!$A:$A),MATCH(D$1,enemy_skills!$1:$1,0)-MATCH("enemy_skill_id",enemy_skills!$1:$1,0)+1),MATCH(D$1,enemy_skills!$1:$1,0)-MATCH("enemy_skill_id",enemy_skills!$1:$1,0)+1,FALSE)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2" s="43" t="str">
        <f ca="1">VLOOKUP($C2,OFFSET(enemy_skills!$A$1,0,0,COUNTA(enemy_skills!$A:$A),MATCH(E$1,enemy_skills!$1:$1,0)-MATCH("enemy_skill_id",enemy_skills!$1:$1,0)+1),MATCH(E$1,enemy_skills!$1:$1,0)-MATCH("enemy_skill_id",enemy_skills!$1:$1,0)+1,FALSE)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2" s="44">
        <v>20013100</v>
      </c>
      <c r="G2" s="4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5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5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" s="4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5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5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4" t="s">
        <v>230</v>
      </c>
      <c r="Q2" s="167">
        <v>42460</v>
      </c>
      <c r="R2" s="44" t="s">
        <v>213</v>
      </c>
    </row>
    <row r="3" spans="1:18" ht="21" customHeight="1" x14ac:dyDescent="0.15">
      <c r="A3" s="36" t="str">
        <f t="shared" ref="A3:A19" si="1">B3&amp;"_"&amp;C3</f>
        <v>20013101_20013101</v>
      </c>
      <c r="B3" s="44">
        <v>20013101</v>
      </c>
      <c r="C3" s="44">
        <v>20013101</v>
      </c>
      <c r="D3" s="43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マルチターゲットスナイプ</v>
      </c>
      <c r="E3" s="43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3" s="44">
        <v>20013101</v>
      </c>
      <c r="G3" s="4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5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" s="4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5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5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4" t="s">
        <v>230</v>
      </c>
      <c r="Q3" s="167">
        <v>42460</v>
      </c>
      <c r="R3" s="44" t="s">
        <v>214</v>
      </c>
    </row>
    <row r="4" spans="1:18" ht="21" customHeight="1" x14ac:dyDescent="0.15">
      <c r="A4" s="36" t="str">
        <f t="shared" si="1"/>
        <v>20013102_20013102</v>
      </c>
      <c r="B4" s="44">
        <v>20013102</v>
      </c>
      <c r="C4" s="44">
        <v>20013102</v>
      </c>
      <c r="D4" s="43" t="str">
        <f ca="1">VLOOKUP($C4,OFFSET(enemy_skills!$A$1,0,0,COUNTA(enemy_skills!$A:$A),MATCH(D$1,enemy_skills!$1:$1,0)-MATCH("enemy_skill_id",enemy_skills!$1:$1,0)+1),MATCH(D$1,enemy_skills!$1:$1,0)-MATCH("enemy_skill_id",enemy_skills!$1:$1,0)+1,FALSE)</f>
        <v>心奪われる衣裳</v>
      </c>
      <c r="E4" s="43" t="str">
        <f ca="1">VLOOKUP($C4,OFFSET(enemy_skills!$A$1,0,0,COUNTA(enemy_skills!$A:$A),MATCH(E$1,enemy_skills!$1:$1,0)-MATCH("enemy_skill_id",enemy_skills!$1:$1,0)+1),MATCH(E$1,enemy_skills!$1:$1,0)-MATCH("enemy_skill_id",enemy_skills!$1:$1,0)+1,FALSE)</f>
        <v>ハートパネルを緑パネルに変換</v>
      </c>
      <c r="F4" s="44">
        <v>20013102</v>
      </c>
      <c r="G4" s="4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5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" s="4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4" s="4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5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5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5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4" s="44" t="s">
        <v>230</v>
      </c>
      <c r="Q4" s="167">
        <v>42460</v>
      </c>
      <c r="R4" s="44" t="s">
        <v>215</v>
      </c>
    </row>
    <row r="5" spans="1:18" ht="21" customHeight="1" x14ac:dyDescent="0.15">
      <c r="A5" s="36" t="str">
        <f t="shared" si="1"/>
        <v>20013103_20013103</v>
      </c>
      <c r="B5" s="44">
        <v>20013103</v>
      </c>
      <c r="C5" s="44">
        <v>20013103</v>
      </c>
      <c r="D5" s="43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お神輿じゃ！担ぐのじゃ！</v>
      </c>
      <c r="E5" s="43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5" s="44">
        <v>20013103</v>
      </c>
      <c r="G5" s="4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5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5" s="4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5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5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5" s="44" t="s">
        <v>230</v>
      </c>
      <c r="Q5" s="167">
        <v>42460</v>
      </c>
      <c r="R5" s="44" t="s">
        <v>216</v>
      </c>
    </row>
    <row r="6" spans="1:18" ht="21" customHeight="1" x14ac:dyDescent="0.15">
      <c r="A6" s="36" t="str">
        <f t="shared" si="1"/>
        <v>20013104_20013104</v>
      </c>
      <c r="B6" s="44">
        <v>20013104</v>
      </c>
      <c r="C6" s="44">
        <v>20013104</v>
      </c>
      <c r="D6" s="43" t="str">
        <f ca="1">VLOOKUP($C6,OFFSET(enemy_skills!$A$1,0,0,COUNTA(enemy_skills!$A:$A),MATCH(D$1,enemy_skills!$1:$1,0)-MATCH("enemy_skill_id",enemy_skills!$1:$1,0)+1),MATCH(D$1,enemy_skills!$1:$1,0)-MATCH("enemy_skill_id",enemy_skills!$1:$1,0)+1,FALSE)</f>
        <v>月光の守護</v>
      </c>
      <c r="E6" s="43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2ターンの間　防御力上昇</v>
      </c>
      <c r="F6" s="44">
        <v>20013104</v>
      </c>
      <c r="G6" s="4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5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4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6" s="4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5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5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5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6" s="44" t="s">
        <v>230</v>
      </c>
      <c r="Q6" s="167">
        <v>42460</v>
      </c>
      <c r="R6" s="44" t="s">
        <v>217</v>
      </c>
    </row>
    <row r="7" spans="1:18" ht="21" customHeight="1" x14ac:dyDescent="0.15">
      <c r="A7" s="36" t="str">
        <f t="shared" si="1"/>
        <v>20013105_20013105</v>
      </c>
      <c r="B7" s="44">
        <v>20013105</v>
      </c>
      <c r="C7" s="44">
        <v>20013105</v>
      </c>
      <c r="D7" s="43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そーれ！ぐるぐるぐるー♪</v>
      </c>
      <c r="E7" s="43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ハートパネルを黄パネルに変換_x000D_＆赤パネルをハートパネルに変換</v>
      </c>
      <c r="F7" s="44">
        <v>20013105</v>
      </c>
      <c r="G7" s="4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5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7" s="4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7" s="4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5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5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5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7" s="44" t="s">
        <v>230</v>
      </c>
      <c r="Q7" s="167">
        <v>42460</v>
      </c>
      <c r="R7" s="44" t="s">
        <v>218</v>
      </c>
    </row>
    <row r="8" spans="1:18" ht="21" customHeight="1" x14ac:dyDescent="0.15">
      <c r="A8" s="36" t="str">
        <f t="shared" si="1"/>
        <v>20013106_20013106</v>
      </c>
      <c r="B8" s="44">
        <v>20013106</v>
      </c>
      <c r="C8" s="44">
        <v>20013106</v>
      </c>
      <c r="D8" s="43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プレッシャーを放っている！</v>
      </c>
      <c r="E8" s="43" t="str">
        <f ca="1">VLOOKUP($C8,OFFSET(enemy_skills!$A$1,0,0,COUNTA(enemy_skills!$A:$A),MATCH(E$1,enemy_skills!$1:$1,0)-MATCH("enemy_skill_id",enemy_skills!$1:$1,0)+1),MATCH(E$1,enemy_skills!$1:$1,0)-MATCH("enemy_skill_id",enemy_skills!$1:$1,0)+1,FALSE)</f>
        <v>2ターンの間、タップ回数が1減少</v>
      </c>
      <c r="F8" s="44">
        <v>20013106</v>
      </c>
      <c r="G8" s="4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5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8" s="4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5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5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8" s="44" t="s">
        <v>230</v>
      </c>
      <c r="Q8" s="167">
        <v>42460</v>
      </c>
      <c r="R8" s="44" t="s">
        <v>219</v>
      </c>
    </row>
    <row r="9" spans="1:18" ht="21" customHeight="1" x14ac:dyDescent="0.15">
      <c r="A9" s="36" t="str">
        <f t="shared" si="1"/>
        <v>20013107_20013107</v>
      </c>
      <c r="B9" s="44">
        <v>20013107</v>
      </c>
      <c r="C9" s="44">
        <v>20013107</v>
      </c>
      <c r="D9" s="43" t="str">
        <f ca="1">VLOOKUP($C9,OFFSET(enemy_skills!$A$1,0,0,COUNTA(enemy_skills!$A:$A),MATCH(D$1,enemy_skills!$1:$1,0)-MATCH("enemy_skill_id",enemy_skills!$1:$1,0)+1),MATCH(D$1,enemy_skills!$1:$1,0)-MATCH("enemy_skill_id",enemy_skills!$1:$1,0)+1,FALSE)</f>
        <v>兼続サン…アタシも見てよ…</v>
      </c>
      <c r="E9" s="43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ハートパネルを5個 時限式パネルに変換</v>
      </c>
      <c r="F9" s="44">
        <v>20013107</v>
      </c>
      <c r="G9" s="4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5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9" s="4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5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5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5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9" s="44" t="s">
        <v>230</v>
      </c>
      <c r="Q9" s="167">
        <v>42460</v>
      </c>
      <c r="R9" s="44" t="s">
        <v>220</v>
      </c>
    </row>
    <row r="10" spans="1:18" ht="21" customHeight="1" x14ac:dyDescent="0.15">
      <c r="A10" s="36" t="str">
        <f t="shared" si="1"/>
        <v>20013108_20013108</v>
      </c>
      <c r="B10" s="44">
        <v>20013108</v>
      </c>
      <c r="C10" s="44">
        <v>20013108</v>
      </c>
      <c r="D10" s="43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緊急リカバリー</v>
      </c>
      <c r="E10" s="43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自身のHPを回復</v>
      </c>
      <c r="F10" s="44">
        <v>20013108</v>
      </c>
      <c r="G10" s="4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5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5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45</v>
      </c>
      <c r="K10" s="4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4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5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4" t="s">
        <v>230</v>
      </c>
      <c r="Q10" s="167">
        <v>42460</v>
      </c>
      <c r="R10" s="44" t="s">
        <v>221</v>
      </c>
    </row>
    <row r="11" spans="1:18" ht="21" customHeight="1" x14ac:dyDescent="0.15">
      <c r="A11" s="36" t="str">
        <f t="shared" si="1"/>
        <v>20013109_20013109</v>
      </c>
      <c r="B11" s="44">
        <v>20013109</v>
      </c>
      <c r="C11" s="44">
        <v>20013109</v>
      </c>
      <c r="D11" s="43" t="str">
        <f ca="1">VLOOKUP($C11,OFFSET(enemy_skills!$A$1,0,0,COUNTA(enemy_skills!$A:$A),MATCH(D$1,enemy_skills!$1:$1,0)-MATCH("enemy_skill_id",enemy_skills!$1:$1,0)+1),MATCH(D$1,enemy_skills!$1:$1,0)-MATCH("enemy_skill_id",enemy_skills!$1:$1,0)+1,FALSE)</f>
        <v>今、キミたちのハートを釘付けにしようじゃないか！</v>
      </c>
      <c r="E11" s="43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5ターンハートパネルが使用できない</v>
      </c>
      <c r="F11" s="44">
        <v>20013109</v>
      </c>
      <c r="G11" s="4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4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5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95</v>
      </c>
      <c r="L11" s="45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5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4" t="s">
        <v>230</v>
      </c>
      <c r="Q11" s="167">
        <v>42460</v>
      </c>
      <c r="R11" s="44" t="s">
        <v>222</v>
      </c>
    </row>
    <row r="12" spans="1:18" ht="21" customHeight="1" x14ac:dyDescent="0.15">
      <c r="A12" s="36" t="str">
        <f t="shared" si="1"/>
        <v>20013109_20013110</v>
      </c>
      <c r="B12" s="44">
        <v>20013109</v>
      </c>
      <c r="C12" s="44">
        <v>20013110</v>
      </c>
      <c r="D12" s="43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いいね〜燃える恋心ってやつかな？</v>
      </c>
      <c r="E12" s="43" t="str">
        <f ca="1">VLOOKUP($C12,OFFSET(enemy_skills!$A$1,0,0,COUNTA(enemy_skills!$A:$A),MATCH(E$1,enemy_skills!$1:$1,0)-MATCH("enemy_skill_id",enemy_skills!$1:$1,0)+1),MATCH(E$1,enemy_skills!$1:$1,0)-MATCH("enemy_skill_id",enemy_skills!$1:$1,0)+1,FALSE)</f>
        <v>赤パネル5個をハートパネルに変換＋攻撃</v>
      </c>
      <c r="F12" s="44">
        <v>20013110</v>
      </c>
      <c r="G12" s="4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2" s="4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5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2" s="4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5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2" s="44" t="s">
        <v>230</v>
      </c>
      <c r="Q12" s="167">
        <v>42460</v>
      </c>
      <c r="R12" s="44" t="s">
        <v>222</v>
      </c>
    </row>
    <row r="13" spans="1:18" ht="21" customHeight="1" x14ac:dyDescent="0.15">
      <c r="A13" s="36" t="str">
        <f t="shared" si="1"/>
        <v>20013109_20013111</v>
      </c>
      <c r="B13" s="44">
        <v>20013109</v>
      </c>
      <c r="C13" s="44">
        <v>20013111</v>
      </c>
      <c r="D13" s="43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はははっ爽快だね！</v>
      </c>
      <c r="E13" s="43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緑パネル5個をハートパネルに変換＋攻撃</v>
      </c>
      <c r="F13" s="44">
        <v>20013111</v>
      </c>
      <c r="G13" s="4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3" s="4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3" s="4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5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3" s="4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5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3" s="44" t="s">
        <v>230</v>
      </c>
      <c r="Q13" s="167">
        <v>42460</v>
      </c>
      <c r="R13" s="44" t="s">
        <v>222</v>
      </c>
    </row>
    <row r="14" spans="1:18" ht="21" customHeight="1" x14ac:dyDescent="0.15">
      <c r="A14" s="36" t="str">
        <f t="shared" si="1"/>
        <v>20013109_20013112</v>
      </c>
      <c r="B14" s="44">
        <v>20013109</v>
      </c>
      <c r="C14" s="44">
        <v>20013112</v>
      </c>
      <c r="D14" s="43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たまには、ブルーな気分も悪くない…か</v>
      </c>
      <c r="E14" s="43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青パネル5個をハートパネルに変換＋攻撃</v>
      </c>
      <c r="F14" s="44">
        <v>20013112</v>
      </c>
      <c r="G14" s="4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4" s="4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5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5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5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4" s="4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5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4" t="s">
        <v>230</v>
      </c>
      <c r="Q14" s="167">
        <v>42460</v>
      </c>
      <c r="R14" s="44" t="s">
        <v>222</v>
      </c>
    </row>
    <row r="15" spans="1:18" ht="21" customHeight="1" x14ac:dyDescent="0.15">
      <c r="A15" s="36" t="str">
        <f t="shared" si="1"/>
        <v>20013109_20013113</v>
      </c>
      <c r="B15" s="44">
        <v>20013109</v>
      </c>
      <c r="C15" s="44">
        <v>20013113</v>
      </c>
      <c r="D15" s="43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やはり、幸せじゃないといけないよな！</v>
      </c>
      <c r="E15" s="43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黄パネル5個をハートパネルに変換＋攻撃</v>
      </c>
      <c r="F15" s="44">
        <v>20013113</v>
      </c>
      <c r="G15" s="4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5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5" s="4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5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5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4" t="s">
        <v>230</v>
      </c>
      <c r="Q15" s="167">
        <v>42460</v>
      </c>
      <c r="R15" s="44" t="s">
        <v>222</v>
      </c>
    </row>
    <row r="16" spans="1:18" ht="21" customHeight="1" x14ac:dyDescent="0.15">
      <c r="A16" s="36" t="str">
        <f t="shared" si="1"/>
        <v>20013109_20013114</v>
      </c>
      <c r="B16" s="44">
        <v>20013109</v>
      </c>
      <c r="C16" s="44">
        <v>20013114</v>
      </c>
      <c r="D16" s="43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どうだい、私に釘付けだろう？</v>
      </c>
      <c r="E16" s="43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ハートパネルにプロテクト</v>
      </c>
      <c r="F16" s="44">
        <v>20013114</v>
      </c>
      <c r="G16" s="4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5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5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5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4" t="s">
        <v>230</v>
      </c>
      <c r="Q16" s="167">
        <v>42460</v>
      </c>
      <c r="R16" s="44" t="s">
        <v>222</v>
      </c>
    </row>
    <row r="17" spans="1:18" ht="21" customHeight="1" x14ac:dyDescent="0.15">
      <c r="A17" s="36" t="str">
        <f t="shared" si="1"/>
        <v>20013109_20013115</v>
      </c>
      <c r="B17" s="44">
        <v>20013109</v>
      </c>
      <c r="C17" s="44">
        <v>20013115</v>
      </c>
      <c r="D17" s="43" t="str">
        <f ca="1">VLOOKUP($C17,OFFSET(enemy_skills!$A$1,0,0,COUNTA(enemy_skills!$A:$A),MATCH(D$1,enemy_skills!$1:$1,0)-MATCH("enemy_skill_id",enemy_skills!$1:$1,0)+1),MATCH(D$1,enemy_skills!$1:$1,0)-MATCH("enemy_skill_id",enemy_skills!$1:$1,0)+1,FALSE)</f>
        <v>誰にでも、秘めた想いがあるものだろう？</v>
      </c>
      <c r="E17" s="43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ハートパネルを吸収して全体攻撃</v>
      </c>
      <c r="F17" s="44">
        <v>20013115</v>
      </c>
      <c r="G17" s="4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5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5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5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17" s="4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5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4" t="s">
        <v>230</v>
      </c>
      <c r="Q17" s="167">
        <v>42460</v>
      </c>
      <c r="R17" s="44" t="s">
        <v>222</v>
      </c>
    </row>
    <row r="18" spans="1:18" ht="21" customHeight="1" x14ac:dyDescent="0.15">
      <c r="A18" s="36" t="str">
        <f t="shared" si="1"/>
        <v>20013110_20013116</v>
      </c>
      <c r="B18" s="44">
        <v>20013110</v>
      </c>
      <c r="C18" s="44">
        <v>20013116</v>
      </c>
      <c r="D18" s="43" t="str">
        <f ca="1">VLOOKUP($C18,OFFSET(enemy_skills!$A$1,0,0,COUNTA(enemy_skills!$A:$A),MATCH(D$1,enemy_skills!$1:$1,0)-MATCH("enemy_skill_id",enemy_skills!$1:$1,0)+1),MATCH(D$1,enemy_skills!$1:$1,0)-MATCH("enemy_skill_id",enemy_skills!$1:$1,0)+1,FALSE)</f>
        <v>謙信さまの笑顔が私の勇気の源なのだよ！</v>
      </c>
      <c r="E18" s="43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ハートパネルを吸収して防御力UP</v>
      </c>
      <c r="F18" s="44">
        <v>20013116</v>
      </c>
      <c r="G18" s="4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5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18" s="4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5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18" s="44" t="s">
        <v>230</v>
      </c>
      <c r="Q18" s="167">
        <v>42460</v>
      </c>
      <c r="R18" s="44" t="s">
        <v>225</v>
      </c>
    </row>
    <row r="19" spans="1:18" ht="21" customHeight="1" x14ac:dyDescent="0.15">
      <c r="A19" s="36" t="str">
        <f t="shared" si="1"/>
        <v>20013110_20013117</v>
      </c>
      <c r="B19" s="44">
        <v>20013110</v>
      </c>
      <c r="C19" s="44">
        <v>20013117</v>
      </c>
      <c r="D19" s="43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私の実力、お見せしよう！</v>
      </c>
      <c r="E19" s="43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19" s="44">
        <v>20013117</v>
      </c>
      <c r="G19" s="4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5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4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9" s="45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19" s="4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9" s="4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5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5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9" s="44" t="s">
        <v>230</v>
      </c>
      <c r="Q19" s="167">
        <v>42460</v>
      </c>
      <c r="R19" s="44" t="s">
        <v>225</v>
      </c>
    </row>
    <row r="20" spans="1:18" ht="21" customHeight="1" x14ac:dyDescent="0.15">
      <c r="A20" s="36" t="str">
        <f t="shared" ref="A20:A43" si="2">B20&amp;"_"&amp;C20</f>
        <v>20013110_20013118</v>
      </c>
      <c r="B20" s="44">
        <v>20013110</v>
      </c>
      <c r="C20" s="44">
        <v>20013118</v>
      </c>
      <c r="D20" s="43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どんな子も、私の下に来たいなら歓迎するよ</v>
      </c>
      <c r="E20" s="43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赤緑黄青パネル各1個をハートパネルに変換＋攻撃</v>
      </c>
      <c r="F20" s="44">
        <v>20013118</v>
      </c>
      <c r="G20" s="4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5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0" s="4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20" s="4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5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5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5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20" s="44" t="s">
        <v>230</v>
      </c>
      <c r="Q20" s="167">
        <v>42460</v>
      </c>
      <c r="R20" s="44" t="s">
        <v>225</v>
      </c>
    </row>
    <row r="21" spans="1:18" ht="21" customHeight="1" x14ac:dyDescent="0.15">
      <c r="A21" s="36" t="str">
        <f t="shared" si="2"/>
        <v>20013110_20013119</v>
      </c>
      <c r="B21" s="44">
        <v>20013110</v>
      </c>
      <c r="C21" s="44">
        <v>20013119</v>
      </c>
      <c r="D21" s="43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ぐぬぬっ！障壁展開だ！！</v>
      </c>
      <c r="E21" s="43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ハートパネルを3個お邪魔パネルに変換</v>
      </c>
      <c r="F21" s="44">
        <v>20013119</v>
      </c>
      <c r="G21" s="4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5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1" s="4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5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5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5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5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4" t="s">
        <v>230</v>
      </c>
      <c r="Q21" s="167">
        <v>42460</v>
      </c>
      <c r="R21" s="44" t="s">
        <v>225</v>
      </c>
    </row>
    <row r="22" spans="1:18" ht="21" customHeight="1" x14ac:dyDescent="0.15">
      <c r="A22" s="36" t="str">
        <f t="shared" si="2"/>
        <v>20013111_20013120</v>
      </c>
      <c r="B22" s="44">
        <v>20013111</v>
      </c>
      <c r="C22" s="44">
        <v>20013120</v>
      </c>
      <c r="D22" s="43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今、キミたちのハートを釘付けにしようじゃないか！</v>
      </c>
      <c r="E22" s="43" t="str">
        <f ca="1">VLOOKUP($C22,OFFSET(enemy_skills!$A$1,0,0,COUNTA(enemy_skills!$A:$A),MATCH(E$1,enemy_skills!$1:$1,0)-MATCH("enemy_skill_id",enemy_skills!$1:$1,0)+1),MATCH(E$1,enemy_skills!$1:$1,0)-MATCH("enemy_skill_id",enemy_skills!$1:$1,0)+1,FALSE)</f>
        <v>5ターンハートパネルが使用できない</v>
      </c>
      <c r="F22" s="44">
        <v>20013109</v>
      </c>
      <c r="G22" s="4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5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5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95</v>
      </c>
      <c r="L22" s="45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5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4" t="s">
        <v>230</v>
      </c>
      <c r="Q22" s="167">
        <v>42460</v>
      </c>
      <c r="R22" s="44" t="s">
        <v>223</v>
      </c>
    </row>
    <row r="23" spans="1:18" ht="21" customHeight="1" x14ac:dyDescent="0.15">
      <c r="A23" s="36" t="str">
        <f t="shared" si="2"/>
        <v>20013111_20013121</v>
      </c>
      <c r="B23" s="44">
        <v>20013111</v>
      </c>
      <c r="C23" s="44">
        <v>20013121</v>
      </c>
      <c r="D23" s="43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いいね〜燃える恋心ってやつかな？</v>
      </c>
      <c r="E23" s="43" t="str">
        <f ca="1">VLOOKUP($C23,OFFSET(enemy_skills!$A$1,0,0,COUNTA(enemy_skills!$A:$A),MATCH(E$1,enemy_skills!$1:$1,0)-MATCH("enemy_skill_id",enemy_skills!$1:$1,0)+1),MATCH(E$1,enemy_skills!$1:$1,0)-MATCH("enemy_skill_id",enemy_skills!$1:$1,0)+1,FALSE)</f>
        <v>赤パネル7個をハートパネルに変換＋攻撃</v>
      </c>
      <c r="F23" s="44">
        <v>20013110</v>
      </c>
      <c r="G23" s="4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5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3" s="4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5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3" s="45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5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3" s="44" t="s">
        <v>230</v>
      </c>
      <c r="Q23" s="167">
        <v>42460</v>
      </c>
      <c r="R23" s="44" t="s">
        <v>223</v>
      </c>
    </row>
    <row r="24" spans="1:18" ht="21" customHeight="1" x14ac:dyDescent="0.15">
      <c r="A24" s="36" t="str">
        <f t="shared" si="2"/>
        <v>20013111_20013122</v>
      </c>
      <c r="B24" s="44">
        <v>20013111</v>
      </c>
      <c r="C24" s="44">
        <v>20013122</v>
      </c>
      <c r="D24" s="43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はははっ爽快だね！</v>
      </c>
      <c r="E24" s="43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緑パネル7個をハートパネルに変換＋攻撃</v>
      </c>
      <c r="F24" s="44">
        <v>20013111</v>
      </c>
      <c r="G24" s="4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4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4" s="4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5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4" s="4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4" s="44" t="s">
        <v>230</v>
      </c>
      <c r="Q24" s="167">
        <v>42460</v>
      </c>
      <c r="R24" s="44" t="s">
        <v>223</v>
      </c>
    </row>
    <row r="25" spans="1:18" ht="21" customHeight="1" x14ac:dyDescent="0.15">
      <c r="A25" s="36" t="str">
        <f t="shared" si="2"/>
        <v>20013111_20013123</v>
      </c>
      <c r="B25" s="44">
        <v>20013111</v>
      </c>
      <c r="C25" s="44">
        <v>20013123</v>
      </c>
      <c r="D25" s="4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たまには、ブルーな気分も悪くない…か</v>
      </c>
      <c r="E25" s="43" t="str">
        <f ca="1">VLOOKUP($C25,OFFSET(enemy_skills!$A$1,0,0,COUNTA(enemy_skills!$A:$A),MATCH(E$1,enemy_skills!$1:$1,0)-MATCH("enemy_skill_id",enemy_skills!$1:$1,0)+1),MATCH(E$1,enemy_skills!$1:$1,0)-MATCH("enemy_skill_id",enemy_skills!$1:$1,0)+1,FALSE)</f>
        <v>青パネル7個をハートパネルに変換＋攻撃</v>
      </c>
      <c r="F25" s="44">
        <v>20013112</v>
      </c>
      <c r="G25" s="4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5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4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5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5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5" s="4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5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4" t="s">
        <v>230</v>
      </c>
      <c r="Q25" s="167">
        <v>42460</v>
      </c>
      <c r="R25" s="44" t="s">
        <v>223</v>
      </c>
    </row>
    <row r="26" spans="1:18" ht="21" customHeight="1" x14ac:dyDescent="0.15">
      <c r="A26" s="36" t="str">
        <f t="shared" si="2"/>
        <v>20013111_20013124</v>
      </c>
      <c r="B26" s="44">
        <v>20013111</v>
      </c>
      <c r="C26" s="44">
        <v>20013124</v>
      </c>
      <c r="D26" s="43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やはり、幸せじゃないといけないよな！</v>
      </c>
      <c r="E26" s="43" t="str">
        <f ca="1">VLOOKUP($C26,OFFSET(enemy_skills!$A$1,0,0,COUNTA(enemy_skills!$A:$A),MATCH(E$1,enemy_skills!$1:$1,0)-MATCH("enemy_skill_id",enemy_skills!$1:$1,0)+1),MATCH(E$1,enemy_skills!$1:$1,0)-MATCH("enemy_skill_id",enemy_skills!$1:$1,0)+1,FALSE)</f>
        <v>黄パネル7個をハートパネルに変換＋攻撃</v>
      </c>
      <c r="F26" s="44">
        <v>20013113</v>
      </c>
      <c r="G26" s="4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5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26" s="4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5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5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5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4" t="s">
        <v>230</v>
      </c>
      <c r="Q26" s="167">
        <v>42460</v>
      </c>
      <c r="R26" s="44" t="s">
        <v>223</v>
      </c>
    </row>
    <row r="27" spans="1:18" ht="21" customHeight="1" x14ac:dyDescent="0.15">
      <c r="A27" s="36" t="str">
        <f t="shared" si="2"/>
        <v>20013111_20013125</v>
      </c>
      <c r="B27" s="44">
        <v>20013111</v>
      </c>
      <c r="C27" s="44">
        <v>20013125</v>
      </c>
      <c r="D27" s="43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どうだい、私に釘付けだろう？</v>
      </c>
      <c r="E27" s="43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ハートパネルをプロテクト</v>
      </c>
      <c r="F27" s="44">
        <v>20013114</v>
      </c>
      <c r="G27" s="4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5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4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5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5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4" t="s">
        <v>230</v>
      </c>
      <c r="Q27" s="167">
        <v>42460</v>
      </c>
      <c r="R27" s="44" t="s">
        <v>223</v>
      </c>
    </row>
    <row r="28" spans="1:18" ht="21" customHeight="1" x14ac:dyDescent="0.15">
      <c r="A28" s="36" t="str">
        <f t="shared" si="2"/>
        <v>20013111_20013126</v>
      </c>
      <c r="B28" s="44">
        <v>20013111</v>
      </c>
      <c r="C28" s="44">
        <v>20013126</v>
      </c>
      <c r="D28" s="43" t="str">
        <f ca="1">VLOOKUP($C28,OFFSET(enemy_skills!$A$1,0,0,COUNTA(enemy_skills!$A:$A),MATCH(D$1,enemy_skills!$1:$1,0)-MATCH("enemy_skill_id",enemy_skills!$1:$1,0)+1),MATCH(D$1,enemy_skills!$1:$1,0)-MATCH("enemy_skill_id",enemy_skills!$1:$1,0)+1,FALSE)</f>
        <v>誰にでも、秘めた想いがあるものだろう？</v>
      </c>
      <c r="E28" s="43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28" s="44">
        <v>20013115</v>
      </c>
      <c r="G28" s="4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5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5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5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28" s="4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5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4" t="s">
        <v>230</v>
      </c>
      <c r="Q28" s="167">
        <v>42460</v>
      </c>
      <c r="R28" s="44" t="s">
        <v>223</v>
      </c>
    </row>
    <row r="29" spans="1:18" ht="21" customHeight="1" x14ac:dyDescent="0.15">
      <c r="A29" s="36" t="str">
        <f t="shared" si="2"/>
        <v>20013112_20013127</v>
      </c>
      <c r="B29" s="44">
        <v>20013112</v>
      </c>
      <c r="C29" s="44">
        <v>20013127</v>
      </c>
      <c r="D29" s="43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謙信さまの笑顔が私の勇気の源なのだよ！</v>
      </c>
      <c r="E29" s="43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ハートパネルを吸収して防御力UP</v>
      </c>
      <c r="F29" s="44">
        <v>20013116</v>
      </c>
      <c r="G29" s="4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5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29" s="4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5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29" s="44" t="s">
        <v>230</v>
      </c>
      <c r="Q29" s="167">
        <v>42460</v>
      </c>
      <c r="R29" s="44" t="s">
        <v>226</v>
      </c>
    </row>
    <row r="30" spans="1:18" ht="21" customHeight="1" x14ac:dyDescent="0.15">
      <c r="A30" s="36" t="str">
        <f t="shared" si="2"/>
        <v>20013112_20013128</v>
      </c>
      <c r="B30" s="44">
        <v>20013112</v>
      </c>
      <c r="C30" s="44">
        <v>20013128</v>
      </c>
      <c r="D30" s="43" t="str">
        <f ca="1">VLOOKUP($C30,OFFSET(enemy_skills!$A$1,0,0,COUNTA(enemy_skills!$A:$A),MATCH(D$1,enemy_skills!$1:$1,0)-MATCH("enemy_skill_id",enemy_skills!$1:$1,0)+1),MATCH(D$1,enemy_skills!$1:$1,0)-MATCH("enemy_skill_id",enemy_skills!$1:$1,0)+1,FALSE)</f>
        <v>私の実力、お見せしよう！</v>
      </c>
      <c r="E30" s="43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30" s="44">
        <v>20013117</v>
      </c>
      <c r="G30" s="4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0" s="4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0" s="45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30" s="4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30" s="4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5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0" s="44" t="s">
        <v>230</v>
      </c>
      <c r="Q30" s="167">
        <v>42460</v>
      </c>
      <c r="R30" s="44" t="s">
        <v>226</v>
      </c>
    </row>
    <row r="31" spans="1:18" ht="21" customHeight="1" x14ac:dyDescent="0.15">
      <c r="A31" s="36" t="str">
        <f t="shared" si="2"/>
        <v>20013112_20013129</v>
      </c>
      <c r="B31" s="44">
        <v>20013112</v>
      </c>
      <c r="C31" s="44">
        <v>20013129</v>
      </c>
      <c r="D31" s="43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どんな子も、私の下に来たいなら歓迎するよ</v>
      </c>
      <c r="E31" s="43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赤緑黄青パネル各1個をハートパネルに変換＋2回攻撃</v>
      </c>
      <c r="F31" s="44">
        <v>20013118</v>
      </c>
      <c r="G31" s="4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5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1" s="4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31" s="45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5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5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5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31" s="44" t="s">
        <v>230</v>
      </c>
      <c r="Q31" s="167">
        <v>42460</v>
      </c>
      <c r="R31" s="44" t="s">
        <v>226</v>
      </c>
    </row>
    <row r="32" spans="1:18" ht="21" customHeight="1" x14ac:dyDescent="0.15">
      <c r="A32" s="36" t="str">
        <f t="shared" si="2"/>
        <v>20013112_20013130</v>
      </c>
      <c r="B32" s="44">
        <v>20013112</v>
      </c>
      <c r="C32" s="44">
        <v>20013130</v>
      </c>
      <c r="D32" s="43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ぐぬぬっ！障壁展開だ！！</v>
      </c>
      <c r="E32" s="43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ハートパネルを4個お邪魔パネルに変換</v>
      </c>
      <c r="F32" s="44">
        <v>20013119</v>
      </c>
      <c r="G32" s="4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2" s="4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5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4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5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5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4" t="s">
        <v>230</v>
      </c>
      <c r="Q32" s="167">
        <v>42460</v>
      </c>
      <c r="R32" s="44" t="s">
        <v>226</v>
      </c>
    </row>
    <row r="33" spans="1:18" ht="21" customHeight="1" x14ac:dyDescent="0.15">
      <c r="A33" s="36" t="str">
        <f t="shared" si="2"/>
        <v>20013113_20013131</v>
      </c>
      <c r="B33" s="44">
        <v>20013113</v>
      </c>
      <c r="C33" s="44">
        <v>20013131</v>
      </c>
      <c r="D33" s="43" t="str">
        <f ca="1">VLOOKUP($C33,OFFSET(enemy_skills!$A$1,0,0,COUNTA(enemy_skills!$A:$A),MATCH(D$1,enemy_skills!$1:$1,0)-MATCH("enemy_skill_id",enemy_skills!$1:$1,0)+1),MATCH(D$1,enemy_skills!$1:$1,0)-MATCH("enemy_skill_id",enemy_skills!$1:$1,0)+1,FALSE)</f>
        <v>今、キミたちのハートを釘付けにしようじゃないか！</v>
      </c>
      <c r="E33" s="43" t="str">
        <f ca="1">VLOOKUP($C33,OFFSET(enemy_skills!$A$1,0,0,COUNTA(enemy_skills!$A:$A),MATCH(E$1,enemy_skills!$1:$1,0)-MATCH("enemy_skill_id",enemy_skills!$1:$1,0)+1),MATCH(E$1,enemy_skills!$1:$1,0)-MATCH("enemy_skill_id",enemy_skills!$1:$1,0)+1,FALSE)</f>
        <v>5ターンハートパネルが使用できない</v>
      </c>
      <c r="F33" s="44">
        <v>20013109</v>
      </c>
      <c r="G33" s="4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45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5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95</v>
      </c>
      <c r="L33" s="45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5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4" t="s">
        <v>230</v>
      </c>
      <c r="Q33" s="167">
        <v>42460</v>
      </c>
      <c r="R33" s="44" t="s">
        <v>224</v>
      </c>
    </row>
    <row r="34" spans="1:18" ht="21" customHeight="1" x14ac:dyDescent="0.15">
      <c r="A34" s="36" t="str">
        <f t="shared" si="2"/>
        <v>20013113_20013132</v>
      </c>
      <c r="B34" s="44">
        <v>20013113</v>
      </c>
      <c r="C34" s="44">
        <v>20013132</v>
      </c>
      <c r="D34" s="43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いいね〜燃える恋心ってやつかな？</v>
      </c>
      <c r="E34" s="43" t="str">
        <f ca="1">VLOOKUP($C34,OFFSET(enemy_skills!$A$1,0,0,COUNTA(enemy_skills!$A:$A),MATCH(E$1,enemy_skills!$1:$1,0)-MATCH("enemy_skill_id",enemy_skills!$1:$1,0)+1),MATCH(E$1,enemy_skills!$1:$1,0)-MATCH("enemy_skill_id",enemy_skills!$1:$1,0)+1,FALSE)</f>
        <v>赤パネル9個をハートパネルに変換＋攻撃</v>
      </c>
      <c r="F34" s="44">
        <v>20013110</v>
      </c>
      <c r="G34" s="4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5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4" s="4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4" s="4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5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5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4" s="44" t="s">
        <v>230</v>
      </c>
      <c r="Q34" s="167">
        <v>42460</v>
      </c>
      <c r="R34" s="44" t="s">
        <v>224</v>
      </c>
    </row>
    <row r="35" spans="1:18" ht="21" customHeight="1" x14ac:dyDescent="0.15">
      <c r="A35" s="36" t="str">
        <f t="shared" si="2"/>
        <v>20013113_20013133</v>
      </c>
      <c r="B35" s="44">
        <v>20013113</v>
      </c>
      <c r="C35" s="44">
        <v>20013133</v>
      </c>
      <c r="D35" s="43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はははっ爽快だね！</v>
      </c>
      <c r="E35" s="43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緑パネル9個をハートパネルに変換＋攻撃</v>
      </c>
      <c r="F35" s="44">
        <v>20013111</v>
      </c>
      <c r="G35" s="4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5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5" s="4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5" s="4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5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5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5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5" s="44" t="s">
        <v>230</v>
      </c>
      <c r="Q35" s="167">
        <v>42460</v>
      </c>
      <c r="R35" s="44" t="s">
        <v>224</v>
      </c>
    </row>
    <row r="36" spans="1:18" ht="21" customHeight="1" x14ac:dyDescent="0.15">
      <c r="A36" s="36" t="str">
        <f t="shared" si="2"/>
        <v>20013113_20013134</v>
      </c>
      <c r="B36" s="44">
        <v>20013113</v>
      </c>
      <c r="C36" s="44">
        <v>20013134</v>
      </c>
      <c r="D36" s="43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たまには、ブルーな気分も悪くない…か</v>
      </c>
      <c r="E36" s="43" t="str">
        <f ca="1">VLOOKUP($C36,OFFSET(enemy_skills!$A$1,0,0,COUNTA(enemy_skills!$A:$A),MATCH(E$1,enemy_skills!$1:$1,0)-MATCH("enemy_skill_id",enemy_skills!$1:$1,0)+1),MATCH(E$1,enemy_skills!$1:$1,0)-MATCH("enemy_skill_id",enemy_skills!$1:$1,0)+1,FALSE)</f>
        <v>青パネル9個をハートパネルに変換＋攻撃</v>
      </c>
      <c r="F36" s="44">
        <v>20013112</v>
      </c>
      <c r="G36" s="4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5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6" s="4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6" s="4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5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6" s="45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5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6" s="44" t="s">
        <v>230</v>
      </c>
      <c r="Q36" s="167">
        <v>42460</v>
      </c>
      <c r="R36" s="44" t="s">
        <v>224</v>
      </c>
    </row>
    <row r="37" spans="1:18" ht="21" customHeight="1" x14ac:dyDescent="0.15">
      <c r="A37" s="36" t="str">
        <f t="shared" si="2"/>
        <v>20013113_20013135</v>
      </c>
      <c r="B37" s="44">
        <v>20013113</v>
      </c>
      <c r="C37" s="44">
        <v>20013135</v>
      </c>
      <c r="D37" s="43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やはり、幸せじゃないといけないよな！</v>
      </c>
      <c r="E37" s="43" t="str">
        <f ca="1">VLOOKUP($C37,OFFSET(enemy_skills!$A$1,0,0,COUNTA(enemy_skills!$A:$A),MATCH(E$1,enemy_skills!$1:$1,0)-MATCH("enemy_skill_id",enemy_skills!$1:$1,0)+1),MATCH(E$1,enemy_skills!$1:$1,0)-MATCH("enemy_skill_id",enemy_skills!$1:$1,0)+1,FALSE)</f>
        <v>黄パネル9個をハートパネルに変換＋攻撃</v>
      </c>
      <c r="F37" s="44">
        <v>20013113</v>
      </c>
      <c r="G37" s="4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5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7" s="4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5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7" s="45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5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4" t="s">
        <v>230</v>
      </c>
      <c r="Q37" s="167">
        <v>42460</v>
      </c>
      <c r="R37" s="44" t="s">
        <v>224</v>
      </c>
    </row>
    <row r="38" spans="1:18" ht="21" customHeight="1" x14ac:dyDescent="0.15">
      <c r="A38" s="36" t="str">
        <f t="shared" si="2"/>
        <v>20013113_20013136</v>
      </c>
      <c r="B38" s="44">
        <v>20013113</v>
      </c>
      <c r="C38" s="44">
        <v>20013136</v>
      </c>
      <c r="D38" s="43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どうだい、私に釘付けだろう？</v>
      </c>
      <c r="E38" s="43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ハートパネルをプロテクト</v>
      </c>
      <c r="F38" s="44">
        <v>20013114</v>
      </c>
      <c r="G38" s="4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5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5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5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5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8" s="45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5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4" t="s">
        <v>230</v>
      </c>
      <c r="Q38" s="167">
        <v>42460</v>
      </c>
      <c r="R38" s="44" t="s">
        <v>224</v>
      </c>
    </row>
    <row r="39" spans="1:18" ht="21" customHeight="1" x14ac:dyDescent="0.15">
      <c r="A39" s="36" t="str">
        <f t="shared" si="2"/>
        <v>20013113_20013137</v>
      </c>
      <c r="B39" s="44">
        <v>20013113</v>
      </c>
      <c r="C39" s="44">
        <v>20013137</v>
      </c>
      <c r="D39" s="43" t="str">
        <f ca="1">VLOOKUP($C39,OFFSET(enemy_skills!$A$1,0,0,COUNTA(enemy_skills!$A:$A),MATCH(D$1,enemy_skills!$1:$1,0)-MATCH("enemy_skill_id",enemy_skills!$1:$1,0)+1),MATCH(D$1,enemy_skills!$1:$1,0)-MATCH("enemy_skill_id",enemy_skills!$1:$1,0)+1,FALSE)</f>
        <v>誰にでも、秘めた想いがあるものだろう？</v>
      </c>
      <c r="E39" s="43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ハートパネル吸収攻撃</v>
      </c>
      <c r="F39" s="44">
        <v>20013115</v>
      </c>
      <c r="G39" s="4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5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5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5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5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9" s="45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5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4" t="s">
        <v>230</v>
      </c>
      <c r="Q39" s="167">
        <v>42460</v>
      </c>
      <c r="R39" s="44" t="s">
        <v>224</v>
      </c>
    </row>
    <row r="40" spans="1:18" ht="21" customHeight="1" x14ac:dyDescent="0.15">
      <c r="A40" s="36" t="str">
        <f t="shared" si="2"/>
        <v>20013114_20013138</v>
      </c>
      <c r="B40" s="44">
        <v>20013114</v>
      </c>
      <c r="C40" s="44">
        <v>20013138</v>
      </c>
      <c r="D40" s="43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謙信さまの笑顔が私の勇気の源なのだよ！</v>
      </c>
      <c r="E40" s="43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ハートパネルを吸収して防御力UP</v>
      </c>
      <c r="F40" s="44">
        <v>20013116</v>
      </c>
      <c r="G40" s="4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5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5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</v>
      </c>
      <c r="J40" s="45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5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5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5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</v>
      </c>
      <c r="P40" s="44" t="s">
        <v>230</v>
      </c>
      <c r="Q40" s="167">
        <v>42460</v>
      </c>
      <c r="R40" s="44" t="s">
        <v>227</v>
      </c>
    </row>
    <row r="41" spans="1:18" ht="21" customHeight="1" x14ac:dyDescent="0.15">
      <c r="A41" s="36" t="str">
        <f t="shared" si="2"/>
        <v>20013114_20013139</v>
      </c>
      <c r="B41" s="44">
        <v>20013114</v>
      </c>
      <c r="C41" s="44">
        <v>20013139</v>
      </c>
      <c r="D41" s="43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私の実力、お見せしよう！</v>
      </c>
      <c r="E41" s="43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41" s="44">
        <v>20013117</v>
      </c>
      <c r="G41" s="4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5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1" s="4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1" s="45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66</v>
      </c>
      <c r="K41" s="4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41" s="4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5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1" s="44" t="s">
        <v>230</v>
      </c>
      <c r="Q41" s="167">
        <v>42460</v>
      </c>
      <c r="R41" s="44" t="s">
        <v>227</v>
      </c>
    </row>
    <row r="42" spans="1:18" ht="21" customHeight="1" x14ac:dyDescent="0.15">
      <c r="A42" s="36" t="str">
        <f t="shared" si="2"/>
        <v>20013114_20013140</v>
      </c>
      <c r="B42" s="44">
        <v>20013114</v>
      </c>
      <c r="C42" s="44">
        <v>20013140</v>
      </c>
      <c r="D42" s="43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どんな子も、私の下に来たいなら歓迎するよ</v>
      </c>
      <c r="E42" s="43" t="str">
        <f ca="1">VLOOKUP($C42,OFFSET(enemy_skills!$A$1,0,0,COUNTA(enemy_skills!$A:$A),MATCH(E$1,enemy_skills!$1:$1,0)-MATCH("enemy_skill_id",enemy_skills!$1:$1,0)+1),MATCH(E$1,enemy_skills!$1:$1,0)-MATCH("enemy_skill_id",enemy_skills!$1:$1,0)+1,FALSE)</f>
        <v>赤緑黄青パネル各1個をハートパネルに変換＋3回攻撃</v>
      </c>
      <c r="F42" s="44">
        <v>20013118</v>
      </c>
      <c r="G42" s="45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5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2" s="45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42" s="45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5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5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5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5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5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42" s="44" t="s">
        <v>230</v>
      </c>
      <c r="Q42" s="167">
        <v>42460</v>
      </c>
      <c r="R42" s="44" t="s">
        <v>227</v>
      </c>
    </row>
    <row r="43" spans="1:18" ht="21" customHeight="1" x14ac:dyDescent="0.15">
      <c r="A43" s="36" t="str">
        <f t="shared" si="2"/>
        <v>20013114_20013141</v>
      </c>
      <c r="B43" s="44">
        <v>20013114</v>
      </c>
      <c r="C43" s="44">
        <v>20013141</v>
      </c>
      <c r="D43" s="43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ぐぬぬっ！障壁展開だ！！</v>
      </c>
      <c r="E43" s="43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ハートパネルを4個お邪魔パネルに変換</v>
      </c>
      <c r="F43" s="44">
        <v>20013119</v>
      </c>
      <c r="G43" s="4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5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4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5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5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5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5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5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4" t="s">
        <v>230</v>
      </c>
      <c r="Q43" s="167">
        <v>42460</v>
      </c>
      <c r="R43" s="44" t="s">
        <v>227</v>
      </c>
    </row>
    <row r="44" spans="1:18" ht="21" customHeight="1" x14ac:dyDescent="0.15">
      <c r="A44" s="36" t="str">
        <f t="shared" ref="A44:A49" si="3">B44&amp;"_"&amp;C44</f>
        <v>20013102_20013100</v>
      </c>
      <c r="B44" s="44">
        <v>20013102</v>
      </c>
      <c r="C44" s="44">
        <v>20013100</v>
      </c>
      <c r="D44" s="43" t="str">
        <f ca="1">VLOOKUP($C44,OFFSET(enemy_skills!$A$1,0,0,COUNTA(enemy_skills!$A:$A),MATCH(D$1,enemy_skills!$1:$1,0)-MATCH("enemy_skill_id",enemy_skills!$1:$1,0)+1),MATCH(D$1,enemy_skills!$1:$1,0)-MATCH("enemy_skill_id",enemy_skills!$1:$1,0)+1,FALSE)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44" s="43" t="str">
        <f ca="1">VLOOKUP($C44,OFFSET(enemy_skills!$A$1,0,0,COUNTA(enemy_skills!$A:$A),MATCH(E$1,enemy_skills!$1:$1,0)-MATCH("enemy_skill_id",enemy_skills!$1:$1,0)+1),MATCH(E$1,enemy_skills!$1:$1,0)-MATCH("enemy_skill_id",enemy_skills!$1:$1,0)+1,FALSE)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44" s="44">
        <v>20013120</v>
      </c>
      <c r="G44" s="45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5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4" s="45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5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5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5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5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5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44" s="45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4" t="s">
        <v>230</v>
      </c>
      <c r="Q44" s="167">
        <v>42460</v>
      </c>
      <c r="R44" s="44" t="s">
        <v>215</v>
      </c>
    </row>
    <row r="45" spans="1:18" ht="21" customHeight="1" x14ac:dyDescent="0.15">
      <c r="A45" s="36" t="str">
        <f t="shared" si="3"/>
        <v>20013103_20013100</v>
      </c>
      <c r="B45" s="44">
        <v>20013103</v>
      </c>
      <c r="C45" s="44">
        <v>20013100</v>
      </c>
      <c r="D45" s="43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45" s="43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45" s="44">
        <v>20013120</v>
      </c>
      <c r="G45" s="45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5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45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5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5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5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5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5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45" s="45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4" t="s">
        <v>230</v>
      </c>
      <c r="Q45" s="167">
        <v>42460</v>
      </c>
      <c r="R45" s="44" t="s">
        <v>216</v>
      </c>
    </row>
    <row r="46" spans="1:18" ht="21" customHeight="1" x14ac:dyDescent="0.15">
      <c r="A46" s="36" t="str">
        <f t="shared" si="3"/>
        <v>20013104_20013100</v>
      </c>
      <c r="B46" s="44">
        <v>20013104</v>
      </c>
      <c r="C46" s="44">
        <v>20013100</v>
      </c>
      <c r="D46" s="43" t="str">
        <f ca="1">VLOOKUP($C46,OFFSET(enemy_skills!$A$1,0,0,COUNTA(enemy_skills!$A:$A),MATCH(D$1,enemy_skills!$1:$1,0)-MATCH("enemy_skill_id",enemy_skills!$1:$1,0)+1),MATCH(D$1,enemy_skills!$1:$1,0)-MATCH("enemy_skill_id",enemy_skills!$1:$1,0)+1,FALSE)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46" s="43" t="str">
        <f ca="1">VLOOKUP($C46,OFFSET(enemy_skills!$A$1,0,0,COUNTA(enemy_skills!$A:$A),MATCH(E$1,enemy_skills!$1:$1,0)-MATCH("enemy_skill_id",enemy_skills!$1:$1,0)+1),MATCH(E$1,enemy_skills!$1:$1,0)-MATCH("enemy_skill_id",enemy_skills!$1:$1,0)+1,FALSE)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46" s="44">
        <v>20013120</v>
      </c>
      <c r="G46" s="45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5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" s="45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5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5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5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5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46" s="45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4" t="s">
        <v>230</v>
      </c>
      <c r="Q46" s="167">
        <v>42460</v>
      </c>
      <c r="R46" s="44" t="s">
        <v>217</v>
      </c>
    </row>
    <row r="47" spans="1:18" ht="21" customHeight="1" x14ac:dyDescent="0.15">
      <c r="A47" s="36" t="str">
        <f t="shared" si="3"/>
        <v>20013105_20013100</v>
      </c>
      <c r="B47" s="44">
        <v>20013105</v>
      </c>
      <c r="C47" s="44">
        <v>20013100</v>
      </c>
      <c r="D47" s="43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47" s="43" t="str">
        <f ca="1">VLOOKUP($C47,OFFSET(enemy_skills!$A$1,0,0,COUNTA(enemy_skills!$A:$A),MATCH(E$1,enemy_skills!$1:$1,0)-MATCH("enemy_skill_id",enemy_skills!$1:$1,0)+1),MATCH(E$1,enemy_skills!$1:$1,0)-MATCH("enemy_skill_id",enemy_skills!$1:$1,0)+1,FALSE)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47" s="44">
        <v>20013120</v>
      </c>
      <c r="G47" s="45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5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7" s="45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5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5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47" s="45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4" t="s">
        <v>230</v>
      </c>
      <c r="Q47" s="167">
        <v>42460</v>
      </c>
      <c r="R47" s="44" t="s">
        <v>218</v>
      </c>
    </row>
    <row r="48" spans="1:18" ht="21" customHeight="1" x14ac:dyDescent="0.15">
      <c r="A48" s="36" t="str">
        <f t="shared" si="3"/>
        <v>20013106_20013100</v>
      </c>
      <c r="B48" s="44">
        <v>20013106</v>
      </c>
      <c r="C48" s="44">
        <v>20013100</v>
      </c>
      <c r="D48" s="43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48" s="43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48" s="44">
        <v>20013120</v>
      </c>
      <c r="G48" s="45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5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45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5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5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5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5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5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48" s="45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4" t="s">
        <v>230</v>
      </c>
      <c r="Q48" s="167">
        <v>42460</v>
      </c>
      <c r="R48" s="44" t="s">
        <v>219</v>
      </c>
    </row>
    <row r="49" spans="1:18" ht="21" customHeight="1" x14ac:dyDescent="0.15">
      <c r="A49" s="36" t="str">
        <f t="shared" si="3"/>
        <v>20013107_20013100</v>
      </c>
      <c r="B49" s="44">
        <v>20013107</v>
      </c>
      <c r="C49" s="44">
        <v>20013100</v>
      </c>
      <c r="D49" s="43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撤収！撤収！</v>
      </c>
      <c r="E49" s="43" t="str">
        <f ca="1">VLOOKUP($C49,OFFSET(enemy_skills!$A$1,0,0,COUNTA(enemy_skills!$A:$A),MATCH(E$1,enemy_skills!$1:$1,0)-MATCH("enemy_skill_id",enemy_skills!$1:$1,0)+1),MATCH(E$1,enemy_skills!$1:$1,0)-MATCH("enemy_skill_id",enemy_skills!$1:$1,0)+1,FALSE)</f>
        <v>撤退していった・・・</v>
      </c>
      <c r="F49" s="44">
        <v>20013120</v>
      </c>
      <c r="G49" s="45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5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5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5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5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5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5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5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403</v>
      </c>
      <c r="O49" s="45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4" t="s">
        <v>230</v>
      </c>
      <c r="Q49" s="167">
        <v>42460</v>
      </c>
      <c r="R49" s="44" t="s">
        <v>220</v>
      </c>
    </row>
    <row r="50" spans="1:18" ht="21" customHeight="1" x14ac:dyDescent="0.15">
      <c r="A50" s="36" t="str">
        <f t="shared" ref="A50" si="4">B50&amp;"_"&amp;C50</f>
        <v>20013101_20013142</v>
      </c>
      <c r="B50" s="44">
        <v>20013101</v>
      </c>
      <c r="C50" s="44">
        <v>20013142</v>
      </c>
      <c r="D50" s="43" t="str">
        <f ca="1">VLOOKUP($C50,OFFSET(enemy_skills!$A$1,0,0,COUNTA(enemy_skills!$A:$A),MATCH(D$1,enemy_skills!$1:$1,0)-MATCH("enemy_skill_id",enemy_skills!$1:$1,0)+1),MATCH(D$1,enemy_skills!$1:$1,0)-MATCH("enemy_skill_id",enemy_skills!$1:$1,0)+1,FALSE)</f>
        <v>狙いをつけているようだ・・・</v>
      </c>
      <c r="E50" s="43" t="str">
        <f ca="1">VLOOKUP($C50,OFFSET(enemy_skills!$A$1,0,0,COUNTA(enemy_skills!$A:$A),MATCH(E$1,enemy_skills!$1:$1,0)-MATCH("enemy_skill_id",enemy_skills!$1:$1,0)+1),MATCH(E$1,enemy_skills!$1:$1,0)-MATCH("enemy_skill_id",enemy_skills!$1:$1,0)+1,FALSE)</f>
        <v>赤パネル5個をハートパネルに変換_x000D_＋次のターン強力なハート吸収攻撃</v>
      </c>
      <c r="F50" s="44">
        <v>20013121</v>
      </c>
      <c r="G50" s="45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5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0" s="45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5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5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33</v>
      </c>
      <c r="L50" s="45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5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5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5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4" t="s">
        <v>230</v>
      </c>
      <c r="Q50" s="167">
        <v>42461</v>
      </c>
      <c r="R50" s="44" t="s">
        <v>270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4"/>
  <sheetViews>
    <sheetView showGridLines="0" topLeftCell="B1" workbookViewId="0">
      <pane ySplit="1" topLeftCell="A37" activePane="bottomLeft" state="frozenSplit"/>
      <selection pane="bottomLeft" activeCell="F16" sqref="F16"/>
    </sheetView>
  </sheetViews>
  <sheetFormatPr baseColWidth="12" defaultColWidth="12.83203125" defaultRowHeight="21" customHeight="1" outlineLevelCol="1" x14ac:dyDescent="0.15"/>
  <cols>
    <col min="1" max="1" width="12.83203125" style="46"/>
    <col min="2" max="2" width="67.1640625" style="46" customWidth="1"/>
    <col min="3" max="4" width="12.83203125" style="46"/>
    <col min="5" max="5" width="23.6640625" style="46" bestFit="1" customWidth="1"/>
    <col min="6" max="6" width="44.1640625" style="46" bestFit="1" customWidth="1"/>
    <col min="7" max="7" width="52" style="46" hidden="1" customWidth="1" outlineLevel="1"/>
    <col min="8" max="8" width="18.33203125" style="46" hidden="1" customWidth="1" outlineLevel="1"/>
    <col min="9" max="11" width="18.6640625" style="46" hidden="1" customWidth="1" outlineLevel="1"/>
    <col min="12" max="12" width="23.6640625" style="46" customWidth="1" collapsed="1"/>
    <col min="13" max="18" width="23.6640625" style="46" hidden="1" customWidth="1" outlineLevel="1"/>
    <col min="19" max="19" width="23.6640625" style="46" customWidth="1" collapsed="1"/>
    <col min="20" max="24" width="23.6640625" style="46" hidden="1" customWidth="1" outlineLevel="1"/>
    <col min="25" max="25" width="23.6640625" style="46" customWidth="1" collapsed="1"/>
    <col min="26" max="27" width="12.83203125" style="46"/>
    <col min="28" max="28" width="44.5" style="46" customWidth="1"/>
    <col min="29" max="16384" width="12.83203125" style="46"/>
  </cols>
  <sheetData>
    <row r="1" spans="1:28" ht="21" customHeight="1" thickBot="1" x14ac:dyDescent="0.2">
      <c r="A1" s="170" t="s">
        <v>79</v>
      </c>
      <c r="B1" s="170" t="s">
        <v>80</v>
      </c>
      <c r="C1" s="170" t="s">
        <v>81</v>
      </c>
      <c r="D1" s="170" t="s">
        <v>126</v>
      </c>
      <c r="E1" s="170" t="s">
        <v>82</v>
      </c>
      <c r="F1" s="170" t="s">
        <v>83</v>
      </c>
      <c r="G1" s="38" t="s">
        <v>132</v>
      </c>
      <c r="H1" s="38" t="s">
        <v>138</v>
      </c>
      <c r="I1" s="38" t="s">
        <v>140</v>
      </c>
      <c r="J1" s="38" t="s">
        <v>139</v>
      </c>
      <c r="K1" s="38" t="s">
        <v>141</v>
      </c>
      <c r="L1" s="172" t="s">
        <v>133</v>
      </c>
      <c r="M1" s="172" t="s">
        <v>131</v>
      </c>
      <c r="N1" s="172" t="s">
        <v>134</v>
      </c>
      <c r="O1" s="172" t="s">
        <v>142</v>
      </c>
      <c r="P1" s="172" t="s">
        <v>143</v>
      </c>
      <c r="Q1" s="172" t="s">
        <v>144</v>
      </c>
      <c r="R1" s="172" t="s">
        <v>145</v>
      </c>
      <c r="S1" s="172" t="s">
        <v>135</v>
      </c>
      <c r="T1" s="172" t="s">
        <v>136</v>
      </c>
      <c r="U1" s="172" t="s">
        <v>146</v>
      </c>
      <c r="V1" s="172" t="s">
        <v>147</v>
      </c>
      <c r="W1" s="172" t="s">
        <v>148</v>
      </c>
      <c r="X1" s="172" t="s">
        <v>149</v>
      </c>
      <c r="Y1" s="172" t="s">
        <v>137</v>
      </c>
      <c r="Z1" s="172" t="s">
        <v>76</v>
      </c>
      <c r="AA1" s="172" t="s">
        <v>77</v>
      </c>
      <c r="AB1" s="172" t="s">
        <v>78</v>
      </c>
    </row>
    <row r="2" spans="1:28" ht="21" customHeight="1" thickBot="1" x14ac:dyDescent="0.2">
      <c r="A2" s="208">
        <v>20013100</v>
      </c>
      <c r="B2" s="178" t="s">
        <v>232</v>
      </c>
      <c r="C2" s="179">
        <v>3</v>
      </c>
      <c r="D2" s="179" t="s">
        <v>127</v>
      </c>
      <c r="E2" s="180" t="s">
        <v>313</v>
      </c>
      <c r="F2" s="181" t="s">
        <v>305</v>
      </c>
      <c r="G2" s="182" t="str">
        <f>IFERROR(LEFT(B2,FIND("],",B2)),B2)</f>
        <v xml:space="preserve">[effect:suicide, val:1, dead_type:escape, target:myself, animation:enemy_suicide]    </v>
      </c>
      <c r="H2" s="183">
        <f>FIND("effect:",G2)+7</f>
        <v>9</v>
      </c>
      <c r="I2" s="183">
        <f>IFERROR(FIND(",",G2),LEN(G2))</f>
        <v>16</v>
      </c>
      <c r="J2" s="183">
        <f>FIND("target:",G2)+7</f>
        <v>50</v>
      </c>
      <c r="K2" s="184">
        <f>FIND(",",G2,I2+1)</f>
        <v>23</v>
      </c>
      <c r="L2" s="213" t="str">
        <f>IFERROR(VLOOKUP(MID(G2,J2,K2-J2),[6]skilldef!$C:$D,2,FALSE),"-") &amp; " / " &amp; IFERROR(VLOOKUP(MID(G2,H2,I2-H2),[6]skilldef!$A:$B,2,FALSE),"-")</f>
        <v>- / -</v>
      </c>
      <c r="M2" s="214" t="str">
        <f>IFERROR(RIGHT(B2,LEN(B2)-FIND("],",B2)-1),"none")</f>
        <v>none</v>
      </c>
      <c r="N2" s="215" t="str">
        <f>IFERROR(LEFT(M2,FIND("],",M2)+S12),M2)</f>
        <v>none</v>
      </c>
      <c r="O2" s="214" t="e">
        <f>FIND("effect:",N2)+7</f>
        <v>#VALUE!</v>
      </c>
      <c r="P2" s="214">
        <f>IFERROR(FIND(",",N2),LEN(N2))</f>
        <v>4</v>
      </c>
      <c r="Q2" s="214" t="e">
        <f>FIND("target:",N2)+7</f>
        <v>#VALUE!</v>
      </c>
      <c r="R2" s="214" t="e">
        <f>FIND(",",N2,P2+1)</f>
        <v>#VALUE!</v>
      </c>
      <c r="S2" s="214" t="str">
        <f>IFERROR(VLOOKUP(MID(N2,Q2,R2-Q2),[6]skilldef!$C:$D,2,FALSE),"-") &amp; " / " &amp; IFERROR(VLOOKUP(MID(N2,O2,P2-O2),[6]skilldef!$A:$B,2,FALSE),"-")</f>
        <v>- / -</v>
      </c>
      <c r="T2" s="215" t="str">
        <f>IFERROR(RIGHT(M2,LEN(M2)-FIND("],",M2)-1),"none")</f>
        <v>none</v>
      </c>
      <c r="U2" s="214" t="e">
        <f>FIND("effect:",T2)+7</f>
        <v>#VALUE!</v>
      </c>
      <c r="V2" s="214">
        <f>IFERROR(FIND(",",T2),LEN(T2))</f>
        <v>4</v>
      </c>
      <c r="W2" s="214" t="e">
        <f>FIND("target:",T2)+7</f>
        <v>#VALUE!</v>
      </c>
      <c r="X2" s="214" t="e">
        <f>FIND(",",T2,V2+1)</f>
        <v>#VALUE!</v>
      </c>
      <c r="Y2" s="214" t="str">
        <f>IFERROR(VLOOKUP(MID(T2,W2,X2-W2),[6]skilldef!$C:$D,2,FALSE),"-") &amp; " / " &amp; IFERROR(VLOOKUP(MID(T2,U2,V2-U2),[6]skilldef!$A:$B,2,FALSE),"-")</f>
        <v>- / -</v>
      </c>
      <c r="Z2" s="179"/>
      <c r="AA2" s="186"/>
      <c r="AB2" s="187" t="s">
        <v>240</v>
      </c>
    </row>
    <row r="3" spans="1:28" ht="21" customHeight="1" thickBot="1" x14ac:dyDescent="0.2">
      <c r="A3" s="211">
        <v>20013101</v>
      </c>
      <c r="B3" s="201" t="s">
        <v>284</v>
      </c>
      <c r="C3" s="179">
        <v>3</v>
      </c>
      <c r="D3" s="202" t="s">
        <v>127</v>
      </c>
      <c r="E3" s="203" t="s">
        <v>307</v>
      </c>
      <c r="F3" s="204" t="s">
        <v>334</v>
      </c>
      <c r="G3" s="169" t="str">
        <f t="shared" ref="G3:G17" si="0">IFERROR(LEFT(B3,FIND("],",B3)),B3)</f>
        <v xml:space="preserve">[effect:break_attack, val:0.05, lowest_val:1000, count:10, block:block_heart, target:unit_all]    </v>
      </c>
      <c r="H3" s="59">
        <f t="shared" ref="H3:H17" si="1">FIND("effect:",G3)+7</f>
        <v>9</v>
      </c>
      <c r="I3" s="59">
        <f t="shared" ref="I3:I17" si="2">IFERROR(FIND(",",G3),LEN(G3))</f>
        <v>21</v>
      </c>
      <c r="J3" s="59">
        <f t="shared" ref="J3:J17" si="3">FIND("target:",G3)+7</f>
        <v>86</v>
      </c>
      <c r="K3" s="171">
        <f t="shared" ref="K3:K17" si="4">FIND(",",G3,I3+1)</f>
        <v>31</v>
      </c>
      <c r="L3" s="173" t="str">
        <f>IFERROR(VLOOKUP(MID(G3,J3,K3-J3),[6]skilldef!$C:$D,2,FALSE),"-") &amp; " / " &amp; IFERROR(VLOOKUP(MID(G3,H3,I3-H3),[6]skilldef!$A:$B,2,FALSE),"-")</f>
        <v>- / -</v>
      </c>
      <c r="M3" s="174" t="str">
        <f t="shared" ref="M3:M17" si="5">IFERROR(RIGHT(B3,LEN(B3)-FIND("],",B3)-1),"none")</f>
        <v>none</v>
      </c>
      <c r="N3" s="175" t="str">
        <f t="shared" ref="N3:N7" si="6">IFERROR(LEFT(M3,FIND("],",M3)+S13),M3)</f>
        <v>none</v>
      </c>
      <c r="O3" s="174" t="e">
        <f t="shared" ref="O3:O17" si="7">FIND("effect:",N3)+7</f>
        <v>#VALUE!</v>
      </c>
      <c r="P3" s="174">
        <f t="shared" ref="P3:P17" si="8">IFERROR(FIND(",",N3),LEN(N3))</f>
        <v>4</v>
      </c>
      <c r="Q3" s="174" t="e">
        <f t="shared" ref="Q3:Q17" si="9">FIND("target:",N3)+7</f>
        <v>#VALUE!</v>
      </c>
      <c r="R3" s="174" t="e">
        <f t="shared" ref="R3:R17" si="10">FIND(",",N3,P3+1)</f>
        <v>#VALUE!</v>
      </c>
      <c r="S3" s="174" t="str">
        <f>IFERROR(VLOOKUP(MID(N3,Q3,R3-Q3),[6]skilldef!$C:$D,2,FALSE),"-") &amp; " / " &amp; IFERROR(VLOOKUP(MID(N3,O3,P3-O3),[6]skilldef!$A:$B,2,FALSE),"-")</f>
        <v>- / -</v>
      </c>
      <c r="T3" s="175" t="str">
        <f t="shared" ref="T3:T17" si="11">IFERROR(RIGHT(M3,LEN(M3)-FIND("],",M3)-1),"none")</f>
        <v>none</v>
      </c>
      <c r="U3" s="174" t="e">
        <f t="shared" ref="U3:U17" si="12">FIND("effect:",T3)+7</f>
        <v>#VALUE!</v>
      </c>
      <c r="V3" s="174">
        <f t="shared" ref="V3:V17" si="13">IFERROR(FIND(",",T3),LEN(T3))</f>
        <v>4</v>
      </c>
      <c r="W3" s="174" t="e">
        <f t="shared" ref="W3:W17" si="14">FIND("target:",T3)+7</f>
        <v>#VALUE!</v>
      </c>
      <c r="X3" s="174" t="e">
        <f t="shared" ref="X3:X17" si="15">FIND(",",T3,V3+1)</f>
        <v>#VALUE!</v>
      </c>
      <c r="Y3" s="174" t="str">
        <f>IFERROR(VLOOKUP(MID(T3,W3,X3-W3),[6]skilldef!$C:$D,2,FALSE),"-") &amp; " / " &amp; IFERROR(VLOOKUP(MID(T3,U3,V3-U3),[6]skilldef!$A:$B,2,FALSE),"-")</f>
        <v>- / -</v>
      </c>
      <c r="Z3" s="202"/>
      <c r="AA3" s="206"/>
      <c r="AB3" s="207" t="s">
        <v>241</v>
      </c>
    </row>
    <row r="4" spans="1:28" ht="21" customHeight="1" thickBot="1" x14ac:dyDescent="0.2">
      <c r="A4" s="209">
        <v>20013102</v>
      </c>
      <c r="B4" s="188" t="s">
        <v>255</v>
      </c>
      <c r="C4" s="179">
        <v>3</v>
      </c>
      <c r="D4" s="189" t="s">
        <v>127</v>
      </c>
      <c r="E4" s="183" t="s">
        <v>308</v>
      </c>
      <c r="F4" s="190" t="s">
        <v>312</v>
      </c>
      <c r="G4" s="169" t="str">
        <f t="shared" si="0"/>
        <v xml:space="preserve">[effect:change_block, new_block:block_green, target:block_heart, count:5, val:0, no_effect_msg:no_effect_msg_change_block, animation:change_block]    </v>
      </c>
      <c r="H4" s="59">
        <f t="shared" si="1"/>
        <v>9</v>
      </c>
      <c r="I4" s="59">
        <f t="shared" si="2"/>
        <v>21</v>
      </c>
      <c r="J4" s="59">
        <f t="shared" si="3"/>
        <v>53</v>
      </c>
      <c r="K4" s="171">
        <f t="shared" si="4"/>
        <v>44</v>
      </c>
      <c r="L4" s="176" t="str">
        <f>IFERROR(VLOOKUP(MID(G4,J4,K4-J4),[6]skilldef!$C:$D,2,FALSE),"-") &amp; " / " &amp; IFERROR(VLOOKUP(MID(G4,H4,I4-H4),[6]skilldef!$A:$B,2,FALSE),"-")</f>
        <v>- / ブロック変換</v>
      </c>
      <c r="M4" s="59" t="str">
        <f t="shared" si="5"/>
        <v>none</v>
      </c>
      <c r="N4" s="45" t="str">
        <f t="shared" si="6"/>
        <v>none</v>
      </c>
      <c r="O4" s="59" t="e">
        <f t="shared" si="7"/>
        <v>#VALUE!</v>
      </c>
      <c r="P4" s="59">
        <f t="shared" si="8"/>
        <v>4</v>
      </c>
      <c r="Q4" s="59" t="e">
        <f t="shared" si="9"/>
        <v>#VALUE!</v>
      </c>
      <c r="R4" s="59" t="e">
        <f t="shared" si="10"/>
        <v>#VALUE!</v>
      </c>
      <c r="S4" s="59" t="str">
        <f>IFERROR(VLOOKUP(MID(N4,Q4,R4-Q4),[6]skilldef!$C:$D,2,FALSE),"-") &amp; " / " &amp; IFERROR(VLOOKUP(MID(N4,O4,P4-O4),[6]skilldef!$A:$B,2,FALSE),"-")</f>
        <v>- / -</v>
      </c>
      <c r="T4" s="45" t="str">
        <f t="shared" si="11"/>
        <v>none</v>
      </c>
      <c r="U4" s="59" t="e">
        <f t="shared" si="12"/>
        <v>#VALUE!</v>
      </c>
      <c r="V4" s="59">
        <f t="shared" si="13"/>
        <v>4</v>
      </c>
      <c r="W4" s="59" t="e">
        <f t="shared" si="14"/>
        <v>#VALUE!</v>
      </c>
      <c r="X4" s="59" t="e">
        <f t="shared" si="15"/>
        <v>#VALUE!</v>
      </c>
      <c r="Y4" s="59" t="str">
        <f>IFERROR(VLOOKUP(MID(T4,W4,X4-W4),[6]skilldef!$C:$D,2,FALSE),"-") &amp; " / " &amp; IFERROR(VLOOKUP(MID(T4,U4,V4-U4),[6]skilldef!$A:$B,2,FALSE),"-")</f>
        <v>- / -</v>
      </c>
      <c r="Z4" s="189"/>
      <c r="AA4" s="192"/>
      <c r="AB4" s="193" t="s">
        <v>242</v>
      </c>
    </row>
    <row r="5" spans="1:28" ht="21" customHeight="1" thickBot="1" x14ac:dyDescent="0.2">
      <c r="A5" s="209">
        <v>20013103</v>
      </c>
      <c r="B5" s="188" t="s">
        <v>250</v>
      </c>
      <c r="C5" s="179">
        <v>3</v>
      </c>
      <c r="D5" s="189" t="s">
        <v>127</v>
      </c>
      <c r="E5" s="183" t="s">
        <v>310</v>
      </c>
      <c r="F5" s="190" t="s">
        <v>311</v>
      </c>
      <c r="G5" s="169" t="str">
        <f t="shared" si="0"/>
        <v xml:space="preserve">[effect:change_block, new_block:jammer, target:block_heart, count:4, val:0, no_effect_msg:no_effect_msg_change_block, animation:change_block]    </v>
      </c>
      <c r="H5" s="59">
        <f t="shared" si="1"/>
        <v>9</v>
      </c>
      <c r="I5" s="59">
        <f t="shared" si="2"/>
        <v>21</v>
      </c>
      <c r="J5" s="59">
        <f t="shared" si="3"/>
        <v>48</v>
      </c>
      <c r="K5" s="171">
        <f t="shared" si="4"/>
        <v>39</v>
      </c>
      <c r="L5" s="176" t="str">
        <f>IFERROR(VLOOKUP(MID(G5,J5,K5-J5),[6]skilldef!$C:$D,2,FALSE),"-") &amp; " / " &amp; IFERROR(VLOOKUP(MID(G5,H5,I5-H5),[6]skilldef!$A:$B,2,FALSE),"-")</f>
        <v>- / ブロック変換</v>
      </c>
      <c r="M5" s="59" t="str">
        <f t="shared" si="5"/>
        <v>none</v>
      </c>
      <c r="N5" s="45" t="str">
        <f t="shared" si="6"/>
        <v>none</v>
      </c>
      <c r="O5" s="59" t="e">
        <f t="shared" si="7"/>
        <v>#VALUE!</v>
      </c>
      <c r="P5" s="59">
        <f t="shared" si="8"/>
        <v>4</v>
      </c>
      <c r="Q5" s="59" t="e">
        <f t="shared" si="9"/>
        <v>#VALUE!</v>
      </c>
      <c r="R5" s="59" t="e">
        <f t="shared" si="10"/>
        <v>#VALUE!</v>
      </c>
      <c r="S5" s="59" t="str">
        <f>IFERROR(VLOOKUP(MID(N5,Q5,R5-Q5),[6]skilldef!$C:$D,2,FALSE),"-") &amp; " / " &amp; IFERROR(VLOOKUP(MID(N5,O5,P5-O5),[6]skilldef!$A:$B,2,FALSE),"-")</f>
        <v>- / -</v>
      </c>
      <c r="T5" s="45" t="str">
        <f t="shared" si="11"/>
        <v>none</v>
      </c>
      <c r="U5" s="59" t="e">
        <f t="shared" si="12"/>
        <v>#VALUE!</v>
      </c>
      <c r="V5" s="59">
        <f t="shared" si="13"/>
        <v>4</v>
      </c>
      <c r="W5" s="59" t="e">
        <f t="shared" si="14"/>
        <v>#VALUE!</v>
      </c>
      <c r="X5" s="59" t="e">
        <f t="shared" si="15"/>
        <v>#VALUE!</v>
      </c>
      <c r="Y5" s="59" t="str">
        <f>IFERROR(VLOOKUP(MID(T5,W5,X5-W5),[6]skilldef!$C:$D,2,FALSE),"-") &amp; " / " &amp; IFERROR(VLOOKUP(MID(T5,U5,V5-U5),[6]skilldef!$A:$B,2,FALSE),"-")</f>
        <v>- / -</v>
      </c>
      <c r="Z5" s="189"/>
      <c r="AA5" s="192"/>
      <c r="AB5" s="193" t="s">
        <v>243</v>
      </c>
    </row>
    <row r="6" spans="1:28" ht="21" customHeight="1" thickBot="1" x14ac:dyDescent="0.2">
      <c r="A6" s="209">
        <v>20013104</v>
      </c>
      <c r="B6" s="188" t="s">
        <v>344</v>
      </c>
      <c r="C6" s="179">
        <v>3</v>
      </c>
      <c r="D6" s="189" t="s">
        <v>127</v>
      </c>
      <c r="E6" s="183" t="s">
        <v>309</v>
      </c>
      <c r="F6" s="190" t="s">
        <v>314</v>
      </c>
      <c r="G6" s="169" t="str">
        <f t="shared" si="0"/>
        <v xml:space="preserve">[effect:enhance_enemy, target:enemy_all, turn:2, status:defense, val:1.5, calc:mul, animation:enemy_enhance_defense]    </v>
      </c>
      <c r="H6" s="59">
        <f t="shared" si="1"/>
        <v>9</v>
      </c>
      <c r="I6" s="59">
        <f t="shared" si="2"/>
        <v>22</v>
      </c>
      <c r="J6" s="59">
        <f t="shared" si="3"/>
        <v>31</v>
      </c>
      <c r="K6" s="171">
        <f t="shared" si="4"/>
        <v>40</v>
      </c>
      <c r="L6" s="176" t="str">
        <f>IFERROR(VLOOKUP(MID(G6,J6,K6-J6),[6]skilldef!$C:$D,2,FALSE),"-") &amp; " / " &amp; IFERROR(VLOOKUP(MID(G6,H6,I6-H6),[6]skilldef!$A:$B,2,FALSE),"-")</f>
        <v>敵全体に / ステータス強化</v>
      </c>
      <c r="M6" s="59" t="str">
        <f t="shared" si="5"/>
        <v>none</v>
      </c>
      <c r="N6" s="45" t="str">
        <f t="shared" si="6"/>
        <v>none</v>
      </c>
      <c r="O6" s="59" t="e">
        <f t="shared" si="7"/>
        <v>#VALUE!</v>
      </c>
      <c r="P6" s="59">
        <f t="shared" si="8"/>
        <v>4</v>
      </c>
      <c r="Q6" s="59" t="e">
        <f t="shared" si="9"/>
        <v>#VALUE!</v>
      </c>
      <c r="R6" s="59" t="e">
        <f t="shared" si="10"/>
        <v>#VALUE!</v>
      </c>
      <c r="S6" s="59" t="str">
        <f>IFERROR(VLOOKUP(MID(N6,Q6,R6-Q6),[6]skilldef!$C:$D,2,FALSE),"-") &amp; " / " &amp; IFERROR(VLOOKUP(MID(N6,O6,P6-O6),[6]skilldef!$A:$B,2,FALSE),"-")</f>
        <v>- / -</v>
      </c>
      <c r="T6" s="45" t="str">
        <f t="shared" si="11"/>
        <v>none</v>
      </c>
      <c r="U6" s="59" t="e">
        <f t="shared" si="12"/>
        <v>#VALUE!</v>
      </c>
      <c r="V6" s="59">
        <f t="shared" si="13"/>
        <v>4</v>
      </c>
      <c r="W6" s="59" t="e">
        <f t="shared" si="14"/>
        <v>#VALUE!</v>
      </c>
      <c r="X6" s="59" t="e">
        <f t="shared" si="15"/>
        <v>#VALUE!</v>
      </c>
      <c r="Y6" s="59" t="str">
        <f>IFERROR(VLOOKUP(MID(T6,W6,X6-W6),[6]skilldef!$C:$D,2,FALSE),"-") &amp; " / " &amp; IFERROR(VLOOKUP(MID(T6,U6,V6-U6),[6]skilldef!$A:$B,2,FALSE),"-")</f>
        <v>- / -</v>
      </c>
      <c r="Z6" s="189"/>
      <c r="AA6" s="192"/>
      <c r="AB6" s="193" t="s">
        <v>244</v>
      </c>
    </row>
    <row r="7" spans="1:28" ht="21" customHeight="1" thickBot="1" x14ac:dyDescent="0.2">
      <c r="A7" s="209">
        <v>20013105</v>
      </c>
      <c r="B7" s="188" t="s">
        <v>251</v>
      </c>
      <c r="C7" s="179">
        <v>3</v>
      </c>
      <c r="D7" s="189" t="s">
        <v>127</v>
      </c>
      <c r="E7" s="183" t="s">
        <v>315</v>
      </c>
      <c r="F7" s="190" t="s">
        <v>337</v>
      </c>
      <c r="G7" s="169" t="str">
        <f t="shared" si="0"/>
        <v>[effect:change_block, new_block:block_yellow, target:block_heart, count:4, val:0, no_effect_msg:no_effect_msg_change_block, animation:change_block]</v>
      </c>
      <c r="H7" s="59">
        <f t="shared" si="1"/>
        <v>9</v>
      </c>
      <c r="I7" s="59">
        <f t="shared" si="2"/>
        <v>21</v>
      </c>
      <c r="J7" s="59">
        <f t="shared" si="3"/>
        <v>54</v>
      </c>
      <c r="K7" s="171">
        <f t="shared" si="4"/>
        <v>45</v>
      </c>
      <c r="L7" s="176" t="str">
        <f>IFERROR(VLOOKUP(MID(G7,J7,K7-J7),[6]skilldef!$C:$D,2,FALSE),"-") &amp; " / " &amp; IFERROR(VLOOKUP(MID(G7,H7,I7-H7),[6]skilldef!$A:$B,2,FALSE),"-")</f>
        <v>- / ブロック変換</v>
      </c>
      <c r="M7" s="59" t="str">
        <f t="shared" si="5"/>
        <v>[effect:change_block, new_block:block_heart, target:block_red, count:2, val:0, no_effect_msg:no_effect_msg_change_block, animation:change_block]</v>
      </c>
      <c r="N7" s="45" t="str">
        <f t="shared" si="6"/>
        <v>[effect:change_block, new_block:block_heart, target:block_red, count:2, val:0, no_effect_msg:no_effect_msg_change_block, animation:change_block]</v>
      </c>
      <c r="O7" s="59">
        <f t="shared" si="7"/>
        <v>9</v>
      </c>
      <c r="P7" s="59">
        <f t="shared" si="8"/>
        <v>21</v>
      </c>
      <c r="Q7" s="59">
        <f t="shared" si="9"/>
        <v>53</v>
      </c>
      <c r="R7" s="59">
        <f t="shared" si="10"/>
        <v>44</v>
      </c>
      <c r="S7" s="59" t="str">
        <f>IFERROR(VLOOKUP(MID(N7,Q7,R7-Q7),[6]skilldef!$C:$D,2,FALSE),"-") &amp; " / " &amp; IFERROR(VLOOKUP(MID(N7,O7,P7-O7),[6]skilldef!$A:$B,2,FALSE),"-")</f>
        <v>- / ブロック変換</v>
      </c>
      <c r="T7" s="45" t="str">
        <f t="shared" si="11"/>
        <v>none</v>
      </c>
      <c r="U7" s="59" t="e">
        <f t="shared" si="12"/>
        <v>#VALUE!</v>
      </c>
      <c r="V7" s="59">
        <f t="shared" si="13"/>
        <v>4</v>
      </c>
      <c r="W7" s="59" t="e">
        <f t="shared" si="14"/>
        <v>#VALUE!</v>
      </c>
      <c r="X7" s="59" t="e">
        <f t="shared" si="15"/>
        <v>#VALUE!</v>
      </c>
      <c r="Y7" s="59" t="str">
        <f>IFERROR(VLOOKUP(MID(T7,W7,X7-W7),[6]skilldef!$C:$D,2,FALSE),"-") &amp; " / " &amp; IFERROR(VLOOKUP(MID(T7,U7,V7-U7),[6]skilldef!$A:$B,2,FALSE),"-")</f>
        <v>- / -</v>
      </c>
      <c r="Z7" s="189"/>
      <c r="AA7" s="192"/>
      <c r="AB7" s="193" t="s">
        <v>245</v>
      </c>
    </row>
    <row r="8" spans="1:28" ht="21" customHeight="1" thickBot="1" x14ac:dyDescent="0.2">
      <c r="A8" s="209">
        <v>20013106</v>
      </c>
      <c r="B8" s="188" t="s">
        <v>239</v>
      </c>
      <c r="C8" s="179">
        <v>3</v>
      </c>
      <c r="D8" s="189" t="s">
        <v>127</v>
      </c>
      <c r="E8" s="183" t="s">
        <v>342</v>
      </c>
      <c r="F8" s="190" t="s">
        <v>333</v>
      </c>
      <c r="G8" s="182" t="str">
        <f t="shared" si="0"/>
        <v xml:space="preserve">[effect:degrade_unit, target:unit_all, turn:2, status:action, val:1, calc:add, animation:enemy_tap_down]    </v>
      </c>
      <c r="H8" s="183">
        <f t="shared" si="1"/>
        <v>9</v>
      </c>
      <c r="I8" s="183">
        <f t="shared" si="2"/>
        <v>21</v>
      </c>
      <c r="J8" s="183">
        <f t="shared" si="3"/>
        <v>30</v>
      </c>
      <c r="K8" s="184">
        <f t="shared" si="4"/>
        <v>38</v>
      </c>
      <c r="L8" s="191" t="str">
        <f>IFERROR(VLOOKUP(MID(G8,J8,K8-J8),[6]skilldef!$C:$D,2,FALSE),"-") &amp; " / " &amp; IFERROR(VLOOKUP(MID(G8,H8,I8-H8),[6]skilldef!$A:$B,2,FALSE),"-")</f>
        <v>味方全体に / ステータスDOWN</v>
      </c>
      <c r="M8" s="183" t="str">
        <f t="shared" si="5"/>
        <v>none</v>
      </c>
      <c r="N8" s="188" t="str">
        <f>IFERROR(LEFT(M8,FIND("],",M8)+#REF!),M8)</f>
        <v>none</v>
      </c>
      <c r="O8" s="183" t="e">
        <f t="shared" si="7"/>
        <v>#VALUE!</v>
      </c>
      <c r="P8" s="183">
        <f t="shared" si="8"/>
        <v>4</v>
      </c>
      <c r="Q8" s="183" t="e">
        <f t="shared" si="9"/>
        <v>#VALUE!</v>
      </c>
      <c r="R8" s="183" t="e">
        <f t="shared" si="10"/>
        <v>#VALUE!</v>
      </c>
      <c r="S8" s="183" t="str">
        <f>IFERROR(VLOOKUP(MID(N8,Q8,R8-Q8),[6]skilldef!$C:$D,2,FALSE),"-") &amp; " / " &amp; IFERROR(VLOOKUP(MID(N8,O8,P8-O8),[6]skilldef!$A:$B,2,FALSE),"-")</f>
        <v>- / -</v>
      </c>
      <c r="T8" s="188" t="str">
        <f t="shared" si="11"/>
        <v>none</v>
      </c>
      <c r="U8" s="183" t="e">
        <f t="shared" si="12"/>
        <v>#VALUE!</v>
      </c>
      <c r="V8" s="183">
        <f t="shared" si="13"/>
        <v>4</v>
      </c>
      <c r="W8" s="183" t="e">
        <f t="shared" si="14"/>
        <v>#VALUE!</v>
      </c>
      <c r="X8" s="183" t="e">
        <f t="shared" si="15"/>
        <v>#VALUE!</v>
      </c>
      <c r="Y8" s="183" t="str">
        <f>IFERROR(VLOOKUP(MID(T8,W8,X8-W8),[6]skilldef!$C:$D,2,FALSE),"-") &amp; " / " &amp; IFERROR(VLOOKUP(MID(T8,U8,V8-U8),[6]skilldef!$A:$B,2,FALSE),"-")</f>
        <v>- / -</v>
      </c>
      <c r="Z8" s="189"/>
      <c r="AA8" s="192"/>
      <c r="AB8" s="193" t="s">
        <v>246</v>
      </c>
    </row>
    <row r="9" spans="1:28" ht="21" customHeight="1" thickBot="1" x14ac:dyDescent="0.2">
      <c r="A9" s="210">
        <v>20013107</v>
      </c>
      <c r="B9" s="194" t="s">
        <v>238</v>
      </c>
      <c r="C9" s="179">
        <v>3</v>
      </c>
      <c r="D9" s="195" t="s">
        <v>127</v>
      </c>
      <c r="E9" s="196" t="s">
        <v>343</v>
      </c>
      <c r="F9" s="197" t="s">
        <v>338</v>
      </c>
      <c r="G9" s="182" t="str">
        <f t="shared" si="0"/>
        <v xml:space="preserve">[effect:change_block, new_block:time_bomb, target:block_heart, color:block_yellow, count:5, val:0.1, min_time_count:3, max_time_count:5, no_effect_msg:no_effect_msg_change_block, animation:change_block]    </v>
      </c>
      <c r="H9" s="183">
        <f t="shared" si="1"/>
        <v>9</v>
      </c>
      <c r="I9" s="183">
        <f t="shared" si="2"/>
        <v>21</v>
      </c>
      <c r="J9" s="183">
        <f t="shared" si="3"/>
        <v>51</v>
      </c>
      <c r="K9" s="184">
        <f t="shared" si="4"/>
        <v>42</v>
      </c>
      <c r="L9" s="198" t="str">
        <f>IFERROR(VLOOKUP(MID(G9,J9,K9-J9),[6]skilldef!$C:$D,2,FALSE),"-") &amp; " / " &amp; IFERROR(VLOOKUP(MID(G9,H9,I9-H9),[6]skilldef!$A:$B,2,FALSE),"-")</f>
        <v>- / ブロック変換</v>
      </c>
      <c r="M9" s="196" t="str">
        <f t="shared" si="5"/>
        <v>none</v>
      </c>
      <c r="N9" s="194" t="str">
        <f>IFERROR(LEFT(M9,FIND("],",M9)+#REF!),M9)</f>
        <v>none</v>
      </c>
      <c r="O9" s="196" t="e">
        <f t="shared" si="7"/>
        <v>#VALUE!</v>
      </c>
      <c r="P9" s="196">
        <f t="shared" si="8"/>
        <v>4</v>
      </c>
      <c r="Q9" s="196" t="e">
        <f t="shared" si="9"/>
        <v>#VALUE!</v>
      </c>
      <c r="R9" s="196" t="e">
        <f t="shared" si="10"/>
        <v>#VALUE!</v>
      </c>
      <c r="S9" s="196" t="str">
        <f>IFERROR(VLOOKUP(MID(N9,Q9,R9-Q9),[6]skilldef!$C:$D,2,FALSE),"-") &amp; " / " &amp; IFERROR(VLOOKUP(MID(N9,O9,P9-O9),[6]skilldef!$A:$B,2,FALSE),"-")</f>
        <v>- / -</v>
      </c>
      <c r="T9" s="194" t="str">
        <f t="shared" si="11"/>
        <v>none</v>
      </c>
      <c r="U9" s="196" t="e">
        <f t="shared" si="12"/>
        <v>#VALUE!</v>
      </c>
      <c r="V9" s="196">
        <f t="shared" si="13"/>
        <v>4</v>
      </c>
      <c r="W9" s="196" t="e">
        <f t="shared" si="14"/>
        <v>#VALUE!</v>
      </c>
      <c r="X9" s="196" t="e">
        <f t="shared" si="15"/>
        <v>#VALUE!</v>
      </c>
      <c r="Y9" s="196" t="str">
        <f>IFERROR(VLOOKUP(MID(T9,W9,X9-W9),[6]skilldef!$C:$D,2,FALSE),"-") &amp; " / " &amp; IFERROR(VLOOKUP(MID(T9,U9,V9-U9),[6]skilldef!$A:$B,2,FALSE),"-")</f>
        <v>- / -</v>
      </c>
      <c r="Z9" s="195"/>
      <c r="AA9" s="199"/>
      <c r="AB9" s="200" t="s">
        <v>247</v>
      </c>
    </row>
    <row r="10" spans="1:28" ht="21" customHeight="1" thickBot="1" x14ac:dyDescent="0.2">
      <c r="A10" s="208">
        <v>20013108</v>
      </c>
      <c r="B10" s="178" t="s">
        <v>231</v>
      </c>
      <c r="C10" s="179">
        <v>3</v>
      </c>
      <c r="D10" s="179" t="s">
        <v>127</v>
      </c>
      <c r="E10" s="180" t="s">
        <v>316</v>
      </c>
      <c r="F10" s="181" t="s">
        <v>272</v>
      </c>
      <c r="G10" s="182" t="str">
        <f t="shared" si="0"/>
        <v xml:space="preserve">[effect:heal, target:myself, val:0.75, animation:enemy_heal]    </v>
      </c>
      <c r="H10" s="183">
        <f t="shared" si="1"/>
        <v>9</v>
      </c>
      <c r="I10" s="183">
        <f t="shared" si="2"/>
        <v>13</v>
      </c>
      <c r="J10" s="183">
        <f t="shared" si="3"/>
        <v>22</v>
      </c>
      <c r="K10" s="184">
        <f t="shared" si="4"/>
        <v>28</v>
      </c>
      <c r="L10" s="185" t="str">
        <f>IFERROR(VLOOKUP(MID(G10,J10,K10-J10),[6]skilldef!$C:$D,2,FALSE),"-") &amp; " / " &amp; IFERROR(VLOOKUP(MID(G10,H10,I10-H10),[6]skilldef!$A:$B,2,FALSE),"-")</f>
        <v>自分自身に / 回復</v>
      </c>
      <c r="M10" s="180" t="str">
        <f t="shared" si="5"/>
        <v>none</v>
      </c>
      <c r="N10" s="178" t="str">
        <f>IFERROR(LEFT(M10,FIND("],",M10)+#REF!),M10)</f>
        <v>none</v>
      </c>
      <c r="O10" s="180" t="e">
        <f t="shared" si="7"/>
        <v>#VALUE!</v>
      </c>
      <c r="P10" s="180">
        <f t="shared" si="8"/>
        <v>4</v>
      </c>
      <c r="Q10" s="180" t="e">
        <f t="shared" si="9"/>
        <v>#VALUE!</v>
      </c>
      <c r="R10" s="180" t="e">
        <f t="shared" si="10"/>
        <v>#VALUE!</v>
      </c>
      <c r="S10" s="180" t="str">
        <f>IFERROR(VLOOKUP(MID(N10,Q10,R10-Q10),[6]skilldef!$C:$D,2,FALSE),"-") &amp; " / " &amp; IFERROR(VLOOKUP(MID(N10,O10,P10-O10),[6]skilldef!$A:$B,2,FALSE),"-")</f>
        <v>- / -</v>
      </c>
      <c r="T10" s="178" t="str">
        <f t="shared" si="11"/>
        <v>none</v>
      </c>
      <c r="U10" s="180" t="e">
        <f t="shared" si="12"/>
        <v>#VALUE!</v>
      </c>
      <c r="V10" s="180">
        <f t="shared" si="13"/>
        <v>4</v>
      </c>
      <c r="W10" s="180" t="e">
        <f t="shared" si="14"/>
        <v>#VALUE!</v>
      </c>
      <c r="X10" s="180" t="e">
        <f t="shared" si="15"/>
        <v>#VALUE!</v>
      </c>
      <c r="Y10" s="180" t="str">
        <f>IFERROR(VLOOKUP(MID(T10,W10,X10-W10),[6]skilldef!$C:$D,2,FALSE),"-") &amp; " / " &amp; IFERROR(VLOOKUP(MID(T10,U10,V10-U10),[6]skilldef!$A:$B,2,FALSE),"-")</f>
        <v>- / -</v>
      </c>
      <c r="Z10" s="179"/>
      <c r="AA10" s="186"/>
      <c r="AB10" s="187" t="s">
        <v>248</v>
      </c>
    </row>
    <row r="11" spans="1:28" ht="21" customHeight="1" thickBot="1" x14ac:dyDescent="0.2">
      <c r="A11" s="211">
        <v>20013109</v>
      </c>
      <c r="B11" s="201" t="s">
        <v>274</v>
      </c>
      <c r="C11" s="179">
        <v>3</v>
      </c>
      <c r="D11" s="202" t="s">
        <v>127</v>
      </c>
      <c r="E11" s="203" t="s">
        <v>324</v>
      </c>
      <c r="F11" s="204" t="s">
        <v>332</v>
      </c>
      <c r="G11" s="182" t="str">
        <f t="shared" si="0"/>
        <v xml:space="preserve">[effect:dis_heart, turn:5, animation:enemy_dis_heart]    </v>
      </c>
      <c r="H11" s="183">
        <f t="shared" si="1"/>
        <v>9</v>
      </c>
      <c r="I11" s="183">
        <f t="shared" si="2"/>
        <v>18</v>
      </c>
      <c r="J11" s="183" t="e">
        <f t="shared" si="3"/>
        <v>#VALUE!</v>
      </c>
      <c r="K11" s="184">
        <f t="shared" si="4"/>
        <v>26</v>
      </c>
      <c r="L11" s="205" t="str">
        <f>IFERROR(VLOOKUP(MID(G11,J11,K11-J11),[6]skilldef!$C:$D,2,FALSE),"-") &amp; " / " &amp; IFERROR(VLOOKUP(MID(G11,H11,I11-H11),[6]skilldef!$A:$B,2,FALSE),"-")</f>
        <v>- / ディスハート</v>
      </c>
      <c r="M11" s="203" t="str">
        <f t="shared" si="5"/>
        <v>none</v>
      </c>
      <c r="N11" s="201" t="str">
        <f>IFERROR(LEFT(M11,FIND("],",M11)+#REF!),M11)</f>
        <v>none</v>
      </c>
      <c r="O11" s="203" t="e">
        <f t="shared" si="7"/>
        <v>#VALUE!</v>
      </c>
      <c r="P11" s="203">
        <f t="shared" si="8"/>
        <v>4</v>
      </c>
      <c r="Q11" s="203" t="e">
        <f t="shared" si="9"/>
        <v>#VALUE!</v>
      </c>
      <c r="R11" s="203" t="e">
        <f t="shared" si="10"/>
        <v>#VALUE!</v>
      </c>
      <c r="S11" s="203" t="str">
        <f>IFERROR(VLOOKUP(MID(N11,Q11,R11-Q11),[6]skilldef!$C:$D,2,FALSE),"-") &amp; " / " &amp; IFERROR(VLOOKUP(MID(N11,O11,P11-O11),[6]skilldef!$A:$B,2,FALSE),"-")</f>
        <v>- / -</v>
      </c>
      <c r="T11" s="201" t="str">
        <f t="shared" si="11"/>
        <v>none</v>
      </c>
      <c r="U11" s="203" t="e">
        <f t="shared" si="12"/>
        <v>#VALUE!</v>
      </c>
      <c r="V11" s="203">
        <f t="shared" si="13"/>
        <v>4</v>
      </c>
      <c r="W11" s="203" t="e">
        <f t="shared" si="14"/>
        <v>#VALUE!</v>
      </c>
      <c r="X11" s="203" t="e">
        <f t="shared" si="15"/>
        <v>#VALUE!</v>
      </c>
      <c r="Y11" s="203" t="str">
        <f>IFERROR(VLOOKUP(MID(T11,W11,X11-W11),[6]skilldef!$C:$D,2,FALSE),"-") &amp; " / " &amp; IFERROR(VLOOKUP(MID(T11,U11,V11-U11),[6]skilldef!$A:$B,2,FALSE),"-")</f>
        <v>- / -</v>
      </c>
      <c r="Z11" s="202"/>
      <c r="AA11" s="206"/>
      <c r="AB11" s="207"/>
    </row>
    <row r="12" spans="1:28" ht="21" customHeight="1" thickBot="1" x14ac:dyDescent="0.2">
      <c r="A12" s="216">
        <v>20013110</v>
      </c>
      <c r="B12" s="217" t="s">
        <v>275</v>
      </c>
      <c r="C12" s="179">
        <v>3</v>
      </c>
      <c r="D12" s="218" t="s">
        <v>127</v>
      </c>
      <c r="E12" s="219" t="s">
        <v>317</v>
      </c>
      <c r="F12" s="220" t="s">
        <v>256</v>
      </c>
      <c r="G12" s="169" t="str">
        <f t="shared" si="0"/>
        <v>[effect:change_block, new_block:block_heart, target:block_red, count:5, val:0, no_effect_msg:no_effect_msg_change_block, animation:change_block]</v>
      </c>
      <c r="H12" s="59">
        <f t="shared" si="1"/>
        <v>9</v>
      </c>
      <c r="I12" s="59">
        <f t="shared" si="2"/>
        <v>21</v>
      </c>
      <c r="J12" s="59">
        <f t="shared" si="3"/>
        <v>53</v>
      </c>
      <c r="K12" s="171">
        <f t="shared" si="4"/>
        <v>44</v>
      </c>
      <c r="L12" s="176" t="str">
        <f>IFERROR(VLOOKUP(MID(G12,J12,K12-J12),[6]skilldef!$C:$D,2,FALSE),"-") &amp; " / " &amp; IFERROR(VLOOKUP(MID(G12,H12,I12-H12),[6]skilldef!$A:$B,2,FALSE),"-")</f>
        <v>- / ブロック変換</v>
      </c>
      <c r="M12" s="59" t="str">
        <f t="shared" si="5"/>
        <v>[effect:rush, count:1, val:1]</v>
      </c>
      <c r="N12" s="45" t="str">
        <f>IFERROR(LEFT(M12,FIND("],",M12)+#REF!),M12)</f>
        <v>[effect:rush, count:1, val:1]</v>
      </c>
      <c r="O12" s="59">
        <f t="shared" si="7"/>
        <v>9</v>
      </c>
      <c r="P12" s="59">
        <f t="shared" si="8"/>
        <v>13</v>
      </c>
      <c r="Q12" s="59" t="e">
        <f t="shared" si="9"/>
        <v>#VALUE!</v>
      </c>
      <c r="R12" s="59">
        <f t="shared" si="10"/>
        <v>22</v>
      </c>
      <c r="S12" s="59" t="str">
        <f>IFERROR(VLOOKUP(MID(N12,Q12,R12-Q12),[6]skilldef!$C:$D,2,FALSE),"-") &amp; " / " &amp; IFERROR(VLOOKUP(MID(N12,O12,P12-O12),[6]skilldef!$A:$B,2,FALSE),"-")</f>
        <v>- / 連続攻撃</v>
      </c>
      <c r="T12" s="45" t="str">
        <f t="shared" si="11"/>
        <v>none</v>
      </c>
      <c r="U12" s="59" t="e">
        <f t="shared" si="12"/>
        <v>#VALUE!</v>
      </c>
      <c r="V12" s="59">
        <f t="shared" si="13"/>
        <v>4</v>
      </c>
      <c r="W12" s="59" t="e">
        <f t="shared" si="14"/>
        <v>#VALUE!</v>
      </c>
      <c r="X12" s="59" t="e">
        <f t="shared" si="15"/>
        <v>#VALUE!</v>
      </c>
      <c r="Y12" s="59" t="str">
        <f>IFERROR(VLOOKUP(MID(T12,W12,X12-W12),[6]skilldef!$C:$D,2,FALSE),"-") &amp; " / " &amp; IFERROR(VLOOKUP(MID(T12,U12,V12-U12),[6]skilldef!$A:$B,2,FALSE),"-")</f>
        <v>- / -</v>
      </c>
      <c r="Z12" s="47"/>
      <c r="AA12" s="48"/>
      <c r="AB12" s="177"/>
    </row>
    <row r="13" spans="1:28" ht="21" customHeight="1" thickBot="1" x14ac:dyDescent="0.2">
      <c r="A13" s="216">
        <v>20013111</v>
      </c>
      <c r="B13" s="217" t="s">
        <v>276</v>
      </c>
      <c r="C13" s="179">
        <v>3</v>
      </c>
      <c r="D13" s="218" t="s">
        <v>127</v>
      </c>
      <c r="E13" s="219" t="s">
        <v>318</v>
      </c>
      <c r="F13" s="220" t="s">
        <v>257</v>
      </c>
      <c r="G13" s="169" t="str">
        <f t="shared" si="0"/>
        <v>[effect:change_block, new_block:block_heart, target:block_green, count:5, val:0, no_effect_msg:no_effect_msg_change_block, animation:change_block]</v>
      </c>
      <c r="H13" s="59">
        <f t="shared" si="1"/>
        <v>9</v>
      </c>
      <c r="I13" s="59">
        <f t="shared" si="2"/>
        <v>21</v>
      </c>
      <c r="J13" s="59">
        <f t="shared" si="3"/>
        <v>53</v>
      </c>
      <c r="K13" s="171">
        <f t="shared" si="4"/>
        <v>44</v>
      </c>
      <c r="L13" s="176" t="str">
        <f>IFERROR(VLOOKUP(MID(G13,J13,K13-J13),[6]skilldef!$C:$D,2,FALSE),"-") &amp; " / " &amp; IFERROR(VLOOKUP(MID(G13,H13,I13-H13),[6]skilldef!$A:$B,2,FALSE),"-")</f>
        <v>- / ブロック変換</v>
      </c>
      <c r="M13" s="59" t="str">
        <f t="shared" si="5"/>
        <v xml:space="preserve">[effect:rush, count:1, val:1]    </v>
      </c>
      <c r="N13" s="45" t="str">
        <f>IFERROR(LEFT(M13,FIND("],",M13)+S18),M13)</f>
        <v xml:space="preserve">[effect:rush, count:1, val:1]    </v>
      </c>
      <c r="O13" s="59">
        <f t="shared" si="7"/>
        <v>9</v>
      </c>
      <c r="P13" s="59">
        <f t="shared" si="8"/>
        <v>13</v>
      </c>
      <c r="Q13" s="59" t="e">
        <f t="shared" si="9"/>
        <v>#VALUE!</v>
      </c>
      <c r="R13" s="59">
        <f t="shared" si="10"/>
        <v>22</v>
      </c>
      <c r="S13" s="59" t="str">
        <f>IFERROR(VLOOKUP(MID(N13,Q13,R13-Q13),[6]skilldef!$C:$D,2,FALSE),"-") &amp; " / " &amp; IFERROR(VLOOKUP(MID(N13,O13,P13-O13),[6]skilldef!$A:$B,2,FALSE),"-")</f>
        <v>- / 連続攻撃</v>
      </c>
      <c r="T13" s="45" t="str">
        <f t="shared" si="11"/>
        <v>none</v>
      </c>
      <c r="U13" s="59" t="e">
        <f t="shared" si="12"/>
        <v>#VALUE!</v>
      </c>
      <c r="V13" s="59">
        <f t="shared" si="13"/>
        <v>4</v>
      </c>
      <c r="W13" s="59" t="e">
        <f t="shared" si="14"/>
        <v>#VALUE!</v>
      </c>
      <c r="X13" s="59" t="e">
        <f t="shared" si="15"/>
        <v>#VALUE!</v>
      </c>
      <c r="Y13" s="59" t="str">
        <f>IFERROR(VLOOKUP(MID(T13,W13,X13-W13),[6]skilldef!$C:$D,2,FALSE),"-") &amp; " / " &amp; IFERROR(VLOOKUP(MID(T13,U13,V13-U13),[6]skilldef!$A:$B,2,FALSE),"-")</f>
        <v>- / -</v>
      </c>
      <c r="Z13" s="47"/>
      <c r="AA13" s="48"/>
      <c r="AB13" s="177"/>
    </row>
    <row r="14" spans="1:28" ht="21" customHeight="1" thickBot="1" x14ac:dyDescent="0.2">
      <c r="A14" s="216">
        <v>20013112</v>
      </c>
      <c r="B14" s="217" t="s">
        <v>277</v>
      </c>
      <c r="C14" s="179">
        <v>3</v>
      </c>
      <c r="D14" s="218" t="s">
        <v>127</v>
      </c>
      <c r="E14" s="219" t="s">
        <v>319</v>
      </c>
      <c r="F14" s="220" t="s">
        <v>258</v>
      </c>
      <c r="G14" s="169" t="str">
        <f t="shared" si="0"/>
        <v>[effect:change_block, new_block:block_heart, target:block_blue, count:5, val:0, no_effect_msg:no_effect_msg_change_block, animation:change_block]</v>
      </c>
      <c r="H14" s="59">
        <f t="shared" si="1"/>
        <v>9</v>
      </c>
      <c r="I14" s="59">
        <f t="shared" si="2"/>
        <v>21</v>
      </c>
      <c r="J14" s="59">
        <f t="shared" si="3"/>
        <v>53</v>
      </c>
      <c r="K14" s="171">
        <f t="shared" si="4"/>
        <v>44</v>
      </c>
      <c r="L14" s="176" t="str">
        <f>IFERROR(VLOOKUP(MID(G14,J14,K14-J14),[6]skilldef!$C:$D,2,FALSE),"-") &amp; " / " &amp; IFERROR(VLOOKUP(MID(G14,H14,I14-H14),[6]skilldef!$A:$B,2,FALSE),"-")</f>
        <v>- / ブロック変換</v>
      </c>
      <c r="M14" s="59" t="str">
        <f t="shared" si="5"/>
        <v xml:space="preserve">[effect:rush, count:1, val:1]    </v>
      </c>
      <c r="N14" s="45" t="str">
        <f>IFERROR(LEFT(M14,FIND("],",M14)+S19),M14)</f>
        <v xml:space="preserve">[effect:rush, count:1, val:1]    </v>
      </c>
      <c r="O14" s="59">
        <f t="shared" si="7"/>
        <v>9</v>
      </c>
      <c r="P14" s="59">
        <f t="shared" si="8"/>
        <v>13</v>
      </c>
      <c r="Q14" s="59" t="e">
        <f t="shared" si="9"/>
        <v>#VALUE!</v>
      </c>
      <c r="R14" s="59">
        <f t="shared" si="10"/>
        <v>22</v>
      </c>
      <c r="S14" s="59" t="str">
        <f>IFERROR(VLOOKUP(MID(N14,Q14,R14-Q14),[6]skilldef!$C:$D,2,FALSE),"-") &amp; " / " &amp; IFERROR(VLOOKUP(MID(N14,O14,P14-O14),[6]skilldef!$A:$B,2,FALSE),"-")</f>
        <v>- / 連続攻撃</v>
      </c>
      <c r="T14" s="45" t="str">
        <f t="shared" si="11"/>
        <v>none</v>
      </c>
      <c r="U14" s="59" t="e">
        <f t="shared" si="12"/>
        <v>#VALUE!</v>
      </c>
      <c r="V14" s="59">
        <f t="shared" si="13"/>
        <v>4</v>
      </c>
      <c r="W14" s="59" t="e">
        <f t="shared" si="14"/>
        <v>#VALUE!</v>
      </c>
      <c r="X14" s="59" t="e">
        <f t="shared" si="15"/>
        <v>#VALUE!</v>
      </c>
      <c r="Y14" s="59" t="str">
        <f>IFERROR(VLOOKUP(MID(T14,W14,X14-W14),[6]skilldef!$C:$D,2,FALSE),"-") &amp; " / " &amp; IFERROR(VLOOKUP(MID(T14,U14,V14-U14),[6]skilldef!$A:$B,2,FALSE),"-")</f>
        <v>- / -</v>
      </c>
      <c r="Z14" s="47"/>
      <c r="AA14" s="48"/>
      <c r="AB14" s="177"/>
    </row>
    <row r="15" spans="1:28" ht="21" customHeight="1" thickBot="1" x14ac:dyDescent="0.2">
      <c r="A15" s="216">
        <v>20013113</v>
      </c>
      <c r="B15" s="217" t="s">
        <v>299</v>
      </c>
      <c r="C15" s="179">
        <v>3</v>
      </c>
      <c r="D15" s="218" t="s">
        <v>127</v>
      </c>
      <c r="E15" s="219" t="s">
        <v>320</v>
      </c>
      <c r="F15" s="220" t="s">
        <v>259</v>
      </c>
      <c r="G15" s="169" t="str">
        <f t="shared" si="0"/>
        <v>[effect:change_block, new_block:block_heart, target:block_yellow, count:5, val:0, no_effect_msg:no_effect_msg_change_block, animation:change_block]</v>
      </c>
      <c r="H15" s="59">
        <f t="shared" si="1"/>
        <v>9</v>
      </c>
      <c r="I15" s="59">
        <f t="shared" si="2"/>
        <v>21</v>
      </c>
      <c r="J15" s="59">
        <f t="shared" si="3"/>
        <v>53</v>
      </c>
      <c r="K15" s="171">
        <f t="shared" si="4"/>
        <v>44</v>
      </c>
      <c r="L15" s="176" t="str">
        <f>IFERROR(VLOOKUP(MID(G15,J15,K15-J15),[6]skilldef!$C:$D,2,FALSE),"-") &amp; " / " &amp; IFERROR(VLOOKUP(MID(G15,H15,I15-H15),[6]skilldef!$A:$B,2,FALSE),"-")</f>
        <v>- / ブロック変換</v>
      </c>
      <c r="M15" s="59" t="str">
        <f t="shared" si="5"/>
        <v xml:space="preserve">[effect:rush, count:1, val:1]    </v>
      </c>
      <c r="N15" s="45" t="str">
        <f>IFERROR(LEFT(M15,FIND("],",M15)+S20),M15)</f>
        <v xml:space="preserve">[effect:rush, count:1, val:1]    </v>
      </c>
      <c r="O15" s="59">
        <f t="shared" si="7"/>
        <v>9</v>
      </c>
      <c r="P15" s="59">
        <f t="shared" si="8"/>
        <v>13</v>
      </c>
      <c r="Q15" s="59" t="e">
        <f t="shared" si="9"/>
        <v>#VALUE!</v>
      </c>
      <c r="R15" s="59">
        <f t="shared" si="10"/>
        <v>22</v>
      </c>
      <c r="S15" s="59" t="str">
        <f>IFERROR(VLOOKUP(MID(N15,Q15,R15-Q15),[6]skilldef!$C:$D,2,FALSE),"-") &amp; " / " &amp; IFERROR(VLOOKUP(MID(N15,O15,P15-O15),[6]skilldef!$A:$B,2,FALSE),"-")</f>
        <v>- / 連続攻撃</v>
      </c>
      <c r="T15" s="45" t="str">
        <f t="shared" si="11"/>
        <v>none</v>
      </c>
      <c r="U15" s="59" t="e">
        <f t="shared" si="12"/>
        <v>#VALUE!</v>
      </c>
      <c r="V15" s="59">
        <f t="shared" si="13"/>
        <v>4</v>
      </c>
      <c r="W15" s="59" t="e">
        <f t="shared" si="14"/>
        <v>#VALUE!</v>
      </c>
      <c r="X15" s="59" t="e">
        <f t="shared" si="15"/>
        <v>#VALUE!</v>
      </c>
      <c r="Y15" s="59" t="str">
        <f>IFERROR(VLOOKUP(MID(T15,W15,X15-W15),[6]skilldef!$C:$D,2,FALSE),"-") &amp; " / " &amp; IFERROR(VLOOKUP(MID(T15,U15,V15-U15),[6]skilldef!$A:$B,2,FALSE),"-")</f>
        <v>- / -</v>
      </c>
      <c r="Z15" s="47"/>
      <c r="AA15" s="48"/>
      <c r="AB15" s="177"/>
    </row>
    <row r="16" spans="1:28" ht="21" customHeight="1" thickBot="1" x14ac:dyDescent="0.2">
      <c r="A16" s="216">
        <v>20013114</v>
      </c>
      <c r="B16" s="217" t="s">
        <v>265</v>
      </c>
      <c r="C16" s="179">
        <v>3</v>
      </c>
      <c r="D16" s="218" t="s">
        <v>127</v>
      </c>
      <c r="E16" s="219" t="s">
        <v>303</v>
      </c>
      <c r="F16" s="220" t="s">
        <v>271</v>
      </c>
      <c r="G16" s="169" t="str">
        <f t="shared" si="0"/>
        <v xml:space="preserve">[effect:panel_freeze, target:block_heart, color:block_heart, count:-1]    </v>
      </c>
      <c r="H16" s="59">
        <f t="shared" si="1"/>
        <v>9</v>
      </c>
      <c r="I16" s="59">
        <f t="shared" si="2"/>
        <v>21</v>
      </c>
      <c r="J16" s="59">
        <f t="shared" si="3"/>
        <v>30</v>
      </c>
      <c r="K16" s="171">
        <f t="shared" si="4"/>
        <v>41</v>
      </c>
      <c r="L16" s="176" t="str">
        <f>IFERROR(VLOOKUP(MID(G16,J16,K16-J16),[6]skilldef!$C:$D,2,FALSE),"-") &amp; " / " &amp; IFERROR(VLOOKUP(MID(G16,H16,I16-H16),[6]skilldef!$A:$B,2,FALSE),"-")</f>
        <v>ハートパネルを / -</v>
      </c>
      <c r="M16" s="59" t="str">
        <f t="shared" si="5"/>
        <v>none</v>
      </c>
      <c r="N16" s="45" t="str">
        <f>IFERROR(LEFT(M16,FIND("],",M16)+S21),M16)</f>
        <v>none</v>
      </c>
      <c r="O16" s="59" t="e">
        <f t="shared" si="7"/>
        <v>#VALUE!</v>
      </c>
      <c r="P16" s="59">
        <f t="shared" si="8"/>
        <v>4</v>
      </c>
      <c r="Q16" s="59" t="e">
        <f t="shared" si="9"/>
        <v>#VALUE!</v>
      </c>
      <c r="R16" s="59" t="e">
        <f t="shared" si="10"/>
        <v>#VALUE!</v>
      </c>
      <c r="S16" s="59" t="str">
        <f>IFERROR(VLOOKUP(MID(N16,Q16,R16-Q16),[6]skilldef!$C:$D,2,FALSE),"-") &amp; " / " &amp; IFERROR(VLOOKUP(MID(N16,O16,P16-O16),[6]skilldef!$A:$B,2,FALSE),"-")</f>
        <v>- / -</v>
      </c>
      <c r="T16" s="45" t="str">
        <f t="shared" si="11"/>
        <v>none</v>
      </c>
      <c r="U16" s="59" t="e">
        <f t="shared" si="12"/>
        <v>#VALUE!</v>
      </c>
      <c r="V16" s="59">
        <f t="shared" si="13"/>
        <v>4</v>
      </c>
      <c r="W16" s="59" t="e">
        <f t="shared" si="14"/>
        <v>#VALUE!</v>
      </c>
      <c r="X16" s="59" t="e">
        <f t="shared" si="15"/>
        <v>#VALUE!</v>
      </c>
      <c r="Y16" s="59" t="str">
        <f>IFERROR(VLOOKUP(MID(T16,W16,X16-W16),[6]skilldef!$C:$D,2,FALSE),"-") &amp; " / " &amp; IFERROR(VLOOKUP(MID(T16,U16,V16-U16),[6]skilldef!$A:$B,2,FALSE),"-")</f>
        <v>- / -</v>
      </c>
      <c r="Z16" s="47"/>
      <c r="AA16" s="48"/>
      <c r="AB16" s="177"/>
    </row>
    <row r="17" spans="1:28" ht="21" customHeight="1" thickBot="1" x14ac:dyDescent="0.2">
      <c r="A17" s="216">
        <v>20013115</v>
      </c>
      <c r="B17" s="217" t="s">
        <v>289</v>
      </c>
      <c r="C17" s="179">
        <v>3</v>
      </c>
      <c r="D17" s="218" t="s">
        <v>127</v>
      </c>
      <c r="E17" s="219" t="s">
        <v>321</v>
      </c>
      <c r="F17" s="220" t="s">
        <v>326</v>
      </c>
      <c r="G17" s="169" t="str">
        <f t="shared" si="0"/>
        <v>[effect:break_enchance_enemy, val:0.02, lowest_val:0, count :-1, status:attack, turn:1, block:block_heart, target:myself, calc:mul, animation:enemy_enhance_attack]</v>
      </c>
      <c r="H17" s="59">
        <f t="shared" si="1"/>
        <v>9</v>
      </c>
      <c r="I17" s="59">
        <f t="shared" si="2"/>
        <v>29</v>
      </c>
      <c r="J17" s="59">
        <f t="shared" si="3"/>
        <v>115</v>
      </c>
      <c r="K17" s="171">
        <f t="shared" si="4"/>
        <v>39</v>
      </c>
      <c r="L17" s="176" t="str">
        <f>IFERROR(VLOOKUP(MID(G17,J17,K17-J17),[6]skilldef!$C:$D,2,FALSE),"-") &amp; " / " &amp; IFERROR(VLOOKUP(MID(G17,H17,I17-H17),[6]skilldef!$A:$B,2,FALSE),"-")</f>
        <v>- / -</v>
      </c>
      <c r="M17" s="59" t="str">
        <f t="shared" si="5"/>
        <v xml:space="preserve">[effect:rush, count:1, val:1]    </v>
      </c>
      <c r="N17" s="45" t="str">
        <f>IFERROR(LEFT(M17,FIND("],",M17)+S29),M17)</f>
        <v xml:space="preserve">[effect:rush, count:1, val:1]    </v>
      </c>
      <c r="O17" s="59">
        <f t="shared" si="7"/>
        <v>9</v>
      </c>
      <c r="P17" s="59">
        <f t="shared" si="8"/>
        <v>13</v>
      </c>
      <c r="Q17" s="59" t="e">
        <f t="shared" si="9"/>
        <v>#VALUE!</v>
      </c>
      <c r="R17" s="59">
        <f t="shared" si="10"/>
        <v>22</v>
      </c>
      <c r="S17" s="59" t="str">
        <f>IFERROR(VLOOKUP(MID(N17,Q17,R17-Q17),[6]skilldef!$C:$D,2,FALSE),"-") &amp; " / " &amp; IFERROR(VLOOKUP(MID(N17,O17,P17-O17),[6]skilldef!$A:$B,2,FALSE),"-")</f>
        <v>- / 連続攻撃</v>
      </c>
      <c r="T17" s="45" t="str">
        <f t="shared" si="11"/>
        <v>none</v>
      </c>
      <c r="U17" s="59" t="e">
        <f t="shared" si="12"/>
        <v>#VALUE!</v>
      </c>
      <c r="V17" s="59">
        <f t="shared" si="13"/>
        <v>4</v>
      </c>
      <c r="W17" s="59" t="e">
        <f t="shared" si="14"/>
        <v>#VALUE!</v>
      </c>
      <c r="X17" s="59" t="e">
        <f t="shared" si="15"/>
        <v>#VALUE!</v>
      </c>
      <c r="Y17" s="59" t="str">
        <f>IFERROR(VLOOKUP(MID(T17,W17,X17-W17),[6]skilldef!$C:$D,2,FALSE),"-") &amp; " / " &amp; IFERROR(VLOOKUP(MID(T17,U17,V17-U17),[6]skilldef!$A:$B,2,FALSE),"-")</f>
        <v>- / -</v>
      </c>
      <c r="Z17" s="47"/>
      <c r="AA17" s="48"/>
      <c r="AB17" s="177"/>
    </row>
    <row r="18" spans="1:28" ht="21" customHeight="1" thickBot="1" x14ac:dyDescent="0.2">
      <c r="A18" s="216">
        <v>20013116</v>
      </c>
      <c r="B18" s="217" t="s">
        <v>287</v>
      </c>
      <c r="C18" s="179">
        <v>3</v>
      </c>
      <c r="D18" s="218" t="s">
        <v>127</v>
      </c>
      <c r="E18" s="219" t="s">
        <v>325</v>
      </c>
      <c r="F18" s="220" t="s">
        <v>336</v>
      </c>
      <c r="G18" s="169" t="str">
        <f>IFERROR(LEFT(B18,FIND("],",B18)),B18)</f>
        <v xml:space="preserve">[effect:break_enchance_enemy, val:100, lowest_val:0, count :-1, status:defense, turn:3, block:block_heart, target:myself, calc:add, animation:enemy_enhance_attack]    </v>
      </c>
      <c r="H18" s="59">
        <f>FIND("effect:",G18)+7</f>
        <v>9</v>
      </c>
      <c r="I18" s="59">
        <f>IFERROR(FIND(",",G18),LEN(G18))</f>
        <v>29</v>
      </c>
      <c r="J18" s="59">
        <f>FIND("target:",G18)+7</f>
        <v>115</v>
      </c>
      <c r="K18" s="171">
        <f>FIND(",",G18,I18+1)</f>
        <v>38</v>
      </c>
      <c r="L18" s="176" t="str">
        <f>IFERROR(VLOOKUP(MID(G18,J18,K18-J18),[6]skilldef!$C:$D,2,FALSE),"-") &amp; " / " &amp; IFERROR(VLOOKUP(MID(G18,H18,I18-H18),[6]skilldef!$A:$B,2,FALSE),"-")</f>
        <v>- / -</v>
      </c>
      <c r="M18" s="59" t="str">
        <f>IFERROR(RIGHT(B18,LEN(B18)-FIND("],",B18)-1),"none")</f>
        <v>none</v>
      </c>
      <c r="N18" s="45" t="str">
        <f>IFERROR(LEFT(M18,FIND("],",M18)+S42),M18)</f>
        <v>none</v>
      </c>
      <c r="O18" s="59" t="e">
        <f>FIND("effect:",N18)+7</f>
        <v>#VALUE!</v>
      </c>
      <c r="P18" s="59">
        <f>IFERROR(FIND(",",N18),LEN(N18))</f>
        <v>4</v>
      </c>
      <c r="Q18" s="59" t="e">
        <f>FIND("target:",N18)+7</f>
        <v>#VALUE!</v>
      </c>
      <c r="R18" s="59" t="e">
        <f>FIND(",",N18,P18+1)</f>
        <v>#VALUE!</v>
      </c>
      <c r="S18" s="59" t="str">
        <f>IFERROR(VLOOKUP(MID(N18,Q18,R18-Q18),[6]skilldef!$C:$D,2,FALSE),"-") &amp; " / " &amp; IFERROR(VLOOKUP(MID(N18,O18,P18-O18),[6]skilldef!$A:$B,2,FALSE),"-")</f>
        <v>- / -</v>
      </c>
      <c r="T18" s="45" t="str">
        <f>IFERROR(RIGHT(M18,LEN(M18)-FIND("],",M18)-1),"none")</f>
        <v>none</v>
      </c>
      <c r="U18" s="59" t="e">
        <f>FIND("effect:",T18)+7</f>
        <v>#VALUE!</v>
      </c>
      <c r="V18" s="59">
        <f>IFERROR(FIND(",",T18),LEN(T18))</f>
        <v>4</v>
      </c>
      <c r="W18" s="59" t="e">
        <f>FIND("target:",T18)+7</f>
        <v>#VALUE!</v>
      </c>
      <c r="X18" s="59" t="e">
        <f>FIND(",",T18,V18+1)</f>
        <v>#VALUE!</v>
      </c>
      <c r="Y18" s="59" t="str">
        <f>IFERROR(VLOOKUP(MID(T18,W18,X18-W18),[6]skilldef!$C:$D,2,FALSE),"-") &amp; " / " &amp; IFERROR(VLOOKUP(MID(T18,U18,V18-U18),[6]skilldef!$A:$B,2,FALSE),"-")</f>
        <v>- / -</v>
      </c>
      <c r="Z18" s="47"/>
      <c r="AA18" s="48"/>
      <c r="AB18" s="177"/>
    </row>
    <row r="19" spans="1:28" ht="21" customHeight="1" thickBot="1" x14ac:dyDescent="0.2">
      <c r="A19" s="209">
        <v>20013117</v>
      </c>
      <c r="B19" s="188" t="s">
        <v>286</v>
      </c>
      <c r="C19" s="179">
        <v>3</v>
      </c>
      <c r="D19" s="189" t="s">
        <v>127</v>
      </c>
      <c r="E19" s="183" t="s">
        <v>322</v>
      </c>
      <c r="F19" s="190" t="s">
        <v>330</v>
      </c>
      <c r="G19" s="182" t="str">
        <f>IFERROR(LEFT(B19,FIND("],",B19)),B19)</f>
        <v xml:space="preserve">[effect:damage_anti_color, target:unit_all, color:blue, val1:1.5, val2:0.5]    </v>
      </c>
      <c r="H19" s="183">
        <f>FIND("effect:",G19)+7</f>
        <v>9</v>
      </c>
      <c r="I19" s="183">
        <f>IFERROR(FIND(",",G19),LEN(G19))</f>
        <v>26</v>
      </c>
      <c r="J19" s="183">
        <f>FIND("target:",G19)+7</f>
        <v>35</v>
      </c>
      <c r="K19" s="184">
        <f>FIND(",",G19,I19+1)</f>
        <v>43</v>
      </c>
      <c r="L19" s="191" t="str">
        <f>IFERROR(VLOOKUP(MID(G19,J19,K19-J19),[6]skilldef!$C:$D,2,FALSE),"-") &amp; " / " &amp; IFERROR(VLOOKUP(MID(G19,H19,I19-H19),[6]skilldef!$A:$B,2,FALSE),"-")</f>
        <v>味方全体に / 属性キラー</v>
      </c>
      <c r="M19" s="183" t="str">
        <f>IFERROR(RIGHT(B19,LEN(B19)-FIND("],",B19)-1),"none")</f>
        <v>none</v>
      </c>
      <c r="N19" s="188" t="str">
        <f>IFERROR(LEFT(M19,FIND("],",M19)+S43),M19)</f>
        <v>none</v>
      </c>
      <c r="O19" s="183" t="e">
        <f>FIND("effect:",N19)+7</f>
        <v>#VALUE!</v>
      </c>
      <c r="P19" s="183">
        <f>IFERROR(FIND(",",N19),LEN(N19))</f>
        <v>4</v>
      </c>
      <c r="Q19" s="183" t="e">
        <f>FIND("target:",N19)+7</f>
        <v>#VALUE!</v>
      </c>
      <c r="R19" s="183" t="e">
        <f>FIND(",",N19,P19+1)</f>
        <v>#VALUE!</v>
      </c>
      <c r="S19" s="183" t="str">
        <f>IFERROR(VLOOKUP(MID(N19,Q19,R19-Q19),[6]skilldef!$C:$D,2,FALSE),"-") &amp; " / " &amp; IFERROR(VLOOKUP(MID(N19,O19,P19-O19),[6]skilldef!$A:$B,2,FALSE),"-")</f>
        <v>- / -</v>
      </c>
      <c r="T19" s="188" t="str">
        <f>IFERROR(RIGHT(M19,LEN(M19)-FIND("],",M19)-1),"none")</f>
        <v>none</v>
      </c>
      <c r="U19" s="183" t="e">
        <f>FIND("effect:",T19)+7</f>
        <v>#VALUE!</v>
      </c>
      <c r="V19" s="183">
        <f>IFERROR(FIND(",",T19),LEN(T19))</f>
        <v>4</v>
      </c>
      <c r="W19" s="183" t="e">
        <f>FIND("target:",T19)+7</f>
        <v>#VALUE!</v>
      </c>
      <c r="X19" s="183" t="e">
        <f>FIND(",",T19,V19+1)</f>
        <v>#VALUE!</v>
      </c>
      <c r="Y19" s="183" t="str">
        <f>IFERROR(VLOOKUP(MID(T19,W19,X19-W19),[6]skilldef!$C:$D,2,FALSE),"-") &amp; " / " &amp; IFERROR(VLOOKUP(MID(T19,U19,V19-U19),[6]skilldef!$A:$B,2,FALSE),"-")</f>
        <v>- / -</v>
      </c>
      <c r="Z19" s="189"/>
      <c r="AA19" s="192"/>
      <c r="AB19" s="193"/>
    </row>
    <row r="20" spans="1:28" ht="21" customHeight="1" thickBot="1" x14ac:dyDescent="0.2">
      <c r="A20" s="216">
        <v>20013118</v>
      </c>
      <c r="B20" s="217" t="s">
        <v>293</v>
      </c>
      <c r="C20" s="179">
        <v>3</v>
      </c>
      <c r="D20" s="218" t="s">
        <v>127</v>
      </c>
      <c r="E20" s="219" t="s">
        <v>304</v>
      </c>
      <c r="F20" s="220" t="s">
        <v>294</v>
      </c>
      <c r="G20" s="169" t="str">
        <f>IFERROR(LEFT(B20,FIND("],",B20)),B20)</f>
        <v>[effect:change_block, new_block:block_heart, target:block_red, count:1, val:0, animation:change_block]</v>
      </c>
      <c r="H20" s="59">
        <f>FIND("effect:",G20)+7</f>
        <v>9</v>
      </c>
      <c r="I20" s="59">
        <f>IFERROR(FIND(",",G20),LEN(G20))</f>
        <v>21</v>
      </c>
      <c r="J20" s="59">
        <f>FIND("target:",G20)+7</f>
        <v>53</v>
      </c>
      <c r="K20" s="171">
        <f>FIND(",",G20,I20+1)</f>
        <v>44</v>
      </c>
      <c r="L20" s="176" t="str">
        <f>IFERROR(VLOOKUP(MID(G20,J20,K20-J20),[6]skilldef!$C:$D,2,FALSE),"-") &amp; " / " &amp; IFERROR(VLOOKUP(MID(G20,H20,I20-H20),[6]skilldef!$A:$B,2,FALSE),"-")</f>
        <v>- / ブロック変換</v>
      </c>
      <c r="M20" s="59" t="str">
        <f>IFERROR(RIGHT(B20,LEN(B20)-FIND("],",B20)-1),"none")</f>
        <v>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count:1, val:1]</v>
      </c>
      <c r="N20" s="45" t="str">
        <f>IFERROR(LEFT(M20,FIND("],",M20)+S44),M20)</f>
        <v>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count:1, val:1]</v>
      </c>
      <c r="O20" s="59">
        <f>FIND("effect:",N20)+7</f>
        <v>9</v>
      </c>
      <c r="P20" s="59">
        <f>IFERROR(FIND(",",N20),LEN(N20))</f>
        <v>21</v>
      </c>
      <c r="Q20" s="59">
        <f>FIND("target:",N20)+7</f>
        <v>53</v>
      </c>
      <c r="R20" s="59">
        <f>FIND(",",N20,P20+1)</f>
        <v>44</v>
      </c>
      <c r="S20" s="59" t="str">
        <f>IFERROR(VLOOKUP(MID(N20,Q20,R20-Q20),[6]skilldef!$C:$D,2,FALSE),"-") &amp; " / " &amp; IFERROR(VLOOKUP(MID(N20,O20,P20-O20),[6]skilldef!$A:$B,2,FALSE),"-")</f>
        <v>- / ブロック変換</v>
      </c>
      <c r="T20" s="45" t="str">
        <f>IFERROR(RIGHT(M20,LEN(M20)-FIND("],",M20)-1),"none")</f>
        <v>[effect:change_block, new_block:block_heart, target:block_yellow, count:1, val:0, animation:change_block],[effect:change_block, new_block:block_heart, target:block_blue, count:1, val:0, animation:change_block],[effect:rush, count:1, val:1]</v>
      </c>
      <c r="U20" s="59">
        <f>FIND("effect:",T20)+7</f>
        <v>9</v>
      </c>
      <c r="V20" s="59">
        <f>IFERROR(FIND(",",T20),LEN(T20))</f>
        <v>21</v>
      </c>
      <c r="W20" s="59">
        <f>FIND("target:",T20)+7</f>
        <v>53</v>
      </c>
      <c r="X20" s="59">
        <f>FIND(",",T20,V20+1)</f>
        <v>44</v>
      </c>
      <c r="Y20" s="59" t="str">
        <f>IFERROR(VLOOKUP(MID(T20,W20,X20-W20),[6]skilldef!$C:$D,2,FALSE),"-") &amp; " / " &amp; IFERROR(VLOOKUP(MID(T20,U20,V20-U20),[6]skilldef!$A:$B,2,FALSE),"-")</f>
        <v>- / ブロック変換</v>
      </c>
      <c r="Z20" s="47"/>
      <c r="AA20" s="48"/>
      <c r="AB20" s="177"/>
    </row>
    <row r="21" spans="1:28" ht="21" customHeight="1" thickBot="1" x14ac:dyDescent="0.2">
      <c r="A21" s="210">
        <v>20013119</v>
      </c>
      <c r="B21" s="194" t="s">
        <v>235</v>
      </c>
      <c r="C21" s="179">
        <v>3</v>
      </c>
      <c r="D21" s="195" t="s">
        <v>127</v>
      </c>
      <c r="E21" s="196" t="s">
        <v>323</v>
      </c>
      <c r="F21" s="197" t="s">
        <v>236</v>
      </c>
      <c r="G21" s="182" t="str">
        <f>IFERROR(LEFT(B21,FIND("],",B21)),B21)</f>
        <v xml:space="preserve">[effect:change_block, new_block:jammer, target:block_heart, count:3, val:0, animation:change_block]    </v>
      </c>
      <c r="H21" s="183">
        <f>FIND("effect:",G21)+7</f>
        <v>9</v>
      </c>
      <c r="I21" s="183">
        <f>IFERROR(FIND(",",G21),LEN(G21))</f>
        <v>21</v>
      </c>
      <c r="J21" s="183">
        <f>FIND("target:",G21)+7</f>
        <v>48</v>
      </c>
      <c r="K21" s="184">
        <f>FIND(",",G21,I21+1)</f>
        <v>39</v>
      </c>
      <c r="L21" s="198" t="str">
        <f>IFERROR(VLOOKUP(MID(G21,J21,K21-J21),[6]skilldef!$C:$D,2,FALSE),"-") &amp; " / " &amp; IFERROR(VLOOKUP(MID(G21,H21,I21-H21),[6]skilldef!$A:$B,2,FALSE),"-")</f>
        <v>- / ブロック変換</v>
      </c>
      <c r="M21" s="196" t="str">
        <f>IFERROR(RIGHT(B21,LEN(B21)-FIND("],",B21)-1),"none")</f>
        <v>none</v>
      </c>
      <c r="N21" s="194" t="str">
        <f>IFERROR(LEFT(M21,FIND("],",M21)+S45),M21)</f>
        <v>none</v>
      </c>
      <c r="O21" s="196" t="e">
        <f>FIND("effect:",N21)+7</f>
        <v>#VALUE!</v>
      </c>
      <c r="P21" s="196">
        <f>IFERROR(FIND(",",N21),LEN(N21))</f>
        <v>4</v>
      </c>
      <c r="Q21" s="196" t="e">
        <f>FIND("target:",N21)+7</f>
        <v>#VALUE!</v>
      </c>
      <c r="R21" s="196" t="e">
        <f>FIND(",",N21,P21+1)</f>
        <v>#VALUE!</v>
      </c>
      <c r="S21" s="196" t="str">
        <f>IFERROR(VLOOKUP(MID(N21,Q21,R21-Q21),[6]skilldef!$C:$D,2,FALSE),"-") &amp; " / " &amp; IFERROR(VLOOKUP(MID(N21,O21,P21-O21),[6]skilldef!$A:$B,2,FALSE),"-")</f>
        <v>- / -</v>
      </c>
      <c r="T21" s="194" t="str">
        <f>IFERROR(RIGHT(M21,LEN(M21)-FIND("],",M21)-1),"none")</f>
        <v>none</v>
      </c>
      <c r="U21" s="196" t="e">
        <f>FIND("effect:",T21)+7</f>
        <v>#VALUE!</v>
      </c>
      <c r="V21" s="196">
        <f>IFERROR(FIND(",",T21),LEN(T21))</f>
        <v>4</v>
      </c>
      <c r="W21" s="196" t="e">
        <f>FIND("target:",T21)+7</f>
        <v>#VALUE!</v>
      </c>
      <c r="X21" s="196" t="e">
        <f>FIND(",",T21,V21+1)</f>
        <v>#VALUE!</v>
      </c>
      <c r="Y21" s="196" t="str">
        <f>IFERROR(VLOOKUP(MID(T21,W21,X21-W21),[6]skilldef!$C:$D,2,FALSE),"-") &amp; " / " &amp; IFERROR(VLOOKUP(MID(T21,U21,V21-U21),[6]skilldef!$A:$B,2,FALSE),"-")</f>
        <v>- / -</v>
      </c>
      <c r="Z21" s="195"/>
      <c r="AA21" s="199"/>
      <c r="AB21" s="200"/>
    </row>
    <row r="22" spans="1:28" ht="21" customHeight="1" thickBot="1" x14ac:dyDescent="0.2">
      <c r="A22" s="211">
        <v>20013120</v>
      </c>
      <c r="B22" s="201" t="s">
        <v>233</v>
      </c>
      <c r="C22" s="179">
        <v>3</v>
      </c>
      <c r="D22" s="202" t="s">
        <v>127</v>
      </c>
      <c r="E22" s="203" t="s">
        <v>324</v>
      </c>
      <c r="F22" s="204" t="s">
        <v>327</v>
      </c>
      <c r="G22" s="182" t="str">
        <f t="shared" ref="G22:G28" si="16">IFERROR(LEFT(B22,FIND("],",B22)),B22)</f>
        <v xml:space="preserve">[effect:dis_heart, turn:5, animation:enemy_dis_heart]    </v>
      </c>
      <c r="H22" s="183">
        <f t="shared" ref="H22:H28" si="17">FIND("effect:",G22)+7</f>
        <v>9</v>
      </c>
      <c r="I22" s="183">
        <f t="shared" ref="I22:I28" si="18">IFERROR(FIND(",",G22),LEN(G22))</f>
        <v>18</v>
      </c>
      <c r="J22" s="183" t="e">
        <f t="shared" ref="J22:J28" si="19">FIND("target:",G22)+7</f>
        <v>#VALUE!</v>
      </c>
      <c r="K22" s="184">
        <f t="shared" ref="K22:K28" si="20">FIND(",",G22,I22+1)</f>
        <v>26</v>
      </c>
      <c r="L22" s="205" t="str">
        <f>IFERROR(VLOOKUP(MID(G22,J22,K22-J22),[6]skilldef!$C:$D,2,FALSE),"-") &amp; " / " &amp; IFERROR(VLOOKUP(MID(G22,H22,I22-H22),[6]skilldef!$A:$B,2,FALSE),"-")</f>
        <v>- / ディスハート</v>
      </c>
      <c r="M22" s="203" t="str">
        <f t="shared" ref="M22:M28" si="21">IFERROR(RIGHT(B22,LEN(B22)-FIND("],",B22)-1),"none")</f>
        <v>none</v>
      </c>
      <c r="N22" s="201" t="str">
        <f>IFERROR(LEFT(M22,FIND("],",M22)+S30),M22)</f>
        <v>none</v>
      </c>
      <c r="O22" s="203" t="e">
        <f t="shared" ref="O22:O28" si="22">FIND("effect:",N22)+7</f>
        <v>#VALUE!</v>
      </c>
      <c r="P22" s="203">
        <f t="shared" ref="P22:P28" si="23">IFERROR(FIND(",",N22),LEN(N22))</f>
        <v>4</v>
      </c>
      <c r="Q22" s="203" t="e">
        <f t="shared" ref="Q22:Q28" si="24">FIND("target:",N22)+7</f>
        <v>#VALUE!</v>
      </c>
      <c r="R22" s="203" t="e">
        <f t="shared" ref="R22:R28" si="25">FIND(",",N22,P22+1)</f>
        <v>#VALUE!</v>
      </c>
      <c r="S22" s="203" t="str">
        <f>IFERROR(VLOOKUP(MID(N22,Q22,R22-Q22),[6]skilldef!$C:$D,2,FALSE),"-") &amp; " / " &amp; IFERROR(VLOOKUP(MID(N22,O22,P22-O22),[6]skilldef!$A:$B,2,FALSE),"-")</f>
        <v>- / -</v>
      </c>
      <c r="T22" s="201" t="str">
        <f t="shared" ref="T22:T28" si="26">IFERROR(RIGHT(M22,LEN(M22)-FIND("],",M22)-1),"none")</f>
        <v>none</v>
      </c>
      <c r="U22" s="203" t="e">
        <f t="shared" ref="U22:U28" si="27">FIND("effect:",T22)+7</f>
        <v>#VALUE!</v>
      </c>
      <c r="V22" s="203">
        <f t="shared" ref="V22:V28" si="28">IFERROR(FIND(",",T22),LEN(T22))</f>
        <v>4</v>
      </c>
      <c r="W22" s="203" t="e">
        <f t="shared" ref="W22:W28" si="29">FIND("target:",T22)+7</f>
        <v>#VALUE!</v>
      </c>
      <c r="X22" s="203" t="e">
        <f t="shared" ref="X22:X28" si="30">FIND(",",T22,V22+1)</f>
        <v>#VALUE!</v>
      </c>
      <c r="Y22" s="203" t="str">
        <f>IFERROR(VLOOKUP(MID(T22,W22,X22-W22),[6]skilldef!$C:$D,2,FALSE),"-") &amp; " / " &amp; IFERROR(VLOOKUP(MID(T22,U22,V22-U22),[6]skilldef!$A:$B,2,FALSE),"-")</f>
        <v>- / -</v>
      </c>
      <c r="Z22" s="202"/>
      <c r="AA22" s="206"/>
      <c r="AB22" s="207"/>
    </row>
    <row r="23" spans="1:28" ht="21" customHeight="1" thickBot="1" x14ac:dyDescent="0.2">
      <c r="A23" s="216">
        <v>20013121</v>
      </c>
      <c r="B23" s="217" t="s">
        <v>278</v>
      </c>
      <c r="C23" s="179">
        <v>3</v>
      </c>
      <c r="D23" s="218" t="s">
        <v>127</v>
      </c>
      <c r="E23" s="219" t="s">
        <v>317</v>
      </c>
      <c r="F23" s="220" t="s">
        <v>260</v>
      </c>
      <c r="G23" s="169" t="str">
        <f t="shared" si="16"/>
        <v>[effect:change_block, new_block:block_heart, target:block_red, count:7, val:0, no_effect_msg:no_effect_msg_change_block, animation:change_block]</v>
      </c>
      <c r="H23" s="59">
        <f t="shared" si="17"/>
        <v>9</v>
      </c>
      <c r="I23" s="59">
        <f t="shared" si="18"/>
        <v>21</v>
      </c>
      <c r="J23" s="59">
        <f t="shared" si="19"/>
        <v>53</v>
      </c>
      <c r="K23" s="171">
        <f t="shared" si="20"/>
        <v>44</v>
      </c>
      <c r="L23" s="176" t="str">
        <f>IFERROR(VLOOKUP(MID(G23,J23,K23-J23),[6]skilldef!$C:$D,2,FALSE),"-") &amp; " / " &amp; IFERROR(VLOOKUP(MID(G23,H23,I23-H23),[6]skilldef!$A:$B,2,FALSE),"-")</f>
        <v>- / ブロック変換</v>
      </c>
      <c r="M23" s="59" t="str">
        <f t="shared" si="21"/>
        <v xml:space="preserve">[effect:rush, count:1, val:1]    </v>
      </c>
      <c r="N23" s="45" t="str">
        <f>IFERROR(LEFT(M23,FIND("],",M23)+S31),M23)</f>
        <v xml:space="preserve">[effect:rush, count:1, val:1]    </v>
      </c>
      <c r="O23" s="59">
        <f t="shared" si="22"/>
        <v>9</v>
      </c>
      <c r="P23" s="59">
        <f t="shared" si="23"/>
        <v>13</v>
      </c>
      <c r="Q23" s="59" t="e">
        <f t="shared" si="24"/>
        <v>#VALUE!</v>
      </c>
      <c r="R23" s="59">
        <f t="shared" si="25"/>
        <v>22</v>
      </c>
      <c r="S23" s="59" t="str">
        <f>IFERROR(VLOOKUP(MID(N23,Q23,R23-Q23),[6]skilldef!$C:$D,2,FALSE),"-") &amp; " / " &amp; IFERROR(VLOOKUP(MID(N23,O23,P23-O23),[6]skilldef!$A:$B,2,FALSE),"-")</f>
        <v>- / 連続攻撃</v>
      </c>
      <c r="T23" s="45" t="str">
        <f t="shared" si="26"/>
        <v>none</v>
      </c>
      <c r="U23" s="59" t="e">
        <f t="shared" si="27"/>
        <v>#VALUE!</v>
      </c>
      <c r="V23" s="59">
        <f t="shared" si="28"/>
        <v>4</v>
      </c>
      <c r="W23" s="59" t="e">
        <f t="shared" si="29"/>
        <v>#VALUE!</v>
      </c>
      <c r="X23" s="59" t="e">
        <f t="shared" si="30"/>
        <v>#VALUE!</v>
      </c>
      <c r="Y23" s="59" t="str">
        <f>IFERROR(VLOOKUP(MID(T23,W23,X23-W23),[6]skilldef!$C:$D,2,FALSE),"-") &amp; " / " &amp; IFERROR(VLOOKUP(MID(T23,U23,V23-U23),[6]skilldef!$A:$B,2,FALSE),"-")</f>
        <v>- / -</v>
      </c>
      <c r="Z23" s="47"/>
      <c r="AA23" s="48"/>
      <c r="AB23" s="177"/>
    </row>
    <row r="24" spans="1:28" ht="21" customHeight="1" thickBot="1" x14ac:dyDescent="0.2">
      <c r="A24" s="216">
        <v>20013122</v>
      </c>
      <c r="B24" s="217" t="s">
        <v>279</v>
      </c>
      <c r="C24" s="179">
        <v>3</v>
      </c>
      <c r="D24" s="218" t="s">
        <v>127</v>
      </c>
      <c r="E24" s="219" t="s">
        <v>318</v>
      </c>
      <c r="F24" s="220" t="s">
        <v>261</v>
      </c>
      <c r="G24" s="169" t="str">
        <f t="shared" si="16"/>
        <v>[effect:change_block, new_block:block_heart, target:block_green, count:7, val:0, no_effect_msg:no_effect_msg_change_block, animation:change_block]</v>
      </c>
      <c r="H24" s="59">
        <f t="shared" si="17"/>
        <v>9</v>
      </c>
      <c r="I24" s="59">
        <f t="shared" si="18"/>
        <v>21</v>
      </c>
      <c r="J24" s="59">
        <f t="shared" si="19"/>
        <v>53</v>
      </c>
      <c r="K24" s="171">
        <f t="shared" si="20"/>
        <v>44</v>
      </c>
      <c r="L24" s="176" t="str">
        <f>IFERROR(VLOOKUP(MID(G24,J24,K24-J24),[6]skilldef!$C:$D,2,FALSE),"-") &amp; " / " &amp; IFERROR(VLOOKUP(MID(G24,H24,I24-H24),[6]skilldef!$A:$B,2,FALSE),"-")</f>
        <v>- / ブロック変換</v>
      </c>
      <c r="M24" s="59" t="str">
        <f t="shared" si="21"/>
        <v xml:space="preserve">[effect:rush, count:1, val:1]    </v>
      </c>
      <c r="N24" s="45" t="str">
        <f>IFERROR(LEFT(M24,FIND("],",M24)+S32),M24)</f>
        <v xml:space="preserve">[effect:rush, count:1, val:1]    </v>
      </c>
      <c r="O24" s="59">
        <f t="shared" si="22"/>
        <v>9</v>
      </c>
      <c r="P24" s="59">
        <f t="shared" si="23"/>
        <v>13</v>
      </c>
      <c r="Q24" s="59" t="e">
        <f t="shared" si="24"/>
        <v>#VALUE!</v>
      </c>
      <c r="R24" s="59">
        <f t="shared" si="25"/>
        <v>22</v>
      </c>
      <c r="S24" s="59" t="str">
        <f>IFERROR(VLOOKUP(MID(N24,Q24,R24-Q24),[6]skilldef!$C:$D,2,FALSE),"-") &amp; " / " &amp; IFERROR(VLOOKUP(MID(N24,O24,P24-O24),[6]skilldef!$A:$B,2,FALSE),"-")</f>
        <v>- / 連続攻撃</v>
      </c>
      <c r="T24" s="45" t="str">
        <f t="shared" si="26"/>
        <v>none</v>
      </c>
      <c r="U24" s="59" t="e">
        <f t="shared" si="27"/>
        <v>#VALUE!</v>
      </c>
      <c r="V24" s="59">
        <f t="shared" si="28"/>
        <v>4</v>
      </c>
      <c r="W24" s="59" t="e">
        <f t="shared" si="29"/>
        <v>#VALUE!</v>
      </c>
      <c r="X24" s="59" t="e">
        <f t="shared" si="30"/>
        <v>#VALUE!</v>
      </c>
      <c r="Y24" s="59" t="str">
        <f>IFERROR(VLOOKUP(MID(T24,W24,X24-W24),[6]skilldef!$C:$D,2,FALSE),"-") &amp; " / " &amp; IFERROR(VLOOKUP(MID(T24,U24,V24-U24),[6]skilldef!$A:$B,2,FALSE),"-")</f>
        <v>- / -</v>
      </c>
      <c r="Z24" s="47"/>
      <c r="AA24" s="48"/>
      <c r="AB24" s="177"/>
    </row>
    <row r="25" spans="1:28" ht="21" customHeight="1" thickBot="1" x14ac:dyDescent="0.2">
      <c r="A25" s="216">
        <v>20013123</v>
      </c>
      <c r="B25" s="217" t="s">
        <v>280</v>
      </c>
      <c r="C25" s="179">
        <v>3</v>
      </c>
      <c r="D25" s="218" t="s">
        <v>127</v>
      </c>
      <c r="E25" s="219" t="s">
        <v>319</v>
      </c>
      <c r="F25" s="220" t="s">
        <v>262</v>
      </c>
      <c r="G25" s="169" t="str">
        <f t="shared" si="16"/>
        <v>[effect:change_block, new_block:block_heart, target:block_blue, count:7, val:0, no_effect_msg:no_effect_msg_change_block, animation:change_block]</v>
      </c>
      <c r="H25" s="59">
        <f t="shared" si="17"/>
        <v>9</v>
      </c>
      <c r="I25" s="59">
        <f t="shared" si="18"/>
        <v>21</v>
      </c>
      <c r="J25" s="59">
        <f t="shared" si="19"/>
        <v>53</v>
      </c>
      <c r="K25" s="171">
        <f t="shared" si="20"/>
        <v>44</v>
      </c>
      <c r="L25" s="176" t="str">
        <f>IFERROR(VLOOKUP(MID(G25,J25,K25-J25),[6]skilldef!$C:$D,2,FALSE),"-") &amp; " / " &amp; IFERROR(VLOOKUP(MID(G25,H25,I25-H25),[6]skilldef!$A:$B,2,FALSE),"-")</f>
        <v>- / ブロック変換</v>
      </c>
      <c r="M25" s="59" t="str">
        <f t="shared" si="21"/>
        <v xml:space="preserve">[effect:rush, count:1, val:1]    </v>
      </c>
      <c r="N25" s="45" t="str">
        <f>IFERROR(LEFT(M25,FIND("],",M25)+S40),M25)</f>
        <v xml:space="preserve">[effect:rush, count:1, val:1]    </v>
      </c>
      <c r="O25" s="59">
        <f t="shared" si="22"/>
        <v>9</v>
      </c>
      <c r="P25" s="59">
        <f t="shared" si="23"/>
        <v>13</v>
      </c>
      <c r="Q25" s="59" t="e">
        <f t="shared" si="24"/>
        <v>#VALUE!</v>
      </c>
      <c r="R25" s="59">
        <f t="shared" si="25"/>
        <v>22</v>
      </c>
      <c r="S25" s="59" t="str">
        <f>IFERROR(VLOOKUP(MID(N25,Q25,R25-Q25),[6]skilldef!$C:$D,2,FALSE),"-") &amp; " / " &amp; IFERROR(VLOOKUP(MID(N25,O25,P25-O25),[6]skilldef!$A:$B,2,FALSE),"-")</f>
        <v>- / 連続攻撃</v>
      </c>
      <c r="T25" s="45" t="str">
        <f t="shared" si="26"/>
        <v>none</v>
      </c>
      <c r="U25" s="59" t="e">
        <f t="shared" si="27"/>
        <v>#VALUE!</v>
      </c>
      <c r="V25" s="59">
        <f t="shared" si="28"/>
        <v>4</v>
      </c>
      <c r="W25" s="59" t="e">
        <f t="shared" si="29"/>
        <v>#VALUE!</v>
      </c>
      <c r="X25" s="59" t="e">
        <f t="shared" si="30"/>
        <v>#VALUE!</v>
      </c>
      <c r="Y25" s="59" t="str">
        <f>IFERROR(VLOOKUP(MID(T25,W25,X25-W25),[6]skilldef!$C:$D,2,FALSE),"-") &amp; " / " &amp; IFERROR(VLOOKUP(MID(T25,U25,V25-U25),[6]skilldef!$A:$B,2,FALSE),"-")</f>
        <v>- / -</v>
      </c>
      <c r="Z25" s="47"/>
      <c r="AA25" s="48"/>
      <c r="AB25" s="177"/>
    </row>
    <row r="26" spans="1:28" ht="21" customHeight="1" thickBot="1" x14ac:dyDescent="0.2">
      <c r="A26" s="216">
        <v>20013124</v>
      </c>
      <c r="B26" s="217" t="s">
        <v>298</v>
      </c>
      <c r="C26" s="179">
        <v>3</v>
      </c>
      <c r="D26" s="218" t="s">
        <v>127</v>
      </c>
      <c r="E26" s="219" t="s">
        <v>320</v>
      </c>
      <c r="F26" s="220" t="s">
        <v>263</v>
      </c>
      <c r="G26" s="169" t="str">
        <f t="shared" si="16"/>
        <v>[effect:change_block, new_block:block_heart, target:block_yellow, count:7, val:0, no_effect_msg:no_effect_msg_change_block, animation:change_block]</v>
      </c>
      <c r="H26" s="59">
        <f t="shared" si="17"/>
        <v>9</v>
      </c>
      <c r="I26" s="59">
        <f t="shared" si="18"/>
        <v>21</v>
      </c>
      <c r="J26" s="59">
        <f t="shared" si="19"/>
        <v>53</v>
      </c>
      <c r="K26" s="171">
        <f t="shared" si="20"/>
        <v>44</v>
      </c>
      <c r="L26" s="176" t="str">
        <f>IFERROR(VLOOKUP(MID(G26,J26,K26-J26),[6]skilldef!$C:$D,2,FALSE),"-") &amp; " / " &amp; IFERROR(VLOOKUP(MID(G26,H26,I26-H26),[6]skilldef!$A:$B,2,FALSE),"-")</f>
        <v>- / ブロック変換</v>
      </c>
      <c r="M26" s="59" t="str">
        <f t="shared" si="21"/>
        <v xml:space="preserve">[effect:rush, count:1, val:1]    </v>
      </c>
      <c r="N26" s="45" t="str">
        <f>IFERROR(LEFT(M26,FIND("],",M26)+S41),M26)</f>
        <v xml:space="preserve">[effect:rush, count:1, val:1]    </v>
      </c>
      <c r="O26" s="59">
        <f t="shared" si="22"/>
        <v>9</v>
      </c>
      <c r="P26" s="59">
        <f t="shared" si="23"/>
        <v>13</v>
      </c>
      <c r="Q26" s="59" t="e">
        <f t="shared" si="24"/>
        <v>#VALUE!</v>
      </c>
      <c r="R26" s="59">
        <f t="shared" si="25"/>
        <v>22</v>
      </c>
      <c r="S26" s="59" t="str">
        <f>IFERROR(VLOOKUP(MID(N26,Q26,R26-Q26),[6]skilldef!$C:$D,2,FALSE),"-") &amp; " / " &amp; IFERROR(VLOOKUP(MID(N26,O26,P26-O26),[6]skilldef!$A:$B,2,FALSE),"-")</f>
        <v>- / 連続攻撃</v>
      </c>
      <c r="T26" s="45" t="str">
        <f t="shared" si="26"/>
        <v>none</v>
      </c>
      <c r="U26" s="59" t="e">
        <f t="shared" si="27"/>
        <v>#VALUE!</v>
      </c>
      <c r="V26" s="59">
        <f t="shared" si="28"/>
        <v>4</v>
      </c>
      <c r="W26" s="59" t="e">
        <f t="shared" si="29"/>
        <v>#VALUE!</v>
      </c>
      <c r="X26" s="59" t="e">
        <f t="shared" si="30"/>
        <v>#VALUE!</v>
      </c>
      <c r="Y26" s="59" t="str">
        <f>IFERROR(VLOOKUP(MID(T26,W26,X26-W26),[6]skilldef!$C:$D,2,FALSE),"-") &amp; " / " &amp; IFERROR(VLOOKUP(MID(T26,U26,V26-U26),[6]skilldef!$A:$B,2,FALSE),"-")</f>
        <v>- / -</v>
      </c>
      <c r="Z26" s="47"/>
      <c r="AA26" s="48"/>
      <c r="AB26" s="177"/>
    </row>
    <row r="27" spans="1:28" ht="21" customHeight="1" thickBot="1" x14ac:dyDescent="0.2">
      <c r="A27" s="216">
        <v>20013125</v>
      </c>
      <c r="B27" s="217" t="s">
        <v>265</v>
      </c>
      <c r="C27" s="179">
        <v>3</v>
      </c>
      <c r="D27" s="218" t="s">
        <v>127</v>
      </c>
      <c r="E27" s="219" t="s">
        <v>303</v>
      </c>
      <c r="F27" s="220" t="s">
        <v>228</v>
      </c>
      <c r="G27" s="169" t="str">
        <f t="shared" si="16"/>
        <v xml:space="preserve">[effect:panel_freeze, target:block_heart, color:block_heart, count:-1]    </v>
      </c>
      <c r="H27" s="59">
        <f t="shared" si="17"/>
        <v>9</v>
      </c>
      <c r="I27" s="59">
        <f t="shared" si="18"/>
        <v>21</v>
      </c>
      <c r="J27" s="59">
        <f t="shared" si="19"/>
        <v>30</v>
      </c>
      <c r="K27" s="171">
        <f t="shared" si="20"/>
        <v>41</v>
      </c>
      <c r="L27" s="176" t="str">
        <f>IFERROR(VLOOKUP(MID(G27,J27,K27-J27),[6]skilldef!$C:$D,2,FALSE),"-") &amp; " / " &amp; IFERROR(VLOOKUP(MID(G27,H27,I27-H27),[6]skilldef!$A:$B,2,FALSE),"-")</f>
        <v>ハートパネルを / -</v>
      </c>
      <c r="M27" s="59" t="str">
        <f t="shared" si="21"/>
        <v>none</v>
      </c>
      <c r="N27" s="45" t="str">
        <f>IFERROR(LEFT(M27,FIND("],",M27)+S42),M27)</f>
        <v>none</v>
      </c>
      <c r="O27" s="59" t="e">
        <f t="shared" si="22"/>
        <v>#VALUE!</v>
      </c>
      <c r="P27" s="59">
        <f t="shared" si="23"/>
        <v>4</v>
      </c>
      <c r="Q27" s="59" t="e">
        <f t="shared" si="24"/>
        <v>#VALUE!</v>
      </c>
      <c r="R27" s="59" t="e">
        <f t="shared" si="25"/>
        <v>#VALUE!</v>
      </c>
      <c r="S27" s="59" t="str">
        <f>IFERROR(VLOOKUP(MID(N27,Q27,R27-Q27),[6]skilldef!$C:$D,2,FALSE),"-") &amp; " / " &amp; IFERROR(VLOOKUP(MID(N27,O27,P27-O27),[6]skilldef!$A:$B,2,FALSE),"-")</f>
        <v>- / -</v>
      </c>
      <c r="T27" s="45" t="str">
        <f t="shared" si="26"/>
        <v>none</v>
      </c>
      <c r="U27" s="59" t="e">
        <f t="shared" si="27"/>
        <v>#VALUE!</v>
      </c>
      <c r="V27" s="59">
        <f t="shared" si="28"/>
        <v>4</v>
      </c>
      <c r="W27" s="59" t="e">
        <f t="shared" si="29"/>
        <v>#VALUE!</v>
      </c>
      <c r="X27" s="59" t="e">
        <f t="shared" si="30"/>
        <v>#VALUE!</v>
      </c>
      <c r="Y27" s="59" t="str">
        <f>IFERROR(VLOOKUP(MID(T27,W27,X27-W27),[6]skilldef!$C:$D,2,FALSE),"-") &amp; " / " &amp; IFERROR(VLOOKUP(MID(T27,U27,V27-U27),[6]skilldef!$A:$B,2,FALSE),"-")</f>
        <v>- / -</v>
      </c>
      <c r="Z27" s="47"/>
      <c r="AA27" s="48"/>
      <c r="AB27" s="177"/>
    </row>
    <row r="28" spans="1:28" ht="21" customHeight="1" thickBot="1" x14ac:dyDescent="0.2">
      <c r="A28" s="216">
        <v>20013126</v>
      </c>
      <c r="B28" s="217" t="s">
        <v>288</v>
      </c>
      <c r="C28" s="179">
        <v>3</v>
      </c>
      <c r="D28" s="218" t="s">
        <v>127</v>
      </c>
      <c r="E28" s="219" t="s">
        <v>321</v>
      </c>
      <c r="F28" s="220" t="s">
        <v>328</v>
      </c>
      <c r="G28" s="169" t="str">
        <f t="shared" si="16"/>
        <v>[effect:break_enchance_enemy, val:0.03, lowest_val:0, count :-1, status:attack, turn:1, block:block_heart, target:myself, calc:mul, animation:enemy_enhance_attack]</v>
      </c>
      <c r="H28" s="59">
        <f t="shared" si="17"/>
        <v>9</v>
      </c>
      <c r="I28" s="59">
        <f t="shared" si="18"/>
        <v>29</v>
      </c>
      <c r="J28" s="59">
        <f t="shared" si="19"/>
        <v>115</v>
      </c>
      <c r="K28" s="171">
        <f t="shared" si="20"/>
        <v>39</v>
      </c>
      <c r="L28" s="176" t="str">
        <f>IFERROR(VLOOKUP(MID(G28,J28,K28-J28),[6]skilldef!$C:$D,2,FALSE),"-") &amp; " / " &amp; IFERROR(VLOOKUP(MID(G28,H28,I28-H28),[6]skilldef!$A:$B,2,FALSE),"-")</f>
        <v>- / -</v>
      </c>
      <c r="M28" s="59" t="str">
        <f t="shared" si="21"/>
        <v xml:space="preserve">[effect:rush, count:1, val:1]    </v>
      </c>
      <c r="N28" s="45" t="str">
        <f>IFERROR(LEFT(M28,FIND("],",M28)+S43),M28)</f>
        <v xml:space="preserve">[effect:rush, count:1, val:1]    </v>
      </c>
      <c r="O28" s="59">
        <f t="shared" si="22"/>
        <v>9</v>
      </c>
      <c r="P28" s="59">
        <f t="shared" si="23"/>
        <v>13</v>
      </c>
      <c r="Q28" s="59" t="e">
        <f t="shared" si="24"/>
        <v>#VALUE!</v>
      </c>
      <c r="R28" s="59">
        <f t="shared" si="25"/>
        <v>22</v>
      </c>
      <c r="S28" s="59" t="str">
        <f>IFERROR(VLOOKUP(MID(N28,Q28,R28-Q28),[6]skilldef!$C:$D,2,FALSE),"-") &amp; " / " &amp; IFERROR(VLOOKUP(MID(N28,O28,P28-O28),[6]skilldef!$A:$B,2,FALSE),"-")</f>
        <v>- / 連続攻撃</v>
      </c>
      <c r="T28" s="45" t="str">
        <f t="shared" si="26"/>
        <v>none</v>
      </c>
      <c r="U28" s="59" t="e">
        <f t="shared" si="27"/>
        <v>#VALUE!</v>
      </c>
      <c r="V28" s="59">
        <f t="shared" si="28"/>
        <v>4</v>
      </c>
      <c r="W28" s="59" t="e">
        <f t="shared" si="29"/>
        <v>#VALUE!</v>
      </c>
      <c r="X28" s="59" t="e">
        <f t="shared" si="30"/>
        <v>#VALUE!</v>
      </c>
      <c r="Y28" s="59" t="str">
        <f>IFERROR(VLOOKUP(MID(T28,W28,X28-W28),[6]skilldef!$C:$D,2,FALSE),"-") &amp; " / " &amp; IFERROR(VLOOKUP(MID(T28,U28,V28-U28),[6]skilldef!$A:$B,2,FALSE),"-")</f>
        <v>- / -</v>
      </c>
      <c r="Z28" s="47"/>
      <c r="AA28" s="48"/>
      <c r="AB28" s="177"/>
    </row>
    <row r="29" spans="1:28" ht="21" customHeight="1" thickBot="1" x14ac:dyDescent="0.2">
      <c r="A29" s="216">
        <v>20013127</v>
      </c>
      <c r="B29" s="217" t="s">
        <v>290</v>
      </c>
      <c r="C29" s="179">
        <v>3</v>
      </c>
      <c r="D29" s="218" t="s">
        <v>127</v>
      </c>
      <c r="E29" s="219" t="s">
        <v>325</v>
      </c>
      <c r="F29" s="220" t="s">
        <v>329</v>
      </c>
      <c r="G29" s="169" t="str">
        <f>IFERROR(LEFT(B29,FIND("],",B29)),B29)</f>
        <v xml:space="preserve">[effect:break_enchance_enemy, val:500, lowest_val:0, count :-1, status:defense, turn:3, block:block_heart, target:myself, calc:add, animation:enemy_enhance_attack]    </v>
      </c>
      <c r="H29" s="59">
        <f>FIND("effect:",G29)+7</f>
        <v>9</v>
      </c>
      <c r="I29" s="59">
        <f>IFERROR(FIND(",",G29),LEN(G29))</f>
        <v>29</v>
      </c>
      <c r="J29" s="59">
        <f>FIND("target:",G29)+7</f>
        <v>115</v>
      </c>
      <c r="K29" s="171">
        <f>FIND(",",G29,I29+1)</f>
        <v>38</v>
      </c>
      <c r="L29" s="176" t="str">
        <f>IFERROR(VLOOKUP(MID(G29,J29,K29-J29),[6]skilldef!$C:$D,2,FALSE),"-") &amp; " / " &amp; IFERROR(VLOOKUP(MID(G29,H29,I29-H29),[6]skilldef!$A:$B,2,FALSE),"-")</f>
        <v>- / -</v>
      </c>
      <c r="M29" s="59" t="str">
        <f>IFERROR(RIGHT(B29,LEN(B29)-FIND("],",B29)-1),"none")</f>
        <v>none</v>
      </c>
      <c r="N29" s="45" t="str">
        <f>IFERROR(LEFT(M29,FIND("],",M29)+S46),M29)</f>
        <v>none</v>
      </c>
      <c r="O29" s="59" t="e">
        <f>FIND("effect:",N29)+7</f>
        <v>#VALUE!</v>
      </c>
      <c r="P29" s="59">
        <f>IFERROR(FIND(",",N29),LEN(N29))</f>
        <v>4</v>
      </c>
      <c r="Q29" s="59" t="e">
        <f>FIND("target:",N29)+7</f>
        <v>#VALUE!</v>
      </c>
      <c r="R29" s="59" t="e">
        <f>FIND(",",N29,P29+1)</f>
        <v>#VALUE!</v>
      </c>
      <c r="S29" s="59" t="str">
        <f>IFERROR(VLOOKUP(MID(N29,Q29,R29-Q29),[6]skilldef!$C:$D,2,FALSE),"-") &amp; " / " &amp; IFERROR(VLOOKUP(MID(N29,O29,P29-O29),[6]skilldef!$A:$B,2,FALSE),"-")</f>
        <v>- / -</v>
      </c>
      <c r="T29" s="45" t="str">
        <f>IFERROR(RIGHT(M29,LEN(M29)-FIND("],",M29)-1),"none")</f>
        <v>none</v>
      </c>
      <c r="U29" s="59" t="e">
        <f>FIND("effect:",T29)+7</f>
        <v>#VALUE!</v>
      </c>
      <c r="V29" s="59">
        <f>IFERROR(FIND(",",T29),LEN(T29))</f>
        <v>4</v>
      </c>
      <c r="W29" s="59" t="e">
        <f>FIND("target:",T29)+7</f>
        <v>#VALUE!</v>
      </c>
      <c r="X29" s="59" t="e">
        <f>FIND(",",T29,V29+1)</f>
        <v>#VALUE!</v>
      </c>
      <c r="Y29" s="59" t="str">
        <f>IFERROR(VLOOKUP(MID(T29,W29,X29-W29),[6]skilldef!$C:$D,2,FALSE),"-") &amp; " / " &amp; IFERROR(VLOOKUP(MID(T29,U29,V29-U29),[6]skilldef!$A:$B,2,FALSE),"-")</f>
        <v>- / -</v>
      </c>
      <c r="Z29" s="47"/>
      <c r="AA29" s="48"/>
      <c r="AB29" s="177"/>
    </row>
    <row r="30" spans="1:28" ht="21" customHeight="1" thickBot="1" x14ac:dyDescent="0.2">
      <c r="A30" s="209">
        <v>20013128</v>
      </c>
      <c r="B30" s="188" t="s">
        <v>286</v>
      </c>
      <c r="C30" s="179">
        <v>3</v>
      </c>
      <c r="D30" s="189" t="s">
        <v>127</v>
      </c>
      <c r="E30" s="183" t="s">
        <v>322</v>
      </c>
      <c r="F30" s="190" t="s">
        <v>330</v>
      </c>
      <c r="G30" s="182" t="str">
        <f>IFERROR(LEFT(B30,FIND("],",B30)),B30)</f>
        <v xml:space="preserve">[effect:damage_anti_color, target:unit_all, color:blue, val1:1.5, val2:0.5]    </v>
      </c>
      <c r="H30" s="183">
        <f>FIND("effect:",G30)+7</f>
        <v>9</v>
      </c>
      <c r="I30" s="183">
        <f>IFERROR(FIND(",",G30),LEN(G30))</f>
        <v>26</v>
      </c>
      <c r="J30" s="183">
        <f>FIND("target:",G30)+7</f>
        <v>35</v>
      </c>
      <c r="K30" s="184">
        <f>FIND(",",G30,I30+1)</f>
        <v>43</v>
      </c>
      <c r="L30" s="191" t="str">
        <f>IFERROR(VLOOKUP(MID(G30,J30,K30-J30),[6]skilldef!$C:$D,2,FALSE),"-") &amp; " / " &amp; IFERROR(VLOOKUP(MID(G30,H30,I30-H30),[6]skilldef!$A:$B,2,FALSE),"-")</f>
        <v>味方全体に / 属性キラー</v>
      </c>
      <c r="M30" s="183" t="str">
        <f>IFERROR(RIGHT(B30,LEN(B30)-FIND("],",B30)-1),"none")</f>
        <v>none</v>
      </c>
      <c r="N30" s="188" t="str">
        <f>IFERROR(LEFT(M30,FIND("],",M30)+S47),M30)</f>
        <v>none</v>
      </c>
      <c r="O30" s="183" t="e">
        <f>FIND("effect:",N30)+7</f>
        <v>#VALUE!</v>
      </c>
      <c r="P30" s="183">
        <f>IFERROR(FIND(",",N30),LEN(N30))</f>
        <v>4</v>
      </c>
      <c r="Q30" s="183" t="e">
        <f>FIND("target:",N30)+7</f>
        <v>#VALUE!</v>
      </c>
      <c r="R30" s="183" t="e">
        <f>FIND(",",N30,P30+1)</f>
        <v>#VALUE!</v>
      </c>
      <c r="S30" s="183" t="str">
        <f>IFERROR(VLOOKUP(MID(N30,Q30,R30-Q30),[6]skilldef!$C:$D,2,FALSE),"-") &amp; " / " &amp; IFERROR(VLOOKUP(MID(N30,O30,P30-O30),[6]skilldef!$A:$B,2,FALSE),"-")</f>
        <v>- / -</v>
      </c>
      <c r="T30" s="188" t="str">
        <f>IFERROR(RIGHT(M30,LEN(M30)-FIND("],",M30)-1),"none")</f>
        <v>none</v>
      </c>
      <c r="U30" s="183" t="e">
        <f>FIND("effect:",T30)+7</f>
        <v>#VALUE!</v>
      </c>
      <c r="V30" s="183">
        <f>IFERROR(FIND(",",T30),LEN(T30))</f>
        <v>4</v>
      </c>
      <c r="W30" s="183" t="e">
        <f>FIND("target:",T30)+7</f>
        <v>#VALUE!</v>
      </c>
      <c r="X30" s="183" t="e">
        <f>FIND(",",T30,V30+1)</f>
        <v>#VALUE!</v>
      </c>
      <c r="Y30" s="183" t="str">
        <f>IFERROR(VLOOKUP(MID(T30,W30,X30-W30),[6]skilldef!$C:$D,2,FALSE),"-") &amp; " / " &amp; IFERROR(VLOOKUP(MID(T30,U30,V30-U30),[6]skilldef!$A:$B,2,FALSE),"-")</f>
        <v>- / -</v>
      </c>
      <c r="Z30" s="189"/>
      <c r="AA30" s="192"/>
      <c r="AB30" s="193"/>
    </row>
    <row r="31" spans="1:28" ht="21" customHeight="1" thickBot="1" x14ac:dyDescent="0.2">
      <c r="A31" s="216">
        <v>20013129</v>
      </c>
      <c r="B31" s="217" t="s">
        <v>302</v>
      </c>
      <c r="C31" s="179">
        <v>3</v>
      </c>
      <c r="D31" s="218" t="s">
        <v>127</v>
      </c>
      <c r="E31" s="219" t="s">
        <v>304</v>
      </c>
      <c r="F31" s="220" t="s">
        <v>296</v>
      </c>
      <c r="G31" s="169" t="str">
        <f>IFERROR(LEFT(B31,FIND("],",B31)),B31)</f>
        <v>[effect:change_block, new_block:block_heart, target:block_red, count:1, val:0, animation:change_block]</v>
      </c>
      <c r="H31" s="59">
        <f>FIND("effect:",G31)+7</f>
        <v>9</v>
      </c>
      <c r="I31" s="59">
        <f>IFERROR(FIND(",",G31),LEN(G31))</f>
        <v>21</v>
      </c>
      <c r="J31" s="59">
        <f>FIND("target:",G31)+7</f>
        <v>53</v>
      </c>
      <c r="K31" s="171">
        <f>FIND(",",G31,I31+1)</f>
        <v>44</v>
      </c>
      <c r="L31" s="176" t="str">
        <f>IFERROR(VLOOKUP(MID(G31,J31,K31-J31),[6]skilldef!$C:$D,2,FALSE),"-") &amp; " / " &amp; IFERROR(VLOOKUP(MID(G31,H31,I31-H31),[6]skilldef!$A:$B,2,FALSE),"-")</f>
        <v>- / ブロック変換</v>
      </c>
      <c r="M31" s="59" t="str">
        <f>IFERROR(RIGHT(B31,LEN(B31)-FIND("],",B31)-1),"none")</f>
        <v>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count:2, val:0.8]</v>
      </c>
      <c r="N31" s="45" t="str">
        <f>IFERROR(LEFT(M31,FIND("],",M31)+S48),M31)</f>
        <v>[effect:change_block, new_block:block_heart, target:block_green, count:1, val:0, animation:change_block]</v>
      </c>
      <c r="O31" s="59">
        <f>FIND("effect:",N31)+7</f>
        <v>9</v>
      </c>
      <c r="P31" s="59">
        <f>IFERROR(FIND(",",N31),LEN(N31))</f>
        <v>21</v>
      </c>
      <c r="Q31" s="59">
        <f>FIND("target:",N31)+7</f>
        <v>53</v>
      </c>
      <c r="R31" s="59">
        <f>FIND(",",N31,P31+1)</f>
        <v>44</v>
      </c>
      <c r="S31" s="59" t="str">
        <f>IFERROR(VLOOKUP(MID(N31,Q31,R31-Q31),[6]skilldef!$C:$D,2,FALSE),"-") &amp; " / " &amp; IFERROR(VLOOKUP(MID(N31,O31,P31-O31),[6]skilldef!$A:$B,2,FALSE),"-")</f>
        <v>- / ブロック変換</v>
      </c>
      <c r="T31" s="45" t="str">
        <f>IFERROR(RIGHT(M31,LEN(M31)-FIND("],",M31)-1),"none")</f>
        <v>[effect:change_block, new_block:block_heart, target:block_yellow, count:1, val:0, animation:change_block],[effect:change_block, new_block:block_heart, target:block_blue, count:1, val:0, animation:change_block],[effect:rush, count:2, val:0.8]</v>
      </c>
      <c r="U31" s="59">
        <f>FIND("effect:",T31)+7</f>
        <v>9</v>
      </c>
      <c r="V31" s="59">
        <f>IFERROR(FIND(",",T31),LEN(T31))</f>
        <v>21</v>
      </c>
      <c r="W31" s="59">
        <f>FIND("target:",T31)+7</f>
        <v>53</v>
      </c>
      <c r="X31" s="59">
        <f>FIND(",",T31,V31+1)</f>
        <v>44</v>
      </c>
      <c r="Y31" s="59" t="str">
        <f>IFERROR(VLOOKUP(MID(T31,W31,X31-W31),[6]skilldef!$C:$D,2,FALSE),"-") &amp; " / " &amp; IFERROR(VLOOKUP(MID(T31,U31,V31-U31),[6]skilldef!$A:$B,2,FALSE),"-")</f>
        <v>- / ブロック変換</v>
      </c>
      <c r="Z31" s="47"/>
      <c r="AA31" s="48"/>
      <c r="AB31" s="177"/>
    </row>
    <row r="32" spans="1:28" ht="21" customHeight="1" thickBot="1" x14ac:dyDescent="0.2">
      <c r="A32" s="210">
        <v>20013130</v>
      </c>
      <c r="B32" s="194" t="s">
        <v>234</v>
      </c>
      <c r="C32" s="179">
        <v>3</v>
      </c>
      <c r="D32" s="195" t="s">
        <v>127</v>
      </c>
      <c r="E32" s="196" t="s">
        <v>323</v>
      </c>
      <c r="F32" s="197" t="s">
        <v>237</v>
      </c>
      <c r="G32" s="182" t="str">
        <f>IFERROR(LEFT(B32,FIND("],",B32)),B32)</f>
        <v xml:space="preserve">[effect:change_block, new_block:jammer, target:block_heart, count:4, val:0, animation:change_block]    </v>
      </c>
      <c r="H32" s="183">
        <f>FIND("effect:",G32)+7</f>
        <v>9</v>
      </c>
      <c r="I32" s="183">
        <f>IFERROR(FIND(",",G32),LEN(G32))</f>
        <v>21</v>
      </c>
      <c r="J32" s="183">
        <f>FIND("target:",G32)+7</f>
        <v>48</v>
      </c>
      <c r="K32" s="184">
        <f>FIND(",",G32,I32+1)</f>
        <v>39</v>
      </c>
      <c r="L32" s="198" t="str">
        <f>IFERROR(VLOOKUP(MID(G32,J32,K32-J32),[6]skilldef!$C:$D,2,FALSE),"-") &amp; " / " &amp; IFERROR(VLOOKUP(MID(G32,H32,I32-H32),[6]skilldef!$A:$B,2,FALSE),"-")</f>
        <v>- / ブロック変換</v>
      </c>
      <c r="M32" s="196" t="str">
        <f>IFERROR(RIGHT(B32,LEN(B32)-FIND("],",B32)-1),"none")</f>
        <v>none</v>
      </c>
      <c r="N32" s="194" t="str">
        <f>IFERROR(LEFT(M32,FIND("],",M32)+S49),M32)</f>
        <v>none</v>
      </c>
      <c r="O32" s="196" t="e">
        <f>FIND("effect:",N32)+7</f>
        <v>#VALUE!</v>
      </c>
      <c r="P32" s="196">
        <f>IFERROR(FIND(",",N32),LEN(N32))</f>
        <v>4</v>
      </c>
      <c r="Q32" s="196" t="e">
        <f>FIND("target:",N32)+7</f>
        <v>#VALUE!</v>
      </c>
      <c r="R32" s="196" t="e">
        <f>FIND(",",N32,P32+1)</f>
        <v>#VALUE!</v>
      </c>
      <c r="S32" s="196" t="str">
        <f>IFERROR(VLOOKUP(MID(N32,Q32,R32-Q32),[6]skilldef!$C:$D,2,FALSE),"-") &amp; " / " &amp; IFERROR(VLOOKUP(MID(N32,O32,P32-O32),[6]skilldef!$A:$B,2,FALSE),"-")</f>
        <v>- / -</v>
      </c>
      <c r="T32" s="194" t="str">
        <f>IFERROR(RIGHT(M32,LEN(M32)-FIND("],",M32)-1),"none")</f>
        <v>none</v>
      </c>
      <c r="U32" s="196" t="e">
        <f>FIND("effect:",T32)+7</f>
        <v>#VALUE!</v>
      </c>
      <c r="V32" s="196">
        <f>IFERROR(FIND(",",T32),LEN(T32))</f>
        <v>4</v>
      </c>
      <c r="W32" s="196" t="e">
        <f>FIND("target:",T32)+7</f>
        <v>#VALUE!</v>
      </c>
      <c r="X32" s="196" t="e">
        <f>FIND(",",T32,V32+1)</f>
        <v>#VALUE!</v>
      </c>
      <c r="Y32" s="196" t="str">
        <f>IFERROR(VLOOKUP(MID(T32,W32,X32-W32),[6]skilldef!$C:$D,2,FALSE),"-") &amp; " / " &amp; IFERROR(VLOOKUP(MID(T32,U32,V32-U32),[6]skilldef!$A:$B,2,FALSE),"-")</f>
        <v>- / -</v>
      </c>
      <c r="Z32" s="195"/>
      <c r="AA32" s="199"/>
      <c r="AB32" s="200"/>
    </row>
    <row r="33" spans="1:28" ht="21" customHeight="1" thickBot="1" x14ac:dyDescent="0.2">
      <c r="A33" s="211">
        <v>20013131</v>
      </c>
      <c r="B33" s="201" t="s">
        <v>233</v>
      </c>
      <c r="C33" s="179">
        <v>3</v>
      </c>
      <c r="D33" s="202" t="s">
        <v>127</v>
      </c>
      <c r="E33" s="203" t="s">
        <v>324</v>
      </c>
      <c r="F33" s="204" t="s">
        <v>332</v>
      </c>
      <c r="G33" s="182" t="str">
        <f t="shared" ref="G33:G39" si="31">IFERROR(LEFT(B33,FIND("],",B33)),B33)</f>
        <v xml:space="preserve">[effect:dis_heart, turn:5, animation:enemy_dis_heart]    </v>
      </c>
      <c r="H33" s="183">
        <f t="shared" ref="H33:H39" si="32">FIND("effect:",G33)+7</f>
        <v>9</v>
      </c>
      <c r="I33" s="183">
        <f t="shared" ref="I33:I39" si="33">IFERROR(FIND(",",G33),LEN(G33))</f>
        <v>18</v>
      </c>
      <c r="J33" s="183" t="e">
        <f t="shared" ref="J33:J39" si="34">FIND("target:",G33)+7</f>
        <v>#VALUE!</v>
      </c>
      <c r="K33" s="184">
        <f t="shared" ref="K33:K39" si="35">FIND(",",G33,I33+1)</f>
        <v>26</v>
      </c>
      <c r="L33" s="205" t="str">
        <f>IFERROR(VLOOKUP(MID(G33,J33,K33-J33),[6]skilldef!$C:$D,2,FALSE),"-") &amp; " / " &amp; IFERROR(VLOOKUP(MID(G33,H33,I33-H33),[6]skilldef!$A:$B,2,FALSE),"-")</f>
        <v>- / ディスハート</v>
      </c>
      <c r="M33" s="203" t="str">
        <f t="shared" ref="M33:M39" si="36">IFERROR(RIGHT(B33,LEN(B33)-FIND("],",B33)-1),"none")</f>
        <v>none</v>
      </c>
      <c r="N33" s="201" t="str">
        <f t="shared" ref="N33:N39" si="37">IFERROR(LEFT(M33,FIND("],",M33)+S44),M33)</f>
        <v>none</v>
      </c>
      <c r="O33" s="203" t="e">
        <f t="shared" ref="O33:O39" si="38">FIND("effect:",N33)+7</f>
        <v>#VALUE!</v>
      </c>
      <c r="P33" s="203">
        <f t="shared" ref="P33:P39" si="39">IFERROR(FIND(",",N33),LEN(N33))</f>
        <v>4</v>
      </c>
      <c r="Q33" s="203" t="e">
        <f t="shared" ref="Q33:Q39" si="40">FIND("target:",N33)+7</f>
        <v>#VALUE!</v>
      </c>
      <c r="R33" s="203" t="e">
        <f t="shared" ref="R33:R39" si="41">FIND(",",N33,P33+1)</f>
        <v>#VALUE!</v>
      </c>
      <c r="S33" s="203" t="str">
        <f>IFERROR(VLOOKUP(MID(N33,Q33,R33-Q33),[6]skilldef!$C:$D,2,FALSE),"-") &amp; " / " &amp; IFERROR(VLOOKUP(MID(N33,O33,P33-O33),[6]skilldef!$A:$B,2,FALSE),"-")</f>
        <v>- / -</v>
      </c>
      <c r="T33" s="201" t="str">
        <f t="shared" ref="T33:T39" si="42">IFERROR(RIGHT(M33,LEN(M33)-FIND("],",M33)-1),"none")</f>
        <v>none</v>
      </c>
      <c r="U33" s="203" t="e">
        <f t="shared" ref="U33:U39" si="43">FIND("effect:",T33)+7</f>
        <v>#VALUE!</v>
      </c>
      <c r="V33" s="203">
        <f t="shared" ref="V33:V39" si="44">IFERROR(FIND(",",T33),LEN(T33))</f>
        <v>4</v>
      </c>
      <c r="W33" s="203" t="e">
        <f t="shared" ref="W33:W39" si="45">FIND("target:",T33)+7</f>
        <v>#VALUE!</v>
      </c>
      <c r="X33" s="203" t="e">
        <f t="shared" ref="X33:X39" si="46">FIND(",",T33,V33+1)</f>
        <v>#VALUE!</v>
      </c>
      <c r="Y33" s="203" t="str">
        <f>IFERROR(VLOOKUP(MID(T33,W33,X33-W33),[6]skilldef!$C:$D,2,FALSE),"-") &amp; " / " &amp; IFERROR(VLOOKUP(MID(T33,U33,V33-U33),[6]skilldef!$A:$B,2,FALSE),"-")</f>
        <v>- / -</v>
      </c>
      <c r="Z33" s="202"/>
      <c r="AA33" s="206"/>
      <c r="AB33" s="207"/>
    </row>
    <row r="34" spans="1:28" ht="21" customHeight="1" thickBot="1" x14ac:dyDescent="0.2">
      <c r="A34" s="216">
        <v>20013132</v>
      </c>
      <c r="B34" s="217" t="s">
        <v>281</v>
      </c>
      <c r="C34" s="179">
        <v>3</v>
      </c>
      <c r="D34" s="218" t="s">
        <v>127</v>
      </c>
      <c r="E34" s="219" t="s">
        <v>317</v>
      </c>
      <c r="F34" s="220" t="s">
        <v>252</v>
      </c>
      <c r="G34" s="169" t="str">
        <f t="shared" si="31"/>
        <v>[effect:change_block, new_block:block_heart, target:block_red, count:9, val:0, no_effect_msg:no_effect_msg_change_block, animation:change_block]</v>
      </c>
      <c r="H34" s="59">
        <f t="shared" si="32"/>
        <v>9</v>
      </c>
      <c r="I34" s="59">
        <f t="shared" si="33"/>
        <v>21</v>
      </c>
      <c r="J34" s="59">
        <f t="shared" si="34"/>
        <v>53</v>
      </c>
      <c r="K34" s="171">
        <f t="shared" si="35"/>
        <v>44</v>
      </c>
      <c r="L34" s="176" t="str">
        <f>IFERROR(VLOOKUP(MID(G34,J34,K34-J34),[6]skilldef!$C:$D,2,FALSE),"-") &amp; " / " &amp; IFERROR(VLOOKUP(MID(G34,H34,I34-H34),[6]skilldef!$A:$B,2,FALSE),"-")</f>
        <v>- / ブロック変換</v>
      </c>
      <c r="M34" s="59" t="str">
        <f t="shared" si="36"/>
        <v xml:space="preserve">[effect:rush, count:1, val:1]    </v>
      </c>
      <c r="N34" s="45" t="str">
        <f t="shared" si="37"/>
        <v xml:space="preserve">[effect:rush, count:1, val:1]    </v>
      </c>
      <c r="O34" s="59">
        <f t="shared" si="38"/>
        <v>9</v>
      </c>
      <c r="P34" s="59">
        <f t="shared" si="39"/>
        <v>13</v>
      </c>
      <c r="Q34" s="59" t="e">
        <f t="shared" si="40"/>
        <v>#VALUE!</v>
      </c>
      <c r="R34" s="59">
        <f t="shared" si="41"/>
        <v>22</v>
      </c>
      <c r="S34" s="59" t="str">
        <f>IFERROR(VLOOKUP(MID(N34,Q34,R34-Q34),[6]skilldef!$C:$D,2,FALSE),"-") &amp; " / " &amp; IFERROR(VLOOKUP(MID(N34,O34,P34-O34),[6]skilldef!$A:$B,2,FALSE),"-")</f>
        <v>- / 連続攻撃</v>
      </c>
      <c r="T34" s="45" t="str">
        <f t="shared" si="42"/>
        <v>none</v>
      </c>
      <c r="U34" s="59" t="e">
        <f t="shared" si="43"/>
        <v>#VALUE!</v>
      </c>
      <c r="V34" s="59">
        <f t="shared" si="44"/>
        <v>4</v>
      </c>
      <c r="W34" s="59" t="e">
        <f t="shared" si="45"/>
        <v>#VALUE!</v>
      </c>
      <c r="X34" s="59" t="e">
        <f t="shared" si="46"/>
        <v>#VALUE!</v>
      </c>
      <c r="Y34" s="59" t="str">
        <f>IFERROR(VLOOKUP(MID(T34,W34,X34-W34),[6]skilldef!$C:$D,2,FALSE),"-") &amp; " / " &amp; IFERROR(VLOOKUP(MID(T34,U34,V34-U34),[6]skilldef!$A:$B,2,FALSE),"-")</f>
        <v>- / -</v>
      </c>
      <c r="Z34" s="47"/>
      <c r="AA34" s="48"/>
      <c r="AB34" s="177"/>
    </row>
    <row r="35" spans="1:28" ht="21" customHeight="1" thickBot="1" x14ac:dyDescent="0.2">
      <c r="A35" s="216">
        <v>20013133</v>
      </c>
      <c r="B35" s="217" t="s">
        <v>282</v>
      </c>
      <c r="C35" s="179">
        <v>3</v>
      </c>
      <c r="D35" s="218" t="s">
        <v>127</v>
      </c>
      <c r="E35" s="219" t="s">
        <v>318</v>
      </c>
      <c r="F35" s="220" t="s">
        <v>253</v>
      </c>
      <c r="G35" s="169" t="str">
        <f t="shared" si="31"/>
        <v>[effect:change_block, new_block:block_heart, target:block_green, count:9, val:0, no_effect_msg:no_effect_msg_change_block, animation:change_block]</v>
      </c>
      <c r="H35" s="59">
        <f t="shared" si="32"/>
        <v>9</v>
      </c>
      <c r="I35" s="59">
        <f t="shared" si="33"/>
        <v>21</v>
      </c>
      <c r="J35" s="59">
        <f t="shared" si="34"/>
        <v>53</v>
      </c>
      <c r="K35" s="171">
        <f t="shared" si="35"/>
        <v>44</v>
      </c>
      <c r="L35" s="176" t="str">
        <f>IFERROR(VLOOKUP(MID(G35,J35,K35-J35),[6]skilldef!$C:$D,2,FALSE),"-") &amp; " / " &amp; IFERROR(VLOOKUP(MID(G35,H35,I35-H35),[6]skilldef!$A:$B,2,FALSE),"-")</f>
        <v>- / ブロック変換</v>
      </c>
      <c r="M35" s="59" t="str">
        <f t="shared" si="36"/>
        <v xml:space="preserve">[effect:rush, count:1, val:1]    </v>
      </c>
      <c r="N35" s="45" t="str">
        <f t="shared" si="37"/>
        <v xml:space="preserve">[effect:rush, count:1, val:1]    </v>
      </c>
      <c r="O35" s="59">
        <f t="shared" si="38"/>
        <v>9</v>
      </c>
      <c r="P35" s="59">
        <f t="shared" si="39"/>
        <v>13</v>
      </c>
      <c r="Q35" s="59" t="e">
        <f t="shared" si="40"/>
        <v>#VALUE!</v>
      </c>
      <c r="R35" s="59">
        <f t="shared" si="41"/>
        <v>22</v>
      </c>
      <c r="S35" s="59" t="str">
        <f>IFERROR(VLOOKUP(MID(N35,Q35,R35-Q35),[6]skilldef!$C:$D,2,FALSE),"-") &amp; " / " &amp; IFERROR(VLOOKUP(MID(N35,O35,P35-O35),[6]skilldef!$A:$B,2,FALSE),"-")</f>
        <v>- / 連続攻撃</v>
      </c>
      <c r="T35" s="45" t="str">
        <f t="shared" si="42"/>
        <v>none</v>
      </c>
      <c r="U35" s="59" t="e">
        <f t="shared" si="43"/>
        <v>#VALUE!</v>
      </c>
      <c r="V35" s="59">
        <f t="shared" si="44"/>
        <v>4</v>
      </c>
      <c r="W35" s="59" t="e">
        <f t="shared" si="45"/>
        <v>#VALUE!</v>
      </c>
      <c r="X35" s="59" t="e">
        <f t="shared" si="46"/>
        <v>#VALUE!</v>
      </c>
      <c r="Y35" s="59" t="str">
        <f>IFERROR(VLOOKUP(MID(T35,W35,X35-W35),[6]skilldef!$C:$D,2,FALSE),"-") &amp; " / " &amp; IFERROR(VLOOKUP(MID(T35,U35,V35-U35),[6]skilldef!$A:$B,2,FALSE),"-")</f>
        <v>- / -</v>
      </c>
      <c r="Z35" s="47"/>
      <c r="AA35" s="48"/>
      <c r="AB35" s="177"/>
    </row>
    <row r="36" spans="1:28" ht="21" customHeight="1" thickBot="1" x14ac:dyDescent="0.2">
      <c r="A36" s="216">
        <v>20013134</v>
      </c>
      <c r="B36" s="217" t="s">
        <v>283</v>
      </c>
      <c r="C36" s="179">
        <v>3</v>
      </c>
      <c r="D36" s="218" t="s">
        <v>127</v>
      </c>
      <c r="E36" s="219" t="s">
        <v>319</v>
      </c>
      <c r="F36" s="220" t="s">
        <v>254</v>
      </c>
      <c r="G36" s="169" t="str">
        <f t="shared" si="31"/>
        <v>[effect:change_block, new_block:block_heart, target:block_blue, count:9, val:0, no_effect_msg:no_effect_msg_change_block, animation:change_block]</v>
      </c>
      <c r="H36" s="59">
        <f t="shared" si="32"/>
        <v>9</v>
      </c>
      <c r="I36" s="59">
        <f t="shared" si="33"/>
        <v>21</v>
      </c>
      <c r="J36" s="59">
        <f t="shared" si="34"/>
        <v>53</v>
      </c>
      <c r="K36" s="171">
        <f t="shared" si="35"/>
        <v>44</v>
      </c>
      <c r="L36" s="176" t="str">
        <f>IFERROR(VLOOKUP(MID(G36,J36,K36-J36),[6]skilldef!$C:$D,2,FALSE),"-") &amp; " / " &amp; IFERROR(VLOOKUP(MID(G36,H36,I36-H36),[6]skilldef!$A:$B,2,FALSE),"-")</f>
        <v>- / ブロック変換</v>
      </c>
      <c r="M36" s="59" t="str">
        <f t="shared" si="36"/>
        <v xml:space="preserve">[effect:rush, count:1, val:1]    </v>
      </c>
      <c r="N36" s="45" t="str">
        <f t="shared" si="37"/>
        <v xml:space="preserve">[effect:rush, count:1, val:1]    </v>
      </c>
      <c r="O36" s="59">
        <f t="shared" si="38"/>
        <v>9</v>
      </c>
      <c r="P36" s="59">
        <f t="shared" si="39"/>
        <v>13</v>
      </c>
      <c r="Q36" s="59" t="e">
        <f t="shared" si="40"/>
        <v>#VALUE!</v>
      </c>
      <c r="R36" s="59">
        <f t="shared" si="41"/>
        <v>22</v>
      </c>
      <c r="S36" s="59" t="str">
        <f>IFERROR(VLOOKUP(MID(N36,Q36,R36-Q36),[6]skilldef!$C:$D,2,FALSE),"-") &amp; " / " &amp; IFERROR(VLOOKUP(MID(N36,O36,P36-O36),[6]skilldef!$A:$B,2,FALSE),"-")</f>
        <v>- / 連続攻撃</v>
      </c>
      <c r="T36" s="45" t="str">
        <f t="shared" si="42"/>
        <v>none</v>
      </c>
      <c r="U36" s="59" t="e">
        <f t="shared" si="43"/>
        <v>#VALUE!</v>
      </c>
      <c r="V36" s="59">
        <f t="shared" si="44"/>
        <v>4</v>
      </c>
      <c r="W36" s="59" t="e">
        <f t="shared" si="45"/>
        <v>#VALUE!</v>
      </c>
      <c r="X36" s="59" t="e">
        <f t="shared" si="46"/>
        <v>#VALUE!</v>
      </c>
      <c r="Y36" s="59" t="str">
        <f>IFERROR(VLOOKUP(MID(T36,W36,X36-W36),[6]skilldef!$C:$D,2,FALSE),"-") &amp; " / " &amp; IFERROR(VLOOKUP(MID(T36,U36,V36-U36),[6]skilldef!$A:$B,2,FALSE),"-")</f>
        <v>- / -</v>
      </c>
      <c r="Z36" s="47"/>
      <c r="AA36" s="48"/>
      <c r="AB36" s="177"/>
    </row>
    <row r="37" spans="1:28" ht="21" customHeight="1" thickBot="1" x14ac:dyDescent="0.2">
      <c r="A37" s="216">
        <v>20013135</v>
      </c>
      <c r="B37" s="217" t="s">
        <v>297</v>
      </c>
      <c r="C37" s="179">
        <v>3</v>
      </c>
      <c r="D37" s="218" t="s">
        <v>127</v>
      </c>
      <c r="E37" s="219" t="s">
        <v>320</v>
      </c>
      <c r="F37" s="220" t="s">
        <v>264</v>
      </c>
      <c r="G37" s="169" t="str">
        <f t="shared" si="31"/>
        <v>[effect:change_block, new_block:block_heart, target:block_yellow, count:9, val:0, no_effect_msg:no_effect_msg_change_block, animation:change_block]</v>
      </c>
      <c r="H37" s="59">
        <f t="shared" si="32"/>
        <v>9</v>
      </c>
      <c r="I37" s="59">
        <f t="shared" si="33"/>
        <v>21</v>
      </c>
      <c r="J37" s="59">
        <f t="shared" si="34"/>
        <v>53</v>
      </c>
      <c r="K37" s="171">
        <f t="shared" si="35"/>
        <v>44</v>
      </c>
      <c r="L37" s="176" t="str">
        <f>IFERROR(VLOOKUP(MID(G37,J37,K37-J37),[6]skilldef!$C:$D,2,FALSE),"-") &amp; " / " &amp; IFERROR(VLOOKUP(MID(G37,H37,I37-H37),[6]skilldef!$A:$B,2,FALSE),"-")</f>
        <v>- / ブロック変換</v>
      </c>
      <c r="M37" s="59" t="str">
        <f t="shared" si="36"/>
        <v xml:space="preserve">[effect:rush, count:1, val:1]    </v>
      </c>
      <c r="N37" s="45" t="str">
        <f t="shared" si="37"/>
        <v xml:space="preserve">[effect:rush, count:1, val:1]    </v>
      </c>
      <c r="O37" s="59">
        <f t="shared" si="38"/>
        <v>9</v>
      </c>
      <c r="P37" s="59">
        <f t="shared" si="39"/>
        <v>13</v>
      </c>
      <c r="Q37" s="59" t="e">
        <f t="shared" si="40"/>
        <v>#VALUE!</v>
      </c>
      <c r="R37" s="59">
        <f t="shared" si="41"/>
        <v>22</v>
      </c>
      <c r="S37" s="59" t="str">
        <f>IFERROR(VLOOKUP(MID(N37,Q37,R37-Q37),[6]skilldef!$C:$D,2,FALSE),"-") &amp; " / " &amp; IFERROR(VLOOKUP(MID(N37,O37,P37-O37),[6]skilldef!$A:$B,2,FALSE),"-")</f>
        <v>- / 連続攻撃</v>
      </c>
      <c r="T37" s="45" t="str">
        <f t="shared" si="42"/>
        <v>none</v>
      </c>
      <c r="U37" s="59" t="e">
        <f t="shared" si="43"/>
        <v>#VALUE!</v>
      </c>
      <c r="V37" s="59">
        <f t="shared" si="44"/>
        <v>4</v>
      </c>
      <c r="W37" s="59" t="e">
        <f t="shared" si="45"/>
        <v>#VALUE!</v>
      </c>
      <c r="X37" s="59" t="e">
        <f t="shared" si="46"/>
        <v>#VALUE!</v>
      </c>
      <c r="Y37" s="59" t="str">
        <f>IFERROR(VLOOKUP(MID(T37,W37,X37-W37),[6]skilldef!$C:$D,2,FALSE),"-") &amp; " / " &amp; IFERROR(VLOOKUP(MID(T37,U37,V37-U37),[6]skilldef!$A:$B,2,FALSE),"-")</f>
        <v>- / -</v>
      </c>
      <c r="Z37" s="47"/>
      <c r="AA37" s="48"/>
      <c r="AB37" s="177"/>
    </row>
    <row r="38" spans="1:28" ht="21" customHeight="1" thickBot="1" x14ac:dyDescent="0.2">
      <c r="A38" s="216">
        <v>20013136</v>
      </c>
      <c r="B38" s="217" t="s">
        <v>265</v>
      </c>
      <c r="C38" s="179">
        <v>3</v>
      </c>
      <c r="D38" s="218" t="s">
        <v>127</v>
      </c>
      <c r="E38" s="219" t="s">
        <v>303</v>
      </c>
      <c r="F38" s="220" t="s">
        <v>228</v>
      </c>
      <c r="G38" s="169" t="str">
        <f t="shared" si="31"/>
        <v xml:space="preserve">[effect:panel_freeze, target:block_heart, color:block_heart, count:-1]    </v>
      </c>
      <c r="H38" s="59">
        <f t="shared" si="32"/>
        <v>9</v>
      </c>
      <c r="I38" s="59">
        <f t="shared" si="33"/>
        <v>21</v>
      </c>
      <c r="J38" s="59">
        <f t="shared" si="34"/>
        <v>30</v>
      </c>
      <c r="K38" s="171">
        <f t="shared" si="35"/>
        <v>41</v>
      </c>
      <c r="L38" s="176" t="str">
        <f>IFERROR(VLOOKUP(MID(G38,J38,K38-J38),[6]skilldef!$C:$D,2,FALSE),"-") &amp; " / " &amp; IFERROR(VLOOKUP(MID(G38,H38,I38-H38),[6]skilldef!$A:$B,2,FALSE),"-")</f>
        <v>ハートパネルを / -</v>
      </c>
      <c r="M38" s="59" t="str">
        <f t="shared" si="36"/>
        <v>none</v>
      </c>
      <c r="N38" s="45" t="str">
        <f t="shared" si="37"/>
        <v>none</v>
      </c>
      <c r="O38" s="59" t="e">
        <f t="shared" si="38"/>
        <v>#VALUE!</v>
      </c>
      <c r="P38" s="59">
        <f t="shared" si="39"/>
        <v>4</v>
      </c>
      <c r="Q38" s="59" t="e">
        <f t="shared" si="40"/>
        <v>#VALUE!</v>
      </c>
      <c r="R38" s="59" t="e">
        <f t="shared" si="41"/>
        <v>#VALUE!</v>
      </c>
      <c r="S38" s="59" t="str">
        <f>IFERROR(VLOOKUP(MID(N38,Q38,R38-Q38),[6]skilldef!$C:$D,2,FALSE),"-") &amp; " / " &amp; IFERROR(VLOOKUP(MID(N38,O38,P38-O38),[6]skilldef!$A:$B,2,FALSE),"-")</f>
        <v>- / -</v>
      </c>
      <c r="T38" s="45" t="str">
        <f t="shared" si="42"/>
        <v>none</v>
      </c>
      <c r="U38" s="59" t="e">
        <f t="shared" si="43"/>
        <v>#VALUE!</v>
      </c>
      <c r="V38" s="59">
        <f t="shared" si="44"/>
        <v>4</v>
      </c>
      <c r="W38" s="59" t="e">
        <f t="shared" si="45"/>
        <v>#VALUE!</v>
      </c>
      <c r="X38" s="59" t="e">
        <f t="shared" si="46"/>
        <v>#VALUE!</v>
      </c>
      <c r="Y38" s="59" t="str">
        <f>IFERROR(VLOOKUP(MID(T38,W38,X38-W38),[6]skilldef!$C:$D,2,FALSE),"-") &amp; " / " &amp; IFERROR(VLOOKUP(MID(T38,U38,V38-U38),[6]skilldef!$A:$B,2,FALSE),"-")</f>
        <v>- / -</v>
      </c>
      <c r="Z38" s="47"/>
      <c r="AA38" s="48"/>
      <c r="AB38" s="177"/>
    </row>
    <row r="39" spans="1:28" ht="21" customHeight="1" thickBot="1" x14ac:dyDescent="0.2">
      <c r="A39" s="216">
        <v>20013137</v>
      </c>
      <c r="B39" s="217" t="s">
        <v>291</v>
      </c>
      <c r="C39" s="179">
        <v>3</v>
      </c>
      <c r="D39" s="218" t="s">
        <v>127</v>
      </c>
      <c r="E39" s="219" t="s">
        <v>321</v>
      </c>
      <c r="F39" s="220" t="s">
        <v>328</v>
      </c>
      <c r="G39" s="169" t="str">
        <f t="shared" si="31"/>
        <v>[effect:break_enchance_enemy, val:0.04, lowest_val:0, count :-1, status:attack, turn:1, block:block_heart, target:myself, calc:mul, animation:enemy_enhance_attack]</v>
      </c>
      <c r="H39" s="59">
        <f t="shared" si="32"/>
        <v>9</v>
      </c>
      <c r="I39" s="59">
        <f t="shared" si="33"/>
        <v>29</v>
      </c>
      <c r="J39" s="59">
        <f t="shared" si="34"/>
        <v>115</v>
      </c>
      <c r="K39" s="171">
        <f t="shared" si="35"/>
        <v>39</v>
      </c>
      <c r="L39" s="176" t="str">
        <f>IFERROR(VLOOKUP(MID(G39,J39,K39-J39),[6]skilldef!$C:$D,2,FALSE),"-") &amp; " / " &amp; IFERROR(VLOOKUP(MID(G39,H39,I39-H39),[6]skilldef!$A:$B,2,FALSE),"-")</f>
        <v>- / -</v>
      </c>
      <c r="M39" s="59" t="str">
        <f t="shared" si="36"/>
        <v xml:space="preserve">[effect:rush, count:1, val:1]    </v>
      </c>
      <c r="N39" s="45" t="str">
        <f t="shared" si="37"/>
        <v xml:space="preserve">[effect:rush, count:1, val:1]    </v>
      </c>
      <c r="O39" s="59">
        <f t="shared" si="38"/>
        <v>9</v>
      </c>
      <c r="P39" s="59">
        <f t="shared" si="39"/>
        <v>13</v>
      </c>
      <c r="Q39" s="59" t="e">
        <f t="shared" si="40"/>
        <v>#VALUE!</v>
      </c>
      <c r="R39" s="59">
        <f t="shared" si="41"/>
        <v>22</v>
      </c>
      <c r="S39" s="59" t="str">
        <f>IFERROR(VLOOKUP(MID(N39,Q39,R39-Q39),[6]skilldef!$C:$D,2,FALSE),"-") &amp; " / " &amp; IFERROR(VLOOKUP(MID(N39,O39,P39-O39),[6]skilldef!$A:$B,2,FALSE),"-")</f>
        <v>- / 連続攻撃</v>
      </c>
      <c r="T39" s="45" t="str">
        <f t="shared" si="42"/>
        <v>none</v>
      </c>
      <c r="U39" s="59" t="e">
        <f t="shared" si="43"/>
        <v>#VALUE!</v>
      </c>
      <c r="V39" s="59">
        <f t="shared" si="44"/>
        <v>4</v>
      </c>
      <c r="W39" s="59" t="e">
        <f t="shared" si="45"/>
        <v>#VALUE!</v>
      </c>
      <c r="X39" s="59" t="e">
        <f t="shared" si="46"/>
        <v>#VALUE!</v>
      </c>
      <c r="Y39" s="59" t="str">
        <f>IFERROR(VLOOKUP(MID(T39,W39,X39-W39),[6]skilldef!$C:$D,2,FALSE),"-") &amp; " / " &amp; IFERROR(VLOOKUP(MID(T39,U39,V39-U39),[6]skilldef!$A:$B,2,FALSE),"-")</f>
        <v>- / -</v>
      </c>
      <c r="Z39" s="47"/>
      <c r="AA39" s="48"/>
      <c r="AB39" s="177"/>
    </row>
    <row r="40" spans="1:28" ht="21" customHeight="1" thickBot="1" x14ac:dyDescent="0.2">
      <c r="A40" s="216">
        <v>20013138</v>
      </c>
      <c r="B40" s="217" t="s">
        <v>292</v>
      </c>
      <c r="C40" s="179">
        <v>3</v>
      </c>
      <c r="D40" s="218" t="s">
        <v>127</v>
      </c>
      <c r="E40" s="219" t="s">
        <v>325</v>
      </c>
      <c r="F40" s="220" t="s">
        <v>336</v>
      </c>
      <c r="G40" s="169" t="str">
        <f t="shared" ref="G40:G41" si="47">IFERROR(LEFT(B40,FIND("],",B40)),B40)</f>
        <v xml:space="preserve">[effect:break_enchance_enemy, val:1000, lowest_val:0, count :-1, status:defense, turn:3, block:block_heart, target:myself, calc:add, animation:enemy_enhance_attack]    </v>
      </c>
      <c r="H40" s="59">
        <f t="shared" ref="H40:H41" si="48">FIND("effect:",G40)+7</f>
        <v>9</v>
      </c>
      <c r="I40" s="59">
        <f t="shared" ref="I40:I41" si="49">IFERROR(FIND(",",G40),LEN(G40))</f>
        <v>29</v>
      </c>
      <c r="J40" s="59">
        <f t="shared" ref="J40:J41" si="50">FIND("target:",G40)+7</f>
        <v>116</v>
      </c>
      <c r="K40" s="171">
        <f t="shared" ref="K40:K41" si="51">FIND(",",G40,I40+1)</f>
        <v>39</v>
      </c>
      <c r="L40" s="176" t="str">
        <f>IFERROR(VLOOKUP(MID(G40,J40,K40-J40),[6]skilldef!$C:$D,2,FALSE),"-") &amp; " / " &amp; IFERROR(VLOOKUP(MID(G40,H40,I40-H40),[6]skilldef!$A:$B,2,FALSE),"-")</f>
        <v>- / -</v>
      </c>
      <c r="M40" s="59" t="str">
        <f t="shared" ref="M40:M41" si="52">IFERROR(RIGHT(B40,LEN(B40)-FIND("],",B40)-1),"none")</f>
        <v>none</v>
      </c>
      <c r="N40" s="45" t="str">
        <f t="shared" ref="N40:N41" si="53">IFERROR(LEFT(M40,FIND("],",M40)+S50),M40)</f>
        <v>none</v>
      </c>
      <c r="O40" s="59" t="e">
        <f t="shared" ref="O40:O41" si="54">FIND("effect:",N40)+7</f>
        <v>#VALUE!</v>
      </c>
      <c r="P40" s="59">
        <f t="shared" ref="P40:P41" si="55">IFERROR(FIND(",",N40),LEN(N40))</f>
        <v>4</v>
      </c>
      <c r="Q40" s="59" t="e">
        <f t="shared" ref="Q40:Q41" si="56">FIND("target:",N40)+7</f>
        <v>#VALUE!</v>
      </c>
      <c r="R40" s="59" t="e">
        <f t="shared" ref="R40:R41" si="57">FIND(",",N40,P40+1)</f>
        <v>#VALUE!</v>
      </c>
      <c r="S40" s="59" t="str">
        <f>IFERROR(VLOOKUP(MID(N40,Q40,R40-Q40),[6]skilldef!$C:$D,2,FALSE),"-") &amp; " / " &amp; IFERROR(VLOOKUP(MID(N40,O40,P40-O40),[6]skilldef!$A:$B,2,FALSE),"-")</f>
        <v>- / -</v>
      </c>
      <c r="T40" s="45" t="str">
        <f t="shared" ref="T40:T41" si="58">IFERROR(RIGHT(M40,LEN(M40)-FIND("],",M40)-1),"none")</f>
        <v>none</v>
      </c>
      <c r="U40" s="59" t="e">
        <f t="shared" ref="U40:U41" si="59">FIND("effect:",T40)+7</f>
        <v>#VALUE!</v>
      </c>
      <c r="V40" s="59">
        <f t="shared" ref="V40:V41" si="60">IFERROR(FIND(",",T40),LEN(T40))</f>
        <v>4</v>
      </c>
      <c r="W40" s="59" t="e">
        <f t="shared" ref="W40:W41" si="61">FIND("target:",T40)+7</f>
        <v>#VALUE!</v>
      </c>
      <c r="X40" s="59" t="e">
        <f t="shared" ref="X40:X41" si="62">FIND(",",T40,V40+1)</f>
        <v>#VALUE!</v>
      </c>
      <c r="Y40" s="59" t="str">
        <f>IFERROR(VLOOKUP(MID(T40,W40,X40-W40),[6]skilldef!$C:$D,2,FALSE),"-") &amp; " / " &amp; IFERROR(VLOOKUP(MID(T40,U40,V40-U40),[6]skilldef!$A:$B,2,FALSE),"-")</f>
        <v>- / -</v>
      </c>
      <c r="Z40" s="47"/>
      <c r="AA40" s="48"/>
      <c r="AB40" s="177"/>
    </row>
    <row r="41" spans="1:28" ht="21" customHeight="1" thickBot="1" x14ac:dyDescent="0.2">
      <c r="A41" s="209">
        <v>20013139</v>
      </c>
      <c r="B41" s="188" t="s">
        <v>285</v>
      </c>
      <c r="C41" s="179">
        <v>3</v>
      </c>
      <c r="D41" s="189" t="s">
        <v>127</v>
      </c>
      <c r="E41" s="183" t="s">
        <v>322</v>
      </c>
      <c r="F41" s="190" t="s">
        <v>331</v>
      </c>
      <c r="G41" s="182" t="str">
        <f t="shared" si="47"/>
        <v xml:space="preserve">[effect:damage_anti_color, target:unit_all, color:blue, val1:1.5, val2:0.5]    </v>
      </c>
      <c r="H41" s="183">
        <f t="shared" si="48"/>
        <v>9</v>
      </c>
      <c r="I41" s="183">
        <f t="shared" si="49"/>
        <v>26</v>
      </c>
      <c r="J41" s="183">
        <f t="shared" si="50"/>
        <v>35</v>
      </c>
      <c r="K41" s="184">
        <f t="shared" si="51"/>
        <v>43</v>
      </c>
      <c r="L41" s="191" t="str">
        <f>IFERROR(VLOOKUP(MID(G41,J41,K41-J41),[6]skilldef!$C:$D,2,FALSE),"-") &amp; " / " &amp; IFERROR(VLOOKUP(MID(G41,H41,I41-H41),[6]skilldef!$A:$B,2,FALSE),"-")</f>
        <v>味方全体に / 属性キラー</v>
      </c>
      <c r="M41" s="183" t="str">
        <f t="shared" si="52"/>
        <v>none</v>
      </c>
      <c r="N41" s="188" t="str">
        <f t="shared" si="53"/>
        <v>none</v>
      </c>
      <c r="O41" s="183" t="e">
        <f t="shared" si="54"/>
        <v>#VALUE!</v>
      </c>
      <c r="P41" s="183">
        <f t="shared" si="55"/>
        <v>4</v>
      </c>
      <c r="Q41" s="183" t="e">
        <f t="shared" si="56"/>
        <v>#VALUE!</v>
      </c>
      <c r="R41" s="183" t="e">
        <f t="shared" si="57"/>
        <v>#VALUE!</v>
      </c>
      <c r="S41" s="183" t="str">
        <f>IFERROR(VLOOKUP(MID(N41,Q41,R41-Q41),[6]skilldef!$C:$D,2,FALSE),"-") &amp; " / " &amp; IFERROR(VLOOKUP(MID(N41,O41,P41-O41),[6]skilldef!$A:$B,2,FALSE),"-")</f>
        <v>- / -</v>
      </c>
      <c r="T41" s="188" t="str">
        <f t="shared" si="58"/>
        <v>none</v>
      </c>
      <c r="U41" s="183" t="e">
        <f t="shared" si="59"/>
        <v>#VALUE!</v>
      </c>
      <c r="V41" s="183">
        <f t="shared" si="60"/>
        <v>4</v>
      </c>
      <c r="W41" s="183" t="e">
        <f t="shared" si="61"/>
        <v>#VALUE!</v>
      </c>
      <c r="X41" s="183" t="e">
        <f t="shared" si="62"/>
        <v>#VALUE!</v>
      </c>
      <c r="Y41" s="183" t="str">
        <f>IFERROR(VLOOKUP(MID(T41,W41,X41-W41),[6]skilldef!$C:$D,2,FALSE),"-") &amp; " / " &amp; IFERROR(VLOOKUP(MID(T41,U41,V41-U41),[6]skilldef!$A:$B,2,FALSE),"-")</f>
        <v>- / -</v>
      </c>
      <c r="Z41" s="189"/>
      <c r="AA41" s="192"/>
      <c r="AB41" s="193"/>
    </row>
    <row r="42" spans="1:28" ht="21" customHeight="1" thickBot="1" x14ac:dyDescent="0.2">
      <c r="A42" s="216">
        <v>20013140</v>
      </c>
      <c r="B42" s="217" t="s">
        <v>300</v>
      </c>
      <c r="C42" s="179">
        <v>3</v>
      </c>
      <c r="D42" s="218" t="s">
        <v>127</v>
      </c>
      <c r="E42" s="219" t="s">
        <v>304</v>
      </c>
      <c r="F42" s="220" t="s">
        <v>301</v>
      </c>
      <c r="G42" s="169" t="str">
        <f t="shared" ref="G42:G44" si="63">IFERROR(LEFT(B42,FIND("],",B42)),B42)</f>
        <v>[effect:change_block, new_block:block_heart, target:block_red, count:1, val:0, animation:change_block]</v>
      </c>
      <c r="H42" s="59">
        <f t="shared" ref="H42:H44" si="64">FIND("effect:",G42)+7</f>
        <v>9</v>
      </c>
      <c r="I42" s="59">
        <f t="shared" ref="I42:I44" si="65">IFERROR(FIND(",",G42),LEN(G42))</f>
        <v>21</v>
      </c>
      <c r="J42" s="59">
        <f t="shared" ref="J42:J44" si="66">FIND("target:",G42)+7</f>
        <v>53</v>
      </c>
      <c r="K42" s="171">
        <f t="shared" ref="K42:K44" si="67">FIND(",",G42,I42+1)</f>
        <v>44</v>
      </c>
      <c r="L42" s="176" t="str">
        <f>IFERROR(VLOOKUP(MID(G42,J42,K42-J42),[6]skilldef!$C:$D,2,FALSE),"-") &amp; " / " &amp; IFERROR(VLOOKUP(MID(G42,H42,I42-H42),[6]skilldef!$A:$B,2,FALSE),"-")</f>
        <v>- / ブロック変換</v>
      </c>
      <c r="M42" s="59" t="str">
        <f t="shared" ref="M42:M44" si="68">IFERROR(RIGHT(B42,LEN(B42)-FIND("],",B42)-1),"none")</f>
        <v>[effect:change_block, new_block:block_heart, target:block_green, count:1, val:0, animation:change_block],[effect:change_block, new_block:block_heart, target:block_yellow, count:1, val:0, animation:change_block],[effect:change_block, new_block:block_heart, target:block_blue, count:1, val:0, animation:change_block],[effect:rush, count:3, val:0.75]</v>
      </c>
      <c r="N42" s="45" t="str">
        <f t="shared" ref="N42:N43" si="69">IFERROR(LEFT(M42,FIND("],",M42)+S52),M42)</f>
        <v>[effect:change_block, new_block:block_heart, target:block_green, count:1, val:0, animation:change_block]</v>
      </c>
      <c r="O42" s="59">
        <f t="shared" ref="O42:O44" si="70">FIND("effect:",N42)+7</f>
        <v>9</v>
      </c>
      <c r="P42" s="59">
        <f t="shared" ref="P42:P44" si="71">IFERROR(FIND(",",N42),LEN(N42))</f>
        <v>21</v>
      </c>
      <c r="Q42" s="59">
        <f t="shared" ref="Q42:Q44" si="72">FIND("target:",N42)+7</f>
        <v>53</v>
      </c>
      <c r="R42" s="59">
        <f t="shared" ref="R42:R44" si="73">FIND(",",N42,P42+1)</f>
        <v>44</v>
      </c>
      <c r="S42" s="59" t="str">
        <f>IFERROR(VLOOKUP(MID(N42,Q42,R42-Q42),[6]skilldef!$C:$D,2,FALSE),"-") &amp; " / " &amp; IFERROR(VLOOKUP(MID(N42,O42,P42-O42),[6]skilldef!$A:$B,2,FALSE),"-")</f>
        <v>- / ブロック変換</v>
      </c>
      <c r="T42" s="45" t="str">
        <f t="shared" ref="T42:T44" si="74">IFERROR(RIGHT(M42,LEN(M42)-FIND("],",M42)-1),"none")</f>
        <v>[effect:change_block, new_block:block_heart, target:block_yellow, count:1, val:0, animation:change_block],[effect:change_block, new_block:block_heart, target:block_blue, count:1, val:0, animation:change_block],[effect:rush, count:3, val:0.75]</v>
      </c>
      <c r="U42" s="59">
        <f t="shared" ref="U42:U44" si="75">FIND("effect:",T42)+7</f>
        <v>9</v>
      </c>
      <c r="V42" s="59">
        <f t="shared" ref="V42:V44" si="76">IFERROR(FIND(",",T42),LEN(T42))</f>
        <v>21</v>
      </c>
      <c r="W42" s="59">
        <f t="shared" ref="W42:W44" si="77">FIND("target:",T42)+7</f>
        <v>53</v>
      </c>
      <c r="X42" s="59">
        <f t="shared" ref="X42:X44" si="78">FIND(",",T42,V42+1)</f>
        <v>44</v>
      </c>
      <c r="Y42" s="59" t="str">
        <f>IFERROR(VLOOKUP(MID(T42,W42,X42-W42),[6]skilldef!$C:$D,2,FALSE),"-") &amp; " / " &amp; IFERROR(VLOOKUP(MID(T42,U42,V42-U42),[6]skilldef!$A:$B,2,FALSE),"-")</f>
        <v>- / ブロック変換</v>
      </c>
      <c r="Z42" s="47"/>
      <c r="AA42" s="48"/>
      <c r="AB42" s="177"/>
    </row>
    <row r="43" spans="1:28" ht="21" customHeight="1" thickBot="1" x14ac:dyDescent="0.2">
      <c r="A43" s="210">
        <v>20013141</v>
      </c>
      <c r="B43" s="194" t="s">
        <v>295</v>
      </c>
      <c r="C43" s="179">
        <v>3</v>
      </c>
      <c r="D43" s="195" t="s">
        <v>127</v>
      </c>
      <c r="E43" s="196" t="s">
        <v>323</v>
      </c>
      <c r="F43" s="197" t="s">
        <v>237</v>
      </c>
      <c r="G43" s="182" t="str">
        <f t="shared" si="63"/>
        <v xml:space="preserve">[effect:change_block, new_block:jammer, target:block_heart, count:4, val:0, animation:change_block]    </v>
      </c>
      <c r="H43" s="183">
        <f t="shared" si="64"/>
        <v>9</v>
      </c>
      <c r="I43" s="183">
        <f t="shared" si="65"/>
        <v>21</v>
      </c>
      <c r="J43" s="183">
        <f t="shared" si="66"/>
        <v>48</v>
      </c>
      <c r="K43" s="184">
        <f t="shared" si="67"/>
        <v>39</v>
      </c>
      <c r="L43" s="198" t="str">
        <f>IFERROR(VLOOKUP(MID(G43,J43,K43-J43),[6]skilldef!$C:$D,2,FALSE),"-") &amp; " / " &amp; IFERROR(VLOOKUP(MID(G43,H43,I43-H43),[6]skilldef!$A:$B,2,FALSE),"-")</f>
        <v>- / ブロック変換</v>
      </c>
      <c r="M43" s="196" t="str">
        <f t="shared" si="68"/>
        <v>none</v>
      </c>
      <c r="N43" s="194" t="str">
        <f t="shared" si="69"/>
        <v>none</v>
      </c>
      <c r="O43" s="196" t="e">
        <f t="shared" si="70"/>
        <v>#VALUE!</v>
      </c>
      <c r="P43" s="196">
        <f t="shared" si="71"/>
        <v>4</v>
      </c>
      <c r="Q43" s="196" t="e">
        <f t="shared" si="72"/>
        <v>#VALUE!</v>
      </c>
      <c r="R43" s="196" t="e">
        <f t="shared" si="73"/>
        <v>#VALUE!</v>
      </c>
      <c r="S43" s="196" t="str">
        <f>IFERROR(VLOOKUP(MID(N43,Q43,R43-Q43),[6]skilldef!$C:$D,2,FALSE),"-") &amp; " / " &amp; IFERROR(VLOOKUP(MID(N43,O43,P43-O43),[6]skilldef!$A:$B,2,FALSE),"-")</f>
        <v>- / -</v>
      </c>
      <c r="T43" s="194" t="str">
        <f t="shared" si="74"/>
        <v>none</v>
      </c>
      <c r="U43" s="196" t="e">
        <f t="shared" si="75"/>
        <v>#VALUE!</v>
      </c>
      <c r="V43" s="196">
        <f t="shared" si="76"/>
        <v>4</v>
      </c>
      <c r="W43" s="196" t="e">
        <f t="shared" si="77"/>
        <v>#VALUE!</v>
      </c>
      <c r="X43" s="196" t="e">
        <f t="shared" si="78"/>
        <v>#VALUE!</v>
      </c>
      <c r="Y43" s="196" t="str">
        <f>IFERROR(VLOOKUP(MID(T43,W43,X43-W43),[6]skilldef!$C:$D,2,FALSE),"-") &amp; " / " &amp; IFERROR(VLOOKUP(MID(T43,U43,V43-U43),[6]skilldef!$A:$B,2,FALSE),"-")</f>
        <v>- / -</v>
      </c>
      <c r="Z43" s="195"/>
      <c r="AA43" s="199"/>
      <c r="AB43" s="200"/>
    </row>
    <row r="44" spans="1:28" ht="21" customHeight="1" thickBot="1" x14ac:dyDescent="0.2">
      <c r="A44" s="210">
        <v>20013142</v>
      </c>
      <c r="B44" s="217" t="s">
        <v>273</v>
      </c>
      <c r="C44" s="179">
        <v>3</v>
      </c>
      <c r="D44" s="218" t="s">
        <v>127</v>
      </c>
      <c r="E44" s="219" t="s">
        <v>306</v>
      </c>
      <c r="F44" s="220" t="s">
        <v>335</v>
      </c>
      <c r="G44" s="169" t="str">
        <f t="shared" si="63"/>
        <v xml:space="preserve">[effect:change_block, new_block:block_heart, target:block_red, count:5, val:0, no_effect_msg:no_effect_msg_change_block, animation:change_block]    </v>
      </c>
      <c r="H44" s="59">
        <f t="shared" si="64"/>
        <v>9</v>
      </c>
      <c r="I44" s="59">
        <f t="shared" si="65"/>
        <v>21</v>
      </c>
      <c r="J44" s="59">
        <f t="shared" si="66"/>
        <v>53</v>
      </c>
      <c r="K44" s="171">
        <f t="shared" si="67"/>
        <v>44</v>
      </c>
      <c r="L44" s="176" t="str">
        <f>IFERROR(VLOOKUP(MID(G44,J44,K44-J44),[6]skilldef!$C:$D,2,FALSE),"-") &amp; " / " &amp; IFERROR(VLOOKUP(MID(G44,H44,I44-H44),[6]skilldef!$A:$B,2,FALSE),"-")</f>
        <v>- / ブロック変換</v>
      </c>
      <c r="M44" s="59" t="str">
        <f t="shared" si="68"/>
        <v>none</v>
      </c>
      <c r="N44" s="45" t="str">
        <f>IFERROR(LEFT(M44,FIND("],",M44)+S49),M44)</f>
        <v>none</v>
      </c>
      <c r="O44" s="59" t="e">
        <f t="shared" si="70"/>
        <v>#VALUE!</v>
      </c>
      <c r="P44" s="59">
        <f t="shared" si="71"/>
        <v>4</v>
      </c>
      <c r="Q44" s="59" t="e">
        <f t="shared" si="72"/>
        <v>#VALUE!</v>
      </c>
      <c r="R44" s="59" t="e">
        <f t="shared" si="73"/>
        <v>#VALUE!</v>
      </c>
      <c r="S44" s="59" t="str">
        <f>IFERROR(VLOOKUP(MID(N44,Q44,R44-Q44),[6]skilldef!$C:$D,2,FALSE),"-") &amp; " / " &amp; IFERROR(VLOOKUP(MID(N44,O44,P44-O44),[6]skilldef!$A:$B,2,FALSE),"-")</f>
        <v>- / -</v>
      </c>
      <c r="T44" s="45" t="str">
        <f t="shared" si="74"/>
        <v>none</v>
      </c>
      <c r="U44" s="59" t="e">
        <f t="shared" si="75"/>
        <v>#VALUE!</v>
      </c>
      <c r="V44" s="59">
        <f t="shared" si="76"/>
        <v>4</v>
      </c>
      <c r="W44" s="59" t="e">
        <f t="shared" si="77"/>
        <v>#VALUE!</v>
      </c>
      <c r="X44" s="59" t="e">
        <f t="shared" si="78"/>
        <v>#VALUE!</v>
      </c>
      <c r="Y44" s="59" t="str">
        <f>IFERROR(VLOOKUP(MID(T44,W44,X44-W44),[6]skilldef!$C:$D,2,FALSE),"-") &amp; " / " &amp; IFERROR(VLOOKUP(MID(T44,U44,V44-U44),[6]skilldef!$A:$B,2,FALSE),"-")</f>
        <v>- / -</v>
      </c>
      <c r="Z44" s="47"/>
      <c r="AA44" s="48"/>
      <c r="AB44" s="177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23"/>
  <sheetViews>
    <sheetView showGridLines="0" workbookViewId="0">
      <pane ySplit="1" topLeftCell="A2" activePane="bottomLeft" state="frozenSplit"/>
      <selection pane="bottomLeft" activeCell="A32" sqref="A32"/>
    </sheetView>
  </sheetViews>
  <sheetFormatPr baseColWidth="12" defaultColWidth="12.83203125" defaultRowHeight="21" customHeight="1" x14ac:dyDescent="0.15"/>
  <cols>
    <col min="1" max="1" width="16.1640625" style="46" bestFit="1" customWidth="1"/>
    <col min="2" max="2" width="13.33203125" style="46" bestFit="1" customWidth="1"/>
    <col min="3" max="3" width="11.83203125" style="46" bestFit="1" customWidth="1"/>
    <col min="4" max="4" width="14.6640625" style="46" bestFit="1" customWidth="1"/>
    <col min="5" max="5" width="15.6640625" style="46" bestFit="1" customWidth="1"/>
    <col min="6" max="6" width="17" style="46" bestFit="1" customWidth="1"/>
    <col min="7" max="7" width="15.6640625" style="46" bestFit="1" customWidth="1"/>
    <col min="8" max="9" width="14.6640625" style="46" customWidth="1"/>
    <col min="10" max="10" width="14.6640625" style="46" bestFit="1" customWidth="1"/>
    <col min="11" max="11" width="22.83203125" style="36" bestFit="1" customWidth="1"/>
    <col min="12" max="16384" width="12.83203125" style="42"/>
  </cols>
  <sheetData>
    <row r="1" spans="1:11" ht="21" customHeight="1" x14ac:dyDescent="0.15">
      <c r="A1" s="39" t="s">
        <v>84</v>
      </c>
      <c r="B1" s="39" t="s">
        <v>85</v>
      </c>
      <c r="C1" s="39" t="s">
        <v>86</v>
      </c>
      <c r="D1" s="39" t="s">
        <v>87</v>
      </c>
      <c r="E1" s="39" t="s">
        <v>70</v>
      </c>
      <c r="F1" s="49" t="s">
        <v>71</v>
      </c>
      <c r="G1" s="49" t="s">
        <v>72</v>
      </c>
      <c r="H1" s="39" t="s">
        <v>73</v>
      </c>
      <c r="I1" s="39" t="s">
        <v>74</v>
      </c>
      <c r="J1" s="39" t="s">
        <v>75</v>
      </c>
      <c r="K1" s="50" t="s">
        <v>88</v>
      </c>
    </row>
    <row r="2" spans="1:11" ht="21" customHeight="1" x14ac:dyDescent="0.15">
      <c r="A2" s="44">
        <v>20013100</v>
      </c>
      <c r="B2" s="44">
        <v>0</v>
      </c>
      <c r="C2" s="44">
        <v>100</v>
      </c>
      <c r="D2" s="44">
        <v>100</v>
      </c>
      <c r="E2" s="44">
        <v>50</v>
      </c>
      <c r="F2" s="44" t="s">
        <v>89</v>
      </c>
      <c r="G2" s="44">
        <v>1</v>
      </c>
      <c r="H2" s="44" t="s">
        <v>89</v>
      </c>
      <c r="I2" s="44" t="s">
        <v>89</v>
      </c>
      <c r="J2" s="45">
        <f t="shared" ref="J2" si="0">D2</f>
        <v>100</v>
      </c>
    </row>
    <row r="3" spans="1:11" ht="21" customHeight="1" x14ac:dyDescent="0.15">
      <c r="A3" s="44">
        <v>20013101</v>
      </c>
      <c r="B3" s="44">
        <v>0</v>
      </c>
      <c r="C3" s="44">
        <v>100</v>
      </c>
      <c r="D3" s="44">
        <v>100</v>
      </c>
      <c r="E3" s="44" t="s">
        <v>53</v>
      </c>
      <c r="F3" s="44" t="s">
        <v>53</v>
      </c>
      <c r="G3" s="212">
        <v>1</v>
      </c>
      <c r="H3" s="44" t="s">
        <v>53</v>
      </c>
      <c r="I3" s="44" t="s">
        <v>53</v>
      </c>
      <c r="J3" s="45">
        <f t="shared" ref="J3:J21" si="1">D3</f>
        <v>100</v>
      </c>
    </row>
    <row r="4" spans="1:11" ht="21" customHeight="1" x14ac:dyDescent="0.15">
      <c r="A4" s="44">
        <v>20013102</v>
      </c>
      <c r="B4" s="44">
        <v>0</v>
      </c>
      <c r="C4" s="44">
        <v>100</v>
      </c>
      <c r="D4" s="44">
        <v>75</v>
      </c>
      <c r="E4" s="44" t="s">
        <v>53</v>
      </c>
      <c r="F4" s="44" t="s">
        <v>53</v>
      </c>
      <c r="G4" s="212" t="s">
        <v>249</v>
      </c>
      <c r="H4" s="44" t="s">
        <v>53</v>
      </c>
      <c r="I4" s="44" t="s">
        <v>53</v>
      </c>
      <c r="J4" s="45">
        <f t="shared" si="1"/>
        <v>75</v>
      </c>
    </row>
    <row r="5" spans="1:11" ht="21" customHeight="1" x14ac:dyDescent="0.15">
      <c r="A5" s="44">
        <v>20013103</v>
      </c>
      <c r="B5" s="44">
        <v>0</v>
      </c>
      <c r="C5" s="44">
        <v>100</v>
      </c>
      <c r="D5" s="44">
        <v>75</v>
      </c>
      <c r="E5" s="44" t="s">
        <v>53</v>
      </c>
      <c r="F5" s="44" t="s">
        <v>53</v>
      </c>
      <c r="G5" s="212" t="s">
        <v>249</v>
      </c>
      <c r="H5" s="44" t="s">
        <v>53</v>
      </c>
      <c r="I5" s="44" t="s">
        <v>53</v>
      </c>
      <c r="J5" s="45">
        <f t="shared" si="1"/>
        <v>75</v>
      </c>
    </row>
    <row r="6" spans="1:11" ht="21" customHeight="1" x14ac:dyDescent="0.15">
      <c r="A6" s="44">
        <v>20013104</v>
      </c>
      <c r="B6" s="44">
        <v>0</v>
      </c>
      <c r="C6" s="44">
        <v>100</v>
      </c>
      <c r="D6" s="44">
        <v>75</v>
      </c>
      <c r="E6" s="44" t="s">
        <v>53</v>
      </c>
      <c r="F6" s="44" t="s">
        <v>53</v>
      </c>
      <c r="G6" s="212" t="s">
        <v>249</v>
      </c>
      <c r="H6" s="44" t="s">
        <v>53</v>
      </c>
      <c r="I6" s="44" t="s">
        <v>53</v>
      </c>
      <c r="J6" s="45">
        <f t="shared" si="1"/>
        <v>75</v>
      </c>
    </row>
    <row r="7" spans="1:11" ht="21" customHeight="1" x14ac:dyDescent="0.15">
      <c r="A7" s="44">
        <v>20013105</v>
      </c>
      <c r="B7" s="44">
        <v>0</v>
      </c>
      <c r="C7" s="44">
        <v>100</v>
      </c>
      <c r="D7" s="44">
        <v>75</v>
      </c>
      <c r="E7" s="44" t="s">
        <v>53</v>
      </c>
      <c r="F7" s="44" t="s">
        <v>53</v>
      </c>
      <c r="G7" s="212" t="s">
        <v>249</v>
      </c>
      <c r="H7" s="44" t="s">
        <v>53</v>
      </c>
      <c r="I7" s="44" t="s">
        <v>53</v>
      </c>
      <c r="J7" s="45">
        <f t="shared" si="1"/>
        <v>75</v>
      </c>
    </row>
    <row r="8" spans="1:11" ht="21" customHeight="1" x14ac:dyDescent="0.15">
      <c r="A8" s="44">
        <v>20013106</v>
      </c>
      <c r="B8" s="44">
        <v>0</v>
      </c>
      <c r="C8" s="44">
        <v>100</v>
      </c>
      <c r="D8" s="44">
        <v>75</v>
      </c>
      <c r="E8" s="44" t="s">
        <v>53</v>
      </c>
      <c r="F8" s="44" t="s">
        <v>53</v>
      </c>
      <c r="G8" s="212" t="s">
        <v>249</v>
      </c>
      <c r="H8" s="44" t="s">
        <v>53</v>
      </c>
      <c r="I8" s="44" t="s">
        <v>53</v>
      </c>
      <c r="J8" s="45">
        <f t="shared" si="1"/>
        <v>75</v>
      </c>
    </row>
    <row r="9" spans="1:11" ht="21" customHeight="1" x14ac:dyDescent="0.15">
      <c r="A9" s="44">
        <v>20013107</v>
      </c>
      <c r="B9" s="44">
        <v>0</v>
      </c>
      <c r="C9" s="44">
        <v>100</v>
      </c>
      <c r="D9" s="44">
        <v>75</v>
      </c>
      <c r="E9" s="44" t="s">
        <v>53</v>
      </c>
      <c r="F9" s="44" t="s">
        <v>53</v>
      </c>
      <c r="G9" s="212" t="s">
        <v>249</v>
      </c>
      <c r="H9" s="44" t="s">
        <v>53</v>
      </c>
      <c r="I9" s="44" t="s">
        <v>53</v>
      </c>
      <c r="J9" s="45">
        <f t="shared" si="1"/>
        <v>75</v>
      </c>
    </row>
    <row r="10" spans="1:11" ht="21" customHeight="1" x14ac:dyDescent="0.15">
      <c r="A10" s="44">
        <v>20013108</v>
      </c>
      <c r="B10" s="44">
        <v>0</v>
      </c>
      <c r="C10" s="44" t="s">
        <v>53</v>
      </c>
      <c r="D10" s="44">
        <v>100</v>
      </c>
      <c r="E10" s="44">
        <v>45</v>
      </c>
      <c r="F10" s="44" t="s">
        <v>53</v>
      </c>
      <c r="G10" s="212">
        <v>2</v>
      </c>
      <c r="H10" s="44" t="s">
        <v>53</v>
      </c>
      <c r="I10" s="44" t="s">
        <v>53</v>
      </c>
      <c r="J10" s="45">
        <f t="shared" si="1"/>
        <v>100</v>
      </c>
    </row>
    <row r="11" spans="1:11" ht="21" customHeight="1" x14ac:dyDescent="0.15">
      <c r="A11" s="44">
        <v>20013109</v>
      </c>
      <c r="B11" s="44">
        <v>1</v>
      </c>
      <c r="C11" s="44" t="s">
        <v>53</v>
      </c>
      <c r="D11" s="44">
        <v>100</v>
      </c>
      <c r="E11" s="44" t="s">
        <v>53</v>
      </c>
      <c r="F11" s="44">
        <v>95</v>
      </c>
      <c r="G11" s="212" t="s">
        <v>249</v>
      </c>
      <c r="H11" s="44" t="s">
        <v>53</v>
      </c>
      <c r="I11" s="44" t="s">
        <v>53</v>
      </c>
      <c r="J11" s="45">
        <f t="shared" si="1"/>
        <v>100</v>
      </c>
    </row>
    <row r="12" spans="1:11" ht="21" customHeight="1" x14ac:dyDescent="0.15">
      <c r="A12" s="44">
        <v>20013110</v>
      </c>
      <c r="B12" s="44">
        <v>0</v>
      </c>
      <c r="C12" s="44">
        <v>100</v>
      </c>
      <c r="D12" s="44">
        <v>25</v>
      </c>
      <c r="E12" s="44" t="s">
        <v>53</v>
      </c>
      <c r="F12" s="44" t="s">
        <v>53</v>
      </c>
      <c r="G12" s="212">
        <v>1</v>
      </c>
      <c r="H12" s="44">
        <v>2</v>
      </c>
      <c r="I12" s="44" t="s">
        <v>53</v>
      </c>
      <c r="J12" s="45">
        <f t="shared" si="1"/>
        <v>25</v>
      </c>
    </row>
    <row r="13" spans="1:11" ht="21" customHeight="1" x14ac:dyDescent="0.15">
      <c r="A13" s="44">
        <v>20013111</v>
      </c>
      <c r="B13" s="44">
        <v>0</v>
      </c>
      <c r="C13" s="44">
        <v>90</v>
      </c>
      <c r="D13" s="44">
        <v>33</v>
      </c>
      <c r="E13" s="44" t="s">
        <v>53</v>
      </c>
      <c r="F13" s="44" t="s">
        <v>53</v>
      </c>
      <c r="G13" s="212">
        <v>1</v>
      </c>
      <c r="H13" s="44">
        <v>2</v>
      </c>
      <c r="I13" s="44" t="s">
        <v>53</v>
      </c>
      <c r="J13" s="45">
        <f t="shared" si="1"/>
        <v>33</v>
      </c>
    </row>
    <row r="14" spans="1:11" ht="21" customHeight="1" x14ac:dyDescent="0.15">
      <c r="A14" s="44">
        <v>20013112</v>
      </c>
      <c r="B14" s="44">
        <v>0</v>
      </c>
      <c r="C14" s="44">
        <v>80</v>
      </c>
      <c r="D14" s="44">
        <v>50</v>
      </c>
      <c r="E14" s="44" t="s">
        <v>53</v>
      </c>
      <c r="F14" s="44" t="s">
        <v>53</v>
      </c>
      <c r="G14" s="212">
        <v>1</v>
      </c>
      <c r="H14" s="44">
        <v>2</v>
      </c>
      <c r="I14" s="44" t="s">
        <v>53</v>
      </c>
      <c r="J14" s="45">
        <f t="shared" si="1"/>
        <v>50</v>
      </c>
    </row>
    <row r="15" spans="1:11" ht="21" customHeight="1" x14ac:dyDescent="0.15">
      <c r="A15" s="44">
        <v>20013113</v>
      </c>
      <c r="B15" s="44">
        <v>0</v>
      </c>
      <c r="C15" s="44">
        <v>70</v>
      </c>
      <c r="D15" s="44">
        <v>100</v>
      </c>
      <c r="E15" s="44" t="s">
        <v>53</v>
      </c>
      <c r="F15" s="44" t="s">
        <v>53</v>
      </c>
      <c r="G15" s="212">
        <v>1</v>
      </c>
      <c r="H15" s="44">
        <v>2</v>
      </c>
      <c r="I15" s="44" t="s">
        <v>53</v>
      </c>
      <c r="J15" s="45">
        <f t="shared" si="1"/>
        <v>100</v>
      </c>
    </row>
    <row r="16" spans="1:11" ht="21" customHeight="1" x14ac:dyDescent="0.15">
      <c r="A16" s="44">
        <v>20013114</v>
      </c>
      <c r="B16" s="44">
        <v>0</v>
      </c>
      <c r="C16" s="44" t="s">
        <v>53</v>
      </c>
      <c r="D16" s="44">
        <v>100</v>
      </c>
      <c r="E16" s="44" t="s">
        <v>53</v>
      </c>
      <c r="F16" s="44" t="s">
        <v>53</v>
      </c>
      <c r="G16" s="212">
        <v>1</v>
      </c>
      <c r="H16" s="44">
        <v>3</v>
      </c>
      <c r="I16" s="44" t="s">
        <v>53</v>
      </c>
      <c r="J16" s="45">
        <f t="shared" si="1"/>
        <v>100</v>
      </c>
    </row>
    <row r="17" spans="1:10" ht="21" customHeight="1" x14ac:dyDescent="0.15">
      <c r="A17" s="44">
        <v>20013115</v>
      </c>
      <c r="B17" s="44">
        <v>0</v>
      </c>
      <c r="C17" s="44" t="s">
        <v>53</v>
      </c>
      <c r="D17" s="44">
        <v>100</v>
      </c>
      <c r="E17" s="44" t="s">
        <v>53</v>
      </c>
      <c r="F17" s="44" t="s">
        <v>53</v>
      </c>
      <c r="G17" s="212" t="s">
        <v>249</v>
      </c>
      <c r="H17" s="44">
        <v>5</v>
      </c>
      <c r="I17" s="44" t="s">
        <v>53</v>
      </c>
      <c r="J17" s="45">
        <f t="shared" si="1"/>
        <v>100</v>
      </c>
    </row>
    <row r="18" spans="1:10" ht="21" customHeight="1" x14ac:dyDescent="0.15">
      <c r="A18" s="44">
        <v>20013116</v>
      </c>
      <c r="B18" s="44">
        <v>1</v>
      </c>
      <c r="C18" s="44">
        <v>100</v>
      </c>
      <c r="D18" s="44">
        <v>10</v>
      </c>
      <c r="E18" s="44" t="s">
        <v>53</v>
      </c>
      <c r="F18" s="44" t="s">
        <v>53</v>
      </c>
      <c r="G18" s="212">
        <v>1</v>
      </c>
      <c r="H18" s="44" t="s">
        <v>53</v>
      </c>
      <c r="I18" s="44" t="s">
        <v>53</v>
      </c>
      <c r="J18" s="45">
        <f t="shared" si="1"/>
        <v>10</v>
      </c>
    </row>
    <row r="19" spans="1:10" ht="21" customHeight="1" x14ac:dyDescent="0.15">
      <c r="A19" s="44">
        <v>20013117</v>
      </c>
      <c r="B19" s="44">
        <v>0</v>
      </c>
      <c r="C19" s="44">
        <v>80</v>
      </c>
      <c r="D19" s="44">
        <v>60</v>
      </c>
      <c r="E19" s="44">
        <v>66</v>
      </c>
      <c r="F19" s="44" t="s">
        <v>53</v>
      </c>
      <c r="G19" s="212">
        <v>2</v>
      </c>
      <c r="H19" s="44" t="s">
        <v>53</v>
      </c>
      <c r="I19" s="44" t="s">
        <v>53</v>
      </c>
      <c r="J19" s="45">
        <f t="shared" si="1"/>
        <v>60</v>
      </c>
    </row>
    <row r="20" spans="1:10" ht="21" customHeight="1" x14ac:dyDescent="0.15">
      <c r="A20" s="44">
        <v>20013118</v>
      </c>
      <c r="B20" s="44">
        <v>0</v>
      </c>
      <c r="C20" s="44">
        <v>90</v>
      </c>
      <c r="D20" s="44">
        <v>55</v>
      </c>
      <c r="E20" s="44" t="s">
        <v>53</v>
      </c>
      <c r="F20" s="44" t="s">
        <v>53</v>
      </c>
      <c r="G20" s="212" t="s">
        <v>249</v>
      </c>
      <c r="H20" s="44" t="s">
        <v>53</v>
      </c>
      <c r="I20" s="44" t="s">
        <v>53</v>
      </c>
      <c r="J20" s="45">
        <f t="shared" si="1"/>
        <v>55</v>
      </c>
    </row>
    <row r="21" spans="1:10" ht="21" customHeight="1" x14ac:dyDescent="0.15">
      <c r="A21" s="44">
        <v>20013119</v>
      </c>
      <c r="B21" s="44">
        <v>0</v>
      </c>
      <c r="C21" s="44">
        <v>70</v>
      </c>
      <c r="D21" s="44">
        <v>100</v>
      </c>
      <c r="E21" s="44">
        <v>50</v>
      </c>
      <c r="F21" s="44" t="s">
        <v>53</v>
      </c>
      <c r="G21" s="212" t="s">
        <v>249</v>
      </c>
      <c r="H21" s="44" t="s">
        <v>53</v>
      </c>
      <c r="I21" s="44" t="s">
        <v>53</v>
      </c>
      <c r="J21" s="45">
        <f t="shared" si="1"/>
        <v>100</v>
      </c>
    </row>
    <row r="22" spans="1:10" ht="21" customHeight="1" x14ac:dyDescent="0.15">
      <c r="A22" s="44">
        <v>20013120</v>
      </c>
      <c r="B22" s="44">
        <v>0</v>
      </c>
      <c r="C22" s="44">
        <v>100</v>
      </c>
      <c r="D22" s="44">
        <v>100</v>
      </c>
      <c r="E22" s="44" t="s">
        <v>53</v>
      </c>
      <c r="F22" s="44" t="s">
        <v>53</v>
      </c>
      <c r="G22" s="44">
        <v>1</v>
      </c>
      <c r="H22" s="44" t="s">
        <v>53</v>
      </c>
      <c r="I22" s="44">
        <v>403</v>
      </c>
      <c r="J22" s="45">
        <f t="shared" ref="J22" si="2">D22</f>
        <v>100</v>
      </c>
    </row>
    <row r="23" spans="1:10" ht="21" customHeight="1" x14ac:dyDescent="0.15">
      <c r="A23" s="44">
        <v>20013121</v>
      </c>
      <c r="B23" s="44">
        <v>1</v>
      </c>
      <c r="C23" s="44">
        <v>50</v>
      </c>
      <c r="D23" s="44">
        <v>100</v>
      </c>
      <c r="E23" s="44" t="s">
        <v>53</v>
      </c>
      <c r="F23" s="44">
        <v>33</v>
      </c>
      <c r="G23" s="44">
        <v>1</v>
      </c>
      <c r="H23" s="44" t="s">
        <v>53</v>
      </c>
      <c r="I23" s="44" t="s">
        <v>53</v>
      </c>
      <c r="J23" s="45">
        <f t="shared" ref="J23" si="3">D23</f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32"/>
  <sheetViews>
    <sheetView tabSelected="1" workbookViewId="0">
      <selection activeCell="O26" sqref="O26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224" t="s">
        <v>150</v>
      </c>
      <c r="B1" s="224" t="s">
        <v>151</v>
      </c>
      <c r="C1" s="61" t="s">
        <v>152</v>
      </c>
      <c r="D1" s="225" t="s">
        <v>153</v>
      </c>
      <c r="E1" s="226" t="s">
        <v>154</v>
      </c>
      <c r="F1" s="224" t="s">
        <v>155</v>
      </c>
      <c r="G1" s="224" t="s">
        <v>156</v>
      </c>
      <c r="H1" s="224" t="s">
        <v>157</v>
      </c>
      <c r="I1" s="224" t="s">
        <v>158</v>
      </c>
      <c r="J1" s="224" t="s">
        <v>159</v>
      </c>
      <c r="K1" s="224" t="s">
        <v>160</v>
      </c>
      <c r="L1" s="224" t="s">
        <v>161</v>
      </c>
      <c r="M1" s="224" t="s">
        <v>162</v>
      </c>
      <c r="N1" s="224" t="s">
        <v>163</v>
      </c>
      <c r="O1" s="224" t="s">
        <v>164</v>
      </c>
      <c r="P1" s="224" t="s">
        <v>165</v>
      </c>
      <c r="Q1" s="224" t="s">
        <v>166</v>
      </c>
      <c r="R1" s="224" t="s">
        <v>167</v>
      </c>
    </row>
    <row r="2" spans="1:18" x14ac:dyDescent="0.15">
      <c r="A2" s="230">
        <v>20013</v>
      </c>
      <c r="B2" s="231">
        <v>1</v>
      </c>
      <c r="C2" s="232" t="str">
        <f>A2&amp; "_"&amp;B2</f>
        <v>20013_1</v>
      </c>
      <c r="D2" s="23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31">
        <v>1</v>
      </c>
      <c r="F2" s="234" t="s">
        <v>168</v>
      </c>
      <c r="G2" s="243">
        <v>1800</v>
      </c>
      <c r="H2" s="234" t="s">
        <v>339</v>
      </c>
      <c r="I2" s="234">
        <v>1</v>
      </c>
      <c r="J2" s="234">
        <v>1</v>
      </c>
      <c r="K2" s="234">
        <v>0</v>
      </c>
      <c r="L2" s="234">
        <v>0</v>
      </c>
      <c r="M2" s="234">
        <v>0</v>
      </c>
      <c r="N2" s="234">
        <v>0</v>
      </c>
      <c r="O2" s="234">
        <v>1</v>
      </c>
      <c r="P2" s="243">
        <v>200</v>
      </c>
      <c r="Q2" s="234" t="s">
        <v>169</v>
      </c>
      <c r="R2" s="235" t="s">
        <v>170</v>
      </c>
    </row>
    <row r="3" spans="1:18" x14ac:dyDescent="0.15">
      <c r="A3" s="236">
        <v>20013</v>
      </c>
      <c r="B3" s="53">
        <v>1</v>
      </c>
      <c r="C3" s="66" t="str">
        <f t="shared" ref="C3:C32" si="0">A3&amp; "_"&amp;B3</f>
        <v>20013_1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3">
        <v>2</v>
      </c>
      <c r="F3" s="223" t="s">
        <v>341</v>
      </c>
      <c r="G3" s="76">
        <v>20</v>
      </c>
      <c r="H3" s="223" t="s">
        <v>339</v>
      </c>
      <c r="I3" s="223">
        <v>1</v>
      </c>
      <c r="J3" s="223">
        <v>1</v>
      </c>
      <c r="K3" s="223">
        <v>0</v>
      </c>
      <c r="L3" s="223">
        <v>0</v>
      </c>
      <c r="M3" s="223">
        <v>0</v>
      </c>
      <c r="N3" s="223">
        <v>0</v>
      </c>
      <c r="O3" s="223">
        <v>1</v>
      </c>
      <c r="P3" s="76">
        <v>200</v>
      </c>
      <c r="Q3" s="223" t="s">
        <v>169</v>
      </c>
      <c r="R3" s="237" t="s">
        <v>170</v>
      </c>
    </row>
    <row r="4" spans="1:18" x14ac:dyDescent="0.15">
      <c r="A4" s="236">
        <v>20013</v>
      </c>
      <c r="B4" s="53">
        <v>1</v>
      </c>
      <c r="C4" s="66" t="str">
        <f t="shared" si="0"/>
        <v>20013_1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3">
        <v>3</v>
      </c>
      <c r="F4" s="223" t="s">
        <v>340</v>
      </c>
      <c r="G4" s="76">
        <v>336</v>
      </c>
      <c r="H4" s="223">
        <v>1</v>
      </c>
      <c r="I4" s="223">
        <v>1</v>
      </c>
      <c r="J4" s="223">
        <v>1</v>
      </c>
      <c r="K4" s="223">
        <v>0</v>
      </c>
      <c r="L4" s="223">
        <v>0</v>
      </c>
      <c r="M4" s="223">
        <v>0</v>
      </c>
      <c r="N4" s="223">
        <v>0</v>
      </c>
      <c r="O4" s="223">
        <v>1</v>
      </c>
      <c r="P4" s="76">
        <v>98</v>
      </c>
      <c r="Q4" s="223" t="s">
        <v>169</v>
      </c>
      <c r="R4" s="237" t="s">
        <v>170</v>
      </c>
    </row>
    <row r="5" spans="1:18" x14ac:dyDescent="0.15">
      <c r="A5" s="236">
        <v>20013</v>
      </c>
      <c r="B5" s="53">
        <v>1</v>
      </c>
      <c r="C5" s="66" t="str">
        <f t="shared" si="0"/>
        <v>20013_1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3">
        <v>4</v>
      </c>
      <c r="F5" s="223" t="s">
        <v>340</v>
      </c>
      <c r="G5" s="76">
        <v>337</v>
      </c>
      <c r="H5" s="223">
        <v>1</v>
      </c>
      <c r="I5" s="223">
        <v>1</v>
      </c>
      <c r="J5" s="223">
        <v>1</v>
      </c>
      <c r="K5" s="223">
        <v>0</v>
      </c>
      <c r="L5" s="223">
        <v>0</v>
      </c>
      <c r="M5" s="223">
        <v>0</v>
      </c>
      <c r="N5" s="223">
        <v>0</v>
      </c>
      <c r="O5" s="223">
        <v>1</v>
      </c>
      <c r="P5" s="76">
        <v>42</v>
      </c>
      <c r="Q5" s="223" t="s">
        <v>169</v>
      </c>
      <c r="R5" s="237" t="s">
        <v>170</v>
      </c>
    </row>
    <row r="6" spans="1:18" x14ac:dyDescent="0.15">
      <c r="A6" s="236">
        <v>20013</v>
      </c>
      <c r="B6" s="53">
        <v>1</v>
      </c>
      <c r="C6" s="66" t="str">
        <f t="shared" si="0"/>
        <v>20013_1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3">
        <v>5</v>
      </c>
      <c r="F6" s="223" t="s">
        <v>340</v>
      </c>
      <c r="G6" s="76">
        <v>121</v>
      </c>
      <c r="H6" s="223">
        <v>1</v>
      </c>
      <c r="I6" s="223">
        <v>1</v>
      </c>
      <c r="J6" s="223">
        <v>1</v>
      </c>
      <c r="K6" s="223">
        <v>0</v>
      </c>
      <c r="L6" s="223">
        <v>0</v>
      </c>
      <c r="M6" s="223">
        <v>0</v>
      </c>
      <c r="N6" s="223">
        <v>0</v>
      </c>
      <c r="O6" s="223">
        <v>1</v>
      </c>
      <c r="P6" s="76">
        <v>50</v>
      </c>
      <c r="Q6" s="223" t="s">
        <v>169</v>
      </c>
      <c r="R6" s="237" t="s">
        <v>170</v>
      </c>
    </row>
    <row r="7" spans="1:18" x14ac:dyDescent="0.15">
      <c r="A7" s="236">
        <v>20013</v>
      </c>
      <c r="B7" s="53">
        <v>1</v>
      </c>
      <c r="C7" s="66" t="str">
        <f t="shared" si="0"/>
        <v>20013_1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3">
        <v>6</v>
      </c>
      <c r="F7" s="223" t="s">
        <v>340</v>
      </c>
      <c r="G7" s="76">
        <v>122</v>
      </c>
      <c r="H7" s="223">
        <v>1</v>
      </c>
      <c r="I7" s="223">
        <v>1</v>
      </c>
      <c r="J7" s="223">
        <v>1</v>
      </c>
      <c r="K7" s="223">
        <v>0</v>
      </c>
      <c r="L7" s="223">
        <v>0</v>
      </c>
      <c r="M7" s="223">
        <v>0</v>
      </c>
      <c r="N7" s="223">
        <v>0</v>
      </c>
      <c r="O7" s="223">
        <v>1</v>
      </c>
      <c r="P7" s="76">
        <v>50</v>
      </c>
      <c r="Q7" s="223" t="s">
        <v>169</v>
      </c>
      <c r="R7" s="237" t="s">
        <v>170</v>
      </c>
    </row>
    <row r="8" spans="1:18" x14ac:dyDescent="0.15">
      <c r="A8" s="236">
        <v>20013</v>
      </c>
      <c r="B8" s="53">
        <v>1</v>
      </c>
      <c r="C8" s="66" t="str">
        <f t="shared" si="0"/>
        <v>20013_1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3">
        <v>7</v>
      </c>
      <c r="F8" s="223" t="s">
        <v>340</v>
      </c>
      <c r="G8" s="76">
        <v>123</v>
      </c>
      <c r="H8" s="223">
        <v>1</v>
      </c>
      <c r="I8" s="223">
        <v>1</v>
      </c>
      <c r="J8" s="223">
        <v>1</v>
      </c>
      <c r="K8" s="223">
        <v>0</v>
      </c>
      <c r="L8" s="223">
        <v>0</v>
      </c>
      <c r="M8" s="223">
        <v>0</v>
      </c>
      <c r="N8" s="223">
        <v>0</v>
      </c>
      <c r="O8" s="223">
        <v>1</v>
      </c>
      <c r="P8" s="76">
        <v>50</v>
      </c>
      <c r="Q8" s="223" t="s">
        <v>169</v>
      </c>
      <c r="R8" s="237" t="s">
        <v>170</v>
      </c>
    </row>
    <row r="9" spans="1:18" x14ac:dyDescent="0.15">
      <c r="A9" s="236">
        <v>20013</v>
      </c>
      <c r="B9" s="53">
        <v>1</v>
      </c>
      <c r="C9" s="66" t="str">
        <f t="shared" si="0"/>
        <v>20013_1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3">
        <v>8</v>
      </c>
      <c r="F9" s="223" t="s">
        <v>340</v>
      </c>
      <c r="G9" s="76">
        <v>125</v>
      </c>
      <c r="H9" s="223">
        <v>1</v>
      </c>
      <c r="I9" s="223">
        <v>1</v>
      </c>
      <c r="J9" s="223">
        <v>1</v>
      </c>
      <c r="K9" s="223">
        <v>0</v>
      </c>
      <c r="L9" s="223">
        <v>0</v>
      </c>
      <c r="M9" s="223">
        <v>0</v>
      </c>
      <c r="N9" s="223">
        <v>0</v>
      </c>
      <c r="O9" s="223">
        <v>1</v>
      </c>
      <c r="P9" s="76">
        <v>10</v>
      </c>
      <c r="Q9" s="223" t="s">
        <v>169</v>
      </c>
      <c r="R9" s="237" t="s">
        <v>170</v>
      </c>
    </row>
    <row r="10" spans="1:18" x14ac:dyDescent="0.15">
      <c r="A10" s="236">
        <v>20013</v>
      </c>
      <c r="B10" s="53">
        <v>1</v>
      </c>
      <c r="C10" s="66" t="str">
        <f t="shared" si="0"/>
        <v>20013_1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3">
        <v>9</v>
      </c>
      <c r="F10" s="223" t="s">
        <v>340</v>
      </c>
      <c r="G10" s="76">
        <v>720</v>
      </c>
      <c r="H10" s="223">
        <v>1</v>
      </c>
      <c r="I10" s="223">
        <v>1</v>
      </c>
      <c r="J10" s="223">
        <v>1</v>
      </c>
      <c r="K10" s="223">
        <v>0</v>
      </c>
      <c r="L10" s="223">
        <v>0</v>
      </c>
      <c r="M10" s="223">
        <v>0</v>
      </c>
      <c r="N10" s="223">
        <v>0</v>
      </c>
      <c r="O10" s="223">
        <v>1</v>
      </c>
      <c r="P10" s="76">
        <v>200</v>
      </c>
      <c r="Q10" s="223" t="s">
        <v>169</v>
      </c>
      <c r="R10" s="237" t="s">
        <v>170</v>
      </c>
    </row>
    <row r="11" spans="1:18" ht="16" thickBot="1" x14ac:dyDescent="0.2">
      <c r="A11" s="238">
        <v>20013</v>
      </c>
      <c r="B11" s="239">
        <v>1</v>
      </c>
      <c r="C11" s="240" t="str">
        <f t="shared" si="0"/>
        <v>20013_1</v>
      </c>
      <c r="D11" s="129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39">
        <v>10</v>
      </c>
      <c r="F11" s="241" t="s">
        <v>340</v>
      </c>
      <c r="G11" s="244">
        <v>350</v>
      </c>
      <c r="H11" s="241">
        <v>1</v>
      </c>
      <c r="I11" s="241">
        <v>1</v>
      </c>
      <c r="J11" s="241">
        <v>1</v>
      </c>
      <c r="K11" s="241">
        <v>0</v>
      </c>
      <c r="L11" s="241">
        <v>0</v>
      </c>
      <c r="M11" s="241">
        <v>0</v>
      </c>
      <c r="N11" s="241">
        <v>0</v>
      </c>
      <c r="O11" s="241">
        <v>1</v>
      </c>
      <c r="P11" s="244">
        <v>100</v>
      </c>
      <c r="Q11" s="241" t="s">
        <v>169</v>
      </c>
      <c r="R11" s="242" t="s">
        <v>170</v>
      </c>
    </row>
    <row r="12" spans="1:18" x14ac:dyDescent="0.15">
      <c r="A12" s="230">
        <v>20013</v>
      </c>
      <c r="B12" s="231">
        <v>2</v>
      </c>
      <c r="C12" s="232" t="str">
        <f t="shared" si="0"/>
        <v>20013_2</v>
      </c>
      <c r="D12" s="23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31">
        <v>11</v>
      </c>
      <c r="F12" s="234" t="s">
        <v>168</v>
      </c>
      <c r="G12" s="243">
        <v>3300</v>
      </c>
      <c r="H12" s="234" t="s">
        <v>339</v>
      </c>
      <c r="I12" s="234">
        <v>1</v>
      </c>
      <c r="J12" s="234">
        <v>1</v>
      </c>
      <c r="K12" s="234">
        <v>0</v>
      </c>
      <c r="L12" s="234">
        <v>0</v>
      </c>
      <c r="M12" s="234">
        <v>0</v>
      </c>
      <c r="N12" s="234">
        <v>0</v>
      </c>
      <c r="O12" s="234">
        <v>1</v>
      </c>
      <c r="P12" s="243">
        <v>200</v>
      </c>
      <c r="Q12" s="234" t="s">
        <v>169</v>
      </c>
      <c r="R12" s="235" t="s">
        <v>170</v>
      </c>
    </row>
    <row r="13" spans="1:18" x14ac:dyDescent="0.15">
      <c r="A13" s="236">
        <v>20013</v>
      </c>
      <c r="B13" s="53">
        <v>2</v>
      </c>
      <c r="C13" s="66" t="str">
        <f t="shared" si="0"/>
        <v>20013_2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3">
        <v>12</v>
      </c>
      <c r="F13" s="223" t="s">
        <v>341</v>
      </c>
      <c r="G13" s="76">
        <v>20</v>
      </c>
      <c r="H13" s="223" t="s">
        <v>339</v>
      </c>
      <c r="I13" s="223">
        <v>1</v>
      </c>
      <c r="J13" s="223">
        <v>1</v>
      </c>
      <c r="K13" s="223">
        <v>0</v>
      </c>
      <c r="L13" s="223">
        <v>0</v>
      </c>
      <c r="M13" s="223">
        <v>0</v>
      </c>
      <c r="N13" s="223">
        <v>0</v>
      </c>
      <c r="O13" s="223">
        <v>1</v>
      </c>
      <c r="P13" s="76">
        <v>150</v>
      </c>
      <c r="Q13" s="223" t="s">
        <v>169</v>
      </c>
      <c r="R13" s="237" t="s">
        <v>170</v>
      </c>
    </row>
    <row r="14" spans="1:18" x14ac:dyDescent="0.15">
      <c r="A14" s="236">
        <v>20013</v>
      </c>
      <c r="B14" s="53">
        <v>2</v>
      </c>
      <c r="C14" s="66" t="str">
        <f t="shared" si="0"/>
        <v>20013_2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3">
        <v>13</v>
      </c>
      <c r="F14" s="223" t="s">
        <v>340</v>
      </c>
      <c r="G14" s="76">
        <v>336</v>
      </c>
      <c r="H14" s="223">
        <v>1</v>
      </c>
      <c r="I14" s="223">
        <v>1</v>
      </c>
      <c r="J14" s="223">
        <v>1</v>
      </c>
      <c r="K14" s="223">
        <v>0</v>
      </c>
      <c r="L14" s="223">
        <v>0</v>
      </c>
      <c r="M14" s="223">
        <v>0</v>
      </c>
      <c r="N14" s="223">
        <v>0</v>
      </c>
      <c r="O14" s="223">
        <v>1</v>
      </c>
      <c r="P14" s="76">
        <v>70</v>
      </c>
      <c r="Q14" s="223" t="s">
        <v>169</v>
      </c>
      <c r="R14" s="237" t="s">
        <v>170</v>
      </c>
    </row>
    <row r="15" spans="1:18" x14ac:dyDescent="0.15">
      <c r="A15" s="236">
        <v>20013</v>
      </c>
      <c r="B15" s="53">
        <v>2</v>
      </c>
      <c r="C15" s="66" t="str">
        <f t="shared" si="0"/>
        <v>20013_2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3">
        <v>14</v>
      </c>
      <c r="F15" s="223" t="s">
        <v>340</v>
      </c>
      <c r="G15" s="76">
        <v>337</v>
      </c>
      <c r="H15" s="223">
        <v>1</v>
      </c>
      <c r="I15" s="223">
        <v>1</v>
      </c>
      <c r="J15" s="223">
        <v>1</v>
      </c>
      <c r="K15" s="223">
        <v>0</v>
      </c>
      <c r="L15" s="223">
        <v>0</v>
      </c>
      <c r="M15" s="223">
        <v>0</v>
      </c>
      <c r="N15" s="223">
        <v>0</v>
      </c>
      <c r="O15" s="223">
        <v>1</v>
      </c>
      <c r="P15" s="76">
        <v>70</v>
      </c>
      <c r="Q15" s="223" t="s">
        <v>169</v>
      </c>
      <c r="R15" s="237" t="s">
        <v>170</v>
      </c>
    </row>
    <row r="16" spans="1:18" x14ac:dyDescent="0.15">
      <c r="A16" s="236">
        <v>20013</v>
      </c>
      <c r="B16" s="53">
        <v>2</v>
      </c>
      <c r="C16" s="66" t="str">
        <f t="shared" si="0"/>
        <v>20013_2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3">
        <v>15</v>
      </c>
      <c r="F16" s="223" t="s">
        <v>340</v>
      </c>
      <c r="G16" s="76">
        <v>121</v>
      </c>
      <c r="H16" s="223">
        <v>1</v>
      </c>
      <c r="I16" s="223">
        <v>1</v>
      </c>
      <c r="J16" s="223">
        <v>1</v>
      </c>
      <c r="K16" s="223">
        <v>0</v>
      </c>
      <c r="L16" s="223">
        <v>0</v>
      </c>
      <c r="M16" s="223">
        <v>0</v>
      </c>
      <c r="N16" s="223">
        <v>0</v>
      </c>
      <c r="O16" s="223">
        <v>1</v>
      </c>
      <c r="P16" s="76">
        <v>50</v>
      </c>
      <c r="Q16" s="223" t="s">
        <v>169</v>
      </c>
      <c r="R16" s="237" t="s">
        <v>170</v>
      </c>
    </row>
    <row r="17" spans="1:18" x14ac:dyDescent="0.15">
      <c r="A17" s="236">
        <v>20013</v>
      </c>
      <c r="B17" s="53">
        <v>2</v>
      </c>
      <c r="C17" s="66" t="str">
        <f t="shared" si="0"/>
        <v>20013_2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3">
        <v>16</v>
      </c>
      <c r="F17" s="223" t="s">
        <v>340</v>
      </c>
      <c r="G17" s="76">
        <v>122</v>
      </c>
      <c r="H17" s="223">
        <v>1</v>
      </c>
      <c r="I17" s="223">
        <v>1</v>
      </c>
      <c r="J17" s="223">
        <v>1</v>
      </c>
      <c r="K17" s="223">
        <v>0</v>
      </c>
      <c r="L17" s="223">
        <v>0</v>
      </c>
      <c r="M17" s="223">
        <v>0</v>
      </c>
      <c r="N17" s="223">
        <v>0</v>
      </c>
      <c r="O17" s="223">
        <v>1</v>
      </c>
      <c r="P17" s="76">
        <v>50</v>
      </c>
      <c r="Q17" s="223" t="s">
        <v>169</v>
      </c>
      <c r="R17" s="237" t="s">
        <v>170</v>
      </c>
    </row>
    <row r="18" spans="1:18" x14ac:dyDescent="0.15">
      <c r="A18" s="236">
        <v>20013</v>
      </c>
      <c r="B18" s="53">
        <v>2</v>
      </c>
      <c r="C18" s="66" t="str">
        <f t="shared" si="0"/>
        <v>20013_2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53">
        <v>17</v>
      </c>
      <c r="F18" s="223" t="s">
        <v>340</v>
      </c>
      <c r="G18" s="76">
        <v>123</v>
      </c>
      <c r="H18" s="223">
        <v>1</v>
      </c>
      <c r="I18" s="223">
        <v>1</v>
      </c>
      <c r="J18" s="223">
        <v>1</v>
      </c>
      <c r="K18" s="223">
        <v>0</v>
      </c>
      <c r="L18" s="223">
        <v>0</v>
      </c>
      <c r="M18" s="223">
        <v>0</v>
      </c>
      <c r="N18" s="223">
        <v>0</v>
      </c>
      <c r="O18" s="223">
        <v>1</v>
      </c>
      <c r="P18" s="76">
        <v>50</v>
      </c>
      <c r="Q18" s="223" t="s">
        <v>169</v>
      </c>
      <c r="R18" s="237" t="s">
        <v>170</v>
      </c>
    </row>
    <row r="19" spans="1:18" x14ac:dyDescent="0.15">
      <c r="A19" s="236">
        <v>20013</v>
      </c>
      <c r="B19" s="53">
        <v>2</v>
      </c>
      <c r="C19" s="66" t="str">
        <f t="shared" si="0"/>
        <v>20013_2</v>
      </c>
      <c r="D19" s="18" t="str">
        <f ca="1">VLOOKUP($C19,OFFSET([2]stages!$A$1,0,0,COUNTA([2]stages!$A:$A),MATCH(D$1,[2]stages!$2:$2,0)-MATCH($C$1,[2]stages!$2:$2,0)+1),MATCH(D$1,[2]stages!$2:$2,0)-MATCH($C$1,[2]stages!$2:$2,0)+1,FALSE)</f>
        <v>everyone</v>
      </c>
      <c r="E19" s="53">
        <v>18</v>
      </c>
      <c r="F19" s="223" t="s">
        <v>340</v>
      </c>
      <c r="G19" s="76">
        <v>125</v>
      </c>
      <c r="H19" s="223">
        <v>1</v>
      </c>
      <c r="I19" s="223">
        <v>1</v>
      </c>
      <c r="J19" s="223">
        <v>1</v>
      </c>
      <c r="K19" s="223">
        <v>0</v>
      </c>
      <c r="L19" s="223">
        <v>0</v>
      </c>
      <c r="M19" s="223">
        <v>0</v>
      </c>
      <c r="N19" s="223">
        <v>0</v>
      </c>
      <c r="O19" s="223">
        <v>1</v>
      </c>
      <c r="P19" s="76">
        <v>10</v>
      </c>
      <c r="Q19" s="223" t="s">
        <v>169</v>
      </c>
      <c r="R19" s="237" t="s">
        <v>170</v>
      </c>
    </row>
    <row r="20" spans="1:18" x14ac:dyDescent="0.15">
      <c r="A20" s="236">
        <v>20013</v>
      </c>
      <c r="B20" s="53">
        <v>2</v>
      </c>
      <c r="C20" s="66" t="str">
        <f t="shared" si="0"/>
        <v>20013_2</v>
      </c>
      <c r="D20" s="18" t="str">
        <f ca="1">VLOOKUP($C20,OFFSET([2]stages!$A$1,0,0,COUNTA([2]stages!$A:$A),MATCH(D$1,[2]stages!$2:$2,0)-MATCH($C$1,[2]stages!$2:$2,0)+1),MATCH(D$1,[2]stages!$2:$2,0)-MATCH($C$1,[2]stages!$2:$2,0)+1,FALSE)</f>
        <v>everyone</v>
      </c>
      <c r="E20" s="53">
        <v>19</v>
      </c>
      <c r="F20" s="223" t="s">
        <v>340</v>
      </c>
      <c r="G20" s="76">
        <v>720</v>
      </c>
      <c r="H20" s="223">
        <v>1</v>
      </c>
      <c r="I20" s="223">
        <v>1</v>
      </c>
      <c r="J20" s="223">
        <v>1</v>
      </c>
      <c r="K20" s="223">
        <v>0</v>
      </c>
      <c r="L20" s="223">
        <v>0</v>
      </c>
      <c r="M20" s="223">
        <v>0</v>
      </c>
      <c r="N20" s="223">
        <v>0</v>
      </c>
      <c r="O20" s="223">
        <v>1</v>
      </c>
      <c r="P20" s="76">
        <v>250</v>
      </c>
      <c r="Q20" s="223" t="s">
        <v>169</v>
      </c>
      <c r="R20" s="237" t="s">
        <v>170</v>
      </c>
    </row>
    <row r="21" spans="1:18" ht="16" thickBot="1" x14ac:dyDescent="0.2">
      <c r="A21" s="238">
        <v>20013</v>
      </c>
      <c r="B21" s="239">
        <v>2</v>
      </c>
      <c r="C21" s="240" t="str">
        <f t="shared" si="0"/>
        <v>20013_2</v>
      </c>
      <c r="D21" s="129" t="str">
        <f ca="1">VLOOKUP($C21,OFFSET([2]stages!$A$1,0,0,COUNTA([2]stages!$A:$A),MATCH(D$1,[2]stages!$2:$2,0)-MATCH($C$1,[2]stages!$2:$2,0)+1),MATCH(D$1,[2]stages!$2:$2,0)-MATCH($C$1,[2]stages!$2:$2,0)+1,FALSE)</f>
        <v>everyone</v>
      </c>
      <c r="E21" s="239">
        <v>20</v>
      </c>
      <c r="F21" s="241" t="s">
        <v>340</v>
      </c>
      <c r="G21" s="244">
        <v>350</v>
      </c>
      <c r="H21" s="241">
        <v>1</v>
      </c>
      <c r="I21" s="241">
        <v>1</v>
      </c>
      <c r="J21" s="241">
        <v>1</v>
      </c>
      <c r="K21" s="241">
        <v>0</v>
      </c>
      <c r="L21" s="241">
        <v>0</v>
      </c>
      <c r="M21" s="241">
        <v>0</v>
      </c>
      <c r="N21" s="241">
        <v>0</v>
      </c>
      <c r="O21" s="241">
        <v>1</v>
      </c>
      <c r="P21" s="244">
        <v>100</v>
      </c>
      <c r="Q21" s="241" t="s">
        <v>169</v>
      </c>
      <c r="R21" s="242" t="s">
        <v>170</v>
      </c>
    </row>
    <row r="22" spans="1:18" x14ac:dyDescent="0.15">
      <c r="A22" s="227">
        <v>20013</v>
      </c>
      <c r="B22" s="227">
        <v>3</v>
      </c>
      <c r="C22" s="228" t="str">
        <f t="shared" si="0"/>
        <v>20013_3</v>
      </c>
      <c r="D22" s="122" t="str">
        <f ca="1">VLOOKUP($C22,OFFSET([2]stages!$A$1,0,0,COUNTA([2]stages!$A:$A),MATCH(D$1,[2]stages!$2:$2,0)-MATCH($C$1,[2]stages!$2:$2,0)+1),MATCH(D$1,[2]stages!$2:$2,0)-MATCH($C$1,[2]stages!$2:$2,0)+1,FALSE)</f>
        <v>everyone</v>
      </c>
      <c r="E22" s="227">
        <v>21</v>
      </c>
      <c r="F22" s="229" t="s">
        <v>168</v>
      </c>
      <c r="G22" s="245">
        <v>5100</v>
      </c>
      <c r="H22" s="229" t="s">
        <v>339</v>
      </c>
      <c r="I22" s="229">
        <v>1</v>
      </c>
      <c r="J22" s="229">
        <v>1</v>
      </c>
      <c r="K22" s="229">
        <v>0</v>
      </c>
      <c r="L22" s="229">
        <v>0</v>
      </c>
      <c r="M22" s="229">
        <v>0</v>
      </c>
      <c r="N22" s="229">
        <v>0</v>
      </c>
      <c r="O22" s="229">
        <v>1</v>
      </c>
      <c r="P22" s="245">
        <v>100</v>
      </c>
      <c r="Q22" s="229" t="s">
        <v>169</v>
      </c>
      <c r="R22" s="229" t="s">
        <v>170</v>
      </c>
    </row>
    <row r="23" spans="1:18" x14ac:dyDescent="0.15">
      <c r="A23" s="53">
        <v>20013</v>
      </c>
      <c r="B23" s="53">
        <v>3</v>
      </c>
      <c r="C23" s="66" t="str">
        <f t="shared" si="0"/>
        <v>20013_3</v>
      </c>
      <c r="D23" s="11" t="str">
        <f ca="1">VLOOKUP($C23,OFFSET([2]stages!$A$1,0,0,COUNTA([2]stages!$A:$A),MATCH(D$1,[2]stages!$2:$2,0)-MATCH($C$1,[2]stages!$2:$2,0)+1),MATCH(D$1,[2]stages!$2:$2,0)-MATCH($C$1,[2]stages!$2:$2,0)+1,FALSE)</f>
        <v>everyone</v>
      </c>
      <c r="E23" s="53">
        <v>22</v>
      </c>
      <c r="F23" s="223" t="s">
        <v>341</v>
      </c>
      <c r="G23" s="76">
        <v>25</v>
      </c>
      <c r="H23" s="223" t="s">
        <v>339</v>
      </c>
      <c r="I23" s="223">
        <v>1</v>
      </c>
      <c r="J23" s="223">
        <v>1</v>
      </c>
      <c r="K23" s="223">
        <v>0</v>
      </c>
      <c r="L23" s="223">
        <v>0</v>
      </c>
      <c r="M23" s="223">
        <v>0</v>
      </c>
      <c r="N23" s="223">
        <v>0</v>
      </c>
      <c r="O23" s="223">
        <v>1</v>
      </c>
      <c r="P23" s="76">
        <v>100</v>
      </c>
      <c r="Q23" s="223" t="s">
        <v>169</v>
      </c>
      <c r="R23" s="223" t="s">
        <v>170</v>
      </c>
    </row>
    <row r="24" spans="1:18" x14ac:dyDescent="0.15">
      <c r="A24" s="53">
        <v>20013</v>
      </c>
      <c r="B24" s="53">
        <v>3</v>
      </c>
      <c r="C24" s="66" t="str">
        <f t="shared" si="0"/>
        <v>20013_3</v>
      </c>
      <c r="D24" s="11" t="str">
        <f ca="1">VLOOKUP($C24,OFFSET([2]stages!$A$1,0,0,COUNTA([2]stages!$A:$A),MATCH(D$1,[2]stages!$2:$2,0)-MATCH($C$1,[2]stages!$2:$2,0)+1),MATCH(D$1,[2]stages!$2:$2,0)-MATCH($C$1,[2]stages!$2:$2,0)+1,FALSE)</f>
        <v>everyone</v>
      </c>
      <c r="E24" s="53">
        <v>23</v>
      </c>
      <c r="F24" s="223" t="s">
        <v>340</v>
      </c>
      <c r="G24" s="76">
        <v>336</v>
      </c>
      <c r="H24" s="223">
        <v>1</v>
      </c>
      <c r="I24" s="223">
        <v>1</v>
      </c>
      <c r="J24" s="223">
        <v>1</v>
      </c>
      <c r="K24" s="223">
        <v>0</v>
      </c>
      <c r="L24" s="223">
        <v>0</v>
      </c>
      <c r="M24" s="223">
        <v>0</v>
      </c>
      <c r="N24" s="223">
        <v>0</v>
      </c>
      <c r="O24" s="223">
        <v>1</v>
      </c>
      <c r="P24" s="76">
        <v>56</v>
      </c>
      <c r="Q24" s="223" t="s">
        <v>169</v>
      </c>
      <c r="R24" s="223" t="s">
        <v>170</v>
      </c>
    </row>
    <row r="25" spans="1:18" x14ac:dyDescent="0.15">
      <c r="A25" s="53">
        <v>20013</v>
      </c>
      <c r="B25" s="53">
        <v>3</v>
      </c>
      <c r="C25" s="66" t="str">
        <f t="shared" si="0"/>
        <v>20013_3</v>
      </c>
      <c r="D25" s="11" t="str">
        <f ca="1">VLOOKUP($C25,OFFSET([2]stages!$A$1,0,0,COUNTA([2]stages!$A:$A),MATCH(D$1,[2]stages!$2:$2,0)-MATCH($C$1,[2]stages!$2:$2,0)+1),MATCH(D$1,[2]stages!$2:$2,0)-MATCH($C$1,[2]stages!$2:$2,0)+1,FALSE)</f>
        <v>everyone</v>
      </c>
      <c r="E25" s="53">
        <v>24</v>
      </c>
      <c r="F25" s="223" t="s">
        <v>340</v>
      </c>
      <c r="G25" s="76">
        <v>337</v>
      </c>
      <c r="H25" s="223">
        <v>1</v>
      </c>
      <c r="I25" s="223">
        <v>1</v>
      </c>
      <c r="J25" s="223">
        <v>1</v>
      </c>
      <c r="K25" s="223">
        <v>0</v>
      </c>
      <c r="L25" s="223">
        <v>0</v>
      </c>
      <c r="M25" s="223">
        <v>0</v>
      </c>
      <c r="N25" s="223">
        <v>0</v>
      </c>
      <c r="O25" s="223">
        <v>1</v>
      </c>
      <c r="P25" s="76">
        <v>56</v>
      </c>
      <c r="Q25" s="223" t="s">
        <v>169</v>
      </c>
      <c r="R25" s="223" t="s">
        <v>170</v>
      </c>
    </row>
    <row r="26" spans="1:18" x14ac:dyDescent="0.15">
      <c r="A26" s="53">
        <v>20013</v>
      </c>
      <c r="B26" s="53">
        <v>3</v>
      </c>
      <c r="C26" s="66" t="str">
        <f t="shared" si="0"/>
        <v>20013_3</v>
      </c>
      <c r="D26" s="11" t="str">
        <f ca="1">VLOOKUP($C26,OFFSET([2]stages!$A$1,0,0,COUNTA([2]stages!$A:$A),MATCH(D$1,[2]stages!$2:$2,0)-MATCH($C$1,[2]stages!$2:$2,0)+1),MATCH(D$1,[2]stages!$2:$2,0)-MATCH($C$1,[2]stages!$2:$2,0)+1,FALSE)</f>
        <v>everyone</v>
      </c>
      <c r="E26" s="53">
        <v>25</v>
      </c>
      <c r="F26" s="223" t="s">
        <v>340</v>
      </c>
      <c r="G26" s="76">
        <v>338</v>
      </c>
      <c r="H26" s="223">
        <v>1</v>
      </c>
      <c r="I26" s="223">
        <v>1</v>
      </c>
      <c r="J26" s="223">
        <v>1</v>
      </c>
      <c r="K26" s="223">
        <v>0</v>
      </c>
      <c r="L26" s="223">
        <v>0</v>
      </c>
      <c r="M26" s="223">
        <v>0</v>
      </c>
      <c r="N26" s="223">
        <v>0</v>
      </c>
      <c r="O26" s="223">
        <v>1</v>
      </c>
      <c r="P26" s="76">
        <v>28</v>
      </c>
      <c r="Q26" s="223" t="s">
        <v>169</v>
      </c>
      <c r="R26" s="223" t="s">
        <v>170</v>
      </c>
    </row>
    <row r="27" spans="1:18" x14ac:dyDescent="0.15">
      <c r="A27" s="53">
        <v>20013</v>
      </c>
      <c r="B27" s="53">
        <v>3</v>
      </c>
      <c r="C27" s="66" t="str">
        <f t="shared" si="0"/>
        <v>20013_3</v>
      </c>
      <c r="D27" s="11" t="str">
        <f ca="1">VLOOKUP($C27,OFFSET([2]stages!$A$1,0,0,COUNTA([2]stages!$A:$A),MATCH(D$1,[2]stages!$2:$2,0)-MATCH($C$1,[2]stages!$2:$2,0)+1),MATCH(D$1,[2]stages!$2:$2,0)-MATCH($C$1,[2]stages!$2:$2,0)+1,FALSE)</f>
        <v>everyone</v>
      </c>
      <c r="E27" s="53">
        <v>26</v>
      </c>
      <c r="F27" s="223" t="s">
        <v>340</v>
      </c>
      <c r="G27" s="76">
        <v>121</v>
      </c>
      <c r="H27" s="223">
        <v>1</v>
      </c>
      <c r="I27" s="223">
        <v>1</v>
      </c>
      <c r="J27" s="223">
        <v>1</v>
      </c>
      <c r="K27" s="223">
        <v>0</v>
      </c>
      <c r="L27" s="223">
        <v>0</v>
      </c>
      <c r="M27" s="223">
        <v>0</v>
      </c>
      <c r="N27" s="223">
        <v>0</v>
      </c>
      <c r="O27" s="223">
        <v>1</v>
      </c>
      <c r="P27" s="76">
        <v>50</v>
      </c>
      <c r="Q27" s="223" t="s">
        <v>169</v>
      </c>
      <c r="R27" s="223" t="s">
        <v>170</v>
      </c>
    </row>
    <row r="28" spans="1:18" x14ac:dyDescent="0.15">
      <c r="A28" s="53">
        <v>20013</v>
      </c>
      <c r="B28" s="53">
        <v>3</v>
      </c>
      <c r="C28" s="66" t="str">
        <f t="shared" si="0"/>
        <v>20013_3</v>
      </c>
      <c r="D28" s="11" t="str">
        <f ca="1">VLOOKUP($C28,OFFSET([2]stages!$A$1,0,0,COUNTA([2]stages!$A:$A),MATCH(D$1,[2]stages!$2:$2,0)-MATCH($C$1,[2]stages!$2:$2,0)+1),MATCH(D$1,[2]stages!$2:$2,0)-MATCH($C$1,[2]stages!$2:$2,0)+1,FALSE)</f>
        <v>everyone</v>
      </c>
      <c r="E28" s="53">
        <v>27</v>
      </c>
      <c r="F28" s="223" t="s">
        <v>340</v>
      </c>
      <c r="G28" s="76">
        <v>122</v>
      </c>
      <c r="H28" s="223">
        <v>1</v>
      </c>
      <c r="I28" s="223">
        <v>1</v>
      </c>
      <c r="J28" s="223">
        <v>1</v>
      </c>
      <c r="K28" s="223">
        <v>0</v>
      </c>
      <c r="L28" s="223">
        <v>0</v>
      </c>
      <c r="M28" s="223">
        <v>0</v>
      </c>
      <c r="N28" s="223">
        <v>0</v>
      </c>
      <c r="O28" s="223">
        <v>1</v>
      </c>
      <c r="P28" s="76">
        <v>50</v>
      </c>
      <c r="Q28" s="223" t="s">
        <v>169</v>
      </c>
      <c r="R28" s="223" t="s">
        <v>170</v>
      </c>
    </row>
    <row r="29" spans="1:18" x14ac:dyDescent="0.15">
      <c r="A29" s="53">
        <v>20013</v>
      </c>
      <c r="B29" s="53">
        <v>3</v>
      </c>
      <c r="C29" s="66" t="str">
        <f t="shared" si="0"/>
        <v>20013_3</v>
      </c>
      <c r="D29" s="11" t="str">
        <f ca="1">VLOOKUP($C29,OFFSET([2]stages!$A$1,0,0,COUNTA([2]stages!$A:$A),MATCH(D$1,[2]stages!$2:$2,0)-MATCH($C$1,[2]stages!$2:$2,0)+1),MATCH(D$1,[2]stages!$2:$2,0)-MATCH($C$1,[2]stages!$2:$2,0)+1,FALSE)</f>
        <v>everyone</v>
      </c>
      <c r="E29" s="53">
        <v>28</v>
      </c>
      <c r="F29" s="223" t="s">
        <v>340</v>
      </c>
      <c r="G29" s="76">
        <v>123</v>
      </c>
      <c r="H29" s="223">
        <v>1</v>
      </c>
      <c r="I29" s="223">
        <v>1</v>
      </c>
      <c r="J29" s="223">
        <v>1</v>
      </c>
      <c r="K29" s="223">
        <v>0</v>
      </c>
      <c r="L29" s="223">
        <v>0</v>
      </c>
      <c r="M29" s="223">
        <v>0</v>
      </c>
      <c r="N29" s="223">
        <v>0</v>
      </c>
      <c r="O29" s="223">
        <v>1</v>
      </c>
      <c r="P29" s="76">
        <v>50</v>
      </c>
      <c r="Q29" s="223" t="s">
        <v>169</v>
      </c>
      <c r="R29" s="223" t="s">
        <v>170</v>
      </c>
    </row>
    <row r="30" spans="1:18" x14ac:dyDescent="0.15">
      <c r="A30" s="53">
        <v>20013</v>
      </c>
      <c r="B30" s="53">
        <v>3</v>
      </c>
      <c r="C30" s="66" t="str">
        <f t="shared" si="0"/>
        <v>20013_3</v>
      </c>
      <c r="D30" s="11" t="str">
        <f ca="1">VLOOKUP($C30,OFFSET([2]stages!$A$1,0,0,COUNTA([2]stages!$A:$A),MATCH(D$1,[2]stages!$2:$2,0)-MATCH($C$1,[2]stages!$2:$2,0)+1),MATCH(D$1,[2]stages!$2:$2,0)-MATCH($C$1,[2]stages!$2:$2,0)+1,FALSE)</f>
        <v>everyone</v>
      </c>
      <c r="E30" s="53">
        <v>29</v>
      </c>
      <c r="F30" s="223" t="s">
        <v>340</v>
      </c>
      <c r="G30" s="76">
        <v>125</v>
      </c>
      <c r="H30" s="223">
        <v>1</v>
      </c>
      <c r="I30" s="223">
        <v>1</v>
      </c>
      <c r="J30" s="223">
        <v>1</v>
      </c>
      <c r="K30" s="223">
        <v>0</v>
      </c>
      <c r="L30" s="223">
        <v>0</v>
      </c>
      <c r="M30" s="223">
        <v>0</v>
      </c>
      <c r="N30" s="223">
        <v>0</v>
      </c>
      <c r="O30" s="223">
        <v>1</v>
      </c>
      <c r="P30" s="76">
        <v>10</v>
      </c>
      <c r="Q30" s="223" t="s">
        <v>169</v>
      </c>
      <c r="R30" s="223" t="s">
        <v>170</v>
      </c>
    </row>
    <row r="31" spans="1:18" x14ac:dyDescent="0.15">
      <c r="A31" s="53">
        <v>20013</v>
      </c>
      <c r="B31" s="53">
        <v>3</v>
      </c>
      <c r="C31" s="66" t="str">
        <f t="shared" si="0"/>
        <v>20013_3</v>
      </c>
      <c r="D31" s="11" t="str">
        <f ca="1">VLOOKUP($C31,OFFSET([2]stages!$A$1,0,0,COUNTA([2]stages!$A:$A),MATCH(D$1,[2]stages!$2:$2,0)-MATCH($C$1,[2]stages!$2:$2,0)+1),MATCH(D$1,[2]stages!$2:$2,0)-MATCH($C$1,[2]stages!$2:$2,0)+1,FALSE)</f>
        <v>everyone</v>
      </c>
      <c r="E31" s="53">
        <v>30</v>
      </c>
      <c r="F31" s="223" t="s">
        <v>340</v>
      </c>
      <c r="G31" s="76">
        <v>720</v>
      </c>
      <c r="H31" s="223">
        <v>1</v>
      </c>
      <c r="I31" s="223">
        <v>1</v>
      </c>
      <c r="J31" s="223">
        <v>1</v>
      </c>
      <c r="K31" s="223">
        <v>0</v>
      </c>
      <c r="L31" s="223">
        <v>0</v>
      </c>
      <c r="M31" s="223">
        <v>0</v>
      </c>
      <c r="N31" s="223">
        <v>0</v>
      </c>
      <c r="O31" s="223">
        <v>1</v>
      </c>
      <c r="P31" s="76">
        <v>400</v>
      </c>
      <c r="Q31" s="223" t="s">
        <v>169</v>
      </c>
      <c r="R31" s="223" t="s">
        <v>170</v>
      </c>
    </row>
    <row r="32" spans="1:18" x14ac:dyDescent="0.15">
      <c r="A32" s="53">
        <v>20013</v>
      </c>
      <c r="B32" s="53">
        <v>3</v>
      </c>
      <c r="C32" s="66" t="str">
        <f t="shared" si="0"/>
        <v>20013_3</v>
      </c>
      <c r="D32" s="11" t="str">
        <f ca="1">VLOOKUP($C32,OFFSET([2]stages!$A$1,0,0,COUNTA([2]stages!$A:$A),MATCH(D$1,[2]stages!$2:$2,0)-MATCH($C$1,[2]stages!$2:$2,0)+1),MATCH(D$1,[2]stages!$2:$2,0)-MATCH($C$1,[2]stages!$2:$2,0)+1,FALSE)</f>
        <v>everyone</v>
      </c>
      <c r="E32" s="53">
        <v>31</v>
      </c>
      <c r="F32" s="223" t="s">
        <v>340</v>
      </c>
      <c r="G32" s="76">
        <v>350</v>
      </c>
      <c r="H32" s="223">
        <v>1</v>
      </c>
      <c r="I32" s="223">
        <v>1</v>
      </c>
      <c r="J32" s="223">
        <v>1</v>
      </c>
      <c r="K32" s="223">
        <v>0</v>
      </c>
      <c r="L32" s="223">
        <v>0</v>
      </c>
      <c r="M32" s="223">
        <v>0</v>
      </c>
      <c r="N32" s="223">
        <v>0</v>
      </c>
      <c r="O32" s="223">
        <v>1</v>
      </c>
      <c r="P32" s="76">
        <v>100</v>
      </c>
      <c r="Q32" s="223" t="s">
        <v>169</v>
      </c>
      <c r="R32" s="223" t="s">
        <v>170</v>
      </c>
    </row>
  </sheetData>
  <phoneticPr fontId="5"/>
  <dataValidations count="1">
    <dataValidation type="list" allowBlank="1" showInputMessage="1" showErrorMessage="1" sqref="F2:F32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93"/>
  <sheetViews>
    <sheetView showGridLines="0" workbookViewId="0">
      <pane ySplit="1" topLeftCell="A39" activePane="bottomLeft" state="frozen"/>
      <selection pane="bottomLeft" activeCell="A55" sqref="A55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1" t="s">
        <v>187</v>
      </c>
      <c r="B1" s="67" t="s">
        <v>188</v>
      </c>
      <c r="C1" s="72" t="s">
        <v>189</v>
      </c>
      <c r="D1" s="72" t="s">
        <v>33</v>
      </c>
      <c r="E1" s="67" t="s">
        <v>190</v>
      </c>
      <c r="F1" s="72" t="s">
        <v>191</v>
      </c>
      <c r="G1" s="72" t="s">
        <v>33</v>
      </c>
      <c r="H1" s="67" t="s">
        <v>192</v>
      </c>
      <c r="I1" s="85" t="s">
        <v>194</v>
      </c>
      <c r="J1" s="74" t="s">
        <v>126</v>
      </c>
      <c r="K1" s="73" t="s">
        <v>186</v>
      </c>
      <c r="L1" s="86" t="s">
        <v>185</v>
      </c>
      <c r="M1" s="75" t="s">
        <v>195</v>
      </c>
    </row>
    <row r="2" spans="1:13" x14ac:dyDescent="0.15">
      <c r="A2" s="76" t="s">
        <v>200</v>
      </c>
      <c r="B2" s="77">
        <f>floors!$C$2</f>
        <v>20013</v>
      </c>
      <c r="C2" s="78" t="str">
        <f ca="1">VLOOKUP($B2,OFFSET([2]quests!$A$1,0,0,COUNTA([2]quests!$A:$A),MATCH(C$1,[2]quests!$1:$1,0)-MATCH($B$1,[2]quests!$1:$1,0)+1),MATCH(C$1,[2]quests!$1:$1,0)-MATCH($B$1,[2]quests!$1:$1,0)+1,FALSE)</f>
        <v>天の時、地の利、人の和</v>
      </c>
      <c r="D2" s="78" t="str">
        <f ca="1">VLOOKUP($B2,OFFSET([2]quests!$A$1,0,0,COUNTA([2]quests!$A:$A),MATCH(D$1,[2]quests!$1:$1,0)-MATCH($B$1,[2]quests!$1:$1,0)+1),MATCH(D$1,[2]quests!$1:$1,0)-MATCH($B$1,[2]quests!$1:$1,0)+1,FALSE)</f>
        <v>ドロップイベント4</v>
      </c>
      <c r="E2" s="82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ドロップイベント4</v>
      </c>
      <c r="H2" s="80">
        <v>0</v>
      </c>
      <c r="I2">
        <v>1</v>
      </c>
      <c r="J2" s="79" t="s">
        <v>197</v>
      </c>
      <c r="K2" s="87" t="str">
        <f>VLOOKUP(I2,[7]stage_hints!$A:$C,3,FALSE)</f>
        <v>長くつなげて大ダメージ</v>
      </c>
      <c r="L2" s="88" t="str">
        <f>VLOOKUP(I2,[7]stage_hints!$A:$D,4,FALSE)</f>
        <v>パネルを長くつなげるほど_x000D_大ダメージを与えることができます</v>
      </c>
      <c r="M2" s="53" t="s">
        <v>210</v>
      </c>
    </row>
    <row r="3" spans="1:13" x14ac:dyDescent="0.15">
      <c r="A3" s="76" t="s">
        <v>200</v>
      </c>
      <c r="B3" s="77">
        <f>floors!$C$2</f>
        <v>20013</v>
      </c>
      <c r="C3" s="78" t="str">
        <f ca="1">VLOOKUP($B3,OFFSET([2]quests!$A$1,0,0,COUNTA([2]quests!$A:$A),MATCH(C$1,[2]quests!$1:$1,0)-MATCH($B$1,[2]quests!$1:$1,0)+1),MATCH(C$1,[2]quests!$1:$1,0)-MATCH($B$1,[2]quests!$1:$1,0)+1,FALSE)</f>
        <v>天の時、地の利、人の和</v>
      </c>
      <c r="D3" s="78" t="str">
        <f ca="1">VLOOKUP($B3,OFFSET([2]quests!$A$1,0,0,COUNTA([2]quests!$A:$A),MATCH(D$1,[2]quests!$1:$1,0)-MATCH($B$1,[2]quests!$1:$1,0)+1),MATCH(D$1,[2]quests!$1:$1,0)-MATCH($B$1,[2]quests!$1:$1,0)+1,FALSE)</f>
        <v>ドロップイベント4</v>
      </c>
      <c r="E3" s="82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ドロップイベント4</v>
      </c>
      <c r="H3" s="80">
        <v>0</v>
      </c>
      <c r="I3">
        <v>2</v>
      </c>
      <c r="J3" s="79" t="s">
        <v>197</v>
      </c>
      <c r="K3" s="87" t="str">
        <f>VLOOKUP(I3,[7]stage_hints!$A:$C,3,FALSE)</f>
        <v>属性の相性</v>
      </c>
      <c r="L3" s="88" t="str">
        <f>VLOOKUP(I3,[7]stage_hints!$A:$D,4,FALSE)</f>
        <v>赤＞青　青＞黄　黄＞緑　緑＞赤_x000D_敵属性に最適なパーティがオススメです</v>
      </c>
      <c r="M3" s="53" t="s">
        <v>210</v>
      </c>
    </row>
    <row r="4" spans="1:13" x14ac:dyDescent="0.15">
      <c r="A4" s="76" t="s">
        <v>200</v>
      </c>
      <c r="B4" s="77">
        <f>floors!$C$2</f>
        <v>20013</v>
      </c>
      <c r="C4" s="78" t="str">
        <f ca="1">VLOOKUP($B4,OFFSET([2]quests!$A$1,0,0,COUNTA([2]quests!$A:$A),MATCH(C$1,[2]quests!$1:$1,0)-MATCH($B$1,[2]quests!$1:$1,0)+1),MATCH(C$1,[2]quests!$1:$1,0)-MATCH($B$1,[2]quests!$1:$1,0)+1,FALSE)</f>
        <v>天の時、地の利、人の和</v>
      </c>
      <c r="D4" s="78" t="str">
        <f ca="1">VLOOKUP($B4,OFFSET([2]quests!$A$1,0,0,COUNTA([2]quests!$A:$A),MATCH(D$1,[2]quests!$1:$1,0)-MATCH($B$1,[2]quests!$1:$1,0)+1),MATCH(D$1,[2]quests!$1:$1,0)-MATCH($B$1,[2]quests!$1:$1,0)+1,FALSE)</f>
        <v>ドロップイベント4</v>
      </c>
      <c r="E4" s="82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ドロップイベント4</v>
      </c>
      <c r="H4" s="80">
        <v>0</v>
      </c>
      <c r="I4">
        <v>3</v>
      </c>
      <c r="J4" s="79" t="s">
        <v>197</v>
      </c>
      <c r="K4" s="87" t="str">
        <f>VLOOKUP(I4,[7]stage_hints!$A:$C,3,FALSE)</f>
        <v>ターゲット</v>
      </c>
      <c r="L4" s="88" t="str">
        <f>VLOOKUP(I4,[7]stage_hints!$A:$D,4,FALSE)</f>
        <v>敵ユニットをタップすると_x000D_その敵を狙い撃ちできます</v>
      </c>
      <c r="M4" s="53" t="s">
        <v>210</v>
      </c>
    </row>
    <row r="5" spans="1:13" x14ac:dyDescent="0.15">
      <c r="A5" s="76" t="s">
        <v>200</v>
      </c>
      <c r="B5" s="77">
        <f>floors!$C$2</f>
        <v>20013</v>
      </c>
      <c r="C5" s="78" t="str">
        <f ca="1">VLOOKUP($B5,OFFSET([2]quests!$A$1,0,0,COUNTA([2]quests!$A:$A),MATCH(C$1,[2]quests!$1:$1,0)-MATCH($B$1,[2]quests!$1:$1,0)+1),MATCH(C$1,[2]quests!$1:$1,0)-MATCH($B$1,[2]quests!$1:$1,0)+1,FALSE)</f>
        <v>天の時、地の利、人の和</v>
      </c>
      <c r="D5" s="78" t="str">
        <f ca="1">VLOOKUP($B5,OFFSET([2]quests!$A$1,0,0,COUNTA([2]quests!$A:$A),MATCH(D$1,[2]quests!$1:$1,0)-MATCH($B$1,[2]quests!$1:$1,0)+1),MATCH(D$1,[2]quests!$1:$1,0)-MATCH($B$1,[2]quests!$1:$1,0)+1,FALSE)</f>
        <v>ドロップイベント4</v>
      </c>
      <c r="E5" s="82">
        <v>1</v>
      </c>
      <c r="F5" s="78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5" s="78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ドロップイベント4</v>
      </c>
      <c r="H5" s="80">
        <v>0</v>
      </c>
      <c r="I5">
        <v>5</v>
      </c>
      <c r="J5" s="79" t="s">
        <v>197</v>
      </c>
      <c r="K5" s="87" t="str">
        <f>VLOOKUP(I5,[7]stage_hints!$A:$C,3,FALSE)</f>
        <v>ユニット強化でレベルアップ</v>
      </c>
      <c r="L5" s="88" t="str">
        <f>VLOOKUP(I5,[7]stage_hints!$A:$D,4,FALSE)</f>
        <v>「ユニット強化」でレベルアップすると_x000D_勝てない敵にも勝てるようになります</v>
      </c>
      <c r="M5" s="53" t="s">
        <v>210</v>
      </c>
    </row>
    <row r="6" spans="1:13" x14ac:dyDescent="0.15">
      <c r="A6" s="76" t="s">
        <v>200</v>
      </c>
      <c r="B6" s="77">
        <f>floors!$C$2</f>
        <v>20013</v>
      </c>
      <c r="C6" s="78" t="str">
        <f ca="1">VLOOKUP($B6,OFFSET([2]quests!$A$1,0,0,COUNTA([2]quests!$A:$A),MATCH(C$1,[2]quests!$1:$1,0)-MATCH($B$1,[2]quests!$1:$1,0)+1),MATCH(C$1,[2]quests!$1:$1,0)-MATCH($B$1,[2]quests!$1:$1,0)+1,FALSE)</f>
        <v>天の時、地の利、人の和</v>
      </c>
      <c r="D6" s="78" t="str">
        <f ca="1">VLOOKUP($B6,OFFSET([2]quests!$A$1,0,0,COUNTA([2]quests!$A:$A),MATCH(D$1,[2]quests!$1:$1,0)-MATCH($B$1,[2]quests!$1:$1,0)+1),MATCH(D$1,[2]quests!$1:$1,0)-MATCH($B$1,[2]quests!$1:$1,0)+1,FALSE)</f>
        <v>ドロップイベント4</v>
      </c>
      <c r="E6" s="82">
        <v>1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ドロップイベント4</v>
      </c>
      <c r="H6" s="80">
        <v>0</v>
      </c>
      <c r="I6">
        <v>6</v>
      </c>
      <c r="J6" s="79" t="s">
        <v>197</v>
      </c>
      <c r="K6" s="87" t="str">
        <f>VLOOKUP(I6,[7]stage_hints!$A:$C,3,FALSE)</f>
        <v>ユニット強化の属性ボーナス</v>
      </c>
      <c r="L6" s="88" t="str">
        <f>VLOOKUP(I6,[7]stage_hints!$A:$D,4,FALSE)</f>
        <v>同属性ユニットを強化素材にすると_x000D_経験値が多くもらえます</v>
      </c>
      <c r="M6" s="53" t="s">
        <v>210</v>
      </c>
    </row>
    <row r="7" spans="1:13" x14ac:dyDescent="0.15">
      <c r="A7" s="76" t="s">
        <v>200</v>
      </c>
      <c r="B7" s="77">
        <f>floors!$C$2</f>
        <v>20013</v>
      </c>
      <c r="C7" s="78" t="str">
        <f ca="1">VLOOKUP($B7,OFFSET([2]quests!$A$1,0,0,COUNTA([2]quests!$A:$A),MATCH(C$1,[2]quests!$1:$1,0)-MATCH($B$1,[2]quests!$1:$1,0)+1),MATCH(C$1,[2]quests!$1:$1,0)-MATCH($B$1,[2]quests!$1:$1,0)+1,FALSE)</f>
        <v>天の時、地の利、人の和</v>
      </c>
      <c r="D7" s="78" t="str">
        <f ca="1">VLOOKUP($B7,OFFSET([2]quests!$A$1,0,0,COUNTA([2]quests!$A:$A),MATCH(D$1,[2]quests!$1:$1,0)-MATCH($B$1,[2]quests!$1:$1,0)+1),MATCH(D$1,[2]quests!$1:$1,0)-MATCH($B$1,[2]quests!$1:$1,0)+1,FALSE)</f>
        <v>ドロップイベント4</v>
      </c>
      <c r="E7" s="82">
        <v>1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ドロップイベント4</v>
      </c>
      <c r="H7" s="80">
        <v>0</v>
      </c>
      <c r="I7">
        <v>7</v>
      </c>
      <c r="J7" s="79" t="s">
        <v>197</v>
      </c>
      <c r="K7" s="87" t="str">
        <f>VLOOKUP(I7,[7]stage_hints!$A:$C,3,FALSE)</f>
        <v>メタルダックで経験値を獲得</v>
      </c>
      <c r="L7" s="88" t="str">
        <f>VLOOKUP(I7,[7]stage_hints!$A:$D,4,FALSE)</f>
        <v>「メタルなアヒル」を強化素材にすると_x000D_大量の経験値がもらえます</v>
      </c>
      <c r="M7" s="53" t="s">
        <v>210</v>
      </c>
    </row>
    <row r="8" spans="1:13" x14ac:dyDescent="0.15">
      <c r="A8" s="76" t="s">
        <v>200</v>
      </c>
      <c r="B8" s="77">
        <f>floors!$C$2</f>
        <v>20013</v>
      </c>
      <c r="C8" s="78" t="str">
        <f ca="1">VLOOKUP($B8,OFFSET([2]quests!$A$1,0,0,COUNTA([2]quests!$A:$A),MATCH(C$1,[2]quests!$1:$1,0)-MATCH($B$1,[2]quests!$1:$1,0)+1),MATCH(C$1,[2]quests!$1:$1,0)-MATCH($B$1,[2]quests!$1:$1,0)+1,FALSE)</f>
        <v>天の時、地の利、人の和</v>
      </c>
      <c r="D8" s="78" t="str">
        <f ca="1">VLOOKUP($B8,OFFSET([2]quests!$A$1,0,0,COUNTA([2]quests!$A:$A),MATCH(D$1,[2]quests!$1:$1,0)-MATCH($B$1,[2]quests!$1:$1,0)+1),MATCH(D$1,[2]quests!$1:$1,0)-MATCH($B$1,[2]quests!$1:$1,0)+1,FALSE)</f>
        <v>ドロップイベント4</v>
      </c>
      <c r="E8" s="82">
        <v>1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ドロップイベント4</v>
      </c>
      <c r="H8" s="80">
        <v>0</v>
      </c>
      <c r="I8">
        <v>8</v>
      </c>
      <c r="J8" s="79" t="s">
        <v>197</v>
      </c>
      <c r="K8" s="87" t="str">
        <f>VLOOKUP(I8,[7]stage_hints!$A:$C,3,FALSE)</f>
        <v>ゲリラクエストは要チェック</v>
      </c>
      <c r="L8" s="88" t="str">
        <f>VLOOKUP(I8,[7]stage_hints!$A:$D,4,FALSE)</f>
        <v>時間限定の「アヒル捕獲作戦」では_x000D_経験値素材ユニットが多く手に入ります</v>
      </c>
      <c r="M8" s="53" t="s">
        <v>210</v>
      </c>
    </row>
    <row r="9" spans="1:13" x14ac:dyDescent="0.15">
      <c r="A9" s="76" t="s">
        <v>200</v>
      </c>
      <c r="B9" s="77">
        <f>floors!$C$2</f>
        <v>20013</v>
      </c>
      <c r="C9" s="78" t="str">
        <f ca="1">VLOOKUP($B9,OFFSET([2]quests!$A$1,0,0,COUNTA([2]quests!$A:$A),MATCH(C$1,[2]quests!$1:$1,0)-MATCH($B$1,[2]quests!$1:$1,0)+1),MATCH(C$1,[2]quests!$1:$1,0)-MATCH($B$1,[2]quests!$1:$1,0)+1,FALSE)</f>
        <v>天の時、地の利、人の和</v>
      </c>
      <c r="D9" s="78" t="str">
        <f ca="1">VLOOKUP($B9,OFFSET([2]quests!$A$1,0,0,COUNTA([2]quests!$A:$A),MATCH(D$1,[2]quests!$1:$1,0)-MATCH($B$1,[2]quests!$1:$1,0)+1),MATCH(D$1,[2]quests!$1:$1,0)-MATCH($B$1,[2]quests!$1:$1,0)+1,FALSE)</f>
        <v>ドロップイベント4</v>
      </c>
      <c r="E9" s="82">
        <v>1</v>
      </c>
      <c r="F9" s="78" t="str">
        <f ca="1">VLOOKUP($B9&amp;"_"&amp;$E9,OFFSET([2]stages!$A$1,0,0,COUNTA([2]stages!$A:$A),MATCH(F$1,[2]stages!$2:$2,0)-MATCH("temp_stage",[2]stages!$2:$2,0)+1),MATCH(F$1,[2]stages!$2:$2,0)-MATCH("temp_stage",[2]stages!$2:$2,0)+1,FALSE)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9" s="78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ドロップイベント4</v>
      </c>
      <c r="H9" s="80">
        <v>0</v>
      </c>
      <c r="I9">
        <v>9</v>
      </c>
      <c r="J9" s="79" t="s">
        <v>197</v>
      </c>
      <c r="K9" s="87" t="str">
        <f>VLOOKUP(I9,[7]stage_hints!$A:$C,3,FALSE)</f>
        <v>ゴールドダックでビットを獲得</v>
      </c>
      <c r="L9" s="88" t="str">
        <f>VLOOKUP(I9,[7]stage_hints!$A:$D,4,FALSE)</f>
        <v>「ゴールドなアヒル」を売却すると_x000D_大量のビットがもらえます</v>
      </c>
      <c r="M9" s="53" t="s">
        <v>210</v>
      </c>
    </row>
    <row r="10" spans="1:13" x14ac:dyDescent="0.15">
      <c r="A10" s="76" t="s">
        <v>200</v>
      </c>
      <c r="B10" s="77">
        <f>floors!$C$2</f>
        <v>20013</v>
      </c>
      <c r="C10" s="78" t="str">
        <f ca="1">VLOOKUP($B10,OFFSET([2]quests!$A$1,0,0,COUNTA([2]quests!$A:$A),MATCH(C$1,[2]quests!$1:$1,0)-MATCH($B$1,[2]quests!$1:$1,0)+1),MATCH(C$1,[2]quests!$1:$1,0)-MATCH($B$1,[2]quests!$1:$1,0)+1,FALSE)</f>
        <v>天の時、地の利、人の和</v>
      </c>
      <c r="D10" s="78" t="str">
        <f ca="1">VLOOKUP($B10,OFFSET([2]quests!$A$1,0,0,COUNTA([2]quests!$A:$A),MATCH(D$1,[2]quests!$1:$1,0)-MATCH($B$1,[2]quests!$1:$1,0)+1),MATCH(D$1,[2]quests!$1:$1,0)-MATCH($B$1,[2]quests!$1:$1,0)+1,FALSE)</f>
        <v>ドロップイベント4</v>
      </c>
      <c r="E10" s="82">
        <v>1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ドロップイベント4</v>
      </c>
      <c r="H10" s="80">
        <v>0</v>
      </c>
      <c r="I10">
        <v>10</v>
      </c>
      <c r="J10" s="79" t="s">
        <v>197</v>
      </c>
      <c r="K10" s="87" t="str">
        <f>VLOOKUP(I10,[7]stage_hints!$A:$C,3,FALSE)</f>
        <v>土日に大量のビットを獲得</v>
      </c>
      <c r="L10" s="88" t="str">
        <f>VLOOKUP(I10,[7]stage_hints!$A:$D,4,FALSE)</f>
        <v>土日限定の「ゴールドカジノ」では_x000D_売却素材ユニットが多く手に入ります</v>
      </c>
      <c r="M10" s="53" t="s">
        <v>210</v>
      </c>
    </row>
    <row r="11" spans="1:13" x14ac:dyDescent="0.15">
      <c r="A11" s="76" t="s">
        <v>200</v>
      </c>
      <c r="B11" s="77">
        <f>floors!$C$2</f>
        <v>20013</v>
      </c>
      <c r="C11" s="78" t="str">
        <f ca="1">VLOOKUP($B11,OFFSET([2]quests!$A$1,0,0,COUNTA([2]quests!$A:$A),MATCH(C$1,[2]quests!$1:$1,0)-MATCH($B$1,[2]quests!$1:$1,0)+1),MATCH(C$1,[2]quests!$1:$1,0)-MATCH($B$1,[2]quests!$1:$1,0)+1,FALSE)</f>
        <v>天の時、地の利、人の和</v>
      </c>
      <c r="D11" s="78" t="str">
        <f ca="1">VLOOKUP($B11,OFFSET([2]quests!$A$1,0,0,COUNTA([2]quests!$A:$A),MATCH(D$1,[2]quests!$1:$1,0)-MATCH($B$1,[2]quests!$1:$1,0)+1),MATCH(D$1,[2]quests!$1:$1,0)-MATCH($B$1,[2]quests!$1:$1,0)+1,FALSE)</f>
        <v>ドロップイベント4</v>
      </c>
      <c r="E11" s="82">
        <v>1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ドロップイベント4</v>
      </c>
      <c r="H11" s="80">
        <v>0</v>
      </c>
      <c r="I11">
        <v>11</v>
      </c>
      <c r="J11" s="79" t="s">
        <v>197</v>
      </c>
      <c r="K11" s="87" t="str">
        <f>VLOOKUP(I11,[7]stage_hints!$A:$C,3,FALSE)</f>
        <v>ランク解放クエスト</v>
      </c>
      <c r="L11" s="88" t="str">
        <f>VLOOKUP(I11,[7]stage_hints!$A:$D,4,FALSE)</f>
        <v>一定ランクに到達すると_x000D_報酬付きのランク開放クエストが現れます</v>
      </c>
      <c r="M11" s="53" t="s">
        <v>210</v>
      </c>
    </row>
    <row r="12" spans="1:13" x14ac:dyDescent="0.15">
      <c r="A12" s="76" t="s">
        <v>200</v>
      </c>
      <c r="B12" s="77">
        <f>floors!$C$2</f>
        <v>20013</v>
      </c>
      <c r="C12" s="78" t="str">
        <f ca="1">VLOOKUP($B12,OFFSET([2]quests!$A$1,0,0,COUNTA([2]quests!$A:$A),MATCH(C$1,[2]quests!$1:$1,0)-MATCH($B$1,[2]quests!$1:$1,0)+1),MATCH(C$1,[2]quests!$1:$1,0)-MATCH($B$1,[2]quests!$1:$1,0)+1,FALSE)</f>
        <v>天の時、地の利、人の和</v>
      </c>
      <c r="D12" s="78" t="str">
        <f ca="1">VLOOKUP($B12,OFFSET([2]quests!$A$1,0,0,COUNTA([2]quests!$A:$A),MATCH(D$1,[2]quests!$1:$1,0)-MATCH($B$1,[2]quests!$1:$1,0)+1),MATCH(D$1,[2]quests!$1:$1,0)-MATCH($B$1,[2]quests!$1:$1,0)+1,FALSE)</f>
        <v>ドロップイベント4</v>
      </c>
      <c r="E12" s="82">
        <v>1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ドロップイベント4</v>
      </c>
      <c r="H12" s="80">
        <v>0</v>
      </c>
      <c r="I12">
        <v>12</v>
      </c>
      <c r="J12" s="79" t="s">
        <v>197</v>
      </c>
      <c r="K12" s="87" t="str">
        <f>VLOOKUP(I12,[7]stage_hints!$A:$C,3,FALSE)</f>
        <v>ユニットのお気に入り登録</v>
      </c>
      <c r="L12" s="88" t="str">
        <f>VLOOKUP(I12,[7]stage_hints!$A:$D,4,FALSE)</f>
        <v>大事なユニットを誤って消さないように_x000D_フォルダから「お気に入り登録」しましょう</v>
      </c>
      <c r="M12" s="53" t="s">
        <v>210</v>
      </c>
    </row>
    <row r="13" spans="1:13" x14ac:dyDescent="0.15">
      <c r="A13" s="76" t="s">
        <v>200</v>
      </c>
      <c r="B13" s="77">
        <f>floors!$C$2</f>
        <v>20013</v>
      </c>
      <c r="C13" s="78" t="str">
        <f ca="1">VLOOKUP($B13,OFFSET([2]quests!$A$1,0,0,COUNTA([2]quests!$A:$A),MATCH(C$1,[2]quests!$1:$1,0)-MATCH($B$1,[2]quests!$1:$1,0)+1),MATCH(C$1,[2]quests!$1:$1,0)-MATCH($B$1,[2]quests!$1:$1,0)+1,FALSE)</f>
        <v>天の時、地の利、人の和</v>
      </c>
      <c r="D13" s="78" t="str">
        <f ca="1">VLOOKUP($B13,OFFSET([2]quests!$A$1,0,0,COUNTA([2]quests!$A:$A),MATCH(D$1,[2]quests!$1:$1,0)-MATCH($B$1,[2]quests!$1:$1,0)+1),MATCH(D$1,[2]quests!$1:$1,0)-MATCH($B$1,[2]quests!$1:$1,0)+1,FALSE)</f>
        <v>ドロップイベント4</v>
      </c>
      <c r="E13" s="82">
        <v>1</v>
      </c>
      <c r="F13" s="78" t="str">
        <f ca="1">VLOOKUP($B13&amp;"_"&amp;$E13,OFFSET([2]stages!$A$1,0,0,COUNTA([2]stages!$A:$A),MATCH(F$1,[2]stages!$2:$2,0)-MATCH("temp_stage",[2]stages!$2:$2,0)+1),MATCH(F$1,[2]stages!$2:$2,0)-MATCH("temp_stage",[2]stages!$2:$2,0)+1,FALSE)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3" s="78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ドロップイベント4</v>
      </c>
      <c r="H13" s="80">
        <v>0</v>
      </c>
      <c r="I13">
        <v>13</v>
      </c>
      <c r="J13" s="79" t="s">
        <v>197</v>
      </c>
      <c r="K13" s="87" t="str">
        <f>VLOOKUP(I13,[7]stage_hints!$A:$C,3,FALSE)</f>
        <v>ユニットの覚醒</v>
      </c>
      <c r="L13" s="88" t="str">
        <f>VLOOKUP(I13,[7]stage_hints!$A:$D,4,FALSE)</f>
        <v>ユニットを覚醒させると_x000D_比べものにならない強さが手に入ります</v>
      </c>
      <c r="M13" s="53" t="s">
        <v>210</v>
      </c>
    </row>
    <row r="14" spans="1:13" x14ac:dyDescent="0.15">
      <c r="A14" s="76" t="s">
        <v>200</v>
      </c>
      <c r="B14" s="77">
        <f>floors!$C$2</f>
        <v>20013</v>
      </c>
      <c r="C14" s="78" t="str">
        <f ca="1">VLOOKUP($B14,OFFSET([2]quests!$A$1,0,0,COUNTA([2]quests!$A:$A),MATCH(C$1,[2]quests!$1:$1,0)-MATCH($B$1,[2]quests!$1:$1,0)+1),MATCH(C$1,[2]quests!$1:$1,0)-MATCH($B$1,[2]quests!$1:$1,0)+1,FALSE)</f>
        <v>天の時、地の利、人の和</v>
      </c>
      <c r="D14" s="78" t="str">
        <f ca="1">VLOOKUP($B14,OFFSET([2]quests!$A$1,0,0,COUNTA([2]quests!$A:$A),MATCH(D$1,[2]quests!$1:$1,0)-MATCH($B$1,[2]quests!$1:$1,0)+1),MATCH(D$1,[2]quests!$1:$1,0)-MATCH($B$1,[2]quests!$1:$1,0)+1,FALSE)</f>
        <v>ドロップイベント4</v>
      </c>
      <c r="E14" s="82">
        <v>1</v>
      </c>
      <c r="F14" s="78" t="str">
        <f ca="1">VLOOKUP($B14&amp;"_"&amp;$E14,OFFSET([2]stages!$A$1,0,0,COUNTA([2]stages!$A:$A),MATCH(F$1,[2]stages!$2:$2,0)-MATCH("temp_stage",[2]stages!$2:$2,0)+1),MATCH(F$1,[2]stages!$2:$2,0)-MATCH("temp_stage",[2]stages!$2:$2,0)+1,FALSE)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4" s="78" t="str">
        <f ca="1">VLOOKUP($B14&amp;"_"&amp;$E14,OFFSET([2]stages!$A$1,0,0,COUNTA([2]stages!$A:$A),MATCH(G$1,[2]stages!$2:$2,0)-MATCH("temp_stage",[2]stages!$2:$2,0)+1),MATCH(G$1,[2]stages!$2:$2,0)-MATCH("temp_stage",[2]stages!$2:$2,0)+1,FALSE)</f>
        <v>ドロップイベント4</v>
      </c>
      <c r="H14" s="80">
        <v>0</v>
      </c>
      <c r="I14">
        <v>14</v>
      </c>
      <c r="J14" s="79" t="s">
        <v>197</v>
      </c>
      <c r="K14" s="87" t="str">
        <f>VLOOKUP(I14,[7]stage_hints!$A:$C,3,FALSE)</f>
        <v>覚醒するにはレベルを最大に</v>
      </c>
      <c r="L14" s="88" t="str">
        <f>VLOOKUP(I14,[7]stage_hints!$A:$D,4,FALSE)</f>
        <v>覚醒するにはユニットのレベルを_x000D_最大まで上げる必要があります</v>
      </c>
      <c r="M14" s="53" t="s">
        <v>210</v>
      </c>
    </row>
    <row r="15" spans="1:13" x14ac:dyDescent="0.15">
      <c r="A15" s="76" t="s">
        <v>200</v>
      </c>
      <c r="B15" s="77">
        <f>floors!$C$2</f>
        <v>20013</v>
      </c>
      <c r="C15" s="78" t="str">
        <f ca="1">VLOOKUP($B15,OFFSET([2]quests!$A$1,0,0,COUNTA([2]quests!$A:$A),MATCH(C$1,[2]quests!$1:$1,0)-MATCH($B$1,[2]quests!$1:$1,0)+1),MATCH(C$1,[2]quests!$1:$1,0)-MATCH($B$1,[2]quests!$1:$1,0)+1,FALSE)</f>
        <v>天の時、地の利、人の和</v>
      </c>
      <c r="D15" s="78" t="str">
        <f ca="1">VLOOKUP($B15,OFFSET([2]quests!$A$1,0,0,COUNTA([2]quests!$A:$A),MATCH(D$1,[2]quests!$1:$1,0)-MATCH($B$1,[2]quests!$1:$1,0)+1),MATCH(D$1,[2]quests!$1:$1,0)-MATCH($B$1,[2]quests!$1:$1,0)+1,FALSE)</f>
        <v>ドロップイベント4</v>
      </c>
      <c r="E15" s="82">
        <v>1</v>
      </c>
      <c r="F15" s="78" t="str">
        <f ca="1">VLOOKUP($B15&amp;"_"&amp;$E15,OFFSET([2]stages!$A$1,0,0,COUNTA([2]stages!$A:$A),MATCH(F$1,[2]stages!$2:$2,0)-MATCH("temp_stage",[2]stages!$2:$2,0)+1),MATCH(F$1,[2]stages!$2:$2,0)-MATCH("temp_stage",[2]stages!$2:$2,0)+1,FALSE)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5" s="78" t="str">
        <f ca="1">VLOOKUP($B15&amp;"_"&amp;$E15,OFFSET([2]stages!$A$1,0,0,COUNTA([2]stages!$A:$A),MATCH(G$1,[2]stages!$2:$2,0)-MATCH("temp_stage",[2]stages!$2:$2,0)+1),MATCH(G$1,[2]stages!$2:$2,0)-MATCH("temp_stage",[2]stages!$2:$2,0)+1,FALSE)</f>
        <v>ドロップイベント4</v>
      </c>
      <c r="H15" s="80">
        <v>0</v>
      </c>
      <c r="I15">
        <v>15</v>
      </c>
      <c r="J15" s="79" t="s">
        <v>197</v>
      </c>
      <c r="K15" s="87" t="str">
        <f>VLOOKUP(I15,[7]stage_hints!$A:$C,3,FALSE)</f>
        <v>覚醒素材を獲得</v>
      </c>
      <c r="L15" s="88" t="str">
        <f>VLOOKUP(I15,[7]stage_hints!$A:$D,4,FALSE)</f>
        <v>「曜日クエスト」では_x000D_ユニットの覚醒に必要な素材が手に入ります</v>
      </c>
      <c r="M15" s="53" t="s">
        <v>210</v>
      </c>
    </row>
    <row r="16" spans="1:13" x14ac:dyDescent="0.15">
      <c r="A16" s="76" t="s">
        <v>200</v>
      </c>
      <c r="B16" s="77">
        <f>floors!$C$2</f>
        <v>20013</v>
      </c>
      <c r="C16" s="78" t="str">
        <f ca="1">VLOOKUP($B16,OFFSET([2]quests!$A$1,0,0,COUNTA([2]quests!$A:$A),MATCH(C$1,[2]quests!$1:$1,0)-MATCH($B$1,[2]quests!$1:$1,0)+1),MATCH(C$1,[2]quests!$1:$1,0)-MATCH($B$1,[2]quests!$1:$1,0)+1,FALSE)</f>
        <v>天の時、地の利、人の和</v>
      </c>
      <c r="D16" s="78" t="str">
        <f ca="1">VLOOKUP($B16,OFFSET([2]quests!$A$1,0,0,COUNTA([2]quests!$A:$A),MATCH(D$1,[2]quests!$1:$1,0)-MATCH($B$1,[2]quests!$1:$1,0)+1),MATCH(D$1,[2]quests!$1:$1,0)-MATCH($B$1,[2]quests!$1:$1,0)+1,FALSE)</f>
        <v>ドロップイベント4</v>
      </c>
      <c r="E16" s="82">
        <v>1</v>
      </c>
      <c r="F16" s="78" t="str">
        <f ca="1">VLOOKUP($B16&amp;"_"&amp;$E16,OFFSET([2]stages!$A$1,0,0,COUNTA([2]stages!$A:$A),MATCH(F$1,[2]stages!$2:$2,0)-MATCH("temp_stage",[2]stages!$2:$2,0)+1),MATCH(F$1,[2]stages!$2:$2,0)-MATCH("temp_stage",[2]stages!$2:$2,0)+1,FALSE)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6" s="78" t="str">
        <f ca="1">VLOOKUP($B16&amp;"_"&amp;$E16,OFFSET([2]stages!$A$1,0,0,COUNTA([2]stages!$A:$A),MATCH(G$1,[2]stages!$2:$2,0)-MATCH("temp_stage",[2]stages!$2:$2,0)+1),MATCH(G$1,[2]stages!$2:$2,0)-MATCH("temp_stage",[2]stages!$2:$2,0)+1,FALSE)</f>
        <v>ドロップイベント4</v>
      </c>
      <c r="H16" s="80">
        <v>0</v>
      </c>
      <c r="I16">
        <v>16</v>
      </c>
      <c r="J16" s="79" t="s">
        <v>197</v>
      </c>
      <c r="K16" s="87" t="str">
        <f>VLOOKUP(I16,[7]stage_hints!$A:$C,3,FALSE)</f>
        <v>マルチプレイのメリット（その1）</v>
      </c>
      <c r="L16" s="88" t="str">
        <f>VLOOKUP(I16,[7]stage_hints!$A:$D,4,FALSE)</f>
        <v>他のプレイヤーとマルチプレイで遊ぶと_x000D_ポリゴンがもらえます（100人まで）</v>
      </c>
      <c r="M16" s="53" t="s">
        <v>210</v>
      </c>
    </row>
    <row r="17" spans="1:13" x14ac:dyDescent="0.15">
      <c r="A17" s="76" t="s">
        <v>200</v>
      </c>
      <c r="B17" s="77">
        <f>floors!$C$2</f>
        <v>20013</v>
      </c>
      <c r="C17" s="78" t="str">
        <f ca="1">VLOOKUP($B17,OFFSET([2]quests!$A$1,0,0,COUNTA([2]quests!$A:$A),MATCH(C$1,[2]quests!$1:$1,0)-MATCH($B$1,[2]quests!$1:$1,0)+1),MATCH(C$1,[2]quests!$1:$1,0)-MATCH($B$1,[2]quests!$1:$1,0)+1,FALSE)</f>
        <v>天の時、地の利、人の和</v>
      </c>
      <c r="D17" s="78" t="str">
        <f ca="1">VLOOKUP($B17,OFFSET([2]quests!$A$1,0,0,COUNTA([2]quests!$A:$A),MATCH(D$1,[2]quests!$1:$1,0)-MATCH($B$1,[2]quests!$1:$1,0)+1),MATCH(D$1,[2]quests!$1:$1,0)-MATCH($B$1,[2]quests!$1:$1,0)+1,FALSE)</f>
        <v>ドロップイベント4</v>
      </c>
      <c r="E17" s="82">
        <v>1</v>
      </c>
      <c r="F17" s="78" t="str">
        <f ca="1">VLOOKUP($B17&amp;"_"&amp;$E17,OFFSET([2]stages!$A$1,0,0,COUNTA([2]stages!$A:$A),MATCH(F$1,[2]stages!$2:$2,0)-MATCH("temp_stage",[2]stages!$2:$2,0)+1),MATCH(F$1,[2]stages!$2:$2,0)-MATCH("temp_stage",[2]stages!$2:$2,0)+1,FALSE)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7" s="78" t="str">
        <f ca="1">VLOOKUP($B17&amp;"_"&amp;$E17,OFFSET([2]stages!$A$1,0,0,COUNTA([2]stages!$A:$A),MATCH(G$1,[2]stages!$2:$2,0)-MATCH("temp_stage",[2]stages!$2:$2,0)+1),MATCH(G$1,[2]stages!$2:$2,0)-MATCH("temp_stage",[2]stages!$2:$2,0)+1,FALSE)</f>
        <v>ドロップイベント4</v>
      </c>
      <c r="H17" s="80">
        <v>0</v>
      </c>
      <c r="I17">
        <v>17</v>
      </c>
      <c r="J17" s="79" t="s">
        <v>197</v>
      </c>
      <c r="K17" s="87" t="str">
        <f>VLOOKUP(I17,[7]stage_hints!$A:$C,3,FALSE)</f>
        <v>リンクガチャ</v>
      </c>
      <c r="L17" s="88" t="str">
        <f>VLOOKUP(I17,[7]stage_hints!$A:$D,4,FALSE)</f>
        <v>無料のリンクガチャを回して_x000D_経験値素材や売却素材を獲得しましょう</v>
      </c>
      <c r="M17" s="53" t="s">
        <v>210</v>
      </c>
    </row>
    <row r="18" spans="1:13" x14ac:dyDescent="0.15">
      <c r="A18" s="76" t="s">
        <v>200</v>
      </c>
      <c r="B18" s="77">
        <f>floors!$C$2</f>
        <v>20013</v>
      </c>
      <c r="C18" s="78" t="str">
        <f ca="1">VLOOKUP($B18,OFFSET([2]quests!$A$1,0,0,COUNTA([2]quests!$A:$A),MATCH(C$1,[2]quests!$1:$1,0)-MATCH($B$1,[2]quests!$1:$1,0)+1),MATCH(C$1,[2]quests!$1:$1,0)-MATCH($B$1,[2]quests!$1:$1,0)+1,FALSE)</f>
        <v>天の時、地の利、人の和</v>
      </c>
      <c r="D18" s="78" t="str">
        <f ca="1">VLOOKUP($B18,OFFSET([2]quests!$A$1,0,0,COUNTA([2]quests!$A:$A),MATCH(D$1,[2]quests!$1:$1,0)-MATCH($B$1,[2]quests!$1:$1,0)+1),MATCH(D$1,[2]quests!$1:$1,0)-MATCH($B$1,[2]quests!$1:$1,0)+1,FALSE)</f>
        <v>ドロップイベント4</v>
      </c>
      <c r="E18" s="82">
        <v>1</v>
      </c>
      <c r="F18" s="78" t="str">
        <f ca="1">VLOOKUP($B18&amp;"_"&amp;$E18,OFFSET([2]stages!$A$1,0,0,COUNTA([2]stages!$A:$A),MATCH(F$1,[2]stages!$2:$2,0)-MATCH("temp_stage",[2]stages!$2:$2,0)+1),MATCH(F$1,[2]stages!$2:$2,0)-MATCH("temp_stage",[2]stages!$2:$2,0)+1,FALSE)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8" s="78" t="str">
        <f ca="1">VLOOKUP($B18&amp;"_"&amp;$E18,OFFSET([2]stages!$A$1,0,0,COUNTA([2]stages!$A:$A),MATCH(G$1,[2]stages!$2:$2,0)-MATCH("temp_stage",[2]stages!$2:$2,0)+1),MATCH(G$1,[2]stages!$2:$2,0)-MATCH("temp_stage",[2]stages!$2:$2,0)+1,FALSE)</f>
        <v>ドロップイベント4</v>
      </c>
      <c r="H18" s="80">
        <v>0</v>
      </c>
      <c r="I18">
        <v>18</v>
      </c>
      <c r="J18" s="79" t="s">
        <v>197</v>
      </c>
      <c r="K18" s="87" t="str">
        <f>VLOOKUP(I18,[7]stage_hints!$A:$C,3,FALSE)</f>
        <v>マルチプレイのメリット（その2）</v>
      </c>
      <c r="L18" s="88" t="str">
        <f>VLOOKUP(I18,[7]stage_hints!$A:$D,4,FALSE)</f>
        <v>マルチプレイならリンクが2倍もらえます_x000D_リンクガチャをたくさん回しましょう</v>
      </c>
      <c r="M18" s="53" t="s">
        <v>210</v>
      </c>
    </row>
    <row r="19" spans="1:13" x14ac:dyDescent="0.15">
      <c r="A19" s="76" t="s">
        <v>200</v>
      </c>
      <c r="B19" s="77">
        <f>floors!$C$2</f>
        <v>20013</v>
      </c>
      <c r="C19" s="78" t="str">
        <f ca="1">VLOOKUP($B19,OFFSET([2]quests!$A$1,0,0,COUNTA([2]quests!$A:$A),MATCH(C$1,[2]quests!$1:$1,0)-MATCH($B$1,[2]quests!$1:$1,0)+1),MATCH(C$1,[2]quests!$1:$1,0)-MATCH($B$1,[2]quests!$1:$1,0)+1,FALSE)</f>
        <v>天の時、地の利、人の和</v>
      </c>
      <c r="D19" s="78" t="str">
        <f ca="1">VLOOKUP($B19,OFFSET([2]quests!$A$1,0,0,COUNTA([2]quests!$A:$A),MATCH(D$1,[2]quests!$1:$1,0)-MATCH($B$1,[2]quests!$1:$1,0)+1),MATCH(D$1,[2]quests!$1:$1,0)-MATCH($B$1,[2]quests!$1:$1,0)+1,FALSE)</f>
        <v>ドロップイベント4</v>
      </c>
      <c r="E19" s="82">
        <v>1</v>
      </c>
      <c r="F19" s="78" t="str">
        <f ca="1">VLOOKUP($B19&amp;"_"&amp;$E19,OFFSET([2]stages!$A$1,0,0,COUNTA([2]stages!$A:$A),MATCH(F$1,[2]stages!$2:$2,0)-MATCH("temp_stage",[2]stages!$2:$2,0)+1),MATCH(F$1,[2]stages!$2:$2,0)-MATCH("temp_stage",[2]stages!$2:$2,0)+1,FALSE)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19" s="78" t="str">
        <f ca="1">VLOOKUP($B19&amp;"_"&amp;$E19,OFFSET([2]stages!$A$1,0,0,COUNTA([2]stages!$A:$A),MATCH(G$1,[2]stages!$2:$2,0)-MATCH("temp_stage",[2]stages!$2:$2,0)+1),MATCH(G$1,[2]stages!$2:$2,0)-MATCH("temp_stage",[2]stages!$2:$2,0)+1,FALSE)</f>
        <v>ドロップイベント4</v>
      </c>
      <c r="H19" s="80">
        <v>0</v>
      </c>
      <c r="I19">
        <v>19</v>
      </c>
      <c r="J19" s="79" t="s">
        <v>197</v>
      </c>
      <c r="K19" s="87" t="str">
        <f>VLOOKUP(I19,[7]stage_hints!$A:$C,3,FALSE)</f>
        <v>ソロ専用タワーオブザクイーン</v>
      </c>
      <c r="L19" s="88" t="str">
        <f>VLOOKUP(I19,[7]stage_hints!$A:$D,4,FALSE)</f>
        <v>ソロ専用の「タワーオブザクイーン」は_x000D_期間限定で定期的に開催されます_x000D_ここでしか獲得できない報酬もあるようです</v>
      </c>
      <c r="M19" s="53" t="s">
        <v>210</v>
      </c>
    </row>
    <row r="20" spans="1:13" x14ac:dyDescent="0.15">
      <c r="A20" s="76" t="s">
        <v>200</v>
      </c>
      <c r="B20" s="77">
        <f>floors!$C$2</f>
        <v>20013</v>
      </c>
      <c r="C20" s="78" t="str">
        <f ca="1">VLOOKUP($B20,OFFSET([2]quests!$A$1,0,0,COUNTA([2]quests!$A:$A),MATCH(C$1,[2]quests!$1:$1,0)-MATCH($B$1,[2]quests!$1:$1,0)+1),MATCH(C$1,[2]quests!$1:$1,0)-MATCH($B$1,[2]quests!$1:$1,0)+1,FALSE)</f>
        <v>天の時、地の利、人の和</v>
      </c>
      <c r="D20" s="78" t="str">
        <f ca="1">VLOOKUP($B20,OFFSET([2]quests!$A$1,0,0,COUNTA([2]quests!$A:$A),MATCH(D$1,[2]quests!$1:$1,0)-MATCH($B$1,[2]quests!$1:$1,0)+1),MATCH(D$1,[2]quests!$1:$1,0)-MATCH($B$1,[2]quests!$1:$1,0)+1,FALSE)</f>
        <v>ドロップイベント4</v>
      </c>
      <c r="E20" s="82">
        <v>1</v>
      </c>
      <c r="F20" s="78" t="str">
        <f ca="1">VLOOKUP($B20&amp;"_"&amp;$E20,OFFSET([2]stages!$A$1,0,0,COUNTA([2]stages!$A:$A),MATCH(F$1,[2]stages!$2:$2,0)-MATCH("temp_stage",[2]stages!$2:$2,0)+1),MATCH(F$1,[2]stages!$2:$2,0)-MATCH("temp_stage",[2]stages!$2:$2,0)+1,FALSE)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0" s="78" t="str">
        <f ca="1">VLOOKUP($B20&amp;"_"&amp;$E20,OFFSET([2]stages!$A$1,0,0,COUNTA([2]stages!$A:$A),MATCH(G$1,[2]stages!$2:$2,0)-MATCH("temp_stage",[2]stages!$2:$2,0)+1),MATCH(G$1,[2]stages!$2:$2,0)-MATCH("temp_stage",[2]stages!$2:$2,0)+1,FALSE)</f>
        <v>ドロップイベント4</v>
      </c>
      <c r="H20" s="80">
        <v>0</v>
      </c>
      <c r="I20">
        <v>20</v>
      </c>
      <c r="J20" s="79" t="s">
        <v>197</v>
      </c>
      <c r="K20" s="87" t="str">
        <f>VLOOKUP(I20,[7]stage_hints!$A:$C,3,FALSE)</f>
        <v>マルチプレイのメリット（その3）</v>
      </c>
      <c r="L20" s="88" t="str">
        <f>VLOOKUP(I20,[7]stage_hints!$A:$D,4,FALSE)</f>
        <v>マルチプレイへの参加はエナジー消費ゼロ_x000D_いつでも好きなだけ遊ぶことができます</v>
      </c>
      <c r="M20" s="53" t="s">
        <v>210</v>
      </c>
    </row>
    <row r="21" spans="1:13" x14ac:dyDescent="0.15">
      <c r="A21" s="76" t="s">
        <v>200</v>
      </c>
      <c r="B21" s="77">
        <f>floors!$C$2</f>
        <v>20013</v>
      </c>
      <c r="C21" s="78" t="str">
        <f ca="1">VLOOKUP($B21,OFFSET([2]quests!$A$1,0,0,COUNTA([2]quests!$A:$A),MATCH(C$1,[2]quests!$1:$1,0)-MATCH($B$1,[2]quests!$1:$1,0)+1),MATCH(C$1,[2]quests!$1:$1,0)-MATCH($B$1,[2]quests!$1:$1,0)+1,FALSE)</f>
        <v>天の時、地の利、人の和</v>
      </c>
      <c r="D21" s="78" t="str">
        <f ca="1">VLOOKUP($B21,OFFSET([2]quests!$A$1,0,0,COUNTA([2]quests!$A:$A),MATCH(D$1,[2]quests!$1:$1,0)-MATCH($B$1,[2]quests!$1:$1,0)+1),MATCH(D$1,[2]quests!$1:$1,0)-MATCH($B$1,[2]quests!$1:$1,0)+1,FALSE)</f>
        <v>ドロップイベント4</v>
      </c>
      <c r="E21" s="82">
        <v>1</v>
      </c>
      <c r="F21" s="78" t="str">
        <f ca="1">VLOOKUP($B21&amp;"_"&amp;$E21,OFFSET([2]stages!$A$1,0,0,COUNTA([2]stages!$A:$A),MATCH(F$1,[2]stages!$2:$2,0)-MATCH("temp_stage",[2]stages!$2:$2,0)+1),MATCH(F$1,[2]stages!$2:$2,0)-MATCH("temp_stage",[2]stages!$2:$2,0)+1,FALSE)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1" s="78" t="str">
        <f ca="1">VLOOKUP($B21&amp;"_"&amp;$E21,OFFSET([2]stages!$A$1,0,0,COUNTA([2]stages!$A:$A),MATCH(G$1,[2]stages!$2:$2,0)-MATCH("temp_stage",[2]stages!$2:$2,0)+1),MATCH(G$1,[2]stages!$2:$2,0)-MATCH("temp_stage",[2]stages!$2:$2,0)+1,FALSE)</f>
        <v>ドロップイベント4</v>
      </c>
      <c r="H21" s="80">
        <v>0</v>
      </c>
      <c r="I21">
        <v>21</v>
      </c>
      <c r="J21" s="79" t="s">
        <v>197</v>
      </c>
      <c r="K21" s="87" t="str">
        <f>VLOOKUP(I21,[7]stage_hints!$A:$C,3,FALSE)</f>
        <v>スキルを有効に</v>
      </c>
      <c r="L21" s="88" t="str">
        <f>VLOOKUP(I21,[7]stage_hints!$A:$D,4,FALSE)</f>
        <v>ターン経過でユニットのスキルが使えます_x000D_強力スキルでバトルを有利に進めましょう</v>
      </c>
      <c r="M21" s="53" t="s">
        <v>210</v>
      </c>
    </row>
    <row r="22" spans="1:13" x14ac:dyDescent="0.15">
      <c r="A22" s="76" t="s">
        <v>200</v>
      </c>
      <c r="B22" s="77">
        <f>floors!$C$2</f>
        <v>20013</v>
      </c>
      <c r="C22" s="78" t="str">
        <f ca="1">VLOOKUP($B22,OFFSET([2]quests!$A$1,0,0,COUNTA([2]quests!$A:$A),MATCH(C$1,[2]quests!$1:$1,0)-MATCH($B$1,[2]quests!$1:$1,0)+1),MATCH(C$1,[2]quests!$1:$1,0)-MATCH($B$1,[2]quests!$1:$1,0)+1,FALSE)</f>
        <v>天の時、地の利、人の和</v>
      </c>
      <c r="D22" s="78" t="str">
        <f ca="1">VLOOKUP($B22,OFFSET([2]quests!$A$1,0,0,COUNTA([2]quests!$A:$A),MATCH(D$1,[2]quests!$1:$1,0)-MATCH($B$1,[2]quests!$1:$1,0)+1),MATCH(D$1,[2]quests!$1:$1,0)-MATCH($B$1,[2]quests!$1:$1,0)+1,FALSE)</f>
        <v>ドロップイベント4</v>
      </c>
      <c r="E22" s="82">
        <v>1</v>
      </c>
      <c r="F22" s="78" t="str">
        <f ca="1">VLOOKUP($B22&amp;"_"&amp;$E22,OFFSET([2]stages!$A$1,0,0,COUNTA([2]stages!$A:$A),MATCH(F$1,[2]stages!$2:$2,0)-MATCH("temp_stage",[2]stages!$2:$2,0)+1),MATCH(F$1,[2]stages!$2:$2,0)-MATCH("temp_stage",[2]stages!$2:$2,0)+1,FALSE)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2" s="78" t="str">
        <f ca="1">VLOOKUP($B22&amp;"_"&amp;$E22,OFFSET([2]stages!$A$1,0,0,COUNTA([2]stages!$A:$A),MATCH(G$1,[2]stages!$2:$2,0)-MATCH("temp_stage",[2]stages!$2:$2,0)+1),MATCH(G$1,[2]stages!$2:$2,0)-MATCH("temp_stage",[2]stages!$2:$2,0)+1,FALSE)</f>
        <v>ドロップイベント4</v>
      </c>
      <c r="H22" s="80">
        <v>0</v>
      </c>
      <c r="I22">
        <v>22</v>
      </c>
      <c r="J22" s="79" t="s">
        <v>197</v>
      </c>
      <c r="K22" s="87" t="str">
        <f>VLOOKUP(I22,[7]stage_hints!$A:$C,3,FALSE)</f>
        <v>フィーバーで一発逆転（その1）</v>
      </c>
      <c r="L22" s="88" t="str">
        <f>VLOOKUP(I22,[7]stage_hints!$A:$D,4,FALSE)</f>
        <v>フィーバーは攻撃と回復を兼ね備えます_x000D_ピンチからの一発逆転を狙いましょう</v>
      </c>
      <c r="M22" s="53" t="s">
        <v>210</v>
      </c>
    </row>
    <row r="23" spans="1:13" x14ac:dyDescent="0.15">
      <c r="A23" s="76" t="s">
        <v>200</v>
      </c>
      <c r="B23" s="77">
        <f>floors!$C$2</f>
        <v>20013</v>
      </c>
      <c r="C23" s="78" t="str">
        <f ca="1">VLOOKUP($B23,OFFSET([2]quests!$A$1,0,0,COUNTA([2]quests!$A:$A),MATCH(C$1,[2]quests!$1:$1,0)-MATCH($B$1,[2]quests!$1:$1,0)+1),MATCH(C$1,[2]quests!$1:$1,0)-MATCH($B$1,[2]quests!$1:$1,0)+1,FALSE)</f>
        <v>天の時、地の利、人の和</v>
      </c>
      <c r="D23" s="78" t="str">
        <f ca="1">VLOOKUP($B23,OFFSET([2]quests!$A$1,0,0,COUNTA([2]quests!$A:$A),MATCH(D$1,[2]quests!$1:$1,0)-MATCH($B$1,[2]quests!$1:$1,0)+1),MATCH(D$1,[2]quests!$1:$1,0)-MATCH($B$1,[2]quests!$1:$1,0)+1,FALSE)</f>
        <v>ドロップイベント4</v>
      </c>
      <c r="E23" s="82">
        <v>1</v>
      </c>
      <c r="F23" s="78" t="str">
        <f ca="1">VLOOKUP($B23&amp;"_"&amp;$E23,OFFSET([2]stages!$A$1,0,0,COUNTA([2]stages!$A:$A),MATCH(F$1,[2]stages!$2:$2,0)-MATCH("temp_stage",[2]stages!$2:$2,0)+1),MATCH(F$1,[2]stages!$2:$2,0)-MATCH("temp_stage",[2]stages!$2:$2,0)+1,FALSE)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3" s="78" t="str">
        <f ca="1">VLOOKUP($B23&amp;"_"&amp;$E23,OFFSET([2]stages!$A$1,0,0,COUNTA([2]stages!$A:$A),MATCH(G$1,[2]stages!$2:$2,0)-MATCH("temp_stage",[2]stages!$2:$2,0)+1),MATCH(G$1,[2]stages!$2:$2,0)-MATCH("temp_stage",[2]stages!$2:$2,0)+1,FALSE)</f>
        <v>ドロップイベント4</v>
      </c>
      <c r="H23" s="80">
        <v>0</v>
      </c>
      <c r="I23">
        <v>23</v>
      </c>
      <c r="J23" s="79" t="s">
        <v>197</v>
      </c>
      <c r="K23" s="87" t="str">
        <f>VLOOKUP(I23,[7]stage_hints!$A:$C,3,FALSE)</f>
        <v>フィーバーで一発逆転（その2）</v>
      </c>
      <c r="L23" s="88" t="str">
        <f>VLOOKUP(I23,[7]stage_hints!$A:$D,4,FALSE)</f>
        <v>フィーバー中は虹色のボムパネルを狙って_x000D_画面上のパネルを一気に破壊しましょう</v>
      </c>
      <c r="M23" s="53" t="s">
        <v>210</v>
      </c>
    </row>
    <row r="24" spans="1:13" x14ac:dyDescent="0.15">
      <c r="A24" s="76" t="s">
        <v>200</v>
      </c>
      <c r="B24" s="77">
        <f>floors!$C$2</f>
        <v>20013</v>
      </c>
      <c r="C24" s="78" t="str">
        <f ca="1">VLOOKUP($B24,OFFSET([2]quests!$A$1,0,0,COUNTA([2]quests!$A:$A),MATCH(C$1,[2]quests!$1:$1,0)-MATCH($B$1,[2]quests!$1:$1,0)+1),MATCH(C$1,[2]quests!$1:$1,0)-MATCH($B$1,[2]quests!$1:$1,0)+1,FALSE)</f>
        <v>天の時、地の利、人の和</v>
      </c>
      <c r="D24" s="78" t="str">
        <f ca="1">VLOOKUP($B24,OFFSET([2]quests!$A$1,0,0,COUNTA([2]quests!$A:$A),MATCH(D$1,[2]quests!$1:$1,0)-MATCH($B$1,[2]quests!$1:$1,0)+1),MATCH(D$1,[2]quests!$1:$1,0)-MATCH($B$1,[2]quests!$1:$1,0)+1,FALSE)</f>
        <v>ドロップイベント4</v>
      </c>
      <c r="E24" s="82">
        <v>1</v>
      </c>
      <c r="F24" s="78" t="str">
        <f ca="1">VLOOKUP($B24&amp;"_"&amp;$E24,OFFSET([2]stages!$A$1,0,0,COUNTA([2]stages!$A:$A),MATCH(F$1,[2]stages!$2:$2,0)-MATCH("temp_stage",[2]stages!$2:$2,0)+1),MATCH(F$1,[2]stages!$2:$2,0)-MATCH("temp_stage",[2]stages!$2:$2,0)+1,FALSE)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4" s="78" t="str">
        <f ca="1">VLOOKUP($B24&amp;"_"&amp;$E24,OFFSET([2]stages!$A$1,0,0,COUNTA([2]stages!$A:$A),MATCH(G$1,[2]stages!$2:$2,0)-MATCH("temp_stage",[2]stages!$2:$2,0)+1),MATCH(G$1,[2]stages!$2:$2,0)-MATCH("temp_stage",[2]stages!$2:$2,0)+1,FALSE)</f>
        <v>ドロップイベント4</v>
      </c>
      <c r="H24" s="80">
        <v>0</v>
      </c>
      <c r="I24">
        <v>24</v>
      </c>
      <c r="J24" s="79" t="s">
        <v>197</v>
      </c>
      <c r="K24" s="87" t="str">
        <f>VLOOKUP(I24,[7]stage_hints!$A:$C,3,FALSE)</f>
        <v>果実を使って限界突破</v>
      </c>
      <c r="L24" s="88" t="str">
        <f>VLOOKUP(I24,[7]stage_hints!$A:$D,4,FALSE)</f>
        <v>攻めの果実 癒しの果実_x000D_生命の果実をユニット強化に使うと_x000D_ステータスが限界突破します（計99個迄）</v>
      </c>
      <c r="M24" s="53" t="s">
        <v>210</v>
      </c>
    </row>
    <row r="25" spans="1:13" x14ac:dyDescent="0.15">
      <c r="A25" s="76" t="s">
        <v>200</v>
      </c>
      <c r="B25" s="77">
        <f>floors!$C$2</f>
        <v>20013</v>
      </c>
      <c r="C25" s="78" t="str">
        <f ca="1">VLOOKUP($B25,OFFSET([2]quests!$A$1,0,0,COUNTA([2]quests!$A:$A),MATCH(C$1,[2]quests!$1:$1,0)-MATCH($B$1,[2]quests!$1:$1,0)+1),MATCH(C$1,[2]quests!$1:$1,0)-MATCH($B$1,[2]quests!$1:$1,0)+1,FALSE)</f>
        <v>天の時、地の利、人の和</v>
      </c>
      <c r="D25" s="78" t="str">
        <f ca="1">VLOOKUP($B25,OFFSET([2]quests!$A$1,0,0,COUNTA([2]quests!$A:$A),MATCH(D$1,[2]quests!$1:$1,0)-MATCH($B$1,[2]quests!$1:$1,0)+1),MATCH(D$1,[2]quests!$1:$1,0)-MATCH($B$1,[2]quests!$1:$1,0)+1,FALSE)</f>
        <v>ドロップイベント4</v>
      </c>
      <c r="E25" s="82">
        <v>1</v>
      </c>
      <c r="F25" s="78" t="str">
        <f ca="1">VLOOKUP($B25&amp;"_"&amp;$E25,OFFSET([2]stages!$A$1,0,0,COUNTA([2]stages!$A:$A),MATCH(F$1,[2]stages!$2:$2,0)-MATCH("temp_stage",[2]stages!$2:$2,0)+1),MATCH(F$1,[2]stages!$2:$2,0)-MATCH("temp_stage",[2]stages!$2:$2,0)+1,FALSE)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5" s="78" t="str">
        <f ca="1">VLOOKUP($B25&amp;"_"&amp;$E25,OFFSET([2]stages!$A$1,0,0,COUNTA([2]stages!$A:$A),MATCH(G$1,[2]stages!$2:$2,0)-MATCH("temp_stage",[2]stages!$2:$2,0)+1),MATCH(G$1,[2]stages!$2:$2,0)-MATCH("temp_stage",[2]stages!$2:$2,0)+1,FALSE)</f>
        <v>ドロップイベント4</v>
      </c>
      <c r="H25" s="80">
        <v>0</v>
      </c>
      <c r="I25">
        <v>25</v>
      </c>
      <c r="J25" s="79" t="s">
        <v>197</v>
      </c>
      <c r="K25" s="87" t="str">
        <f>VLOOKUP(I25,[7]stage_hints!$A:$C,3,FALSE)</f>
        <v>スキルレベルアップ</v>
      </c>
      <c r="L25" s="88" t="str">
        <f>VLOOKUP(I25,[7]stage_hints!$A:$D,4,FALSE)</f>
        <v>「秘術の果実」を強化に使うと_x000D_スキルレベルを上げることができます</v>
      </c>
      <c r="M25" s="53" t="s">
        <v>210</v>
      </c>
    </row>
    <row r="26" spans="1:13" x14ac:dyDescent="0.15">
      <c r="A26" s="76" t="s">
        <v>200</v>
      </c>
      <c r="B26" s="77">
        <f>floors!$C$2</f>
        <v>20013</v>
      </c>
      <c r="C26" s="78" t="str">
        <f ca="1">VLOOKUP($B26,OFFSET([2]quests!$A$1,0,0,COUNTA([2]quests!$A:$A),MATCH(C$1,[2]quests!$1:$1,0)-MATCH($B$1,[2]quests!$1:$1,0)+1),MATCH(C$1,[2]quests!$1:$1,0)-MATCH($B$1,[2]quests!$1:$1,0)+1,FALSE)</f>
        <v>天の時、地の利、人の和</v>
      </c>
      <c r="D26" s="78" t="str">
        <f ca="1">VLOOKUP($B26,OFFSET([2]quests!$A$1,0,0,COUNTA([2]quests!$A:$A),MATCH(D$1,[2]quests!$1:$1,0)-MATCH($B$1,[2]quests!$1:$1,0)+1),MATCH(D$1,[2]quests!$1:$1,0)-MATCH($B$1,[2]quests!$1:$1,0)+1,FALSE)</f>
        <v>ドロップイベント4</v>
      </c>
      <c r="E26" s="82">
        <v>1</v>
      </c>
      <c r="F26" s="78" t="str">
        <f ca="1">VLOOKUP($B26&amp;"_"&amp;$E26,OFFSET([2]stages!$A$1,0,0,COUNTA([2]stages!$A:$A),MATCH(F$1,[2]stages!$2:$2,0)-MATCH("temp_stage",[2]stages!$2:$2,0)+1),MATCH(F$1,[2]stages!$2:$2,0)-MATCH("temp_stage",[2]stages!$2:$2,0)+1,FALSE)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6" s="78" t="str">
        <f ca="1">VLOOKUP($B26&amp;"_"&amp;$E26,OFFSET([2]stages!$A$1,0,0,COUNTA([2]stages!$A:$A),MATCH(G$1,[2]stages!$2:$2,0)-MATCH("temp_stage",[2]stages!$2:$2,0)+1),MATCH(G$1,[2]stages!$2:$2,0)-MATCH("temp_stage",[2]stages!$2:$2,0)+1,FALSE)</f>
        <v>ドロップイベント4</v>
      </c>
      <c r="H26" s="80">
        <v>0</v>
      </c>
      <c r="I26">
        <v>26</v>
      </c>
      <c r="J26" s="79" t="s">
        <v>197</v>
      </c>
      <c r="K26" s="87" t="str">
        <f>VLOOKUP(I26,[7]stage_hints!$A:$C,3,FALSE)</f>
        <v>スキルレベルの効果</v>
      </c>
      <c r="L26" s="88" t="str">
        <f>VLOOKUP(I26,[7]stage_hints!$A:$D,4,FALSE)</f>
        <v>スキルレベルが上がると_x000D_短いターンでスキルを使うことができます</v>
      </c>
      <c r="M26" s="53" t="s">
        <v>210</v>
      </c>
    </row>
    <row r="27" spans="1:13" x14ac:dyDescent="0.15">
      <c r="A27" s="76" t="s">
        <v>200</v>
      </c>
      <c r="B27" s="77">
        <f>floors!$C$2</f>
        <v>20013</v>
      </c>
      <c r="C27" s="78" t="str">
        <f ca="1">VLOOKUP($B27,OFFSET([2]quests!$A$1,0,0,COUNTA([2]quests!$A:$A),MATCH(C$1,[2]quests!$1:$1,0)-MATCH($B$1,[2]quests!$1:$1,0)+1),MATCH(C$1,[2]quests!$1:$1,0)-MATCH($B$1,[2]quests!$1:$1,0)+1,FALSE)</f>
        <v>天の時、地の利、人の和</v>
      </c>
      <c r="D27" s="78" t="str">
        <f ca="1">VLOOKUP($B27,OFFSET([2]quests!$A$1,0,0,COUNTA([2]quests!$A:$A),MATCH(D$1,[2]quests!$1:$1,0)-MATCH($B$1,[2]quests!$1:$1,0)+1),MATCH(D$1,[2]quests!$1:$1,0)-MATCH($B$1,[2]quests!$1:$1,0)+1,FALSE)</f>
        <v>ドロップイベント4</v>
      </c>
      <c r="E27" s="82">
        <v>1</v>
      </c>
      <c r="F27" s="78" t="str">
        <f ca="1">VLOOKUP($B27&amp;"_"&amp;$E27,OFFSET([2]stages!$A$1,0,0,COUNTA([2]stages!$A:$A),MATCH(F$1,[2]stages!$2:$2,0)-MATCH("temp_stage",[2]stages!$2:$2,0)+1),MATCH(F$1,[2]stages!$2:$2,0)-MATCH("temp_stage",[2]stages!$2:$2,0)+1,FALSE)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7" s="78" t="str">
        <f ca="1">VLOOKUP($B27&amp;"_"&amp;$E27,OFFSET([2]stages!$A$1,0,0,COUNTA([2]stages!$A:$A),MATCH(G$1,[2]stages!$2:$2,0)-MATCH("temp_stage",[2]stages!$2:$2,0)+1),MATCH(G$1,[2]stages!$2:$2,0)-MATCH("temp_stage",[2]stages!$2:$2,0)+1,FALSE)</f>
        <v>ドロップイベント4</v>
      </c>
      <c r="H27" s="80">
        <v>0</v>
      </c>
      <c r="I27">
        <v>39</v>
      </c>
      <c r="J27" s="79" t="s">
        <v>197</v>
      </c>
      <c r="K27" s="87" t="str">
        <f>VLOOKUP(I27,[7]stage_hints!$A:$C,3,FALSE)</f>
        <v>システム適合者を確認</v>
      </c>
      <c r="L27" s="88" t="str">
        <f>VLOOKUP(I27,[7]stage_hints!$A:$D,4,FALSE)</f>
        <v>ALICEが 「アナタ」を呼んでいます</v>
      </c>
      <c r="M27" s="53" t="s">
        <v>210</v>
      </c>
    </row>
    <row r="28" spans="1:13" x14ac:dyDescent="0.15">
      <c r="A28" s="76" t="s">
        <v>200</v>
      </c>
      <c r="B28" s="77">
        <f>floors!$C$2</f>
        <v>20013</v>
      </c>
      <c r="C28" s="78" t="str">
        <f ca="1">VLOOKUP($B28,OFFSET([2]quests!$A$1,0,0,COUNTA([2]quests!$A:$A),MATCH(C$1,[2]quests!$1:$1,0)-MATCH($B$1,[2]quests!$1:$1,0)+1),MATCH(C$1,[2]quests!$1:$1,0)-MATCH($B$1,[2]quests!$1:$1,0)+1,FALSE)</f>
        <v>天の時、地の利、人の和</v>
      </c>
      <c r="D28" s="78" t="str">
        <f ca="1">VLOOKUP($B28,OFFSET([2]quests!$A$1,0,0,COUNTA([2]quests!$A:$A),MATCH(D$1,[2]quests!$1:$1,0)-MATCH($B$1,[2]quests!$1:$1,0)+1),MATCH(D$1,[2]quests!$1:$1,0)-MATCH($B$1,[2]quests!$1:$1,0)+1,FALSE)</f>
        <v>ドロップイベント4</v>
      </c>
      <c r="E28" s="82">
        <v>2</v>
      </c>
      <c r="F28" s="78" t="str">
        <f ca="1">VLOOKUP($B28&amp;"_"&amp;$E28,OFFSET([2]stages!$A$1,0,0,COUNTA([2]stages!$A:$A),MATCH(F$1,[2]stages!$2:$2,0)-MATCH("temp_stage",[2]stages!$2:$2,0)+1),MATCH(F$1,[2]stages!$2:$2,0)-MATCH("temp_stage",[2]stages!$2:$2,0)+1,FALSE)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28" s="78" t="str">
        <f ca="1">VLOOKUP($B28&amp;"_"&amp;$E28,OFFSET([2]stages!$A$1,0,0,COUNTA([2]stages!$A:$A),MATCH(G$1,[2]stages!$2:$2,0)-MATCH("temp_stage",[2]stages!$2:$2,0)+1),MATCH(G$1,[2]stages!$2:$2,0)-MATCH("temp_stage",[2]stages!$2:$2,0)+1,FALSE)</f>
        <v>ドロップイベント4</v>
      </c>
      <c r="H28" s="80">
        <v>0</v>
      </c>
      <c r="I28">
        <v>3</v>
      </c>
      <c r="J28" s="79" t="s">
        <v>197</v>
      </c>
      <c r="K28" s="87" t="str">
        <f>VLOOKUP(I28,[7]stage_hints!$A:$C,3,FALSE)</f>
        <v>ターゲット</v>
      </c>
      <c r="L28" s="88" t="str">
        <f>VLOOKUP(I28,[7]stage_hints!$A:$D,4,FALSE)</f>
        <v>敵ユニットをタップすると_x000D_その敵を狙い撃ちできます</v>
      </c>
      <c r="M28" s="53" t="s">
        <v>210</v>
      </c>
    </row>
    <row r="29" spans="1:13" x14ac:dyDescent="0.15">
      <c r="A29" s="76" t="s">
        <v>200</v>
      </c>
      <c r="B29" s="77">
        <f>floors!$C$2</f>
        <v>20013</v>
      </c>
      <c r="C29" s="78" t="str">
        <f ca="1">VLOOKUP($B29,OFFSET([2]quests!$A$1,0,0,COUNTA([2]quests!$A:$A),MATCH(C$1,[2]quests!$1:$1,0)-MATCH($B$1,[2]quests!$1:$1,0)+1),MATCH(C$1,[2]quests!$1:$1,0)-MATCH($B$1,[2]quests!$1:$1,0)+1,FALSE)</f>
        <v>天の時、地の利、人の和</v>
      </c>
      <c r="D29" s="78" t="str">
        <f ca="1">VLOOKUP($B29,OFFSET([2]quests!$A$1,0,0,COUNTA([2]quests!$A:$A),MATCH(D$1,[2]quests!$1:$1,0)-MATCH($B$1,[2]quests!$1:$1,0)+1),MATCH(D$1,[2]quests!$1:$1,0)-MATCH($B$1,[2]quests!$1:$1,0)+1,FALSE)</f>
        <v>ドロップイベント4</v>
      </c>
      <c r="E29" s="82">
        <v>2</v>
      </c>
      <c r="F29" s="78" t="str">
        <f ca="1">VLOOKUP($B29&amp;"_"&amp;$E29,OFFSET([2]stages!$A$1,0,0,COUNTA([2]stages!$A:$A),MATCH(F$1,[2]stages!$2:$2,0)-MATCH("temp_stage",[2]stages!$2:$2,0)+1),MATCH(F$1,[2]stages!$2:$2,0)-MATCH("temp_stage",[2]stages!$2:$2,0)+1,FALSE)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29" s="78" t="str">
        <f ca="1">VLOOKUP($B29&amp;"_"&amp;$E29,OFFSET([2]stages!$A$1,0,0,COUNTA([2]stages!$A:$A),MATCH(G$1,[2]stages!$2:$2,0)-MATCH("temp_stage",[2]stages!$2:$2,0)+1),MATCH(G$1,[2]stages!$2:$2,0)-MATCH("temp_stage",[2]stages!$2:$2,0)+1,FALSE)</f>
        <v>ドロップイベント4</v>
      </c>
      <c r="H29" s="80">
        <v>0</v>
      </c>
      <c r="I29">
        <v>6</v>
      </c>
      <c r="J29" s="79" t="s">
        <v>197</v>
      </c>
      <c r="K29" s="87" t="str">
        <f>VLOOKUP(I29,[7]stage_hints!$A:$C,3,FALSE)</f>
        <v>ユニット強化の属性ボーナス</v>
      </c>
      <c r="L29" s="88" t="str">
        <f>VLOOKUP(I29,[7]stage_hints!$A:$D,4,FALSE)</f>
        <v>同属性ユニットを強化素材にすると_x000D_経験値が多くもらえます</v>
      </c>
      <c r="M29" s="53" t="s">
        <v>210</v>
      </c>
    </row>
    <row r="30" spans="1:13" x14ac:dyDescent="0.15">
      <c r="A30" s="76" t="s">
        <v>200</v>
      </c>
      <c r="B30" s="77">
        <f>floors!$C$2</f>
        <v>20013</v>
      </c>
      <c r="C30" s="78" t="str">
        <f ca="1">VLOOKUP($B30,OFFSET([2]quests!$A$1,0,0,COUNTA([2]quests!$A:$A),MATCH(C$1,[2]quests!$1:$1,0)-MATCH($B$1,[2]quests!$1:$1,0)+1),MATCH(C$1,[2]quests!$1:$1,0)-MATCH($B$1,[2]quests!$1:$1,0)+1,FALSE)</f>
        <v>天の時、地の利、人の和</v>
      </c>
      <c r="D30" s="78" t="str">
        <f ca="1">VLOOKUP($B30,OFFSET([2]quests!$A$1,0,0,COUNTA([2]quests!$A:$A),MATCH(D$1,[2]quests!$1:$1,0)-MATCH($B$1,[2]quests!$1:$1,0)+1),MATCH(D$1,[2]quests!$1:$1,0)-MATCH($B$1,[2]quests!$1:$1,0)+1,FALSE)</f>
        <v>ドロップイベント4</v>
      </c>
      <c r="E30" s="82">
        <v>2</v>
      </c>
      <c r="F30" s="78" t="str">
        <f ca="1">VLOOKUP($B30&amp;"_"&amp;$E30,OFFSET([2]stages!$A$1,0,0,COUNTA([2]stages!$A:$A),MATCH(F$1,[2]stages!$2:$2,0)-MATCH("temp_stage",[2]stages!$2:$2,0)+1),MATCH(F$1,[2]stages!$2:$2,0)-MATCH("temp_stage",[2]stages!$2:$2,0)+1,FALSE)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0" s="78" t="str">
        <f ca="1">VLOOKUP($B30&amp;"_"&amp;$E30,OFFSET([2]stages!$A$1,0,0,COUNTA([2]stages!$A:$A),MATCH(G$1,[2]stages!$2:$2,0)-MATCH("temp_stage",[2]stages!$2:$2,0)+1),MATCH(G$1,[2]stages!$2:$2,0)-MATCH("temp_stage",[2]stages!$2:$2,0)+1,FALSE)</f>
        <v>ドロップイベント4</v>
      </c>
      <c r="H30" s="80">
        <v>0</v>
      </c>
      <c r="I30">
        <v>7</v>
      </c>
      <c r="J30" s="79" t="s">
        <v>197</v>
      </c>
      <c r="K30" s="87" t="str">
        <f>VLOOKUP(I30,[7]stage_hints!$A:$C,3,FALSE)</f>
        <v>メタルダックで経験値を獲得</v>
      </c>
      <c r="L30" s="88" t="str">
        <f>VLOOKUP(I30,[7]stage_hints!$A:$D,4,FALSE)</f>
        <v>「メタルなアヒル」を強化素材にすると_x000D_大量の経験値がもらえます</v>
      </c>
      <c r="M30" s="53" t="s">
        <v>210</v>
      </c>
    </row>
    <row r="31" spans="1:13" x14ac:dyDescent="0.15">
      <c r="A31" s="76" t="s">
        <v>200</v>
      </c>
      <c r="B31" s="77">
        <f>floors!$C$2</f>
        <v>20013</v>
      </c>
      <c r="C31" s="78" t="str">
        <f ca="1">VLOOKUP($B31,OFFSET([2]quests!$A$1,0,0,COUNTA([2]quests!$A:$A),MATCH(C$1,[2]quests!$1:$1,0)-MATCH($B$1,[2]quests!$1:$1,0)+1),MATCH(C$1,[2]quests!$1:$1,0)-MATCH($B$1,[2]quests!$1:$1,0)+1,FALSE)</f>
        <v>天の時、地の利、人の和</v>
      </c>
      <c r="D31" s="78" t="str">
        <f ca="1">VLOOKUP($B31,OFFSET([2]quests!$A$1,0,0,COUNTA([2]quests!$A:$A),MATCH(D$1,[2]quests!$1:$1,0)-MATCH($B$1,[2]quests!$1:$1,0)+1),MATCH(D$1,[2]quests!$1:$1,0)-MATCH($B$1,[2]quests!$1:$1,0)+1,FALSE)</f>
        <v>ドロップイベント4</v>
      </c>
      <c r="E31" s="82">
        <v>2</v>
      </c>
      <c r="F31" s="78" t="str">
        <f ca="1">VLOOKUP($B31&amp;"_"&amp;$E31,OFFSET([2]stages!$A$1,0,0,COUNTA([2]stages!$A:$A),MATCH(F$1,[2]stages!$2:$2,0)-MATCH("temp_stage",[2]stages!$2:$2,0)+1),MATCH(F$1,[2]stages!$2:$2,0)-MATCH("temp_stage",[2]stages!$2:$2,0)+1,FALSE)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1" s="78" t="str">
        <f ca="1">VLOOKUP($B31&amp;"_"&amp;$E31,OFFSET([2]stages!$A$1,0,0,COUNTA([2]stages!$A:$A),MATCH(G$1,[2]stages!$2:$2,0)-MATCH("temp_stage",[2]stages!$2:$2,0)+1),MATCH(G$1,[2]stages!$2:$2,0)-MATCH("temp_stage",[2]stages!$2:$2,0)+1,FALSE)</f>
        <v>ドロップイベント4</v>
      </c>
      <c r="H31" s="80">
        <v>0</v>
      </c>
      <c r="I31">
        <v>8</v>
      </c>
      <c r="J31" s="79" t="s">
        <v>197</v>
      </c>
      <c r="K31" s="87" t="str">
        <f>VLOOKUP(I31,[7]stage_hints!$A:$C,3,FALSE)</f>
        <v>ゲリラクエストは要チェック</v>
      </c>
      <c r="L31" s="88" t="str">
        <f>VLOOKUP(I31,[7]stage_hints!$A:$D,4,FALSE)</f>
        <v>時間限定の「アヒル捕獲作戦」では_x000D_経験値素材ユニットが多く手に入ります</v>
      </c>
      <c r="M31" s="53" t="s">
        <v>210</v>
      </c>
    </row>
    <row r="32" spans="1:13" x14ac:dyDescent="0.15">
      <c r="A32" s="76" t="s">
        <v>200</v>
      </c>
      <c r="B32" s="77">
        <f>floors!$C$2</f>
        <v>20013</v>
      </c>
      <c r="C32" s="78" t="str">
        <f ca="1">VLOOKUP($B32,OFFSET([2]quests!$A$1,0,0,COUNTA([2]quests!$A:$A),MATCH(C$1,[2]quests!$1:$1,0)-MATCH($B$1,[2]quests!$1:$1,0)+1),MATCH(C$1,[2]quests!$1:$1,0)-MATCH($B$1,[2]quests!$1:$1,0)+1,FALSE)</f>
        <v>天の時、地の利、人の和</v>
      </c>
      <c r="D32" s="78" t="str">
        <f ca="1">VLOOKUP($B32,OFFSET([2]quests!$A$1,0,0,COUNTA([2]quests!$A:$A),MATCH(D$1,[2]quests!$1:$1,0)-MATCH($B$1,[2]quests!$1:$1,0)+1),MATCH(D$1,[2]quests!$1:$1,0)-MATCH($B$1,[2]quests!$1:$1,0)+1,FALSE)</f>
        <v>ドロップイベント4</v>
      </c>
      <c r="E32" s="82">
        <v>2</v>
      </c>
      <c r="F32" s="78" t="str">
        <f ca="1">VLOOKUP($B32&amp;"_"&amp;$E32,OFFSET([2]stages!$A$1,0,0,COUNTA([2]stages!$A:$A),MATCH(F$1,[2]stages!$2:$2,0)-MATCH("temp_stage",[2]stages!$2:$2,0)+1),MATCH(F$1,[2]stages!$2:$2,0)-MATCH("temp_stage",[2]stages!$2:$2,0)+1,FALSE)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2" s="78" t="str">
        <f ca="1">VLOOKUP($B32&amp;"_"&amp;$E32,OFFSET([2]stages!$A$1,0,0,COUNTA([2]stages!$A:$A),MATCH(G$1,[2]stages!$2:$2,0)-MATCH("temp_stage",[2]stages!$2:$2,0)+1),MATCH(G$1,[2]stages!$2:$2,0)-MATCH("temp_stage",[2]stages!$2:$2,0)+1,FALSE)</f>
        <v>ドロップイベント4</v>
      </c>
      <c r="H32" s="80">
        <v>0</v>
      </c>
      <c r="I32">
        <v>9</v>
      </c>
      <c r="J32" s="79" t="s">
        <v>197</v>
      </c>
      <c r="K32" s="87" t="str">
        <f>VLOOKUP(I32,[7]stage_hints!$A:$C,3,FALSE)</f>
        <v>ゴールドダックでビットを獲得</v>
      </c>
      <c r="L32" s="88" t="str">
        <f>VLOOKUP(I32,[7]stage_hints!$A:$D,4,FALSE)</f>
        <v>「ゴールドなアヒル」を売却すると_x000D_大量のビットがもらえます</v>
      </c>
      <c r="M32" s="53" t="s">
        <v>210</v>
      </c>
    </row>
    <row r="33" spans="1:13" x14ac:dyDescent="0.15">
      <c r="A33" s="76" t="s">
        <v>200</v>
      </c>
      <c r="B33" s="77">
        <f>floors!$C$2</f>
        <v>20013</v>
      </c>
      <c r="C33" s="78" t="str">
        <f ca="1">VLOOKUP($B33,OFFSET([2]quests!$A$1,0,0,COUNTA([2]quests!$A:$A),MATCH(C$1,[2]quests!$1:$1,0)-MATCH($B$1,[2]quests!$1:$1,0)+1),MATCH(C$1,[2]quests!$1:$1,0)-MATCH($B$1,[2]quests!$1:$1,0)+1,FALSE)</f>
        <v>天の時、地の利、人の和</v>
      </c>
      <c r="D33" s="78" t="str">
        <f ca="1">VLOOKUP($B33,OFFSET([2]quests!$A$1,0,0,COUNTA([2]quests!$A:$A),MATCH(D$1,[2]quests!$1:$1,0)-MATCH($B$1,[2]quests!$1:$1,0)+1),MATCH(D$1,[2]quests!$1:$1,0)-MATCH($B$1,[2]quests!$1:$1,0)+1,FALSE)</f>
        <v>ドロップイベント4</v>
      </c>
      <c r="E33" s="82">
        <v>2</v>
      </c>
      <c r="F33" s="78" t="str">
        <f ca="1">VLOOKUP($B33&amp;"_"&amp;$E33,OFFSET([2]stages!$A$1,0,0,COUNTA([2]stages!$A:$A),MATCH(F$1,[2]stages!$2:$2,0)-MATCH("temp_stage",[2]stages!$2:$2,0)+1),MATCH(F$1,[2]stages!$2:$2,0)-MATCH("temp_stage",[2]stages!$2:$2,0)+1,FALSE)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3" s="78" t="str">
        <f ca="1">VLOOKUP($B33&amp;"_"&amp;$E33,OFFSET([2]stages!$A$1,0,0,COUNTA([2]stages!$A:$A),MATCH(G$1,[2]stages!$2:$2,0)-MATCH("temp_stage",[2]stages!$2:$2,0)+1),MATCH(G$1,[2]stages!$2:$2,0)-MATCH("temp_stage",[2]stages!$2:$2,0)+1,FALSE)</f>
        <v>ドロップイベント4</v>
      </c>
      <c r="H33" s="80">
        <v>0</v>
      </c>
      <c r="I33">
        <v>10</v>
      </c>
      <c r="J33" s="79" t="s">
        <v>197</v>
      </c>
      <c r="K33" s="87" t="str">
        <f>VLOOKUP(I33,[7]stage_hints!$A:$C,3,FALSE)</f>
        <v>土日に大量のビットを獲得</v>
      </c>
      <c r="L33" s="88" t="str">
        <f>VLOOKUP(I33,[7]stage_hints!$A:$D,4,FALSE)</f>
        <v>土日限定の「ゴールドカジノ」では_x000D_売却素材ユニットが多く手に入ります</v>
      </c>
      <c r="M33" s="53" t="s">
        <v>210</v>
      </c>
    </row>
    <row r="34" spans="1:13" x14ac:dyDescent="0.15">
      <c r="A34" s="76" t="s">
        <v>200</v>
      </c>
      <c r="B34" s="77">
        <f>floors!$C$2</f>
        <v>20013</v>
      </c>
      <c r="C34" s="78" t="str">
        <f ca="1">VLOOKUP($B34,OFFSET([2]quests!$A$1,0,0,COUNTA([2]quests!$A:$A),MATCH(C$1,[2]quests!$1:$1,0)-MATCH($B$1,[2]quests!$1:$1,0)+1),MATCH(C$1,[2]quests!$1:$1,0)-MATCH($B$1,[2]quests!$1:$1,0)+1,FALSE)</f>
        <v>天の時、地の利、人の和</v>
      </c>
      <c r="D34" s="78" t="str">
        <f ca="1">VLOOKUP($B34,OFFSET([2]quests!$A$1,0,0,COUNTA([2]quests!$A:$A),MATCH(D$1,[2]quests!$1:$1,0)-MATCH($B$1,[2]quests!$1:$1,0)+1),MATCH(D$1,[2]quests!$1:$1,0)-MATCH($B$1,[2]quests!$1:$1,0)+1,FALSE)</f>
        <v>ドロップイベント4</v>
      </c>
      <c r="E34" s="82">
        <v>2</v>
      </c>
      <c r="F34" s="78" t="str">
        <f ca="1">VLOOKUP($B34&amp;"_"&amp;$E34,OFFSET([2]stages!$A$1,0,0,COUNTA([2]stages!$A:$A),MATCH(F$1,[2]stages!$2:$2,0)-MATCH("temp_stage",[2]stages!$2:$2,0)+1),MATCH(F$1,[2]stages!$2:$2,0)-MATCH("temp_stage",[2]stages!$2:$2,0)+1,FALSE)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4" s="78" t="str">
        <f ca="1">VLOOKUP($B34&amp;"_"&amp;$E34,OFFSET([2]stages!$A$1,0,0,COUNTA([2]stages!$A:$A),MATCH(G$1,[2]stages!$2:$2,0)-MATCH("temp_stage",[2]stages!$2:$2,0)+1),MATCH(G$1,[2]stages!$2:$2,0)-MATCH("temp_stage",[2]stages!$2:$2,0)+1,FALSE)</f>
        <v>ドロップイベント4</v>
      </c>
      <c r="H34" s="80">
        <v>0</v>
      </c>
      <c r="I34">
        <v>11</v>
      </c>
      <c r="J34" s="79" t="s">
        <v>197</v>
      </c>
      <c r="K34" s="87" t="str">
        <f>VLOOKUP(I34,[7]stage_hints!$A:$C,3,FALSE)</f>
        <v>ランク解放クエスト</v>
      </c>
      <c r="L34" s="88" t="str">
        <f>VLOOKUP(I34,[7]stage_hints!$A:$D,4,FALSE)</f>
        <v>一定ランクに到達すると_x000D_報酬付きのランク開放クエストが現れます</v>
      </c>
      <c r="M34" s="53" t="s">
        <v>210</v>
      </c>
    </row>
    <row r="35" spans="1:13" x14ac:dyDescent="0.15">
      <c r="A35" s="76" t="s">
        <v>200</v>
      </c>
      <c r="B35" s="77">
        <f>floors!$C$2</f>
        <v>20013</v>
      </c>
      <c r="C35" s="78" t="str">
        <f ca="1">VLOOKUP($B35,OFFSET([2]quests!$A$1,0,0,COUNTA([2]quests!$A:$A),MATCH(C$1,[2]quests!$1:$1,0)-MATCH($B$1,[2]quests!$1:$1,0)+1),MATCH(C$1,[2]quests!$1:$1,0)-MATCH($B$1,[2]quests!$1:$1,0)+1,FALSE)</f>
        <v>天の時、地の利、人の和</v>
      </c>
      <c r="D35" s="78" t="str">
        <f ca="1">VLOOKUP($B35,OFFSET([2]quests!$A$1,0,0,COUNTA([2]quests!$A:$A),MATCH(D$1,[2]quests!$1:$1,0)-MATCH($B$1,[2]quests!$1:$1,0)+1),MATCH(D$1,[2]quests!$1:$1,0)-MATCH($B$1,[2]quests!$1:$1,0)+1,FALSE)</f>
        <v>ドロップイベント4</v>
      </c>
      <c r="E35" s="82">
        <v>2</v>
      </c>
      <c r="F35" s="78" t="str">
        <f ca="1">VLOOKUP($B35&amp;"_"&amp;$E35,OFFSET([2]stages!$A$1,0,0,COUNTA([2]stages!$A:$A),MATCH(F$1,[2]stages!$2:$2,0)-MATCH("temp_stage",[2]stages!$2:$2,0)+1),MATCH(F$1,[2]stages!$2:$2,0)-MATCH("temp_stage",[2]stages!$2:$2,0)+1,FALSE)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5" s="78" t="str">
        <f ca="1">VLOOKUP($B35&amp;"_"&amp;$E35,OFFSET([2]stages!$A$1,0,0,COUNTA([2]stages!$A:$A),MATCH(G$1,[2]stages!$2:$2,0)-MATCH("temp_stage",[2]stages!$2:$2,0)+1),MATCH(G$1,[2]stages!$2:$2,0)-MATCH("temp_stage",[2]stages!$2:$2,0)+1,FALSE)</f>
        <v>ドロップイベント4</v>
      </c>
      <c r="H35" s="80">
        <v>0</v>
      </c>
      <c r="I35">
        <v>12</v>
      </c>
      <c r="J35" s="79" t="s">
        <v>197</v>
      </c>
      <c r="K35" s="87" t="str">
        <f>VLOOKUP(I35,[7]stage_hints!$A:$C,3,FALSE)</f>
        <v>ユニットのお気に入り登録</v>
      </c>
      <c r="L35" s="88" t="str">
        <f>VLOOKUP(I35,[7]stage_hints!$A:$D,4,FALSE)</f>
        <v>大事なユニットを誤って消さないように_x000D_フォルダから「お気に入り登録」しましょう</v>
      </c>
      <c r="M35" s="53" t="s">
        <v>210</v>
      </c>
    </row>
    <row r="36" spans="1:13" x14ac:dyDescent="0.15">
      <c r="A36" s="76" t="s">
        <v>200</v>
      </c>
      <c r="B36" s="77">
        <f>floors!$C$2</f>
        <v>20013</v>
      </c>
      <c r="C36" s="78" t="str">
        <f ca="1">VLOOKUP($B36,OFFSET([2]quests!$A$1,0,0,COUNTA([2]quests!$A:$A),MATCH(C$1,[2]quests!$1:$1,0)-MATCH($B$1,[2]quests!$1:$1,0)+1),MATCH(C$1,[2]quests!$1:$1,0)-MATCH($B$1,[2]quests!$1:$1,0)+1,FALSE)</f>
        <v>天の時、地の利、人の和</v>
      </c>
      <c r="D36" s="78" t="str">
        <f ca="1">VLOOKUP($B36,OFFSET([2]quests!$A$1,0,0,COUNTA([2]quests!$A:$A),MATCH(D$1,[2]quests!$1:$1,0)-MATCH($B$1,[2]quests!$1:$1,0)+1),MATCH(D$1,[2]quests!$1:$1,0)-MATCH($B$1,[2]quests!$1:$1,0)+1,FALSE)</f>
        <v>ドロップイベント4</v>
      </c>
      <c r="E36" s="82">
        <v>2</v>
      </c>
      <c r="F36" s="78" t="str">
        <f ca="1">VLOOKUP($B36&amp;"_"&amp;$E36,OFFSET([2]stages!$A$1,0,0,COUNTA([2]stages!$A:$A),MATCH(F$1,[2]stages!$2:$2,0)-MATCH("temp_stage",[2]stages!$2:$2,0)+1),MATCH(F$1,[2]stages!$2:$2,0)-MATCH("temp_stage",[2]stages!$2:$2,0)+1,FALSE)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6" s="78" t="str">
        <f ca="1">VLOOKUP($B36&amp;"_"&amp;$E36,OFFSET([2]stages!$A$1,0,0,COUNTA([2]stages!$A:$A),MATCH(G$1,[2]stages!$2:$2,0)-MATCH("temp_stage",[2]stages!$2:$2,0)+1),MATCH(G$1,[2]stages!$2:$2,0)-MATCH("temp_stage",[2]stages!$2:$2,0)+1,FALSE)</f>
        <v>ドロップイベント4</v>
      </c>
      <c r="H36" s="80">
        <v>0</v>
      </c>
      <c r="I36">
        <v>13</v>
      </c>
      <c r="J36" s="79" t="s">
        <v>197</v>
      </c>
      <c r="K36" s="87" t="str">
        <f>VLOOKUP(I36,[7]stage_hints!$A:$C,3,FALSE)</f>
        <v>ユニットの覚醒</v>
      </c>
      <c r="L36" s="88" t="str">
        <f>VLOOKUP(I36,[7]stage_hints!$A:$D,4,FALSE)</f>
        <v>ユニットを覚醒させると_x000D_比べものにならない強さが手に入ります</v>
      </c>
      <c r="M36" s="53" t="s">
        <v>210</v>
      </c>
    </row>
    <row r="37" spans="1:13" x14ac:dyDescent="0.15">
      <c r="A37" s="76" t="s">
        <v>200</v>
      </c>
      <c r="B37" s="77">
        <f>floors!$C$2</f>
        <v>20013</v>
      </c>
      <c r="C37" s="78" t="str">
        <f ca="1">VLOOKUP($B37,OFFSET([2]quests!$A$1,0,0,COUNTA([2]quests!$A:$A),MATCH(C$1,[2]quests!$1:$1,0)-MATCH($B$1,[2]quests!$1:$1,0)+1),MATCH(C$1,[2]quests!$1:$1,0)-MATCH($B$1,[2]quests!$1:$1,0)+1,FALSE)</f>
        <v>天の時、地の利、人の和</v>
      </c>
      <c r="D37" s="78" t="str">
        <f ca="1">VLOOKUP($B37,OFFSET([2]quests!$A$1,0,0,COUNTA([2]quests!$A:$A),MATCH(D$1,[2]quests!$1:$1,0)-MATCH($B$1,[2]quests!$1:$1,0)+1),MATCH(D$1,[2]quests!$1:$1,0)-MATCH($B$1,[2]quests!$1:$1,0)+1,FALSE)</f>
        <v>ドロップイベント4</v>
      </c>
      <c r="E37" s="82">
        <v>2</v>
      </c>
      <c r="F37" s="78" t="str">
        <f ca="1">VLOOKUP($B37&amp;"_"&amp;$E37,OFFSET([2]stages!$A$1,0,0,COUNTA([2]stages!$A:$A),MATCH(F$1,[2]stages!$2:$2,0)-MATCH("temp_stage",[2]stages!$2:$2,0)+1),MATCH(F$1,[2]stages!$2:$2,0)-MATCH("temp_stage",[2]stages!$2:$2,0)+1,FALSE)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7" s="78" t="str">
        <f ca="1">VLOOKUP($B37&amp;"_"&amp;$E37,OFFSET([2]stages!$A$1,0,0,COUNTA([2]stages!$A:$A),MATCH(G$1,[2]stages!$2:$2,0)-MATCH("temp_stage",[2]stages!$2:$2,0)+1),MATCH(G$1,[2]stages!$2:$2,0)-MATCH("temp_stage",[2]stages!$2:$2,0)+1,FALSE)</f>
        <v>ドロップイベント4</v>
      </c>
      <c r="H37" s="80">
        <v>0</v>
      </c>
      <c r="I37">
        <v>14</v>
      </c>
      <c r="J37" s="79" t="s">
        <v>197</v>
      </c>
      <c r="K37" s="87" t="str">
        <f>VLOOKUP(I37,[7]stage_hints!$A:$C,3,FALSE)</f>
        <v>覚醒するにはレベルを最大に</v>
      </c>
      <c r="L37" s="88" t="str">
        <f>VLOOKUP(I37,[7]stage_hints!$A:$D,4,FALSE)</f>
        <v>覚醒するにはユニットのレベルを_x000D_最大まで上げる必要があります</v>
      </c>
      <c r="M37" s="53" t="s">
        <v>210</v>
      </c>
    </row>
    <row r="38" spans="1:13" x14ac:dyDescent="0.15">
      <c r="A38" s="76" t="s">
        <v>200</v>
      </c>
      <c r="B38" s="77">
        <f>floors!$C$2</f>
        <v>20013</v>
      </c>
      <c r="C38" s="78" t="str">
        <f ca="1">VLOOKUP($B38,OFFSET([2]quests!$A$1,0,0,COUNTA([2]quests!$A:$A),MATCH(C$1,[2]quests!$1:$1,0)-MATCH($B$1,[2]quests!$1:$1,0)+1),MATCH(C$1,[2]quests!$1:$1,0)-MATCH($B$1,[2]quests!$1:$1,0)+1,FALSE)</f>
        <v>天の時、地の利、人の和</v>
      </c>
      <c r="D38" s="78" t="str">
        <f ca="1">VLOOKUP($B38,OFFSET([2]quests!$A$1,0,0,COUNTA([2]quests!$A:$A),MATCH(D$1,[2]quests!$1:$1,0)-MATCH($B$1,[2]quests!$1:$1,0)+1),MATCH(D$1,[2]quests!$1:$1,0)-MATCH($B$1,[2]quests!$1:$1,0)+1,FALSE)</f>
        <v>ドロップイベント4</v>
      </c>
      <c r="E38" s="82">
        <v>2</v>
      </c>
      <c r="F38" s="78" t="str">
        <f ca="1">VLOOKUP($B38&amp;"_"&amp;$E38,OFFSET([2]stages!$A$1,0,0,COUNTA([2]stages!$A:$A),MATCH(F$1,[2]stages!$2:$2,0)-MATCH("temp_stage",[2]stages!$2:$2,0)+1),MATCH(F$1,[2]stages!$2:$2,0)-MATCH("temp_stage",[2]stages!$2:$2,0)+1,FALSE)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8" s="78" t="str">
        <f ca="1">VLOOKUP($B38&amp;"_"&amp;$E38,OFFSET([2]stages!$A$1,0,0,COUNTA([2]stages!$A:$A),MATCH(G$1,[2]stages!$2:$2,0)-MATCH("temp_stage",[2]stages!$2:$2,0)+1),MATCH(G$1,[2]stages!$2:$2,0)-MATCH("temp_stage",[2]stages!$2:$2,0)+1,FALSE)</f>
        <v>ドロップイベント4</v>
      </c>
      <c r="H38" s="80">
        <v>0</v>
      </c>
      <c r="I38">
        <v>15</v>
      </c>
      <c r="J38" s="79" t="s">
        <v>197</v>
      </c>
      <c r="K38" s="87" t="str">
        <f>VLOOKUP(I38,[7]stage_hints!$A:$C,3,FALSE)</f>
        <v>覚醒素材を獲得</v>
      </c>
      <c r="L38" s="88" t="str">
        <f>VLOOKUP(I38,[7]stage_hints!$A:$D,4,FALSE)</f>
        <v>「曜日クエスト」では_x000D_ユニットの覚醒に必要な素材が手に入ります</v>
      </c>
      <c r="M38" s="53" t="s">
        <v>210</v>
      </c>
    </row>
    <row r="39" spans="1:13" x14ac:dyDescent="0.15">
      <c r="A39" s="76" t="s">
        <v>200</v>
      </c>
      <c r="B39" s="77">
        <f>floors!$C$2</f>
        <v>20013</v>
      </c>
      <c r="C39" s="78" t="str">
        <f ca="1">VLOOKUP($B39,OFFSET([2]quests!$A$1,0,0,COUNTA([2]quests!$A:$A),MATCH(C$1,[2]quests!$1:$1,0)-MATCH($B$1,[2]quests!$1:$1,0)+1),MATCH(C$1,[2]quests!$1:$1,0)-MATCH($B$1,[2]quests!$1:$1,0)+1,FALSE)</f>
        <v>天の時、地の利、人の和</v>
      </c>
      <c r="D39" s="78" t="str">
        <f ca="1">VLOOKUP($B39,OFFSET([2]quests!$A$1,0,0,COUNTA([2]quests!$A:$A),MATCH(D$1,[2]quests!$1:$1,0)-MATCH($B$1,[2]quests!$1:$1,0)+1),MATCH(D$1,[2]quests!$1:$1,0)-MATCH($B$1,[2]quests!$1:$1,0)+1,FALSE)</f>
        <v>ドロップイベント4</v>
      </c>
      <c r="E39" s="82">
        <v>2</v>
      </c>
      <c r="F39" s="78" t="str">
        <f ca="1">VLOOKUP($B39&amp;"_"&amp;$E39,OFFSET([2]stages!$A$1,0,0,COUNTA([2]stages!$A:$A),MATCH(F$1,[2]stages!$2:$2,0)-MATCH("temp_stage",[2]stages!$2:$2,0)+1),MATCH(F$1,[2]stages!$2:$2,0)-MATCH("temp_stage",[2]stages!$2:$2,0)+1,FALSE)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39" s="78" t="str">
        <f ca="1">VLOOKUP($B39&amp;"_"&amp;$E39,OFFSET([2]stages!$A$1,0,0,COUNTA([2]stages!$A:$A),MATCH(G$1,[2]stages!$2:$2,0)-MATCH("temp_stage",[2]stages!$2:$2,0)+1),MATCH(G$1,[2]stages!$2:$2,0)-MATCH("temp_stage",[2]stages!$2:$2,0)+1,FALSE)</f>
        <v>ドロップイベント4</v>
      </c>
      <c r="H39" s="80">
        <v>0</v>
      </c>
      <c r="I39">
        <v>16</v>
      </c>
      <c r="J39" s="79" t="s">
        <v>197</v>
      </c>
      <c r="K39" s="87" t="str">
        <f>VLOOKUP(I39,[7]stage_hints!$A:$C,3,FALSE)</f>
        <v>マルチプレイのメリット（その1）</v>
      </c>
      <c r="L39" s="88" t="str">
        <f>VLOOKUP(I39,[7]stage_hints!$A:$D,4,FALSE)</f>
        <v>他のプレイヤーとマルチプレイで遊ぶと_x000D_ポリゴンがもらえます（100人まで）</v>
      </c>
      <c r="M39" s="53" t="s">
        <v>210</v>
      </c>
    </row>
    <row r="40" spans="1:13" x14ac:dyDescent="0.15">
      <c r="A40" s="76" t="s">
        <v>200</v>
      </c>
      <c r="B40" s="77">
        <f>floors!$C$2</f>
        <v>20013</v>
      </c>
      <c r="C40" s="78" t="str">
        <f ca="1">VLOOKUP($B40,OFFSET([2]quests!$A$1,0,0,COUNTA([2]quests!$A:$A),MATCH(C$1,[2]quests!$1:$1,0)-MATCH($B$1,[2]quests!$1:$1,0)+1),MATCH(C$1,[2]quests!$1:$1,0)-MATCH($B$1,[2]quests!$1:$1,0)+1,FALSE)</f>
        <v>天の時、地の利、人の和</v>
      </c>
      <c r="D40" s="78" t="str">
        <f ca="1">VLOOKUP($B40,OFFSET([2]quests!$A$1,0,0,COUNTA([2]quests!$A:$A),MATCH(D$1,[2]quests!$1:$1,0)-MATCH($B$1,[2]quests!$1:$1,0)+1),MATCH(D$1,[2]quests!$1:$1,0)-MATCH($B$1,[2]quests!$1:$1,0)+1,FALSE)</f>
        <v>ドロップイベント4</v>
      </c>
      <c r="E40" s="82">
        <v>2</v>
      </c>
      <c r="F40" s="78" t="str">
        <f ca="1">VLOOKUP($B40&amp;"_"&amp;$E40,OFFSET([2]stages!$A$1,0,0,COUNTA([2]stages!$A:$A),MATCH(F$1,[2]stages!$2:$2,0)-MATCH("temp_stage",[2]stages!$2:$2,0)+1),MATCH(F$1,[2]stages!$2:$2,0)-MATCH("temp_stage",[2]stages!$2:$2,0)+1,FALSE)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0" s="78" t="str">
        <f ca="1">VLOOKUP($B40&amp;"_"&amp;$E40,OFFSET([2]stages!$A$1,0,0,COUNTA([2]stages!$A:$A),MATCH(G$1,[2]stages!$2:$2,0)-MATCH("temp_stage",[2]stages!$2:$2,0)+1),MATCH(G$1,[2]stages!$2:$2,0)-MATCH("temp_stage",[2]stages!$2:$2,0)+1,FALSE)</f>
        <v>ドロップイベント4</v>
      </c>
      <c r="H40" s="80">
        <v>0</v>
      </c>
      <c r="I40">
        <v>17</v>
      </c>
      <c r="J40" s="79" t="s">
        <v>197</v>
      </c>
      <c r="K40" s="87" t="str">
        <f>VLOOKUP(I40,[7]stage_hints!$A:$C,3,FALSE)</f>
        <v>リンクガチャ</v>
      </c>
      <c r="L40" s="88" t="str">
        <f>VLOOKUP(I40,[7]stage_hints!$A:$D,4,FALSE)</f>
        <v>無料のリンクガチャを回して_x000D_経験値素材や売却素材を獲得しましょう</v>
      </c>
      <c r="M40" s="53" t="s">
        <v>210</v>
      </c>
    </row>
    <row r="41" spans="1:13" x14ac:dyDescent="0.15">
      <c r="A41" s="76" t="s">
        <v>200</v>
      </c>
      <c r="B41" s="77">
        <f>floors!$C$2</f>
        <v>20013</v>
      </c>
      <c r="C41" s="78" t="str">
        <f ca="1">VLOOKUP($B41,OFFSET([2]quests!$A$1,0,0,COUNTA([2]quests!$A:$A),MATCH(C$1,[2]quests!$1:$1,0)-MATCH($B$1,[2]quests!$1:$1,0)+1),MATCH(C$1,[2]quests!$1:$1,0)-MATCH($B$1,[2]quests!$1:$1,0)+1,FALSE)</f>
        <v>天の時、地の利、人の和</v>
      </c>
      <c r="D41" s="78" t="str">
        <f ca="1">VLOOKUP($B41,OFFSET([2]quests!$A$1,0,0,COUNTA([2]quests!$A:$A),MATCH(D$1,[2]quests!$1:$1,0)-MATCH($B$1,[2]quests!$1:$1,0)+1),MATCH(D$1,[2]quests!$1:$1,0)-MATCH($B$1,[2]quests!$1:$1,0)+1,FALSE)</f>
        <v>ドロップイベント4</v>
      </c>
      <c r="E41" s="82">
        <v>2</v>
      </c>
      <c r="F41" s="78" t="str">
        <f ca="1">VLOOKUP($B41&amp;"_"&amp;$E41,OFFSET([2]stages!$A$1,0,0,COUNTA([2]stages!$A:$A),MATCH(F$1,[2]stages!$2:$2,0)-MATCH("temp_stage",[2]stages!$2:$2,0)+1),MATCH(F$1,[2]stages!$2:$2,0)-MATCH("temp_stage",[2]stages!$2:$2,0)+1,FALSE)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1" s="78" t="str">
        <f ca="1">VLOOKUP($B41&amp;"_"&amp;$E41,OFFSET([2]stages!$A$1,0,0,COUNTA([2]stages!$A:$A),MATCH(G$1,[2]stages!$2:$2,0)-MATCH("temp_stage",[2]stages!$2:$2,0)+1),MATCH(G$1,[2]stages!$2:$2,0)-MATCH("temp_stage",[2]stages!$2:$2,0)+1,FALSE)</f>
        <v>ドロップイベント4</v>
      </c>
      <c r="H41" s="80">
        <v>0</v>
      </c>
      <c r="I41">
        <v>18</v>
      </c>
      <c r="J41" s="79" t="s">
        <v>197</v>
      </c>
      <c r="K41" s="87" t="str">
        <f>VLOOKUP(I41,[7]stage_hints!$A:$C,3,FALSE)</f>
        <v>マルチプレイのメリット（その2）</v>
      </c>
      <c r="L41" s="88" t="str">
        <f>VLOOKUP(I41,[7]stage_hints!$A:$D,4,FALSE)</f>
        <v>マルチプレイならリンクが2倍もらえます_x000D_リンクガチャをたくさん回しましょう</v>
      </c>
      <c r="M41" s="53" t="s">
        <v>210</v>
      </c>
    </row>
    <row r="42" spans="1:13" x14ac:dyDescent="0.15">
      <c r="A42" s="76" t="s">
        <v>200</v>
      </c>
      <c r="B42" s="77">
        <f>floors!$C$2</f>
        <v>20013</v>
      </c>
      <c r="C42" s="78" t="str">
        <f ca="1">VLOOKUP($B42,OFFSET([2]quests!$A$1,0,0,COUNTA([2]quests!$A:$A),MATCH(C$1,[2]quests!$1:$1,0)-MATCH($B$1,[2]quests!$1:$1,0)+1),MATCH(C$1,[2]quests!$1:$1,0)-MATCH($B$1,[2]quests!$1:$1,0)+1,FALSE)</f>
        <v>天の時、地の利、人の和</v>
      </c>
      <c r="D42" s="78" t="str">
        <f ca="1">VLOOKUP($B42,OFFSET([2]quests!$A$1,0,0,COUNTA([2]quests!$A:$A),MATCH(D$1,[2]quests!$1:$1,0)-MATCH($B$1,[2]quests!$1:$1,0)+1),MATCH(D$1,[2]quests!$1:$1,0)-MATCH($B$1,[2]quests!$1:$1,0)+1,FALSE)</f>
        <v>ドロップイベント4</v>
      </c>
      <c r="E42" s="82">
        <v>2</v>
      </c>
      <c r="F42" s="78" t="str">
        <f ca="1">VLOOKUP($B42&amp;"_"&amp;$E42,OFFSET([2]stages!$A$1,0,0,COUNTA([2]stages!$A:$A),MATCH(F$1,[2]stages!$2:$2,0)-MATCH("temp_stage",[2]stages!$2:$2,0)+1),MATCH(F$1,[2]stages!$2:$2,0)-MATCH("temp_stage",[2]stages!$2:$2,0)+1,FALSE)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2" s="78" t="str">
        <f ca="1">VLOOKUP($B42&amp;"_"&amp;$E42,OFFSET([2]stages!$A$1,0,0,COUNTA([2]stages!$A:$A),MATCH(G$1,[2]stages!$2:$2,0)-MATCH("temp_stage",[2]stages!$2:$2,0)+1),MATCH(G$1,[2]stages!$2:$2,0)-MATCH("temp_stage",[2]stages!$2:$2,0)+1,FALSE)</f>
        <v>ドロップイベント4</v>
      </c>
      <c r="H42" s="80">
        <v>0</v>
      </c>
      <c r="I42">
        <v>19</v>
      </c>
      <c r="J42" s="79" t="s">
        <v>197</v>
      </c>
      <c r="K42" s="87" t="str">
        <f>VLOOKUP(I42,[7]stage_hints!$A:$C,3,FALSE)</f>
        <v>ソロ専用タワーオブザクイーン</v>
      </c>
      <c r="L42" s="88" t="str">
        <f>VLOOKUP(I42,[7]stage_hints!$A:$D,4,FALSE)</f>
        <v>ソロ専用の「タワーオブザクイーン」は_x000D_期間限定で定期的に開催されます_x000D_ここでしか獲得できない報酬もあるようです</v>
      </c>
      <c r="M42" s="53" t="s">
        <v>210</v>
      </c>
    </row>
    <row r="43" spans="1:13" x14ac:dyDescent="0.15">
      <c r="A43" s="76" t="s">
        <v>200</v>
      </c>
      <c r="B43" s="77">
        <f>floors!$C$2</f>
        <v>20013</v>
      </c>
      <c r="C43" s="78" t="str">
        <f ca="1">VLOOKUP($B43,OFFSET([2]quests!$A$1,0,0,COUNTA([2]quests!$A:$A),MATCH(C$1,[2]quests!$1:$1,0)-MATCH($B$1,[2]quests!$1:$1,0)+1),MATCH(C$1,[2]quests!$1:$1,0)-MATCH($B$1,[2]quests!$1:$1,0)+1,FALSE)</f>
        <v>天の時、地の利、人の和</v>
      </c>
      <c r="D43" s="78" t="str">
        <f ca="1">VLOOKUP($B43,OFFSET([2]quests!$A$1,0,0,COUNTA([2]quests!$A:$A),MATCH(D$1,[2]quests!$1:$1,0)-MATCH($B$1,[2]quests!$1:$1,0)+1),MATCH(D$1,[2]quests!$1:$1,0)-MATCH($B$1,[2]quests!$1:$1,0)+1,FALSE)</f>
        <v>ドロップイベント4</v>
      </c>
      <c r="E43" s="82">
        <v>2</v>
      </c>
      <c r="F43" s="78" t="str">
        <f ca="1">VLOOKUP($B43&amp;"_"&amp;$E43,OFFSET([2]stages!$A$1,0,0,COUNTA([2]stages!$A:$A),MATCH(F$1,[2]stages!$2:$2,0)-MATCH("temp_stage",[2]stages!$2:$2,0)+1),MATCH(F$1,[2]stages!$2:$2,0)-MATCH("temp_stage",[2]stages!$2:$2,0)+1,FALSE)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3" s="78" t="str">
        <f ca="1">VLOOKUP($B43&amp;"_"&amp;$E43,OFFSET([2]stages!$A$1,0,0,COUNTA([2]stages!$A:$A),MATCH(G$1,[2]stages!$2:$2,0)-MATCH("temp_stage",[2]stages!$2:$2,0)+1),MATCH(G$1,[2]stages!$2:$2,0)-MATCH("temp_stage",[2]stages!$2:$2,0)+1,FALSE)</f>
        <v>ドロップイベント4</v>
      </c>
      <c r="H43" s="80">
        <v>0</v>
      </c>
      <c r="I43">
        <v>20</v>
      </c>
      <c r="J43" s="79" t="s">
        <v>197</v>
      </c>
      <c r="K43" s="87" t="str">
        <f>VLOOKUP(I43,[7]stage_hints!$A:$C,3,FALSE)</f>
        <v>マルチプレイのメリット（その3）</v>
      </c>
      <c r="L43" s="88" t="str">
        <f>VLOOKUP(I43,[7]stage_hints!$A:$D,4,FALSE)</f>
        <v>マルチプレイへの参加はエナジー消費ゼロ_x000D_いつでも好きなだけ遊ぶことができます</v>
      </c>
      <c r="M43" s="53" t="s">
        <v>210</v>
      </c>
    </row>
    <row r="44" spans="1:13" x14ac:dyDescent="0.15">
      <c r="A44" s="76" t="s">
        <v>200</v>
      </c>
      <c r="B44" s="77">
        <f>floors!$C$2</f>
        <v>20013</v>
      </c>
      <c r="C44" s="78" t="str">
        <f ca="1">VLOOKUP($B44,OFFSET([2]quests!$A$1,0,0,COUNTA([2]quests!$A:$A),MATCH(C$1,[2]quests!$1:$1,0)-MATCH($B$1,[2]quests!$1:$1,0)+1),MATCH(C$1,[2]quests!$1:$1,0)-MATCH($B$1,[2]quests!$1:$1,0)+1,FALSE)</f>
        <v>天の時、地の利、人の和</v>
      </c>
      <c r="D44" s="78" t="str">
        <f ca="1">VLOOKUP($B44,OFFSET([2]quests!$A$1,0,0,COUNTA([2]quests!$A:$A),MATCH(D$1,[2]quests!$1:$1,0)-MATCH($B$1,[2]quests!$1:$1,0)+1),MATCH(D$1,[2]quests!$1:$1,0)-MATCH($B$1,[2]quests!$1:$1,0)+1,FALSE)</f>
        <v>ドロップイベント4</v>
      </c>
      <c r="E44" s="82">
        <v>2</v>
      </c>
      <c r="F44" s="78" t="str">
        <f ca="1">VLOOKUP($B44&amp;"_"&amp;$E44,OFFSET([2]stages!$A$1,0,0,COUNTA([2]stages!$A:$A),MATCH(F$1,[2]stages!$2:$2,0)-MATCH("temp_stage",[2]stages!$2:$2,0)+1),MATCH(F$1,[2]stages!$2:$2,0)-MATCH("temp_stage",[2]stages!$2:$2,0)+1,FALSE)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4" s="78" t="str">
        <f ca="1">VLOOKUP($B44&amp;"_"&amp;$E44,OFFSET([2]stages!$A$1,0,0,COUNTA([2]stages!$A:$A),MATCH(G$1,[2]stages!$2:$2,0)-MATCH("temp_stage",[2]stages!$2:$2,0)+1),MATCH(G$1,[2]stages!$2:$2,0)-MATCH("temp_stage",[2]stages!$2:$2,0)+1,FALSE)</f>
        <v>ドロップイベント4</v>
      </c>
      <c r="H44" s="80">
        <v>0</v>
      </c>
      <c r="I44">
        <v>21</v>
      </c>
      <c r="J44" s="79" t="s">
        <v>197</v>
      </c>
      <c r="K44" s="87" t="str">
        <f>VLOOKUP(I44,[7]stage_hints!$A:$C,3,FALSE)</f>
        <v>スキルを有効に</v>
      </c>
      <c r="L44" s="88" t="str">
        <f>VLOOKUP(I44,[7]stage_hints!$A:$D,4,FALSE)</f>
        <v>ターン経過でユニットのスキルが使えます_x000D_強力スキルでバトルを有利に進めましょう</v>
      </c>
      <c r="M44" s="53" t="s">
        <v>210</v>
      </c>
    </row>
    <row r="45" spans="1:13" x14ac:dyDescent="0.15">
      <c r="A45" s="76" t="s">
        <v>200</v>
      </c>
      <c r="B45" s="77">
        <f>floors!$C$2</f>
        <v>20013</v>
      </c>
      <c r="C45" s="78" t="str">
        <f ca="1">VLOOKUP($B45,OFFSET([2]quests!$A$1,0,0,COUNTA([2]quests!$A:$A),MATCH(C$1,[2]quests!$1:$1,0)-MATCH($B$1,[2]quests!$1:$1,0)+1),MATCH(C$1,[2]quests!$1:$1,0)-MATCH($B$1,[2]quests!$1:$1,0)+1,FALSE)</f>
        <v>天の時、地の利、人の和</v>
      </c>
      <c r="D45" s="78" t="str">
        <f ca="1">VLOOKUP($B45,OFFSET([2]quests!$A$1,0,0,COUNTA([2]quests!$A:$A),MATCH(D$1,[2]quests!$1:$1,0)-MATCH($B$1,[2]quests!$1:$1,0)+1),MATCH(D$1,[2]quests!$1:$1,0)-MATCH($B$1,[2]quests!$1:$1,0)+1,FALSE)</f>
        <v>ドロップイベント4</v>
      </c>
      <c r="E45" s="82">
        <v>2</v>
      </c>
      <c r="F45" s="78" t="str">
        <f ca="1">VLOOKUP($B45&amp;"_"&amp;$E45,OFFSET([2]stages!$A$1,0,0,COUNTA([2]stages!$A:$A),MATCH(F$1,[2]stages!$2:$2,0)-MATCH("temp_stage",[2]stages!$2:$2,0)+1),MATCH(F$1,[2]stages!$2:$2,0)-MATCH("temp_stage",[2]stages!$2:$2,0)+1,FALSE)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5" s="78" t="str">
        <f ca="1">VLOOKUP($B45&amp;"_"&amp;$E45,OFFSET([2]stages!$A$1,0,0,COUNTA([2]stages!$A:$A),MATCH(G$1,[2]stages!$2:$2,0)-MATCH("temp_stage",[2]stages!$2:$2,0)+1),MATCH(G$1,[2]stages!$2:$2,0)-MATCH("temp_stage",[2]stages!$2:$2,0)+1,FALSE)</f>
        <v>ドロップイベント4</v>
      </c>
      <c r="H45" s="80">
        <v>0</v>
      </c>
      <c r="I45">
        <v>22</v>
      </c>
      <c r="J45" s="79" t="s">
        <v>197</v>
      </c>
      <c r="K45" s="87" t="str">
        <f>VLOOKUP(I45,[7]stage_hints!$A:$C,3,FALSE)</f>
        <v>フィーバーで一発逆転（その1）</v>
      </c>
      <c r="L45" s="88" t="str">
        <f>VLOOKUP(I45,[7]stage_hints!$A:$D,4,FALSE)</f>
        <v>フィーバーは攻撃と回復を兼ね備えます_x000D_ピンチからの一発逆転を狙いましょう</v>
      </c>
      <c r="M45" s="53" t="s">
        <v>210</v>
      </c>
    </row>
    <row r="46" spans="1:13" x14ac:dyDescent="0.15">
      <c r="A46" s="76" t="s">
        <v>200</v>
      </c>
      <c r="B46" s="77">
        <f>floors!$C$2</f>
        <v>20013</v>
      </c>
      <c r="C46" s="78" t="str">
        <f ca="1">VLOOKUP($B46,OFFSET([2]quests!$A$1,0,0,COUNTA([2]quests!$A:$A),MATCH(C$1,[2]quests!$1:$1,0)-MATCH($B$1,[2]quests!$1:$1,0)+1),MATCH(C$1,[2]quests!$1:$1,0)-MATCH($B$1,[2]quests!$1:$1,0)+1,FALSE)</f>
        <v>天の時、地の利、人の和</v>
      </c>
      <c r="D46" s="78" t="str">
        <f ca="1">VLOOKUP($B46,OFFSET([2]quests!$A$1,0,0,COUNTA([2]quests!$A:$A),MATCH(D$1,[2]quests!$1:$1,0)-MATCH($B$1,[2]quests!$1:$1,0)+1),MATCH(D$1,[2]quests!$1:$1,0)-MATCH($B$1,[2]quests!$1:$1,0)+1,FALSE)</f>
        <v>ドロップイベント4</v>
      </c>
      <c r="E46" s="82">
        <v>2</v>
      </c>
      <c r="F46" s="78" t="str">
        <f ca="1">VLOOKUP($B46&amp;"_"&amp;$E46,OFFSET([2]stages!$A$1,0,0,COUNTA([2]stages!$A:$A),MATCH(F$1,[2]stages!$2:$2,0)-MATCH("temp_stage",[2]stages!$2:$2,0)+1),MATCH(F$1,[2]stages!$2:$2,0)-MATCH("temp_stage",[2]stages!$2:$2,0)+1,FALSE)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6" s="78" t="str">
        <f ca="1">VLOOKUP($B46&amp;"_"&amp;$E46,OFFSET([2]stages!$A$1,0,0,COUNTA([2]stages!$A:$A),MATCH(G$1,[2]stages!$2:$2,0)-MATCH("temp_stage",[2]stages!$2:$2,0)+1),MATCH(G$1,[2]stages!$2:$2,0)-MATCH("temp_stage",[2]stages!$2:$2,0)+1,FALSE)</f>
        <v>ドロップイベント4</v>
      </c>
      <c r="H46" s="80">
        <v>0</v>
      </c>
      <c r="I46">
        <v>23</v>
      </c>
      <c r="J46" s="79" t="s">
        <v>197</v>
      </c>
      <c r="K46" s="87" t="str">
        <f>VLOOKUP(I46,[7]stage_hints!$A:$C,3,FALSE)</f>
        <v>フィーバーで一発逆転（その2）</v>
      </c>
      <c r="L46" s="88" t="str">
        <f>VLOOKUP(I46,[7]stage_hints!$A:$D,4,FALSE)</f>
        <v>フィーバー中は虹色のボムパネルを狙って_x000D_画面上のパネルを一気に破壊しましょう</v>
      </c>
      <c r="M46" s="53" t="s">
        <v>210</v>
      </c>
    </row>
    <row r="47" spans="1:13" x14ac:dyDescent="0.15">
      <c r="A47" s="76" t="s">
        <v>200</v>
      </c>
      <c r="B47" s="77">
        <f>floors!$C$2</f>
        <v>20013</v>
      </c>
      <c r="C47" s="78" t="str">
        <f ca="1">VLOOKUP($B47,OFFSET([2]quests!$A$1,0,0,COUNTA([2]quests!$A:$A),MATCH(C$1,[2]quests!$1:$1,0)-MATCH($B$1,[2]quests!$1:$1,0)+1),MATCH(C$1,[2]quests!$1:$1,0)-MATCH($B$1,[2]quests!$1:$1,0)+1,FALSE)</f>
        <v>天の時、地の利、人の和</v>
      </c>
      <c r="D47" s="78" t="str">
        <f ca="1">VLOOKUP($B47,OFFSET([2]quests!$A$1,0,0,COUNTA([2]quests!$A:$A),MATCH(D$1,[2]quests!$1:$1,0)-MATCH($B$1,[2]quests!$1:$1,0)+1),MATCH(D$1,[2]quests!$1:$1,0)-MATCH($B$1,[2]quests!$1:$1,0)+1,FALSE)</f>
        <v>ドロップイベント4</v>
      </c>
      <c r="E47" s="82">
        <v>2</v>
      </c>
      <c r="F47" s="78" t="str">
        <f ca="1">VLOOKUP($B47&amp;"_"&amp;$E47,OFFSET([2]stages!$A$1,0,0,COUNTA([2]stages!$A:$A),MATCH(F$1,[2]stages!$2:$2,0)-MATCH("temp_stage",[2]stages!$2:$2,0)+1),MATCH(F$1,[2]stages!$2:$2,0)-MATCH("temp_stage",[2]stages!$2:$2,0)+1,FALSE)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7" s="78" t="str">
        <f ca="1">VLOOKUP($B47&amp;"_"&amp;$E47,OFFSET([2]stages!$A$1,0,0,COUNTA([2]stages!$A:$A),MATCH(G$1,[2]stages!$2:$2,0)-MATCH("temp_stage",[2]stages!$2:$2,0)+1),MATCH(G$1,[2]stages!$2:$2,0)-MATCH("temp_stage",[2]stages!$2:$2,0)+1,FALSE)</f>
        <v>ドロップイベント4</v>
      </c>
      <c r="H47" s="80">
        <v>0</v>
      </c>
      <c r="I47">
        <v>24</v>
      </c>
      <c r="J47" s="79" t="s">
        <v>197</v>
      </c>
      <c r="K47" s="87" t="str">
        <f>VLOOKUP(I47,[7]stage_hints!$A:$C,3,FALSE)</f>
        <v>果実を使って限界突破</v>
      </c>
      <c r="L47" s="88" t="str">
        <f>VLOOKUP(I47,[7]stage_hints!$A:$D,4,FALSE)</f>
        <v>攻めの果実 癒しの果実_x000D_生命の果実をユニット強化に使うと_x000D_ステータスが限界突破します（計99個迄）</v>
      </c>
      <c r="M47" s="53" t="s">
        <v>210</v>
      </c>
    </row>
    <row r="48" spans="1:13" x14ac:dyDescent="0.15">
      <c r="A48" s="76" t="s">
        <v>200</v>
      </c>
      <c r="B48" s="77">
        <f>floors!$C$2</f>
        <v>20013</v>
      </c>
      <c r="C48" s="78" t="str">
        <f ca="1">VLOOKUP($B48,OFFSET([2]quests!$A$1,0,0,COUNTA([2]quests!$A:$A),MATCH(C$1,[2]quests!$1:$1,0)-MATCH($B$1,[2]quests!$1:$1,0)+1),MATCH(C$1,[2]quests!$1:$1,0)-MATCH($B$1,[2]quests!$1:$1,0)+1,FALSE)</f>
        <v>天の時、地の利、人の和</v>
      </c>
      <c r="D48" s="78" t="str">
        <f ca="1">VLOOKUP($B48,OFFSET([2]quests!$A$1,0,0,COUNTA([2]quests!$A:$A),MATCH(D$1,[2]quests!$1:$1,0)-MATCH($B$1,[2]quests!$1:$1,0)+1),MATCH(D$1,[2]quests!$1:$1,0)-MATCH($B$1,[2]quests!$1:$1,0)+1,FALSE)</f>
        <v>ドロップイベント4</v>
      </c>
      <c r="E48" s="82">
        <v>2</v>
      </c>
      <c r="F48" s="78" t="str">
        <f ca="1">VLOOKUP($B48&amp;"_"&amp;$E48,OFFSET([2]stages!$A$1,0,0,COUNTA([2]stages!$A:$A),MATCH(F$1,[2]stages!$2:$2,0)-MATCH("temp_stage",[2]stages!$2:$2,0)+1),MATCH(F$1,[2]stages!$2:$2,0)-MATCH("temp_stage",[2]stages!$2:$2,0)+1,FALSE)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8" s="78" t="str">
        <f ca="1">VLOOKUP($B48&amp;"_"&amp;$E48,OFFSET([2]stages!$A$1,0,0,COUNTA([2]stages!$A:$A),MATCH(G$1,[2]stages!$2:$2,0)-MATCH("temp_stage",[2]stages!$2:$2,0)+1),MATCH(G$1,[2]stages!$2:$2,0)-MATCH("temp_stage",[2]stages!$2:$2,0)+1,FALSE)</f>
        <v>ドロップイベント4</v>
      </c>
      <c r="H48" s="80">
        <v>0</v>
      </c>
      <c r="I48">
        <v>25</v>
      </c>
      <c r="J48" s="79" t="s">
        <v>197</v>
      </c>
      <c r="K48" s="87" t="str">
        <f>VLOOKUP(I48,[7]stage_hints!$A:$C,3,FALSE)</f>
        <v>スキルレベルアップ</v>
      </c>
      <c r="L48" s="88" t="str">
        <f>VLOOKUP(I48,[7]stage_hints!$A:$D,4,FALSE)</f>
        <v>「秘術の果実」を強化に使うと_x000D_スキルレベルを上げることができます</v>
      </c>
      <c r="M48" s="53" t="s">
        <v>210</v>
      </c>
    </row>
    <row r="49" spans="1:13" x14ac:dyDescent="0.15">
      <c r="A49" s="76" t="s">
        <v>200</v>
      </c>
      <c r="B49" s="77">
        <f>floors!$C$2</f>
        <v>20013</v>
      </c>
      <c r="C49" s="78" t="str">
        <f ca="1">VLOOKUP($B49,OFFSET([2]quests!$A$1,0,0,COUNTA([2]quests!$A:$A),MATCH(C$1,[2]quests!$1:$1,0)-MATCH($B$1,[2]quests!$1:$1,0)+1),MATCH(C$1,[2]quests!$1:$1,0)-MATCH($B$1,[2]quests!$1:$1,0)+1,FALSE)</f>
        <v>天の時、地の利、人の和</v>
      </c>
      <c r="D49" s="78" t="str">
        <f ca="1">VLOOKUP($B49,OFFSET([2]quests!$A$1,0,0,COUNTA([2]quests!$A:$A),MATCH(D$1,[2]quests!$1:$1,0)-MATCH($B$1,[2]quests!$1:$1,0)+1),MATCH(D$1,[2]quests!$1:$1,0)-MATCH($B$1,[2]quests!$1:$1,0)+1,FALSE)</f>
        <v>ドロップイベント4</v>
      </c>
      <c r="E49" s="82">
        <v>2</v>
      </c>
      <c r="F49" s="78" t="str">
        <f ca="1">VLOOKUP($B49&amp;"_"&amp;$E49,OFFSET([2]stages!$A$1,0,0,COUNTA([2]stages!$A:$A),MATCH(F$1,[2]stages!$2:$2,0)-MATCH("temp_stage",[2]stages!$2:$2,0)+1),MATCH(F$1,[2]stages!$2:$2,0)-MATCH("temp_stage",[2]stages!$2:$2,0)+1,FALSE)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49" s="78" t="str">
        <f ca="1">VLOOKUP($B49&amp;"_"&amp;$E49,OFFSET([2]stages!$A$1,0,0,COUNTA([2]stages!$A:$A),MATCH(G$1,[2]stages!$2:$2,0)-MATCH("temp_stage",[2]stages!$2:$2,0)+1),MATCH(G$1,[2]stages!$2:$2,0)-MATCH("temp_stage",[2]stages!$2:$2,0)+1,FALSE)</f>
        <v>ドロップイベント4</v>
      </c>
      <c r="H49" s="80">
        <v>0</v>
      </c>
      <c r="I49">
        <v>26</v>
      </c>
      <c r="J49" s="79" t="s">
        <v>197</v>
      </c>
      <c r="K49" s="87" t="str">
        <f>VLOOKUP(I49,[7]stage_hints!$A:$C,3,FALSE)</f>
        <v>スキルレベルの効果</v>
      </c>
      <c r="L49" s="88" t="str">
        <f>VLOOKUP(I49,[7]stage_hints!$A:$D,4,FALSE)</f>
        <v>スキルレベルが上がると_x000D_短いターンでスキルを使うことができます</v>
      </c>
      <c r="M49" s="53" t="s">
        <v>210</v>
      </c>
    </row>
    <row r="50" spans="1:13" x14ac:dyDescent="0.15">
      <c r="A50" s="76" t="s">
        <v>200</v>
      </c>
      <c r="B50" s="77">
        <f>floors!$C$2</f>
        <v>20013</v>
      </c>
      <c r="C50" s="78" t="str">
        <f ca="1">VLOOKUP($B50,OFFSET([2]quests!$A$1,0,0,COUNTA([2]quests!$A:$A),MATCH(C$1,[2]quests!$1:$1,0)-MATCH($B$1,[2]quests!$1:$1,0)+1),MATCH(C$1,[2]quests!$1:$1,0)-MATCH($B$1,[2]quests!$1:$1,0)+1,FALSE)</f>
        <v>天の時、地の利、人の和</v>
      </c>
      <c r="D50" s="78" t="str">
        <f ca="1">VLOOKUP($B50,OFFSET([2]quests!$A$1,0,0,COUNTA([2]quests!$A:$A),MATCH(D$1,[2]quests!$1:$1,0)-MATCH($B$1,[2]quests!$1:$1,0)+1),MATCH(D$1,[2]quests!$1:$1,0)-MATCH($B$1,[2]quests!$1:$1,0)+1,FALSE)</f>
        <v>ドロップイベント4</v>
      </c>
      <c r="E50" s="82">
        <v>2</v>
      </c>
      <c r="F50" s="78" t="str">
        <f ca="1">VLOOKUP($B50&amp;"_"&amp;$E50,OFFSET([2]stages!$A$1,0,0,COUNTA([2]stages!$A:$A),MATCH(F$1,[2]stages!$2:$2,0)-MATCH("temp_stage",[2]stages!$2:$2,0)+1),MATCH(F$1,[2]stages!$2:$2,0)-MATCH("temp_stage",[2]stages!$2:$2,0)+1,FALSE)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0" s="78" t="str">
        <f ca="1">VLOOKUP($B50&amp;"_"&amp;$E50,OFFSET([2]stages!$A$1,0,0,COUNTA([2]stages!$A:$A),MATCH(G$1,[2]stages!$2:$2,0)-MATCH("temp_stage",[2]stages!$2:$2,0)+1),MATCH(G$1,[2]stages!$2:$2,0)-MATCH("temp_stage",[2]stages!$2:$2,0)+1,FALSE)</f>
        <v>ドロップイベント4</v>
      </c>
      <c r="H50" s="80">
        <v>0</v>
      </c>
      <c r="I50">
        <v>27</v>
      </c>
      <c r="J50" s="79" t="s">
        <v>197</v>
      </c>
      <c r="K50" s="87" t="str">
        <f>VLOOKUP(I50,[7]stage_hints!$A:$C,3,FALSE)</f>
        <v>ホーム画面からデッキを編成</v>
      </c>
      <c r="L50" s="88" t="str">
        <f>VLOOKUP(I50,[7]stage_hints!$A:$D,4,FALSE)</f>
        <v>ホーム画面でユニットを長押しすると_x000D_すぐにパーティ編成に移動できます</v>
      </c>
      <c r="M50" s="53" t="s">
        <v>210</v>
      </c>
    </row>
    <row r="51" spans="1:13" x14ac:dyDescent="0.15">
      <c r="A51" s="76" t="s">
        <v>200</v>
      </c>
      <c r="B51" s="77">
        <f>floors!$C$2</f>
        <v>20013</v>
      </c>
      <c r="C51" s="78" t="str">
        <f ca="1">VLOOKUP($B51,OFFSET([2]quests!$A$1,0,0,COUNTA([2]quests!$A:$A),MATCH(C$1,[2]quests!$1:$1,0)-MATCH($B$1,[2]quests!$1:$1,0)+1),MATCH(C$1,[2]quests!$1:$1,0)-MATCH($B$1,[2]quests!$1:$1,0)+1,FALSE)</f>
        <v>天の時、地の利、人の和</v>
      </c>
      <c r="D51" s="78" t="str">
        <f ca="1">VLOOKUP($B51,OFFSET([2]quests!$A$1,0,0,COUNTA([2]quests!$A:$A),MATCH(D$1,[2]quests!$1:$1,0)-MATCH($B$1,[2]quests!$1:$1,0)+1),MATCH(D$1,[2]quests!$1:$1,0)-MATCH($B$1,[2]quests!$1:$1,0)+1,FALSE)</f>
        <v>ドロップイベント4</v>
      </c>
      <c r="E51" s="82">
        <v>2</v>
      </c>
      <c r="F51" s="78" t="str">
        <f ca="1">VLOOKUP($B51&amp;"_"&amp;$E51,OFFSET([2]stages!$A$1,0,0,COUNTA([2]stages!$A:$A),MATCH(F$1,[2]stages!$2:$2,0)-MATCH("temp_stage",[2]stages!$2:$2,0)+1),MATCH(F$1,[2]stages!$2:$2,0)-MATCH("temp_stage",[2]stages!$2:$2,0)+1,FALSE)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1" s="78" t="str">
        <f ca="1">VLOOKUP($B51&amp;"_"&amp;$E51,OFFSET([2]stages!$A$1,0,0,COUNTA([2]stages!$A:$A),MATCH(G$1,[2]stages!$2:$2,0)-MATCH("temp_stage",[2]stages!$2:$2,0)+1),MATCH(G$1,[2]stages!$2:$2,0)-MATCH("temp_stage",[2]stages!$2:$2,0)+1,FALSE)</f>
        <v>ドロップイベント4</v>
      </c>
      <c r="H51" s="80">
        <v>0</v>
      </c>
      <c r="I51">
        <v>28</v>
      </c>
      <c r="J51" s="79" t="s">
        <v>197</v>
      </c>
      <c r="K51" s="87" t="str">
        <f>VLOOKUP(I51,[7]stage_hints!$A:$C,3,FALSE)</f>
        <v>ステータス情報は長押しで</v>
      </c>
      <c r="L51" s="88" t="str">
        <f>VLOOKUP(I51,[7]stage_hints!$A:$D,4,FALSE)</f>
        <v>ユニットのアイコンを長押しすると_x000D_ステータス情報を確認することができます</v>
      </c>
      <c r="M51" s="53" t="s">
        <v>210</v>
      </c>
    </row>
    <row r="52" spans="1:13" x14ac:dyDescent="0.15">
      <c r="A52" s="76" t="s">
        <v>200</v>
      </c>
      <c r="B52" s="77">
        <f>floors!$C$2</f>
        <v>20013</v>
      </c>
      <c r="C52" s="78" t="str">
        <f ca="1">VLOOKUP($B52,OFFSET([2]quests!$A$1,0,0,COUNTA([2]quests!$A:$A),MATCH(C$1,[2]quests!$1:$1,0)-MATCH($B$1,[2]quests!$1:$1,0)+1),MATCH(C$1,[2]quests!$1:$1,0)-MATCH($B$1,[2]quests!$1:$1,0)+1,FALSE)</f>
        <v>天の時、地の利、人の和</v>
      </c>
      <c r="D52" s="78" t="str">
        <f ca="1">VLOOKUP($B52,OFFSET([2]quests!$A$1,0,0,COUNTA([2]quests!$A:$A),MATCH(D$1,[2]quests!$1:$1,0)-MATCH($B$1,[2]quests!$1:$1,0)+1),MATCH(D$1,[2]quests!$1:$1,0)-MATCH($B$1,[2]quests!$1:$1,0)+1,FALSE)</f>
        <v>ドロップイベント4</v>
      </c>
      <c r="E52" s="82">
        <v>2</v>
      </c>
      <c r="F52" s="78" t="str">
        <f ca="1">VLOOKUP($B52&amp;"_"&amp;$E52,OFFSET([2]stages!$A$1,0,0,COUNTA([2]stages!$A:$A),MATCH(F$1,[2]stages!$2:$2,0)-MATCH("temp_stage",[2]stages!$2:$2,0)+1),MATCH(F$1,[2]stages!$2:$2,0)-MATCH("temp_stage",[2]stages!$2:$2,0)+1,FALSE)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2" s="78" t="str">
        <f ca="1">VLOOKUP($B52&amp;"_"&amp;$E52,OFFSET([2]stages!$A$1,0,0,COUNTA([2]stages!$A:$A),MATCH(G$1,[2]stages!$2:$2,0)-MATCH("temp_stage",[2]stages!$2:$2,0)+1),MATCH(G$1,[2]stages!$2:$2,0)-MATCH("temp_stage",[2]stages!$2:$2,0)+1,FALSE)</f>
        <v>ドロップイベント4</v>
      </c>
      <c r="H52" s="80">
        <v>0</v>
      </c>
      <c r="I52">
        <v>29</v>
      </c>
      <c r="J52" s="79" t="s">
        <v>197</v>
      </c>
      <c r="K52" s="87" t="str">
        <f>VLOOKUP(I52,[7]stage_hints!$A:$C,3,FALSE)</f>
        <v>「バグ」のメリット</v>
      </c>
      <c r="L52" s="88" t="str">
        <f>VLOOKUP(I52,[7]stage_hints!$A:$D,4,FALSE)</f>
        <v>ユニットの「バグ」を増やすと_x000D_報酬をもらえる確率がアップします</v>
      </c>
      <c r="M52" s="53" t="s">
        <v>210</v>
      </c>
    </row>
    <row r="53" spans="1:13" x14ac:dyDescent="0.15">
      <c r="A53" s="76" t="s">
        <v>200</v>
      </c>
      <c r="B53" s="77">
        <f>floors!$C$2</f>
        <v>20013</v>
      </c>
      <c r="C53" s="78" t="str">
        <f ca="1">VLOOKUP($B53,OFFSET([2]quests!$A$1,0,0,COUNTA([2]quests!$A:$A),MATCH(C$1,[2]quests!$1:$1,0)-MATCH($B$1,[2]quests!$1:$1,0)+1),MATCH(C$1,[2]quests!$1:$1,0)-MATCH($B$1,[2]quests!$1:$1,0)+1,FALSE)</f>
        <v>天の時、地の利、人の和</v>
      </c>
      <c r="D53" s="78" t="str">
        <f ca="1">VLOOKUP($B53,OFFSET([2]quests!$A$1,0,0,COUNTA([2]quests!$A:$A),MATCH(D$1,[2]quests!$1:$1,0)-MATCH($B$1,[2]quests!$1:$1,0)+1),MATCH(D$1,[2]quests!$1:$1,0)-MATCH($B$1,[2]quests!$1:$1,0)+1,FALSE)</f>
        <v>ドロップイベント4</v>
      </c>
      <c r="E53" s="82">
        <v>2</v>
      </c>
      <c r="F53" s="78" t="str">
        <f ca="1">VLOOKUP($B53&amp;"_"&amp;$E53,OFFSET([2]stages!$A$1,0,0,COUNTA([2]stages!$A:$A),MATCH(F$1,[2]stages!$2:$2,0)-MATCH("temp_stage",[2]stages!$2:$2,0)+1),MATCH(F$1,[2]stages!$2:$2,0)-MATCH("temp_stage",[2]stages!$2:$2,0)+1,FALSE)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3" s="78" t="str">
        <f ca="1">VLOOKUP($B53&amp;"_"&amp;$E53,OFFSET([2]stages!$A$1,0,0,COUNTA([2]stages!$A:$A),MATCH(G$1,[2]stages!$2:$2,0)-MATCH("temp_stage",[2]stages!$2:$2,0)+1),MATCH(G$1,[2]stages!$2:$2,0)-MATCH("temp_stage",[2]stages!$2:$2,0)+1,FALSE)</f>
        <v>ドロップイベント4</v>
      </c>
      <c r="H53" s="80">
        <v>0</v>
      </c>
      <c r="I53">
        <v>30</v>
      </c>
      <c r="J53" s="79" t="s">
        <v>197</v>
      </c>
      <c r="K53" s="87" t="str">
        <f>VLOOKUP(I53,[7]stage_hints!$A:$C,3,FALSE)</f>
        <v>「バグ」の増やし方</v>
      </c>
      <c r="L53" s="88" t="str">
        <f>VLOOKUP(I53,[7]stage_hints!$A:$D,4,FALSE)</f>
        <v>同じユニット同士を強化で合成すると_x000D_「バグ」を増やすことができます</v>
      </c>
      <c r="M53" s="53" t="s">
        <v>210</v>
      </c>
    </row>
    <row r="54" spans="1:13" x14ac:dyDescent="0.15">
      <c r="A54" s="76" t="s">
        <v>200</v>
      </c>
      <c r="B54" s="77">
        <f>floors!$C$2</f>
        <v>20013</v>
      </c>
      <c r="C54" s="78" t="str">
        <f ca="1">VLOOKUP($B54,OFFSET([2]quests!$A$1,0,0,COUNTA([2]quests!$A:$A),MATCH(C$1,[2]quests!$1:$1,0)-MATCH($B$1,[2]quests!$1:$1,0)+1),MATCH(C$1,[2]quests!$1:$1,0)-MATCH($B$1,[2]quests!$1:$1,0)+1,FALSE)</f>
        <v>天の時、地の利、人の和</v>
      </c>
      <c r="D54" s="78" t="str">
        <f ca="1">VLOOKUP($B54,OFFSET([2]quests!$A$1,0,0,COUNTA([2]quests!$A:$A),MATCH(D$1,[2]quests!$1:$1,0)-MATCH($B$1,[2]quests!$1:$1,0)+1),MATCH(D$1,[2]quests!$1:$1,0)-MATCH($B$1,[2]quests!$1:$1,0)+1,FALSE)</f>
        <v>ドロップイベント4</v>
      </c>
      <c r="E54" s="82">
        <v>2</v>
      </c>
      <c r="F54" s="78" t="str">
        <f ca="1">VLOOKUP($B54&amp;"_"&amp;$E54,OFFSET([2]stages!$A$1,0,0,COUNTA([2]stages!$A:$A),MATCH(F$1,[2]stages!$2:$2,0)-MATCH("temp_stage",[2]stages!$2:$2,0)+1),MATCH(F$1,[2]stages!$2:$2,0)-MATCH("temp_stage",[2]stages!$2:$2,0)+1,FALSE)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4" s="78" t="str">
        <f ca="1">VLOOKUP($B54&amp;"_"&amp;$E54,OFFSET([2]stages!$A$1,0,0,COUNTA([2]stages!$A:$A),MATCH(G$1,[2]stages!$2:$2,0)-MATCH("temp_stage",[2]stages!$2:$2,0)+1),MATCH(G$1,[2]stages!$2:$2,0)-MATCH("temp_stage",[2]stages!$2:$2,0)+1,FALSE)</f>
        <v>ドロップイベント4</v>
      </c>
      <c r="H54" s="80">
        <v>0</v>
      </c>
      <c r="I54">
        <v>31</v>
      </c>
      <c r="J54" s="79" t="s">
        <v>197</v>
      </c>
      <c r="K54" s="87" t="str">
        <f>VLOOKUP(I54,[7]stage_hints!$A:$C,3,FALSE)</f>
        <v>イベントはお知らせでチェック</v>
      </c>
      <c r="L54" s="88" t="str">
        <f>VLOOKUP(I54,[7]stage_hints!$A:$D,4,FALSE)</f>
        <v>イベント限定ユニットを取り忘れないように_x000D_お知らせをこまめにチェックしましょう</v>
      </c>
      <c r="M54" s="53" t="s">
        <v>210</v>
      </c>
    </row>
    <row r="55" spans="1:13" x14ac:dyDescent="0.15">
      <c r="A55" s="76" t="s">
        <v>200</v>
      </c>
      <c r="B55" s="77">
        <f>floors!$C$2</f>
        <v>20013</v>
      </c>
      <c r="C55" s="78" t="str">
        <f ca="1">VLOOKUP($B55,OFFSET([2]quests!$A$1,0,0,COUNTA([2]quests!$A:$A),MATCH(C$1,[2]quests!$1:$1,0)-MATCH($B$1,[2]quests!$1:$1,0)+1),MATCH(C$1,[2]quests!$1:$1,0)-MATCH($B$1,[2]quests!$1:$1,0)+1,FALSE)</f>
        <v>天の時、地の利、人の和</v>
      </c>
      <c r="D55" s="78" t="str">
        <f ca="1">VLOOKUP($B55,OFFSET([2]quests!$A$1,0,0,COUNTA([2]quests!$A:$A),MATCH(D$1,[2]quests!$1:$1,0)-MATCH($B$1,[2]quests!$1:$1,0)+1),MATCH(D$1,[2]quests!$1:$1,0)-MATCH($B$1,[2]quests!$1:$1,0)+1,FALSE)</f>
        <v>ドロップイベント4</v>
      </c>
      <c r="E55" s="82">
        <v>2</v>
      </c>
      <c r="F55" s="78" t="str">
        <f ca="1">VLOOKUP($B55&amp;"_"&amp;$E55,OFFSET([2]stages!$A$1,0,0,COUNTA([2]stages!$A:$A),MATCH(F$1,[2]stages!$2:$2,0)-MATCH("temp_stage",[2]stages!$2:$2,0)+1),MATCH(F$1,[2]stages!$2:$2,0)-MATCH("temp_stage",[2]stages!$2:$2,0)+1,FALSE)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5" s="78" t="str">
        <f ca="1">VLOOKUP($B55&amp;"_"&amp;$E55,OFFSET([2]stages!$A$1,0,0,COUNTA([2]stages!$A:$A),MATCH(G$1,[2]stages!$2:$2,0)-MATCH("temp_stage",[2]stages!$2:$2,0)+1),MATCH(G$1,[2]stages!$2:$2,0)-MATCH("temp_stage",[2]stages!$2:$2,0)+1,FALSE)</f>
        <v>ドロップイベント4</v>
      </c>
      <c r="H55" s="80">
        <v>0</v>
      </c>
      <c r="I55">
        <v>32</v>
      </c>
      <c r="J55" s="79" t="s">
        <v>197</v>
      </c>
      <c r="K55" s="87" t="str">
        <f>VLOOKUP(I55,[7]stage_hints!$A:$C,3,FALSE)</f>
        <v>敵の連続攻撃には</v>
      </c>
      <c r="L55" s="88" t="str">
        <f>VLOOKUP(I55,[7]stage_hints!$A:$D,4,FALSE)</f>
        <v>カウンタースキルを持つユニットがいれば_x000D_ダメージ回数分の反撃ができます</v>
      </c>
      <c r="M55" s="53" t="s">
        <v>210</v>
      </c>
    </row>
    <row r="56" spans="1:13" x14ac:dyDescent="0.15">
      <c r="A56" s="76" t="s">
        <v>200</v>
      </c>
      <c r="B56" s="77">
        <f>floors!$C$2</f>
        <v>20013</v>
      </c>
      <c r="C56" s="78" t="str">
        <f ca="1">VLOOKUP($B56,OFFSET([2]quests!$A$1,0,0,COUNTA([2]quests!$A:$A),MATCH(C$1,[2]quests!$1:$1,0)-MATCH($B$1,[2]quests!$1:$1,0)+1),MATCH(C$1,[2]quests!$1:$1,0)-MATCH($B$1,[2]quests!$1:$1,0)+1,FALSE)</f>
        <v>天の時、地の利、人の和</v>
      </c>
      <c r="D56" s="78" t="str">
        <f ca="1">VLOOKUP($B56,OFFSET([2]quests!$A$1,0,0,COUNTA([2]quests!$A:$A),MATCH(D$1,[2]quests!$1:$1,0)-MATCH($B$1,[2]quests!$1:$1,0)+1),MATCH(D$1,[2]quests!$1:$1,0)-MATCH($B$1,[2]quests!$1:$1,0)+1,FALSE)</f>
        <v>ドロップイベント4</v>
      </c>
      <c r="E56" s="82">
        <v>2</v>
      </c>
      <c r="F56" s="78" t="str">
        <f ca="1">VLOOKUP($B56&amp;"_"&amp;$E56,OFFSET([2]stages!$A$1,0,0,COUNTA([2]stages!$A:$A),MATCH(F$1,[2]stages!$2:$2,0)-MATCH("temp_stage",[2]stages!$2:$2,0)+1),MATCH(F$1,[2]stages!$2:$2,0)-MATCH("temp_stage",[2]stages!$2:$2,0)+1,FALSE)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6" s="78" t="str">
        <f ca="1">VLOOKUP($B56&amp;"_"&amp;$E56,OFFSET([2]stages!$A$1,0,0,COUNTA([2]stages!$A:$A),MATCH(G$1,[2]stages!$2:$2,0)-MATCH("temp_stage",[2]stages!$2:$2,0)+1),MATCH(G$1,[2]stages!$2:$2,0)-MATCH("temp_stage",[2]stages!$2:$2,0)+1,FALSE)</f>
        <v>ドロップイベント4</v>
      </c>
      <c r="H56" s="80">
        <v>0</v>
      </c>
      <c r="I56">
        <v>33</v>
      </c>
      <c r="J56" s="79" t="s">
        <v>197</v>
      </c>
      <c r="K56" s="87" t="str">
        <f>VLOOKUP(I56,[7]stage_hints!$A:$C,3,FALSE)</f>
        <v>敵のカウンター攻撃には</v>
      </c>
      <c r="L56" s="88" t="str">
        <f>VLOOKUP(I56,[7]stage_hints!$A:$D,4,FALSE)</f>
        <v>カウンターブレイクスキルを持っていれば_x000D_敵のカウンターを解除して攻撃ができます</v>
      </c>
      <c r="M56" s="53" t="s">
        <v>210</v>
      </c>
    </row>
    <row r="57" spans="1:13" x14ac:dyDescent="0.15">
      <c r="A57" s="76" t="s">
        <v>200</v>
      </c>
      <c r="B57" s="77">
        <f>floors!$C$2</f>
        <v>20013</v>
      </c>
      <c r="C57" s="78" t="str">
        <f ca="1">VLOOKUP($B57,OFFSET([2]quests!$A$1,0,0,COUNTA([2]quests!$A:$A),MATCH(C$1,[2]quests!$1:$1,0)-MATCH($B$1,[2]quests!$1:$1,0)+1),MATCH(C$1,[2]quests!$1:$1,0)-MATCH($B$1,[2]quests!$1:$1,0)+1,FALSE)</f>
        <v>天の時、地の利、人の和</v>
      </c>
      <c r="D57" s="78" t="str">
        <f ca="1">VLOOKUP($B57,OFFSET([2]quests!$A$1,0,0,COUNTA([2]quests!$A:$A),MATCH(D$1,[2]quests!$1:$1,0)-MATCH($B$1,[2]quests!$1:$1,0)+1),MATCH(D$1,[2]quests!$1:$1,0)-MATCH($B$1,[2]quests!$1:$1,0)+1,FALSE)</f>
        <v>ドロップイベント4</v>
      </c>
      <c r="E57" s="82">
        <v>2</v>
      </c>
      <c r="F57" s="78" t="str">
        <f ca="1">VLOOKUP($B57&amp;"_"&amp;$E57,OFFSET([2]stages!$A$1,0,0,COUNTA([2]stages!$A:$A),MATCH(F$1,[2]stages!$2:$2,0)-MATCH("temp_stage",[2]stages!$2:$2,0)+1),MATCH(F$1,[2]stages!$2:$2,0)-MATCH("temp_stage",[2]stages!$2:$2,0)+1,FALSE)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7" s="78" t="str">
        <f ca="1">VLOOKUP($B57&amp;"_"&amp;$E57,OFFSET([2]stages!$A$1,0,0,COUNTA([2]stages!$A:$A),MATCH(G$1,[2]stages!$2:$2,0)-MATCH("temp_stage",[2]stages!$2:$2,0)+1),MATCH(G$1,[2]stages!$2:$2,0)-MATCH("temp_stage",[2]stages!$2:$2,0)+1,FALSE)</f>
        <v>ドロップイベント4</v>
      </c>
      <c r="H57" s="80">
        <v>0</v>
      </c>
      <c r="I57">
        <v>34</v>
      </c>
      <c r="J57" s="79" t="s">
        <v>197</v>
      </c>
      <c r="K57" s="87" t="str">
        <f>VLOOKUP(I57,[7]stage_hints!$A:$C,3,FALSE)</f>
        <v>ステータスをスキルで下げられたら</v>
      </c>
      <c r="L57" s="88" t="str">
        <f>VLOOKUP(I57,[7]stage_hints!$A:$D,4,FALSE)</f>
        <v>ステータスダウンのスキルを受けたら_x000D_ステータスアップスキルで上書きしましょう</v>
      </c>
      <c r="M57" s="53" t="s">
        <v>210</v>
      </c>
    </row>
    <row r="58" spans="1:13" x14ac:dyDescent="0.15">
      <c r="A58" s="76" t="s">
        <v>200</v>
      </c>
      <c r="B58" s="77">
        <f>floors!$C$2</f>
        <v>20013</v>
      </c>
      <c r="C58" s="78" t="str">
        <f ca="1">VLOOKUP($B58,OFFSET([2]quests!$A$1,0,0,COUNTA([2]quests!$A:$A),MATCH(C$1,[2]quests!$1:$1,0)-MATCH($B$1,[2]quests!$1:$1,0)+1),MATCH(C$1,[2]quests!$1:$1,0)-MATCH($B$1,[2]quests!$1:$1,0)+1,FALSE)</f>
        <v>天の時、地の利、人の和</v>
      </c>
      <c r="D58" s="78" t="str">
        <f ca="1">VLOOKUP($B58,OFFSET([2]quests!$A$1,0,0,COUNTA([2]quests!$A:$A),MATCH(D$1,[2]quests!$1:$1,0)-MATCH($B$1,[2]quests!$1:$1,0)+1),MATCH(D$1,[2]quests!$1:$1,0)-MATCH($B$1,[2]quests!$1:$1,0)+1,FALSE)</f>
        <v>ドロップイベント4</v>
      </c>
      <c r="E58" s="82">
        <v>2</v>
      </c>
      <c r="F58" s="78" t="str">
        <f ca="1">VLOOKUP($B58&amp;"_"&amp;$E58,OFFSET([2]stages!$A$1,0,0,COUNTA([2]stages!$A:$A),MATCH(F$1,[2]stages!$2:$2,0)-MATCH("temp_stage",[2]stages!$2:$2,0)+1),MATCH(F$1,[2]stages!$2:$2,0)-MATCH("temp_stage",[2]stages!$2:$2,0)+1,FALSE)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8" s="78" t="str">
        <f ca="1">VLOOKUP($B58&amp;"_"&amp;$E58,OFFSET([2]stages!$A$1,0,0,COUNTA([2]stages!$A:$A),MATCH(G$1,[2]stages!$2:$2,0)-MATCH("temp_stage",[2]stages!$2:$2,0)+1),MATCH(G$1,[2]stages!$2:$2,0)-MATCH("temp_stage",[2]stages!$2:$2,0)+1,FALSE)</f>
        <v>ドロップイベント4</v>
      </c>
      <c r="H58" s="80">
        <v>0</v>
      </c>
      <c r="I58">
        <v>35</v>
      </c>
      <c r="J58" s="79" t="s">
        <v>197</v>
      </c>
      <c r="K58" s="87" t="str">
        <f>VLOOKUP(I58,[7]stage_hints!$A:$C,3,FALSE)</f>
        <v>敵のステータスがスキルで上がったら</v>
      </c>
      <c r="L58" s="88" t="str">
        <f>VLOOKUP(I58,[7]stage_hints!$A:$D,4,FALSE)</f>
        <v>敵のステータスがスキルでアップしたときは_x000D_ステータスダウンスキルで上書きしましょう</v>
      </c>
      <c r="M58" s="53" t="s">
        <v>210</v>
      </c>
    </row>
    <row r="59" spans="1:13" x14ac:dyDescent="0.15">
      <c r="A59" s="76" t="s">
        <v>200</v>
      </c>
      <c r="B59" s="77">
        <f>floors!$C$2</f>
        <v>20013</v>
      </c>
      <c r="C59" s="78" t="str">
        <f ca="1">VLOOKUP($B59,OFFSET([2]quests!$A$1,0,0,COUNTA([2]quests!$A:$A),MATCH(C$1,[2]quests!$1:$1,0)-MATCH($B$1,[2]quests!$1:$1,0)+1),MATCH(C$1,[2]quests!$1:$1,0)-MATCH($B$1,[2]quests!$1:$1,0)+1,FALSE)</f>
        <v>天の時、地の利、人の和</v>
      </c>
      <c r="D59" s="78" t="str">
        <f ca="1">VLOOKUP($B59,OFFSET([2]quests!$A$1,0,0,COUNTA([2]quests!$A:$A),MATCH(D$1,[2]quests!$1:$1,0)-MATCH($B$1,[2]quests!$1:$1,0)+1),MATCH(D$1,[2]quests!$1:$1,0)-MATCH($B$1,[2]quests!$1:$1,0)+1,FALSE)</f>
        <v>ドロップイベント4</v>
      </c>
      <c r="E59" s="82">
        <v>2</v>
      </c>
      <c r="F59" s="78" t="str">
        <f ca="1">VLOOKUP($B59&amp;"_"&amp;$E59,OFFSET([2]stages!$A$1,0,0,COUNTA([2]stages!$A:$A),MATCH(F$1,[2]stages!$2:$2,0)-MATCH("temp_stage",[2]stages!$2:$2,0)+1),MATCH(F$1,[2]stages!$2:$2,0)-MATCH("temp_stage",[2]stages!$2:$2,0)+1,FALSE)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59" s="78" t="str">
        <f ca="1">VLOOKUP($B59&amp;"_"&amp;$E59,OFFSET([2]stages!$A$1,0,0,COUNTA([2]stages!$A:$A),MATCH(G$1,[2]stages!$2:$2,0)-MATCH("temp_stage",[2]stages!$2:$2,0)+1),MATCH(G$1,[2]stages!$2:$2,0)-MATCH("temp_stage",[2]stages!$2:$2,0)+1,FALSE)</f>
        <v>ドロップイベント4</v>
      </c>
      <c r="H59" s="80">
        <v>0</v>
      </c>
      <c r="I59">
        <v>39</v>
      </c>
      <c r="J59" s="79" t="s">
        <v>197</v>
      </c>
      <c r="K59" s="87" t="str">
        <f>VLOOKUP(I59,[7]stage_hints!$A:$C,3,FALSE)</f>
        <v>システム適合者を確認</v>
      </c>
      <c r="L59" s="88" t="str">
        <f>VLOOKUP(I59,[7]stage_hints!$A:$D,4,FALSE)</f>
        <v>ALICEが 「アナタ」を呼んでいます</v>
      </c>
      <c r="M59" s="53" t="s">
        <v>210</v>
      </c>
    </row>
    <row r="60" spans="1:13" x14ac:dyDescent="0.15">
      <c r="A60" s="76" t="s">
        <v>200</v>
      </c>
      <c r="B60" s="77">
        <f>floors!$C$2</f>
        <v>20013</v>
      </c>
      <c r="C60" s="78" t="str">
        <f ca="1">VLOOKUP($B60,OFFSET([2]quests!$A$1,0,0,COUNTA([2]quests!$A:$A),MATCH(C$1,[2]quests!$1:$1,0)-MATCH($B$1,[2]quests!$1:$1,0)+1),MATCH(C$1,[2]quests!$1:$1,0)-MATCH($B$1,[2]quests!$1:$1,0)+1,FALSE)</f>
        <v>天の時、地の利、人の和</v>
      </c>
      <c r="D60" s="78" t="str">
        <f ca="1">VLOOKUP($B60,OFFSET([2]quests!$A$1,0,0,COUNTA([2]quests!$A:$A),MATCH(D$1,[2]quests!$1:$1,0)-MATCH($B$1,[2]quests!$1:$1,0)+1),MATCH(D$1,[2]quests!$1:$1,0)-MATCH($B$1,[2]quests!$1:$1,0)+1,FALSE)</f>
        <v>ドロップイベント4</v>
      </c>
      <c r="E60" s="82">
        <v>3</v>
      </c>
      <c r="F60" s="78" t="str">
        <f ca="1">VLOOKUP($B60&amp;"_"&amp;$E60,OFFSET([2]stages!$A$1,0,0,COUNTA([2]stages!$A:$A),MATCH(F$1,[2]stages!$2:$2,0)-MATCH("temp_stage",[2]stages!$2:$2,0)+1),MATCH(F$1,[2]stages!$2:$2,0)-MATCH("temp_stage",[2]stages!$2:$2,0)+1,FALSE)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0" s="78" t="str">
        <f ca="1">VLOOKUP($B60&amp;"_"&amp;$E60,OFFSET([2]stages!$A$1,0,0,COUNTA([2]stages!$A:$A),MATCH(G$1,[2]stages!$2:$2,0)-MATCH("temp_stage",[2]stages!$2:$2,0)+1),MATCH(G$1,[2]stages!$2:$2,0)-MATCH("temp_stage",[2]stages!$2:$2,0)+1,FALSE)</f>
        <v>ドロップイベント4</v>
      </c>
      <c r="H60" s="80">
        <v>0</v>
      </c>
      <c r="I60" s="91">
        <v>3</v>
      </c>
      <c r="J60" s="79" t="s">
        <v>197</v>
      </c>
      <c r="K60" s="87" t="str">
        <f>VLOOKUP(I60,[7]stage_hints!$A:$C,3,FALSE)</f>
        <v>ターゲット</v>
      </c>
      <c r="L60" s="88" t="str">
        <f>VLOOKUP(I60,[7]stage_hints!$A:$D,4,FALSE)</f>
        <v>敵ユニットをタップすると_x000D_その敵を狙い撃ちできます</v>
      </c>
      <c r="M60" s="53" t="s">
        <v>210</v>
      </c>
    </row>
    <row r="61" spans="1:13" x14ac:dyDescent="0.15">
      <c r="A61" s="76" t="s">
        <v>200</v>
      </c>
      <c r="B61" s="77">
        <f>floors!$C$2</f>
        <v>20013</v>
      </c>
      <c r="C61" s="78" t="str">
        <f ca="1">VLOOKUP($B61,OFFSET([2]quests!$A$1,0,0,COUNTA([2]quests!$A:$A),MATCH(C$1,[2]quests!$1:$1,0)-MATCH($B$1,[2]quests!$1:$1,0)+1),MATCH(C$1,[2]quests!$1:$1,0)-MATCH($B$1,[2]quests!$1:$1,0)+1,FALSE)</f>
        <v>天の時、地の利、人の和</v>
      </c>
      <c r="D61" s="78" t="str">
        <f ca="1">VLOOKUP($B61,OFFSET([2]quests!$A$1,0,0,COUNTA([2]quests!$A:$A),MATCH(D$1,[2]quests!$1:$1,0)-MATCH($B$1,[2]quests!$1:$1,0)+1),MATCH(D$1,[2]quests!$1:$1,0)-MATCH($B$1,[2]quests!$1:$1,0)+1,FALSE)</f>
        <v>ドロップイベント4</v>
      </c>
      <c r="E61" s="82">
        <v>3</v>
      </c>
      <c r="F61" s="78" t="str">
        <f ca="1">VLOOKUP($B61&amp;"_"&amp;$E61,OFFSET([2]stages!$A$1,0,0,COUNTA([2]stages!$A:$A),MATCH(F$1,[2]stages!$2:$2,0)-MATCH("temp_stage",[2]stages!$2:$2,0)+1),MATCH(F$1,[2]stages!$2:$2,0)-MATCH("temp_stage",[2]stages!$2:$2,0)+1,FALSE)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1" s="78" t="str">
        <f ca="1">VLOOKUP($B61&amp;"_"&amp;$E61,OFFSET([2]stages!$A$1,0,0,COUNTA([2]stages!$A:$A),MATCH(G$1,[2]stages!$2:$2,0)-MATCH("temp_stage",[2]stages!$2:$2,0)+1),MATCH(G$1,[2]stages!$2:$2,0)-MATCH("temp_stage",[2]stages!$2:$2,0)+1,FALSE)</f>
        <v>ドロップイベント4</v>
      </c>
      <c r="H61" s="80">
        <v>0</v>
      </c>
      <c r="I61" s="91">
        <v>6</v>
      </c>
      <c r="J61" s="79" t="s">
        <v>197</v>
      </c>
      <c r="K61" s="87" t="str">
        <f>VLOOKUP(I61,[7]stage_hints!$A:$C,3,FALSE)</f>
        <v>ユニット強化の属性ボーナス</v>
      </c>
      <c r="L61" s="88" t="str">
        <f>VLOOKUP(I61,[7]stage_hints!$A:$D,4,FALSE)</f>
        <v>同属性ユニットを強化素材にすると_x000D_経験値が多くもらえます</v>
      </c>
      <c r="M61" s="53" t="s">
        <v>210</v>
      </c>
    </row>
    <row r="62" spans="1:13" x14ac:dyDescent="0.15">
      <c r="A62" s="76" t="s">
        <v>200</v>
      </c>
      <c r="B62" s="77">
        <f>floors!$C$2</f>
        <v>20013</v>
      </c>
      <c r="C62" s="78" t="str">
        <f ca="1">VLOOKUP($B62,OFFSET([2]quests!$A$1,0,0,COUNTA([2]quests!$A:$A),MATCH(C$1,[2]quests!$1:$1,0)-MATCH($B$1,[2]quests!$1:$1,0)+1),MATCH(C$1,[2]quests!$1:$1,0)-MATCH($B$1,[2]quests!$1:$1,0)+1,FALSE)</f>
        <v>天の時、地の利、人の和</v>
      </c>
      <c r="D62" s="78" t="str">
        <f ca="1">VLOOKUP($B62,OFFSET([2]quests!$A$1,0,0,COUNTA([2]quests!$A:$A),MATCH(D$1,[2]quests!$1:$1,0)-MATCH($B$1,[2]quests!$1:$1,0)+1),MATCH(D$1,[2]quests!$1:$1,0)-MATCH($B$1,[2]quests!$1:$1,0)+1,FALSE)</f>
        <v>ドロップイベント4</v>
      </c>
      <c r="E62" s="82">
        <v>3</v>
      </c>
      <c r="F62" s="78" t="str">
        <f ca="1">VLOOKUP($B62&amp;"_"&amp;$E62,OFFSET([2]stages!$A$1,0,0,COUNTA([2]stages!$A:$A),MATCH(F$1,[2]stages!$2:$2,0)-MATCH("temp_stage",[2]stages!$2:$2,0)+1),MATCH(F$1,[2]stages!$2:$2,0)-MATCH("temp_stage",[2]stages!$2:$2,0)+1,FALSE)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2" s="78" t="str">
        <f ca="1">VLOOKUP($B62&amp;"_"&amp;$E62,OFFSET([2]stages!$A$1,0,0,COUNTA([2]stages!$A:$A),MATCH(G$1,[2]stages!$2:$2,0)-MATCH("temp_stage",[2]stages!$2:$2,0)+1),MATCH(G$1,[2]stages!$2:$2,0)-MATCH("temp_stage",[2]stages!$2:$2,0)+1,FALSE)</f>
        <v>ドロップイベント4</v>
      </c>
      <c r="H62" s="80">
        <v>0</v>
      </c>
      <c r="I62" s="91">
        <v>7</v>
      </c>
      <c r="J62" s="79" t="s">
        <v>197</v>
      </c>
      <c r="K62" s="87" t="str">
        <f>VLOOKUP(I62,[7]stage_hints!$A:$C,3,FALSE)</f>
        <v>メタルダックで経験値を獲得</v>
      </c>
      <c r="L62" s="88" t="str">
        <f>VLOOKUP(I62,[7]stage_hints!$A:$D,4,FALSE)</f>
        <v>「メタルなアヒル」を強化素材にすると_x000D_大量の経験値がもらえます</v>
      </c>
      <c r="M62" s="53" t="s">
        <v>210</v>
      </c>
    </row>
    <row r="63" spans="1:13" x14ac:dyDescent="0.15">
      <c r="A63" s="76" t="s">
        <v>200</v>
      </c>
      <c r="B63" s="77">
        <f>floors!$C$2</f>
        <v>20013</v>
      </c>
      <c r="C63" s="78" t="str">
        <f ca="1">VLOOKUP($B63,OFFSET([2]quests!$A$1,0,0,COUNTA([2]quests!$A:$A),MATCH(C$1,[2]quests!$1:$1,0)-MATCH($B$1,[2]quests!$1:$1,0)+1),MATCH(C$1,[2]quests!$1:$1,0)-MATCH($B$1,[2]quests!$1:$1,0)+1,FALSE)</f>
        <v>天の時、地の利、人の和</v>
      </c>
      <c r="D63" s="78" t="str">
        <f ca="1">VLOOKUP($B63,OFFSET([2]quests!$A$1,0,0,COUNTA([2]quests!$A:$A),MATCH(D$1,[2]quests!$1:$1,0)-MATCH($B$1,[2]quests!$1:$1,0)+1),MATCH(D$1,[2]quests!$1:$1,0)-MATCH($B$1,[2]quests!$1:$1,0)+1,FALSE)</f>
        <v>ドロップイベント4</v>
      </c>
      <c r="E63" s="82">
        <v>3</v>
      </c>
      <c r="F63" s="78" t="str">
        <f ca="1">VLOOKUP($B63&amp;"_"&amp;$E63,OFFSET([2]stages!$A$1,0,0,COUNTA([2]stages!$A:$A),MATCH(F$1,[2]stages!$2:$2,0)-MATCH("temp_stage",[2]stages!$2:$2,0)+1),MATCH(F$1,[2]stages!$2:$2,0)-MATCH("temp_stage",[2]stages!$2:$2,0)+1,FALSE)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3" s="78" t="str">
        <f ca="1">VLOOKUP($B63&amp;"_"&amp;$E63,OFFSET([2]stages!$A$1,0,0,COUNTA([2]stages!$A:$A),MATCH(G$1,[2]stages!$2:$2,0)-MATCH("temp_stage",[2]stages!$2:$2,0)+1),MATCH(G$1,[2]stages!$2:$2,0)-MATCH("temp_stage",[2]stages!$2:$2,0)+1,FALSE)</f>
        <v>ドロップイベント4</v>
      </c>
      <c r="H63" s="80">
        <v>0</v>
      </c>
      <c r="I63" s="91">
        <v>8</v>
      </c>
      <c r="J63" s="79" t="s">
        <v>197</v>
      </c>
      <c r="K63" s="87" t="str">
        <f>VLOOKUP(I63,[7]stage_hints!$A:$C,3,FALSE)</f>
        <v>ゲリラクエストは要チェック</v>
      </c>
      <c r="L63" s="88" t="str">
        <f>VLOOKUP(I63,[7]stage_hints!$A:$D,4,FALSE)</f>
        <v>時間限定の「アヒル捕獲作戦」では_x000D_経験値素材ユニットが多く手に入ります</v>
      </c>
      <c r="M63" s="53" t="s">
        <v>210</v>
      </c>
    </row>
    <row r="64" spans="1:13" x14ac:dyDescent="0.15">
      <c r="A64" s="76" t="s">
        <v>200</v>
      </c>
      <c r="B64" s="77">
        <f>floors!$C$2</f>
        <v>20013</v>
      </c>
      <c r="C64" s="78" t="str">
        <f ca="1">VLOOKUP($B64,OFFSET([2]quests!$A$1,0,0,COUNTA([2]quests!$A:$A),MATCH(C$1,[2]quests!$1:$1,0)-MATCH($B$1,[2]quests!$1:$1,0)+1),MATCH(C$1,[2]quests!$1:$1,0)-MATCH($B$1,[2]quests!$1:$1,0)+1,FALSE)</f>
        <v>天の時、地の利、人の和</v>
      </c>
      <c r="D64" s="78" t="str">
        <f ca="1">VLOOKUP($B64,OFFSET([2]quests!$A$1,0,0,COUNTA([2]quests!$A:$A),MATCH(D$1,[2]quests!$1:$1,0)-MATCH($B$1,[2]quests!$1:$1,0)+1),MATCH(D$1,[2]quests!$1:$1,0)-MATCH($B$1,[2]quests!$1:$1,0)+1,FALSE)</f>
        <v>ドロップイベント4</v>
      </c>
      <c r="E64" s="82">
        <v>3</v>
      </c>
      <c r="F64" s="78" t="str">
        <f ca="1">VLOOKUP($B64&amp;"_"&amp;$E64,OFFSET([2]stages!$A$1,0,0,COUNTA([2]stages!$A:$A),MATCH(F$1,[2]stages!$2:$2,0)-MATCH("temp_stage",[2]stages!$2:$2,0)+1),MATCH(F$1,[2]stages!$2:$2,0)-MATCH("temp_stage",[2]stages!$2:$2,0)+1,FALSE)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4" s="78" t="str">
        <f ca="1">VLOOKUP($B64&amp;"_"&amp;$E64,OFFSET([2]stages!$A$1,0,0,COUNTA([2]stages!$A:$A),MATCH(G$1,[2]stages!$2:$2,0)-MATCH("temp_stage",[2]stages!$2:$2,0)+1),MATCH(G$1,[2]stages!$2:$2,0)-MATCH("temp_stage",[2]stages!$2:$2,0)+1,FALSE)</f>
        <v>ドロップイベント4</v>
      </c>
      <c r="H64" s="80">
        <v>0</v>
      </c>
      <c r="I64" s="91">
        <v>9</v>
      </c>
      <c r="J64" s="79" t="s">
        <v>197</v>
      </c>
      <c r="K64" s="87" t="str">
        <f>VLOOKUP(I64,[7]stage_hints!$A:$C,3,FALSE)</f>
        <v>ゴールドダックでビットを獲得</v>
      </c>
      <c r="L64" s="88" t="str">
        <f>VLOOKUP(I64,[7]stage_hints!$A:$D,4,FALSE)</f>
        <v>「ゴールドなアヒル」を売却すると_x000D_大量のビットがもらえます</v>
      </c>
      <c r="M64" s="53" t="s">
        <v>210</v>
      </c>
    </row>
    <row r="65" spans="1:13" x14ac:dyDescent="0.15">
      <c r="A65" s="76" t="s">
        <v>200</v>
      </c>
      <c r="B65" s="77">
        <f>floors!$C$2</f>
        <v>20013</v>
      </c>
      <c r="C65" s="78" t="str">
        <f ca="1">VLOOKUP($B65,OFFSET([2]quests!$A$1,0,0,COUNTA([2]quests!$A:$A),MATCH(C$1,[2]quests!$1:$1,0)-MATCH($B$1,[2]quests!$1:$1,0)+1),MATCH(C$1,[2]quests!$1:$1,0)-MATCH($B$1,[2]quests!$1:$1,0)+1,FALSE)</f>
        <v>天の時、地の利、人の和</v>
      </c>
      <c r="D65" s="78" t="str">
        <f ca="1">VLOOKUP($B65,OFFSET([2]quests!$A$1,0,0,COUNTA([2]quests!$A:$A),MATCH(D$1,[2]quests!$1:$1,0)-MATCH($B$1,[2]quests!$1:$1,0)+1),MATCH(D$1,[2]quests!$1:$1,0)-MATCH($B$1,[2]quests!$1:$1,0)+1,FALSE)</f>
        <v>ドロップイベント4</v>
      </c>
      <c r="E65" s="82">
        <v>3</v>
      </c>
      <c r="F65" s="78" t="str">
        <f ca="1">VLOOKUP($B65&amp;"_"&amp;$E65,OFFSET([2]stages!$A$1,0,0,COUNTA([2]stages!$A:$A),MATCH(F$1,[2]stages!$2:$2,0)-MATCH("temp_stage",[2]stages!$2:$2,0)+1),MATCH(F$1,[2]stages!$2:$2,0)-MATCH("temp_stage",[2]stages!$2:$2,0)+1,FALSE)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5" s="78" t="str">
        <f ca="1">VLOOKUP($B65&amp;"_"&amp;$E65,OFFSET([2]stages!$A$1,0,0,COUNTA([2]stages!$A:$A),MATCH(G$1,[2]stages!$2:$2,0)-MATCH("temp_stage",[2]stages!$2:$2,0)+1),MATCH(G$1,[2]stages!$2:$2,0)-MATCH("temp_stage",[2]stages!$2:$2,0)+1,FALSE)</f>
        <v>ドロップイベント4</v>
      </c>
      <c r="H65" s="80">
        <v>0</v>
      </c>
      <c r="I65" s="91">
        <v>10</v>
      </c>
      <c r="J65" s="79" t="s">
        <v>197</v>
      </c>
      <c r="K65" s="87" t="str">
        <f>VLOOKUP(I65,[7]stage_hints!$A:$C,3,FALSE)</f>
        <v>土日に大量のビットを獲得</v>
      </c>
      <c r="L65" s="88" t="str">
        <f>VLOOKUP(I65,[7]stage_hints!$A:$D,4,FALSE)</f>
        <v>土日限定の「ゴールドカジノ」では_x000D_売却素材ユニットが多く手に入ります</v>
      </c>
      <c r="M65" s="53" t="s">
        <v>210</v>
      </c>
    </row>
    <row r="66" spans="1:13" x14ac:dyDescent="0.15">
      <c r="A66" s="76" t="s">
        <v>200</v>
      </c>
      <c r="B66" s="77">
        <f>floors!$C$2</f>
        <v>20013</v>
      </c>
      <c r="C66" s="78" t="str">
        <f ca="1">VLOOKUP($B66,OFFSET([2]quests!$A$1,0,0,COUNTA([2]quests!$A:$A),MATCH(C$1,[2]quests!$1:$1,0)-MATCH($B$1,[2]quests!$1:$1,0)+1),MATCH(C$1,[2]quests!$1:$1,0)-MATCH($B$1,[2]quests!$1:$1,0)+1,FALSE)</f>
        <v>天の時、地の利、人の和</v>
      </c>
      <c r="D66" s="78" t="str">
        <f ca="1">VLOOKUP($B66,OFFSET([2]quests!$A$1,0,0,COUNTA([2]quests!$A:$A),MATCH(D$1,[2]quests!$1:$1,0)-MATCH($B$1,[2]quests!$1:$1,0)+1),MATCH(D$1,[2]quests!$1:$1,0)-MATCH($B$1,[2]quests!$1:$1,0)+1,FALSE)</f>
        <v>ドロップイベント4</v>
      </c>
      <c r="E66" s="82">
        <v>3</v>
      </c>
      <c r="F66" s="78" t="str">
        <f ca="1">VLOOKUP($B66&amp;"_"&amp;$E66,OFFSET([2]stages!$A$1,0,0,COUNTA([2]stages!$A:$A),MATCH(F$1,[2]stages!$2:$2,0)-MATCH("temp_stage",[2]stages!$2:$2,0)+1),MATCH(F$1,[2]stages!$2:$2,0)-MATCH("temp_stage",[2]stages!$2:$2,0)+1,FALSE)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6" s="78" t="str">
        <f ca="1">VLOOKUP($B66&amp;"_"&amp;$E66,OFFSET([2]stages!$A$1,0,0,COUNTA([2]stages!$A:$A),MATCH(G$1,[2]stages!$2:$2,0)-MATCH("temp_stage",[2]stages!$2:$2,0)+1),MATCH(G$1,[2]stages!$2:$2,0)-MATCH("temp_stage",[2]stages!$2:$2,0)+1,FALSE)</f>
        <v>ドロップイベント4</v>
      </c>
      <c r="H66" s="80">
        <v>0</v>
      </c>
      <c r="I66" s="91">
        <v>11</v>
      </c>
      <c r="J66" s="79" t="s">
        <v>197</v>
      </c>
      <c r="K66" s="87" t="str">
        <f>VLOOKUP(I66,[7]stage_hints!$A:$C,3,FALSE)</f>
        <v>ランク解放クエスト</v>
      </c>
      <c r="L66" s="88" t="str">
        <f>VLOOKUP(I66,[7]stage_hints!$A:$D,4,FALSE)</f>
        <v>一定ランクに到達すると_x000D_報酬付きのランク開放クエストが現れます</v>
      </c>
      <c r="M66" s="53" t="s">
        <v>210</v>
      </c>
    </row>
    <row r="67" spans="1:13" x14ac:dyDescent="0.15">
      <c r="A67" s="76" t="s">
        <v>200</v>
      </c>
      <c r="B67" s="77">
        <f>floors!$C$2</f>
        <v>20013</v>
      </c>
      <c r="C67" s="78" t="str">
        <f ca="1">VLOOKUP($B67,OFFSET([2]quests!$A$1,0,0,COUNTA([2]quests!$A:$A),MATCH(C$1,[2]quests!$1:$1,0)-MATCH($B$1,[2]quests!$1:$1,0)+1),MATCH(C$1,[2]quests!$1:$1,0)-MATCH($B$1,[2]quests!$1:$1,0)+1,FALSE)</f>
        <v>天の時、地の利、人の和</v>
      </c>
      <c r="D67" s="78" t="str">
        <f ca="1">VLOOKUP($B67,OFFSET([2]quests!$A$1,0,0,COUNTA([2]quests!$A:$A),MATCH(D$1,[2]quests!$1:$1,0)-MATCH($B$1,[2]quests!$1:$1,0)+1),MATCH(D$1,[2]quests!$1:$1,0)-MATCH($B$1,[2]quests!$1:$1,0)+1,FALSE)</f>
        <v>ドロップイベント4</v>
      </c>
      <c r="E67" s="82">
        <v>3</v>
      </c>
      <c r="F67" s="78" t="str">
        <f ca="1">VLOOKUP($B67&amp;"_"&amp;$E67,OFFSET([2]stages!$A$1,0,0,COUNTA([2]stages!$A:$A),MATCH(F$1,[2]stages!$2:$2,0)-MATCH("temp_stage",[2]stages!$2:$2,0)+1),MATCH(F$1,[2]stages!$2:$2,0)-MATCH("temp_stage",[2]stages!$2:$2,0)+1,FALSE)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7" s="78" t="str">
        <f ca="1">VLOOKUP($B67&amp;"_"&amp;$E67,OFFSET([2]stages!$A$1,0,0,COUNTA([2]stages!$A:$A),MATCH(G$1,[2]stages!$2:$2,0)-MATCH("temp_stage",[2]stages!$2:$2,0)+1),MATCH(G$1,[2]stages!$2:$2,0)-MATCH("temp_stage",[2]stages!$2:$2,0)+1,FALSE)</f>
        <v>ドロップイベント4</v>
      </c>
      <c r="H67" s="80">
        <v>0</v>
      </c>
      <c r="I67" s="91">
        <v>12</v>
      </c>
      <c r="J67" s="79" t="s">
        <v>197</v>
      </c>
      <c r="K67" s="87" t="str">
        <f>VLOOKUP(I67,[7]stage_hints!$A:$C,3,FALSE)</f>
        <v>ユニットのお気に入り登録</v>
      </c>
      <c r="L67" s="88" t="str">
        <f>VLOOKUP(I67,[7]stage_hints!$A:$D,4,FALSE)</f>
        <v>大事なユニットを誤って消さないように_x000D_フォルダから「お気に入り登録」しましょう</v>
      </c>
      <c r="M67" s="53" t="s">
        <v>210</v>
      </c>
    </row>
    <row r="68" spans="1:13" x14ac:dyDescent="0.15">
      <c r="A68" s="76" t="s">
        <v>200</v>
      </c>
      <c r="B68" s="77">
        <f>floors!$C$2</f>
        <v>20013</v>
      </c>
      <c r="C68" s="78" t="str">
        <f ca="1">VLOOKUP($B68,OFFSET([2]quests!$A$1,0,0,COUNTA([2]quests!$A:$A),MATCH(C$1,[2]quests!$1:$1,0)-MATCH($B$1,[2]quests!$1:$1,0)+1),MATCH(C$1,[2]quests!$1:$1,0)-MATCH($B$1,[2]quests!$1:$1,0)+1,FALSE)</f>
        <v>天の時、地の利、人の和</v>
      </c>
      <c r="D68" s="78" t="str">
        <f ca="1">VLOOKUP($B68,OFFSET([2]quests!$A$1,0,0,COUNTA([2]quests!$A:$A),MATCH(D$1,[2]quests!$1:$1,0)-MATCH($B$1,[2]quests!$1:$1,0)+1),MATCH(D$1,[2]quests!$1:$1,0)-MATCH($B$1,[2]quests!$1:$1,0)+1,FALSE)</f>
        <v>ドロップイベント4</v>
      </c>
      <c r="E68" s="82">
        <v>3</v>
      </c>
      <c r="F68" s="78" t="str">
        <f ca="1">VLOOKUP($B68&amp;"_"&amp;$E68,OFFSET([2]stages!$A$1,0,0,COUNTA([2]stages!$A:$A),MATCH(F$1,[2]stages!$2:$2,0)-MATCH("temp_stage",[2]stages!$2:$2,0)+1),MATCH(F$1,[2]stages!$2:$2,0)-MATCH("temp_stage",[2]stages!$2:$2,0)+1,FALSE)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8" s="78" t="str">
        <f ca="1">VLOOKUP($B68&amp;"_"&amp;$E68,OFFSET([2]stages!$A$1,0,0,COUNTA([2]stages!$A:$A),MATCH(G$1,[2]stages!$2:$2,0)-MATCH("temp_stage",[2]stages!$2:$2,0)+1),MATCH(G$1,[2]stages!$2:$2,0)-MATCH("temp_stage",[2]stages!$2:$2,0)+1,FALSE)</f>
        <v>ドロップイベント4</v>
      </c>
      <c r="H68" s="80">
        <v>0</v>
      </c>
      <c r="I68" s="91">
        <v>13</v>
      </c>
      <c r="J68" s="79" t="s">
        <v>197</v>
      </c>
      <c r="K68" s="87" t="str">
        <f>VLOOKUP(I68,[7]stage_hints!$A:$C,3,FALSE)</f>
        <v>ユニットの覚醒</v>
      </c>
      <c r="L68" s="88" t="str">
        <f>VLOOKUP(I68,[7]stage_hints!$A:$D,4,FALSE)</f>
        <v>ユニットを覚醒させると_x000D_比べものにならない強さが手に入ります</v>
      </c>
      <c r="M68" s="53" t="s">
        <v>210</v>
      </c>
    </row>
    <row r="69" spans="1:13" x14ac:dyDescent="0.15">
      <c r="A69" s="76" t="s">
        <v>200</v>
      </c>
      <c r="B69" s="77">
        <f>floors!$C$2</f>
        <v>20013</v>
      </c>
      <c r="C69" s="78" t="str">
        <f ca="1">VLOOKUP($B69,OFFSET([2]quests!$A$1,0,0,COUNTA([2]quests!$A:$A),MATCH(C$1,[2]quests!$1:$1,0)-MATCH($B$1,[2]quests!$1:$1,0)+1),MATCH(C$1,[2]quests!$1:$1,0)-MATCH($B$1,[2]quests!$1:$1,0)+1,FALSE)</f>
        <v>天の時、地の利、人の和</v>
      </c>
      <c r="D69" s="78" t="str">
        <f ca="1">VLOOKUP($B69,OFFSET([2]quests!$A$1,0,0,COUNTA([2]quests!$A:$A),MATCH(D$1,[2]quests!$1:$1,0)-MATCH($B$1,[2]quests!$1:$1,0)+1),MATCH(D$1,[2]quests!$1:$1,0)-MATCH($B$1,[2]quests!$1:$1,0)+1,FALSE)</f>
        <v>ドロップイベント4</v>
      </c>
      <c r="E69" s="82">
        <v>3</v>
      </c>
      <c r="F69" s="78" t="str">
        <f ca="1">VLOOKUP($B69&amp;"_"&amp;$E69,OFFSET([2]stages!$A$1,0,0,COUNTA([2]stages!$A:$A),MATCH(F$1,[2]stages!$2:$2,0)-MATCH("temp_stage",[2]stages!$2:$2,0)+1),MATCH(F$1,[2]stages!$2:$2,0)-MATCH("temp_stage",[2]stages!$2:$2,0)+1,FALSE)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69" s="78" t="str">
        <f ca="1">VLOOKUP($B69&amp;"_"&amp;$E69,OFFSET([2]stages!$A$1,0,0,COUNTA([2]stages!$A:$A),MATCH(G$1,[2]stages!$2:$2,0)-MATCH("temp_stage",[2]stages!$2:$2,0)+1),MATCH(G$1,[2]stages!$2:$2,0)-MATCH("temp_stage",[2]stages!$2:$2,0)+1,FALSE)</f>
        <v>ドロップイベント4</v>
      </c>
      <c r="H69" s="80">
        <v>0</v>
      </c>
      <c r="I69" s="91">
        <v>14</v>
      </c>
      <c r="J69" s="79" t="s">
        <v>197</v>
      </c>
      <c r="K69" s="87" t="str">
        <f>VLOOKUP(I69,[7]stage_hints!$A:$C,3,FALSE)</f>
        <v>覚醒するにはレベルを最大に</v>
      </c>
      <c r="L69" s="88" t="str">
        <f>VLOOKUP(I69,[7]stage_hints!$A:$D,4,FALSE)</f>
        <v>覚醒するにはユニットのレベルを_x000D_最大まで上げる必要があります</v>
      </c>
      <c r="M69" s="53" t="s">
        <v>210</v>
      </c>
    </row>
    <row r="70" spans="1:13" x14ac:dyDescent="0.15">
      <c r="A70" s="76" t="s">
        <v>200</v>
      </c>
      <c r="B70" s="77">
        <f>floors!$C$2</f>
        <v>20013</v>
      </c>
      <c r="C70" s="78" t="str">
        <f ca="1">VLOOKUP($B70,OFFSET([2]quests!$A$1,0,0,COUNTA([2]quests!$A:$A),MATCH(C$1,[2]quests!$1:$1,0)-MATCH($B$1,[2]quests!$1:$1,0)+1),MATCH(C$1,[2]quests!$1:$1,0)-MATCH($B$1,[2]quests!$1:$1,0)+1,FALSE)</f>
        <v>天の時、地の利、人の和</v>
      </c>
      <c r="D70" s="78" t="str">
        <f ca="1">VLOOKUP($B70,OFFSET([2]quests!$A$1,0,0,COUNTA([2]quests!$A:$A),MATCH(D$1,[2]quests!$1:$1,0)-MATCH($B$1,[2]quests!$1:$1,0)+1),MATCH(D$1,[2]quests!$1:$1,0)-MATCH($B$1,[2]quests!$1:$1,0)+1,FALSE)</f>
        <v>ドロップイベント4</v>
      </c>
      <c r="E70" s="82">
        <v>3</v>
      </c>
      <c r="F70" s="78" t="str">
        <f ca="1">VLOOKUP($B70&amp;"_"&amp;$E70,OFFSET([2]stages!$A$1,0,0,COUNTA([2]stages!$A:$A),MATCH(F$1,[2]stages!$2:$2,0)-MATCH("temp_stage",[2]stages!$2:$2,0)+1),MATCH(F$1,[2]stages!$2:$2,0)-MATCH("temp_stage",[2]stages!$2:$2,0)+1,FALSE)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0" s="78" t="str">
        <f ca="1">VLOOKUP($B70&amp;"_"&amp;$E70,OFFSET([2]stages!$A$1,0,0,COUNTA([2]stages!$A:$A),MATCH(G$1,[2]stages!$2:$2,0)-MATCH("temp_stage",[2]stages!$2:$2,0)+1),MATCH(G$1,[2]stages!$2:$2,0)-MATCH("temp_stage",[2]stages!$2:$2,0)+1,FALSE)</f>
        <v>ドロップイベント4</v>
      </c>
      <c r="H70" s="80">
        <v>0</v>
      </c>
      <c r="I70" s="91">
        <v>15</v>
      </c>
      <c r="J70" s="79" t="s">
        <v>197</v>
      </c>
      <c r="K70" s="87" t="str">
        <f>VLOOKUP(I70,[7]stage_hints!$A:$C,3,FALSE)</f>
        <v>覚醒素材を獲得</v>
      </c>
      <c r="L70" s="88" t="str">
        <f>VLOOKUP(I70,[7]stage_hints!$A:$D,4,FALSE)</f>
        <v>「曜日クエスト」では_x000D_ユニットの覚醒に必要な素材が手に入ります</v>
      </c>
      <c r="M70" s="53" t="s">
        <v>210</v>
      </c>
    </row>
    <row r="71" spans="1:13" x14ac:dyDescent="0.15">
      <c r="A71" s="76" t="s">
        <v>200</v>
      </c>
      <c r="B71" s="77">
        <f>floors!$C$2</f>
        <v>20013</v>
      </c>
      <c r="C71" s="78" t="str">
        <f ca="1">VLOOKUP($B71,OFFSET([2]quests!$A$1,0,0,COUNTA([2]quests!$A:$A),MATCH(C$1,[2]quests!$1:$1,0)-MATCH($B$1,[2]quests!$1:$1,0)+1),MATCH(C$1,[2]quests!$1:$1,0)-MATCH($B$1,[2]quests!$1:$1,0)+1,FALSE)</f>
        <v>天の時、地の利、人の和</v>
      </c>
      <c r="D71" s="78" t="str">
        <f ca="1">VLOOKUP($B71,OFFSET([2]quests!$A$1,0,0,COUNTA([2]quests!$A:$A),MATCH(D$1,[2]quests!$1:$1,0)-MATCH($B$1,[2]quests!$1:$1,0)+1),MATCH(D$1,[2]quests!$1:$1,0)-MATCH($B$1,[2]quests!$1:$1,0)+1,FALSE)</f>
        <v>ドロップイベント4</v>
      </c>
      <c r="E71" s="82">
        <v>3</v>
      </c>
      <c r="F71" s="78" t="str">
        <f ca="1">VLOOKUP($B71&amp;"_"&amp;$E71,OFFSET([2]stages!$A$1,0,0,COUNTA([2]stages!$A:$A),MATCH(F$1,[2]stages!$2:$2,0)-MATCH("temp_stage",[2]stages!$2:$2,0)+1),MATCH(F$1,[2]stages!$2:$2,0)-MATCH("temp_stage",[2]stages!$2:$2,0)+1,FALSE)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1" s="78" t="str">
        <f ca="1">VLOOKUP($B71&amp;"_"&amp;$E71,OFFSET([2]stages!$A$1,0,0,COUNTA([2]stages!$A:$A),MATCH(G$1,[2]stages!$2:$2,0)-MATCH("temp_stage",[2]stages!$2:$2,0)+1),MATCH(G$1,[2]stages!$2:$2,0)-MATCH("temp_stage",[2]stages!$2:$2,0)+1,FALSE)</f>
        <v>ドロップイベント4</v>
      </c>
      <c r="H71" s="80">
        <v>0</v>
      </c>
      <c r="I71" s="91">
        <v>16</v>
      </c>
      <c r="J71" s="79" t="s">
        <v>197</v>
      </c>
      <c r="K71" s="87" t="str">
        <f>VLOOKUP(I71,[7]stage_hints!$A:$C,3,FALSE)</f>
        <v>マルチプレイのメリット（その1）</v>
      </c>
      <c r="L71" s="88" t="str">
        <f>VLOOKUP(I71,[7]stage_hints!$A:$D,4,FALSE)</f>
        <v>他のプレイヤーとマルチプレイで遊ぶと_x000D_ポリゴンがもらえます（100人まで）</v>
      </c>
      <c r="M71" s="53" t="s">
        <v>210</v>
      </c>
    </row>
    <row r="72" spans="1:13" x14ac:dyDescent="0.15">
      <c r="A72" s="76" t="s">
        <v>200</v>
      </c>
      <c r="B72" s="77">
        <f>floors!$C$2</f>
        <v>20013</v>
      </c>
      <c r="C72" s="78" t="str">
        <f ca="1">VLOOKUP($B72,OFFSET([2]quests!$A$1,0,0,COUNTA([2]quests!$A:$A),MATCH(C$1,[2]quests!$1:$1,0)-MATCH($B$1,[2]quests!$1:$1,0)+1),MATCH(C$1,[2]quests!$1:$1,0)-MATCH($B$1,[2]quests!$1:$1,0)+1,FALSE)</f>
        <v>天の時、地の利、人の和</v>
      </c>
      <c r="D72" s="78" t="str">
        <f ca="1">VLOOKUP($B72,OFFSET([2]quests!$A$1,0,0,COUNTA([2]quests!$A:$A),MATCH(D$1,[2]quests!$1:$1,0)-MATCH($B$1,[2]quests!$1:$1,0)+1),MATCH(D$1,[2]quests!$1:$1,0)-MATCH($B$1,[2]quests!$1:$1,0)+1,FALSE)</f>
        <v>ドロップイベント4</v>
      </c>
      <c r="E72" s="82">
        <v>3</v>
      </c>
      <c r="F72" s="78" t="str">
        <f ca="1">VLOOKUP($B72&amp;"_"&amp;$E72,OFFSET([2]stages!$A$1,0,0,COUNTA([2]stages!$A:$A),MATCH(F$1,[2]stages!$2:$2,0)-MATCH("temp_stage",[2]stages!$2:$2,0)+1),MATCH(F$1,[2]stages!$2:$2,0)-MATCH("temp_stage",[2]stages!$2:$2,0)+1,FALSE)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2" s="78" t="str">
        <f ca="1">VLOOKUP($B72&amp;"_"&amp;$E72,OFFSET([2]stages!$A$1,0,0,COUNTA([2]stages!$A:$A),MATCH(G$1,[2]stages!$2:$2,0)-MATCH("temp_stage",[2]stages!$2:$2,0)+1),MATCH(G$1,[2]stages!$2:$2,0)-MATCH("temp_stage",[2]stages!$2:$2,0)+1,FALSE)</f>
        <v>ドロップイベント4</v>
      </c>
      <c r="H72" s="80">
        <v>0</v>
      </c>
      <c r="I72" s="91">
        <v>17</v>
      </c>
      <c r="J72" s="79" t="s">
        <v>197</v>
      </c>
      <c r="K72" s="87" t="str">
        <f>VLOOKUP(I72,[7]stage_hints!$A:$C,3,FALSE)</f>
        <v>リンクガチャ</v>
      </c>
      <c r="L72" s="88" t="str">
        <f>VLOOKUP(I72,[7]stage_hints!$A:$D,4,FALSE)</f>
        <v>無料のリンクガチャを回して_x000D_経験値素材や売却素材を獲得しましょう</v>
      </c>
      <c r="M72" s="53" t="s">
        <v>210</v>
      </c>
    </row>
    <row r="73" spans="1:13" x14ac:dyDescent="0.15">
      <c r="A73" s="76" t="s">
        <v>200</v>
      </c>
      <c r="B73" s="77">
        <f>floors!$C$2</f>
        <v>20013</v>
      </c>
      <c r="C73" s="78" t="str">
        <f ca="1">VLOOKUP($B73,OFFSET([2]quests!$A$1,0,0,COUNTA([2]quests!$A:$A),MATCH(C$1,[2]quests!$1:$1,0)-MATCH($B$1,[2]quests!$1:$1,0)+1),MATCH(C$1,[2]quests!$1:$1,0)-MATCH($B$1,[2]quests!$1:$1,0)+1,FALSE)</f>
        <v>天の時、地の利、人の和</v>
      </c>
      <c r="D73" s="78" t="str">
        <f ca="1">VLOOKUP($B73,OFFSET([2]quests!$A$1,0,0,COUNTA([2]quests!$A:$A),MATCH(D$1,[2]quests!$1:$1,0)-MATCH($B$1,[2]quests!$1:$1,0)+1),MATCH(D$1,[2]quests!$1:$1,0)-MATCH($B$1,[2]quests!$1:$1,0)+1,FALSE)</f>
        <v>ドロップイベント4</v>
      </c>
      <c r="E73" s="82">
        <v>3</v>
      </c>
      <c r="F73" s="78" t="str">
        <f ca="1">VLOOKUP($B73&amp;"_"&amp;$E73,OFFSET([2]stages!$A$1,0,0,COUNTA([2]stages!$A:$A),MATCH(F$1,[2]stages!$2:$2,0)-MATCH("temp_stage",[2]stages!$2:$2,0)+1),MATCH(F$1,[2]stages!$2:$2,0)-MATCH("temp_stage",[2]stages!$2:$2,0)+1,FALSE)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3" s="78" t="str">
        <f ca="1">VLOOKUP($B73&amp;"_"&amp;$E73,OFFSET([2]stages!$A$1,0,0,COUNTA([2]stages!$A:$A),MATCH(G$1,[2]stages!$2:$2,0)-MATCH("temp_stage",[2]stages!$2:$2,0)+1),MATCH(G$1,[2]stages!$2:$2,0)-MATCH("temp_stage",[2]stages!$2:$2,0)+1,FALSE)</f>
        <v>ドロップイベント4</v>
      </c>
      <c r="H73" s="80">
        <v>0</v>
      </c>
      <c r="I73" s="91">
        <v>18</v>
      </c>
      <c r="J73" s="79" t="s">
        <v>197</v>
      </c>
      <c r="K73" s="87" t="str">
        <f>VLOOKUP(I73,[7]stage_hints!$A:$C,3,FALSE)</f>
        <v>マルチプレイのメリット（その2）</v>
      </c>
      <c r="L73" s="88" t="str">
        <f>VLOOKUP(I73,[7]stage_hints!$A:$D,4,FALSE)</f>
        <v>マルチプレイならリンクが2倍もらえます_x000D_リンクガチャをたくさん回しましょう</v>
      </c>
      <c r="M73" s="53" t="s">
        <v>210</v>
      </c>
    </row>
    <row r="74" spans="1:13" x14ac:dyDescent="0.15">
      <c r="A74" s="76" t="s">
        <v>200</v>
      </c>
      <c r="B74" s="77">
        <f>floors!$C$2</f>
        <v>20013</v>
      </c>
      <c r="C74" s="78" t="str">
        <f ca="1">VLOOKUP($B74,OFFSET([2]quests!$A$1,0,0,COUNTA([2]quests!$A:$A),MATCH(C$1,[2]quests!$1:$1,0)-MATCH($B$1,[2]quests!$1:$1,0)+1),MATCH(C$1,[2]quests!$1:$1,0)-MATCH($B$1,[2]quests!$1:$1,0)+1,FALSE)</f>
        <v>天の時、地の利、人の和</v>
      </c>
      <c r="D74" s="78" t="str">
        <f ca="1">VLOOKUP($B74,OFFSET([2]quests!$A$1,0,0,COUNTA([2]quests!$A:$A),MATCH(D$1,[2]quests!$1:$1,0)-MATCH($B$1,[2]quests!$1:$1,0)+1),MATCH(D$1,[2]quests!$1:$1,0)-MATCH($B$1,[2]quests!$1:$1,0)+1,FALSE)</f>
        <v>ドロップイベント4</v>
      </c>
      <c r="E74" s="82">
        <v>3</v>
      </c>
      <c r="F74" s="78" t="str">
        <f ca="1">VLOOKUP($B74&amp;"_"&amp;$E74,OFFSET([2]stages!$A$1,0,0,COUNTA([2]stages!$A:$A),MATCH(F$1,[2]stages!$2:$2,0)-MATCH("temp_stage",[2]stages!$2:$2,0)+1),MATCH(F$1,[2]stages!$2:$2,0)-MATCH("temp_stage",[2]stages!$2:$2,0)+1,FALSE)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4" s="78" t="str">
        <f ca="1">VLOOKUP($B74&amp;"_"&amp;$E74,OFFSET([2]stages!$A$1,0,0,COUNTA([2]stages!$A:$A),MATCH(G$1,[2]stages!$2:$2,0)-MATCH("temp_stage",[2]stages!$2:$2,0)+1),MATCH(G$1,[2]stages!$2:$2,0)-MATCH("temp_stage",[2]stages!$2:$2,0)+1,FALSE)</f>
        <v>ドロップイベント4</v>
      </c>
      <c r="H74" s="80">
        <v>0</v>
      </c>
      <c r="I74" s="91">
        <v>19</v>
      </c>
      <c r="J74" s="79" t="s">
        <v>197</v>
      </c>
      <c r="K74" s="87" t="str">
        <f>VLOOKUP(I74,[7]stage_hints!$A:$C,3,FALSE)</f>
        <v>ソロ専用タワーオブザクイーン</v>
      </c>
      <c r="L74" s="88" t="str">
        <f>VLOOKUP(I74,[7]stage_hints!$A:$D,4,FALSE)</f>
        <v>ソロ専用の「タワーオブザクイーン」は_x000D_期間限定で定期的に開催されます_x000D_ここでしか獲得できない報酬もあるようです</v>
      </c>
      <c r="M74" s="53" t="s">
        <v>210</v>
      </c>
    </row>
    <row r="75" spans="1:13" x14ac:dyDescent="0.15">
      <c r="A75" s="76" t="s">
        <v>200</v>
      </c>
      <c r="B75" s="77">
        <f>floors!$C$2</f>
        <v>20013</v>
      </c>
      <c r="C75" s="78" t="str">
        <f ca="1">VLOOKUP($B75,OFFSET([2]quests!$A$1,0,0,COUNTA([2]quests!$A:$A),MATCH(C$1,[2]quests!$1:$1,0)-MATCH($B$1,[2]quests!$1:$1,0)+1),MATCH(C$1,[2]quests!$1:$1,0)-MATCH($B$1,[2]quests!$1:$1,0)+1,FALSE)</f>
        <v>天の時、地の利、人の和</v>
      </c>
      <c r="D75" s="78" t="str">
        <f ca="1">VLOOKUP($B75,OFFSET([2]quests!$A$1,0,0,COUNTA([2]quests!$A:$A),MATCH(D$1,[2]quests!$1:$1,0)-MATCH($B$1,[2]quests!$1:$1,0)+1),MATCH(D$1,[2]quests!$1:$1,0)-MATCH($B$1,[2]quests!$1:$1,0)+1,FALSE)</f>
        <v>ドロップイベント4</v>
      </c>
      <c r="E75" s="82">
        <v>3</v>
      </c>
      <c r="F75" s="78" t="str">
        <f ca="1">VLOOKUP($B75&amp;"_"&amp;$E75,OFFSET([2]stages!$A$1,0,0,COUNTA([2]stages!$A:$A),MATCH(F$1,[2]stages!$2:$2,0)-MATCH("temp_stage",[2]stages!$2:$2,0)+1),MATCH(F$1,[2]stages!$2:$2,0)-MATCH("temp_stage",[2]stages!$2:$2,0)+1,FALSE)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5" s="78" t="str">
        <f ca="1">VLOOKUP($B75&amp;"_"&amp;$E75,OFFSET([2]stages!$A$1,0,0,COUNTA([2]stages!$A:$A),MATCH(G$1,[2]stages!$2:$2,0)-MATCH("temp_stage",[2]stages!$2:$2,0)+1),MATCH(G$1,[2]stages!$2:$2,0)-MATCH("temp_stage",[2]stages!$2:$2,0)+1,FALSE)</f>
        <v>ドロップイベント4</v>
      </c>
      <c r="H75" s="80">
        <v>0</v>
      </c>
      <c r="I75" s="91">
        <v>20</v>
      </c>
      <c r="J75" s="79" t="s">
        <v>197</v>
      </c>
      <c r="K75" s="87" t="str">
        <f>VLOOKUP(I75,[7]stage_hints!$A:$C,3,FALSE)</f>
        <v>マルチプレイのメリット（その3）</v>
      </c>
      <c r="L75" s="88" t="str">
        <f>VLOOKUP(I75,[7]stage_hints!$A:$D,4,FALSE)</f>
        <v>マルチプレイへの参加はエナジー消費ゼロ_x000D_いつでも好きなだけ遊ぶことができます</v>
      </c>
      <c r="M75" s="53" t="s">
        <v>210</v>
      </c>
    </row>
    <row r="76" spans="1:13" x14ac:dyDescent="0.15">
      <c r="A76" s="76" t="s">
        <v>200</v>
      </c>
      <c r="B76" s="77">
        <f>floors!$C$2</f>
        <v>20013</v>
      </c>
      <c r="C76" s="78" t="str">
        <f ca="1">VLOOKUP($B76,OFFSET([2]quests!$A$1,0,0,COUNTA([2]quests!$A:$A),MATCH(C$1,[2]quests!$1:$1,0)-MATCH($B$1,[2]quests!$1:$1,0)+1),MATCH(C$1,[2]quests!$1:$1,0)-MATCH($B$1,[2]quests!$1:$1,0)+1,FALSE)</f>
        <v>天の時、地の利、人の和</v>
      </c>
      <c r="D76" s="78" t="str">
        <f ca="1">VLOOKUP($B76,OFFSET([2]quests!$A$1,0,0,COUNTA([2]quests!$A:$A),MATCH(D$1,[2]quests!$1:$1,0)-MATCH($B$1,[2]quests!$1:$1,0)+1),MATCH(D$1,[2]quests!$1:$1,0)-MATCH($B$1,[2]quests!$1:$1,0)+1,FALSE)</f>
        <v>ドロップイベント4</v>
      </c>
      <c r="E76" s="82">
        <v>3</v>
      </c>
      <c r="F76" s="78" t="str">
        <f ca="1">VLOOKUP($B76&amp;"_"&amp;$E76,OFFSET([2]stages!$A$1,0,0,COUNTA([2]stages!$A:$A),MATCH(F$1,[2]stages!$2:$2,0)-MATCH("temp_stage",[2]stages!$2:$2,0)+1),MATCH(F$1,[2]stages!$2:$2,0)-MATCH("temp_stage",[2]stages!$2:$2,0)+1,FALSE)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6" s="78" t="str">
        <f ca="1">VLOOKUP($B76&amp;"_"&amp;$E76,OFFSET([2]stages!$A$1,0,0,COUNTA([2]stages!$A:$A),MATCH(G$1,[2]stages!$2:$2,0)-MATCH("temp_stage",[2]stages!$2:$2,0)+1),MATCH(G$1,[2]stages!$2:$2,0)-MATCH("temp_stage",[2]stages!$2:$2,0)+1,FALSE)</f>
        <v>ドロップイベント4</v>
      </c>
      <c r="H76" s="80">
        <v>0</v>
      </c>
      <c r="I76" s="91">
        <v>21</v>
      </c>
      <c r="J76" s="79" t="s">
        <v>197</v>
      </c>
      <c r="K76" s="87" t="str">
        <f>VLOOKUP(I76,[7]stage_hints!$A:$C,3,FALSE)</f>
        <v>スキルを有効に</v>
      </c>
      <c r="L76" s="88" t="str">
        <f>VLOOKUP(I76,[7]stage_hints!$A:$D,4,FALSE)</f>
        <v>ターン経過でユニットのスキルが使えます_x000D_強力スキルでバトルを有利に進めましょう</v>
      </c>
      <c r="M76" s="53" t="s">
        <v>210</v>
      </c>
    </row>
    <row r="77" spans="1:13" x14ac:dyDescent="0.15">
      <c r="A77" s="76" t="s">
        <v>200</v>
      </c>
      <c r="B77" s="77">
        <f>floors!$C$2</f>
        <v>20013</v>
      </c>
      <c r="C77" s="78" t="str">
        <f ca="1">VLOOKUP($B77,OFFSET([2]quests!$A$1,0,0,COUNTA([2]quests!$A:$A),MATCH(C$1,[2]quests!$1:$1,0)-MATCH($B$1,[2]quests!$1:$1,0)+1),MATCH(C$1,[2]quests!$1:$1,0)-MATCH($B$1,[2]quests!$1:$1,0)+1,FALSE)</f>
        <v>天の時、地の利、人の和</v>
      </c>
      <c r="D77" s="78" t="str">
        <f ca="1">VLOOKUP($B77,OFFSET([2]quests!$A$1,0,0,COUNTA([2]quests!$A:$A),MATCH(D$1,[2]quests!$1:$1,0)-MATCH($B$1,[2]quests!$1:$1,0)+1),MATCH(D$1,[2]quests!$1:$1,0)-MATCH($B$1,[2]quests!$1:$1,0)+1,FALSE)</f>
        <v>ドロップイベント4</v>
      </c>
      <c r="E77" s="82">
        <v>3</v>
      </c>
      <c r="F77" s="78" t="str">
        <f ca="1">VLOOKUP($B77&amp;"_"&amp;$E77,OFFSET([2]stages!$A$1,0,0,COUNTA([2]stages!$A:$A),MATCH(F$1,[2]stages!$2:$2,0)-MATCH("temp_stage",[2]stages!$2:$2,0)+1),MATCH(F$1,[2]stages!$2:$2,0)-MATCH("temp_stage",[2]stages!$2:$2,0)+1,FALSE)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7" s="78" t="str">
        <f ca="1">VLOOKUP($B77&amp;"_"&amp;$E77,OFFSET([2]stages!$A$1,0,0,COUNTA([2]stages!$A:$A),MATCH(G$1,[2]stages!$2:$2,0)-MATCH("temp_stage",[2]stages!$2:$2,0)+1),MATCH(G$1,[2]stages!$2:$2,0)-MATCH("temp_stage",[2]stages!$2:$2,0)+1,FALSE)</f>
        <v>ドロップイベント4</v>
      </c>
      <c r="H77" s="80">
        <v>0</v>
      </c>
      <c r="I77" s="91">
        <v>22</v>
      </c>
      <c r="J77" s="79" t="s">
        <v>197</v>
      </c>
      <c r="K77" s="87" t="str">
        <f>VLOOKUP(I77,[7]stage_hints!$A:$C,3,FALSE)</f>
        <v>フィーバーで一発逆転（その1）</v>
      </c>
      <c r="L77" s="88" t="str">
        <f>VLOOKUP(I77,[7]stage_hints!$A:$D,4,FALSE)</f>
        <v>フィーバーは攻撃と回復を兼ね備えます_x000D_ピンチからの一発逆転を狙いましょう</v>
      </c>
      <c r="M77" s="53" t="s">
        <v>210</v>
      </c>
    </row>
    <row r="78" spans="1:13" x14ac:dyDescent="0.15">
      <c r="A78" s="76" t="s">
        <v>200</v>
      </c>
      <c r="B78" s="77">
        <f>floors!$C$2</f>
        <v>20013</v>
      </c>
      <c r="C78" s="78" t="str">
        <f ca="1">VLOOKUP($B78,OFFSET([2]quests!$A$1,0,0,COUNTA([2]quests!$A:$A),MATCH(C$1,[2]quests!$1:$1,0)-MATCH($B$1,[2]quests!$1:$1,0)+1),MATCH(C$1,[2]quests!$1:$1,0)-MATCH($B$1,[2]quests!$1:$1,0)+1,FALSE)</f>
        <v>天の時、地の利、人の和</v>
      </c>
      <c r="D78" s="78" t="str">
        <f ca="1">VLOOKUP($B78,OFFSET([2]quests!$A$1,0,0,COUNTA([2]quests!$A:$A),MATCH(D$1,[2]quests!$1:$1,0)-MATCH($B$1,[2]quests!$1:$1,0)+1),MATCH(D$1,[2]quests!$1:$1,0)-MATCH($B$1,[2]quests!$1:$1,0)+1,FALSE)</f>
        <v>ドロップイベント4</v>
      </c>
      <c r="E78" s="82">
        <v>3</v>
      </c>
      <c r="F78" s="78" t="str">
        <f ca="1">VLOOKUP($B78&amp;"_"&amp;$E78,OFFSET([2]stages!$A$1,0,0,COUNTA([2]stages!$A:$A),MATCH(F$1,[2]stages!$2:$2,0)-MATCH("temp_stage",[2]stages!$2:$2,0)+1),MATCH(F$1,[2]stages!$2:$2,0)-MATCH("temp_stage",[2]stages!$2:$2,0)+1,FALSE)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8" s="78" t="str">
        <f ca="1">VLOOKUP($B78&amp;"_"&amp;$E78,OFFSET([2]stages!$A$1,0,0,COUNTA([2]stages!$A:$A),MATCH(G$1,[2]stages!$2:$2,0)-MATCH("temp_stage",[2]stages!$2:$2,0)+1),MATCH(G$1,[2]stages!$2:$2,0)-MATCH("temp_stage",[2]stages!$2:$2,0)+1,FALSE)</f>
        <v>ドロップイベント4</v>
      </c>
      <c r="H78" s="80">
        <v>0</v>
      </c>
      <c r="I78" s="91">
        <v>23</v>
      </c>
      <c r="J78" s="79" t="s">
        <v>197</v>
      </c>
      <c r="K78" s="87" t="str">
        <f>VLOOKUP(I78,[7]stage_hints!$A:$C,3,FALSE)</f>
        <v>フィーバーで一発逆転（その2）</v>
      </c>
      <c r="L78" s="88" t="str">
        <f>VLOOKUP(I78,[7]stage_hints!$A:$D,4,FALSE)</f>
        <v>フィーバー中は虹色のボムパネルを狙って_x000D_画面上のパネルを一気に破壊しましょう</v>
      </c>
      <c r="M78" s="53" t="s">
        <v>210</v>
      </c>
    </row>
    <row r="79" spans="1:13" x14ac:dyDescent="0.15">
      <c r="A79" s="76" t="s">
        <v>200</v>
      </c>
      <c r="B79" s="77">
        <f>floors!$C$2</f>
        <v>20013</v>
      </c>
      <c r="C79" s="78" t="str">
        <f ca="1">VLOOKUP($B79,OFFSET([2]quests!$A$1,0,0,COUNTA([2]quests!$A:$A),MATCH(C$1,[2]quests!$1:$1,0)-MATCH($B$1,[2]quests!$1:$1,0)+1),MATCH(C$1,[2]quests!$1:$1,0)-MATCH($B$1,[2]quests!$1:$1,0)+1,FALSE)</f>
        <v>天の時、地の利、人の和</v>
      </c>
      <c r="D79" s="78" t="str">
        <f ca="1">VLOOKUP($B79,OFFSET([2]quests!$A$1,0,0,COUNTA([2]quests!$A:$A),MATCH(D$1,[2]quests!$1:$1,0)-MATCH($B$1,[2]quests!$1:$1,0)+1),MATCH(D$1,[2]quests!$1:$1,0)-MATCH($B$1,[2]quests!$1:$1,0)+1,FALSE)</f>
        <v>ドロップイベント4</v>
      </c>
      <c r="E79" s="82">
        <v>3</v>
      </c>
      <c r="F79" s="78" t="str">
        <f ca="1">VLOOKUP($B79&amp;"_"&amp;$E79,OFFSET([2]stages!$A$1,0,0,COUNTA([2]stages!$A:$A),MATCH(F$1,[2]stages!$2:$2,0)-MATCH("temp_stage",[2]stages!$2:$2,0)+1),MATCH(F$1,[2]stages!$2:$2,0)-MATCH("temp_stage",[2]stages!$2:$2,0)+1,FALSE)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79" s="78" t="str">
        <f ca="1">VLOOKUP($B79&amp;"_"&amp;$E79,OFFSET([2]stages!$A$1,0,0,COUNTA([2]stages!$A:$A),MATCH(G$1,[2]stages!$2:$2,0)-MATCH("temp_stage",[2]stages!$2:$2,0)+1),MATCH(G$1,[2]stages!$2:$2,0)-MATCH("temp_stage",[2]stages!$2:$2,0)+1,FALSE)</f>
        <v>ドロップイベント4</v>
      </c>
      <c r="H79" s="80">
        <v>0</v>
      </c>
      <c r="I79" s="91">
        <v>24</v>
      </c>
      <c r="J79" s="79" t="s">
        <v>197</v>
      </c>
      <c r="K79" s="87" t="str">
        <f>VLOOKUP(I79,[7]stage_hints!$A:$C,3,FALSE)</f>
        <v>果実を使って限界突破</v>
      </c>
      <c r="L79" s="88" t="str">
        <f>VLOOKUP(I79,[7]stage_hints!$A:$D,4,FALSE)</f>
        <v>攻めの果実 癒しの果実_x000D_生命の果実をユニット強化に使うと_x000D_ステータスが限界突破します（計99個迄）</v>
      </c>
      <c r="M79" s="53" t="s">
        <v>210</v>
      </c>
    </row>
    <row r="80" spans="1:13" x14ac:dyDescent="0.15">
      <c r="A80" s="76" t="s">
        <v>200</v>
      </c>
      <c r="B80" s="77">
        <f>floors!$C$2</f>
        <v>20013</v>
      </c>
      <c r="C80" s="78" t="str">
        <f ca="1">VLOOKUP($B80,OFFSET([2]quests!$A$1,0,0,COUNTA([2]quests!$A:$A),MATCH(C$1,[2]quests!$1:$1,0)-MATCH($B$1,[2]quests!$1:$1,0)+1),MATCH(C$1,[2]quests!$1:$1,0)-MATCH($B$1,[2]quests!$1:$1,0)+1,FALSE)</f>
        <v>天の時、地の利、人の和</v>
      </c>
      <c r="D80" s="78" t="str">
        <f ca="1">VLOOKUP($B80,OFFSET([2]quests!$A$1,0,0,COUNTA([2]quests!$A:$A),MATCH(D$1,[2]quests!$1:$1,0)-MATCH($B$1,[2]quests!$1:$1,0)+1),MATCH(D$1,[2]quests!$1:$1,0)-MATCH($B$1,[2]quests!$1:$1,0)+1,FALSE)</f>
        <v>ドロップイベント4</v>
      </c>
      <c r="E80" s="82">
        <v>3</v>
      </c>
      <c r="F80" s="78" t="str">
        <f ca="1">VLOOKUP($B80&amp;"_"&amp;$E80,OFFSET([2]stages!$A$1,0,0,COUNTA([2]stages!$A:$A),MATCH(F$1,[2]stages!$2:$2,0)-MATCH("temp_stage",[2]stages!$2:$2,0)+1),MATCH(F$1,[2]stages!$2:$2,0)-MATCH("temp_stage",[2]stages!$2:$2,0)+1,FALSE)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0" s="78" t="str">
        <f ca="1">VLOOKUP($B80&amp;"_"&amp;$E80,OFFSET([2]stages!$A$1,0,0,COUNTA([2]stages!$A:$A),MATCH(G$1,[2]stages!$2:$2,0)-MATCH("temp_stage",[2]stages!$2:$2,0)+1),MATCH(G$1,[2]stages!$2:$2,0)-MATCH("temp_stage",[2]stages!$2:$2,0)+1,FALSE)</f>
        <v>ドロップイベント4</v>
      </c>
      <c r="H80" s="80">
        <v>0</v>
      </c>
      <c r="I80" s="91">
        <v>25</v>
      </c>
      <c r="J80" s="79" t="s">
        <v>197</v>
      </c>
      <c r="K80" s="87" t="str">
        <f>VLOOKUP(I80,[7]stage_hints!$A:$C,3,FALSE)</f>
        <v>スキルレベルアップ</v>
      </c>
      <c r="L80" s="88" t="str">
        <f>VLOOKUP(I80,[7]stage_hints!$A:$D,4,FALSE)</f>
        <v>「秘術の果実」を強化に使うと_x000D_スキルレベルを上げることができます</v>
      </c>
      <c r="M80" s="53" t="s">
        <v>210</v>
      </c>
    </row>
    <row r="81" spans="1:13" x14ac:dyDescent="0.15">
      <c r="A81" s="76" t="s">
        <v>200</v>
      </c>
      <c r="B81" s="77">
        <f>floors!$C$2</f>
        <v>20013</v>
      </c>
      <c r="C81" s="78" t="str">
        <f ca="1">VLOOKUP($B81,OFFSET([2]quests!$A$1,0,0,COUNTA([2]quests!$A:$A),MATCH(C$1,[2]quests!$1:$1,0)-MATCH($B$1,[2]quests!$1:$1,0)+1),MATCH(C$1,[2]quests!$1:$1,0)-MATCH($B$1,[2]quests!$1:$1,0)+1,FALSE)</f>
        <v>天の時、地の利、人の和</v>
      </c>
      <c r="D81" s="78" t="str">
        <f ca="1">VLOOKUP($B81,OFFSET([2]quests!$A$1,0,0,COUNTA([2]quests!$A:$A),MATCH(D$1,[2]quests!$1:$1,0)-MATCH($B$1,[2]quests!$1:$1,0)+1),MATCH(D$1,[2]quests!$1:$1,0)-MATCH($B$1,[2]quests!$1:$1,0)+1,FALSE)</f>
        <v>ドロップイベント4</v>
      </c>
      <c r="E81" s="82">
        <v>3</v>
      </c>
      <c r="F81" s="78" t="str">
        <f ca="1">VLOOKUP($B81&amp;"_"&amp;$E81,OFFSET([2]stages!$A$1,0,0,COUNTA([2]stages!$A:$A),MATCH(F$1,[2]stages!$2:$2,0)-MATCH("temp_stage",[2]stages!$2:$2,0)+1),MATCH(F$1,[2]stages!$2:$2,0)-MATCH("temp_stage",[2]stages!$2:$2,0)+1,FALSE)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1" s="78" t="str">
        <f ca="1">VLOOKUP($B81&amp;"_"&amp;$E81,OFFSET([2]stages!$A$1,0,0,COUNTA([2]stages!$A:$A),MATCH(G$1,[2]stages!$2:$2,0)-MATCH("temp_stage",[2]stages!$2:$2,0)+1),MATCH(G$1,[2]stages!$2:$2,0)-MATCH("temp_stage",[2]stages!$2:$2,0)+1,FALSE)</f>
        <v>ドロップイベント4</v>
      </c>
      <c r="H81" s="80">
        <v>0</v>
      </c>
      <c r="I81" s="91">
        <v>26</v>
      </c>
      <c r="J81" s="79" t="s">
        <v>197</v>
      </c>
      <c r="K81" s="87" t="str">
        <f>VLOOKUP(I81,[7]stage_hints!$A:$C,3,FALSE)</f>
        <v>スキルレベルの効果</v>
      </c>
      <c r="L81" s="88" t="str">
        <f>VLOOKUP(I81,[7]stage_hints!$A:$D,4,FALSE)</f>
        <v>スキルレベルが上がると_x000D_短いターンでスキルを使うことができます</v>
      </c>
      <c r="M81" s="53" t="s">
        <v>210</v>
      </c>
    </row>
    <row r="82" spans="1:13" x14ac:dyDescent="0.15">
      <c r="A82" s="76" t="s">
        <v>200</v>
      </c>
      <c r="B82" s="77">
        <f>floors!$C$2</f>
        <v>20013</v>
      </c>
      <c r="C82" s="78" t="str">
        <f ca="1">VLOOKUP($B82,OFFSET([2]quests!$A$1,0,0,COUNTA([2]quests!$A:$A),MATCH(C$1,[2]quests!$1:$1,0)-MATCH($B$1,[2]quests!$1:$1,0)+1),MATCH(C$1,[2]quests!$1:$1,0)-MATCH($B$1,[2]quests!$1:$1,0)+1,FALSE)</f>
        <v>天の時、地の利、人の和</v>
      </c>
      <c r="D82" s="78" t="str">
        <f ca="1">VLOOKUP($B82,OFFSET([2]quests!$A$1,0,0,COUNTA([2]quests!$A:$A),MATCH(D$1,[2]quests!$1:$1,0)-MATCH($B$1,[2]quests!$1:$1,0)+1),MATCH(D$1,[2]quests!$1:$1,0)-MATCH($B$1,[2]quests!$1:$1,0)+1,FALSE)</f>
        <v>ドロップイベント4</v>
      </c>
      <c r="E82" s="82">
        <v>3</v>
      </c>
      <c r="F82" s="78" t="str">
        <f ca="1">VLOOKUP($B82&amp;"_"&amp;$E82,OFFSET([2]stages!$A$1,0,0,COUNTA([2]stages!$A:$A),MATCH(F$1,[2]stages!$2:$2,0)-MATCH("temp_stage",[2]stages!$2:$2,0)+1),MATCH(F$1,[2]stages!$2:$2,0)-MATCH("temp_stage",[2]stages!$2:$2,0)+1,FALSE)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2" s="78" t="str">
        <f ca="1">VLOOKUP($B82&amp;"_"&amp;$E82,OFFSET([2]stages!$A$1,0,0,COUNTA([2]stages!$A:$A),MATCH(G$1,[2]stages!$2:$2,0)-MATCH("temp_stage",[2]stages!$2:$2,0)+1),MATCH(G$1,[2]stages!$2:$2,0)-MATCH("temp_stage",[2]stages!$2:$2,0)+1,FALSE)</f>
        <v>ドロップイベント4</v>
      </c>
      <c r="H82" s="80">
        <v>0</v>
      </c>
      <c r="I82" s="91">
        <v>27</v>
      </c>
      <c r="J82" s="79" t="s">
        <v>197</v>
      </c>
      <c r="K82" s="87" t="str">
        <f>VLOOKUP(I82,[7]stage_hints!$A:$C,3,FALSE)</f>
        <v>ホーム画面からデッキを編成</v>
      </c>
      <c r="L82" s="88" t="str">
        <f>VLOOKUP(I82,[7]stage_hints!$A:$D,4,FALSE)</f>
        <v>ホーム画面でユニットを長押しすると_x000D_すぐにパーティ編成に移動できます</v>
      </c>
      <c r="M82" s="53" t="s">
        <v>210</v>
      </c>
    </row>
    <row r="83" spans="1:13" x14ac:dyDescent="0.15">
      <c r="A83" s="76" t="s">
        <v>200</v>
      </c>
      <c r="B83" s="77">
        <f>floors!$C$2</f>
        <v>20013</v>
      </c>
      <c r="C83" s="78" t="str">
        <f ca="1">VLOOKUP($B83,OFFSET([2]quests!$A$1,0,0,COUNTA([2]quests!$A:$A),MATCH(C$1,[2]quests!$1:$1,0)-MATCH($B$1,[2]quests!$1:$1,0)+1),MATCH(C$1,[2]quests!$1:$1,0)-MATCH($B$1,[2]quests!$1:$1,0)+1,FALSE)</f>
        <v>天の時、地の利、人の和</v>
      </c>
      <c r="D83" s="78" t="str">
        <f ca="1">VLOOKUP($B83,OFFSET([2]quests!$A$1,0,0,COUNTA([2]quests!$A:$A),MATCH(D$1,[2]quests!$1:$1,0)-MATCH($B$1,[2]quests!$1:$1,0)+1),MATCH(D$1,[2]quests!$1:$1,0)-MATCH($B$1,[2]quests!$1:$1,0)+1,FALSE)</f>
        <v>ドロップイベント4</v>
      </c>
      <c r="E83" s="82">
        <v>3</v>
      </c>
      <c r="F83" s="78" t="str">
        <f ca="1">VLOOKUP($B83&amp;"_"&amp;$E83,OFFSET([2]stages!$A$1,0,0,COUNTA([2]stages!$A:$A),MATCH(F$1,[2]stages!$2:$2,0)-MATCH("temp_stage",[2]stages!$2:$2,0)+1),MATCH(F$1,[2]stages!$2:$2,0)-MATCH("temp_stage",[2]stages!$2:$2,0)+1,FALSE)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3" s="78" t="str">
        <f ca="1">VLOOKUP($B83&amp;"_"&amp;$E83,OFFSET([2]stages!$A$1,0,0,COUNTA([2]stages!$A:$A),MATCH(G$1,[2]stages!$2:$2,0)-MATCH("temp_stage",[2]stages!$2:$2,0)+1),MATCH(G$1,[2]stages!$2:$2,0)-MATCH("temp_stage",[2]stages!$2:$2,0)+1,FALSE)</f>
        <v>ドロップイベント4</v>
      </c>
      <c r="H83" s="80">
        <v>0</v>
      </c>
      <c r="I83" s="91">
        <v>28</v>
      </c>
      <c r="J83" s="79" t="s">
        <v>197</v>
      </c>
      <c r="K83" s="87" t="str">
        <f>VLOOKUP(I83,[7]stage_hints!$A:$C,3,FALSE)</f>
        <v>ステータス情報は長押しで</v>
      </c>
      <c r="L83" s="88" t="str">
        <f>VLOOKUP(I83,[7]stage_hints!$A:$D,4,FALSE)</f>
        <v>ユニットのアイコンを長押しすると_x000D_ステータス情報を確認することができます</v>
      </c>
      <c r="M83" s="53" t="s">
        <v>210</v>
      </c>
    </row>
    <row r="84" spans="1:13" x14ac:dyDescent="0.15">
      <c r="A84" s="76" t="s">
        <v>200</v>
      </c>
      <c r="B84" s="77">
        <f>floors!$C$2</f>
        <v>20013</v>
      </c>
      <c r="C84" s="78" t="str">
        <f ca="1">VLOOKUP($B84,OFFSET([2]quests!$A$1,0,0,COUNTA([2]quests!$A:$A),MATCH(C$1,[2]quests!$1:$1,0)-MATCH($B$1,[2]quests!$1:$1,0)+1),MATCH(C$1,[2]quests!$1:$1,0)-MATCH($B$1,[2]quests!$1:$1,0)+1,FALSE)</f>
        <v>天の時、地の利、人の和</v>
      </c>
      <c r="D84" s="78" t="str">
        <f ca="1">VLOOKUP($B84,OFFSET([2]quests!$A$1,0,0,COUNTA([2]quests!$A:$A),MATCH(D$1,[2]quests!$1:$1,0)-MATCH($B$1,[2]quests!$1:$1,0)+1),MATCH(D$1,[2]quests!$1:$1,0)-MATCH($B$1,[2]quests!$1:$1,0)+1,FALSE)</f>
        <v>ドロップイベント4</v>
      </c>
      <c r="E84" s="82">
        <v>3</v>
      </c>
      <c r="F84" s="78" t="str">
        <f ca="1">VLOOKUP($B84&amp;"_"&amp;$E84,OFFSET([2]stages!$A$1,0,0,COUNTA([2]stages!$A:$A),MATCH(F$1,[2]stages!$2:$2,0)-MATCH("temp_stage",[2]stages!$2:$2,0)+1),MATCH(F$1,[2]stages!$2:$2,0)-MATCH("temp_stage",[2]stages!$2:$2,0)+1,FALSE)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4" s="78" t="str">
        <f ca="1">VLOOKUP($B84&amp;"_"&amp;$E84,OFFSET([2]stages!$A$1,0,0,COUNTA([2]stages!$A:$A),MATCH(G$1,[2]stages!$2:$2,0)-MATCH("temp_stage",[2]stages!$2:$2,0)+1),MATCH(G$1,[2]stages!$2:$2,0)-MATCH("temp_stage",[2]stages!$2:$2,0)+1,FALSE)</f>
        <v>ドロップイベント4</v>
      </c>
      <c r="H84" s="80">
        <v>0</v>
      </c>
      <c r="I84" s="91">
        <v>29</v>
      </c>
      <c r="J84" s="79" t="s">
        <v>197</v>
      </c>
      <c r="K84" s="87" t="str">
        <f>VLOOKUP(I84,[7]stage_hints!$A:$C,3,FALSE)</f>
        <v>「バグ」のメリット</v>
      </c>
      <c r="L84" s="88" t="str">
        <f>VLOOKUP(I84,[7]stage_hints!$A:$D,4,FALSE)</f>
        <v>ユニットの「バグ」を増やすと_x000D_報酬をもらえる確率がアップします</v>
      </c>
      <c r="M84" s="53" t="s">
        <v>210</v>
      </c>
    </row>
    <row r="85" spans="1:13" x14ac:dyDescent="0.15">
      <c r="A85" s="76" t="s">
        <v>200</v>
      </c>
      <c r="B85" s="77">
        <f>floors!$C$2</f>
        <v>20013</v>
      </c>
      <c r="C85" s="78" t="str">
        <f ca="1">VLOOKUP($B85,OFFSET([2]quests!$A$1,0,0,COUNTA([2]quests!$A:$A),MATCH(C$1,[2]quests!$1:$1,0)-MATCH($B$1,[2]quests!$1:$1,0)+1),MATCH(C$1,[2]quests!$1:$1,0)-MATCH($B$1,[2]quests!$1:$1,0)+1,FALSE)</f>
        <v>天の時、地の利、人の和</v>
      </c>
      <c r="D85" s="78" t="str">
        <f ca="1">VLOOKUP($B85,OFFSET([2]quests!$A$1,0,0,COUNTA([2]quests!$A:$A),MATCH(D$1,[2]quests!$1:$1,0)-MATCH($B$1,[2]quests!$1:$1,0)+1),MATCH(D$1,[2]quests!$1:$1,0)-MATCH($B$1,[2]quests!$1:$1,0)+1,FALSE)</f>
        <v>ドロップイベント4</v>
      </c>
      <c r="E85" s="82">
        <v>3</v>
      </c>
      <c r="F85" s="78" t="str">
        <f ca="1">VLOOKUP($B85&amp;"_"&amp;$E85,OFFSET([2]stages!$A$1,0,0,COUNTA([2]stages!$A:$A),MATCH(F$1,[2]stages!$2:$2,0)-MATCH("temp_stage",[2]stages!$2:$2,0)+1),MATCH(F$1,[2]stages!$2:$2,0)-MATCH("temp_stage",[2]stages!$2:$2,0)+1,FALSE)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5" s="78" t="str">
        <f ca="1">VLOOKUP($B85&amp;"_"&amp;$E85,OFFSET([2]stages!$A$1,0,0,COUNTA([2]stages!$A:$A),MATCH(G$1,[2]stages!$2:$2,0)-MATCH("temp_stage",[2]stages!$2:$2,0)+1),MATCH(G$1,[2]stages!$2:$2,0)-MATCH("temp_stage",[2]stages!$2:$2,0)+1,FALSE)</f>
        <v>ドロップイベント4</v>
      </c>
      <c r="H85" s="80">
        <v>0</v>
      </c>
      <c r="I85" s="91">
        <v>30</v>
      </c>
      <c r="J85" s="79" t="s">
        <v>197</v>
      </c>
      <c r="K85" s="87" t="str">
        <f>VLOOKUP(I85,[7]stage_hints!$A:$C,3,FALSE)</f>
        <v>「バグ」の増やし方</v>
      </c>
      <c r="L85" s="88" t="str">
        <f>VLOOKUP(I85,[7]stage_hints!$A:$D,4,FALSE)</f>
        <v>同じユニット同士を強化で合成すると_x000D_「バグ」を増やすことができます</v>
      </c>
      <c r="M85" s="53" t="s">
        <v>210</v>
      </c>
    </row>
    <row r="86" spans="1:13" x14ac:dyDescent="0.15">
      <c r="A86" s="76" t="s">
        <v>200</v>
      </c>
      <c r="B86" s="77">
        <f>floors!$C$2</f>
        <v>20013</v>
      </c>
      <c r="C86" s="78" t="str">
        <f ca="1">VLOOKUP($B86,OFFSET([2]quests!$A$1,0,0,COUNTA([2]quests!$A:$A),MATCH(C$1,[2]quests!$1:$1,0)-MATCH($B$1,[2]quests!$1:$1,0)+1),MATCH(C$1,[2]quests!$1:$1,0)-MATCH($B$1,[2]quests!$1:$1,0)+1,FALSE)</f>
        <v>天の時、地の利、人の和</v>
      </c>
      <c r="D86" s="78" t="str">
        <f ca="1">VLOOKUP($B86,OFFSET([2]quests!$A$1,0,0,COUNTA([2]quests!$A:$A),MATCH(D$1,[2]quests!$1:$1,0)-MATCH($B$1,[2]quests!$1:$1,0)+1),MATCH(D$1,[2]quests!$1:$1,0)-MATCH($B$1,[2]quests!$1:$1,0)+1,FALSE)</f>
        <v>ドロップイベント4</v>
      </c>
      <c r="E86" s="82">
        <v>3</v>
      </c>
      <c r="F86" s="78" t="str">
        <f ca="1">VLOOKUP($B86&amp;"_"&amp;$E86,OFFSET([2]stages!$A$1,0,0,COUNTA([2]stages!$A:$A),MATCH(F$1,[2]stages!$2:$2,0)-MATCH("temp_stage",[2]stages!$2:$2,0)+1),MATCH(F$1,[2]stages!$2:$2,0)-MATCH("temp_stage",[2]stages!$2:$2,0)+1,FALSE)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6" s="78" t="str">
        <f ca="1">VLOOKUP($B86&amp;"_"&amp;$E86,OFFSET([2]stages!$A$1,0,0,COUNTA([2]stages!$A:$A),MATCH(G$1,[2]stages!$2:$2,0)-MATCH("temp_stage",[2]stages!$2:$2,0)+1),MATCH(G$1,[2]stages!$2:$2,0)-MATCH("temp_stage",[2]stages!$2:$2,0)+1,FALSE)</f>
        <v>ドロップイベント4</v>
      </c>
      <c r="H86" s="80">
        <v>0</v>
      </c>
      <c r="I86" s="91">
        <v>31</v>
      </c>
      <c r="J86" s="79" t="s">
        <v>197</v>
      </c>
      <c r="K86" s="87" t="str">
        <f>VLOOKUP(I86,[7]stage_hints!$A:$C,3,FALSE)</f>
        <v>イベントはお知らせでチェック</v>
      </c>
      <c r="L86" s="88" t="str">
        <f>VLOOKUP(I86,[7]stage_hints!$A:$D,4,FALSE)</f>
        <v>イベント限定ユニットを取り忘れないように_x000D_お知らせをこまめにチェックしましょう</v>
      </c>
      <c r="M86" s="53" t="s">
        <v>210</v>
      </c>
    </row>
    <row r="87" spans="1:13" x14ac:dyDescent="0.15">
      <c r="A87" s="76" t="s">
        <v>200</v>
      </c>
      <c r="B87" s="77">
        <f>floors!$C$2</f>
        <v>20013</v>
      </c>
      <c r="C87" s="78" t="str">
        <f ca="1">VLOOKUP($B87,OFFSET([2]quests!$A$1,0,0,COUNTA([2]quests!$A:$A),MATCH(C$1,[2]quests!$1:$1,0)-MATCH($B$1,[2]quests!$1:$1,0)+1),MATCH(C$1,[2]quests!$1:$1,0)-MATCH($B$1,[2]quests!$1:$1,0)+1,FALSE)</f>
        <v>天の時、地の利、人の和</v>
      </c>
      <c r="D87" s="78" t="str">
        <f ca="1">VLOOKUP($B87,OFFSET([2]quests!$A$1,0,0,COUNTA([2]quests!$A:$A),MATCH(D$1,[2]quests!$1:$1,0)-MATCH($B$1,[2]quests!$1:$1,0)+1),MATCH(D$1,[2]quests!$1:$1,0)-MATCH($B$1,[2]quests!$1:$1,0)+1,FALSE)</f>
        <v>ドロップイベント4</v>
      </c>
      <c r="E87" s="82">
        <v>3</v>
      </c>
      <c r="F87" s="78" t="str">
        <f ca="1">VLOOKUP($B87&amp;"_"&amp;$E87,OFFSET([2]stages!$A$1,0,0,COUNTA([2]stages!$A:$A),MATCH(F$1,[2]stages!$2:$2,0)-MATCH("temp_stage",[2]stages!$2:$2,0)+1),MATCH(F$1,[2]stages!$2:$2,0)-MATCH("temp_stage",[2]stages!$2:$2,0)+1,FALSE)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7" s="78" t="str">
        <f ca="1">VLOOKUP($B87&amp;"_"&amp;$E87,OFFSET([2]stages!$A$1,0,0,COUNTA([2]stages!$A:$A),MATCH(G$1,[2]stages!$2:$2,0)-MATCH("temp_stage",[2]stages!$2:$2,0)+1),MATCH(G$1,[2]stages!$2:$2,0)-MATCH("temp_stage",[2]stages!$2:$2,0)+1,FALSE)</f>
        <v>ドロップイベント4</v>
      </c>
      <c r="H87" s="80">
        <v>0</v>
      </c>
      <c r="I87" s="91">
        <v>32</v>
      </c>
      <c r="J87" s="79" t="s">
        <v>197</v>
      </c>
      <c r="K87" s="87" t="str">
        <f>VLOOKUP(I87,[7]stage_hints!$A:$C,3,FALSE)</f>
        <v>敵の連続攻撃には</v>
      </c>
      <c r="L87" s="88" t="str">
        <f>VLOOKUP(I87,[7]stage_hints!$A:$D,4,FALSE)</f>
        <v>カウンタースキルを持つユニットがいれば_x000D_ダメージ回数分の反撃ができます</v>
      </c>
      <c r="M87" s="53" t="s">
        <v>210</v>
      </c>
    </row>
    <row r="88" spans="1:13" x14ac:dyDescent="0.15">
      <c r="A88" s="76" t="s">
        <v>200</v>
      </c>
      <c r="B88" s="77">
        <f>floors!$C$2</f>
        <v>20013</v>
      </c>
      <c r="C88" s="78" t="str">
        <f ca="1">VLOOKUP($B88,OFFSET([2]quests!$A$1,0,0,COUNTA([2]quests!$A:$A),MATCH(C$1,[2]quests!$1:$1,0)-MATCH($B$1,[2]quests!$1:$1,0)+1),MATCH(C$1,[2]quests!$1:$1,0)-MATCH($B$1,[2]quests!$1:$1,0)+1,FALSE)</f>
        <v>天の時、地の利、人の和</v>
      </c>
      <c r="D88" s="78" t="str">
        <f ca="1">VLOOKUP($B88,OFFSET([2]quests!$A$1,0,0,COUNTA([2]quests!$A:$A),MATCH(D$1,[2]quests!$1:$1,0)-MATCH($B$1,[2]quests!$1:$1,0)+1),MATCH(D$1,[2]quests!$1:$1,0)-MATCH($B$1,[2]quests!$1:$1,0)+1,FALSE)</f>
        <v>ドロップイベント4</v>
      </c>
      <c r="E88" s="82">
        <v>3</v>
      </c>
      <c r="F88" s="78" t="str">
        <f ca="1">VLOOKUP($B88&amp;"_"&amp;$E88,OFFSET([2]stages!$A$1,0,0,COUNTA([2]stages!$A:$A),MATCH(F$1,[2]stages!$2:$2,0)-MATCH("temp_stage",[2]stages!$2:$2,0)+1),MATCH(F$1,[2]stages!$2:$2,0)-MATCH("temp_stage",[2]stages!$2:$2,0)+1,FALSE)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8" s="78" t="str">
        <f ca="1">VLOOKUP($B88&amp;"_"&amp;$E88,OFFSET([2]stages!$A$1,0,0,COUNTA([2]stages!$A:$A),MATCH(G$1,[2]stages!$2:$2,0)-MATCH("temp_stage",[2]stages!$2:$2,0)+1),MATCH(G$1,[2]stages!$2:$2,0)-MATCH("temp_stage",[2]stages!$2:$2,0)+1,FALSE)</f>
        <v>ドロップイベント4</v>
      </c>
      <c r="H88" s="80">
        <v>0</v>
      </c>
      <c r="I88" s="91">
        <v>33</v>
      </c>
      <c r="J88" s="79" t="s">
        <v>197</v>
      </c>
      <c r="K88" s="87" t="str">
        <f>VLOOKUP(I88,[7]stage_hints!$A:$C,3,FALSE)</f>
        <v>敵のカウンター攻撃には</v>
      </c>
      <c r="L88" s="88" t="str">
        <f>VLOOKUP(I88,[7]stage_hints!$A:$D,4,FALSE)</f>
        <v>カウンターブレイクスキルを持っていれば_x000D_敵のカウンターを解除して攻撃ができます</v>
      </c>
      <c r="M88" s="53" t="s">
        <v>210</v>
      </c>
    </row>
    <row r="89" spans="1:13" x14ac:dyDescent="0.15">
      <c r="A89" s="76" t="s">
        <v>200</v>
      </c>
      <c r="B89" s="77">
        <f>floors!$C$2</f>
        <v>20013</v>
      </c>
      <c r="C89" s="78" t="str">
        <f ca="1">VLOOKUP($B89,OFFSET([2]quests!$A$1,0,0,COUNTA([2]quests!$A:$A),MATCH(C$1,[2]quests!$1:$1,0)-MATCH($B$1,[2]quests!$1:$1,0)+1),MATCH(C$1,[2]quests!$1:$1,0)-MATCH($B$1,[2]quests!$1:$1,0)+1,FALSE)</f>
        <v>天の時、地の利、人の和</v>
      </c>
      <c r="D89" s="78" t="str">
        <f ca="1">VLOOKUP($B89,OFFSET([2]quests!$A$1,0,0,COUNTA([2]quests!$A:$A),MATCH(D$1,[2]quests!$1:$1,0)-MATCH($B$1,[2]quests!$1:$1,0)+1),MATCH(D$1,[2]quests!$1:$1,0)-MATCH($B$1,[2]quests!$1:$1,0)+1,FALSE)</f>
        <v>ドロップイベント4</v>
      </c>
      <c r="E89" s="82">
        <v>3</v>
      </c>
      <c r="F89" s="78" t="str">
        <f ca="1">VLOOKUP($B89&amp;"_"&amp;$E89,OFFSET([2]stages!$A$1,0,0,COUNTA([2]stages!$A:$A),MATCH(F$1,[2]stages!$2:$2,0)-MATCH("temp_stage",[2]stages!$2:$2,0)+1),MATCH(F$1,[2]stages!$2:$2,0)-MATCH("temp_stage",[2]stages!$2:$2,0)+1,FALSE)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89" s="78" t="str">
        <f ca="1">VLOOKUP($B89&amp;"_"&amp;$E89,OFFSET([2]stages!$A$1,0,0,COUNTA([2]stages!$A:$A),MATCH(G$1,[2]stages!$2:$2,0)-MATCH("temp_stage",[2]stages!$2:$2,0)+1),MATCH(G$1,[2]stages!$2:$2,0)-MATCH("temp_stage",[2]stages!$2:$2,0)+1,FALSE)</f>
        <v>ドロップイベント4</v>
      </c>
      <c r="H89" s="80">
        <v>0</v>
      </c>
      <c r="I89" s="91">
        <v>34</v>
      </c>
      <c r="J89" s="79" t="s">
        <v>197</v>
      </c>
      <c r="K89" s="87" t="str">
        <f>VLOOKUP(I89,[7]stage_hints!$A:$C,3,FALSE)</f>
        <v>ステータスをスキルで下げられたら</v>
      </c>
      <c r="L89" s="88" t="str">
        <f>VLOOKUP(I89,[7]stage_hints!$A:$D,4,FALSE)</f>
        <v>ステータスダウンのスキルを受けたら_x000D_ステータスアップスキルで上書きしましょう</v>
      </c>
      <c r="M89" s="53" t="s">
        <v>210</v>
      </c>
    </row>
    <row r="90" spans="1:13" x14ac:dyDescent="0.15">
      <c r="A90" s="76" t="s">
        <v>200</v>
      </c>
      <c r="B90" s="77">
        <f>floors!$C$2</f>
        <v>20013</v>
      </c>
      <c r="C90" s="78" t="str">
        <f ca="1">VLOOKUP($B90,OFFSET([2]quests!$A$1,0,0,COUNTA([2]quests!$A:$A),MATCH(C$1,[2]quests!$1:$1,0)-MATCH($B$1,[2]quests!$1:$1,0)+1),MATCH(C$1,[2]quests!$1:$1,0)-MATCH($B$1,[2]quests!$1:$1,0)+1,FALSE)</f>
        <v>天の時、地の利、人の和</v>
      </c>
      <c r="D90" s="78" t="str">
        <f ca="1">VLOOKUP($B90,OFFSET([2]quests!$A$1,0,0,COUNTA([2]quests!$A:$A),MATCH(D$1,[2]quests!$1:$1,0)-MATCH($B$1,[2]quests!$1:$1,0)+1),MATCH(D$1,[2]quests!$1:$1,0)-MATCH($B$1,[2]quests!$1:$1,0)+1,FALSE)</f>
        <v>ドロップイベント4</v>
      </c>
      <c r="E90" s="82">
        <v>3</v>
      </c>
      <c r="F90" s="78" t="str">
        <f ca="1">VLOOKUP($B90&amp;"_"&amp;$E90,OFFSET([2]stages!$A$1,0,0,COUNTA([2]stages!$A:$A),MATCH(F$1,[2]stages!$2:$2,0)-MATCH("temp_stage",[2]stages!$2:$2,0)+1),MATCH(F$1,[2]stages!$2:$2,0)-MATCH("temp_stage",[2]stages!$2:$2,0)+1,FALSE)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90" s="78" t="str">
        <f ca="1">VLOOKUP($B90&amp;"_"&amp;$E90,OFFSET([2]stages!$A$1,0,0,COUNTA([2]stages!$A:$A),MATCH(G$1,[2]stages!$2:$2,0)-MATCH("temp_stage",[2]stages!$2:$2,0)+1),MATCH(G$1,[2]stages!$2:$2,0)-MATCH("temp_stage",[2]stages!$2:$2,0)+1,FALSE)</f>
        <v>ドロップイベント4</v>
      </c>
      <c r="H90" s="80">
        <v>0</v>
      </c>
      <c r="I90" s="91">
        <v>35</v>
      </c>
      <c r="J90" s="79" t="s">
        <v>197</v>
      </c>
      <c r="K90" s="87" t="str">
        <f>VLOOKUP(I90,[7]stage_hints!$A:$C,3,FALSE)</f>
        <v>敵のステータスがスキルで上がったら</v>
      </c>
      <c r="L90" s="88" t="str">
        <f>VLOOKUP(I90,[7]stage_hints!$A:$D,4,FALSE)</f>
        <v>敵のステータスがスキルでアップしたときは_x000D_ステータスダウンスキルで上書きしましょう</v>
      </c>
      <c r="M90" s="53" t="s">
        <v>210</v>
      </c>
    </row>
    <row r="91" spans="1:13" x14ac:dyDescent="0.15">
      <c r="A91" s="76" t="s">
        <v>200</v>
      </c>
      <c r="B91" s="77">
        <f>floors!$C$2</f>
        <v>20013</v>
      </c>
      <c r="C91" s="78" t="str">
        <f ca="1">VLOOKUP($B91,OFFSET([2]quests!$A$1,0,0,COUNTA([2]quests!$A:$A),MATCH(C$1,[2]quests!$1:$1,0)-MATCH($B$1,[2]quests!$1:$1,0)+1),MATCH(C$1,[2]quests!$1:$1,0)-MATCH($B$1,[2]quests!$1:$1,0)+1,FALSE)</f>
        <v>天の時、地の利、人の和</v>
      </c>
      <c r="D91" s="78" t="str">
        <f ca="1">VLOOKUP($B91,OFFSET([2]quests!$A$1,0,0,COUNTA([2]quests!$A:$A),MATCH(D$1,[2]quests!$1:$1,0)-MATCH($B$1,[2]quests!$1:$1,0)+1),MATCH(D$1,[2]quests!$1:$1,0)-MATCH($B$1,[2]quests!$1:$1,0)+1,FALSE)</f>
        <v>ドロップイベント4</v>
      </c>
      <c r="E91" s="82">
        <v>3</v>
      </c>
      <c r="F91" s="78" t="str">
        <f ca="1">VLOOKUP($B91&amp;"_"&amp;$E91,OFFSET([2]stages!$A$1,0,0,COUNTA([2]stages!$A:$A),MATCH(F$1,[2]stages!$2:$2,0)-MATCH("temp_stage",[2]stages!$2:$2,0)+1),MATCH(F$1,[2]stages!$2:$2,0)-MATCH("temp_stage",[2]stages!$2:$2,0)+1,FALSE)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91" s="78" t="str">
        <f ca="1">VLOOKUP($B91&amp;"_"&amp;$E91,OFFSET([2]stages!$A$1,0,0,COUNTA([2]stages!$A:$A),MATCH(G$1,[2]stages!$2:$2,0)-MATCH("temp_stage",[2]stages!$2:$2,0)+1),MATCH(G$1,[2]stages!$2:$2,0)-MATCH("temp_stage",[2]stages!$2:$2,0)+1,FALSE)</f>
        <v>ドロップイベント4</v>
      </c>
      <c r="H91" s="80">
        <v>0</v>
      </c>
      <c r="I91" s="91">
        <v>36</v>
      </c>
      <c r="J91" s="79" t="s">
        <v>197</v>
      </c>
      <c r="K91" s="87" t="str">
        <f>VLOOKUP(I91,[7]stage_hints!$A:$C,3,FALSE)</f>
        <v>タワーオブザクイーンのボス</v>
      </c>
      <c r="L91" s="88" t="str">
        <f>VLOOKUP(I91,[7]stage_hints!$A:$D,4,FALSE)</f>
        <v>「タワーオブザクイーン」最上階のボスは_x000D_15階の初回クリア報酬で獲得できるほか_x000D_その階にて低確率でドロップもします</v>
      </c>
      <c r="M91" s="53" t="s">
        <v>210</v>
      </c>
    </row>
    <row r="92" spans="1:13" x14ac:dyDescent="0.15">
      <c r="A92" s="76" t="s">
        <v>200</v>
      </c>
      <c r="B92" s="77">
        <f>floors!$C$2</f>
        <v>20013</v>
      </c>
      <c r="C92" s="78" t="str">
        <f ca="1">VLOOKUP($B92,OFFSET([2]quests!$A$1,0,0,COUNTA([2]quests!$A:$A),MATCH(C$1,[2]quests!$1:$1,0)-MATCH($B$1,[2]quests!$1:$1,0)+1),MATCH(C$1,[2]quests!$1:$1,0)-MATCH($B$1,[2]quests!$1:$1,0)+1,FALSE)</f>
        <v>天の時、地の利、人の和</v>
      </c>
      <c r="D92" s="78" t="str">
        <f ca="1">VLOOKUP($B92,OFFSET([2]quests!$A$1,0,0,COUNTA([2]quests!$A:$A),MATCH(D$1,[2]quests!$1:$1,0)-MATCH($B$1,[2]quests!$1:$1,0)+1),MATCH(D$1,[2]quests!$1:$1,0)-MATCH($B$1,[2]quests!$1:$1,0)+1,FALSE)</f>
        <v>ドロップイベント4</v>
      </c>
      <c r="E92" s="82">
        <v>3</v>
      </c>
      <c r="F92" s="78" t="str">
        <f ca="1">VLOOKUP($B92&amp;"_"&amp;$E92,OFFSET([2]stages!$A$1,0,0,COUNTA([2]stages!$A:$A),MATCH(F$1,[2]stages!$2:$2,0)-MATCH("temp_stage",[2]stages!$2:$2,0)+1),MATCH(F$1,[2]stages!$2:$2,0)-MATCH("temp_stage",[2]stages!$2:$2,0)+1,FALSE)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92" s="78" t="str">
        <f ca="1">VLOOKUP($B92&amp;"_"&amp;$E92,OFFSET([2]stages!$A$1,0,0,COUNTA([2]stages!$A:$A),MATCH(G$1,[2]stages!$2:$2,0)-MATCH("temp_stage",[2]stages!$2:$2,0)+1),MATCH(G$1,[2]stages!$2:$2,0)-MATCH("temp_stage",[2]stages!$2:$2,0)+1,FALSE)</f>
        <v>ドロップイベント4</v>
      </c>
      <c r="H92" s="80">
        <v>0</v>
      </c>
      <c r="I92" s="91">
        <v>37</v>
      </c>
      <c r="J92" s="79" t="s">
        <v>197</v>
      </c>
      <c r="K92" s="87" t="str">
        <f>VLOOKUP(I92,[7]stage_hints!$A:$C,3,FALSE)</f>
        <v>限界突破値の引き継ぎ</v>
      </c>
      <c r="L92" s="88" t="str">
        <f>VLOOKUP(I92,[7]stage_hints!$A:$D,4,FALSE)</f>
        <v>同じユニットを強化で合成すると_x000D_限界突破値を引き継げます（覚醒前後も可）</v>
      </c>
      <c r="M92" s="53" t="s">
        <v>210</v>
      </c>
    </row>
    <row r="93" spans="1:13" x14ac:dyDescent="0.15">
      <c r="A93" s="76" t="s">
        <v>200</v>
      </c>
      <c r="B93" s="77">
        <f>floors!$C$2</f>
        <v>20013</v>
      </c>
      <c r="C93" s="78" t="str">
        <f ca="1">VLOOKUP($B93,OFFSET([2]quests!$A$1,0,0,COUNTA([2]quests!$A:$A),MATCH(C$1,[2]quests!$1:$1,0)-MATCH($B$1,[2]quests!$1:$1,0)+1),MATCH(C$1,[2]quests!$1:$1,0)-MATCH($B$1,[2]quests!$1:$1,0)+1,FALSE)</f>
        <v>天の時、地の利、人の和</v>
      </c>
      <c r="D93" s="78" t="str">
        <f ca="1">VLOOKUP($B93,OFFSET([2]quests!$A$1,0,0,COUNTA([2]quests!$A:$A),MATCH(D$1,[2]quests!$1:$1,0)-MATCH($B$1,[2]quests!$1:$1,0)+1),MATCH(D$1,[2]quests!$1:$1,0)-MATCH($B$1,[2]quests!$1:$1,0)+1,FALSE)</f>
        <v>ドロップイベント4</v>
      </c>
      <c r="E93" s="82">
        <v>3</v>
      </c>
      <c r="F93" s="78" t="str">
        <f ca="1">VLOOKUP($B93&amp;"_"&amp;$E93,OFFSET([2]stages!$A$1,0,0,COUNTA([2]stages!$A:$A),MATCH(F$1,[2]stages!$2:$2,0)-MATCH("temp_stage",[2]stages!$2:$2,0)+1),MATCH(F$1,[2]stages!$2:$2,0)-MATCH("temp_stage",[2]stages!$2:$2,0)+1,FALSE)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93" s="78" t="str">
        <f ca="1">VLOOKUP($B93&amp;"_"&amp;$E93,OFFSET([2]stages!$A$1,0,0,COUNTA([2]stages!$A:$A),MATCH(G$1,[2]stages!$2:$2,0)-MATCH("temp_stage",[2]stages!$2:$2,0)+1),MATCH(G$1,[2]stages!$2:$2,0)-MATCH("temp_stage",[2]stages!$2:$2,0)+1,FALSE)</f>
        <v>ドロップイベント4</v>
      </c>
      <c r="H93" s="80">
        <v>0</v>
      </c>
      <c r="I93" s="91">
        <v>39</v>
      </c>
      <c r="J93" s="79" t="s">
        <v>197</v>
      </c>
      <c r="K93" s="87" t="str">
        <f>VLOOKUP(I93,[7]stage_hints!$A:$C,3,FALSE)</f>
        <v>システム適合者を確認</v>
      </c>
      <c r="L93" s="88" t="str">
        <f>VLOOKUP(I93,[7]stage_hints!$A:$D,4,FALSE)</f>
        <v>ALICEが 「アナタ」を呼んでいます</v>
      </c>
      <c r="M93" s="53" t="s">
        <v>210</v>
      </c>
    </row>
  </sheetData>
  <phoneticPr fontId="5"/>
  <dataValidations count="1">
    <dataValidation type="list" allowBlank="1" showInputMessage="1" showErrorMessage="1" sqref="A2:A9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3"/>
  <sheetViews>
    <sheetView showGridLines="0" workbookViewId="0">
      <pane ySplit="1" topLeftCell="A2" activePane="bottomLeft" state="frozen"/>
      <selection pane="bottomLeft" activeCell="M13" sqref="M13"/>
    </sheetView>
  </sheetViews>
  <sheetFormatPr baseColWidth="12" defaultColWidth="13" defaultRowHeight="15" outlineLevelCol="1" x14ac:dyDescent="0.15"/>
  <cols>
    <col min="1" max="1" width="13" style="83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104" t="s">
        <v>187</v>
      </c>
      <c r="B1" s="105" t="s">
        <v>150</v>
      </c>
      <c r="C1" s="106" t="s">
        <v>189</v>
      </c>
      <c r="D1" s="106" t="s">
        <v>33</v>
      </c>
      <c r="E1" s="105" t="s">
        <v>190</v>
      </c>
      <c r="F1" s="106" t="s">
        <v>18</v>
      </c>
      <c r="G1" s="106" t="s">
        <v>33</v>
      </c>
      <c r="H1" s="105" t="s">
        <v>192</v>
      </c>
      <c r="I1" s="107" t="s">
        <v>193</v>
      </c>
      <c r="J1" s="108" t="s">
        <v>194</v>
      </c>
      <c r="K1" s="109" t="s">
        <v>126</v>
      </c>
      <c r="L1" s="110" t="s">
        <v>186</v>
      </c>
      <c r="M1" s="111" t="s">
        <v>185</v>
      </c>
      <c r="N1" s="112" t="s">
        <v>195</v>
      </c>
    </row>
    <row r="2" spans="1:14" ht="28" x14ac:dyDescent="0.15">
      <c r="A2" s="113" t="s">
        <v>196</v>
      </c>
      <c r="B2" s="77">
        <f>floors!$C$2</f>
        <v>20013</v>
      </c>
      <c r="C2" s="78" t="str">
        <f ca="1">VLOOKUP($B2,OFFSET([2]quests!$A$1,0,0,COUNTA([2]quests!$A:$A),MATCH(C$1,[2]quests!$1:$1,0)-MATCH($B$1,[2]quests!$1:$1,0)+1),MATCH(C$1,[2]quests!$1:$1,0)-MATCH($B$1,[2]quests!$1:$1,0)+1,FALSE)</f>
        <v>天の時、地の利、人の和</v>
      </c>
      <c r="D2" s="78" t="str">
        <f ca="1">VLOOKUP($B2,OFFSET([2]quests!$A$1,0,0,COUNTA([2]quests!$A:$A),MATCH(D$1,[2]quests!$1:$1,0)-MATCH($B$1,[2]quests!$1:$1,0)+1),MATCH(D$1,[2]quests!$1:$1,0)-MATCH($B$1,[2]quests!$1:$1,0)+1,FALSE)</f>
        <v>ドロップイベント4</v>
      </c>
      <c r="E2" s="79">
        <v>1</v>
      </c>
      <c r="F2" s="78" t="str">
        <f ca="1">VLOOKUP($B2&amp;"_"&amp;$E2,OFFSET([2]stages!$A$1,0,0,COUNTA([2]stages!$A:$A),MATCH(F$1,[2]stages!$2:$2,0)-MATCH("temp_stage",[2]stages!$2:$2,0)+1),MATCH(F$1,[2]stages!$2:$2,0)-MATCH("temp_stage",[2]stages!$2:$2,0)+1,FALSE)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2" s="78" t="str">
        <f ca="1">VLOOKUP($B2&amp;"_"&amp;$E2,OFFSET([2]stages!$A$1,0,0,COUNTA([2]stages!$A:$A),MATCH(G$1,[2]stages!$2:$2,0)-MATCH("temp_stage",[2]stages!$2:$2,0)+1),MATCH(G$1,[2]stages!$2:$2,0)-MATCH("temp_stage",[2]stages!$2:$2,0)+1,FALSE)</f>
        <v>ドロップイベント4</v>
      </c>
      <c r="H2" s="80">
        <v>1</v>
      </c>
      <c r="I2" s="84">
        <f>ROW()-1</f>
        <v>1</v>
      </c>
      <c r="J2" s="81" t="str">
        <f>B2&amp;TEXT(I2,"00")</f>
        <v>2001301</v>
      </c>
      <c r="K2" s="79" t="s">
        <v>197</v>
      </c>
      <c r="L2" s="82" t="s">
        <v>198</v>
      </c>
      <c r="M2" s="221" t="s">
        <v>268</v>
      </c>
      <c r="N2" s="114" t="s">
        <v>199</v>
      </c>
    </row>
    <row r="3" spans="1:14" ht="28" x14ac:dyDescent="0.15">
      <c r="A3" s="113" t="s">
        <v>196</v>
      </c>
      <c r="B3" s="77">
        <f>floors!$C$2</f>
        <v>20013</v>
      </c>
      <c r="C3" s="78" t="str">
        <f ca="1">VLOOKUP($B3,OFFSET([2]quests!$A$1,0,0,COUNTA([2]quests!$A:$A),MATCH(C$1,[2]quests!$1:$1,0)-MATCH($B$1,[2]quests!$1:$1,0)+1),MATCH(C$1,[2]quests!$1:$1,0)-MATCH($B$1,[2]quests!$1:$1,0)+1,FALSE)</f>
        <v>天の時、地の利、人の和</v>
      </c>
      <c r="D3" s="78" t="str">
        <f ca="1">VLOOKUP($B3,OFFSET([2]quests!$A$1,0,0,COUNTA([2]quests!$A:$A),MATCH(D$1,[2]quests!$1:$1,0)-MATCH($B$1,[2]quests!$1:$1,0)+1),MATCH(D$1,[2]quests!$1:$1,0)-MATCH($B$1,[2]quests!$1:$1,0)+1,FALSE)</f>
        <v>ドロップイベント4</v>
      </c>
      <c r="E3" s="79">
        <v>1</v>
      </c>
      <c r="F3" s="78" t="str">
        <f ca="1">VLOOKUP($B3&amp;"_"&amp;$E3,OFFSET([2]stages!$A$1,0,0,COUNTA([2]stages!$A:$A),MATCH(F$1,[2]stages!$2:$2,0)-MATCH("temp_stage",[2]stages!$2:$2,0)+1),MATCH(F$1,[2]stages!$2:$2,0)-MATCH("temp_stage",[2]stages!$2:$2,0)+1,FALSE)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3" s="78" t="str">
        <f ca="1">VLOOKUP($B3&amp;"_"&amp;$E3,OFFSET([2]stages!$A$1,0,0,COUNTA([2]stages!$A:$A),MATCH(G$1,[2]stages!$2:$2,0)-MATCH("temp_stage",[2]stages!$2:$2,0)+1),MATCH(G$1,[2]stages!$2:$2,0)-MATCH("temp_stage",[2]stages!$2:$2,0)+1,FALSE)</f>
        <v>ドロップイベント4</v>
      </c>
      <c r="H3" s="80">
        <v>2</v>
      </c>
      <c r="I3" s="84">
        <f t="shared" ref="I3:I13" si="0">ROW()-1</f>
        <v>2</v>
      </c>
      <c r="J3" s="81" t="str">
        <f t="shared" ref="J3:J13" si="1">B3&amp;TEXT(I3,"00")</f>
        <v>2001302</v>
      </c>
      <c r="K3" s="79" t="s">
        <v>127</v>
      </c>
      <c r="L3" s="82" t="s">
        <v>198</v>
      </c>
      <c r="M3" s="221" t="s">
        <v>266</v>
      </c>
      <c r="N3" s="114" t="s">
        <v>199</v>
      </c>
    </row>
    <row r="4" spans="1:14" ht="28" x14ac:dyDescent="0.15">
      <c r="A4" s="113" t="s">
        <v>196</v>
      </c>
      <c r="B4" s="77">
        <f>floors!$C$2</f>
        <v>20013</v>
      </c>
      <c r="C4" s="78" t="str">
        <f ca="1">VLOOKUP($B4,OFFSET([2]quests!$A$1,0,0,COUNTA([2]quests!$A:$A),MATCH(C$1,[2]quests!$1:$1,0)-MATCH($B$1,[2]quests!$1:$1,0)+1),MATCH(C$1,[2]quests!$1:$1,0)-MATCH($B$1,[2]quests!$1:$1,0)+1,FALSE)</f>
        <v>天の時、地の利、人の和</v>
      </c>
      <c r="D4" s="78" t="str">
        <f ca="1">VLOOKUP($B4,OFFSET([2]quests!$A$1,0,0,COUNTA([2]quests!$A:$A),MATCH(D$1,[2]quests!$1:$1,0)-MATCH($B$1,[2]quests!$1:$1,0)+1),MATCH(D$1,[2]quests!$1:$1,0)-MATCH($B$1,[2]quests!$1:$1,0)+1,FALSE)</f>
        <v>ドロップイベント4</v>
      </c>
      <c r="E4" s="79">
        <v>1</v>
      </c>
      <c r="F4" s="78" t="str">
        <f ca="1">VLOOKUP($B4&amp;"_"&amp;$E4,OFFSET([2]stages!$A$1,0,0,COUNTA([2]stages!$A:$A),MATCH(F$1,[2]stages!$2:$2,0)-MATCH("temp_stage",[2]stages!$2:$2,0)+1),MATCH(F$1,[2]stages!$2:$2,0)-MATCH("temp_stage",[2]stages!$2:$2,0)+1,FALSE)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4" s="78" t="str">
        <f ca="1">VLOOKUP($B4&amp;"_"&amp;$E4,OFFSET([2]stages!$A$1,0,0,COUNTA([2]stages!$A:$A),MATCH(G$1,[2]stages!$2:$2,0)-MATCH("temp_stage",[2]stages!$2:$2,0)+1),MATCH(G$1,[2]stages!$2:$2,0)-MATCH("temp_stage",[2]stages!$2:$2,0)+1,FALSE)</f>
        <v>ドロップイベント4</v>
      </c>
      <c r="H4" s="80">
        <v>3</v>
      </c>
      <c r="I4" s="84">
        <f t="shared" si="0"/>
        <v>3</v>
      </c>
      <c r="J4" s="81" t="str">
        <f t="shared" si="1"/>
        <v>2001303</v>
      </c>
      <c r="K4" s="79" t="s">
        <v>127</v>
      </c>
      <c r="L4" s="82" t="s">
        <v>198</v>
      </c>
      <c r="M4" s="221" t="s">
        <v>268</v>
      </c>
      <c r="N4" s="114" t="s">
        <v>199</v>
      </c>
    </row>
    <row r="5" spans="1:14" ht="43" thickBot="1" x14ac:dyDescent="0.2">
      <c r="A5" s="115" t="s">
        <v>196</v>
      </c>
      <c r="B5" s="97">
        <f>floors!$C$2</f>
        <v>20013</v>
      </c>
      <c r="C5" s="98" t="str">
        <f ca="1">VLOOKUP($B5,OFFSET([2]quests!$A$1,0,0,COUNTA([2]quests!$A:$A),MATCH(C$1,[2]quests!$1:$1,0)-MATCH($B$1,[2]quests!$1:$1,0)+1),MATCH(C$1,[2]quests!$1:$1,0)-MATCH($B$1,[2]quests!$1:$1,0)+1,FALSE)</f>
        <v>天の時、地の利、人の和</v>
      </c>
      <c r="D5" s="98" t="str">
        <f ca="1">VLOOKUP($B5,OFFSET([2]quests!$A$1,0,0,COUNTA([2]quests!$A:$A),MATCH(D$1,[2]quests!$1:$1,0)-MATCH($B$1,[2]quests!$1:$1,0)+1),MATCH(D$1,[2]quests!$1:$1,0)-MATCH($B$1,[2]quests!$1:$1,0)+1,FALSE)</f>
        <v>ドロップイベント4</v>
      </c>
      <c r="E5" s="99">
        <v>1</v>
      </c>
      <c r="F5" s="98" t="str">
        <f ca="1">VLOOKUP($B5&amp;"_"&amp;$E5,OFFSET([2]stages!$A$1,0,0,COUNTA([2]stages!$A:$A),MATCH(F$1,[2]stages!$2:$2,0)-MATCH("temp_stage",[2]stages!$2:$2,0)+1),MATCH(F$1,[2]stages!$2:$2,0)-MATCH("temp_stage",[2]stages!$2:$2,0)+1,FALSE)</f>
        <v>【初級】天の時、地の利、人の和</v>
      </c>
      <c r="G5" s="98" t="str">
        <f ca="1">VLOOKUP($B5&amp;"_"&amp;$E5,OFFSET([2]stages!$A$1,0,0,COUNTA([2]stages!$A:$A),MATCH(G$1,[2]stages!$2:$2,0)-MATCH("temp_stage",[2]stages!$2:$2,0)+1),MATCH(G$1,[2]stages!$2:$2,0)-MATCH("temp_stage",[2]stages!$2:$2,0)+1,FALSE)</f>
        <v>ドロップイベント4</v>
      </c>
      <c r="H5" s="100">
        <v>4</v>
      </c>
      <c r="I5" s="101">
        <f t="shared" si="0"/>
        <v>4</v>
      </c>
      <c r="J5" s="102" t="str">
        <f t="shared" si="1"/>
        <v>2001304</v>
      </c>
      <c r="K5" s="99" t="s">
        <v>127</v>
      </c>
      <c r="L5" s="103" t="s">
        <v>198</v>
      </c>
      <c r="M5" s="222" t="s">
        <v>269</v>
      </c>
      <c r="N5" s="116" t="s">
        <v>199</v>
      </c>
    </row>
    <row r="6" spans="1:14" ht="28" x14ac:dyDescent="0.15">
      <c r="A6" s="117" t="s">
        <v>196</v>
      </c>
      <c r="B6" s="92">
        <f>floors!$C$2</f>
        <v>20013</v>
      </c>
      <c r="C6" s="78" t="str">
        <f ca="1">VLOOKUP($B6,OFFSET([2]quests!$A$1,0,0,COUNTA([2]quests!$A:$A),MATCH(C$1,[2]quests!$1:$1,0)-MATCH($B$1,[2]quests!$1:$1,0)+1),MATCH(C$1,[2]quests!$1:$1,0)-MATCH($B$1,[2]quests!$1:$1,0)+1,FALSE)</f>
        <v>天の時、地の利、人の和</v>
      </c>
      <c r="D6" s="78" t="str">
        <f ca="1">VLOOKUP($B6,OFFSET([2]quests!$A$1,0,0,COUNTA([2]quests!$A:$A),MATCH(D$1,[2]quests!$1:$1,0)-MATCH($B$1,[2]quests!$1:$1,0)+1),MATCH(D$1,[2]quests!$1:$1,0)-MATCH($B$1,[2]quests!$1:$1,0)+1,FALSE)</f>
        <v>ドロップイベント4</v>
      </c>
      <c r="E6" s="93">
        <v>2</v>
      </c>
      <c r="F6" s="78" t="str">
        <f ca="1">VLOOKUP($B6&amp;"_"&amp;$E6,OFFSET([2]stages!$A$1,0,0,COUNTA([2]stages!$A:$A),MATCH(F$1,[2]stages!$2:$2,0)-MATCH("temp_stage",[2]stages!$2:$2,0)+1),MATCH(F$1,[2]stages!$2:$2,0)-MATCH("temp_stage",[2]stages!$2:$2,0)+1,FALSE)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6" s="78" t="str">
        <f ca="1">VLOOKUP($B6&amp;"_"&amp;$E6,OFFSET([2]stages!$A$1,0,0,COUNTA([2]stages!$A:$A),MATCH(G$1,[2]stages!$2:$2,0)-MATCH("temp_stage",[2]stages!$2:$2,0)+1),MATCH(G$1,[2]stages!$2:$2,0)-MATCH("temp_stage",[2]stages!$2:$2,0)+1,FALSE)</f>
        <v>ドロップイベント4</v>
      </c>
      <c r="H6" s="80">
        <v>1</v>
      </c>
      <c r="I6" s="94">
        <f t="shared" si="0"/>
        <v>5</v>
      </c>
      <c r="J6" s="95" t="str">
        <f t="shared" si="1"/>
        <v>2001305</v>
      </c>
      <c r="K6" s="93" t="s">
        <v>127</v>
      </c>
      <c r="L6" s="96" t="s">
        <v>198</v>
      </c>
      <c r="M6" s="221" t="s">
        <v>268</v>
      </c>
      <c r="N6" s="118" t="s">
        <v>199</v>
      </c>
    </row>
    <row r="7" spans="1:14" ht="28" x14ac:dyDescent="0.15">
      <c r="A7" s="113" t="s">
        <v>196</v>
      </c>
      <c r="B7" s="77">
        <f>floors!$C$2</f>
        <v>20013</v>
      </c>
      <c r="C7" s="78" t="str">
        <f ca="1">VLOOKUP($B7,OFFSET([2]quests!$A$1,0,0,COUNTA([2]quests!$A:$A),MATCH(C$1,[2]quests!$1:$1,0)-MATCH($B$1,[2]quests!$1:$1,0)+1),MATCH(C$1,[2]quests!$1:$1,0)-MATCH($B$1,[2]quests!$1:$1,0)+1,FALSE)</f>
        <v>天の時、地の利、人の和</v>
      </c>
      <c r="D7" s="78" t="str">
        <f ca="1">VLOOKUP($B7,OFFSET([2]quests!$A$1,0,0,COUNTA([2]quests!$A:$A),MATCH(D$1,[2]quests!$1:$1,0)-MATCH($B$1,[2]quests!$1:$1,0)+1),MATCH(D$1,[2]quests!$1:$1,0)-MATCH($B$1,[2]quests!$1:$1,0)+1,FALSE)</f>
        <v>ドロップイベント4</v>
      </c>
      <c r="E7" s="79">
        <v>2</v>
      </c>
      <c r="F7" s="78" t="str">
        <f ca="1">VLOOKUP($B7&amp;"_"&amp;$E7,OFFSET([2]stages!$A$1,0,0,COUNTA([2]stages!$A:$A),MATCH(F$1,[2]stages!$2:$2,0)-MATCH("temp_stage",[2]stages!$2:$2,0)+1),MATCH(F$1,[2]stages!$2:$2,0)-MATCH("temp_stage",[2]stages!$2:$2,0)+1,FALSE)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7" s="78" t="str">
        <f ca="1">VLOOKUP($B7&amp;"_"&amp;$E7,OFFSET([2]stages!$A$1,0,0,COUNTA([2]stages!$A:$A),MATCH(G$1,[2]stages!$2:$2,0)-MATCH("temp_stage",[2]stages!$2:$2,0)+1),MATCH(G$1,[2]stages!$2:$2,0)-MATCH("temp_stage",[2]stages!$2:$2,0)+1,FALSE)</f>
        <v>ドロップイベント4</v>
      </c>
      <c r="H7" s="80">
        <v>2</v>
      </c>
      <c r="I7" s="84">
        <f t="shared" si="0"/>
        <v>6</v>
      </c>
      <c r="J7" s="81" t="str">
        <f t="shared" si="1"/>
        <v>2001306</v>
      </c>
      <c r="K7" s="79" t="s">
        <v>127</v>
      </c>
      <c r="L7" s="82" t="s">
        <v>198</v>
      </c>
      <c r="M7" s="221" t="s">
        <v>267</v>
      </c>
      <c r="N7" s="114" t="s">
        <v>199</v>
      </c>
    </row>
    <row r="8" spans="1:14" ht="28" x14ac:dyDescent="0.15">
      <c r="A8" s="113" t="s">
        <v>196</v>
      </c>
      <c r="B8" s="77">
        <f>floors!$C$2</f>
        <v>20013</v>
      </c>
      <c r="C8" s="78" t="str">
        <f ca="1">VLOOKUP($B8,OFFSET([2]quests!$A$1,0,0,COUNTA([2]quests!$A:$A),MATCH(C$1,[2]quests!$1:$1,0)-MATCH($B$1,[2]quests!$1:$1,0)+1),MATCH(C$1,[2]quests!$1:$1,0)-MATCH($B$1,[2]quests!$1:$1,0)+1,FALSE)</f>
        <v>天の時、地の利、人の和</v>
      </c>
      <c r="D8" s="78" t="str">
        <f ca="1">VLOOKUP($B8,OFFSET([2]quests!$A$1,0,0,COUNTA([2]quests!$A:$A),MATCH(D$1,[2]quests!$1:$1,0)-MATCH($B$1,[2]quests!$1:$1,0)+1),MATCH(D$1,[2]quests!$1:$1,0)-MATCH($B$1,[2]quests!$1:$1,0)+1,FALSE)</f>
        <v>ドロップイベント4</v>
      </c>
      <c r="E8" s="79">
        <v>2</v>
      </c>
      <c r="F8" s="78" t="str">
        <f ca="1">VLOOKUP($B8&amp;"_"&amp;$E8,OFFSET([2]stages!$A$1,0,0,COUNTA([2]stages!$A:$A),MATCH(F$1,[2]stages!$2:$2,0)-MATCH("temp_stage",[2]stages!$2:$2,0)+1),MATCH(F$1,[2]stages!$2:$2,0)-MATCH("temp_stage",[2]stages!$2:$2,0)+1,FALSE)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8" s="78" t="str">
        <f ca="1">VLOOKUP($B8&amp;"_"&amp;$E8,OFFSET([2]stages!$A$1,0,0,COUNTA([2]stages!$A:$A),MATCH(G$1,[2]stages!$2:$2,0)-MATCH("temp_stage",[2]stages!$2:$2,0)+1),MATCH(G$1,[2]stages!$2:$2,0)-MATCH("temp_stage",[2]stages!$2:$2,0)+1,FALSE)</f>
        <v>ドロップイベント4</v>
      </c>
      <c r="H8" s="80">
        <v>3</v>
      </c>
      <c r="I8" s="84">
        <f t="shared" si="0"/>
        <v>7</v>
      </c>
      <c r="J8" s="81" t="str">
        <f t="shared" si="1"/>
        <v>2001307</v>
      </c>
      <c r="K8" s="79" t="s">
        <v>127</v>
      </c>
      <c r="L8" s="82" t="s">
        <v>198</v>
      </c>
      <c r="M8" s="221" t="s">
        <v>268</v>
      </c>
      <c r="N8" s="114" t="s">
        <v>199</v>
      </c>
    </row>
    <row r="9" spans="1:14" ht="43" thickBot="1" x14ac:dyDescent="0.2">
      <c r="A9" s="115" t="s">
        <v>196</v>
      </c>
      <c r="B9" s="97">
        <f>floors!$C$2</f>
        <v>20013</v>
      </c>
      <c r="C9" s="98" t="str">
        <f ca="1">VLOOKUP($B9,OFFSET([2]quests!$A$1,0,0,COUNTA([2]quests!$A:$A),MATCH(C$1,[2]quests!$1:$1,0)-MATCH($B$1,[2]quests!$1:$1,0)+1),MATCH(C$1,[2]quests!$1:$1,0)-MATCH($B$1,[2]quests!$1:$1,0)+1,FALSE)</f>
        <v>天の時、地の利、人の和</v>
      </c>
      <c r="D9" s="98" t="str">
        <f ca="1">VLOOKUP($B9,OFFSET([2]quests!$A$1,0,0,COUNTA([2]quests!$A:$A),MATCH(D$1,[2]quests!$1:$1,0)-MATCH($B$1,[2]quests!$1:$1,0)+1),MATCH(D$1,[2]quests!$1:$1,0)-MATCH($B$1,[2]quests!$1:$1,0)+1,FALSE)</f>
        <v>ドロップイベント4</v>
      </c>
      <c r="E9" s="99">
        <v>2</v>
      </c>
      <c r="F9" s="98" t="str">
        <f ca="1">VLOOKUP($B9&amp;"_"&amp;$E9,OFFSET([2]stages!$A$1,0,0,COUNTA([2]stages!$A:$A),MATCH(F$1,[2]stages!$2:$2,0)-MATCH("temp_stage",[2]stages!$2:$2,0)+1),MATCH(F$1,[2]stages!$2:$2,0)-MATCH("temp_stage",[2]stages!$2:$2,0)+1,FALSE)</f>
        <v>【中級】天の時、地の利、人の和</v>
      </c>
      <c r="G9" s="98" t="str">
        <f ca="1">VLOOKUP($B9&amp;"_"&amp;$E9,OFFSET([2]stages!$A$1,0,0,COUNTA([2]stages!$A:$A),MATCH(G$1,[2]stages!$2:$2,0)-MATCH("temp_stage",[2]stages!$2:$2,0)+1),MATCH(G$1,[2]stages!$2:$2,0)-MATCH("temp_stage",[2]stages!$2:$2,0)+1,FALSE)</f>
        <v>ドロップイベント4</v>
      </c>
      <c r="H9" s="100">
        <v>4</v>
      </c>
      <c r="I9" s="101">
        <f t="shared" si="0"/>
        <v>8</v>
      </c>
      <c r="J9" s="102" t="str">
        <f t="shared" si="1"/>
        <v>2001308</v>
      </c>
      <c r="K9" s="99" t="s">
        <v>127</v>
      </c>
      <c r="L9" s="103" t="s">
        <v>198</v>
      </c>
      <c r="M9" s="222" t="s">
        <v>269</v>
      </c>
      <c r="N9" s="116" t="s">
        <v>199</v>
      </c>
    </row>
    <row r="10" spans="1:14" ht="28" x14ac:dyDescent="0.15">
      <c r="A10" s="117" t="s">
        <v>196</v>
      </c>
      <c r="B10" s="92">
        <f>floors!$C$2</f>
        <v>20013</v>
      </c>
      <c r="C10" s="78" t="str">
        <f ca="1">VLOOKUP($B10,OFFSET([2]quests!$A$1,0,0,COUNTA([2]quests!$A:$A),MATCH(C$1,[2]quests!$1:$1,0)-MATCH($B$1,[2]quests!$1:$1,0)+1),MATCH(C$1,[2]quests!$1:$1,0)-MATCH($B$1,[2]quests!$1:$1,0)+1,FALSE)</f>
        <v>天の時、地の利、人の和</v>
      </c>
      <c r="D10" s="78" t="str">
        <f ca="1">VLOOKUP($B10,OFFSET([2]quests!$A$1,0,0,COUNTA([2]quests!$A:$A),MATCH(D$1,[2]quests!$1:$1,0)-MATCH($B$1,[2]quests!$1:$1,0)+1),MATCH(D$1,[2]quests!$1:$1,0)-MATCH($B$1,[2]quests!$1:$1,0)+1,FALSE)</f>
        <v>ドロップイベント4</v>
      </c>
      <c r="E10" s="93">
        <v>3</v>
      </c>
      <c r="F10" s="78" t="str">
        <f ca="1">VLOOKUP($B10&amp;"_"&amp;$E10,OFFSET([2]stages!$A$1,0,0,COUNTA([2]stages!$A:$A),MATCH(F$1,[2]stages!$2:$2,0)-MATCH("temp_stage",[2]stages!$2:$2,0)+1),MATCH(F$1,[2]stages!$2:$2,0)-MATCH("temp_stage",[2]stages!$2:$2,0)+1,FALSE)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10" s="78" t="str">
        <f ca="1">VLOOKUP($B10&amp;"_"&amp;$E10,OFFSET([2]stages!$A$1,0,0,COUNTA([2]stages!$A:$A),MATCH(G$1,[2]stages!$2:$2,0)-MATCH("temp_stage",[2]stages!$2:$2,0)+1),MATCH(G$1,[2]stages!$2:$2,0)-MATCH("temp_stage",[2]stages!$2:$2,0)+1,FALSE)</f>
        <v>ドロップイベント4</v>
      </c>
      <c r="H10" s="80">
        <v>1</v>
      </c>
      <c r="I10" s="94">
        <f t="shared" si="0"/>
        <v>9</v>
      </c>
      <c r="J10" s="95" t="str">
        <f t="shared" si="1"/>
        <v>2001309</v>
      </c>
      <c r="K10" s="93" t="s">
        <v>127</v>
      </c>
      <c r="L10" s="96" t="s">
        <v>198</v>
      </c>
      <c r="M10" s="221" t="s">
        <v>268</v>
      </c>
      <c r="N10" s="118" t="s">
        <v>199</v>
      </c>
    </row>
    <row r="11" spans="1:14" ht="28" x14ac:dyDescent="0.15">
      <c r="A11" s="113" t="s">
        <v>196</v>
      </c>
      <c r="B11" s="77">
        <f>floors!$C$2</f>
        <v>20013</v>
      </c>
      <c r="C11" s="78" t="str">
        <f ca="1">VLOOKUP($B11,OFFSET([2]quests!$A$1,0,0,COUNTA([2]quests!$A:$A),MATCH(C$1,[2]quests!$1:$1,0)-MATCH($B$1,[2]quests!$1:$1,0)+1),MATCH(C$1,[2]quests!$1:$1,0)-MATCH($B$1,[2]quests!$1:$1,0)+1,FALSE)</f>
        <v>天の時、地の利、人の和</v>
      </c>
      <c r="D11" s="78" t="str">
        <f ca="1">VLOOKUP($B11,OFFSET([2]quests!$A$1,0,0,COUNTA([2]quests!$A:$A),MATCH(D$1,[2]quests!$1:$1,0)-MATCH($B$1,[2]quests!$1:$1,0)+1),MATCH(D$1,[2]quests!$1:$1,0)-MATCH($B$1,[2]quests!$1:$1,0)+1,FALSE)</f>
        <v>ドロップイベント4</v>
      </c>
      <c r="E11" s="79">
        <v>3</v>
      </c>
      <c r="F11" s="78" t="str">
        <f ca="1">VLOOKUP($B11&amp;"_"&amp;$E11,OFFSET([2]stages!$A$1,0,0,COUNTA([2]stages!$A:$A),MATCH(F$1,[2]stages!$2:$2,0)-MATCH("temp_stage",[2]stages!$2:$2,0)+1),MATCH(F$1,[2]stages!$2:$2,0)-MATCH("temp_stage",[2]stages!$2:$2,0)+1,FALSE)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11" s="78" t="str">
        <f ca="1">VLOOKUP($B11&amp;"_"&amp;$E11,OFFSET([2]stages!$A$1,0,0,COUNTA([2]stages!$A:$A),MATCH(G$1,[2]stages!$2:$2,0)-MATCH("temp_stage",[2]stages!$2:$2,0)+1),MATCH(G$1,[2]stages!$2:$2,0)-MATCH("temp_stage",[2]stages!$2:$2,0)+1,FALSE)</f>
        <v>ドロップイベント4</v>
      </c>
      <c r="H11" s="80">
        <v>2</v>
      </c>
      <c r="I11" s="84">
        <f t="shared" si="0"/>
        <v>10</v>
      </c>
      <c r="J11" s="81" t="str">
        <f t="shared" si="1"/>
        <v>2001310</v>
      </c>
      <c r="K11" s="79" t="s">
        <v>127</v>
      </c>
      <c r="L11" s="82" t="s">
        <v>198</v>
      </c>
      <c r="M11" s="221" t="s">
        <v>267</v>
      </c>
      <c r="N11" s="114" t="s">
        <v>199</v>
      </c>
    </row>
    <row r="12" spans="1:14" ht="28" x14ac:dyDescent="0.15">
      <c r="A12" s="113" t="s">
        <v>196</v>
      </c>
      <c r="B12" s="77">
        <f>floors!$C$2</f>
        <v>20013</v>
      </c>
      <c r="C12" s="78" t="str">
        <f ca="1">VLOOKUP($B12,OFFSET([2]quests!$A$1,0,0,COUNTA([2]quests!$A:$A),MATCH(C$1,[2]quests!$1:$1,0)-MATCH($B$1,[2]quests!$1:$1,0)+1),MATCH(C$1,[2]quests!$1:$1,0)-MATCH($B$1,[2]quests!$1:$1,0)+1,FALSE)</f>
        <v>天の時、地の利、人の和</v>
      </c>
      <c r="D12" s="78" t="str">
        <f ca="1">VLOOKUP($B12,OFFSET([2]quests!$A$1,0,0,COUNTA([2]quests!$A:$A),MATCH(D$1,[2]quests!$1:$1,0)-MATCH($B$1,[2]quests!$1:$1,0)+1),MATCH(D$1,[2]quests!$1:$1,0)-MATCH($B$1,[2]quests!$1:$1,0)+1,FALSE)</f>
        <v>ドロップイベント4</v>
      </c>
      <c r="E12" s="79">
        <v>3</v>
      </c>
      <c r="F12" s="78" t="str">
        <f ca="1">VLOOKUP($B12&amp;"_"&amp;$E12,OFFSET([2]stages!$A$1,0,0,COUNTA([2]stages!$A:$A),MATCH(F$1,[2]stages!$2:$2,0)-MATCH("temp_stage",[2]stages!$2:$2,0)+1),MATCH(F$1,[2]stages!$2:$2,0)-MATCH("temp_stage",[2]stages!$2:$2,0)+1,FALSE)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12" s="78" t="str">
        <f ca="1">VLOOKUP($B12&amp;"_"&amp;$E12,OFFSET([2]stages!$A$1,0,0,COUNTA([2]stages!$A:$A),MATCH(G$1,[2]stages!$2:$2,0)-MATCH("temp_stage",[2]stages!$2:$2,0)+1),MATCH(G$1,[2]stages!$2:$2,0)-MATCH("temp_stage",[2]stages!$2:$2,0)+1,FALSE)</f>
        <v>ドロップイベント4</v>
      </c>
      <c r="H12" s="80">
        <v>3</v>
      </c>
      <c r="I12" s="84">
        <f t="shared" si="0"/>
        <v>11</v>
      </c>
      <c r="J12" s="81" t="str">
        <f t="shared" si="1"/>
        <v>2001311</v>
      </c>
      <c r="K12" s="79" t="s">
        <v>127</v>
      </c>
      <c r="L12" s="82" t="s">
        <v>198</v>
      </c>
      <c r="M12" s="221" t="s">
        <v>268</v>
      </c>
      <c r="N12" s="114" t="s">
        <v>199</v>
      </c>
    </row>
    <row r="13" spans="1:14" ht="43" thickBot="1" x14ac:dyDescent="0.2">
      <c r="A13" s="115" t="s">
        <v>196</v>
      </c>
      <c r="B13" s="97">
        <f>floors!$C$2</f>
        <v>20013</v>
      </c>
      <c r="C13" s="119" t="str">
        <f ca="1">VLOOKUP($B13,OFFSET([2]quests!$A$1,0,0,COUNTA([2]quests!$A:$A),MATCH(C$1,[2]quests!$1:$1,0)-MATCH($B$1,[2]quests!$1:$1,0)+1),MATCH(C$1,[2]quests!$1:$1,0)-MATCH($B$1,[2]quests!$1:$1,0)+1,FALSE)</f>
        <v>天の時、地の利、人の和</v>
      </c>
      <c r="D13" s="119" t="str">
        <f ca="1">VLOOKUP($B13,OFFSET([2]quests!$A$1,0,0,COUNTA([2]quests!$A:$A),MATCH(D$1,[2]quests!$1:$1,0)-MATCH($B$1,[2]quests!$1:$1,0)+1),MATCH(D$1,[2]quests!$1:$1,0)-MATCH($B$1,[2]quests!$1:$1,0)+1,FALSE)</f>
        <v>ドロップイベント4</v>
      </c>
      <c r="E13" s="99">
        <v>3</v>
      </c>
      <c r="F13" s="119" t="str">
        <f ca="1">VLOOKUP($B13&amp;"_"&amp;$E13,OFFSET([2]stages!$A$1,0,0,COUNTA([2]stages!$A:$A),MATCH(F$1,[2]stages!$2:$2,0)-MATCH("temp_stage",[2]stages!$2:$2,0)+1),MATCH(F$1,[2]stages!$2:$2,0)-MATCH("temp_stage",[2]stages!$2:$2,0)+1,FALSE)</f>
        <v>【上級】天の時、地の利、人の和</v>
      </c>
      <c r="G13" s="119" t="str">
        <f ca="1">VLOOKUP($B13&amp;"_"&amp;$E13,OFFSET([2]stages!$A$1,0,0,COUNTA([2]stages!$A:$A),MATCH(G$1,[2]stages!$2:$2,0)-MATCH("temp_stage",[2]stages!$2:$2,0)+1),MATCH(G$1,[2]stages!$2:$2,0)-MATCH("temp_stage",[2]stages!$2:$2,0)+1,FALSE)</f>
        <v>ドロップイベント4</v>
      </c>
      <c r="H13" s="120">
        <v>4</v>
      </c>
      <c r="I13" s="101">
        <f t="shared" si="0"/>
        <v>12</v>
      </c>
      <c r="J13" s="102" t="str">
        <f t="shared" si="1"/>
        <v>2001312</v>
      </c>
      <c r="K13" s="99" t="s">
        <v>127</v>
      </c>
      <c r="L13" s="103" t="s">
        <v>198</v>
      </c>
      <c r="M13" s="222" t="s">
        <v>269</v>
      </c>
      <c r="N13" s="116" t="s">
        <v>199</v>
      </c>
    </row>
  </sheetData>
  <phoneticPr fontId="5"/>
  <dataValidations count="1">
    <dataValidation type="list" allowBlank="1" showInputMessage="1" showErrorMessage="1" sqref="A2:A13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2017-03-08T03:20:26Z</dcterms:modified>
</cp:coreProperties>
</file>