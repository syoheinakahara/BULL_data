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2"/>
  </bookViews>
  <sheets>
    <sheet name="確率の考え方" sheetId="110" r:id="rId1"/>
    <sheet name="Sheet1" sheetId="107" r:id="rId2"/>
    <sheet name="output" sheetId="103" r:id="rId3"/>
    <sheet name="input_468010" sheetId="157" r:id="rId4"/>
    <sheet name="tables_468010" sheetId="158" r:id="rId5"/>
    <sheet name="input_468100" sheetId="153" r:id="rId6"/>
    <sheet name="tables_468100" sheetId="154" r:id="rId7"/>
    <sheet name="tables_settle_468105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tables_468010!$A$1:$V$294</definedName>
    <definedName name="_xlnm._FilterDatabase" localSheetId="6" hidden="1">tables_468100!$A$1:$V$294</definedName>
    <definedName name="_xlnm._FilterDatabase" localSheetId="7" hidden="1">tables_settle_468105!$A$1:$V$148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3" i="159" l="1"/>
  <c r="O4" i="159"/>
  <c r="O5" i="159"/>
  <c r="O6" i="159"/>
  <c r="O7" i="159"/>
  <c r="O8" i="159"/>
  <c r="O9" i="159"/>
  <c r="O10" i="159"/>
  <c r="O11" i="159"/>
  <c r="O12" i="159"/>
  <c r="O13" i="159"/>
  <c r="O14" i="159"/>
  <c r="O15" i="159"/>
  <c r="O16" i="159"/>
  <c r="O17" i="159"/>
  <c r="O18" i="159"/>
  <c r="O19" i="159"/>
  <c r="O20" i="159"/>
  <c r="O21" i="159"/>
  <c r="O22" i="159"/>
  <c r="O23" i="159"/>
  <c r="O24" i="159"/>
  <c r="O25" i="159"/>
  <c r="O26" i="159"/>
  <c r="O27" i="159"/>
  <c r="O28" i="159"/>
  <c r="O29" i="159"/>
  <c r="O30" i="159"/>
  <c r="O31" i="159"/>
  <c r="O32" i="159"/>
  <c r="O33" i="159"/>
  <c r="O34" i="159"/>
  <c r="O35" i="159"/>
  <c r="O36" i="159"/>
  <c r="O37" i="159"/>
  <c r="O38" i="159"/>
  <c r="O39" i="159"/>
  <c r="O40" i="159"/>
  <c r="O41" i="159"/>
  <c r="O42" i="159"/>
  <c r="O43" i="159"/>
  <c r="O44" i="159"/>
  <c r="O45" i="159"/>
  <c r="O46" i="159"/>
  <c r="O47" i="159"/>
  <c r="O48" i="159"/>
  <c r="O49" i="159"/>
  <c r="O50" i="159"/>
  <c r="O51" i="159"/>
  <c r="O52" i="159"/>
  <c r="O53" i="159"/>
  <c r="O54" i="159"/>
  <c r="O55" i="159"/>
  <c r="O56" i="159"/>
  <c r="O57" i="159"/>
  <c r="O58" i="159"/>
  <c r="O59" i="159"/>
  <c r="O60" i="159"/>
  <c r="O61" i="159"/>
  <c r="O62" i="159"/>
  <c r="O63" i="159"/>
  <c r="O64" i="159"/>
  <c r="O65" i="159"/>
  <c r="O66" i="159"/>
  <c r="O67" i="159"/>
  <c r="O68" i="159"/>
  <c r="O69" i="159"/>
  <c r="O70" i="159"/>
  <c r="O71" i="159"/>
  <c r="O72" i="159"/>
  <c r="O73" i="159"/>
  <c r="O74" i="159"/>
  <c r="O75" i="159"/>
  <c r="O76" i="159"/>
  <c r="O77" i="159"/>
  <c r="O78" i="159"/>
  <c r="O79" i="159"/>
  <c r="O80" i="159"/>
  <c r="O81" i="159"/>
  <c r="O82" i="159"/>
  <c r="O83" i="159"/>
  <c r="O84" i="159"/>
  <c r="O85" i="159"/>
  <c r="O86" i="159"/>
  <c r="O87" i="159"/>
  <c r="O88" i="159"/>
  <c r="O89" i="159"/>
  <c r="O90" i="159"/>
  <c r="O91" i="159"/>
  <c r="O92" i="159"/>
  <c r="O93" i="159"/>
  <c r="O94" i="159"/>
  <c r="O95" i="159"/>
  <c r="O96" i="159"/>
  <c r="O97" i="159"/>
  <c r="O98" i="159"/>
  <c r="O99" i="159"/>
  <c r="O100" i="159"/>
  <c r="O101" i="159"/>
  <c r="O102" i="159"/>
  <c r="O103" i="159"/>
  <c r="O104" i="159"/>
  <c r="O105" i="159"/>
  <c r="O106" i="159"/>
  <c r="O107" i="159"/>
  <c r="O108" i="159"/>
  <c r="O109" i="159"/>
  <c r="O110" i="159"/>
  <c r="O111" i="159"/>
  <c r="O112" i="159"/>
  <c r="O113" i="159"/>
  <c r="O114" i="159"/>
  <c r="O115" i="159"/>
  <c r="O116" i="159"/>
  <c r="O117" i="159"/>
  <c r="O118" i="159"/>
  <c r="O119" i="159"/>
  <c r="O120" i="159"/>
  <c r="O121" i="159"/>
  <c r="O122" i="159"/>
  <c r="O123" i="159"/>
  <c r="O124" i="159"/>
  <c r="O125" i="159"/>
  <c r="O126" i="159"/>
  <c r="O127" i="159"/>
  <c r="O128" i="159"/>
  <c r="O129" i="159"/>
  <c r="O130" i="159"/>
  <c r="O131" i="159"/>
  <c r="O132" i="159"/>
  <c r="O133" i="159"/>
  <c r="O134" i="159"/>
  <c r="O135" i="159"/>
  <c r="O136" i="159"/>
  <c r="O137" i="159"/>
  <c r="O138" i="159"/>
  <c r="O139" i="159"/>
  <c r="O140" i="159"/>
  <c r="O141" i="159"/>
  <c r="O142" i="159"/>
  <c r="O143" i="159"/>
  <c r="O144" i="159"/>
  <c r="O145" i="159"/>
  <c r="O146" i="159"/>
  <c r="O147" i="159"/>
  <c r="O148" i="159"/>
  <c r="O2" i="159"/>
  <c r="E152" i="159"/>
  <c r="F149" i="159"/>
  <c r="F150" i="159"/>
  <c r="F151" i="159"/>
  <c r="F152" i="159"/>
  <c r="E151" i="159"/>
  <c r="E150" i="159"/>
  <c r="E149" i="159"/>
  <c r="I2" i="159"/>
  <c r="J2" i="159"/>
  <c r="D2" i="159"/>
  <c r="E2" i="159"/>
  <c r="F2" i="159"/>
  <c r="C2" i="159"/>
  <c r="A2" i="153"/>
  <c r="I3" i="159"/>
  <c r="J3" i="159"/>
  <c r="D3" i="159"/>
  <c r="E3" i="159"/>
  <c r="F3" i="159"/>
  <c r="C3" i="159"/>
  <c r="I4" i="159"/>
  <c r="J4" i="159"/>
  <c r="D4" i="159"/>
  <c r="E4" i="159"/>
  <c r="F4" i="159"/>
  <c r="C4" i="159"/>
  <c r="I5" i="159"/>
  <c r="J5" i="159"/>
  <c r="D5" i="159"/>
  <c r="E5" i="159"/>
  <c r="F5" i="159"/>
  <c r="C5" i="159"/>
  <c r="I6" i="159"/>
  <c r="J6" i="159"/>
  <c r="D6" i="159"/>
  <c r="E6" i="159"/>
  <c r="F6" i="159"/>
  <c r="C6" i="159"/>
  <c r="I7" i="159"/>
  <c r="J7" i="159"/>
  <c r="D7" i="159"/>
  <c r="E7" i="159"/>
  <c r="F7" i="159"/>
  <c r="C7" i="159"/>
  <c r="I8" i="159"/>
  <c r="J8" i="159"/>
  <c r="D8" i="159"/>
  <c r="E8" i="159"/>
  <c r="F8" i="159"/>
  <c r="C8" i="159"/>
  <c r="I9" i="159"/>
  <c r="J9" i="159"/>
  <c r="D9" i="159"/>
  <c r="E9" i="159"/>
  <c r="F9" i="159"/>
  <c r="C9" i="159"/>
  <c r="I10" i="159"/>
  <c r="J10" i="159"/>
  <c r="D10" i="159"/>
  <c r="E10" i="159"/>
  <c r="F10" i="159"/>
  <c r="C10" i="159"/>
  <c r="I11" i="159"/>
  <c r="J11" i="159"/>
  <c r="D11" i="159"/>
  <c r="E11" i="159"/>
  <c r="F11" i="159"/>
  <c r="C11" i="159"/>
  <c r="I12" i="159"/>
  <c r="J12" i="159"/>
  <c r="D12" i="159"/>
  <c r="E12" i="159"/>
  <c r="F12" i="159"/>
  <c r="C12" i="159"/>
  <c r="I13" i="159"/>
  <c r="J13" i="159"/>
  <c r="D13" i="159"/>
  <c r="E13" i="159"/>
  <c r="F13" i="159"/>
  <c r="C13" i="159"/>
  <c r="I14" i="159"/>
  <c r="J14" i="159"/>
  <c r="D14" i="159"/>
  <c r="E14" i="159"/>
  <c r="F14" i="159"/>
  <c r="C14" i="159"/>
  <c r="I15" i="159"/>
  <c r="J15" i="159"/>
  <c r="D15" i="159"/>
  <c r="E15" i="159"/>
  <c r="F15" i="159"/>
  <c r="C15" i="159"/>
  <c r="I16" i="159"/>
  <c r="J16" i="159"/>
  <c r="D16" i="159"/>
  <c r="E16" i="159"/>
  <c r="F16" i="159"/>
  <c r="C16" i="159"/>
  <c r="I17" i="159"/>
  <c r="J17" i="159"/>
  <c r="D17" i="159"/>
  <c r="E17" i="159"/>
  <c r="F17" i="159"/>
  <c r="C17" i="159"/>
  <c r="I18" i="159"/>
  <c r="J18" i="159"/>
  <c r="D18" i="159"/>
  <c r="E18" i="159"/>
  <c r="F18" i="159"/>
  <c r="C18" i="159"/>
  <c r="I19" i="159"/>
  <c r="J19" i="159"/>
  <c r="D19" i="159"/>
  <c r="E19" i="159"/>
  <c r="F19" i="159"/>
  <c r="C19" i="159"/>
  <c r="I20" i="159"/>
  <c r="J20" i="159"/>
  <c r="D20" i="159"/>
  <c r="E20" i="159"/>
  <c r="F20" i="159"/>
  <c r="C20" i="159"/>
  <c r="I21" i="159"/>
  <c r="J21" i="159"/>
  <c r="D21" i="159"/>
  <c r="E21" i="159"/>
  <c r="F21" i="159"/>
  <c r="C21" i="159"/>
  <c r="I22" i="159"/>
  <c r="J22" i="159"/>
  <c r="D22" i="159"/>
  <c r="E22" i="159"/>
  <c r="F22" i="159"/>
  <c r="C22" i="159"/>
  <c r="I23" i="159"/>
  <c r="J23" i="159"/>
  <c r="D23" i="159"/>
  <c r="E23" i="159"/>
  <c r="F23" i="159"/>
  <c r="C23" i="159"/>
  <c r="I24" i="159"/>
  <c r="J24" i="159"/>
  <c r="D24" i="159"/>
  <c r="E24" i="159"/>
  <c r="F24" i="159"/>
  <c r="C24" i="159"/>
  <c r="I25" i="159"/>
  <c r="J25" i="159"/>
  <c r="D25" i="159"/>
  <c r="E25" i="159"/>
  <c r="F25" i="159"/>
  <c r="C25" i="159"/>
  <c r="I26" i="159"/>
  <c r="J26" i="159"/>
  <c r="D26" i="159"/>
  <c r="E26" i="159"/>
  <c r="F26" i="159"/>
  <c r="C26" i="159"/>
  <c r="I27" i="159"/>
  <c r="J27" i="159"/>
  <c r="D27" i="159"/>
  <c r="E27" i="159"/>
  <c r="F27" i="159"/>
  <c r="C27" i="159"/>
  <c r="I28" i="159"/>
  <c r="J28" i="159"/>
  <c r="D28" i="159"/>
  <c r="E28" i="159"/>
  <c r="F28" i="159"/>
  <c r="C28" i="159"/>
  <c r="I29" i="159"/>
  <c r="J29" i="159"/>
  <c r="D29" i="159"/>
  <c r="E29" i="159"/>
  <c r="F29" i="159"/>
  <c r="C29" i="159"/>
  <c r="I30" i="159"/>
  <c r="J30" i="159"/>
  <c r="D30" i="159"/>
  <c r="E30" i="159"/>
  <c r="F30" i="159"/>
  <c r="C30" i="159"/>
  <c r="I31" i="159"/>
  <c r="J31" i="159"/>
  <c r="D31" i="159"/>
  <c r="E31" i="159"/>
  <c r="F31" i="159"/>
  <c r="C31" i="159"/>
  <c r="I32" i="159"/>
  <c r="J32" i="159"/>
  <c r="D32" i="159"/>
  <c r="E32" i="159"/>
  <c r="F32" i="159"/>
  <c r="C32" i="159"/>
  <c r="I33" i="159"/>
  <c r="J33" i="159"/>
  <c r="D33" i="159"/>
  <c r="E33" i="159"/>
  <c r="F33" i="159"/>
  <c r="C33" i="159"/>
  <c r="I34" i="159"/>
  <c r="J34" i="159"/>
  <c r="D34" i="159"/>
  <c r="E34" i="159"/>
  <c r="F34" i="159"/>
  <c r="C34" i="159"/>
  <c r="I35" i="159"/>
  <c r="J35" i="159"/>
  <c r="D35" i="159"/>
  <c r="E35" i="159"/>
  <c r="F35" i="159"/>
  <c r="C35" i="159"/>
  <c r="I36" i="159"/>
  <c r="J36" i="159"/>
  <c r="D36" i="159"/>
  <c r="E36" i="159"/>
  <c r="F36" i="159"/>
  <c r="C36" i="159"/>
  <c r="I37" i="159"/>
  <c r="J37" i="159"/>
  <c r="D37" i="159"/>
  <c r="E37" i="159"/>
  <c r="F37" i="159"/>
  <c r="C37" i="159"/>
  <c r="I38" i="159"/>
  <c r="J38" i="159"/>
  <c r="D38" i="159"/>
  <c r="E38" i="159"/>
  <c r="F38" i="159"/>
  <c r="C38" i="159"/>
  <c r="I39" i="159"/>
  <c r="J39" i="159"/>
  <c r="D39" i="159"/>
  <c r="E39" i="159"/>
  <c r="F39" i="159"/>
  <c r="C39" i="159"/>
  <c r="I40" i="159"/>
  <c r="J40" i="159"/>
  <c r="D40" i="159"/>
  <c r="E40" i="159"/>
  <c r="F40" i="159"/>
  <c r="C40" i="159"/>
  <c r="I41" i="159"/>
  <c r="J41" i="159"/>
  <c r="D41" i="159"/>
  <c r="E41" i="159"/>
  <c r="F41" i="159"/>
  <c r="C41" i="159"/>
  <c r="I42" i="159"/>
  <c r="D42" i="159"/>
  <c r="J42" i="159"/>
  <c r="E42" i="159"/>
  <c r="F42" i="159"/>
  <c r="C42" i="159"/>
  <c r="I43" i="159"/>
  <c r="D43" i="159"/>
  <c r="J43" i="159"/>
  <c r="E43" i="159"/>
  <c r="F43" i="159"/>
  <c r="C43" i="159"/>
  <c r="I44" i="159"/>
  <c r="D44" i="159"/>
  <c r="J44" i="159"/>
  <c r="E44" i="159"/>
  <c r="F44" i="159"/>
  <c r="C44" i="159"/>
  <c r="I45" i="159"/>
  <c r="D45" i="159"/>
  <c r="J45" i="159"/>
  <c r="E45" i="159"/>
  <c r="F45" i="159"/>
  <c r="C45" i="159"/>
  <c r="I46" i="159"/>
  <c r="D46" i="159"/>
  <c r="J46" i="159"/>
  <c r="E46" i="159"/>
  <c r="F46" i="159"/>
  <c r="C46" i="159"/>
  <c r="I47" i="159"/>
  <c r="D47" i="159"/>
  <c r="J47" i="159"/>
  <c r="E47" i="159"/>
  <c r="F47" i="159"/>
  <c r="C47" i="159"/>
  <c r="I48" i="159"/>
  <c r="D48" i="159"/>
  <c r="J48" i="159"/>
  <c r="E48" i="159"/>
  <c r="F48" i="159"/>
  <c r="C48" i="159"/>
  <c r="I49" i="159"/>
  <c r="D49" i="159"/>
  <c r="J49" i="159"/>
  <c r="E49" i="159"/>
  <c r="F49" i="159"/>
  <c r="C49" i="159"/>
  <c r="I50" i="159"/>
  <c r="D50" i="159"/>
  <c r="J50" i="159"/>
  <c r="E50" i="159"/>
  <c r="F50" i="159"/>
  <c r="C50" i="159"/>
  <c r="I51" i="159"/>
  <c r="D51" i="159"/>
  <c r="J51" i="159"/>
  <c r="E51" i="159"/>
  <c r="F51" i="159"/>
  <c r="C51" i="159"/>
  <c r="I52" i="159"/>
  <c r="D52" i="159"/>
  <c r="J52" i="159"/>
  <c r="E52" i="159"/>
  <c r="F52" i="159"/>
  <c r="C52" i="159"/>
  <c r="I53" i="159"/>
  <c r="D53" i="159"/>
  <c r="J53" i="159"/>
  <c r="E53" i="159"/>
  <c r="F53" i="159"/>
  <c r="C53" i="159"/>
  <c r="I54" i="159"/>
  <c r="D54" i="159"/>
  <c r="J54" i="159"/>
  <c r="E54" i="159"/>
  <c r="F54" i="159"/>
  <c r="C54" i="159"/>
  <c r="I55" i="159"/>
  <c r="D55" i="159"/>
  <c r="J55" i="159"/>
  <c r="E55" i="159"/>
  <c r="F55" i="159"/>
  <c r="C55" i="159"/>
  <c r="I56" i="159"/>
  <c r="D56" i="159"/>
  <c r="J56" i="159"/>
  <c r="E56" i="159"/>
  <c r="F56" i="159"/>
  <c r="C56" i="159"/>
  <c r="I57" i="159"/>
  <c r="D57" i="159"/>
  <c r="J57" i="159"/>
  <c r="E57" i="159"/>
  <c r="F57" i="159"/>
  <c r="C57" i="159"/>
  <c r="I58" i="159"/>
  <c r="D58" i="159"/>
  <c r="J58" i="159"/>
  <c r="E58" i="159"/>
  <c r="F58" i="159"/>
  <c r="C58" i="159"/>
  <c r="I59" i="159"/>
  <c r="D59" i="159"/>
  <c r="J59" i="159"/>
  <c r="E59" i="159"/>
  <c r="F59" i="159"/>
  <c r="C59" i="159"/>
  <c r="I60" i="159"/>
  <c r="D60" i="159"/>
  <c r="J60" i="159"/>
  <c r="E60" i="159"/>
  <c r="F60" i="159"/>
  <c r="C60" i="159"/>
  <c r="I61" i="159"/>
  <c r="D61" i="159"/>
  <c r="J61" i="159"/>
  <c r="E61" i="159"/>
  <c r="F61" i="159"/>
  <c r="C61" i="159"/>
  <c r="I62" i="159"/>
  <c r="D62" i="159"/>
  <c r="J62" i="159"/>
  <c r="E62" i="159"/>
  <c r="F62" i="159"/>
  <c r="C62" i="159"/>
  <c r="I63" i="159"/>
  <c r="D63" i="159"/>
  <c r="J63" i="159"/>
  <c r="E63" i="159"/>
  <c r="F63" i="159"/>
  <c r="C63" i="159"/>
  <c r="I64" i="159"/>
  <c r="D64" i="159"/>
  <c r="J64" i="159"/>
  <c r="E64" i="159"/>
  <c r="F64" i="159"/>
  <c r="C64" i="159"/>
  <c r="I65" i="159"/>
  <c r="D65" i="159"/>
  <c r="J65" i="159"/>
  <c r="E65" i="159"/>
  <c r="F65" i="159"/>
  <c r="C65" i="159"/>
  <c r="I66" i="159"/>
  <c r="J66" i="159"/>
  <c r="D66" i="159"/>
  <c r="E66" i="159"/>
  <c r="F66" i="159"/>
  <c r="C66" i="159"/>
  <c r="I67" i="159"/>
  <c r="J67" i="159"/>
  <c r="D67" i="159"/>
  <c r="E67" i="159"/>
  <c r="F67" i="159"/>
  <c r="C67" i="159"/>
  <c r="I68" i="159"/>
  <c r="J68" i="159"/>
  <c r="D68" i="159"/>
  <c r="E68" i="159"/>
  <c r="F68" i="159"/>
  <c r="C68" i="159"/>
  <c r="I69" i="159"/>
  <c r="J69" i="159"/>
  <c r="D69" i="159"/>
  <c r="E69" i="159"/>
  <c r="F69" i="159"/>
  <c r="C69" i="159"/>
  <c r="I70" i="159"/>
  <c r="J70" i="159"/>
  <c r="D70" i="159"/>
  <c r="E70" i="159"/>
  <c r="F70" i="159"/>
  <c r="C70" i="159"/>
  <c r="I71" i="159"/>
  <c r="J71" i="159"/>
  <c r="D71" i="159"/>
  <c r="E71" i="159"/>
  <c r="F71" i="159"/>
  <c r="C71" i="159"/>
  <c r="I72" i="159"/>
  <c r="D72" i="159"/>
  <c r="J72" i="159"/>
  <c r="E72" i="159"/>
  <c r="F72" i="159"/>
  <c r="C72" i="159"/>
  <c r="I73" i="159"/>
  <c r="D73" i="159"/>
  <c r="J73" i="159"/>
  <c r="E73" i="159"/>
  <c r="F73" i="159"/>
  <c r="C73" i="159"/>
  <c r="I74" i="159"/>
  <c r="D74" i="159"/>
  <c r="J74" i="159"/>
  <c r="E74" i="159"/>
  <c r="F74" i="159"/>
  <c r="C74" i="159"/>
  <c r="I75" i="159"/>
  <c r="D75" i="159"/>
  <c r="J75" i="159"/>
  <c r="E75" i="159"/>
  <c r="F75" i="159"/>
  <c r="C75" i="159"/>
  <c r="I76" i="159"/>
  <c r="D76" i="159"/>
  <c r="J76" i="159"/>
  <c r="E76" i="159"/>
  <c r="F76" i="159"/>
  <c r="C76" i="159"/>
  <c r="I77" i="159"/>
  <c r="D77" i="159"/>
  <c r="J77" i="159"/>
  <c r="E77" i="159"/>
  <c r="F77" i="159"/>
  <c r="C77" i="159"/>
  <c r="I78" i="159"/>
  <c r="D78" i="159"/>
  <c r="J78" i="159"/>
  <c r="E78" i="159"/>
  <c r="F78" i="159"/>
  <c r="C78" i="159"/>
  <c r="I79" i="159"/>
  <c r="D79" i="159"/>
  <c r="J79" i="159"/>
  <c r="E79" i="159"/>
  <c r="F79" i="159"/>
  <c r="C79" i="159"/>
  <c r="I80" i="159"/>
  <c r="D80" i="159"/>
  <c r="J80" i="159"/>
  <c r="E80" i="159"/>
  <c r="F80" i="159"/>
  <c r="C80" i="159"/>
  <c r="I81" i="159"/>
  <c r="D81" i="159"/>
  <c r="J81" i="159"/>
  <c r="E81" i="159"/>
  <c r="F81" i="159"/>
  <c r="C81" i="159"/>
  <c r="I82" i="159"/>
  <c r="D82" i="159"/>
  <c r="J82" i="159"/>
  <c r="E82" i="159"/>
  <c r="F82" i="159"/>
  <c r="C82" i="159"/>
  <c r="I83" i="159"/>
  <c r="D83" i="159"/>
  <c r="J83" i="159"/>
  <c r="E83" i="159"/>
  <c r="F83" i="159"/>
  <c r="C83" i="159"/>
  <c r="I84" i="159"/>
  <c r="D84" i="159"/>
  <c r="J84" i="159"/>
  <c r="E84" i="159"/>
  <c r="F84" i="159"/>
  <c r="C84" i="159"/>
  <c r="I85" i="159"/>
  <c r="D85" i="159"/>
  <c r="J85" i="159"/>
  <c r="E85" i="159"/>
  <c r="F85" i="159"/>
  <c r="C85" i="159"/>
  <c r="I86" i="159"/>
  <c r="D86" i="159"/>
  <c r="J86" i="159"/>
  <c r="E86" i="159"/>
  <c r="F86" i="159"/>
  <c r="C86" i="159"/>
  <c r="I87" i="159"/>
  <c r="D87" i="159"/>
  <c r="J87" i="159"/>
  <c r="E87" i="159"/>
  <c r="F87" i="159"/>
  <c r="C87" i="159"/>
  <c r="I88" i="159"/>
  <c r="D88" i="159"/>
  <c r="J88" i="159"/>
  <c r="E88" i="159"/>
  <c r="F88" i="159"/>
  <c r="C88" i="159"/>
  <c r="I89" i="159"/>
  <c r="D89" i="159"/>
  <c r="J89" i="159"/>
  <c r="E89" i="159"/>
  <c r="F89" i="159"/>
  <c r="C89" i="159"/>
  <c r="I90" i="159"/>
  <c r="D90" i="159"/>
  <c r="J90" i="159"/>
  <c r="E90" i="159"/>
  <c r="F90" i="159"/>
  <c r="C90" i="159"/>
  <c r="I91" i="159"/>
  <c r="D91" i="159"/>
  <c r="J91" i="159"/>
  <c r="E91" i="159"/>
  <c r="F91" i="159"/>
  <c r="C91" i="159"/>
  <c r="I92" i="159"/>
  <c r="D92" i="159"/>
  <c r="J92" i="159"/>
  <c r="E92" i="159"/>
  <c r="F92" i="159"/>
  <c r="C92" i="159"/>
  <c r="I93" i="159"/>
  <c r="D93" i="159"/>
  <c r="J93" i="159"/>
  <c r="E93" i="159"/>
  <c r="F93" i="159"/>
  <c r="C93" i="159"/>
  <c r="I94" i="159"/>
  <c r="D94" i="159"/>
  <c r="J94" i="159"/>
  <c r="E94" i="159"/>
  <c r="F94" i="159"/>
  <c r="C94" i="159"/>
  <c r="I95" i="159"/>
  <c r="D95" i="159"/>
  <c r="J95" i="159"/>
  <c r="E95" i="159"/>
  <c r="F95" i="159"/>
  <c r="C95" i="159"/>
  <c r="I96" i="159"/>
  <c r="D96" i="159"/>
  <c r="J96" i="159"/>
  <c r="E96" i="159"/>
  <c r="F96" i="159"/>
  <c r="C96" i="159"/>
  <c r="I97" i="159"/>
  <c r="D97" i="159"/>
  <c r="J97" i="159"/>
  <c r="E97" i="159"/>
  <c r="F97" i="159"/>
  <c r="C97" i="159"/>
  <c r="I98" i="159"/>
  <c r="D98" i="159"/>
  <c r="J98" i="159"/>
  <c r="E98" i="159"/>
  <c r="F98" i="159"/>
  <c r="C98" i="159"/>
  <c r="I99" i="159"/>
  <c r="D99" i="159"/>
  <c r="J99" i="159"/>
  <c r="E99" i="159"/>
  <c r="F99" i="159"/>
  <c r="C99" i="159"/>
  <c r="I100" i="159"/>
  <c r="D100" i="159"/>
  <c r="J100" i="159"/>
  <c r="E100" i="159"/>
  <c r="F100" i="159"/>
  <c r="C100" i="159"/>
  <c r="I101" i="159"/>
  <c r="D101" i="159"/>
  <c r="J101" i="159"/>
  <c r="E101" i="159"/>
  <c r="F101" i="159"/>
  <c r="C101" i="159"/>
  <c r="I102" i="159"/>
  <c r="D102" i="159"/>
  <c r="J102" i="159"/>
  <c r="E102" i="159"/>
  <c r="F102" i="159"/>
  <c r="C102" i="159"/>
  <c r="I103" i="159"/>
  <c r="D103" i="159"/>
  <c r="J103" i="159"/>
  <c r="E103" i="159"/>
  <c r="F103" i="159"/>
  <c r="C103" i="159"/>
  <c r="I104" i="159"/>
  <c r="D104" i="159"/>
  <c r="J104" i="159"/>
  <c r="E104" i="159"/>
  <c r="F104" i="159"/>
  <c r="C104" i="159"/>
  <c r="I105" i="159"/>
  <c r="D105" i="159"/>
  <c r="J105" i="159"/>
  <c r="E105" i="159"/>
  <c r="F105" i="159"/>
  <c r="C105" i="159"/>
  <c r="I106" i="159"/>
  <c r="D106" i="159"/>
  <c r="J106" i="159"/>
  <c r="E106" i="159"/>
  <c r="F106" i="159"/>
  <c r="C106" i="159"/>
  <c r="I107" i="159"/>
  <c r="D107" i="159"/>
  <c r="J107" i="159"/>
  <c r="E107" i="159"/>
  <c r="F107" i="159"/>
  <c r="C107" i="159"/>
  <c r="I108" i="159"/>
  <c r="D108" i="159"/>
  <c r="J108" i="159"/>
  <c r="E108" i="159"/>
  <c r="F108" i="159"/>
  <c r="C108" i="159"/>
  <c r="I109" i="159"/>
  <c r="D109" i="159"/>
  <c r="J109" i="159"/>
  <c r="E109" i="159"/>
  <c r="F109" i="159"/>
  <c r="C109" i="159"/>
  <c r="I110" i="159"/>
  <c r="D110" i="159"/>
  <c r="J110" i="159"/>
  <c r="E110" i="159"/>
  <c r="F110" i="159"/>
  <c r="C110" i="159"/>
  <c r="I111" i="159"/>
  <c r="D111" i="159"/>
  <c r="J111" i="159"/>
  <c r="E111" i="159"/>
  <c r="F111" i="159"/>
  <c r="C111" i="159"/>
  <c r="I112" i="159"/>
  <c r="D112" i="159"/>
  <c r="J112" i="159"/>
  <c r="E112" i="159"/>
  <c r="F112" i="159"/>
  <c r="C112" i="159"/>
  <c r="I113" i="159"/>
  <c r="D113" i="159"/>
  <c r="J113" i="159"/>
  <c r="E113" i="159"/>
  <c r="F113" i="159"/>
  <c r="C113" i="159"/>
  <c r="I114" i="159"/>
  <c r="D114" i="159"/>
  <c r="J114" i="159"/>
  <c r="E114" i="159"/>
  <c r="F114" i="159"/>
  <c r="C114" i="159"/>
  <c r="I115" i="159"/>
  <c r="D115" i="159"/>
  <c r="J115" i="159"/>
  <c r="E115" i="159"/>
  <c r="F115" i="159"/>
  <c r="C115" i="159"/>
  <c r="I116" i="159"/>
  <c r="D116" i="159"/>
  <c r="J116" i="159"/>
  <c r="E116" i="159"/>
  <c r="F116" i="159"/>
  <c r="C116" i="159"/>
  <c r="I117" i="159"/>
  <c r="D117" i="159"/>
  <c r="J117" i="159"/>
  <c r="E117" i="159"/>
  <c r="F117" i="159"/>
  <c r="C117" i="159"/>
  <c r="I118" i="159"/>
  <c r="D118" i="159"/>
  <c r="J118" i="159"/>
  <c r="E118" i="159"/>
  <c r="F118" i="159"/>
  <c r="C118" i="159"/>
  <c r="I119" i="159"/>
  <c r="D119" i="159"/>
  <c r="J119" i="159"/>
  <c r="E119" i="159"/>
  <c r="F119" i="159"/>
  <c r="C119" i="159"/>
  <c r="I120" i="159"/>
  <c r="D120" i="159"/>
  <c r="J120" i="159"/>
  <c r="E120" i="159"/>
  <c r="F120" i="159"/>
  <c r="C120" i="159"/>
  <c r="I121" i="159"/>
  <c r="D121" i="159"/>
  <c r="J121" i="159"/>
  <c r="E121" i="159"/>
  <c r="F121" i="159"/>
  <c r="C121" i="159"/>
  <c r="I122" i="159"/>
  <c r="D122" i="159"/>
  <c r="J122" i="159"/>
  <c r="E122" i="159"/>
  <c r="F122" i="159"/>
  <c r="C122" i="159"/>
  <c r="I123" i="159"/>
  <c r="D123" i="159"/>
  <c r="J123" i="159"/>
  <c r="E123" i="159"/>
  <c r="F123" i="159"/>
  <c r="C123" i="159"/>
  <c r="I124" i="159"/>
  <c r="D124" i="159"/>
  <c r="J124" i="159"/>
  <c r="E124" i="159"/>
  <c r="F124" i="159"/>
  <c r="C124" i="159"/>
  <c r="I125" i="159"/>
  <c r="D125" i="159"/>
  <c r="J125" i="159"/>
  <c r="E125" i="159"/>
  <c r="F125" i="159"/>
  <c r="C125" i="159"/>
  <c r="I126" i="159"/>
  <c r="D126" i="159"/>
  <c r="J126" i="159"/>
  <c r="E126" i="159"/>
  <c r="F126" i="159"/>
  <c r="C126" i="159"/>
  <c r="I127" i="159"/>
  <c r="D127" i="159"/>
  <c r="J127" i="159"/>
  <c r="E127" i="159"/>
  <c r="F127" i="159"/>
  <c r="C127" i="159"/>
  <c r="I128" i="159"/>
  <c r="D128" i="159"/>
  <c r="J128" i="159"/>
  <c r="E128" i="159"/>
  <c r="F128" i="159"/>
  <c r="C128" i="159"/>
  <c r="I129" i="159"/>
  <c r="D129" i="159"/>
  <c r="J129" i="159"/>
  <c r="E129" i="159"/>
  <c r="F129" i="159"/>
  <c r="C129" i="159"/>
  <c r="I130" i="159"/>
  <c r="D130" i="159"/>
  <c r="J130" i="159"/>
  <c r="E130" i="159"/>
  <c r="F130" i="159"/>
  <c r="C130" i="159"/>
  <c r="I131" i="159"/>
  <c r="D131" i="159"/>
  <c r="J131" i="159"/>
  <c r="E131" i="159"/>
  <c r="F131" i="159"/>
  <c r="C131" i="159"/>
  <c r="I132" i="159"/>
  <c r="D132" i="159"/>
  <c r="J132" i="159"/>
  <c r="E132" i="159"/>
  <c r="F132" i="159"/>
  <c r="C132" i="159"/>
  <c r="I133" i="159"/>
  <c r="D133" i="159"/>
  <c r="J133" i="159"/>
  <c r="E133" i="159"/>
  <c r="F133" i="159"/>
  <c r="C133" i="159"/>
  <c r="I134" i="159"/>
  <c r="D134" i="159"/>
  <c r="J134" i="159"/>
  <c r="E134" i="159"/>
  <c r="F134" i="159"/>
  <c r="C134" i="159"/>
  <c r="I135" i="159"/>
  <c r="D135" i="159"/>
  <c r="J135" i="159"/>
  <c r="E135" i="159"/>
  <c r="F135" i="159"/>
  <c r="C135" i="159"/>
  <c r="I136" i="159"/>
  <c r="D136" i="159"/>
  <c r="J136" i="159"/>
  <c r="E136" i="159"/>
  <c r="F136" i="159"/>
  <c r="C136" i="159"/>
  <c r="I137" i="159"/>
  <c r="D137" i="159"/>
  <c r="J137" i="159"/>
  <c r="E137" i="159"/>
  <c r="F137" i="159"/>
  <c r="C137" i="159"/>
  <c r="I138" i="159"/>
  <c r="D138" i="159"/>
  <c r="J138" i="159"/>
  <c r="E138" i="159"/>
  <c r="F138" i="159"/>
  <c r="C138" i="159"/>
  <c r="I139" i="159"/>
  <c r="D139" i="159"/>
  <c r="J139" i="159"/>
  <c r="E139" i="159"/>
  <c r="F139" i="159"/>
  <c r="C139" i="159"/>
  <c r="I140" i="159"/>
  <c r="D140" i="159"/>
  <c r="J140" i="159"/>
  <c r="E140" i="159"/>
  <c r="F140" i="159"/>
  <c r="C140" i="159"/>
  <c r="I141" i="159"/>
  <c r="D141" i="159"/>
  <c r="J141" i="159"/>
  <c r="E141" i="159"/>
  <c r="F141" i="159"/>
  <c r="C141" i="159"/>
  <c r="I142" i="159"/>
  <c r="D142" i="159"/>
  <c r="J142" i="159"/>
  <c r="E142" i="159"/>
  <c r="F142" i="159"/>
  <c r="C142" i="159"/>
  <c r="I143" i="159"/>
  <c r="D143" i="159"/>
  <c r="J143" i="159"/>
  <c r="E143" i="159"/>
  <c r="F143" i="159"/>
  <c r="C143" i="159"/>
  <c r="I144" i="159"/>
  <c r="D144" i="159"/>
  <c r="J144" i="159"/>
  <c r="E144" i="159"/>
  <c r="F144" i="159"/>
  <c r="C144" i="159"/>
  <c r="I145" i="159"/>
  <c r="D145" i="159"/>
  <c r="J145" i="159"/>
  <c r="E145" i="159"/>
  <c r="F145" i="159"/>
  <c r="C145" i="159"/>
  <c r="I146" i="159"/>
  <c r="D146" i="159"/>
  <c r="J146" i="159"/>
  <c r="E146" i="159"/>
  <c r="F146" i="159"/>
  <c r="C146" i="159"/>
  <c r="I147" i="159"/>
  <c r="D147" i="159"/>
  <c r="J147" i="159"/>
  <c r="E147" i="159"/>
  <c r="F147" i="159"/>
  <c r="C147" i="159"/>
  <c r="I148" i="159"/>
  <c r="D148" i="159"/>
  <c r="J148" i="159"/>
  <c r="E148" i="159"/>
  <c r="F148" i="159"/>
  <c r="C148" i="159"/>
  <c r="P148" i="159"/>
  <c r="N148" i="159"/>
  <c r="M148" i="159"/>
  <c r="L148" i="159"/>
  <c r="K148" i="159"/>
  <c r="H148" i="159"/>
  <c r="P147" i="159"/>
  <c r="N147" i="159"/>
  <c r="M147" i="159"/>
  <c r="L147" i="159"/>
  <c r="K147" i="159"/>
  <c r="H147" i="159"/>
  <c r="P146" i="159"/>
  <c r="N146" i="159"/>
  <c r="M146" i="159"/>
  <c r="L146" i="159"/>
  <c r="K146" i="159"/>
  <c r="H146" i="159"/>
  <c r="P145" i="159"/>
  <c r="N145" i="159"/>
  <c r="M145" i="159"/>
  <c r="L145" i="159"/>
  <c r="K145" i="159"/>
  <c r="H145" i="159"/>
  <c r="P144" i="159"/>
  <c r="N144" i="159"/>
  <c r="M144" i="159"/>
  <c r="L144" i="159"/>
  <c r="K144" i="159"/>
  <c r="H144" i="159"/>
  <c r="P143" i="159"/>
  <c r="N143" i="159"/>
  <c r="M143" i="159"/>
  <c r="L143" i="159"/>
  <c r="K143" i="159"/>
  <c r="H143" i="159"/>
  <c r="P142" i="159"/>
  <c r="N142" i="159"/>
  <c r="M142" i="159"/>
  <c r="L142" i="159"/>
  <c r="K142" i="159"/>
  <c r="H142" i="159"/>
  <c r="P141" i="159"/>
  <c r="N141" i="159"/>
  <c r="M141" i="159"/>
  <c r="L141" i="159"/>
  <c r="K141" i="159"/>
  <c r="H141" i="159"/>
  <c r="P140" i="159"/>
  <c r="N140" i="159"/>
  <c r="M140" i="159"/>
  <c r="L140" i="159"/>
  <c r="K140" i="159"/>
  <c r="H140" i="159"/>
  <c r="P139" i="159"/>
  <c r="N139" i="159"/>
  <c r="M139" i="159"/>
  <c r="L139" i="159"/>
  <c r="K139" i="159"/>
  <c r="H139" i="159"/>
  <c r="P138" i="159"/>
  <c r="N138" i="159"/>
  <c r="M138" i="159"/>
  <c r="L138" i="159"/>
  <c r="K138" i="159"/>
  <c r="H138" i="159"/>
  <c r="P137" i="159"/>
  <c r="N137" i="159"/>
  <c r="M137" i="159"/>
  <c r="L137" i="159"/>
  <c r="K137" i="159"/>
  <c r="H137" i="159"/>
  <c r="P136" i="159"/>
  <c r="N136" i="159"/>
  <c r="M136" i="159"/>
  <c r="L136" i="159"/>
  <c r="K136" i="159"/>
  <c r="H136" i="159"/>
  <c r="P135" i="159"/>
  <c r="N135" i="159"/>
  <c r="M135" i="159"/>
  <c r="L135" i="159"/>
  <c r="K135" i="159"/>
  <c r="H135" i="159"/>
  <c r="P134" i="159"/>
  <c r="N134" i="159"/>
  <c r="M134" i="159"/>
  <c r="L134" i="159"/>
  <c r="K134" i="159"/>
  <c r="H134" i="159"/>
  <c r="P133" i="159"/>
  <c r="N133" i="159"/>
  <c r="M133" i="159"/>
  <c r="L133" i="159"/>
  <c r="K133" i="159"/>
  <c r="H133" i="159"/>
  <c r="P132" i="159"/>
  <c r="N132" i="159"/>
  <c r="M132" i="159"/>
  <c r="L132" i="159"/>
  <c r="K132" i="159"/>
  <c r="H132" i="159"/>
  <c r="P131" i="159"/>
  <c r="N131" i="159"/>
  <c r="M131" i="159"/>
  <c r="L131" i="159"/>
  <c r="K131" i="159"/>
  <c r="H131" i="159"/>
  <c r="P130" i="159"/>
  <c r="N130" i="159"/>
  <c r="M130" i="159"/>
  <c r="L130" i="159"/>
  <c r="K130" i="159"/>
  <c r="H130" i="159"/>
  <c r="P129" i="159"/>
  <c r="N129" i="159"/>
  <c r="M129" i="159"/>
  <c r="L129" i="159"/>
  <c r="K129" i="159"/>
  <c r="H129" i="159"/>
  <c r="P128" i="159"/>
  <c r="N128" i="159"/>
  <c r="M128" i="159"/>
  <c r="L128" i="159"/>
  <c r="K128" i="159"/>
  <c r="H128" i="159"/>
  <c r="P127" i="159"/>
  <c r="N127" i="159"/>
  <c r="M127" i="159"/>
  <c r="L127" i="159"/>
  <c r="K127" i="159"/>
  <c r="H127" i="159"/>
  <c r="P126" i="159"/>
  <c r="N126" i="159"/>
  <c r="M126" i="159"/>
  <c r="L126" i="159"/>
  <c r="K126" i="159"/>
  <c r="H126" i="159"/>
  <c r="P125" i="159"/>
  <c r="N125" i="159"/>
  <c r="M125" i="159"/>
  <c r="L125" i="159"/>
  <c r="K125" i="159"/>
  <c r="H125" i="159"/>
  <c r="P124" i="159"/>
  <c r="N124" i="159"/>
  <c r="M124" i="159"/>
  <c r="L124" i="159"/>
  <c r="K124" i="159"/>
  <c r="H124" i="159"/>
  <c r="P123" i="159"/>
  <c r="N123" i="159"/>
  <c r="M123" i="159"/>
  <c r="L123" i="159"/>
  <c r="K123" i="159"/>
  <c r="H123" i="159"/>
  <c r="P122" i="159"/>
  <c r="N122" i="159"/>
  <c r="M122" i="159"/>
  <c r="L122" i="159"/>
  <c r="K122" i="159"/>
  <c r="H122" i="159"/>
  <c r="P121" i="159"/>
  <c r="N121" i="159"/>
  <c r="M121" i="159"/>
  <c r="L121" i="159"/>
  <c r="K121" i="159"/>
  <c r="H121" i="159"/>
  <c r="P120" i="159"/>
  <c r="N120" i="159"/>
  <c r="M120" i="159"/>
  <c r="L120" i="159"/>
  <c r="K120" i="159"/>
  <c r="H120" i="159"/>
  <c r="P119" i="159"/>
  <c r="N119" i="159"/>
  <c r="M119" i="159"/>
  <c r="L119" i="159"/>
  <c r="K119" i="159"/>
  <c r="H119" i="159"/>
  <c r="P118" i="159"/>
  <c r="N118" i="159"/>
  <c r="M118" i="159"/>
  <c r="L118" i="159"/>
  <c r="K118" i="159"/>
  <c r="H118" i="159"/>
  <c r="P117" i="159"/>
  <c r="N117" i="159"/>
  <c r="M117" i="159"/>
  <c r="L117" i="159"/>
  <c r="K117" i="159"/>
  <c r="H117" i="159"/>
  <c r="P116" i="159"/>
  <c r="N116" i="159"/>
  <c r="M116" i="159"/>
  <c r="L116" i="159"/>
  <c r="K116" i="159"/>
  <c r="H116" i="159"/>
  <c r="P115" i="159"/>
  <c r="N115" i="159"/>
  <c r="M115" i="159"/>
  <c r="L115" i="159"/>
  <c r="K115" i="159"/>
  <c r="H115" i="159"/>
  <c r="P114" i="159"/>
  <c r="N114" i="159"/>
  <c r="M114" i="159"/>
  <c r="L114" i="159"/>
  <c r="K114" i="159"/>
  <c r="H114" i="159"/>
  <c r="P113" i="159"/>
  <c r="N113" i="159"/>
  <c r="M113" i="159"/>
  <c r="L113" i="159"/>
  <c r="K113" i="159"/>
  <c r="H113" i="159"/>
  <c r="P112" i="159"/>
  <c r="N112" i="159"/>
  <c r="M112" i="159"/>
  <c r="L112" i="159"/>
  <c r="K112" i="159"/>
  <c r="H112" i="159"/>
  <c r="P111" i="159"/>
  <c r="N111" i="159"/>
  <c r="M111" i="159"/>
  <c r="L111" i="159"/>
  <c r="K111" i="159"/>
  <c r="H111" i="159"/>
  <c r="P110" i="159"/>
  <c r="N110" i="159"/>
  <c r="M110" i="159"/>
  <c r="L110" i="159"/>
  <c r="K110" i="159"/>
  <c r="H110" i="159"/>
  <c r="P109" i="159"/>
  <c r="N109" i="159"/>
  <c r="M109" i="159"/>
  <c r="L109" i="159"/>
  <c r="K109" i="159"/>
  <c r="H109" i="159"/>
  <c r="P108" i="159"/>
  <c r="N108" i="159"/>
  <c r="M108" i="159"/>
  <c r="L108" i="159"/>
  <c r="K108" i="159"/>
  <c r="H108" i="159"/>
  <c r="P107" i="159"/>
  <c r="N107" i="159"/>
  <c r="M107" i="159"/>
  <c r="L107" i="159"/>
  <c r="K107" i="159"/>
  <c r="H107" i="159"/>
  <c r="P106" i="159"/>
  <c r="N106" i="159"/>
  <c r="M106" i="159"/>
  <c r="L106" i="159"/>
  <c r="K106" i="159"/>
  <c r="H106" i="159"/>
  <c r="P105" i="159"/>
  <c r="N105" i="159"/>
  <c r="M105" i="159"/>
  <c r="L105" i="159"/>
  <c r="K105" i="159"/>
  <c r="H105" i="159"/>
  <c r="P104" i="159"/>
  <c r="N104" i="159"/>
  <c r="M104" i="159"/>
  <c r="L104" i="159"/>
  <c r="K104" i="159"/>
  <c r="H104" i="159"/>
  <c r="P103" i="159"/>
  <c r="N103" i="159"/>
  <c r="M103" i="159"/>
  <c r="L103" i="159"/>
  <c r="K103" i="159"/>
  <c r="H103" i="159"/>
  <c r="P102" i="159"/>
  <c r="N102" i="159"/>
  <c r="M102" i="159"/>
  <c r="L102" i="159"/>
  <c r="K102" i="159"/>
  <c r="H102" i="159"/>
  <c r="P101" i="159"/>
  <c r="N101" i="159"/>
  <c r="M101" i="159"/>
  <c r="L101" i="159"/>
  <c r="K101" i="159"/>
  <c r="H101" i="159"/>
  <c r="P100" i="159"/>
  <c r="N100" i="159"/>
  <c r="M100" i="159"/>
  <c r="L100" i="159"/>
  <c r="K100" i="159"/>
  <c r="H100" i="159"/>
  <c r="P99" i="159"/>
  <c r="N99" i="159"/>
  <c r="M99" i="159"/>
  <c r="L99" i="159"/>
  <c r="K99" i="159"/>
  <c r="H99" i="159"/>
  <c r="P98" i="159"/>
  <c r="N98" i="159"/>
  <c r="M98" i="159"/>
  <c r="L98" i="159"/>
  <c r="K98" i="159"/>
  <c r="H98" i="159"/>
  <c r="P97" i="159"/>
  <c r="N97" i="159"/>
  <c r="M97" i="159"/>
  <c r="L97" i="159"/>
  <c r="K97" i="159"/>
  <c r="H97" i="159"/>
  <c r="P96" i="159"/>
  <c r="N96" i="159"/>
  <c r="M96" i="159"/>
  <c r="L96" i="159"/>
  <c r="K96" i="159"/>
  <c r="H96" i="159"/>
  <c r="P95" i="159"/>
  <c r="N95" i="159"/>
  <c r="M95" i="159"/>
  <c r="L95" i="159"/>
  <c r="K95" i="159"/>
  <c r="H95" i="159"/>
  <c r="P94" i="159"/>
  <c r="N94" i="159"/>
  <c r="M94" i="159"/>
  <c r="L94" i="159"/>
  <c r="K94" i="159"/>
  <c r="H94" i="159"/>
  <c r="P93" i="159"/>
  <c r="N93" i="159"/>
  <c r="M93" i="159"/>
  <c r="L93" i="159"/>
  <c r="K93" i="159"/>
  <c r="H93" i="159"/>
  <c r="P92" i="159"/>
  <c r="N92" i="159"/>
  <c r="M92" i="159"/>
  <c r="L92" i="159"/>
  <c r="K92" i="159"/>
  <c r="H92" i="159"/>
  <c r="P91" i="159"/>
  <c r="N91" i="159"/>
  <c r="M91" i="159"/>
  <c r="L91" i="159"/>
  <c r="K91" i="159"/>
  <c r="H91" i="159"/>
  <c r="P90" i="159"/>
  <c r="N90" i="159"/>
  <c r="M90" i="159"/>
  <c r="L90" i="159"/>
  <c r="K90" i="159"/>
  <c r="H90" i="159"/>
  <c r="P89" i="159"/>
  <c r="N89" i="159"/>
  <c r="M89" i="159"/>
  <c r="L89" i="159"/>
  <c r="K89" i="159"/>
  <c r="H89" i="159"/>
  <c r="P88" i="159"/>
  <c r="N88" i="159"/>
  <c r="M88" i="159"/>
  <c r="L88" i="159"/>
  <c r="K88" i="159"/>
  <c r="H88" i="159"/>
  <c r="P87" i="159"/>
  <c r="N87" i="159"/>
  <c r="M87" i="159"/>
  <c r="L87" i="159"/>
  <c r="K87" i="159"/>
  <c r="H87" i="159"/>
  <c r="P86" i="159"/>
  <c r="N86" i="159"/>
  <c r="M86" i="159"/>
  <c r="L86" i="159"/>
  <c r="K86" i="159"/>
  <c r="H86" i="159"/>
  <c r="P85" i="159"/>
  <c r="N85" i="159"/>
  <c r="M85" i="159"/>
  <c r="L85" i="159"/>
  <c r="K85" i="159"/>
  <c r="H85" i="159"/>
  <c r="P84" i="159"/>
  <c r="N84" i="159"/>
  <c r="M84" i="159"/>
  <c r="L84" i="159"/>
  <c r="K84" i="159"/>
  <c r="H84" i="159"/>
  <c r="P83" i="159"/>
  <c r="N83" i="159"/>
  <c r="M83" i="159"/>
  <c r="L83" i="159"/>
  <c r="K83" i="159"/>
  <c r="H83" i="159"/>
  <c r="P82" i="159"/>
  <c r="N82" i="159"/>
  <c r="M82" i="159"/>
  <c r="L82" i="159"/>
  <c r="K82" i="159"/>
  <c r="H82" i="159"/>
  <c r="P81" i="159"/>
  <c r="N81" i="159"/>
  <c r="M81" i="159"/>
  <c r="L81" i="159"/>
  <c r="K81" i="159"/>
  <c r="H81" i="159"/>
  <c r="P80" i="159"/>
  <c r="N80" i="159"/>
  <c r="M80" i="159"/>
  <c r="L80" i="159"/>
  <c r="K80" i="159"/>
  <c r="H80" i="159"/>
  <c r="P79" i="159"/>
  <c r="N79" i="159"/>
  <c r="M79" i="159"/>
  <c r="L79" i="159"/>
  <c r="K79" i="159"/>
  <c r="H79" i="159"/>
  <c r="P78" i="159"/>
  <c r="N78" i="159"/>
  <c r="M78" i="159"/>
  <c r="L78" i="159"/>
  <c r="K78" i="159"/>
  <c r="H78" i="159"/>
  <c r="P77" i="159"/>
  <c r="N77" i="159"/>
  <c r="M77" i="159"/>
  <c r="L77" i="159"/>
  <c r="K77" i="159"/>
  <c r="H77" i="159"/>
  <c r="P76" i="159"/>
  <c r="N76" i="159"/>
  <c r="M76" i="159"/>
  <c r="L76" i="159"/>
  <c r="K76" i="159"/>
  <c r="H76" i="159"/>
  <c r="P75" i="159"/>
  <c r="N75" i="159"/>
  <c r="M75" i="159"/>
  <c r="L75" i="159"/>
  <c r="K75" i="159"/>
  <c r="H75" i="159"/>
  <c r="P74" i="159"/>
  <c r="N74" i="159"/>
  <c r="M74" i="159"/>
  <c r="L74" i="159"/>
  <c r="K74" i="159"/>
  <c r="H74" i="159"/>
  <c r="P73" i="159"/>
  <c r="N73" i="159"/>
  <c r="M73" i="159"/>
  <c r="L73" i="159"/>
  <c r="K73" i="159"/>
  <c r="H73" i="159"/>
  <c r="P72" i="159"/>
  <c r="N72" i="159"/>
  <c r="M72" i="159"/>
  <c r="L72" i="159"/>
  <c r="K72" i="159"/>
  <c r="H72" i="159"/>
  <c r="P71" i="159"/>
  <c r="N71" i="159"/>
  <c r="M71" i="159"/>
  <c r="L71" i="159"/>
  <c r="K71" i="159"/>
  <c r="H71" i="159"/>
  <c r="P70" i="159"/>
  <c r="N70" i="159"/>
  <c r="M70" i="159"/>
  <c r="L70" i="159"/>
  <c r="K70" i="159"/>
  <c r="H70" i="159"/>
  <c r="P69" i="159"/>
  <c r="N69" i="159"/>
  <c r="M69" i="159"/>
  <c r="L69" i="159"/>
  <c r="K69" i="159"/>
  <c r="H69" i="159"/>
  <c r="P68" i="159"/>
  <c r="N68" i="159"/>
  <c r="M68" i="159"/>
  <c r="L68" i="159"/>
  <c r="K68" i="159"/>
  <c r="H68" i="159"/>
  <c r="P67" i="159"/>
  <c r="N67" i="159"/>
  <c r="M67" i="159"/>
  <c r="L67" i="159"/>
  <c r="K67" i="159"/>
  <c r="H67" i="159"/>
  <c r="P66" i="159"/>
  <c r="N66" i="159"/>
  <c r="M66" i="159"/>
  <c r="L66" i="159"/>
  <c r="K66" i="159"/>
  <c r="H66" i="159"/>
  <c r="P65" i="159"/>
  <c r="N65" i="159"/>
  <c r="M65" i="159"/>
  <c r="L65" i="159"/>
  <c r="K65" i="159"/>
  <c r="H65" i="159"/>
  <c r="P64" i="159"/>
  <c r="N64" i="159"/>
  <c r="M64" i="159"/>
  <c r="L64" i="159"/>
  <c r="K64" i="159"/>
  <c r="H64" i="159"/>
  <c r="P63" i="159"/>
  <c r="N63" i="159"/>
  <c r="M63" i="159"/>
  <c r="L63" i="159"/>
  <c r="K63" i="159"/>
  <c r="H63" i="159"/>
  <c r="P62" i="159"/>
  <c r="N62" i="159"/>
  <c r="M62" i="159"/>
  <c r="L62" i="159"/>
  <c r="K62" i="159"/>
  <c r="H62" i="159"/>
  <c r="P61" i="159"/>
  <c r="N61" i="159"/>
  <c r="M61" i="159"/>
  <c r="L61" i="159"/>
  <c r="K61" i="159"/>
  <c r="H61" i="159"/>
  <c r="P60" i="159"/>
  <c r="N60" i="159"/>
  <c r="M60" i="159"/>
  <c r="L60" i="159"/>
  <c r="K60" i="159"/>
  <c r="H60" i="159"/>
  <c r="P59" i="159"/>
  <c r="N59" i="159"/>
  <c r="M59" i="159"/>
  <c r="L59" i="159"/>
  <c r="K59" i="159"/>
  <c r="H59" i="159"/>
  <c r="P58" i="159"/>
  <c r="N58" i="159"/>
  <c r="M58" i="159"/>
  <c r="L58" i="159"/>
  <c r="K58" i="159"/>
  <c r="H58" i="159"/>
  <c r="P57" i="159"/>
  <c r="N57" i="159"/>
  <c r="M57" i="159"/>
  <c r="L57" i="159"/>
  <c r="K57" i="159"/>
  <c r="H57" i="159"/>
  <c r="P56" i="159"/>
  <c r="N56" i="159"/>
  <c r="M56" i="159"/>
  <c r="L56" i="159"/>
  <c r="K56" i="159"/>
  <c r="H56" i="159"/>
  <c r="P55" i="159"/>
  <c r="N55" i="159"/>
  <c r="M55" i="159"/>
  <c r="L55" i="159"/>
  <c r="K55" i="159"/>
  <c r="H55" i="159"/>
  <c r="P54" i="159"/>
  <c r="N54" i="159"/>
  <c r="M54" i="159"/>
  <c r="L54" i="159"/>
  <c r="K54" i="159"/>
  <c r="H54" i="159"/>
  <c r="P53" i="159"/>
  <c r="N53" i="159"/>
  <c r="M53" i="159"/>
  <c r="L53" i="159"/>
  <c r="K53" i="159"/>
  <c r="H53" i="159"/>
  <c r="P52" i="159"/>
  <c r="N52" i="159"/>
  <c r="M52" i="159"/>
  <c r="L52" i="159"/>
  <c r="K52" i="159"/>
  <c r="H52" i="159"/>
  <c r="P51" i="159"/>
  <c r="N51" i="159"/>
  <c r="M51" i="159"/>
  <c r="L51" i="159"/>
  <c r="K51" i="159"/>
  <c r="H51" i="159"/>
  <c r="P50" i="159"/>
  <c r="N50" i="159"/>
  <c r="M50" i="159"/>
  <c r="L50" i="159"/>
  <c r="K50" i="159"/>
  <c r="H50" i="159"/>
  <c r="P49" i="159"/>
  <c r="N49" i="159"/>
  <c r="M49" i="159"/>
  <c r="L49" i="159"/>
  <c r="K49" i="159"/>
  <c r="H49" i="159"/>
  <c r="P48" i="159"/>
  <c r="N48" i="159"/>
  <c r="M48" i="159"/>
  <c r="L48" i="159"/>
  <c r="K48" i="159"/>
  <c r="H48" i="159"/>
  <c r="P47" i="159"/>
  <c r="N47" i="159"/>
  <c r="M47" i="159"/>
  <c r="L47" i="159"/>
  <c r="K47" i="159"/>
  <c r="H47" i="159"/>
  <c r="P46" i="159"/>
  <c r="N46" i="159"/>
  <c r="M46" i="159"/>
  <c r="L46" i="159"/>
  <c r="K46" i="159"/>
  <c r="H46" i="159"/>
  <c r="P45" i="159"/>
  <c r="N45" i="159"/>
  <c r="M45" i="159"/>
  <c r="L45" i="159"/>
  <c r="K45" i="159"/>
  <c r="H45" i="159"/>
  <c r="P44" i="159"/>
  <c r="N44" i="159"/>
  <c r="M44" i="159"/>
  <c r="L44" i="159"/>
  <c r="K44" i="159"/>
  <c r="H44" i="159"/>
  <c r="P43" i="159"/>
  <c r="N43" i="159"/>
  <c r="M43" i="159"/>
  <c r="L43" i="159"/>
  <c r="K43" i="159"/>
  <c r="H43" i="159"/>
  <c r="P42" i="159"/>
  <c r="N42" i="159"/>
  <c r="M42" i="159"/>
  <c r="L42" i="159"/>
  <c r="K42" i="159"/>
  <c r="H42" i="159"/>
  <c r="P41" i="159"/>
  <c r="N41" i="159"/>
  <c r="M41" i="159"/>
  <c r="L41" i="159"/>
  <c r="K41" i="159"/>
  <c r="H41" i="159"/>
  <c r="P40" i="159"/>
  <c r="N40" i="159"/>
  <c r="M40" i="159"/>
  <c r="L40" i="159"/>
  <c r="K40" i="159"/>
  <c r="H40" i="159"/>
  <c r="P39" i="159"/>
  <c r="N39" i="159"/>
  <c r="M39" i="159"/>
  <c r="L39" i="159"/>
  <c r="K39" i="159"/>
  <c r="H39" i="159"/>
  <c r="P38" i="159"/>
  <c r="N38" i="159"/>
  <c r="M38" i="159"/>
  <c r="L38" i="159"/>
  <c r="K38" i="159"/>
  <c r="H38" i="159"/>
  <c r="P37" i="159"/>
  <c r="N37" i="159"/>
  <c r="M37" i="159"/>
  <c r="L37" i="159"/>
  <c r="K37" i="159"/>
  <c r="H37" i="159"/>
  <c r="P36" i="159"/>
  <c r="N36" i="159"/>
  <c r="M36" i="159"/>
  <c r="L36" i="159"/>
  <c r="K36" i="159"/>
  <c r="H36" i="159"/>
  <c r="P35" i="159"/>
  <c r="N35" i="159"/>
  <c r="M35" i="159"/>
  <c r="L35" i="159"/>
  <c r="K35" i="159"/>
  <c r="H35" i="159"/>
  <c r="P34" i="159"/>
  <c r="N34" i="159"/>
  <c r="M34" i="159"/>
  <c r="L34" i="159"/>
  <c r="K34" i="159"/>
  <c r="H34" i="159"/>
  <c r="P33" i="159"/>
  <c r="N33" i="159"/>
  <c r="M33" i="159"/>
  <c r="L33" i="159"/>
  <c r="K33" i="159"/>
  <c r="H33" i="159"/>
  <c r="P32" i="159"/>
  <c r="N32" i="159"/>
  <c r="M32" i="159"/>
  <c r="L32" i="159"/>
  <c r="K32" i="159"/>
  <c r="H32" i="159"/>
  <c r="P31" i="159"/>
  <c r="N31" i="159"/>
  <c r="M31" i="159"/>
  <c r="L31" i="159"/>
  <c r="K31" i="159"/>
  <c r="H31" i="159"/>
  <c r="P30" i="159"/>
  <c r="N30" i="159"/>
  <c r="M30" i="159"/>
  <c r="L30" i="159"/>
  <c r="K30" i="159"/>
  <c r="H30" i="159"/>
  <c r="P29" i="159"/>
  <c r="N29" i="159"/>
  <c r="M29" i="159"/>
  <c r="L29" i="159"/>
  <c r="K29" i="159"/>
  <c r="H29" i="159"/>
  <c r="P28" i="159"/>
  <c r="N28" i="159"/>
  <c r="M28" i="159"/>
  <c r="L28" i="159"/>
  <c r="K28" i="159"/>
  <c r="H28" i="159"/>
  <c r="P27" i="159"/>
  <c r="N27" i="159"/>
  <c r="M27" i="159"/>
  <c r="L27" i="159"/>
  <c r="K27" i="159"/>
  <c r="H27" i="159"/>
  <c r="P26" i="159"/>
  <c r="N26" i="159"/>
  <c r="M26" i="159"/>
  <c r="L26" i="159"/>
  <c r="K26" i="159"/>
  <c r="H26" i="159"/>
  <c r="P25" i="159"/>
  <c r="N25" i="159"/>
  <c r="M25" i="159"/>
  <c r="L25" i="159"/>
  <c r="K25" i="159"/>
  <c r="H25" i="159"/>
  <c r="P24" i="159"/>
  <c r="N24" i="159"/>
  <c r="M24" i="159"/>
  <c r="L24" i="159"/>
  <c r="K24" i="159"/>
  <c r="H24" i="159"/>
  <c r="P23" i="159"/>
  <c r="N23" i="159"/>
  <c r="M23" i="159"/>
  <c r="L23" i="159"/>
  <c r="K23" i="159"/>
  <c r="H23" i="159"/>
  <c r="P22" i="159"/>
  <c r="N22" i="159"/>
  <c r="M22" i="159"/>
  <c r="L22" i="159"/>
  <c r="K22" i="159"/>
  <c r="H22" i="159"/>
  <c r="P21" i="159"/>
  <c r="N21" i="159"/>
  <c r="M21" i="159"/>
  <c r="L21" i="159"/>
  <c r="K21" i="159"/>
  <c r="H21" i="159"/>
  <c r="P20" i="159"/>
  <c r="N20" i="159"/>
  <c r="M20" i="159"/>
  <c r="L20" i="159"/>
  <c r="K20" i="159"/>
  <c r="H20" i="159"/>
  <c r="P19" i="159"/>
  <c r="N19" i="159"/>
  <c r="M19" i="159"/>
  <c r="L19" i="159"/>
  <c r="K19" i="159"/>
  <c r="H19" i="159"/>
  <c r="P18" i="159"/>
  <c r="N18" i="159"/>
  <c r="M18" i="159"/>
  <c r="L18" i="159"/>
  <c r="K18" i="159"/>
  <c r="H18" i="159"/>
  <c r="P17" i="159"/>
  <c r="N17" i="159"/>
  <c r="M17" i="159"/>
  <c r="L17" i="159"/>
  <c r="K17" i="159"/>
  <c r="H17" i="159"/>
  <c r="P16" i="159"/>
  <c r="N16" i="159"/>
  <c r="M16" i="159"/>
  <c r="L16" i="159"/>
  <c r="K16" i="159"/>
  <c r="H16" i="159"/>
  <c r="P15" i="159"/>
  <c r="N15" i="159"/>
  <c r="M15" i="159"/>
  <c r="L15" i="159"/>
  <c r="K15" i="159"/>
  <c r="H15" i="159"/>
  <c r="P14" i="159"/>
  <c r="N14" i="159"/>
  <c r="M14" i="159"/>
  <c r="L14" i="159"/>
  <c r="K14" i="159"/>
  <c r="H14" i="159"/>
  <c r="P13" i="159"/>
  <c r="N13" i="159"/>
  <c r="M13" i="159"/>
  <c r="L13" i="159"/>
  <c r="K13" i="159"/>
  <c r="H13" i="159"/>
  <c r="P12" i="159"/>
  <c r="N12" i="159"/>
  <c r="M12" i="159"/>
  <c r="L12" i="159"/>
  <c r="K12" i="159"/>
  <c r="H12" i="159"/>
  <c r="P11" i="159"/>
  <c r="N11" i="159"/>
  <c r="M11" i="159"/>
  <c r="L11" i="159"/>
  <c r="K11" i="159"/>
  <c r="H11" i="159"/>
  <c r="P10" i="159"/>
  <c r="N10" i="159"/>
  <c r="M10" i="159"/>
  <c r="L10" i="159"/>
  <c r="K10" i="159"/>
  <c r="H10" i="159"/>
  <c r="P9" i="159"/>
  <c r="N9" i="159"/>
  <c r="M9" i="159"/>
  <c r="L9" i="159"/>
  <c r="K9" i="159"/>
  <c r="H9" i="159"/>
  <c r="P8" i="159"/>
  <c r="N8" i="159"/>
  <c r="M8" i="159"/>
  <c r="L8" i="159"/>
  <c r="K8" i="159"/>
  <c r="H8" i="159"/>
  <c r="P7" i="159"/>
  <c r="N7" i="159"/>
  <c r="M7" i="159"/>
  <c r="L7" i="159"/>
  <c r="K7" i="159"/>
  <c r="H7" i="159"/>
  <c r="P6" i="159"/>
  <c r="N6" i="159"/>
  <c r="M6" i="159"/>
  <c r="L6" i="159"/>
  <c r="K6" i="159"/>
  <c r="H6" i="159"/>
  <c r="P5" i="159"/>
  <c r="N5" i="159"/>
  <c r="M5" i="159"/>
  <c r="L5" i="159"/>
  <c r="K5" i="159"/>
  <c r="H5" i="159"/>
  <c r="P4" i="159"/>
  <c r="N4" i="159"/>
  <c r="M4" i="159"/>
  <c r="L4" i="159"/>
  <c r="K4" i="159"/>
  <c r="H4" i="159"/>
  <c r="P3" i="159"/>
  <c r="N3" i="159"/>
  <c r="M3" i="159"/>
  <c r="L3" i="159"/>
  <c r="K3" i="159"/>
  <c r="H3" i="159"/>
  <c r="P2" i="159"/>
  <c r="N2" i="159"/>
  <c r="M2" i="159"/>
  <c r="L2" i="159"/>
  <c r="K2" i="159"/>
  <c r="H2" i="159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C341" i="158"/>
  <c r="I342" i="158"/>
  <c r="D342" i="158"/>
  <c r="J342" i="158"/>
  <c r="E342" i="158"/>
  <c r="C342" i="158"/>
  <c r="I343" i="158"/>
  <c r="D343" i="158"/>
  <c r="J343" i="158"/>
  <c r="E343" i="158"/>
  <c r="C343" i="158"/>
  <c r="I344" i="158"/>
  <c r="D344" i="158"/>
  <c r="J344" i="158"/>
  <c r="E344" i="158"/>
  <c r="C344" i="158"/>
  <c r="I345" i="158"/>
  <c r="D345" i="158"/>
  <c r="J345" i="158"/>
  <c r="E345" i="158"/>
  <c r="C345" i="158"/>
  <c r="I346" i="158"/>
  <c r="D346" i="158"/>
  <c r="J346" i="158"/>
  <c r="E346" i="158"/>
  <c r="C346" i="158"/>
  <c r="F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0" i="157"/>
  <c r="B20" i="157"/>
  <c r="F5" i="157"/>
  <c r="E5" i="157"/>
  <c r="E27" i="157"/>
  <c r="B27" i="157"/>
  <c r="E23" i="157"/>
  <c r="B23" i="157"/>
  <c r="E29" i="157"/>
  <c r="B29" i="157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F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0" i="153"/>
  <c r="B20" i="153"/>
  <c r="F5" i="153"/>
  <c r="E5" i="153"/>
  <c r="E27" i="153"/>
  <c r="B27" i="153"/>
  <c r="A36" i="153"/>
  <c r="G27" i="153"/>
  <c r="H27" i="153"/>
  <c r="O138" i="154"/>
  <c r="E19" i="153"/>
  <c r="B19" i="153"/>
  <c r="E24" i="153"/>
  <c r="B24" i="153"/>
  <c r="B17" i="153"/>
  <c r="G17" i="153"/>
  <c r="E17" i="153"/>
  <c r="H17" i="153"/>
  <c r="O2" i="154"/>
  <c r="E18" i="153"/>
  <c r="B18" i="153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E23" i="153"/>
  <c r="B23" i="153"/>
  <c r="E28" i="153"/>
  <c r="B28" i="153"/>
  <c r="E29" i="153"/>
  <c r="B29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E22" i="153"/>
  <c r="B22" i="153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R3" i="153"/>
  <c r="O341" i="154"/>
  <c r="R4" i="153"/>
  <c r="O342" i="154"/>
  <c r="R5" i="153"/>
  <c r="O343" i="154"/>
  <c r="R6" i="153"/>
  <c r="O344" i="154"/>
  <c r="R7" i="153"/>
  <c r="O345" i="154"/>
  <c r="R8" i="153"/>
  <c r="O346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1" i="154"/>
  <c r="P342" i="154"/>
  <c r="P343" i="154"/>
  <c r="P344" i="154"/>
  <c r="P345" i="154"/>
  <c r="P346" i="154"/>
  <c r="F48" i="153"/>
  <c r="F49" i="153"/>
  <c r="G48" i="153"/>
  <c r="F42" i="153"/>
  <c r="G42" i="153"/>
  <c r="F34" i="153"/>
  <c r="F41" i="153"/>
  <c r="G41" i="153"/>
  <c r="F33" i="153"/>
  <c r="F341" i="154"/>
  <c r="H341" i="154"/>
  <c r="K341" i="154"/>
  <c r="L341" i="154"/>
  <c r="M341" i="154"/>
  <c r="N341" i="154"/>
  <c r="F342" i="154"/>
  <c r="F343" i="154"/>
  <c r="F344" i="154"/>
  <c r="F345" i="154"/>
  <c r="F346" i="154"/>
  <c r="H342" i="154"/>
  <c r="K342" i="154"/>
  <c r="L342" i="154"/>
  <c r="M342" i="154"/>
  <c r="N342" i="154"/>
  <c r="H343" i="154"/>
  <c r="K343" i="154"/>
  <c r="L343" i="154"/>
  <c r="M343" i="154"/>
  <c r="N343" i="154"/>
  <c r="H344" i="154"/>
  <c r="K344" i="154"/>
  <c r="L344" i="154"/>
  <c r="M344" i="154"/>
  <c r="N344" i="154"/>
  <c r="H345" i="154"/>
  <c r="K345" i="154"/>
  <c r="L345" i="154"/>
  <c r="M345" i="154"/>
  <c r="N345" i="154"/>
  <c r="H346" i="154"/>
  <c r="K346" i="154"/>
  <c r="L346" i="154"/>
  <c r="M346" i="154"/>
  <c r="N346" i="154"/>
  <c r="A341" i="154"/>
  <c r="A342" i="154"/>
  <c r="A343" i="154"/>
  <c r="A344" i="154"/>
  <c r="A345" i="154"/>
  <c r="A346" i="154"/>
  <c r="M8" i="153"/>
  <c r="M7" i="153"/>
  <c r="M6" i="153"/>
  <c r="M5" i="153"/>
  <c r="M4" i="153"/>
  <c r="M3" i="153"/>
  <c r="E26" i="157"/>
  <c r="B26" i="157"/>
  <c r="E28" i="157"/>
  <c r="B28" i="157"/>
  <c r="B21" i="157"/>
  <c r="A2" i="157"/>
  <c r="A36" i="157"/>
  <c r="G27" i="157"/>
  <c r="H27" i="157"/>
  <c r="O138" i="158"/>
  <c r="E19" i="157"/>
  <c r="B19" i="157"/>
  <c r="E24" i="157"/>
  <c r="B24" i="157"/>
  <c r="B17" i="157"/>
  <c r="G17" i="157"/>
  <c r="E17" i="157"/>
  <c r="H17" i="157"/>
  <c r="O2" i="158"/>
  <c r="E18" i="157"/>
  <c r="B18" i="157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E22" i="157"/>
  <c r="B22" i="157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R3" i="157"/>
  <c r="O341" i="158"/>
  <c r="R4" i="157"/>
  <c r="O342" i="158"/>
  <c r="R5" i="157"/>
  <c r="O343" i="158"/>
  <c r="R6" i="157"/>
  <c r="O344" i="158"/>
  <c r="R7" i="157"/>
  <c r="O345" i="158"/>
  <c r="R8" i="157"/>
  <c r="O346" i="158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P343" i="158"/>
  <c r="P344" i="158"/>
  <c r="P345" i="158"/>
  <c r="P346" i="158"/>
  <c r="F48" i="157"/>
  <c r="F49" i="157"/>
  <c r="G48" i="157"/>
  <c r="F42" i="157"/>
  <c r="G42" i="157"/>
  <c r="F35" i="157"/>
  <c r="F341" i="158"/>
  <c r="H341" i="158"/>
  <c r="K341" i="158"/>
  <c r="L341" i="158"/>
  <c r="M341" i="158"/>
  <c r="N341" i="158"/>
  <c r="F342" i="158"/>
  <c r="F343" i="158"/>
  <c r="F344" i="158"/>
  <c r="F345" i="158"/>
  <c r="F346" i="158"/>
  <c r="B10" i="157"/>
  <c r="H342" i="158"/>
  <c r="K342" i="158"/>
  <c r="L342" i="158"/>
  <c r="M342" i="158"/>
  <c r="N342" i="158"/>
  <c r="H343" i="158"/>
  <c r="K343" i="158"/>
  <c r="L343" i="158"/>
  <c r="M343" i="158"/>
  <c r="N343" i="158"/>
  <c r="H344" i="158"/>
  <c r="K344" i="158"/>
  <c r="L344" i="158"/>
  <c r="M344" i="158"/>
  <c r="N344" i="158"/>
  <c r="H345" i="158"/>
  <c r="K345" i="158"/>
  <c r="L345" i="158"/>
  <c r="M345" i="158"/>
  <c r="N345" i="158"/>
  <c r="H346" i="158"/>
  <c r="K346" i="158"/>
  <c r="L346" i="158"/>
  <c r="M346" i="158"/>
  <c r="N346" i="158"/>
  <c r="A341" i="158"/>
  <c r="A342" i="158"/>
  <c r="A343" i="158"/>
  <c r="A344" i="158"/>
  <c r="A345" i="158"/>
  <c r="A346" i="158"/>
  <c r="F336" i="154"/>
  <c r="H336" i="154"/>
  <c r="K336" i="154"/>
  <c r="L336" i="154"/>
  <c r="M336" i="154"/>
  <c r="N336" i="154"/>
  <c r="F337" i="154"/>
  <c r="F338" i="154"/>
  <c r="F339" i="154"/>
  <c r="F340" i="154"/>
  <c r="B10" i="153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F336" i="158"/>
  <c r="H336" i="158"/>
  <c r="K336" i="158"/>
  <c r="L336" i="158"/>
  <c r="M336" i="158"/>
  <c r="N336" i="158"/>
  <c r="F337" i="158"/>
  <c r="F338" i="158"/>
  <c r="F339" i="158"/>
  <c r="F340" i="158"/>
  <c r="H337" i="158"/>
  <c r="K337" i="158"/>
  <c r="L337" i="158"/>
  <c r="M337" i="158"/>
  <c r="N337" i="158"/>
  <c r="H338" i="158"/>
  <c r="K338" i="158"/>
  <c r="L338" i="158"/>
  <c r="M338" i="158"/>
  <c r="N338" i="158"/>
  <c r="H339" i="158"/>
  <c r="K339" i="158"/>
  <c r="L339" i="158"/>
  <c r="M339" i="158"/>
  <c r="N339" i="158"/>
  <c r="H340" i="158"/>
  <c r="K340" i="158"/>
  <c r="L340" i="158"/>
  <c r="M340" i="158"/>
  <c r="N340" i="158"/>
  <c r="A336" i="158"/>
  <c r="A337" i="158"/>
  <c r="A338" i="158"/>
  <c r="A339" i="158"/>
  <c r="A340" i="158"/>
  <c r="F41" i="157"/>
  <c r="G41" i="157"/>
  <c r="F34" i="157"/>
  <c r="F331" i="154"/>
  <c r="H331" i="154"/>
  <c r="K331" i="154"/>
  <c r="L331" i="154"/>
  <c r="M331" i="154"/>
  <c r="N331" i="154"/>
  <c r="F332" i="154"/>
  <c r="F333" i="154"/>
  <c r="F334" i="154"/>
  <c r="F335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B30" i="153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331" i="158"/>
  <c r="H331" i="158"/>
  <c r="K331" i="158"/>
  <c r="L331" i="158"/>
  <c r="M331" i="158"/>
  <c r="N331" i="158"/>
  <c r="F332" i="158"/>
  <c r="F333" i="158"/>
  <c r="F334" i="158"/>
  <c r="F335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F325" i="154"/>
  <c r="H325" i="154"/>
  <c r="K325" i="154"/>
  <c r="L325" i="154"/>
  <c r="M325" i="154"/>
  <c r="N325" i="154"/>
  <c r="F326" i="154"/>
  <c r="F327" i="154"/>
  <c r="F328" i="154"/>
  <c r="F329" i="154"/>
  <c r="F330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F325" i="158"/>
  <c r="H325" i="158"/>
  <c r="K325" i="158"/>
  <c r="L325" i="158"/>
  <c r="M325" i="158"/>
  <c r="N325" i="158"/>
  <c r="F326" i="158"/>
  <c r="F327" i="158"/>
  <c r="F328" i="158"/>
  <c r="F329" i="158"/>
  <c r="F330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0" i="157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9" i="153"/>
  <c r="R10" i="153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41" i="153"/>
  <c r="I28" i="153"/>
  <c r="J28" i="153"/>
  <c r="F28" i="153"/>
  <c r="D28" i="153"/>
  <c r="I21" i="153"/>
  <c r="J21" i="153"/>
  <c r="F21" i="153"/>
  <c r="D21" i="153"/>
  <c r="B32" i="153"/>
  <c r="D32" i="153"/>
  <c r="F45" i="153"/>
  <c r="F46" i="153"/>
  <c r="B44" i="153"/>
  <c r="B45" i="153"/>
  <c r="B47" i="153"/>
  <c r="C41" i="153"/>
  <c r="C42" i="153"/>
  <c r="C43" i="153"/>
  <c r="C44" i="153"/>
  <c r="C45" i="153"/>
  <c r="C46" i="153"/>
  <c r="C40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<sst xmlns="http://schemas.openxmlformats.org/spreadsheetml/2006/main" count="535" uniqueCount="255">
  <si>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</si>
  <si>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</si>
  <si>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</si>
  <si>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</si>
  <si>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</si>
  <si>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</si>
  <si>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</si>
  <si>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</si>
  <si>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</si>
  <si>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</si>
  <si>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</si>
  <si>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</si>
  <si>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</si>
  <si>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</si>
  <si>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</si>
  <si>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</si>
  <si>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</si>
  <si>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</si>
  <si>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</si>
  <si>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</si>
  <si>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</si>
  <si>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</si>
  <si>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</si>
  <si>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</si>
  <si>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</si>
  <si>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</si>
  <si>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</si>
  <si>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</si>
  <si>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</si>
  <si>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</si>
  <si>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</si>
  <si>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</si>
  <si>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</si>
  <si>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</si>
  <si>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</si>
  <si>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</si>
  <si>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</si>
  <si>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</si>
  <si>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</si>
  <si>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</si>
  <si>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</si>
  <si>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</si>
  <si>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</si>
  <si>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</si>
  <si>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</si>
  <si>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</si>
  <si>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</si>
  <si>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</si>
  <si>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</si>
  <si>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</si>
  <si>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</si>
  <si>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</si>
  <si>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</si>
  <si>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</si>
  <si>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</si>
  <si>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</si>
  <si>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</si>
  <si>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</si>
  <si>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</si>
  <si>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</si>
  <si>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</si>
  <si>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</si>
  <si>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</si>
  <si>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</si>
  <si>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</si>
  <si>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</si>
  <si>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</si>
  <si>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</si>
  <si>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</si>
  <si>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</si>
  <si>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</si>
  <si>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</si>
  <si>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</si>
  <si>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</si>
  <si>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</si>
  <si>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</si>
  <si>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</si>
  <si>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</si>
  <si>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</si>
  <si>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</si>
  <si>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</si>
  <si>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</si>
  <si>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</si>
  <si>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</si>
  <si>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</si>
  <si>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</si>
  <si>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</si>
  <si>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</si>
  <si>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</si>
  <si>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</si>
  <si>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</si>
  <si>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</si>
  <si>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</si>
  <si>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</si>
  <si>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</si>
  <si>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</si>
  <si>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</si>
  <si>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</si>
  <si>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</si>
  <si>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</si>
  <si>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</si>
  <si>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</si>
  <si>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</si>
  <si>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</si>
  <si>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</si>
  <si>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</si>
  <si>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</si>
  <si>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</si>
  <si>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</si>
  <si>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</si>
  <si>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</si>
  <si>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</si>
  <si>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</si>
  <si>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</si>
  <si>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</si>
  <si>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</si>
  <si>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</si>
  <si>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</si>
  <si>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</si>
  <si>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</si>
  <si>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</si>
  <si>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</si>
  <si>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</si>
  <si>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</si>
  <si>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</si>
  <si>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</si>
  <si>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</si>
  <si>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</si>
  <si>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</si>
  <si>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</si>
  <si>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</si>
  <si>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</si>
  <si>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</si>
  <si>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</si>
  <si>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</si>
  <si>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</si>
  <si>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</si>
  <si>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</si>
  <si>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</si>
  <si>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</si>
  <si>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</si>
  <si>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</si>
  <si>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</si>
  <si>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</si>
  <si>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</si>
  <si>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</si>
  <si>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</si>
  <si>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</si>
  <si>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</si>
  <si>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</si>
  <si>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</si>
  <si>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</si>
  <si>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</si>
  <si>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</si>
  <si>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</si>
  <si>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</si>
  <si>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</si>
  <si>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</si>
  <si>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</si>
  <si>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</si>
  <si>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</si>
  <si>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</si>
  <si>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</si>
  <si>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</si>
  <si>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</si>
  <si>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</si>
  <si>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</si>
  <si>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</si>
  <si>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</si>
  <si>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</si>
  <si>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</si>
  <si>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</si>
  <si>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</si>
  <si>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</si>
  <si>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</si>
  <si>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</si>
  <si>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</si>
  <si>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</si>
  <si>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</si>
  <si>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</si>
  <si>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</si>
  <si>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</si>
  <si>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</si>
  <si>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</si>
  <si>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</si>
  <si>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</si>
  <si>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</si>
  <si>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</si>
  <si>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</si>
  <si>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</si>
  <si>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</si>
  <si>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</si>
  <si>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</si>
  <si>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</si>
  <si>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</si>
  <si>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</si>
  <si>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</si>
  <si>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</si>
  <si>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</si>
  <si>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</si>
  <si>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</si>
  <si>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</si>
  <si>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</si>
  <si>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</si>
  <si>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</si>
  <si>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</si>
  <si>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</si>
  <si>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</si>
  <si>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</si>
  <si>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</si>
  <si>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</si>
  <si>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</si>
  <si>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</si>
  <si>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</si>
  <si>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</si>
  <si>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</si>
  <si>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</si>
  <si>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</si>
  <si>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</si>
  <si>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</si>
  <si>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</si>
  <si>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</si>
  <si>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</si>
  <si>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</si>
  <si>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</si>
  <si>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</si>
  <si>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</si>
  <si>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</si>
  <si>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</si>
  <si>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</si>
  <si>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</si>
  <si>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</si>
  <si>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</si>
  <si>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</si>
  <si>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</si>
  <si>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</si>
  <si>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</si>
  <si>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</si>
  <si>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</si>
  <si>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</si>
  <si>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</si>
  <si>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</si>
  <si>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</si>
  <si>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</si>
  <si>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</si>
  <si>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</si>
  <si>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</si>
  <si>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</si>
  <si>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</si>
  <si>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</si>
  <si>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</si>
  <si>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PremiumSSw</t>
    <phoneticPr fontId="21"/>
  </si>
  <si>
    <t>tables_468100</t>
    <phoneticPr fontId="21"/>
  </si>
  <si>
    <t>tables_468010</t>
    <phoneticPr fontId="21"/>
  </si>
  <si>
    <t>tables_settle_468105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</si>
</sst>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2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0" fontId="26" fillId="3" borderId="14" xfId="2" applyFont="1" applyFill="1" applyBorder="1" applyAlignment="1">
      <alignment vertical="center"/>
    </xf>
    <xf numFmtId="180" fontId="0" fillId="0" borderId="0" xfId="0" applyNumberFormat="1"/>
    <xf numFmtId="0" fontId="2" fillId="4" borderId="1" xfId="2978" applyFont="1" applyFill="1" applyBorder="1"/>
    <xf numFmtId="0" fontId="1" fillId="4" borderId="1" xfId="2978" applyFont="1" applyFill="1" applyBorder="1"/>
    <xf numFmtId="0" fontId="1" fillId="0" borderId="1" xfId="3036" applyFont="1" applyBorder="1"/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突命の戦克車　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technical</v>
          </cell>
          <cell r="L1128" t="str">
            <v>テクニカルタイプ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balance</v>
          </cell>
          <cell r="L1245" t="str">
            <v>バランスタイプ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balance</v>
          </cell>
          <cell r="L1246" t="str">
            <v>バランスタイプ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グラーチカ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グラーチカ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ニコラウス</v>
          </cell>
          <cell r="H1287" t="str">
            <v>blue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academia</v>
          </cell>
        </row>
        <row r="1288">
          <cell r="A1288">
            <v>1287</v>
          </cell>
          <cell r="B1288" t="str">
            <v>ja</v>
          </cell>
          <cell r="C1288" t="str">
            <v>ニコラウス</v>
          </cell>
          <cell r="H1288" t="str">
            <v>blue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academia</v>
          </cell>
        </row>
        <row r="1289">
          <cell r="A1289">
            <v>1288</v>
          </cell>
          <cell r="B1289" t="str">
            <v>ja</v>
          </cell>
          <cell r="C1289" t="str">
            <v>ニコラウス超覚醒</v>
          </cell>
          <cell r="H1289" t="str">
            <v>blue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リボン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attack</v>
          </cell>
          <cell r="L1290" t="str">
            <v>攻撃タイプ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ゲルダ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ラビットユキネ(2017)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attack</v>
          </cell>
          <cell r="L1296" t="str">
            <v>攻撃タイプ</v>
          </cell>
          <cell r="M1296" t="str">
            <v>human</v>
          </cell>
        </row>
        <row r="1297">
          <cell r="A1297">
            <v>1296</v>
          </cell>
          <cell r="B1297" t="str">
            <v>ja</v>
          </cell>
          <cell r="C1297" t="str">
            <v>ラビットユキネ(2017)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attack</v>
          </cell>
          <cell r="L1297" t="str">
            <v>攻撃タイプ</v>
          </cell>
          <cell r="M1297" t="str">
            <v>human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attack</v>
          </cell>
          <cell r="L1298" t="str">
            <v>攻撃タイプ</v>
          </cell>
          <cell r="M1298" t="str">
            <v>human</v>
          </cell>
        </row>
        <row r="1299">
          <cell r="A1299">
            <v>1298</v>
          </cell>
          <cell r="B1299" t="str">
            <v>ja</v>
          </cell>
          <cell r="C1299" t="str">
            <v>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attack</v>
          </cell>
          <cell r="L1299" t="str">
            <v>攻撃タイプ</v>
          </cell>
          <cell r="M1299" t="str">
            <v>human</v>
          </cell>
        </row>
        <row r="1300">
          <cell r="A1300">
            <v>1299</v>
          </cell>
          <cell r="B1300" t="str">
            <v>ja</v>
          </cell>
          <cell r="C1300" t="str">
            <v>初音ミクV3R6覚醒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ミクコスプレ(紫式部)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balance</v>
          </cell>
          <cell r="L1301" t="str">
            <v>バランスタイプ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ミクコスプレ(紫式部)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balance</v>
          </cell>
          <cell r="L1302" t="str">
            <v>バランスタイプ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リンコスプレ(イナバ)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リンコスプレ(イナバ)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KAITOコスプレ(ハーメルン)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balance</v>
          </cell>
          <cell r="L1305" t="str">
            <v>バランスタイプ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KAITOコスプレ(ハーメルン)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balance</v>
          </cell>
          <cell r="L1306" t="str">
            <v>バランスタイプ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超ウィズミクコスプレ(ルシファー)</v>
          </cell>
          <cell r="H1307" t="str">
            <v>yellow</v>
          </cell>
          <cell r="I1307">
            <v>5</v>
          </cell>
          <cell r="J1307" t="str">
            <v>DropWizS</v>
          </cell>
          <cell r="K1307" t="str">
            <v>balance</v>
          </cell>
          <cell r="L1307" t="str">
            <v>バランスタイプ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超ウィズミクコスプレ(ルシファー)</v>
          </cell>
          <cell r="H1308" t="str">
            <v>yellow</v>
          </cell>
          <cell r="I1308">
            <v>6</v>
          </cell>
          <cell r="J1308" t="str">
            <v>DropWizS</v>
          </cell>
          <cell r="K1308" t="str">
            <v>balance</v>
          </cell>
          <cell r="L1308" t="str">
            <v>バランスタイプ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初音ミクR6覚醒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初音ミクアペンドR6化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初音ミクアペンド超覚醒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technical</v>
          </cell>
          <cell r="L1311" t="str">
            <v>テクニカルタイプ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鏡音リンR6覚醒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鏡音レンR6覚醒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巡音ルカR5覚醒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MEIKOR5覚醒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KAITOR5覚醒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DropWizS</v>
          </cell>
          <cell r="K1317" t="str">
            <v>attack</v>
          </cell>
          <cell r="L1317" t="str">
            <v>攻撃タイプ</v>
          </cell>
          <cell r="M1317" t="str">
            <v>human</v>
          </cell>
        </row>
        <row r="1318">
          <cell r="A1318">
            <v>1317</v>
          </cell>
          <cell r="B1318" t="str">
            <v>ja</v>
          </cell>
          <cell r="C1318" t="str">
            <v>初音ミクV4X</v>
          </cell>
          <cell r="H1318" t="str">
            <v>green</v>
          </cell>
          <cell r="I1318">
            <v>6</v>
          </cell>
          <cell r="J1318" t="str">
            <v>DropWizS</v>
          </cell>
          <cell r="K1318" t="str">
            <v>attack</v>
          </cell>
          <cell r="L1318" t="str">
            <v>攻撃タイプ</v>
          </cell>
          <cell r="M1318" t="str">
            <v>human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DropWizS</v>
          </cell>
          <cell r="K1319" t="str">
            <v>attack</v>
          </cell>
          <cell r="L1319" t="str">
            <v>攻撃タイプ</v>
          </cell>
          <cell r="M1319" t="str">
            <v>human</v>
          </cell>
        </row>
        <row r="1320">
          <cell r="A1320">
            <v>1319</v>
          </cell>
          <cell r="B1320" t="str">
            <v>ja</v>
          </cell>
          <cell r="C1320" t="str">
            <v>鏡音リンV4X</v>
          </cell>
          <cell r="H1320" t="str">
            <v>yellow</v>
          </cell>
          <cell r="I1320">
            <v>6</v>
          </cell>
          <cell r="J1320" t="str">
            <v>DropWizS</v>
          </cell>
          <cell r="K1320" t="str">
            <v>attack</v>
          </cell>
          <cell r="L1320" t="str">
            <v>攻撃タイプ</v>
          </cell>
          <cell r="M1320" t="str">
            <v>human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DropWizS</v>
          </cell>
          <cell r="K1321" t="str">
            <v>attack</v>
          </cell>
          <cell r="L1321" t="str">
            <v>攻撃タイプ</v>
          </cell>
          <cell r="M1321" t="str">
            <v>human</v>
          </cell>
        </row>
        <row r="1322">
          <cell r="A1322">
            <v>1321</v>
          </cell>
          <cell r="B1322" t="str">
            <v>ja</v>
          </cell>
          <cell r="C1322" t="str">
            <v>鏡音レンV4X</v>
          </cell>
          <cell r="H1322" t="str">
            <v>yellow</v>
          </cell>
          <cell r="I1322">
            <v>6</v>
          </cell>
          <cell r="J1322" t="str">
            <v>DropWizS</v>
          </cell>
          <cell r="K1322" t="str">
            <v>attack</v>
          </cell>
          <cell r="L1322" t="str">
            <v>攻撃タイプ</v>
          </cell>
          <cell r="M1322" t="str">
            <v>human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DropWizS</v>
          </cell>
          <cell r="K1323" t="str">
            <v>attack</v>
          </cell>
          <cell r="L1323" t="str">
            <v>攻撃タイプ</v>
          </cell>
          <cell r="M1323" t="str">
            <v>human</v>
          </cell>
        </row>
        <row r="1324">
          <cell r="A1324">
            <v>1323</v>
          </cell>
          <cell r="B1324" t="str">
            <v>ja</v>
          </cell>
          <cell r="C1324" t="str">
            <v>巡音ルカV4X</v>
          </cell>
          <cell r="H1324" t="str">
            <v>red</v>
          </cell>
          <cell r="I1324">
            <v>6</v>
          </cell>
          <cell r="J1324" t="str">
            <v>DropWizS</v>
          </cell>
          <cell r="K1324" t="str">
            <v>attack</v>
          </cell>
          <cell r="L1324" t="str">
            <v>攻撃タイプ</v>
          </cell>
          <cell r="M1324" t="str">
            <v>human</v>
          </cell>
        </row>
        <row r="1325">
          <cell r="A1325">
            <v>1324</v>
          </cell>
          <cell r="B1325" t="str">
            <v>ja</v>
          </cell>
          <cell r="C1325" t="str">
            <v>狛犬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狛犬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オオクニヌシ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タマヨリヒメ(はずれ)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タマヨリヒメ(はずれ)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クシナダヒメ(超あたり)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クシナダヒメ(超あたり)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フェルメール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heal</v>
          </cell>
          <cell r="L1368" t="str">
            <v>回復タイプ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フェルメール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heal</v>
          </cell>
          <cell r="L1369" t="str">
            <v>回復タイプ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6001</v>
          </cell>
          <cell r="B1376" t="str">
            <v>ja</v>
          </cell>
          <cell r="C1376" t="str">
            <v>ジェリー</v>
          </cell>
          <cell r="D1376" t="str">
            <v>ノーマルクエスト</v>
          </cell>
          <cell r="E1376" t="str">
            <v>QoH</v>
          </cell>
          <cell r="F1376" t="str">
            <v>世界観</v>
          </cell>
          <cell r="G1376" t="str">
            <v>不明</v>
          </cell>
          <cell r="H1376" t="str">
            <v>red</v>
          </cell>
          <cell r="I1376">
            <v>1</v>
          </cell>
          <cell r="J1376" t="str">
            <v>Drop1T</v>
          </cell>
          <cell r="K1376" t="str">
            <v>ra</v>
          </cell>
          <cell r="L1376" t="str">
            <v>ラグランジュチャレンジ</v>
          </cell>
          <cell r="M1376" t="str">
            <v>unknown</v>
          </cell>
        </row>
        <row r="1377">
          <cell r="A1377">
            <v>6002</v>
          </cell>
          <cell r="B1377" t="str">
            <v>ja</v>
          </cell>
          <cell r="C1377" t="str">
            <v>ヨシタカ</v>
          </cell>
          <cell r="D1377" t="str">
            <v>ノーマルクエスト</v>
          </cell>
          <cell r="E1377" t="str">
            <v>アバター</v>
          </cell>
          <cell r="F1377" t="str">
            <v>世界観</v>
          </cell>
          <cell r="G1377" t="str">
            <v>男性</v>
          </cell>
          <cell r="H1377" t="str">
            <v>red</v>
          </cell>
          <cell r="I1377">
            <v>2</v>
          </cell>
          <cell r="J1377" t="str">
            <v>Drop1N</v>
          </cell>
          <cell r="K1377" t="str">
            <v>ra</v>
          </cell>
          <cell r="L1377" t="str">
            <v>ラグランジュチャレンジ</v>
          </cell>
          <cell r="M1377" t="str">
            <v>human</v>
          </cell>
        </row>
        <row r="1378">
          <cell r="A1378">
            <v>6003</v>
          </cell>
          <cell r="B1378" t="str">
            <v>ja</v>
          </cell>
          <cell r="C1378" t="str">
            <v>朱雀</v>
          </cell>
          <cell r="D1378" t="str">
            <v>リンクガチャ:4神</v>
          </cell>
          <cell r="E1378" t="str">
            <v>守護神</v>
          </cell>
          <cell r="F1378" t="str">
            <v>格好いい</v>
          </cell>
          <cell r="G1378" t="str">
            <v>不明</v>
          </cell>
          <cell r="H1378" t="str">
            <v>red</v>
          </cell>
          <cell r="I1378">
            <v>3</v>
          </cell>
          <cell r="J1378" t="str">
            <v>Drop2N</v>
          </cell>
          <cell r="K1378" t="str">
            <v>ra</v>
          </cell>
          <cell r="L1378" t="str">
            <v>ラグランジュチャレンジ</v>
          </cell>
          <cell r="M1378" t="str">
            <v>animal</v>
          </cell>
        </row>
        <row r="1379">
          <cell r="A1379">
            <v>6004</v>
          </cell>
          <cell r="B1379" t="str">
            <v>ja</v>
          </cell>
          <cell r="C1379" t="str">
            <v>ブレット</v>
          </cell>
          <cell r="D1379" t="str">
            <v>ノーマルクエスト</v>
          </cell>
          <cell r="E1379" t="str">
            <v>アバター</v>
          </cell>
          <cell r="F1379" t="str">
            <v>世界観</v>
          </cell>
          <cell r="G1379" t="str">
            <v>不明</v>
          </cell>
          <cell r="H1379" t="str">
            <v>red</v>
          </cell>
          <cell r="I1379">
            <v>1</v>
          </cell>
          <cell r="J1379" t="str">
            <v>Drop1W</v>
          </cell>
          <cell r="K1379" t="str">
            <v>ra</v>
          </cell>
          <cell r="L1379" t="str">
            <v>ラグランジュチャレンジ</v>
          </cell>
          <cell r="M1379" t="str">
            <v>animal</v>
          </cell>
        </row>
        <row r="1380">
          <cell r="A1380">
            <v>6005</v>
          </cell>
          <cell r="B1380" t="str">
            <v>ja</v>
          </cell>
          <cell r="C1380" t="str">
            <v>孤神 テティス</v>
          </cell>
          <cell r="D1380" t="str">
            <v>初期ガチャ</v>
          </cell>
          <cell r="E1380" t="str">
            <v>管理者</v>
          </cell>
          <cell r="F1380" t="str">
            <v>美しい</v>
          </cell>
          <cell r="G1380" t="str">
            <v>女性</v>
          </cell>
          <cell r="H1380" t="str">
            <v>blue</v>
          </cell>
          <cell r="I1380">
            <v>4</v>
          </cell>
          <cell r="J1380" t="str">
            <v>PremiumN</v>
          </cell>
          <cell r="K1380" t="str">
            <v>ra</v>
          </cell>
          <cell r="L1380" t="str">
            <v>ラグランジュチャレンジ</v>
          </cell>
          <cell r="M1380" t="str">
            <v>god</v>
          </cell>
        </row>
        <row r="1381">
          <cell r="A1381">
            <v>6006</v>
          </cell>
          <cell r="B1381" t="str">
            <v>ja</v>
          </cell>
          <cell r="C1381" t="str">
            <v>海底の孤高神 テティス</v>
          </cell>
          <cell r="D1381" t="str">
            <v>初期ガチャ</v>
          </cell>
          <cell r="E1381" t="str">
            <v>管理者</v>
          </cell>
          <cell r="F1381" t="str">
            <v>美しい</v>
          </cell>
          <cell r="G1381" t="str">
            <v>女性</v>
          </cell>
          <cell r="H1381" t="str">
            <v>blue</v>
          </cell>
          <cell r="I1381">
            <v>5</v>
          </cell>
          <cell r="J1381" t="str">
            <v>PremiumN</v>
          </cell>
          <cell r="K1381" t="str">
            <v>ra</v>
          </cell>
          <cell r="L1381" t="str">
            <v>ラグランジュチャレンジ</v>
          </cell>
          <cell r="M1381" t="str">
            <v>god</v>
          </cell>
        </row>
        <row r="1382">
          <cell r="A1382">
            <v>6007</v>
          </cell>
          <cell r="B1382" t="str">
            <v>ja</v>
          </cell>
          <cell r="C1382" t="str">
            <v>番犬 ケルベロス</v>
          </cell>
          <cell r="D1382" t="str">
            <v>初期ガチャ</v>
          </cell>
          <cell r="E1382" t="str">
            <v>破界者</v>
          </cell>
          <cell r="F1382" t="str">
            <v>可愛い</v>
          </cell>
          <cell r="G1382" t="str">
            <v>女性</v>
          </cell>
          <cell r="H1382" t="str">
            <v>red</v>
          </cell>
          <cell r="I1382">
            <v>4</v>
          </cell>
          <cell r="J1382" t="str">
            <v>PremiumN</v>
          </cell>
          <cell r="K1382" t="str">
            <v>ra</v>
          </cell>
          <cell r="L1382" t="str">
            <v>ラグランジュチャレンジ</v>
          </cell>
          <cell r="M1382" t="str">
            <v>animal</v>
          </cell>
        </row>
        <row r="1383">
          <cell r="A1383">
            <v>6008</v>
          </cell>
          <cell r="B1383" t="str">
            <v>ja</v>
          </cell>
          <cell r="C1383" t="str">
            <v>焔神 プロメテウス</v>
          </cell>
          <cell r="D1383" t="str">
            <v>初期ガチャ</v>
          </cell>
          <cell r="E1383" t="str">
            <v>管理者</v>
          </cell>
          <cell r="F1383" t="str">
            <v>格好いい</v>
          </cell>
          <cell r="G1383" t="str">
            <v>男性</v>
          </cell>
          <cell r="H1383" t="str">
            <v>red</v>
          </cell>
          <cell r="I1383">
            <v>4</v>
          </cell>
          <cell r="J1383" t="str">
            <v>PremiumN</v>
          </cell>
          <cell r="K1383" t="str">
            <v>ra</v>
          </cell>
          <cell r="L1383" t="str">
            <v>ラグランジュチャレンジ</v>
          </cell>
          <cell r="M1383" t="str">
            <v>god</v>
          </cell>
        </row>
        <row r="1384">
          <cell r="A1384">
            <v>6009</v>
          </cell>
          <cell r="B1384" t="str">
            <v>ja</v>
          </cell>
          <cell r="C1384" t="str">
            <v>超越自我 ラグランジュ</v>
          </cell>
          <cell r="D1384" t="str">
            <v>ガチャ:フィーバーフェス02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red</v>
          </cell>
          <cell r="I1384">
            <v>5</v>
          </cell>
          <cell r="J1384" t="str">
            <v>PremiumSSS</v>
          </cell>
          <cell r="K1384" t="str">
            <v>ra</v>
          </cell>
          <cell r="L1384" t="str">
            <v>ラグランジュチャレンジ</v>
          </cell>
          <cell r="M1384" t="str">
            <v>human</v>
          </cell>
        </row>
        <row r="1385">
          <cell r="A1385">
            <v>6010</v>
          </cell>
          <cell r="B1385" t="str">
            <v>ja</v>
          </cell>
          <cell r="C1385" t="str">
            <v>超越凌駕 ラグランジュ</v>
          </cell>
          <cell r="D1385" t="str">
            <v>ガチャ:フィーバーフェス02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red</v>
          </cell>
          <cell r="I1385">
            <v>6</v>
          </cell>
          <cell r="J1385" t="str">
            <v>PremiumSSS</v>
          </cell>
          <cell r="K1385" t="str">
            <v>ra</v>
          </cell>
          <cell r="L1385" t="str">
            <v>ラグランジュチャレンジ</v>
          </cell>
          <cell r="M1385" t="str">
            <v>human</v>
          </cell>
        </row>
        <row r="1386">
          <cell r="A1386">
            <v>6011</v>
          </cell>
          <cell r="B1386" t="str">
            <v>ja</v>
          </cell>
          <cell r="C1386" t="str">
            <v>パトドッグリーダー ポチ</v>
          </cell>
          <cell r="D1386" t="str">
            <v>ガチャ:フィーバーフェス02</v>
          </cell>
          <cell r="E1386" t="str">
            <v>執行者</v>
          </cell>
          <cell r="F1386" t="str">
            <v>格好いい</v>
          </cell>
          <cell r="G1386" t="str">
            <v>男性</v>
          </cell>
          <cell r="H1386" t="str">
            <v>blue</v>
          </cell>
          <cell r="I1386">
            <v>2</v>
          </cell>
          <cell r="J1386" t="str">
            <v>Drop1T</v>
          </cell>
          <cell r="K1386" t="str">
            <v>ra002</v>
          </cell>
          <cell r="L1386" t="str">
            <v>ユークリッドチャレンジ</v>
          </cell>
          <cell r="M1386" t="str">
            <v>unknown</v>
          </cell>
        </row>
        <row r="1387">
          <cell r="A1387">
            <v>6012</v>
          </cell>
          <cell r="B1387" t="str">
            <v>ja</v>
          </cell>
          <cell r="C1387" t="str">
            <v>ミミ</v>
          </cell>
          <cell r="D1387" t="str">
            <v>ガチャ:フィーバーフェス02</v>
          </cell>
          <cell r="E1387" t="str">
            <v>執行者</v>
          </cell>
          <cell r="F1387" t="str">
            <v>格好いい</v>
          </cell>
          <cell r="G1387" t="str">
            <v>男性</v>
          </cell>
          <cell r="H1387" t="str">
            <v>yellow</v>
          </cell>
          <cell r="I1387">
            <v>1</v>
          </cell>
          <cell r="J1387" t="str">
            <v>Drop1W</v>
          </cell>
          <cell r="K1387" t="str">
            <v>ra002</v>
          </cell>
          <cell r="L1387" t="str">
            <v>ユークリッドチャレンジ</v>
          </cell>
          <cell r="M1387" t="str">
            <v>animal</v>
          </cell>
        </row>
        <row r="1388">
          <cell r="A1388">
            <v>6013</v>
          </cell>
          <cell r="B1388" t="str">
            <v>ja</v>
          </cell>
          <cell r="C1388" t="str">
            <v>護衛機人 スケアクロウ</v>
          </cell>
          <cell r="D1388" t="str">
            <v>ガチャ:フィーバーフェス02</v>
          </cell>
          <cell r="E1388" t="str">
            <v>執行者</v>
          </cell>
          <cell r="F1388" t="str">
            <v>格好いい</v>
          </cell>
          <cell r="G1388" t="str">
            <v>男性</v>
          </cell>
          <cell r="H1388" t="str">
            <v>blue</v>
          </cell>
          <cell r="I1388">
            <v>2</v>
          </cell>
          <cell r="J1388" t="str">
            <v>Drop1N</v>
          </cell>
          <cell r="K1388" t="str">
            <v>ra002</v>
          </cell>
          <cell r="L1388" t="str">
            <v>ユークリッドチャレンジ</v>
          </cell>
          <cell r="M1388" t="str">
            <v>machine</v>
          </cell>
        </row>
        <row r="1389">
          <cell r="A1389">
            <v>6014</v>
          </cell>
          <cell r="B1389" t="str">
            <v>ja</v>
          </cell>
          <cell r="C1389" t="str">
            <v>月下の人狼 ローレンス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男性</v>
          </cell>
          <cell r="H1389" t="str">
            <v>blue</v>
          </cell>
          <cell r="I1389">
            <v>4</v>
          </cell>
          <cell r="J1389" t="str">
            <v>PremiumW</v>
          </cell>
          <cell r="K1389" t="str">
            <v>ra002</v>
          </cell>
          <cell r="L1389" t="str">
            <v>ユークリッドチャレンジ</v>
          </cell>
          <cell r="M1389" t="str">
            <v>animal</v>
          </cell>
        </row>
        <row r="1390">
          <cell r="A1390">
            <v>6015</v>
          </cell>
          <cell r="B1390" t="str">
            <v>ja</v>
          </cell>
          <cell r="C1390" t="str">
            <v>フレイヤ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男性</v>
          </cell>
          <cell r="H1390" t="str">
            <v>blue</v>
          </cell>
          <cell r="I1390">
            <v>4</v>
          </cell>
          <cell r="J1390" t="str">
            <v>PremiumSS</v>
          </cell>
          <cell r="K1390" t="str">
            <v>ra002</v>
          </cell>
          <cell r="L1390" t="str">
            <v>ユークリッドチャレンジ</v>
          </cell>
          <cell r="M1390" t="str">
            <v>animal</v>
          </cell>
        </row>
        <row r="1391">
          <cell r="A1391">
            <v>6016</v>
          </cell>
          <cell r="B1391" t="str">
            <v>ja</v>
          </cell>
          <cell r="C1391" t="str">
            <v>根原論理 ユークリッド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5</v>
          </cell>
          <cell r="J1391" t="str">
            <v>PremiumSSS</v>
          </cell>
          <cell r="K1391" t="str">
            <v>ra002</v>
          </cell>
          <cell r="L1391" t="str">
            <v>ユークリッドチャレンジ</v>
          </cell>
          <cell r="M1391" t="str">
            <v>human</v>
          </cell>
        </row>
        <row r="1392">
          <cell r="A1392">
            <v>6017</v>
          </cell>
          <cell r="B1392" t="str">
            <v>ja</v>
          </cell>
          <cell r="C1392" t="str">
            <v>不朽の極論 ユークリッド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ra002</v>
          </cell>
          <cell r="L1392" t="str">
            <v>ユークリッドチャレンジ</v>
          </cell>
          <cell r="M1392" t="str">
            <v>human</v>
          </cell>
        </row>
        <row r="1393">
          <cell r="A1393">
            <v>6018</v>
          </cell>
          <cell r="B1393" t="str">
            <v>ja</v>
          </cell>
          <cell r="C1393" t="str">
            <v>ハヅル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red</v>
          </cell>
          <cell r="I1393">
            <v>4</v>
          </cell>
          <cell r="J1393" t="str">
            <v>PremiumSS</v>
          </cell>
          <cell r="K1393" t="str">
            <v>ra002</v>
          </cell>
          <cell r="L1393" t="str">
            <v>ユークリッドチャレンジ</v>
          </cell>
          <cell r="M1393" t="str">
            <v>animal</v>
          </cell>
        </row>
        <row r="1394">
          <cell r="A1394">
            <v>6019</v>
          </cell>
          <cell r="B1394" t="str">
            <v>ja</v>
          </cell>
          <cell r="C1394" t="str">
            <v>天織羽鶴 ハヅル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red</v>
          </cell>
          <cell r="I1394">
            <v>5</v>
          </cell>
          <cell r="J1394" t="str">
            <v>PremiumSS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6020</v>
          </cell>
          <cell r="B1395" t="str">
            <v>ja</v>
          </cell>
          <cell r="C1395" t="str">
            <v>ミズチ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</v>
          </cell>
          <cell r="K1395" t="str">
            <v>ra002</v>
          </cell>
          <cell r="L1395" t="str">
            <v>ユークリッドチャレンジ</v>
          </cell>
          <cell r="M1395" t="str">
            <v>dragon</v>
          </cell>
        </row>
        <row r="1396">
          <cell r="A1396">
            <v>8001</v>
          </cell>
          <cell r="B1396" t="str">
            <v>ja</v>
          </cell>
          <cell r="C1396" t="str">
            <v>媽祖</v>
          </cell>
          <cell r="D1396" t="str">
            <v>イベント:ミクコラボ01</v>
          </cell>
          <cell r="E1396" t="str">
            <v>執行者</v>
          </cell>
          <cell r="F1396" t="str">
            <v>格好いい</v>
          </cell>
          <cell r="G1396" t="str">
            <v>女性</v>
          </cell>
          <cell r="H1396" t="str">
            <v>yellow</v>
          </cell>
          <cell r="I1396">
            <v>5</v>
          </cell>
          <cell r="J1396" t="str">
            <v>PremiumSS</v>
          </cell>
          <cell r="K1396" t="str">
            <v>attack</v>
          </cell>
          <cell r="L1396" t="str">
            <v>攻撃タイプ</v>
          </cell>
          <cell r="M1396" t="str">
            <v>god</v>
          </cell>
        </row>
        <row r="1397">
          <cell r="A1397">
            <v>8002</v>
          </cell>
          <cell r="B1397" t="str">
            <v>ja</v>
          </cell>
          <cell r="C1397" t="str">
            <v>天后 媽祖</v>
          </cell>
          <cell r="D1397" t="str">
            <v>イベント:ミクコラボ01</v>
          </cell>
          <cell r="E1397" t="str">
            <v>執行者</v>
          </cell>
          <cell r="F1397" t="str">
            <v>格好いい</v>
          </cell>
          <cell r="G1397" t="str">
            <v>女性</v>
          </cell>
          <cell r="H1397" t="str">
            <v>yellow</v>
          </cell>
          <cell r="I1397">
            <v>6</v>
          </cell>
          <cell r="J1397" t="str">
            <v>PremiumSS</v>
          </cell>
          <cell r="K1397" t="str">
            <v>attack</v>
          </cell>
          <cell r="L1397" t="str">
            <v>攻撃タイプ</v>
          </cell>
          <cell r="M1397" t="str">
            <v>god</v>
          </cell>
        </row>
        <row r="1398">
          <cell r="A1398">
            <v>8003</v>
          </cell>
          <cell r="B1398" t="str">
            <v>ja</v>
          </cell>
          <cell r="C1398" t="str">
            <v>蛟龍</v>
          </cell>
          <cell r="D1398" t="str">
            <v>イベント:ミクコラボ01</v>
          </cell>
          <cell r="E1398" t="str">
            <v>執行者</v>
          </cell>
          <cell r="F1398" t="str">
            <v>格好いい</v>
          </cell>
          <cell r="G1398" t="str">
            <v>不明</v>
          </cell>
          <cell r="H1398" t="str">
            <v>blue</v>
          </cell>
          <cell r="I1398">
            <v>5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8004</v>
          </cell>
          <cell r="B1399" t="str">
            <v>ja</v>
          </cell>
          <cell r="C1399" t="str">
            <v>深海蛟龍怪‧晏公</v>
          </cell>
          <cell r="D1399" t="str">
            <v>イベント:ミクコラボ01</v>
          </cell>
          <cell r="E1399" t="str">
            <v>執行者</v>
          </cell>
          <cell r="F1399" t="str">
            <v>格好いい</v>
          </cell>
          <cell r="G1399" t="str">
            <v>不明</v>
          </cell>
          <cell r="H1399" t="str">
            <v>blue</v>
          </cell>
          <cell r="I1399">
            <v>6</v>
          </cell>
          <cell r="J1399" t="str">
            <v>DropWizS</v>
          </cell>
          <cell r="K1399" t="str">
            <v>hp</v>
          </cell>
          <cell r="L1399" t="str">
            <v>体力タイプ</v>
          </cell>
          <cell r="M1399" t="str">
            <v>dragon</v>
          </cell>
        </row>
        <row r="1400">
          <cell r="A1400">
            <v>8005</v>
          </cell>
          <cell r="B1400" t="str">
            <v>ja</v>
          </cell>
          <cell r="C1400" t="str">
            <v>三蔵法師</v>
          </cell>
          <cell r="D1400" t="str">
            <v>イベント:ミクコラボ01</v>
          </cell>
          <cell r="E1400" t="str">
            <v>執行者</v>
          </cell>
          <cell r="F1400" t="str">
            <v>格好いい</v>
          </cell>
          <cell r="G1400" t="str">
            <v>不明</v>
          </cell>
          <cell r="H1400" t="str">
            <v>blue</v>
          </cell>
          <cell r="I1400">
            <v>5</v>
          </cell>
          <cell r="J1400" t="str">
            <v>PremiumSS</v>
          </cell>
          <cell r="K1400" t="str">
            <v>balance</v>
          </cell>
          <cell r="L1400" t="str">
            <v>バランスタイプ</v>
          </cell>
          <cell r="M1400" t="str">
            <v>human</v>
          </cell>
        </row>
        <row r="1401">
          <cell r="A1401">
            <v>8006</v>
          </cell>
          <cell r="B1401" t="str">
            <v>ja</v>
          </cell>
          <cell r="C1401" t="str">
            <v>三蔵法師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不明</v>
          </cell>
          <cell r="H1401" t="str">
            <v>blue</v>
          </cell>
          <cell r="I1401">
            <v>6</v>
          </cell>
          <cell r="J1401" t="str">
            <v>PremiumSS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8007</v>
          </cell>
          <cell r="B1402" t="str">
            <v>ja</v>
          </cell>
          <cell r="C1402" t="str">
            <v>孫悟空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不明</v>
          </cell>
          <cell r="H1402" t="str">
            <v>red</v>
          </cell>
          <cell r="I1402">
            <v>5</v>
          </cell>
          <cell r="J1402" t="str">
            <v>DropWizS</v>
          </cell>
          <cell r="K1402" t="str">
            <v>attack</v>
          </cell>
          <cell r="L1402" t="str">
            <v>攻撃タイプ</v>
          </cell>
          <cell r="M1402" t="str">
            <v>animal</v>
          </cell>
        </row>
        <row r="1403">
          <cell r="A1403">
            <v>8008</v>
          </cell>
          <cell r="B1403" t="str">
            <v>ja</v>
          </cell>
          <cell r="C1403" t="str">
            <v>孫悟空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red</v>
          </cell>
          <cell r="I1403">
            <v>6</v>
          </cell>
          <cell r="J1403" t="str">
            <v>DropWizS</v>
          </cell>
          <cell r="K1403" t="str">
            <v>attack</v>
          </cell>
          <cell r="L1403" t="str">
            <v>攻撃タイプ</v>
          </cell>
          <cell r="M1403" t="str">
            <v>animal</v>
          </cell>
        </row>
        <row r="1404">
          <cell r="A1404">
            <v>8009</v>
          </cell>
          <cell r="B1404" t="str">
            <v>ja</v>
          </cell>
          <cell r="C1404" t="str">
            <v>西王娘娘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green</v>
          </cell>
          <cell r="I1404">
            <v>5</v>
          </cell>
          <cell r="J1404" t="str">
            <v>PremiumSS</v>
          </cell>
          <cell r="K1404" t="str">
            <v>attack</v>
          </cell>
          <cell r="L1404" t="str">
            <v>攻撃タイプ</v>
          </cell>
          <cell r="M1404" t="str">
            <v>god</v>
          </cell>
        </row>
        <row r="1405">
          <cell r="A1405">
            <v>8010</v>
          </cell>
          <cell r="B1405" t="str">
            <v>ja</v>
          </cell>
          <cell r="C1405" t="str">
            <v>西王娘娘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green</v>
          </cell>
          <cell r="I1405">
            <v>6</v>
          </cell>
          <cell r="J1405" t="str">
            <v>PremiumSS</v>
          </cell>
          <cell r="K1405" t="str">
            <v>attack</v>
          </cell>
          <cell r="L1405" t="str">
            <v>攻撃タイプ</v>
          </cell>
          <cell r="M1405" t="str">
            <v>god</v>
          </cell>
        </row>
        <row r="1406">
          <cell r="A1406">
            <v>8011</v>
          </cell>
          <cell r="B1406" t="str">
            <v>ja</v>
          </cell>
          <cell r="C1406" t="str">
            <v>月下老人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女性</v>
          </cell>
          <cell r="H1406" t="str">
            <v>yellow</v>
          </cell>
          <cell r="I1406">
            <v>5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god</v>
          </cell>
        </row>
        <row r="1407">
          <cell r="A1407">
            <v>8012</v>
          </cell>
          <cell r="B1407" t="str">
            <v>ja</v>
          </cell>
          <cell r="C1407" t="str">
            <v>良緣祈福 月下老人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女性</v>
          </cell>
          <cell r="H1407" t="str">
            <v>yellow</v>
          </cell>
          <cell r="I1407">
            <v>6</v>
          </cell>
          <cell r="J1407" t="str">
            <v>DropWizS</v>
          </cell>
          <cell r="K1407" t="str">
            <v>balance</v>
          </cell>
          <cell r="L1407" t="str">
            <v>バランスタイプ</v>
          </cell>
          <cell r="M1407" t="str">
            <v>god</v>
          </cell>
        </row>
        <row r="1408">
          <cell r="A1408">
            <v>8013</v>
          </cell>
          <cell r="B1408" t="str">
            <v>ja</v>
          </cell>
          <cell r="C1408" t="str">
            <v>初音ミクV3</v>
          </cell>
          <cell r="D1408" t="str">
            <v>初音ミクV3</v>
          </cell>
          <cell r="E1408" t="str">
            <v>執行者</v>
          </cell>
          <cell r="F1408" t="str">
            <v>格好いい</v>
          </cell>
          <cell r="G1408" t="str">
            <v>女性</v>
          </cell>
          <cell r="H1408" t="str">
            <v>yellow</v>
          </cell>
          <cell r="I1408">
            <v>4</v>
          </cell>
          <cell r="J1408" t="str">
            <v>DropWizS</v>
          </cell>
          <cell r="K1408" t="str">
            <v>balance</v>
          </cell>
          <cell r="L1408" t="str">
            <v>バランスタイプ</v>
          </cell>
          <cell r="M1408" t="str">
            <v>unknown</v>
          </cell>
        </row>
        <row r="1409">
          <cell r="A1409">
            <v>8014</v>
          </cell>
          <cell r="B1409" t="str">
            <v>ja</v>
          </cell>
          <cell r="C1409" t="str">
            <v>初音ミクV3</v>
          </cell>
          <cell r="D1409" t="str">
            <v>初音ミクV3</v>
          </cell>
          <cell r="E1409" t="str">
            <v>執行者</v>
          </cell>
          <cell r="F1409" t="str">
            <v>格好いい</v>
          </cell>
          <cell r="G1409" t="str">
            <v>女性</v>
          </cell>
          <cell r="H1409" t="str">
            <v>yellow</v>
          </cell>
          <cell r="I1409">
            <v>5</v>
          </cell>
          <cell r="J1409" t="str">
            <v>DropWizS</v>
          </cell>
          <cell r="K1409" t="str">
            <v>balance</v>
          </cell>
          <cell r="L1409" t="str">
            <v>バランスタイプ</v>
          </cell>
          <cell r="M1409" t="str">
            <v>unknown</v>
          </cell>
        </row>
        <row r="1410">
          <cell r="A1410">
            <v>8015</v>
          </cell>
          <cell r="B1410" t="str">
            <v>ja</v>
          </cell>
          <cell r="C1410" t="str">
            <v>初音ミク・アペンド</v>
          </cell>
          <cell r="D1410" t="str">
            <v>初音ミク・アペンド</v>
          </cell>
          <cell r="E1410" t="str">
            <v>執行者</v>
          </cell>
          <cell r="F1410" t="str">
            <v>格好いい</v>
          </cell>
          <cell r="G1410" t="str">
            <v>女性</v>
          </cell>
          <cell r="H1410" t="str">
            <v>green</v>
          </cell>
          <cell r="I1410">
            <v>4</v>
          </cell>
          <cell r="J1410" t="str">
            <v>PremiumSSS</v>
          </cell>
          <cell r="K1410" t="str">
            <v>technical</v>
          </cell>
          <cell r="L1410" t="str">
            <v>テクニカルタイプ</v>
          </cell>
          <cell r="M1410" t="str">
            <v>unknown</v>
          </cell>
        </row>
        <row r="1411">
          <cell r="A1411">
            <v>8016</v>
          </cell>
          <cell r="B1411" t="str">
            <v>ja</v>
          </cell>
          <cell r="C1411" t="str">
            <v>初音ミク・アペンド</v>
          </cell>
          <cell r="D1411" t="str">
            <v>初音ミク・アペンド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green</v>
          </cell>
          <cell r="I1411">
            <v>5</v>
          </cell>
          <cell r="J1411" t="str">
            <v>PremiumSSS</v>
          </cell>
          <cell r="K1411" t="str">
            <v>technical</v>
          </cell>
          <cell r="L1411" t="str">
            <v>テクニカルタイプ</v>
          </cell>
          <cell r="M1411" t="str">
            <v>unknown</v>
          </cell>
        </row>
        <row r="1412">
          <cell r="A1412">
            <v>8017</v>
          </cell>
          <cell r="B1412" t="str">
            <v>ja</v>
          </cell>
          <cell r="C1412" t="str">
            <v>初音ミク</v>
          </cell>
          <cell r="D1412" t="str">
            <v>初音ミク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green</v>
          </cell>
          <cell r="I1412">
            <v>4</v>
          </cell>
          <cell r="J1412" t="str">
            <v>PremiumSSS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8018</v>
          </cell>
          <cell r="B1413" t="str">
            <v>ja</v>
          </cell>
          <cell r="C1413" t="str">
            <v>初音ミク</v>
          </cell>
          <cell r="D1413" t="str">
            <v>初音ミク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green</v>
          </cell>
          <cell r="I1413">
            <v>5</v>
          </cell>
          <cell r="J1413" t="str">
            <v>PremiumSSS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8019</v>
          </cell>
          <cell r="B1414" t="str">
            <v>ja</v>
          </cell>
          <cell r="C1414" t="str">
            <v>鏡音リン</v>
          </cell>
          <cell r="D1414" t="str">
            <v>鏡音リン</v>
          </cell>
          <cell r="E1414" t="str">
            <v>執行者</v>
          </cell>
          <cell r="F1414" t="str">
            <v>格好いい</v>
          </cell>
          <cell r="G1414" t="str">
            <v>男性</v>
          </cell>
          <cell r="H1414" t="str">
            <v>yellow</v>
          </cell>
          <cell r="I1414">
            <v>4</v>
          </cell>
          <cell r="J1414" t="str">
            <v>PremiumSS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8020</v>
          </cell>
          <cell r="B1415" t="str">
            <v>ja</v>
          </cell>
          <cell r="C1415" t="str">
            <v>鏡音リン</v>
          </cell>
          <cell r="D1415" t="str">
            <v>鏡音リン</v>
          </cell>
          <cell r="E1415" t="str">
            <v>執行者</v>
          </cell>
          <cell r="F1415" t="str">
            <v>格好いい</v>
          </cell>
          <cell r="G1415" t="str">
            <v>男性</v>
          </cell>
          <cell r="H1415" t="str">
            <v>yellow</v>
          </cell>
          <cell r="I1415">
            <v>5</v>
          </cell>
          <cell r="J1415" t="str">
            <v>PremiumSS</v>
          </cell>
          <cell r="K1415" t="str">
            <v>balance</v>
          </cell>
          <cell r="L1415" t="str">
            <v>バランスタイプ</v>
          </cell>
          <cell r="M1415" t="str">
            <v>unknown</v>
          </cell>
        </row>
        <row r="1416">
          <cell r="A1416">
            <v>8021</v>
          </cell>
          <cell r="B1416" t="str">
            <v>ja</v>
          </cell>
          <cell r="C1416" t="str">
            <v>鏡音レン</v>
          </cell>
          <cell r="D1416" t="str">
            <v>鏡音レン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yellow</v>
          </cell>
          <cell r="I1416">
            <v>4</v>
          </cell>
          <cell r="J1416" t="str">
            <v>PremiumSS</v>
          </cell>
          <cell r="K1416" t="str">
            <v>heal</v>
          </cell>
          <cell r="L1416" t="str">
            <v>回復タイプ</v>
          </cell>
          <cell r="M1416" t="str">
            <v>unknown</v>
          </cell>
        </row>
        <row r="1417">
          <cell r="A1417">
            <v>8022</v>
          </cell>
          <cell r="B1417" t="str">
            <v>ja</v>
          </cell>
          <cell r="C1417" t="str">
            <v>鏡音レン</v>
          </cell>
          <cell r="D1417" t="str">
            <v>鏡音レン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yellow</v>
          </cell>
          <cell r="I1417">
            <v>5</v>
          </cell>
          <cell r="J1417" t="str">
            <v>PremiumSS</v>
          </cell>
          <cell r="K1417" t="str">
            <v>heal</v>
          </cell>
          <cell r="L1417" t="str">
            <v>回復タイプ</v>
          </cell>
          <cell r="M1417" t="str">
            <v>unknown</v>
          </cell>
        </row>
        <row r="1418">
          <cell r="A1418">
            <v>8023</v>
          </cell>
          <cell r="B1418" t="str">
            <v>ja</v>
          </cell>
          <cell r="C1418" t="str">
            <v>巡音ルカ</v>
          </cell>
          <cell r="D1418" t="str">
            <v>巡音ルカ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red</v>
          </cell>
          <cell r="I1418">
            <v>3</v>
          </cell>
          <cell r="J1418" t="str">
            <v>PremiumS</v>
          </cell>
          <cell r="K1418" t="str">
            <v>attack</v>
          </cell>
          <cell r="L1418" t="str">
            <v>攻撃タイプ</v>
          </cell>
          <cell r="M1418" t="str">
            <v>unknown</v>
          </cell>
        </row>
        <row r="1419">
          <cell r="A1419">
            <v>8024</v>
          </cell>
          <cell r="B1419" t="str">
            <v>ja</v>
          </cell>
          <cell r="C1419" t="str">
            <v>巡音ルカ</v>
          </cell>
          <cell r="D1419" t="str">
            <v>巡音ルカ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red</v>
          </cell>
          <cell r="I1419">
            <v>4</v>
          </cell>
          <cell r="J1419" t="str">
            <v>PremiumS</v>
          </cell>
          <cell r="K1419" t="str">
            <v>attack</v>
          </cell>
          <cell r="L1419" t="str">
            <v>攻撃タイプ</v>
          </cell>
          <cell r="M1419" t="str">
            <v>unknown</v>
          </cell>
        </row>
        <row r="1420">
          <cell r="A1420">
            <v>8025</v>
          </cell>
          <cell r="B1420" t="str">
            <v>ja</v>
          </cell>
          <cell r="C1420" t="str">
            <v>MEIKO</v>
          </cell>
          <cell r="D1420" t="str">
            <v>MEIKO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red</v>
          </cell>
          <cell r="I1420">
            <v>3</v>
          </cell>
          <cell r="J1420" t="str">
            <v>PremiumS</v>
          </cell>
          <cell r="K1420" t="str">
            <v>hp</v>
          </cell>
          <cell r="L1420" t="str">
            <v>体力タイプ</v>
          </cell>
          <cell r="M1420" t="str">
            <v>unknown</v>
          </cell>
        </row>
        <row r="1421">
          <cell r="A1421">
            <v>8026</v>
          </cell>
          <cell r="B1421" t="str">
            <v>ja</v>
          </cell>
          <cell r="C1421" t="str">
            <v>MEIKO</v>
          </cell>
          <cell r="D1421" t="str">
            <v>MEIKO</v>
          </cell>
          <cell r="E1421" t="str">
            <v>執行者</v>
          </cell>
          <cell r="F1421" t="str">
            <v>格好いい</v>
          </cell>
          <cell r="G1421" t="str">
            <v>男性</v>
          </cell>
          <cell r="H1421" t="str">
            <v>red</v>
          </cell>
          <cell r="I1421">
            <v>4</v>
          </cell>
          <cell r="J1421" t="str">
            <v>PremiumS</v>
          </cell>
          <cell r="K1421" t="str">
            <v>hp</v>
          </cell>
          <cell r="L1421" t="str">
            <v>体力タイプ</v>
          </cell>
          <cell r="M1421" t="str">
            <v>unknown</v>
          </cell>
        </row>
        <row r="1422">
          <cell r="A1422">
            <v>8027</v>
          </cell>
          <cell r="B1422" t="str">
            <v>ja</v>
          </cell>
          <cell r="C1422" t="str">
            <v>KAITO</v>
          </cell>
          <cell r="D1422" t="str">
            <v>KAITO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blue</v>
          </cell>
          <cell r="I1422">
            <v>3</v>
          </cell>
          <cell r="J1422" t="str">
            <v>PremiumS</v>
          </cell>
          <cell r="K1422" t="str">
            <v>technical</v>
          </cell>
          <cell r="L1422" t="str">
            <v>テクニカルタイプ</v>
          </cell>
          <cell r="M1422" t="str">
            <v>unknown</v>
          </cell>
        </row>
        <row r="1423">
          <cell r="A1423">
            <v>8028</v>
          </cell>
          <cell r="B1423" t="str">
            <v>ja</v>
          </cell>
          <cell r="C1423" t="str">
            <v>KAITO</v>
          </cell>
          <cell r="D1423" t="str">
            <v>KAITO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blue</v>
          </cell>
          <cell r="I1423">
            <v>4</v>
          </cell>
          <cell r="J1423" t="str">
            <v>PremiumS</v>
          </cell>
          <cell r="K1423" t="str">
            <v>technical</v>
          </cell>
          <cell r="L1423" t="str">
            <v>テクニカルタイプ</v>
          </cell>
          <cell r="M1423" t="str">
            <v>unknown</v>
          </cell>
        </row>
        <row r="1424">
          <cell r="A1424">
            <v>8029</v>
          </cell>
          <cell r="B1424" t="str">
            <v>ja</v>
          </cell>
          <cell r="C1424" t="str">
            <v>Expoミク</v>
          </cell>
          <cell r="D1424" t="str">
            <v>Expoミク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blue</v>
          </cell>
          <cell r="I1424">
            <v>4</v>
          </cell>
          <cell r="J1424" t="str">
            <v>Drop2N</v>
          </cell>
          <cell r="K1424" t="str">
            <v>heal</v>
          </cell>
          <cell r="L1424" t="str">
            <v>回復タイプ</v>
          </cell>
          <cell r="M1424" t="str">
            <v>unknown</v>
          </cell>
        </row>
        <row r="1425">
          <cell r="A1425">
            <v>8030</v>
          </cell>
          <cell r="B1425" t="str">
            <v>ja</v>
          </cell>
          <cell r="C1425" t="str">
            <v>Expoミク</v>
          </cell>
          <cell r="D1425" t="str">
            <v>Expoミク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blue</v>
          </cell>
          <cell r="I1425">
            <v>4</v>
          </cell>
          <cell r="J1425" t="str">
            <v>Drop2N</v>
          </cell>
          <cell r="K1425" t="str">
            <v>heal</v>
          </cell>
          <cell r="L1425" t="str">
            <v>回復タイプ</v>
          </cell>
          <cell r="M1425" t="str">
            <v>unknown</v>
          </cell>
        </row>
        <row r="1426">
          <cell r="A1426">
            <v>8031</v>
          </cell>
          <cell r="B1426" t="str">
            <v>ja</v>
          </cell>
          <cell r="C1426" t="str">
            <v>閻羅王</v>
          </cell>
          <cell r="D1426" t="str">
            <v>Expoミク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red</v>
          </cell>
          <cell r="I1426">
            <v>5</v>
          </cell>
          <cell r="J1426" t="str">
            <v>PremiumSS</v>
          </cell>
          <cell r="K1426" t="str">
            <v>balance</v>
          </cell>
          <cell r="L1426" t="str">
            <v>バランスタイプ</v>
          </cell>
          <cell r="M1426" t="str">
            <v>god</v>
          </cell>
        </row>
        <row r="1427">
          <cell r="A1427">
            <v>8032</v>
          </cell>
          <cell r="B1427" t="str">
            <v>ja</v>
          </cell>
          <cell r="C1427" t="str">
            <v>十殿閻羅王</v>
          </cell>
          <cell r="D1427" t="str">
            <v>Expoミク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red</v>
          </cell>
          <cell r="I1427">
            <v>6</v>
          </cell>
          <cell r="J1427" t="str">
            <v>PremiumSS</v>
          </cell>
          <cell r="K1427" t="str">
            <v>balance</v>
          </cell>
          <cell r="L1427" t="str">
            <v>バランスタイプ</v>
          </cell>
          <cell r="M1427" t="str">
            <v>god</v>
          </cell>
        </row>
        <row r="1428">
          <cell r="A1428">
            <v>8033</v>
          </cell>
          <cell r="B1428" t="str">
            <v>ja</v>
          </cell>
          <cell r="C1428" t="str">
            <v>牛頭馬面</v>
          </cell>
          <cell r="D1428" t="str">
            <v>Expoミク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green</v>
          </cell>
          <cell r="I1428">
            <v>5</v>
          </cell>
          <cell r="J1428" t="str">
            <v>DropWizS</v>
          </cell>
          <cell r="K1428" t="str">
            <v>attack</v>
          </cell>
          <cell r="L1428" t="str">
            <v>攻撃タイプ</v>
          </cell>
          <cell r="M1428" t="str">
            <v>god</v>
          </cell>
        </row>
        <row r="1429">
          <cell r="A1429">
            <v>8034</v>
          </cell>
          <cell r="B1429" t="str">
            <v>ja</v>
          </cell>
          <cell r="C1429" t="str">
            <v>牛頭馬面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green</v>
          </cell>
          <cell r="I1429">
            <v>6</v>
          </cell>
          <cell r="J1429" t="str">
            <v>DropWizS</v>
          </cell>
          <cell r="K1429" t="str">
            <v>attack</v>
          </cell>
          <cell r="L1429" t="str">
            <v>攻撃タイプ</v>
          </cell>
          <cell r="M1429" t="str">
            <v>god</v>
          </cell>
        </row>
        <row r="1430">
          <cell r="A1430">
            <v>8035</v>
          </cell>
          <cell r="B1430" t="str">
            <v>ja</v>
          </cell>
          <cell r="C1430" t="str">
            <v>飛衛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PremiumSS</v>
          </cell>
          <cell r="K1430" t="str">
            <v>heal</v>
          </cell>
          <cell r="L1430" t="str">
            <v>回復タイプ</v>
          </cell>
          <cell r="M1430" t="str">
            <v>human</v>
          </cell>
        </row>
        <row r="1431">
          <cell r="A1431">
            <v>8036</v>
          </cell>
          <cell r="B1431" t="str">
            <v>ja</v>
          </cell>
          <cell r="C1431" t="str">
            <v>レア６飛衛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blue</v>
          </cell>
          <cell r="I1431">
            <v>6</v>
          </cell>
          <cell r="J1431" t="str">
            <v>PremiumSS</v>
          </cell>
          <cell r="K1431" t="str">
            <v>heal</v>
          </cell>
          <cell r="L1431" t="str">
            <v>回復タイプ</v>
          </cell>
          <cell r="M1431" t="str">
            <v>human</v>
          </cell>
        </row>
        <row r="1432">
          <cell r="A1432">
            <v>8037</v>
          </cell>
          <cell r="B1432" t="str">
            <v>ja</v>
          </cell>
          <cell r="C1432" t="str">
            <v>紀昌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5</v>
          </cell>
          <cell r="J1432" t="str">
            <v>DropWizS</v>
          </cell>
          <cell r="K1432" t="str">
            <v>attack</v>
          </cell>
          <cell r="L1432" t="str">
            <v>攻撃タイプ</v>
          </cell>
          <cell r="M1432" t="str">
            <v>human</v>
          </cell>
        </row>
        <row r="1433">
          <cell r="A1433">
            <v>8038</v>
          </cell>
          <cell r="B1433" t="str">
            <v>ja</v>
          </cell>
          <cell r="C1433" t="str">
            <v>レア６紀昌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red</v>
          </cell>
          <cell r="I1433">
            <v>6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human</v>
          </cell>
        </row>
        <row r="1434">
          <cell r="A1434">
            <v>8039</v>
          </cell>
          <cell r="B1434" t="str">
            <v>ja</v>
          </cell>
          <cell r="C1434" t="str">
            <v>何仙姑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yellow</v>
          </cell>
          <cell r="I1434">
            <v>5</v>
          </cell>
          <cell r="J1434" t="str">
            <v>PremiumSS</v>
          </cell>
          <cell r="K1434" t="str">
            <v>hp</v>
          </cell>
          <cell r="L1434" t="str">
            <v>体力タイプ</v>
          </cell>
          <cell r="M1434" t="str">
            <v>god</v>
          </cell>
        </row>
        <row r="1435">
          <cell r="A1435">
            <v>8040</v>
          </cell>
          <cell r="B1435" t="str">
            <v>ja</v>
          </cell>
          <cell r="C1435" t="str">
            <v>何仙姑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yellow</v>
          </cell>
          <cell r="I1435">
            <v>6</v>
          </cell>
          <cell r="J1435" t="str">
            <v>PremiumSS</v>
          </cell>
          <cell r="K1435" t="str">
            <v>hp</v>
          </cell>
          <cell r="L1435" t="str">
            <v>体力タイプ</v>
          </cell>
          <cell r="M1435" t="str">
            <v>god</v>
          </cell>
        </row>
        <row r="1436">
          <cell r="A1436">
            <v>8041</v>
          </cell>
          <cell r="B1436" t="str">
            <v>ja</v>
          </cell>
          <cell r="C1436" t="str">
            <v>藍采和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5</v>
          </cell>
          <cell r="J1436" t="str">
            <v>DropWizS</v>
          </cell>
          <cell r="K1436" t="str">
            <v>balance</v>
          </cell>
          <cell r="L1436" t="str">
            <v>バランスタイプ</v>
          </cell>
          <cell r="M1436" t="str">
            <v>god</v>
          </cell>
        </row>
        <row r="1437">
          <cell r="A1437">
            <v>8042</v>
          </cell>
          <cell r="B1437" t="str">
            <v>ja</v>
          </cell>
          <cell r="C1437" t="str">
            <v>藍采和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blue</v>
          </cell>
          <cell r="I1437">
            <v>6</v>
          </cell>
          <cell r="J1437" t="str">
            <v>DropWizS</v>
          </cell>
          <cell r="K1437" t="str">
            <v>balance</v>
          </cell>
          <cell r="L1437" t="str">
            <v>バランスタイプ</v>
          </cell>
          <cell r="M1437" t="str">
            <v>god</v>
          </cell>
        </row>
        <row r="1438">
          <cell r="A1438">
            <v>8043</v>
          </cell>
          <cell r="B1438" t="str">
            <v>ja</v>
          </cell>
          <cell r="C1438" t="str">
            <v>サンリオキャラ大集合+アザゼル</v>
          </cell>
          <cell r="D1438" t="str">
            <v>サンリオキャラ大集合+アザゼル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green</v>
          </cell>
          <cell r="I1438">
            <v>5</v>
          </cell>
          <cell r="J1438" t="str">
            <v>DropWizS</v>
          </cell>
          <cell r="K1438" t="str">
            <v>technical</v>
          </cell>
          <cell r="L1438" t="str">
            <v>テクニカルタイプ</v>
          </cell>
          <cell r="M1438" t="str">
            <v>ss</v>
          </cell>
        </row>
        <row r="1439">
          <cell r="A1439">
            <v>8044</v>
          </cell>
          <cell r="B1439" t="str">
            <v>ja</v>
          </cell>
          <cell r="C1439" t="str">
            <v>サンリオキャラ大集合+アザゼル</v>
          </cell>
          <cell r="D1439" t="str">
            <v>サンリオキャラ大集合+アザゼル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green</v>
          </cell>
          <cell r="I1439">
            <v>6</v>
          </cell>
          <cell r="J1439" t="str">
            <v>DropWizS</v>
          </cell>
          <cell r="K1439" t="str">
            <v>technical</v>
          </cell>
          <cell r="L1439" t="str">
            <v>テクニカルタイプ</v>
          </cell>
          <cell r="M1439" t="str">
            <v>ss</v>
          </cell>
        </row>
        <row r="1440">
          <cell r="A1440">
            <v>8045</v>
          </cell>
          <cell r="B1440" t="str">
            <v>ja</v>
          </cell>
          <cell r="C1440" t="str">
            <v>ニムダ_サンリオキャラ混じり</v>
          </cell>
          <cell r="D1440" t="str">
            <v>ニムダ_サンリオキャラ混じり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4</v>
          </cell>
          <cell r="J1440" t="str">
            <v>Drop2N</v>
          </cell>
          <cell r="K1440" t="str">
            <v>technical</v>
          </cell>
          <cell r="L1440" t="str">
            <v>テクニカルタイプ</v>
          </cell>
          <cell r="M1440" t="str">
            <v>ss</v>
          </cell>
        </row>
        <row r="1441">
          <cell r="A1441">
            <v>8046</v>
          </cell>
          <cell r="B1441" t="str">
            <v>ja</v>
          </cell>
          <cell r="C1441" t="str">
            <v>ニムダ_サンリオキャラ混じり</v>
          </cell>
          <cell r="D1441" t="str">
            <v>ニムダ_サンリオキャラ混じり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yellow</v>
          </cell>
          <cell r="I1441">
            <v>5</v>
          </cell>
          <cell r="J1441" t="str">
            <v>Drop2N</v>
          </cell>
          <cell r="K1441" t="str">
            <v>technical</v>
          </cell>
          <cell r="L1441" t="str">
            <v>テクニカルタイプ</v>
          </cell>
          <cell r="M1441" t="str">
            <v>ss</v>
          </cell>
        </row>
        <row r="1442">
          <cell r="A1442">
            <v>8047</v>
          </cell>
          <cell r="B1442" t="str">
            <v>ja</v>
          </cell>
          <cell r="C1442" t="str">
            <v>ハローキティ</v>
          </cell>
          <cell r="D1442" t="str">
            <v>ハローキティ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red</v>
          </cell>
          <cell r="I1442">
            <v>4</v>
          </cell>
          <cell r="J1442" t="str">
            <v>Drop2N</v>
          </cell>
          <cell r="K1442" t="str">
            <v>balance</v>
          </cell>
          <cell r="L1442" t="str">
            <v>バランスタイプ</v>
          </cell>
          <cell r="M1442" t="str">
            <v>ss</v>
          </cell>
        </row>
        <row r="1443">
          <cell r="A1443">
            <v>8048</v>
          </cell>
          <cell r="B1443" t="str">
            <v>ja</v>
          </cell>
          <cell r="C1443" t="str">
            <v>ハローキティ</v>
          </cell>
          <cell r="D1443" t="str">
            <v>ハローキティ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red</v>
          </cell>
          <cell r="I1443">
            <v>5</v>
          </cell>
          <cell r="J1443" t="str">
            <v>Drop2N</v>
          </cell>
          <cell r="K1443" t="str">
            <v>balance</v>
          </cell>
          <cell r="L1443" t="str">
            <v>バランスタイプ</v>
          </cell>
          <cell r="M1443" t="str">
            <v>ss</v>
          </cell>
        </row>
        <row r="1444">
          <cell r="A1444">
            <v>8049</v>
          </cell>
          <cell r="B1444" t="str">
            <v>ja</v>
          </cell>
          <cell r="C1444" t="str">
            <v>KIRIMIちゃん</v>
          </cell>
          <cell r="D1444" t="str">
            <v>KIRIMIちゃん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red</v>
          </cell>
          <cell r="I1444">
            <v>4</v>
          </cell>
          <cell r="J1444" t="str">
            <v>Drop2N</v>
          </cell>
          <cell r="K1444" t="str">
            <v>hp</v>
          </cell>
          <cell r="L1444" t="str">
            <v>体力タイプ</v>
          </cell>
          <cell r="M1444" t="str">
            <v>ss</v>
          </cell>
        </row>
        <row r="1445">
          <cell r="A1445">
            <v>8050</v>
          </cell>
          <cell r="B1445" t="str">
            <v>ja</v>
          </cell>
          <cell r="C1445" t="str">
            <v>KIRIMIちゃん</v>
          </cell>
          <cell r="D1445" t="str">
            <v>KIRIMIちゃん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red</v>
          </cell>
          <cell r="I1445">
            <v>5</v>
          </cell>
          <cell r="J1445" t="str">
            <v>Drop2N</v>
          </cell>
          <cell r="K1445" t="str">
            <v>hp</v>
          </cell>
          <cell r="L1445" t="str">
            <v>体力タイプ</v>
          </cell>
          <cell r="M1445" t="str">
            <v>ss</v>
          </cell>
        </row>
        <row r="1446">
          <cell r="A1446">
            <v>8051</v>
          </cell>
          <cell r="B1446" t="str">
            <v>ja</v>
          </cell>
          <cell r="C1446" t="str">
            <v>ハローキティのリボン</v>
          </cell>
          <cell r="D1446" t="str">
            <v>ハローキティのリボン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red</v>
          </cell>
          <cell r="I1446">
            <v>5</v>
          </cell>
          <cell r="J1446" t="str">
            <v>Drop2N</v>
          </cell>
          <cell r="K1446" t="str">
            <v>evolution</v>
          </cell>
          <cell r="L1446" t="str">
            <v>覚醒素材タイプ</v>
          </cell>
          <cell r="M1446" t="str">
            <v>ss</v>
          </cell>
        </row>
        <row r="1447">
          <cell r="A1447">
            <v>8052</v>
          </cell>
          <cell r="B1447" t="str">
            <v>ja</v>
          </cell>
          <cell r="C1447" t="str">
            <v>ママの作ったアップルパイ</v>
          </cell>
          <cell r="D1447" t="str">
            <v>ママの作ったアップルパイ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evolution</v>
          </cell>
          <cell r="L1447" t="str">
            <v>覚醒素材タイプ</v>
          </cell>
          <cell r="M1447" t="str">
            <v>ss</v>
          </cell>
        </row>
        <row r="1448">
          <cell r="A1448">
            <v>8053</v>
          </cell>
          <cell r="B1448" t="str">
            <v>ja</v>
          </cell>
          <cell r="C1448" t="str">
            <v>D.R.T.H__キティコスプレ</v>
          </cell>
          <cell r="D1448" t="str">
            <v>D.R.T.H__キティコスプレ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PremiumSS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8054</v>
          </cell>
          <cell r="B1449" t="str">
            <v>ja</v>
          </cell>
          <cell r="C1449" t="str">
            <v>D.R.T.H__キティコスプレ</v>
          </cell>
          <cell r="D1449" t="str">
            <v>D.R.T.H__キティコスプレ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6</v>
          </cell>
          <cell r="J1449" t="str">
            <v>PremiumSS</v>
          </cell>
          <cell r="K1449" t="str">
            <v>balance</v>
          </cell>
          <cell r="L1449" t="str">
            <v>バランスタイプ</v>
          </cell>
          <cell r="M1449" t="str">
            <v>ss</v>
          </cell>
        </row>
        <row r="1450">
          <cell r="A1450">
            <v>8055</v>
          </cell>
          <cell r="B1450" t="str">
            <v>ja</v>
          </cell>
          <cell r="C1450" t="str">
            <v>マイメロディ</v>
          </cell>
          <cell r="D1450" t="str">
            <v>マイメロディ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4</v>
          </cell>
          <cell r="J1450" t="str">
            <v>PremiumS</v>
          </cell>
          <cell r="K1450" t="str">
            <v>attack</v>
          </cell>
          <cell r="L1450" t="str">
            <v>攻撃タイプ</v>
          </cell>
          <cell r="M1450" t="str">
            <v>ss</v>
          </cell>
        </row>
        <row r="1451">
          <cell r="A1451">
            <v>8056</v>
          </cell>
          <cell r="B1451" t="str">
            <v>ja</v>
          </cell>
          <cell r="C1451" t="str">
            <v>マイメロディ</v>
          </cell>
          <cell r="D1451" t="str">
            <v>マイメロディ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PremiumS</v>
          </cell>
          <cell r="K1451" t="str">
            <v>attack</v>
          </cell>
          <cell r="L1451" t="str">
            <v>攻撃タイプ</v>
          </cell>
          <cell r="M1451" t="str">
            <v>ss</v>
          </cell>
        </row>
        <row r="1452">
          <cell r="A1452">
            <v>8057</v>
          </cell>
          <cell r="B1452" t="str">
            <v>ja</v>
          </cell>
          <cell r="C1452" t="str">
            <v>ニーベルゲン_シナモロールコスプレ</v>
          </cell>
          <cell r="D1452" t="str">
            <v>ニーベルゲン_シナモロールコスプレ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green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ss</v>
          </cell>
        </row>
        <row r="1453">
          <cell r="A1453">
            <v>8058</v>
          </cell>
          <cell r="B1453" t="str">
            <v>ja</v>
          </cell>
          <cell r="C1453" t="str">
            <v>ニーベルゲン_シナモロールコスプレ</v>
          </cell>
          <cell r="D1453" t="str">
            <v>ニーベルゲン_シナモロールコスプレ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green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8059</v>
          </cell>
          <cell r="B1454" t="str">
            <v>ja</v>
          </cell>
          <cell r="C1454" t="str">
            <v>カカシ_マイメロディコスプレ</v>
          </cell>
          <cell r="D1454" t="str">
            <v>カカシ_マイメロディコスプレ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green</v>
          </cell>
          <cell r="I1454">
            <v>4</v>
          </cell>
          <cell r="J1454" t="str">
            <v>PremiumS</v>
          </cell>
          <cell r="K1454" t="str">
            <v>technical</v>
          </cell>
          <cell r="L1454" t="str">
            <v>テクニカルタイプ</v>
          </cell>
          <cell r="M1454" t="str">
            <v>ss</v>
          </cell>
        </row>
        <row r="1455">
          <cell r="A1455">
            <v>8060</v>
          </cell>
          <cell r="B1455" t="str">
            <v>ja</v>
          </cell>
          <cell r="C1455" t="str">
            <v>カカシ_マイメロディコスプレ</v>
          </cell>
          <cell r="D1455" t="str">
            <v>カカシ_マイメロディコスプレ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green</v>
          </cell>
          <cell r="I1455">
            <v>5</v>
          </cell>
          <cell r="J1455" t="str">
            <v>PremiumS</v>
          </cell>
          <cell r="K1455" t="str">
            <v>technical</v>
          </cell>
          <cell r="L1455" t="str">
            <v>テクニカルタイプ</v>
          </cell>
          <cell r="M1455" t="str">
            <v>ss</v>
          </cell>
        </row>
        <row r="1456">
          <cell r="A1456">
            <v>8061</v>
          </cell>
          <cell r="B1456" t="str">
            <v>ja</v>
          </cell>
          <cell r="C1456" t="str">
            <v>ケロケロけろっぴ</v>
          </cell>
          <cell r="D1456" t="str">
            <v>ケロケロけろっぴ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green</v>
          </cell>
          <cell r="I1456">
            <v>3</v>
          </cell>
          <cell r="J1456" t="str">
            <v>PremiumS</v>
          </cell>
          <cell r="K1456" t="str">
            <v>balance</v>
          </cell>
          <cell r="L1456" t="str">
            <v>バランスタイプ</v>
          </cell>
          <cell r="M1456" t="str">
            <v>ss</v>
          </cell>
        </row>
        <row r="1457">
          <cell r="A1457">
            <v>8062</v>
          </cell>
          <cell r="B1457" t="str">
            <v>ja</v>
          </cell>
          <cell r="C1457" t="str">
            <v>ケロケロけろっぴ</v>
          </cell>
          <cell r="D1457" t="str">
            <v>ケロケロけろっぴ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8063</v>
          </cell>
          <cell r="B1458" t="str">
            <v>ja</v>
          </cell>
          <cell r="C1458" t="str">
            <v>モルドレッド_ポムポムプリンコスプレ</v>
          </cell>
          <cell r="D1458" t="str">
            <v>モルドレッド_ポムポムプリンコスプレ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blue</v>
          </cell>
          <cell r="I1458">
            <v>5</v>
          </cell>
          <cell r="J1458" t="str">
            <v>PremiumSS</v>
          </cell>
          <cell r="K1458" t="str">
            <v>heal</v>
          </cell>
          <cell r="L1458" t="str">
            <v>回復タイプ</v>
          </cell>
          <cell r="M1458" t="str">
            <v>ss</v>
          </cell>
        </row>
        <row r="1459">
          <cell r="A1459">
            <v>8064</v>
          </cell>
          <cell r="B1459" t="str">
            <v>ja</v>
          </cell>
          <cell r="C1459" t="str">
            <v>モルドレッド_ポムポムプリンコスプレ</v>
          </cell>
          <cell r="D1459" t="str">
            <v>モルドレッド_ポムポムプリンコスプレ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blue</v>
          </cell>
          <cell r="I1459">
            <v>6</v>
          </cell>
          <cell r="J1459" t="str">
            <v>PremiumSS</v>
          </cell>
          <cell r="K1459" t="str">
            <v>heal</v>
          </cell>
          <cell r="L1459" t="str">
            <v>回復タイプ</v>
          </cell>
          <cell r="M1459" t="str">
            <v>ss</v>
          </cell>
        </row>
        <row r="1460">
          <cell r="A1460">
            <v>8065</v>
          </cell>
          <cell r="B1460" t="str">
            <v>ja</v>
          </cell>
          <cell r="C1460" t="str">
            <v>クロミ</v>
          </cell>
          <cell r="D1460" t="str">
            <v>クロミ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blue</v>
          </cell>
          <cell r="I1460">
            <v>3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8066</v>
          </cell>
          <cell r="B1461" t="str">
            <v>ja</v>
          </cell>
          <cell r="C1461" t="str">
            <v>クロミ</v>
          </cell>
          <cell r="D1461" t="str">
            <v>クロミ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blue</v>
          </cell>
          <cell r="I1461">
            <v>4</v>
          </cell>
          <cell r="J1461" t="str">
            <v>PremiumS</v>
          </cell>
          <cell r="K1461" t="str">
            <v>technical</v>
          </cell>
          <cell r="L1461" t="str">
            <v>テクニカルタイプ</v>
          </cell>
          <cell r="M1461" t="str">
            <v>ss</v>
          </cell>
        </row>
        <row r="1462">
          <cell r="A1462">
            <v>8067</v>
          </cell>
          <cell r="B1462" t="str">
            <v>ja</v>
          </cell>
          <cell r="C1462" t="str">
            <v>バッドばつ丸</v>
          </cell>
          <cell r="D1462" t="str">
            <v>バッドばつ丸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blue</v>
          </cell>
          <cell r="I1462">
            <v>3</v>
          </cell>
          <cell r="J1462" t="str">
            <v>PremiumS</v>
          </cell>
          <cell r="K1462" t="str">
            <v>attack</v>
          </cell>
          <cell r="L1462" t="str">
            <v>攻撃タイプ</v>
          </cell>
          <cell r="M1462" t="str">
            <v>ss</v>
          </cell>
        </row>
        <row r="1463">
          <cell r="A1463">
            <v>8068</v>
          </cell>
          <cell r="B1463" t="str">
            <v>ja</v>
          </cell>
          <cell r="C1463" t="str">
            <v>バッドばつ丸</v>
          </cell>
          <cell r="D1463" t="str">
            <v>バッドばつ丸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4</v>
          </cell>
          <cell r="J1463" t="str">
            <v>PremiumS</v>
          </cell>
          <cell r="K1463" t="str">
            <v>attack</v>
          </cell>
          <cell r="L1463" t="str">
            <v>攻撃タイプ</v>
          </cell>
          <cell r="M1463" t="str">
            <v>ss</v>
          </cell>
        </row>
        <row r="1464">
          <cell r="A1464">
            <v>8069</v>
          </cell>
          <cell r="B1464" t="str">
            <v>ja</v>
          </cell>
          <cell r="C1464" t="str">
            <v>シナモロール</v>
          </cell>
          <cell r="D1464" t="str">
            <v>シナモロール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yellow</v>
          </cell>
          <cell r="I1464">
            <v>4</v>
          </cell>
          <cell r="J1464" t="str">
            <v>PremiumS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8070</v>
          </cell>
          <cell r="B1465" t="str">
            <v>ja</v>
          </cell>
          <cell r="C1465" t="str">
            <v>シナモロール</v>
          </cell>
          <cell r="D1465" t="str">
            <v>シナモロール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yellow</v>
          </cell>
          <cell r="I1465">
            <v>5</v>
          </cell>
          <cell r="J1465" t="str">
            <v>PremiumS</v>
          </cell>
          <cell r="K1465" t="str">
            <v>heal</v>
          </cell>
          <cell r="L1465" t="str">
            <v>回復タイプ</v>
          </cell>
          <cell r="M1465" t="str">
            <v>ss</v>
          </cell>
        </row>
        <row r="1466">
          <cell r="A1466">
            <v>8071</v>
          </cell>
          <cell r="B1466" t="str">
            <v>ja</v>
          </cell>
          <cell r="C1466" t="str">
            <v>ポムポムプリン</v>
          </cell>
          <cell r="D1466" t="str">
            <v>ポムポムプリン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yellow</v>
          </cell>
          <cell r="I1466">
            <v>3</v>
          </cell>
          <cell r="J1466" t="str">
            <v>PremiumS</v>
          </cell>
          <cell r="K1466" t="str">
            <v>hp</v>
          </cell>
          <cell r="L1466" t="str">
            <v>体力タイプ</v>
          </cell>
          <cell r="M1466" t="str">
            <v>ss</v>
          </cell>
        </row>
        <row r="1467">
          <cell r="A1467">
            <v>8072</v>
          </cell>
          <cell r="B1467" t="str">
            <v>ja</v>
          </cell>
          <cell r="C1467" t="str">
            <v>ポムポムプリン</v>
          </cell>
          <cell r="D1467" t="str">
            <v>ポムポムプリン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yellow</v>
          </cell>
          <cell r="I1467">
            <v>4</v>
          </cell>
          <cell r="J1467" t="str">
            <v>PremiumS</v>
          </cell>
          <cell r="K1467" t="str">
            <v>hp</v>
          </cell>
          <cell r="L1467" t="str">
            <v>体力タイプ</v>
          </cell>
          <cell r="M1467" t="str">
            <v>ss</v>
          </cell>
        </row>
        <row r="1468">
          <cell r="A1468">
            <v>8077</v>
          </cell>
          <cell r="B1468" t="str">
            <v>ja</v>
          </cell>
          <cell r="C1468" t="str">
            <v>鄭成功</v>
          </cell>
          <cell r="D1468" t="str">
            <v>ポムポムプリン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5</v>
          </cell>
          <cell r="J1468" t="str">
            <v>PremiumSS</v>
          </cell>
          <cell r="K1468" t="str">
            <v>attack</v>
          </cell>
          <cell r="L1468" t="str">
            <v>攻撃タイプ</v>
          </cell>
          <cell r="M1468" t="str">
            <v>human</v>
          </cell>
        </row>
        <row r="1469">
          <cell r="A1469">
            <v>8078</v>
          </cell>
          <cell r="B1469" t="str">
            <v>ja</v>
          </cell>
          <cell r="C1469" t="str">
            <v>レア６鄭成功</v>
          </cell>
          <cell r="D1469" t="str">
            <v>ポムポムプリン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blue</v>
          </cell>
          <cell r="I1469">
            <v>6</v>
          </cell>
          <cell r="J1469" t="str">
            <v>PremiumSS</v>
          </cell>
          <cell r="K1469" t="str">
            <v>attack</v>
          </cell>
          <cell r="L1469" t="str">
            <v>攻撃タイプ</v>
          </cell>
          <cell r="M1469" t="str">
            <v>human</v>
          </cell>
        </row>
        <row r="1470">
          <cell r="A1470">
            <v>8079</v>
          </cell>
          <cell r="B1470" t="str">
            <v>ja</v>
          </cell>
          <cell r="C1470" t="str">
            <v>赤鬼</v>
          </cell>
          <cell r="D1470" t="str">
            <v>ポムポムプリン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red</v>
          </cell>
          <cell r="I1470">
            <v>5</v>
          </cell>
          <cell r="J1470" t="str">
            <v>DropWizS</v>
          </cell>
          <cell r="K1470" t="str">
            <v>hp</v>
          </cell>
          <cell r="L1470" t="str">
            <v>体力タイプ</v>
          </cell>
          <cell r="M1470" t="str">
            <v>dragon</v>
          </cell>
        </row>
        <row r="1471">
          <cell r="A1471">
            <v>8080</v>
          </cell>
          <cell r="B1471" t="str">
            <v>ja</v>
          </cell>
          <cell r="C1471" t="str">
            <v>レア６赤鬼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red</v>
          </cell>
          <cell r="I1471">
            <v>6</v>
          </cell>
          <cell r="J1471" t="str">
            <v>DropWizS</v>
          </cell>
          <cell r="K1471" t="str">
            <v>hp</v>
          </cell>
          <cell r="L1471" t="str">
            <v>体力タイプ</v>
          </cell>
          <cell r="M1471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>
      <selection activeCell="A5" sqref="A5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247</v>
      </c>
      <c r="B2" s="61" t="s">
        <v>110</v>
      </c>
      <c r="C2" s="50" t="str">
        <f t="shared" ref="C2" si="0">RIGHT(F2,6)</f>
        <v>468100</v>
      </c>
      <c r="D2" s="19" t="s">
        <v>45</v>
      </c>
      <c r="E2" s="17" t="str">
        <f t="shared" ref="E2" si="1">B2&amp;C2&amp;D2</f>
        <v>gacha_select_tables_468100.tmp</v>
      </c>
      <c r="F2" s="99" t="s">
        <v>252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247</v>
      </c>
      <c r="B3" s="61" t="s">
        <v>110</v>
      </c>
      <c r="C3" s="50" t="str">
        <f t="shared" ref="C3:C7" si="2">RIGHT(F3,6)</f>
        <v>468010</v>
      </c>
      <c r="D3" s="19" t="s">
        <v>45</v>
      </c>
      <c r="E3" s="17" t="str">
        <f t="shared" ref="E3:E10" si="3">B3&amp;C3&amp;D3</f>
        <v>gacha_select_tables_468010.tmp</v>
      </c>
      <c r="F3" s="99" t="s">
        <v>253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101" t="s">
        <v>247</v>
      </c>
      <c r="B4" s="95" t="s">
        <v>248</v>
      </c>
      <c r="C4" s="96" t="str">
        <f t="shared" si="2"/>
        <v>468105</v>
      </c>
      <c r="D4" s="19" t="s">
        <v>249</v>
      </c>
      <c r="E4" s="17" t="str">
        <f t="shared" si="3"/>
        <v>gacha_settle_tables_468105.tmp</v>
      </c>
      <c r="F4" s="100" t="s">
        <v>254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J28" sqref="J28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468010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953</v>
      </c>
      <c r="M3" s="37" t="str">
        <f>VLOOKUP(L3,[1]characters!$A:$C,3,FALSE)</f>
        <v>ハイゼンベルク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VLOOKUP(L3,tables_468010!B:C,2,FALSE)</f>
        <v>PremiumSSS5R3less</v>
      </c>
      <c r="R3" s="62">
        <f t="shared" ref="R3:R20" si="1">N3*A$36</f>
        <v>539400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619</v>
      </c>
      <c r="M4" s="37" t="str">
        <f>VLOOKUP(L4,[1]characters!$A:$C,3,FALSE)</f>
        <v>メビウス</v>
      </c>
      <c r="N4" s="63">
        <v>4.4999999999999997E-3</v>
      </c>
      <c r="O4" s="37">
        <f>VLOOKUP(L4,[1]characters!$A:$I,9,FALSE)</f>
        <v>4</v>
      </c>
      <c r="P4" s="37" t="str">
        <f>VLOOKUP(L4,[1]characters!$A:$J,10,FALSE)</f>
        <v>PremiumSSS</v>
      </c>
      <c r="Q4" s="37" t="str">
        <f>VLOOKUP(L4,tables_468010!B:C,2,FALSE)</f>
        <v>PremiumSSS4R3less</v>
      </c>
      <c r="R4" s="62">
        <f t="shared" si="1"/>
        <v>485459.99999999994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0.47499999999999998</v>
      </c>
      <c r="D5" t="s">
        <v>201</v>
      </c>
      <c r="E5" s="43">
        <f>(B11-H5)/(F5-I5)</f>
        <v>8.6206896551724126E-4</v>
      </c>
      <c r="F5">
        <f>(COUNTIF(tables_468010!C:C,input_468010!A28)+COUNTIF(tables_468010!C:C,input_468010!A29))</f>
        <v>63</v>
      </c>
      <c r="H5" s="84">
        <v>2.5000000000000001E-2</v>
      </c>
      <c r="I5" s="31">
        <v>5</v>
      </c>
      <c r="L5" s="60">
        <v>620</v>
      </c>
      <c r="M5" s="37" t="str">
        <f>VLOOKUP(L5,[1]characters!$A:$C,3,FALSE)</f>
        <v>奇跡の調和 メビウス</v>
      </c>
      <c r="N5" s="63">
        <v>5.0000000000000001E-4</v>
      </c>
      <c r="O5" s="37">
        <f>VLOOKUP(L5,[1]characters!$A:$I,9,FALSE)</f>
        <v>5</v>
      </c>
      <c r="P5" s="37" t="str">
        <f>VLOOKUP(L5,[1]characters!$A:$J,10,FALSE)</f>
        <v>PremiumSSS</v>
      </c>
      <c r="Q5" s="37" t="str">
        <f>VLOOKUP(L5,tables_468010!B:C,2,FALSE)</f>
        <v>PremiumSSS5R3less</v>
      </c>
      <c r="R5" s="62">
        <f t="shared" si="1"/>
        <v>53940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9.6774193548387101E-3</v>
      </c>
      <c r="F6">
        <f>(COUNTIF(tables_468010!C:C,input_468010!A25)+COUNTIF(tables_468010!C:C,input_468010!A18)+COUNTIF(tables_468010!C:C,input_468010!A20)+COUNTIF(tables_468010!C:C,input_468010!A22))</f>
        <v>93</v>
      </c>
      <c r="H6" s="89">
        <v>0</v>
      </c>
      <c r="I6" s="31">
        <v>0</v>
      </c>
      <c r="L6" s="93">
        <v>880</v>
      </c>
      <c r="M6" s="37" t="str">
        <f>VLOOKUP(L6,[1]characters!$A:$C,3,FALSE)</f>
        <v>ハーシェル</v>
      </c>
      <c r="N6" s="63">
        <v>5.0000000000000001E-3</v>
      </c>
      <c r="O6" s="37">
        <f>VLOOKUP(L6,[1]characters!$A:$I,9,FALSE)</f>
        <v>5</v>
      </c>
      <c r="P6" s="37" t="str">
        <f>VLOOKUP(L6,[1]characters!$A:$J,10,FALSE)</f>
        <v>PremiumSSS</v>
      </c>
      <c r="Q6" s="37" t="str">
        <f>VLOOKUP(L6,tables_468010!B:C,2,FALSE)</f>
        <v>PremiumSSS5R3less</v>
      </c>
      <c r="R6" s="62">
        <f t="shared" si="1"/>
        <v>539400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7.4999999999999997E-2</v>
      </c>
      <c r="L7" s="60">
        <v>623</v>
      </c>
      <c r="M7" s="37" t="str">
        <f>VLOOKUP(L7,[1]characters!$A:$C,3,FALSE)</f>
        <v>フェルマー</v>
      </c>
      <c r="N7" s="63">
        <v>5.0000000000000001E-3</v>
      </c>
      <c r="O7" s="37">
        <f>VLOOKUP(L7,[1]characters!$A:$I,9,FALSE)</f>
        <v>5</v>
      </c>
      <c r="P7" s="37" t="str">
        <f>VLOOKUP(L7,[1]characters!$A:$J,10,FALSE)</f>
        <v>PremiumSSS</v>
      </c>
      <c r="Q7" s="37" t="str">
        <f>VLOOKUP(L7,tables_468010!B:C,2,FALSE)</f>
        <v>PremiumSSS5R3less</v>
      </c>
      <c r="R7" s="62">
        <f t="shared" si="1"/>
        <v>539400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>
        <v>972</v>
      </c>
      <c r="M8" s="37" t="str">
        <f>VLOOKUP(L8,[1]characters!$A:$C,3,FALSE)</f>
        <v>コーシー</v>
      </c>
      <c r="N8" s="63">
        <v>5.0000000000000001E-3</v>
      </c>
      <c r="O8" s="37">
        <f>VLOOKUP(L8,[1]characters!$A:$I,9,FALSE)</f>
        <v>5</v>
      </c>
      <c r="P8" s="37" t="str">
        <f>VLOOKUP(L8,[1]characters!$A:$J,10,FALSE)</f>
        <v>PremiumSSS</v>
      </c>
      <c r="Q8" s="37" t="str">
        <f>VLOOKUP(L8,tables_468010!B:C,2,FALSE)</f>
        <v>PremiumSSS5R3less</v>
      </c>
      <c r="R8" s="62">
        <f t="shared" si="1"/>
        <v>539400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VLOOKUP(L9,tables_468010!B:C,2,FALSE)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VLOOKUP(L10,tables_468010!B:C,2,FALSE)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VLOOKUP(L11,tables_468010!B:C,2,FALSE)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2.5000000000000001E-2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VLOOKUP(L12,tables_468010!B:C,2,FALSE)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VLOOKUP(L13,tables_468010!B:C,2,FALSE)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VLOOKUP(L14,tables_468010!B:C,2,FALSE)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VLOOKUP(L15,tables_468010!B:C,2,FALSE)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VLOOKUP(L16,tables_468010!B:C,2,FALSE)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0.21758064516129028</v>
      </c>
      <c r="C17" s="85">
        <f t="shared" ref="C17:C31" si="2">SUMIF(Q:Q,A17,N:N)</f>
        <v>0</v>
      </c>
      <c r="D17" s="74">
        <f t="shared" ref="D17:D32" si="3">B17-C17</f>
        <v>0.21758064516129028</v>
      </c>
      <c r="E17">
        <f>COUNTIF(tables_468010!C:C,input_468010!A17)-COUNTIF(Q:Q,A17)</f>
        <v>20</v>
      </c>
      <c r="F17" s="43">
        <f>IFERROR(B17/E17,0)</f>
        <v>1.0879032258064514E-2</v>
      </c>
      <c r="G17">
        <f t="shared" ref="G17:G31" si="4">A$36*B17</f>
        <v>23472599.999999996</v>
      </c>
      <c r="H17">
        <f t="shared" ref="H17:H31" si="5">IFERROR(ROUND(G17/E17,5),0)</f>
        <v>1173630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VLOOKUP(L17,tables_468010!B:C,2,FALSE)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5.1478865405264737E-2</v>
      </c>
      <c r="C18" s="85">
        <f t="shared" si="2"/>
        <v>0</v>
      </c>
      <c r="D18" s="74">
        <f t="shared" si="3"/>
        <v>5.1478865405264737E-2</v>
      </c>
      <c r="E18">
        <f>COUNTIF(tables_468010!C:C,input_468010!A18)-COUNTIF(Q:Q,A18)</f>
        <v>20</v>
      </c>
      <c r="F18" s="43">
        <f>IFERROR(B18/E18,0)</f>
        <v>2.5739432702632367E-3</v>
      </c>
      <c r="G18">
        <f t="shared" si="4"/>
        <v>5553539.9999199603</v>
      </c>
      <c r="H18">
        <f t="shared" si="5"/>
        <v>277677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VLOOKUP(L18,tables_468010!B:C,2,FALSE)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0.23903225806451614</v>
      </c>
      <c r="C19" s="85">
        <f t="shared" si="2"/>
        <v>0</v>
      </c>
      <c r="D19" s="74">
        <f t="shared" si="3"/>
        <v>0.23903225806451614</v>
      </c>
      <c r="E19">
        <f>COUNTIF(tables_468010!C:C,input_468010!A19)-COUNTIF(Q:Q,A19)</f>
        <v>52</v>
      </c>
      <c r="F19" s="43">
        <f t="shared" ref="F19:F31" si="8">IFERROR(B19/E19,0)</f>
        <v>4.596774193548387E-3</v>
      </c>
      <c r="G19">
        <f t="shared" si="4"/>
        <v>25786800</v>
      </c>
      <c r="H19">
        <f t="shared" si="5"/>
        <v>495900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VLOOKUP(L19,tables_468010!B:C,2,FALSE)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E$6*E20*B$6-0.02-0.02</f>
        <v>0.18645161290322587</v>
      </c>
      <c r="C20" s="85">
        <f t="shared" si="2"/>
        <v>0</v>
      </c>
      <c r="D20" s="74">
        <f t="shared" si="3"/>
        <v>0.18645161290322587</v>
      </c>
      <c r="E20">
        <f>COUNTIF(tables_468010!C:C,input_468010!A20)-COUNTIF(Q:Q,A20)</f>
        <v>52</v>
      </c>
      <c r="F20" s="43">
        <f t="shared" si="8"/>
        <v>3.5856079404466513E-3</v>
      </c>
      <c r="G20">
        <f t="shared" si="4"/>
        <v>20114400.000000007</v>
      </c>
      <c r="H20">
        <f t="shared" si="5"/>
        <v>386815.38462000003</v>
      </c>
      <c r="I20">
        <f t="shared" si="6"/>
        <v>0.38462000002618879</v>
      </c>
      <c r="J20">
        <f t="shared" si="7"/>
        <v>2.5999688001973635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VLOOKUP(L20,tables_468010!B:C,2,FALSE)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2.2308120126669773E-3</v>
      </c>
      <c r="C21" s="85">
        <f t="shared" si="2"/>
        <v>0</v>
      </c>
      <c r="D21" s="74">
        <f t="shared" si="3"/>
        <v>2.2308120126669773E-3</v>
      </c>
      <c r="E21">
        <f>COUNTIF(tables_468010!C:C,input_468010!A21)-COUNTIF(Q:Q,A21)</f>
        <v>52</v>
      </c>
      <c r="F21" s="43">
        <f t="shared" si="8"/>
        <v>4.2900231012826489E-5</v>
      </c>
      <c r="G21">
        <f t="shared" si="4"/>
        <v>240659.9999265135</v>
      </c>
      <c r="H21">
        <f t="shared" si="5"/>
        <v>4628.0769200000004</v>
      </c>
      <c r="I21">
        <f t="shared" si="6"/>
        <v>7.6920000000427535E-2</v>
      </c>
      <c r="J21">
        <f t="shared" si="7"/>
        <v>13.000520020728572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0.1578225806451613</v>
      </c>
      <c r="C22" s="85">
        <f t="shared" si="2"/>
        <v>0</v>
      </c>
      <c r="D22" s="74">
        <f t="shared" si="3"/>
        <v>0.1578225806451613</v>
      </c>
      <c r="E22">
        <f>COUNTIF(tables_468010!C:C,input_468010!A22)-COUNTIF(Q:Q,A22)</f>
        <v>17</v>
      </c>
      <c r="F22" s="43">
        <f t="shared" si="8"/>
        <v>9.2836812144212535E-3</v>
      </c>
      <c r="G22">
        <f t="shared" si="4"/>
        <v>17025900</v>
      </c>
      <c r="H22">
        <f t="shared" si="5"/>
        <v>1001523.52941</v>
      </c>
      <c r="I22">
        <f t="shared" si="6"/>
        <v>0.52940999995917082</v>
      </c>
      <c r="J22">
        <f t="shared" si="7"/>
        <v>1.8888951853518483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E23*E6*B7-E36-0.01</f>
        <v>6.6935483870967736E-3</v>
      </c>
      <c r="C23" s="85">
        <f t="shared" si="2"/>
        <v>0</v>
      </c>
      <c r="D23" s="74">
        <f t="shared" si="3"/>
        <v>6.6935483870967736E-3</v>
      </c>
      <c r="E23">
        <f>COUNTIF(tables_468010!C:C,input_468010!A23)-COUNTIF(Q:Q,A23)</f>
        <v>23</v>
      </c>
      <c r="F23" s="43">
        <f t="shared" si="8"/>
        <v>2.9102384291725104E-4</v>
      </c>
      <c r="G23">
        <f t="shared" si="4"/>
        <v>722099.99999999988</v>
      </c>
      <c r="H23">
        <f t="shared" si="5"/>
        <v>31395.652170000001</v>
      </c>
      <c r="I23">
        <f t="shared" si="6"/>
        <v>0.65217000000120606</v>
      </c>
      <c r="J23">
        <f t="shared" si="7"/>
        <v>1.533342533385698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1.8387096774193548E-2</v>
      </c>
      <c r="C24" s="85">
        <f t="shared" si="2"/>
        <v>0</v>
      </c>
      <c r="D24" s="74">
        <f t="shared" si="3"/>
        <v>1.8387096774193548E-2</v>
      </c>
      <c r="E24">
        <f>COUNTIF(tables_468010!C:C,input_468010!A24)-COUNTIF(Q:Q,A24)</f>
        <v>4</v>
      </c>
      <c r="F24" s="43">
        <f t="shared" si="8"/>
        <v>4.596774193548387E-3</v>
      </c>
      <c r="G24">
        <f t="shared" si="4"/>
        <v>1983600</v>
      </c>
      <c r="H24">
        <f t="shared" si="5"/>
        <v>495900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1.741935483870968E-2</v>
      </c>
      <c r="C25" s="85">
        <f t="shared" si="2"/>
        <v>0</v>
      </c>
      <c r="D25" s="74">
        <f t="shared" si="3"/>
        <v>1.741935483870968E-2</v>
      </c>
      <c r="E25">
        <f>COUNTIF(tables_468010!C:C,input_468010!A25)-COUNTIF(Q:Q,A25)</f>
        <v>4</v>
      </c>
      <c r="F25" s="43">
        <f t="shared" si="8"/>
        <v>4.3548387096774199E-3</v>
      </c>
      <c r="G25">
        <f t="shared" si="4"/>
        <v>1879200.0000000002</v>
      </c>
      <c r="H25">
        <f t="shared" si="5"/>
        <v>469800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2.9032258064516131E-3</v>
      </c>
      <c r="C26" s="85">
        <f t="shared" si="2"/>
        <v>0</v>
      </c>
      <c r="D26" s="74">
        <f t="shared" si="3"/>
        <v>2.9032258064516131E-3</v>
      </c>
      <c r="E26">
        <f>COUNTIF(tables_468010!C:C,input_468010!A26)-COUNTIF(Q:Q,A26)</f>
        <v>4</v>
      </c>
      <c r="F26" s="43">
        <f t="shared" si="8"/>
        <v>7.2580645161290328E-4</v>
      </c>
      <c r="G26">
        <f t="shared" si="4"/>
        <v>313200</v>
      </c>
      <c r="H26">
        <f t="shared" si="5"/>
        <v>78300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E$5*E27*(B$5+B$6)+0.01</f>
        <v>3.2327586206896547E-2</v>
      </c>
      <c r="C27" s="85">
        <f t="shared" si="2"/>
        <v>0</v>
      </c>
      <c r="D27" s="74">
        <f t="shared" si="3"/>
        <v>3.2327586206896547E-2</v>
      </c>
      <c r="E27">
        <f>COUNTIF(tables_468010!C:C,input_468010!A27)-COUNTIF(Q:Q,A27)</f>
        <v>28</v>
      </c>
      <c r="F27" s="43">
        <f>IFERROR(B27/E27,0)</f>
        <v>1.1545566502463053E-3</v>
      </c>
      <c r="G27">
        <f t="shared" si="4"/>
        <v>3487499.9999999995</v>
      </c>
      <c r="H27">
        <f t="shared" si="5"/>
        <v>124553.57143</v>
      </c>
      <c r="I27">
        <f t="shared" si="6"/>
        <v>0.57142999999632593</v>
      </c>
      <c r="J27">
        <f t="shared" si="7"/>
        <v>1.7499956250221893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E$5*E28*B$7+G49</f>
        <v>2.2499999999939596E-2</v>
      </c>
      <c r="C28" s="85">
        <f t="shared" si="2"/>
        <v>0</v>
      </c>
      <c r="D28" s="74">
        <f t="shared" si="3"/>
        <v>2.2499999999939596E-2</v>
      </c>
      <c r="E28">
        <f>COUNTIF(tables_468010!C:C,input_468010!A28)-COUNTIF(Q:Q,A28)</f>
        <v>28</v>
      </c>
      <c r="F28" s="43">
        <f t="shared" si="8"/>
        <v>8.0357142856927132E-4</v>
      </c>
      <c r="G28">
        <f t="shared" si="4"/>
        <v>2427299.9999934835</v>
      </c>
      <c r="H28">
        <f t="shared" si="5"/>
        <v>86689.285709999996</v>
      </c>
      <c r="I28">
        <f t="shared" si="6"/>
        <v>0.28570999999647029</v>
      </c>
      <c r="J28">
        <f t="shared" si="7"/>
        <v>3.5000525008307521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E$5*E29-0.01</f>
        <v>2.0172413793103444E-2</v>
      </c>
      <c r="C29" s="85">
        <f t="shared" si="2"/>
        <v>0</v>
      </c>
      <c r="D29" s="74">
        <f t="shared" si="3"/>
        <v>2.0172413793103444E-2</v>
      </c>
      <c r="E29">
        <f>COUNTIF(tables_468010!C:C,input_468010!A29)-COUNTIF(Q:Q,A29)</f>
        <v>35</v>
      </c>
      <c r="F29" s="43">
        <f t="shared" si="8"/>
        <v>5.7635467980295552E-4</v>
      </c>
      <c r="G29">
        <f t="shared" si="4"/>
        <v>2176199.9999999995</v>
      </c>
      <c r="H29">
        <f t="shared" si="5"/>
        <v>62177.14286</v>
      </c>
      <c r="I29">
        <f t="shared" si="6"/>
        <v>0.14285999999992782</v>
      </c>
      <c r="J29">
        <f t="shared" si="7"/>
        <v>6.999860002803481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4.4999999999999997E-3</v>
      </c>
      <c r="D30" s="74">
        <f t="shared" si="3"/>
        <v>-4.4999999999999997E-3</v>
      </c>
      <c r="E30">
        <f>COUNTIF(tables_468010!C:C,input_468010!A30)-COUNTIF(Q:Q,A30)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2.0500000000000001E-2</v>
      </c>
      <c r="D31" s="74">
        <f t="shared" si="3"/>
        <v>-2.0500000000000001E-2</v>
      </c>
      <c r="E31">
        <f>COUNTIF(tables_468010!C:C,input_468010!A31)-COUNTIF(Q:Q,A31)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0.97499999999851661</v>
      </c>
      <c r="C32" s="41">
        <f>SUM(C19:C31)</f>
        <v>2.5000000000000001E-2</v>
      </c>
      <c r="D32" s="42">
        <f t="shared" si="3"/>
        <v>0.94999999999851659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5.5511123469780821E-2</v>
      </c>
      <c r="F34" s="55">
        <f ca="1">0.45-G41</f>
        <v>-2.3172574969976267E-12</v>
      </c>
    </row>
    <row r="35" spans="1:7" x14ac:dyDescent="0.15">
      <c r="A35" t="s">
        <v>73</v>
      </c>
      <c r="E35">
        <v>2.0500000000741592E-2</v>
      </c>
      <c r="F35">
        <f ca="1">G42-0.075</f>
        <v>-2.502803519988106E-12</v>
      </c>
    </row>
    <row r="36" spans="1:7" x14ac:dyDescent="0.15">
      <c r="A36" s="31">
        <f>LCM(F5-I5,F6-I6)*1000*2*2*5</f>
        <v>107880000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SUMIF(tables_468010!C:C,input_468010!A40,tables_468010!O:O)</f>
        <v>25786800</v>
      </c>
      <c r="C40" s="54">
        <f t="shared" ref="C40:C46" ca="1" si="9">B40/B$47</f>
        <v>0.49536024785301253</v>
      </c>
      <c r="E40">
        <v>3</v>
      </c>
      <c r="F40">
        <f ca="1">SUMIF(tables_468010!J:J,input_468010!E40,tables_468010!O:O)</f>
        <v>51243000</v>
      </c>
      <c r="G40">
        <f ca="1">F40/A36</f>
        <v>0.47499999999999998</v>
      </c>
    </row>
    <row r="41" spans="1:7" x14ac:dyDescent="0.15">
      <c r="A41" s="33" t="s">
        <v>104</v>
      </c>
      <c r="B41">
        <f ca="1">SUMIF(tables_468010!C:C,input_468010!A41,tables_468010!O:O)</f>
        <v>20114400.000239991</v>
      </c>
      <c r="C41" s="54">
        <f t="shared" ca="1" si="9"/>
        <v>0.38639436337713551</v>
      </c>
      <c r="E41">
        <v>4</v>
      </c>
      <c r="F41">
        <f ca="1">SUMIF(tables_468010!J:J,input_468010!E41,tables_468010!O:O)</f>
        <v>48546000.000249989</v>
      </c>
      <c r="G41">
        <f ca="1">F41/A36</f>
        <v>0.45000000000231727</v>
      </c>
    </row>
    <row r="42" spans="1:7" x14ac:dyDescent="0.15">
      <c r="A42" s="33" t="s">
        <v>106</v>
      </c>
      <c r="B42">
        <f ca="1">SUMIF(tables_468010!C:C,input_468010!A42,tables_468010!O:O)</f>
        <v>3487500.0000399998</v>
      </c>
      <c r="C42" s="54">
        <f t="shared" ca="1" si="9"/>
        <v>6.699430966258689E-2</v>
      </c>
      <c r="E42">
        <v>5</v>
      </c>
      <c r="F42">
        <f ca="1">SUMIF(tables_468010!J:J,input_468010!E42,tables_468010!O:O)</f>
        <v>8090999.9997299975</v>
      </c>
      <c r="G42">
        <f ca="1">F42/A36</f>
        <v>7.4999999997497194E-2</v>
      </c>
    </row>
    <row r="43" spans="1:7" x14ac:dyDescent="0.15">
      <c r="A43" s="33" t="s">
        <v>109</v>
      </c>
      <c r="B43">
        <f>SUMIF(tables_468010!C:C,input_468010!A43,tables_468010!O:O)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SUMIF(tables_468010!C:C,input_468010!A44,tables_468010!O:O)</f>
        <v>240659.99983999992</v>
      </c>
      <c r="C44" s="54">
        <f t="shared" ca="1" si="9"/>
        <v>4.6230395849445579E-3</v>
      </c>
      <c r="E44" t="s">
        <v>54</v>
      </c>
      <c r="F44" s="55"/>
    </row>
    <row r="45" spans="1:7" x14ac:dyDescent="0.15">
      <c r="A45" s="33" t="s">
        <v>107</v>
      </c>
      <c r="B45">
        <f ca="1">SUMIF(tables_468010!C:C,input_468010!A45,tables_468010!O:O)</f>
        <v>2427299.9998799996</v>
      </c>
      <c r="C45" s="54">
        <f t="shared" ca="1" si="9"/>
        <v>4.6628039522320482E-2</v>
      </c>
      <c r="E45" t="s">
        <v>204</v>
      </c>
      <c r="F45" s="55">
        <f ca="1">SUMIF(tables_468010!I:I,input_468010!E45,tables_468010!P:P)</f>
        <v>0.27080565362463271</v>
      </c>
    </row>
    <row r="46" spans="1:7" x14ac:dyDescent="0.15">
      <c r="A46" s="33" t="s">
        <v>108</v>
      </c>
      <c r="B46">
        <f>SUMIF(tables_468010!C:C,input_468010!A46,tables_468010!O:O)</f>
        <v>0</v>
      </c>
      <c r="C46" s="54">
        <f t="shared" ca="1" si="9"/>
        <v>0</v>
      </c>
      <c r="E46" t="s">
        <v>205</v>
      </c>
      <c r="F46" s="55">
        <f ca="1">SUMIF(tables_468010!I:I,input_468010!E46,tables_468010!P:P)</f>
        <v>0.16886205827014589</v>
      </c>
    </row>
    <row r="47" spans="1:7" x14ac:dyDescent="0.15">
      <c r="A47" s="39" t="s">
        <v>59</v>
      </c>
      <c r="B47">
        <f ca="1">SUM(B40:B46)</f>
        <v>52056659.999999993</v>
      </c>
      <c r="C47" s="55">
        <f ca="1">SUM(C40:C46)</f>
        <v>1</v>
      </c>
      <c r="E47" t="s">
        <v>206</v>
      </c>
      <c r="F47" s="55">
        <f ca="1">SUMIF(tables_468010!I:I,input_468010!E47,tables_468010!P:P)</f>
        <v>0.46033228810501575</v>
      </c>
    </row>
    <row r="48" spans="1:7" x14ac:dyDescent="0.15">
      <c r="E48" t="s">
        <v>207</v>
      </c>
      <c r="F48" s="55">
        <f ca="1">SUMIF(tables_468010!I:I,input_468010!E48,tables_468010!P:P)</f>
        <v>7.1541871921221828E-2</v>
      </c>
      <c r="G48" s="55">
        <f ca="1">0.075-F48-F49</f>
        <v>-1.99105489040452E-13</v>
      </c>
    </row>
    <row r="49" spans="5:7" x14ac:dyDescent="0.15">
      <c r="E49" t="s">
        <v>250</v>
      </c>
      <c r="F49" s="55">
        <f ca="1">SUMIF(tables_468010!I:I,input_468010!E49,tables_468010!P:P)</f>
        <v>3.4581280789772748E-3</v>
      </c>
      <c r="G49">
        <v>2.068965517235339E-2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46"/>
  <sheetViews>
    <sheetView showGridLines="0" zoomScale="75" zoomScaleNormal="75" zoomScalePageLayoutView="75" workbookViewId="0">
      <pane ySplit="1" topLeftCell="A330" activePane="bottomLeft" state="frozen"/>
      <selection activeCell="H276" sqref="H276"/>
      <selection pane="bottomLeft" activeCell="G354" sqref="G354:G35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input_468010!A$2</f>
        <v>468010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IFERROR(VLOOKUP(B2,input_468010!L:R,7,FALSE),VLOOKUP(tables_468010!C2,input_468010!A:H,8,FALSE))</f>
        <v>1173630</v>
      </c>
      <c r="P2" s="46">
        <f t="shared" ref="P2:P65" ca="1" si="1">O2/SUM(O:O)</f>
        <v>1.0879032258066511E-2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input_468010!A$2</f>
        <v>468010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IFERROR(VLOOKUP(B3,input_468010!L:R,7,FALSE),VLOOKUP(tables_468010!C3,input_468010!A:H,8,FALSE))</f>
        <v>277677</v>
      </c>
      <c r="P3" s="46">
        <f t="shared" ca="1" si="1"/>
        <v>2.573943270300806E-3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input_468010!A$2</f>
        <v>468010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IFERROR(VLOOKUP(B4,input_468010!L:R,7,FALSE),VLOOKUP(tables_468010!C4,input_468010!A:H,8,FALSE))</f>
        <v>1173630</v>
      </c>
      <c r="P4" s="46">
        <f t="shared" ca="1" si="1"/>
        <v>1.0879032258066511E-2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input_468010!A$2</f>
        <v>468010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IFERROR(VLOOKUP(B5,input_468010!L:R,7,FALSE),VLOOKUP(tables_468010!C5,input_468010!A:H,8,FALSE))</f>
        <v>277677</v>
      </c>
      <c r="P5" s="46">
        <f t="shared" ca="1" si="1"/>
        <v>2.573943270300806E-3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input_468010!A$2</f>
        <v>468010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IFERROR(VLOOKUP(B6,input_468010!L:R,7,FALSE),VLOOKUP(tables_468010!C6,input_468010!A:H,8,FALSE))</f>
        <v>1173630</v>
      </c>
      <c r="P6" s="46">
        <f t="shared" ca="1" si="1"/>
        <v>1.0879032258066511E-2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input_468010!A$2</f>
        <v>468010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IFERROR(VLOOKUP(B7,input_468010!L:R,7,FALSE),VLOOKUP(tables_468010!C7,input_468010!A:H,8,FALSE))</f>
        <v>277677</v>
      </c>
      <c r="P7" s="46">
        <f t="shared" ca="1" si="1"/>
        <v>2.573943270300806E-3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input_468010!A$2</f>
        <v>468010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IFERROR(VLOOKUP(B8,input_468010!L:R,7,FALSE),VLOOKUP(tables_468010!C8,input_468010!A:H,8,FALSE))</f>
        <v>1173630</v>
      </c>
      <c r="P8" s="46">
        <f t="shared" ca="1" si="1"/>
        <v>1.0879032258066511E-2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input_468010!A$2</f>
        <v>468010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IFERROR(VLOOKUP(B9,input_468010!L:R,7,FALSE),VLOOKUP(tables_468010!C9,input_468010!A:H,8,FALSE))</f>
        <v>277677</v>
      </c>
      <c r="P9" s="46">
        <f t="shared" ca="1" si="1"/>
        <v>2.573943270300806E-3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input_468010!A$2</f>
        <v>468010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IFERROR(VLOOKUP(B10,input_468010!L:R,7,FALSE),VLOOKUP(tables_468010!C10,input_468010!A:H,8,FALSE))</f>
        <v>1173630</v>
      </c>
      <c r="P10" s="46">
        <f t="shared" ca="1" si="1"/>
        <v>1.0879032258066511E-2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input_468010!A$2</f>
        <v>468010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IFERROR(VLOOKUP(B11,input_468010!L:R,7,FALSE),VLOOKUP(tables_468010!C11,input_468010!A:H,8,FALSE))</f>
        <v>277677</v>
      </c>
      <c r="P11" s="46">
        <f t="shared" ca="1" si="1"/>
        <v>2.573943270300806E-3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input_468010!A$2</f>
        <v>468010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IFERROR(VLOOKUP(B12,input_468010!L:R,7,FALSE),VLOOKUP(tables_468010!C12,input_468010!A:H,8,FALSE))</f>
        <v>1173630</v>
      </c>
      <c r="P12" s="46">
        <f t="shared" ca="1" si="1"/>
        <v>1.0879032258066511E-2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input_468010!A$2</f>
        <v>468010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IFERROR(VLOOKUP(B13,input_468010!L:R,7,FALSE),VLOOKUP(tables_468010!C13,input_468010!A:H,8,FALSE))</f>
        <v>277677</v>
      </c>
      <c r="P13" s="46">
        <f t="shared" ca="1" si="1"/>
        <v>2.573943270300806E-3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input_468010!A$2</f>
        <v>468010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IFERROR(VLOOKUP(B14,input_468010!L:R,7,FALSE),VLOOKUP(tables_468010!C14,input_468010!A:H,8,FALSE))</f>
        <v>1173630</v>
      </c>
      <c r="P14" s="46">
        <f t="shared" ca="1" si="1"/>
        <v>1.0879032258066511E-2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input_468010!A$2</f>
        <v>468010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IFERROR(VLOOKUP(B15,input_468010!L:R,7,FALSE),VLOOKUP(tables_468010!C15,input_468010!A:H,8,FALSE))</f>
        <v>277677</v>
      </c>
      <c r="P15" s="46">
        <f t="shared" ca="1" si="1"/>
        <v>2.573943270300806E-3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input_468010!A$2</f>
        <v>468010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IFERROR(VLOOKUP(B16,input_468010!L:R,7,FALSE),VLOOKUP(tables_468010!C16,input_468010!A:H,8,FALSE))</f>
        <v>1173630</v>
      </c>
      <c r="P16" s="46">
        <f t="shared" ca="1" si="1"/>
        <v>1.0879032258066511E-2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input_468010!A$2</f>
        <v>468010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IFERROR(VLOOKUP(B17,input_468010!L:R,7,FALSE),VLOOKUP(tables_468010!C17,input_468010!A:H,8,FALSE))</f>
        <v>277677</v>
      </c>
      <c r="P17" s="46">
        <f t="shared" ca="1" si="1"/>
        <v>2.573943270300806E-3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input_468010!A$2</f>
        <v>468010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IFERROR(VLOOKUP(B18,input_468010!L:R,7,FALSE),VLOOKUP(tables_468010!C18,input_468010!A:H,8,FALSE))</f>
        <v>1173630</v>
      </c>
      <c r="P18" s="46">
        <f t="shared" ca="1" si="1"/>
        <v>1.0879032258066511E-2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input_468010!A$2</f>
        <v>468010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IFERROR(VLOOKUP(B19,input_468010!L:R,7,FALSE),VLOOKUP(tables_468010!C19,input_468010!A:H,8,FALSE))</f>
        <v>277677</v>
      </c>
      <c r="P19" s="46">
        <f t="shared" ca="1" si="1"/>
        <v>2.573943270300806E-3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input_468010!A$2</f>
        <v>468010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IFERROR(VLOOKUP(B20,input_468010!L:R,7,FALSE),VLOOKUP(tables_468010!C20,input_468010!A:H,8,FALSE))</f>
        <v>1173630</v>
      </c>
      <c r="P20" s="46">
        <f t="shared" ca="1" si="1"/>
        <v>1.0879032258066511E-2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input_468010!A$2</f>
        <v>468010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IFERROR(VLOOKUP(B21,input_468010!L:R,7,FALSE),VLOOKUP(tables_468010!C21,input_468010!A:H,8,FALSE))</f>
        <v>277677</v>
      </c>
      <c r="P21" s="46">
        <f t="shared" ca="1" si="1"/>
        <v>2.573943270300806E-3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input_468010!A$2</f>
        <v>468010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IFERROR(VLOOKUP(B22,input_468010!L:R,7,FALSE),VLOOKUP(tables_468010!C22,input_468010!A:H,8,FALSE))</f>
        <v>1173630</v>
      </c>
      <c r="P22" s="46">
        <f t="shared" ca="1" si="1"/>
        <v>1.0879032258066511E-2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input_468010!A$2</f>
        <v>468010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IFERROR(VLOOKUP(B23,input_468010!L:R,7,FALSE),VLOOKUP(tables_468010!C23,input_468010!A:H,8,FALSE))</f>
        <v>277677</v>
      </c>
      <c r="P23" s="46">
        <f t="shared" ca="1" si="1"/>
        <v>2.573943270300806E-3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input_468010!A$2</f>
        <v>468010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IFERROR(VLOOKUP(B24,input_468010!L:R,7,FALSE),VLOOKUP(tables_468010!C24,input_468010!A:H,8,FALSE))</f>
        <v>1173630</v>
      </c>
      <c r="P24" s="46">
        <f t="shared" ca="1" si="1"/>
        <v>1.0879032258066511E-2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input_468010!A$2</f>
        <v>468010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IFERROR(VLOOKUP(B25,input_468010!L:R,7,FALSE),VLOOKUP(tables_468010!C25,input_468010!A:H,8,FALSE))</f>
        <v>277677</v>
      </c>
      <c r="P25" s="46">
        <f t="shared" ca="1" si="1"/>
        <v>2.573943270300806E-3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input_468010!A$2</f>
        <v>468010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IFERROR(VLOOKUP(B26,input_468010!L:R,7,FALSE),VLOOKUP(tables_468010!C26,input_468010!A:H,8,FALSE))</f>
        <v>1173630</v>
      </c>
      <c r="P26" s="46">
        <f t="shared" ca="1" si="1"/>
        <v>1.0879032258066511E-2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input_468010!A$2</f>
        <v>468010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IFERROR(VLOOKUP(B27,input_468010!L:R,7,FALSE),VLOOKUP(tables_468010!C27,input_468010!A:H,8,FALSE))</f>
        <v>277677</v>
      </c>
      <c r="P27" s="46">
        <f t="shared" ca="1" si="1"/>
        <v>2.573943270300806E-3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input_468010!A$2</f>
        <v>468010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IFERROR(VLOOKUP(B28,input_468010!L:R,7,FALSE),VLOOKUP(tables_468010!C28,input_468010!A:H,8,FALSE))</f>
        <v>1173630</v>
      </c>
      <c r="P28" s="46">
        <f t="shared" ca="1" si="1"/>
        <v>1.0879032258066511E-2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input_468010!A$2</f>
        <v>468010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IFERROR(VLOOKUP(B29,input_468010!L:R,7,FALSE),VLOOKUP(tables_468010!C29,input_468010!A:H,8,FALSE))</f>
        <v>277677</v>
      </c>
      <c r="P29" s="46">
        <f t="shared" ca="1" si="1"/>
        <v>2.573943270300806E-3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input_468010!A$2</f>
        <v>468010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IFERROR(VLOOKUP(B30,input_468010!L:R,7,FALSE),VLOOKUP(tables_468010!C30,input_468010!A:H,8,FALSE))</f>
        <v>1173630</v>
      </c>
      <c r="P30" s="46">
        <f t="shared" ca="1" si="1"/>
        <v>1.0879032258066511E-2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input_468010!A$2</f>
        <v>468010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IFERROR(VLOOKUP(B31,input_468010!L:R,7,FALSE),VLOOKUP(tables_468010!C31,input_468010!A:H,8,FALSE))</f>
        <v>277677</v>
      </c>
      <c r="P31" s="46">
        <f t="shared" ca="1" si="1"/>
        <v>2.573943270300806E-3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input_468010!A$2</f>
        <v>468010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IFERROR(VLOOKUP(B32,input_468010!L:R,7,FALSE),VLOOKUP(tables_468010!C32,input_468010!A:H,8,FALSE))</f>
        <v>1173630</v>
      </c>
      <c r="P32" s="46">
        <f t="shared" ca="1" si="1"/>
        <v>1.0879032258066511E-2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input_468010!A$2</f>
        <v>468010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IFERROR(VLOOKUP(B33,input_468010!L:R,7,FALSE),VLOOKUP(tables_468010!C33,input_468010!A:H,8,FALSE))</f>
        <v>277677</v>
      </c>
      <c r="P33" s="46">
        <f t="shared" ca="1" si="1"/>
        <v>2.573943270300806E-3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input_468010!A$2</f>
        <v>468010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IFERROR(VLOOKUP(B34,input_468010!L:R,7,FALSE),VLOOKUP(tables_468010!C34,input_468010!A:H,8,FALSE))</f>
        <v>1173630</v>
      </c>
      <c r="P34" s="46">
        <f t="shared" ca="1" si="1"/>
        <v>1.0879032258066511E-2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input_468010!A$2</f>
        <v>468010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IFERROR(VLOOKUP(B35,input_468010!L:R,7,FALSE),VLOOKUP(tables_468010!C35,input_468010!A:H,8,FALSE))</f>
        <v>277677</v>
      </c>
      <c r="P35" s="46">
        <f t="shared" ca="1" si="1"/>
        <v>2.573943270300806E-3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input_468010!A$2</f>
        <v>468010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IFERROR(VLOOKUP(B36,input_468010!L:R,7,FALSE),VLOOKUP(tables_468010!C36,input_468010!A:H,8,FALSE))</f>
        <v>1173630</v>
      </c>
      <c r="P36" s="46">
        <f t="shared" ca="1" si="1"/>
        <v>1.0879032258066511E-2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input_468010!A$2</f>
        <v>468010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IFERROR(VLOOKUP(B37,input_468010!L:R,7,FALSE),VLOOKUP(tables_468010!C37,input_468010!A:H,8,FALSE))</f>
        <v>277677</v>
      </c>
      <c r="P37" s="46">
        <f t="shared" ca="1" si="1"/>
        <v>2.573943270300806E-3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input_468010!A$2</f>
        <v>468010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IFERROR(VLOOKUP(B38,input_468010!L:R,7,FALSE),VLOOKUP(tables_468010!C38,input_468010!A:H,8,FALSE))</f>
        <v>1173630</v>
      </c>
      <c r="P38" s="46">
        <f t="shared" ca="1" si="1"/>
        <v>1.0879032258066511E-2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input_468010!A$2</f>
        <v>468010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IFERROR(VLOOKUP(B39,input_468010!L:R,7,FALSE),VLOOKUP(tables_468010!C39,input_468010!A:H,8,FALSE))</f>
        <v>277677</v>
      </c>
      <c r="P39" s="46">
        <f t="shared" ca="1" si="1"/>
        <v>2.573943270300806E-3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input_468010!A$2</f>
        <v>468010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IFERROR(VLOOKUP(B40,input_468010!L:R,7,FALSE),VLOOKUP(tables_468010!C40,input_468010!A:H,8,FALSE))</f>
        <v>1173630</v>
      </c>
      <c r="P40" s="46">
        <f t="shared" ca="1" si="1"/>
        <v>1.0879032258066511E-2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input_468010!A$2</f>
        <v>468010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IFERROR(VLOOKUP(B41,input_468010!L:R,7,FALSE),VLOOKUP(tables_468010!C41,input_468010!A:H,8,FALSE))</f>
        <v>277677</v>
      </c>
      <c r="P41" s="46">
        <f t="shared" ca="1" si="1"/>
        <v>2.573943270300806E-3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input_468010!A$2</f>
        <v>468010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IFERROR(VLOOKUP(B42,input_468010!L:R,7,FALSE),VLOOKUP(tables_468010!C42,input_468010!A:H,8,FALSE))</f>
        <v>495900</v>
      </c>
      <c r="P42" s="46">
        <f t="shared" ca="1" si="1"/>
        <v>4.5967741935492301E-3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input_468010!A$2</f>
        <v>468010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IFERROR(VLOOKUP(B43,input_468010!L:R,7,FALSE),VLOOKUP(tables_468010!C43,input_468010!A:H,8,FALSE))</f>
        <v>469800</v>
      </c>
      <c r="P43" s="46">
        <f t="shared" ca="1" si="1"/>
        <v>4.3548387096782179E-3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input_468010!A$2</f>
        <v>468010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IFERROR(VLOOKUP(B44,input_468010!L:R,7,FALSE),VLOOKUP(tables_468010!C44,input_468010!A:H,8,FALSE))</f>
        <v>78300</v>
      </c>
      <c r="P44" s="46">
        <f t="shared" ca="1" si="1"/>
        <v>7.2580645161303631E-4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input_468010!A$2</f>
        <v>468010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IFERROR(VLOOKUP(B45,input_468010!L:R,7,FALSE),VLOOKUP(tables_468010!C45,input_468010!A:H,8,FALSE))</f>
        <v>495900</v>
      </c>
      <c r="P45" s="46">
        <f t="shared" ca="1" si="1"/>
        <v>4.5967741935492301E-3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input_468010!A$2</f>
        <v>468010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IFERROR(VLOOKUP(B46,input_468010!L:R,7,FALSE),VLOOKUP(tables_468010!C46,input_468010!A:H,8,FALSE))</f>
        <v>469800</v>
      </c>
      <c r="P46" s="46">
        <f t="shared" ca="1" si="1"/>
        <v>4.3548387096782179E-3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input_468010!A$2</f>
        <v>468010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IFERROR(VLOOKUP(B47,input_468010!L:R,7,FALSE),VLOOKUP(tables_468010!C47,input_468010!A:H,8,FALSE))</f>
        <v>78300</v>
      </c>
      <c r="P47" s="46">
        <f t="shared" ca="1" si="1"/>
        <v>7.2580645161303631E-4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input_468010!A$2</f>
        <v>468010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IFERROR(VLOOKUP(B48,input_468010!L:R,7,FALSE),VLOOKUP(tables_468010!C48,input_468010!A:H,8,FALSE))</f>
        <v>495900</v>
      </c>
      <c r="P48" s="46">
        <f t="shared" ca="1" si="1"/>
        <v>4.5967741935492301E-3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input_468010!A$2</f>
        <v>468010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IFERROR(VLOOKUP(B49,input_468010!L:R,7,FALSE),VLOOKUP(tables_468010!C49,input_468010!A:H,8,FALSE))</f>
        <v>469800</v>
      </c>
      <c r="P49" s="46">
        <f t="shared" ca="1" si="1"/>
        <v>4.3548387096782179E-3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input_468010!A$2</f>
        <v>468010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IFERROR(VLOOKUP(B50,input_468010!L:R,7,FALSE),VLOOKUP(tables_468010!C50,input_468010!A:H,8,FALSE))</f>
        <v>78300</v>
      </c>
      <c r="P50" s="46">
        <f t="shared" ca="1" si="1"/>
        <v>7.2580645161303631E-4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input_468010!A$2</f>
        <v>468010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IFERROR(VLOOKUP(B51,input_468010!L:R,7,FALSE),VLOOKUP(tables_468010!C51,input_468010!A:H,8,FALSE))</f>
        <v>495900</v>
      </c>
      <c r="P51" s="46">
        <f t="shared" ca="1" si="1"/>
        <v>4.5967741935492301E-3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input_468010!A$2</f>
        <v>468010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IFERROR(VLOOKUP(B52,input_468010!L:R,7,FALSE),VLOOKUP(tables_468010!C52,input_468010!A:H,8,FALSE))</f>
        <v>386815.38462000003</v>
      </c>
      <c r="P52" s="46">
        <f t="shared" ca="1" si="1"/>
        <v>3.5856079404900905E-3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input_468010!A$2</f>
        <v>468010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IFERROR(VLOOKUP(B53,input_468010!L:R,7,FALSE),VLOOKUP(tables_468010!C53,input_468010!A:H,8,FALSE))</f>
        <v>4628.0769200000004</v>
      </c>
      <c r="P53" s="46">
        <f t="shared" ca="1" si="1"/>
        <v>4.29002309974124E-5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input_468010!A$2</f>
        <v>468010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IFERROR(VLOOKUP(B54,input_468010!L:R,7,FALSE),VLOOKUP(tables_468010!C54,input_468010!A:H,8,FALSE))</f>
        <v>495900</v>
      </c>
      <c r="P54" s="46">
        <f t="shared" ca="1" si="1"/>
        <v>4.5967741935492301E-3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input_468010!A$2</f>
        <v>468010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IFERROR(VLOOKUP(B55,input_468010!L:R,7,FALSE),VLOOKUP(tables_468010!C55,input_468010!A:H,8,FALSE))</f>
        <v>386815.38462000003</v>
      </c>
      <c r="P55" s="46">
        <f t="shared" ca="1" si="1"/>
        <v>3.5856079404900905E-3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input_468010!A$2</f>
        <v>468010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IFERROR(VLOOKUP(B56,input_468010!L:R,7,FALSE),VLOOKUP(tables_468010!C56,input_468010!A:H,8,FALSE))</f>
        <v>4628.0769200000004</v>
      </c>
      <c r="P56" s="46">
        <f t="shared" ca="1" si="1"/>
        <v>4.29002309974124E-5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input_468010!A$2</f>
        <v>468010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IFERROR(VLOOKUP(B57,input_468010!L:R,7,FALSE),VLOOKUP(tables_468010!C57,input_468010!A:H,8,FALSE))</f>
        <v>495900</v>
      </c>
      <c r="P57" s="46">
        <f t="shared" ca="1" si="1"/>
        <v>4.5967741935492301E-3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input_468010!A$2</f>
        <v>468010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IFERROR(VLOOKUP(B58,input_468010!L:R,7,FALSE),VLOOKUP(tables_468010!C58,input_468010!A:H,8,FALSE))</f>
        <v>386815.38462000003</v>
      </c>
      <c r="P58" s="46">
        <f t="shared" ca="1" si="1"/>
        <v>3.5856079404900905E-3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input_468010!A$2</f>
        <v>468010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IFERROR(VLOOKUP(B59,input_468010!L:R,7,FALSE),VLOOKUP(tables_468010!C59,input_468010!A:H,8,FALSE))</f>
        <v>4628.0769200000004</v>
      </c>
      <c r="P59" s="46">
        <f t="shared" ca="1" si="1"/>
        <v>4.29002309974124E-5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input_468010!A$2</f>
        <v>468010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IFERROR(VLOOKUP(B60,input_468010!L:R,7,FALSE),VLOOKUP(tables_468010!C60,input_468010!A:H,8,FALSE))</f>
        <v>495900</v>
      </c>
      <c r="P60" s="46">
        <f t="shared" ca="1" si="1"/>
        <v>4.5967741935492301E-3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input_468010!A$2</f>
        <v>468010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IFERROR(VLOOKUP(B61,input_468010!L:R,7,FALSE),VLOOKUP(tables_468010!C61,input_468010!A:H,8,FALSE))</f>
        <v>386815.38462000003</v>
      </c>
      <c r="P61" s="46">
        <f t="shared" ca="1" si="1"/>
        <v>3.5856079404900905E-3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input_468010!A$2</f>
        <v>468010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IFERROR(VLOOKUP(B62,input_468010!L:R,7,FALSE),VLOOKUP(tables_468010!C62,input_468010!A:H,8,FALSE))</f>
        <v>4628.0769200000004</v>
      </c>
      <c r="P62" s="46">
        <f t="shared" ca="1" si="1"/>
        <v>4.29002309974124E-5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input_468010!A$2</f>
        <v>468010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IFERROR(VLOOKUP(B63,input_468010!L:R,7,FALSE),VLOOKUP(tables_468010!C63,input_468010!A:H,8,FALSE))</f>
        <v>495900</v>
      </c>
      <c r="P63" s="46">
        <f t="shared" ca="1" si="1"/>
        <v>4.5967741935492301E-3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input_468010!A$2</f>
        <v>468010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IFERROR(VLOOKUP(B64,input_468010!L:R,7,FALSE),VLOOKUP(tables_468010!C64,input_468010!A:H,8,FALSE))</f>
        <v>386815.38462000003</v>
      </c>
      <c r="P64" s="46">
        <f t="shared" ca="1" si="1"/>
        <v>3.5856079404900905E-3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input_468010!A$2</f>
        <v>468010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IFERROR(VLOOKUP(B65,input_468010!L:R,7,FALSE),VLOOKUP(tables_468010!C65,input_468010!A:H,8,FALSE))</f>
        <v>4628.0769200000004</v>
      </c>
      <c r="P65" s="46">
        <f t="shared" ca="1" si="1"/>
        <v>4.29002309974124E-5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input_468010!A$2</f>
        <v>468010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IFERROR(VLOOKUP(B66,input_468010!L:R,7,FALSE),VLOOKUP(tables_468010!C66,input_468010!A:H,8,FALSE))</f>
        <v>495900</v>
      </c>
      <c r="P66" s="46">
        <f t="shared" ref="P66:P129" ca="1" si="4">O66/SUM(O:O)</f>
        <v>4.5967741935492301E-3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input_468010!A$2</f>
        <v>468010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IFERROR(VLOOKUP(B67,input_468010!L:R,7,FALSE),VLOOKUP(tables_468010!C67,input_468010!A:H,8,FALSE))</f>
        <v>386815.38462000003</v>
      </c>
      <c r="P67" s="46">
        <f t="shared" ca="1" si="4"/>
        <v>3.5856079404900905E-3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input_468010!A$2</f>
        <v>468010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IFERROR(VLOOKUP(B68,input_468010!L:R,7,FALSE),VLOOKUP(tables_468010!C68,input_468010!A:H,8,FALSE))</f>
        <v>4628.0769200000004</v>
      </c>
      <c r="P68" s="46">
        <f t="shared" ca="1" si="4"/>
        <v>4.29002309974124E-5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input_468010!A$2</f>
        <v>468010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IFERROR(VLOOKUP(B69,input_468010!L:R,7,FALSE),VLOOKUP(tables_468010!C69,input_468010!A:H,8,FALSE))</f>
        <v>495900</v>
      </c>
      <c r="P69" s="46">
        <f t="shared" ca="1" si="4"/>
        <v>4.5967741935492301E-3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input_468010!A$2</f>
        <v>468010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IFERROR(VLOOKUP(B70,input_468010!L:R,7,FALSE),VLOOKUP(tables_468010!C70,input_468010!A:H,8,FALSE))</f>
        <v>386815.38462000003</v>
      </c>
      <c r="P70" s="46">
        <f t="shared" ca="1" si="4"/>
        <v>3.5856079404900905E-3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input_468010!A$2</f>
        <v>468010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IFERROR(VLOOKUP(B71,input_468010!L:R,7,FALSE),VLOOKUP(tables_468010!C71,input_468010!A:H,8,FALSE))</f>
        <v>4628.0769200000004</v>
      </c>
      <c r="P71" s="46">
        <f t="shared" ca="1" si="4"/>
        <v>4.29002309974124E-5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input_468010!A$2</f>
        <v>468010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IFERROR(VLOOKUP(B72,input_468010!L:R,7,FALSE),VLOOKUP(tables_468010!C72,input_468010!A:H,8,FALSE))</f>
        <v>495900</v>
      </c>
      <c r="P72" s="46">
        <f t="shared" ca="1" si="4"/>
        <v>4.5967741935492301E-3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input_468010!A$2</f>
        <v>468010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IFERROR(VLOOKUP(B73,input_468010!L:R,7,FALSE),VLOOKUP(tables_468010!C73,input_468010!A:H,8,FALSE))</f>
        <v>386815.38462000003</v>
      </c>
      <c r="P73" s="46">
        <f t="shared" ca="1" si="4"/>
        <v>3.5856079404900905E-3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input_468010!A$2</f>
        <v>468010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IFERROR(VLOOKUP(B74,input_468010!L:R,7,FALSE),VLOOKUP(tables_468010!C74,input_468010!A:H,8,FALSE))</f>
        <v>4628.0769200000004</v>
      </c>
      <c r="P74" s="46">
        <f t="shared" ca="1" si="4"/>
        <v>4.29002309974124E-5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input_468010!A$2</f>
        <v>468010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IFERROR(VLOOKUP(B75,input_468010!L:R,7,FALSE),VLOOKUP(tables_468010!C75,input_468010!A:H,8,FALSE))</f>
        <v>495900</v>
      </c>
      <c r="P75" s="46">
        <f t="shared" ca="1" si="4"/>
        <v>4.5967741935492301E-3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input_468010!A$2</f>
        <v>468010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IFERROR(VLOOKUP(B76,input_468010!L:R,7,FALSE),VLOOKUP(tables_468010!C76,input_468010!A:H,8,FALSE))</f>
        <v>386815.38462000003</v>
      </c>
      <c r="P76" s="46">
        <f t="shared" ca="1" si="4"/>
        <v>3.5856079404900905E-3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input_468010!A$2</f>
        <v>468010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IFERROR(VLOOKUP(B77,input_468010!L:R,7,FALSE),VLOOKUP(tables_468010!C77,input_468010!A:H,8,FALSE))</f>
        <v>4628.0769200000004</v>
      </c>
      <c r="P77" s="46">
        <f t="shared" ca="1" si="4"/>
        <v>4.29002309974124E-5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input_468010!A$2</f>
        <v>468010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IFERROR(VLOOKUP(B78,input_468010!L:R,7,FALSE),VLOOKUP(tables_468010!C78,input_468010!A:H,8,FALSE))</f>
        <v>495900</v>
      </c>
      <c r="P78" s="46">
        <f t="shared" ca="1" si="4"/>
        <v>4.5967741935492301E-3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input_468010!A$2</f>
        <v>468010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IFERROR(VLOOKUP(B79,input_468010!L:R,7,FALSE),VLOOKUP(tables_468010!C79,input_468010!A:H,8,FALSE))</f>
        <v>386815.38462000003</v>
      </c>
      <c r="P79" s="46">
        <f t="shared" ca="1" si="4"/>
        <v>3.5856079404900905E-3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input_468010!A$2</f>
        <v>468010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IFERROR(VLOOKUP(B80,input_468010!L:R,7,FALSE),VLOOKUP(tables_468010!C80,input_468010!A:H,8,FALSE))</f>
        <v>4628.0769200000004</v>
      </c>
      <c r="P80" s="46">
        <f t="shared" ca="1" si="4"/>
        <v>4.29002309974124E-5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input_468010!A$2</f>
        <v>468010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IFERROR(VLOOKUP(B81,input_468010!L:R,7,FALSE),VLOOKUP(tables_468010!C81,input_468010!A:H,8,FALSE))</f>
        <v>495900</v>
      </c>
      <c r="P81" s="46">
        <f t="shared" ca="1" si="4"/>
        <v>4.5967741935492301E-3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input_468010!A$2</f>
        <v>468010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IFERROR(VLOOKUP(B82,input_468010!L:R,7,FALSE),VLOOKUP(tables_468010!C82,input_468010!A:H,8,FALSE))</f>
        <v>386815.38462000003</v>
      </c>
      <c r="P82" s="46">
        <f t="shared" ca="1" si="4"/>
        <v>3.5856079404900905E-3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input_468010!A$2</f>
        <v>468010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IFERROR(VLOOKUP(B83,input_468010!L:R,7,FALSE),VLOOKUP(tables_468010!C83,input_468010!A:H,8,FALSE))</f>
        <v>4628.0769200000004</v>
      </c>
      <c r="P83" s="46">
        <f t="shared" ca="1" si="4"/>
        <v>4.29002309974124E-5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input_468010!A$2</f>
        <v>468010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IFERROR(VLOOKUP(B84,input_468010!L:R,7,FALSE),VLOOKUP(tables_468010!C84,input_468010!A:H,8,FALSE))</f>
        <v>495900</v>
      </c>
      <c r="P84" s="46">
        <f t="shared" ca="1" si="4"/>
        <v>4.5967741935492301E-3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input_468010!A$2</f>
        <v>468010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IFERROR(VLOOKUP(B85,input_468010!L:R,7,FALSE),VLOOKUP(tables_468010!C85,input_468010!A:H,8,FALSE))</f>
        <v>386815.38462000003</v>
      </c>
      <c r="P85" s="46">
        <f t="shared" ca="1" si="4"/>
        <v>3.5856079404900905E-3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input_468010!A$2</f>
        <v>468010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IFERROR(VLOOKUP(B86,input_468010!L:R,7,FALSE),VLOOKUP(tables_468010!C86,input_468010!A:H,8,FALSE))</f>
        <v>4628.0769200000004</v>
      </c>
      <c r="P86" s="46">
        <f t="shared" ca="1" si="4"/>
        <v>4.29002309974124E-5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input_468010!A$2</f>
        <v>468010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IFERROR(VLOOKUP(B87,input_468010!L:R,7,FALSE),VLOOKUP(tables_468010!C87,input_468010!A:H,8,FALSE))</f>
        <v>495900</v>
      </c>
      <c r="P87" s="46">
        <f t="shared" ca="1" si="4"/>
        <v>4.5967741935492301E-3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input_468010!A$2</f>
        <v>468010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IFERROR(VLOOKUP(B88,input_468010!L:R,7,FALSE),VLOOKUP(tables_468010!C88,input_468010!A:H,8,FALSE))</f>
        <v>386815.38462000003</v>
      </c>
      <c r="P88" s="46">
        <f t="shared" ca="1" si="4"/>
        <v>3.5856079404900905E-3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input_468010!A$2</f>
        <v>468010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IFERROR(VLOOKUP(B89,input_468010!L:R,7,FALSE),VLOOKUP(tables_468010!C89,input_468010!A:H,8,FALSE))</f>
        <v>4628.0769200000004</v>
      </c>
      <c r="P89" s="46">
        <f t="shared" ca="1" si="4"/>
        <v>4.29002309974124E-5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input_468010!A$2</f>
        <v>468010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IFERROR(VLOOKUP(B90,input_468010!L:R,7,FALSE),VLOOKUP(tables_468010!C90,input_468010!A:H,8,FALSE))</f>
        <v>495900</v>
      </c>
      <c r="P90" s="46">
        <f t="shared" ca="1" si="4"/>
        <v>4.5967741935492301E-3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input_468010!A$2</f>
        <v>468010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IFERROR(VLOOKUP(B91,input_468010!L:R,7,FALSE),VLOOKUP(tables_468010!C91,input_468010!A:H,8,FALSE))</f>
        <v>386815.38462000003</v>
      </c>
      <c r="P91" s="46">
        <f t="shared" ca="1" si="4"/>
        <v>3.5856079404900905E-3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input_468010!A$2</f>
        <v>468010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IFERROR(VLOOKUP(B92,input_468010!L:R,7,FALSE),VLOOKUP(tables_468010!C92,input_468010!A:H,8,FALSE))</f>
        <v>4628.0769200000004</v>
      </c>
      <c r="P92" s="46">
        <f t="shared" ca="1" si="4"/>
        <v>4.29002309974124E-5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input_468010!A$2</f>
        <v>468010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IFERROR(VLOOKUP(B93,input_468010!L:R,7,FALSE),VLOOKUP(tables_468010!C93,input_468010!A:H,8,FALSE))</f>
        <v>495900</v>
      </c>
      <c r="P93" s="46">
        <f t="shared" ca="1" si="4"/>
        <v>4.5967741935492301E-3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input_468010!A$2</f>
        <v>468010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IFERROR(VLOOKUP(B94,input_468010!L:R,7,FALSE),VLOOKUP(tables_468010!C94,input_468010!A:H,8,FALSE))</f>
        <v>386815.38462000003</v>
      </c>
      <c r="P94" s="46">
        <f t="shared" ca="1" si="4"/>
        <v>3.5856079404900905E-3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input_468010!A$2</f>
        <v>468010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IFERROR(VLOOKUP(B95,input_468010!L:R,7,FALSE),VLOOKUP(tables_468010!C95,input_468010!A:H,8,FALSE))</f>
        <v>4628.0769200000004</v>
      </c>
      <c r="P95" s="46">
        <f t="shared" ca="1" si="4"/>
        <v>4.29002309974124E-5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input_468010!A$2</f>
        <v>468010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IFERROR(VLOOKUP(B96,input_468010!L:R,7,FALSE),VLOOKUP(tables_468010!C96,input_468010!A:H,8,FALSE))</f>
        <v>495900</v>
      </c>
      <c r="P96" s="46">
        <f t="shared" ca="1" si="4"/>
        <v>4.5967741935492301E-3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input_468010!A$2</f>
        <v>468010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IFERROR(VLOOKUP(B97,input_468010!L:R,7,FALSE),VLOOKUP(tables_468010!C97,input_468010!A:H,8,FALSE))</f>
        <v>386815.38462000003</v>
      </c>
      <c r="P97" s="46">
        <f t="shared" ca="1" si="4"/>
        <v>3.5856079404900905E-3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input_468010!A$2</f>
        <v>468010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IFERROR(VLOOKUP(B98,input_468010!L:R,7,FALSE),VLOOKUP(tables_468010!C98,input_468010!A:H,8,FALSE))</f>
        <v>4628.0769200000004</v>
      </c>
      <c r="P98" s="46">
        <f t="shared" ca="1" si="4"/>
        <v>4.29002309974124E-5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input_468010!A$2</f>
        <v>468010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IFERROR(VLOOKUP(B99,input_468010!L:R,7,FALSE),VLOOKUP(tables_468010!C99,input_468010!A:H,8,FALSE))</f>
        <v>495900</v>
      </c>
      <c r="P99" s="46">
        <f t="shared" ca="1" si="4"/>
        <v>4.5967741935492301E-3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input_468010!A$2</f>
        <v>468010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IFERROR(VLOOKUP(B100,input_468010!L:R,7,FALSE),VLOOKUP(tables_468010!C100,input_468010!A:H,8,FALSE))</f>
        <v>386815.38462000003</v>
      </c>
      <c r="P100" s="46">
        <f t="shared" ca="1" si="4"/>
        <v>3.5856079404900905E-3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input_468010!A$2</f>
        <v>468010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IFERROR(VLOOKUP(B101,input_468010!L:R,7,FALSE),VLOOKUP(tables_468010!C101,input_468010!A:H,8,FALSE))</f>
        <v>4628.0769200000004</v>
      </c>
      <c r="P101" s="46">
        <f t="shared" ca="1" si="4"/>
        <v>4.29002309974124E-5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input_468010!A$2</f>
        <v>468010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IFERROR(VLOOKUP(B102,input_468010!L:R,7,FALSE),VLOOKUP(tables_468010!C102,input_468010!A:H,8,FALSE))</f>
        <v>495900</v>
      </c>
      <c r="P102" s="46">
        <f t="shared" ca="1" si="4"/>
        <v>4.5967741935492301E-3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input_468010!A$2</f>
        <v>468010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IFERROR(VLOOKUP(B103,input_468010!L:R,7,FALSE),VLOOKUP(tables_468010!C103,input_468010!A:H,8,FALSE))</f>
        <v>386815.38462000003</v>
      </c>
      <c r="P103" s="46">
        <f t="shared" ca="1" si="4"/>
        <v>3.5856079404900905E-3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input_468010!A$2</f>
        <v>468010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IFERROR(VLOOKUP(B104,input_468010!L:R,7,FALSE),VLOOKUP(tables_468010!C104,input_468010!A:H,8,FALSE))</f>
        <v>4628.0769200000004</v>
      </c>
      <c r="P104" s="46">
        <f t="shared" ca="1" si="4"/>
        <v>4.29002309974124E-5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input_468010!A$2</f>
        <v>468010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IFERROR(VLOOKUP(B105,input_468010!L:R,7,FALSE),VLOOKUP(tables_468010!C105,input_468010!A:H,8,FALSE))</f>
        <v>495900</v>
      </c>
      <c r="P105" s="46">
        <f t="shared" ca="1" si="4"/>
        <v>4.5967741935492301E-3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input_468010!A$2</f>
        <v>468010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IFERROR(VLOOKUP(B106,input_468010!L:R,7,FALSE),VLOOKUP(tables_468010!C106,input_468010!A:H,8,FALSE))</f>
        <v>386815.38462000003</v>
      </c>
      <c r="P106" s="46">
        <f t="shared" ca="1" si="4"/>
        <v>3.5856079404900905E-3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input_468010!A$2</f>
        <v>468010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IFERROR(VLOOKUP(B107,input_468010!L:R,7,FALSE),VLOOKUP(tables_468010!C107,input_468010!A:H,8,FALSE))</f>
        <v>4628.0769200000004</v>
      </c>
      <c r="P107" s="46">
        <f t="shared" ca="1" si="4"/>
        <v>4.29002309974124E-5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input_468010!A$2</f>
        <v>468010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IFERROR(VLOOKUP(B108,input_468010!L:R,7,FALSE),VLOOKUP(tables_468010!C108,input_468010!A:H,8,FALSE))</f>
        <v>495900</v>
      </c>
      <c r="P108" s="46">
        <f t="shared" ca="1" si="4"/>
        <v>4.5967741935492301E-3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input_468010!A$2</f>
        <v>468010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IFERROR(VLOOKUP(B109,input_468010!L:R,7,FALSE),VLOOKUP(tables_468010!C109,input_468010!A:H,8,FALSE))</f>
        <v>386815.38462000003</v>
      </c>
      <c r="P109" s="46">
        <f t="shared" ca="1" si="4"/>
        <v>3.5856079404900905E-3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input_468010!A$2</f>
        <v>468010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IFERROR(VLOOKUP(B110,input_468010!L:R,7,FALSE),VLOOKUP(tables_468010!C110,input_468010!A:H,8,FALSE))</f>
        <v>4628.0769200000004</v>
      </c>
      <c r="P110" s="46">
        <f t="shared" ca="1" si="4"/>
        <v>4.29002309974124E-5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input_468010!A$2</f>
        <v>468010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IFERROR(VLOOKUP(B111,input_468010!L:R,7,FALSE),VLOOKUP(tables_468010!C111,input_468010!A:H,8,FALSE))</f>
        <v>495900</v>
      </c>
      <c r="P111" s="46">
        <f t="shared" ca="1" si="4"/>
        <v>4.5967741935492301E-3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input_468010!A$2</f>
        <v>468010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IFERROR(VLOOKUP(B112,input_468010!L:R,7,FALSE),VLOOKUP(tables_468010!C112,input_468010!A:H,8,FALSE))</f>
        <v>469800</v>
      </c>
      <c r="P112" s="46">
        <f t="shared" ca="1" si="4"/>
        <v>4.3548387096782179E-3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input_468010!A$2</f>
        <v>468010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IFERROR(VLOOKUP(B113,input_468010!L:R,7,FALSE),VLOOKUP(tables_468010!C113,input_468010!A:H,8,FALSE))</f>
        <v>78300</v>
      </c>
      <c r="P113" s="46">
        <f t="shared" ca="1" si="4"/>
        <v>7.2580645161303631E-4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input_468010!A$2</f>
        <v>468010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IFERROR(VLOOKUP(B114,input_468010!L:R,7,FALSE),VLOOKUP(tables_468010!C114,input_468010!A:H,8,FALSE))</f>
        <v>495900</v>
      </c>
      <c r="P114" s="46">
        <f t="shared" ca="1" si="4"/>
        <v>4.5967741935492301E-3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input_468010!A$2</f>
        <v>468010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IFERROR(VLOOKUP(B115,input_468010!L:R,7,FALSE),VLOOKUP(tables_468010!C115,input_468010!A:H,8,FALSE))</f>
        <v>386815.38462000003</v>
      </c>
      <c r="P115" s="46">
        <f t="shared" ca="1" si="4"/>
        <v>3.5856079404900905E-3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input_468010!A$2</f>
        <v>468010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IFERROR(VLOOKUP(B116,input_468010!L:R,7,FALSE),VLOOKUP(tables_468010!C116,input_468010!A:H,8,FALSE))</f>
        <v>4628.0769200000004</v>
      </c>
      <c r="P116" s="46">
        <f t="shared" ca="1" si="4"/>
        <v>4.29002309974124E-5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input_468010!A$2</f>
        <v>468010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IFERROR(VLOOKUP(B117,input_468010!L:R,7,FALSE),VLOOKUP(tables_468010!C117,input_468010!A:H,8,FALSE))</f>
        <v>495900</v>
      </c>
      <c r="P117" s="46">
        <f t="shared" ca="1" si="4"/>
        <v>4.5967741935492301E-3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input_468010!A$2</f>
        <v>468010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IFERROR(VLOOKUP(B118,input_468010!L:R,7,FALSE),VLOOKUP(tables_468010!C118,input_468010!A:H,8,FALSE))</f>
        <v>386815.38462000003</v>
      </c>
      <c r="P118" s="46">
        <f t="shared" ca="1" si="4"/>
        <v>3.5856079404900905E-3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input_468010!A$2</f>
        <v>468010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IFERROR(VLOOKUP(B119,input_468010!L:R,7,FALSE),VLOOKUP(tables_468010!C119,input_468010!A:H,8,FALSE))</f>
        <v>4628.0769200000004</v>
      </c>
      <c r="P119" s="46">
        <f t="shared" ca="1" si="4"/>
        <v>4.29002309974124E-5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input_468010!A$2</f>
        <v>468010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IFERROR(VLOOKUP(B120,input_468010!L:R,7,FALSE),VLOOKUP(tables_468010!C120,input_468010!A:H,8,FALSE))</f>
        <v>495900</v>
      </c>
      <c r="P120" s="46">
        <f t="shared" ca="1" si="4"/>
        <v>4.5967741935492301E-3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input_468010!A$2</f>
        <v>468010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IFERROR(VLOOKUP(B121,input_468010!L:R,7,FALSE),VLOOKUP(tables_468010!C121,input_468010!A:H,8,FALSE))</f>
        <v>386815.38462000003</v>
      </c>
      <c r="P121" s="46">
        <f t="shared" ca="1" si="4"/>
        <v>3.5856079404900905E-3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input_468010!A$2</f>
        <v>468010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IFERROR(VLOOKUP(B122,input_468010!L:R,7,FALSE),VLOOKUP(tables_468010!C122,input_468010!A:H,8,FALSE))</f>
        <v>4628.0769200000004</v>
      </c>
      <c r="P122" s="46">
        <f t="shared" ca="1" si="4"/>
        <v>4.29002309974124E-5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input_468010!A$2</f>
        <v>468010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IFERROR(VLOOKUP(B123,input_468010!L:R,7,FALSE),VLOOKUP(tables_468010!C123,input_468010!A:H,8,FALSE))</f>
        <v>495900</v>
      </c>
      <c r="P123" s="46">
        <f t="shared" ca="1" si="4"/>
        <v>4.5967741935492301E-3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input_468010!A$2</f>
        <v>468010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IFERROR(VLOOKUP(B124,input_468010!L:R,7,FALSE),VLOOKUP(tables_468010!C124,input_468010!A:H,8,FALSE))</f>
        <v>386815.38462000003</v>
      </c>
      <c r="P124" s="46">
        <f t="shared" ca="1" si="4"/>
        <v>3.5856079404900905E-3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input_468010!A$2</f>
        <v>468010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IFERROR(VLOOKUP(B125,input_468010!L:R,7,FALSE),VLOOKUP(tables_468010!C125,input_468010!A:H,8,FALSE))</f>
        <v>4628.0769200000004</v>
      </c>
      <c r="P125" s="46">
        <f t="shared" ca="1" si="4"/>
        <v>4.29002309974124E-5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input_468010!A$2</f>
        <v>468010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IFERROR(VLOOKUP(B126,input_468010!L:R,7,FALSE),VLOOKUP(tables_468010!C126,input_468010!A:H,8,FALSE))</f>
        <v>495900</v>
      </c>
      <c r="P126" s="46">
        <f t="shared" ca="1" si="4"/>
        <v>4.5967741935492301E-3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input_468010!A$2</f>
        <v>468010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IFERROR(VLOOKUP(B127,input_468010!L:R,7,FALSE),VLOOKUP(tables_468010!C127,input_468010!A:H,8,FALSE))</f>
        <v>386815.38462000003</v>
      </c>
      <c r="P127" s="46">
        <f t="shared" ca="1" si="4"/>
        <v>3.5856079404900905E-3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input_468010!A$2</f>
        <v>468010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IFERROR(VLOOKUP(B128,input_468010!L:R,7,FALSE),VLOOKUP(tables_468010!C128,input_468010!A:H,8,FALSE))</f>
        <v>4628.0769200000004</v>
      </c>
      <c r="P128" s="46">
        <f t="shared" ca="1" si="4"/>
        <v>4.29002309974124E-5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input_468010!A$2</f>
        <v>468010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IFERROR(VLOOKUP(B129,input_468010!L:R,7,FALSE),VLOOKUP(tables_468010!C129,input_468010!A:H,8,FALSE))</f>
        <v>495900</v>
      </c>
      <c r="P129" s="46">
        <f t="shared" ca="1" si="4"/>
        <v>4.5967741935492301E-3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input_468010!A$2</f>
        <v>468010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IFERROR(VLOOKUP(B130,input_468010!L:R,7,FALSE),VLOOKUP(tables_468010!C130,input_468010!A:H,8,FALSE))</f>
        <v>386815.38462000003</v>
      </c>
      <c r="P130" s="46">
        <f t="shared" ref="P130:P193" ca="1" si="7">O130/SUM(O:O)</f>
        <v>3.5856079404900905E-3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input_468010!A$2</f>
        <v>468010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IFERROR(VLOOKUP(B131,input_468010!L:R,7,FALSE),VLOOKUP(tables_468010!C131,input_468010!A:H,8,FALSE))</f>
        <v>4628.0769200000004</v>
      </c>
      <c r="P131" s="46">
        <f t="shared" ca="1" si="7"/>
        <v>4.29002309974124E-5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input_468010!A$2</f>
        <v>468010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IFERROR(VLOOKUP(B132,input_468010!L:R,7,FALSE),VLOOKUP(tables_468010!C132,input_468010!A:H,8,FALSE))</f>
        <v>495900</v>
      </c>
      <c r="P132" s="46">
        <f t="shared" ca="1" si="7"/>
        <v>4.5967741935492301E-3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input_468010!A$2</f>
        <v>468010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IFERROR(VLOOKUP(B133,input_468010!L:R,7,FALSE),VLOOKUP(tables_468010!C133,input_468010!A:H,8,FALSE))</f>
        <v>386815.38462000003</v>
      </c>
      <c r="P133" s="46">
        <f t="shared" ca="1" si="7"/>
        <v>3.5856079404900905E-3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input_468010!A$2</f>
        <v>468010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IFERROR(VLOOKUP(B134,input_468010!L:R,7,FALSE),VLOOKUP(tables_468010!C134,input_468010!A:H,8,FALSE))</f>
        <v>4628.0769200000004</v>
      </c>
      <c r="P134" s="46">
        <f t="shared" ca="1" si="7"/>
        <v>4.29002309974124E-5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input_468010!A$2</f>
        <v>468010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IFERROR(VLOOKUP(B135,input_468010!L:R,7,FALSE),VLOOKUP(tables_468010!C135,input_468010!A:H,8,FALSE))</f>
        <v>495900</v>
      </c>
      <c r="P135" s="46">
        <f t="shared" ca="1" si="7"/>
        <v>4.5967741935492301E-3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input_468010!A$2</f>
        <v>468010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IFERROR(VLOOKUP(B136,input_468010!L:R,7,FALSE),VLOOKUP(tables_468010!C136,input_468010!A:H,8,FALSE))</f>
        <v>386815.38462000003</v>
      </c>
      <c r="P136" s="46">
        <f t="shared" ca="1" si="7"/>
        <v>3.5856079404900905E-3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input_468010!A$2</f>
        <v>468010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IFERROR(VLOOKUP(B137,input_468010!L:R,7,FALSE),VLOOKUP(tables_468010!C137,input_468010!A:H,8,FALSE))</f>
        <v>4628.0769200000004</v>
      </c>
      <c r="P137" s="46">
        <f t="shared" ca="1" si="7"/>
        <v>4.29002309974124E-5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input_468010!A$2</f>
        <v>468010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IFERROR(VLOOKUP(B138,input_468010!L:R,7,FALSE),VLOOKUP(tables_468010!C138,input_468010!A:H,8,FALSE))</f>
        <v>124553.57143</v>
      </c>
      <c r="P138" s="46">
        <f t="shared" ca="1" si="7"/>
        <v>1.1545566502597594E-3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input_468010!A$2</f>
        <v>468010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IFERROR(VLOOKUP(B139,input_468010!L:R,7,FALSE),VLOOKUP(tables_468010!C139,input_468010!A:H,8,FALSE))</f>
        <v>86689.285709999996</v>
      </c>
      <c r="P139" s="46">
        <f t="shared" ca="1" si="7"/>
        <v>8.0357142853184921E-4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input_468010!A$2</f>
        <v>468010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IFERROR(VLOOKUP(B140,input_468010!L:R,7,FALSE),VLOOKUP(tables_468010!C140,input_468010!A:H,8,FALSE))</f>
        <v>124553.57143</v>
      </c>
      <c r="P140" s="46">
        <f t="shared" ca="1" si="7"/>
        <v>1.1545566502597594E-3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input_468010!A$2</f>
        <v>468010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IFERROR(VLOOKUP(B141,input_468010!L:R,7,FALSE),VLOOKUP(tables_468010!C141,input_468010!A:H,8,FALSE))</f>
        <v>86689.285709999996</v>
      </c>
      <c r="P141" s="46">
        <f t="shared" ca="1" si="7"/>
        <v>8.0357142853184921E-4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input_468010!A$2</f>
        <v>468010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IFERROR(VLOOKUP(B142,input_468010!L:R,7,FALSE),VLOOKUP(tables_468010!C142,input_468010!A:H,8,FALSE))</f>
        <v>124553.57143</v>
      </c>
      <c r="P142" s="46">
        <f t="shared" ca="1" si="7"/>
        <v>1.1545566502597594E-3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input_468010!A$2</f>
        <v>468010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IFERROR(VLOOKUP(B143,input_468010!L:R,7,FALSE),VLOOKUP(tables_468010!C143,input_468010!A:H,8,FALSE))</f>
        <v>86689.285709999996</v>
      </c>
      <c r="P143" s="46">
        <f t="shared" ca="1" si="7"/>
        <v>8.0357142853184921E-4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input_468010!A$2</f>
        <v>468010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IFERROR(VLOOKUP(B144,input_468010!L:R,7,FALSE),VLOOKUP(tables_468010!C144,input_468010!A:H,8,FALSE))</f>
        <v>124553.57143</v>
      </c>
      <c r="P144" s="46">
        <f t="shared" ca="1" si="7"/>
        <v>1.1545566502597594E-3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input_468010!A$2</f>
        <v>468010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IFERROR(VLOOKUP(B145,input_468010!L:R,7,FALSE),VLOOKUP(tables_468010!C145,input_468010!A:H,8,FALSE))</f>
        <v>86689.285709999996</v>
      </c>
      <c r="P145" s="46">
        <f t="shared" ca="1" si="7"/>
        <v>8.0357142853184921E-4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input_468010!A$2</f>
        <v>468010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IFERROR(VLOOKUP(B146,input_468010!L:R,7,FALSE),VLOOKUP(tables_468010!C146,input_468010!A:H,8,FALSE))</f>
        <v>495900</v>
      </c>
      <c r="P146" s="46">
        <f t="shared" ca="1" si="7"/>
        <v>4.5967741935492301E-3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input_468010!A$2</f>
        <v>468010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IFERROR(VLOOKUP(B147,input_468010!L:R,7,FALSE),VLOOKUP(tables_468010!C147,input_468010!A:H,8,FALSE))</f>
        <v>386815.38462000003</v>
      </c>
      <c r="P147" s="46">
        <f t="shared" ca="1" si="7"/>
        <v>3.5856079404900905E-3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input_468010!A$2</f>
        <v>468010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IFERROR(VLOOKUP(B148,input_468010!L:R,7,FALSE),VLOOKUP(tables_468010!C148,input_468010!A:H,8,FALSE))</f>
        <v>4628.0769200000004</v>
      </c>
      <c r="P148" s="46">
        <f t="shared" ca="1" si="7"/>
        <v>4.29002309974124E-5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input_468010!A$2</f>
        <v>468010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IFERROR(VLOOKUP(B149,input_468010!L:R,7,FALSE),VLOOKUP(tables_468010!C149,input_468010!A:H,8,FALSE))</f>
        <v>124553.57143</v>
      </c>
      <c r="P149" s="46">
        <f t="shared" ca="1" si="7"/>
        <v>1.1545566502597594E-3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input_468010!A$2</f>
        <v>468010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IFERROR(VLOOKUP(B150,input_468010!L:R,7,FALSE),VLOOKUP(tables_468010!C150,input_468010!A:H,8,FALSE))</f>
        <v>86689.285709999996</v>
      </c>
      <c r="P150" s="46">
        <f t="shared" ca="1" si="7"/>
        <v>8.0357142853184921E-4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input_468010!A$2</f>
        <v>468010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IFERROR(VLOOKUP(B151,input_468010!L:R,7,FALSE),VLOOKUP(tables_468010!C151,input_468010!A:H,8,FALSE))</f>
        <v>124553.57143</v>
      </c>
      <c r="P151" s="46">
        <f t="shared" ca="1" si="7"/>
        <v>1.1545566502597594E-3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input_468010!A$2</f>
        <v>468010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IFERROR(VLOOKUP(B152,input_468010!L:R,7,FALSE),VLOOKUP(tables_468010!C152,input_468010!A:H,8,FALSE))</f>
        <v>86689.285709999996</v>
      </c>
      <c r="P152" s="46">
        <f t="shared" ca="1" si="7"/>
        <v>8.0357142853184921E-4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input_468010!A$2</f>
        <v>468010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IFERROR(VLOOKUP(B153,input_468010!L:R,7,FALSE),VLOOKUP(tables_468010!C153,input_468010!A:H,8,FALSE))</f>
        <v>495900</v>
      </c>
      <c r="P153" s="46">
        <f t="shared" ca="1" si="7"/>
        <v>4.5967741935492301E-3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input_468010!A$2</f>
        <v>468010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IFERROR(VLOOKUP(B154,input_468010!L:R,7,FALSE),VLOOKUP(tables_468010!C154,input_468010!A:H,8,FALSE))</f>
        <v>386815.38462000003</v>
      </c>
      <c r="P154" s="46">
        <f t="shared" ca="1" si="7"/>
        <v>3.5856079404900905E-3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input_468010!A$2</f>
        <v>468010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IFERROR(VLOOKUP(B155,input_468010!L:R,7,FALSE),VLOOKUP(tables_468010!C155,input_468010!A:H,8,FALSE))</f>
        <v>4628.0769200000004</v>
      </c>
      <c r="P155" s="46">
        <f t="shared" ca="1" si="7"/>
        <v>4.29002309974124E-5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input_468010!A$2</f>
        <v>468010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IFERROR(VLOOKUP(B156,input_468010!L:R,7,FALSE),VLOOKUP(tables_468010!C156,input_468010!A:H,8,FALSE))</f>
        <v>124553.57143</v>
      </c>
      <c r="P156" s="46">
        <f t="shared" ca="1" si="7"/>
        <v>1.1545566502597594E-3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input_468010!A$2</f>
        <v>468010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IFERROR(VLOOKUP(B157,input_468010!L:R,7,FALSE),VLOOKUP(tables_468010!C157,input_468010!A:H,8,FALSE))</f>
        <v>86689.285709999996</v>
      </c>
      <c r="P157" s="46">
        <f t="shared" ca="1" si="7"/>
        <v>8.0357142853184921E-4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input_468010!A$2</f>
        <v>468010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IFERROR(VLOOKUP(B158,input_468010!L:R,7,FALSE),VLOOKUP(tables_468010!C158,input_468010!A:H,8,FALSE))</f>
        <v>495900</v>
      </c>
      <c r="P158" s="46">
        <f t="shared" ca="1" si="7"/>
        <v>4.5967741935492301E-3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input_468010!A$2</f>
        <v>468010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IFERROR(VLOOKUP(B159,input_468010!L:R,7,FALSE),VLOOKUP(tables_468010!C159,input_468010!A:H,8,FALSE))</f>
        <v>386815.38462000003</v>
      </c>
      <c r="P159" s="46">
        <f t="shared" ca="1" si="7"/>
        <v>3.5856079404900905E-3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input_468010!A$2</f>
        <v>468010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IFERROR(VLOOKUP(B160,input_468010!L:R,7,FALSE),VLOOKUP(tables_468010!C160,input_468010!A:H,8,FALSE))</f>
        <v>4628.0769200000004</v>
      </c>
      <c r="P160" s="46">
        <f t="shared" ca="1" si="7"/>
        <v>4.29002309974124E-5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input_468010!A$2</f>
        <v>468010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IFERROR(VLOOKUP(B161,input_468010!L:R,7,FALSE),VLOOKUP(tables_468010!C161,input_468010!A:H,8,FALSE))</f>
        <v>495900</v>
      </c>
      <c r="P161" s="46">
        <f t="shared" ca="1" si="7"/>
        <v>4.5967741935492301E-3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input_468010!A$2</f>
        <v>468010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IFERROR(VLOOKUP(B162,input_468010!L:R,7,FALSE),VLOOKUP(tables_468010!C162,input_468010!A:H,8,FALSE))</f>
        <v>386815.38462000003</v>
      </c>
      <c r="P162" s="46">
        <f t="shared" ca="1" si="7"/>
        <v>3.5856079404900905E-3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input_468010!A$2</f>
        <v>468010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IFERROR(VLOOKUP(B163,input_468010!L:R,7,FALSE),VLOOKUP(tables_468010!C163,input_468010!A:H,8,FALSE))</f>
        <v>4628.0769200000004</v>
      </c>
      <c r="P163" s="46">
        <f t="shared" ca="1" si="7"/>
        <v>4.29002309974124E-5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input_468010!A$2</f>
        <v>468010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IFERROR(VLOOKUP(B164,input_468010!L:R,7,FALSE),VLOOKUP(tables_468010!C164,input_468010!A:H,8,FALSE))</f>
        <v>124553.57143</v>
      </c>
      <c r="P164" s="46">
        <f t="shared" ca="1" si="7"/>
        <v>1.1545566502597594E-3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input_468010!A$2</f>
        <v>468010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IFERROR(VLOOKUP(B165,input_468010!L:R,7,FALSE),VLOOKUP(tables_468010!C165,input_468010!A:H,8,FALSE))</f>
        <v>86689.285709999996</v>
      </c>
      <c r="P165" s="46">
        <f t="shared" ca="1" si="7"/>
        <v>8.0357142853184921E-4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input_468010!A$2</f>
        <v>468010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IFERROR(VLOOKUP(B166,input_468010!L:R,7,FALSE),VLOOKUP(tables_468010!C166,input_468010!A:H,8,FALSE))</f>
        <v>495900</v>
      </c>
      <c r="P166" s="46">
        <f t="shared" ca="1" si="7"/>
        <v>4.5967741935492301E-3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input_468010!A$2</f>
        <v>468010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IFERROR(VLOOKUP(B167,input_468010!L:R,7,FALSE),VLOOKUP(tables_468010!C167,input_468010!A:H,8,FALSE))</f>
        <v>386815.38462000003</v>
      </c>
      <c r="P167" s="46">
        <f t="shared" ca="1" si="7"/>
        <v>3.5856079404900905E-3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input_468010!A$2</f>
        <v>468010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IFERROR(VLOOKUP(B168,input_468010!L:R,7,FALSE),VLOOKUP(tables_468010!C168,input_468010!A:H,8,FALSE))</f>
        <v>4628.0769200000004</v>
      </c>
      <c r="P168" s="46">
        <f t="shared" ca="1" si="7"/>
        <v>4.29002309974124E-5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input_468010!A$2</f>
        <v>468010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IFERROR(VLOOKUP(B169,input_468010!L:R,7,FALSE),VLOOKUP(tables_468010!C169,input_468010!A:H,8,FALSE))</f>
        <v>124553.57143</v>
      </c>
      <c r="P169" s="46">
        <f t="shared" ca="1" si="7"/>
        <v>1.1545566502597594E-3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input_468010!A$2</f>
        <v>468010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IFERROR(VLOOKUP(B170,input_468010!L:R,7,FALSE),VLOOKUP(tables_468010!C170,input_468010!A:H,8,FALSE))</f>
        <v>86689.285709999996</v>
      </c>
      <c r="P170" s="46">
        <f t="shared" ca="1" si="7"/>
        <v>8.0357142853184921E-4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input_468010!A$2</f>
        <v>468010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IFERROR(VLOOKUP(B171,input_468010!L:R,7,FALSE),VLOOKUP(tables_468010!C171,input_468010!A:H,8,FALSE))</f>
        <v>495900</v>
      </c>
      <c r="P171" s="46">
        <f t="shared" ca="1" si="7"/>
        <v>4.5967741935492301E-3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input_468010!A$2</f>
        <v>468010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IFERROR(VLOOKUP(B172,input_468010!L:R,7,FALSE),VLOOKUP(tables_468010!C172,input_468010!A:H,8,FALSE))</f>
        <v>386815.38462000003</v>
      </c>
      <c r="P172" s="46">
        <f t="shared" ca="1" si="7"/>
        <v>3.5856079404900905E-3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input_468010!A$2</f>
        <v>468010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IFERROR(VLOOKUP(B173,input_468010!L:R,7,FALSE),VLOOKUP(tables_468010!C173,input_468010!A:H,8,FALSE))</f>
        <v>4628.0769200000004</v>
      </c>
      <c r="P173" s="46">
        <f t="shared" ca="1" si="7"/>
        <v>4.29002309974124E-5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input_468010!A$2</f>
        <v>468010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IFERROR(VLOOKUP(B174,input_468010!L:R,7,FALSE),VLOOKUP(tables_468010!C174,input_468010!A:H,8,FALSE))</f>
        <v>124553.57143</v>
      </c>
      <c r="P174" s="46">
        <f t="shared" ca="1" si="7"/>
        <v>1.1545566502597594E-3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input_468010!A$2</f>
        <v>468010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IFERROR(VLOOKUP(B175,input_468010!L:R,7,FALSE),VLOOKUP(tables_468010!C175,input_468010!A:H,8,FALSE))</f>
        <v>86689.285709999996</v>
      </c>
      <c r="P175" s="46">
        <f t="shared" ca="1" si="7"/>
        <v>8.0357142853184921E-4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input_468010!A$2</f>
        <v>468010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IFERROR(VLOOKUP(B176,input_468010!L:R,7,FALSE),VLOOKUP(tables_468010!C176,input_468010!A:H,8,FALSE))</f>
        <v>124553.57143</v>
      </c>
      <c r="P176" s="46">
        <f t="shared" ca="1" si="7"/>
        <v>1.1545566502597594E-3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input_468010!A$2</f>
        <v>468010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IFERROR(VLOOKUP(B177,input_468010!L:R,7,FALSE),VLOOKUP(tables_468010!C177,input_468010!A:H,8,FALSE))</f>
        <v>86689.285709999996</v>
      </c>
      <c r="P177" s="46">
        <f t="shared" ca="1" si="7"/>
        <v>8.0357142853184921E-4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input_468010!A$2</f>
        <v>468010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IFERROR(VLOOKUP(B178,input_468010!L:R,7,FALSE),VLOOKUP(tables_468010!C178,input_468010!A:H,8,FALSE))</f>
        <v>495900</v>
      </c>
      <c r="P178" s="46">
        <f t="shared" ca="1" si="7"/>
        <v>4.5967741935492301E-3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input_468010!A$2</f>
        <v>468010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IFERROR(VLOOKUP(B179,input_468010!L:R,7,FALSE),VLOOKUP(tables_468010!C179,input_468010!A:H,8,FALSE))</f>
        <v>386815.38462000003</v>
      </c>
      <c r="P179" s="46">
        <f t="shared" ca="1" si="7"/>
        <v>3.5856079404900905E-3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input_468010!A$2</f>
        <v>468010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IFERROR(VLOOKUP(B180,input_468010!L:R,7,FALSE),VLOOKUP(tables_468010!C180,input_468010!A:H,8,FALSE))</f>
        <v>4628.0769200000004</v>
      </c>
      <c r="P180" s="46">
        <f t="shared" ca="1" si="7"/>
        <v>4.29002309974124E-5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input_468010!A$2</f>
        <v>468010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IFERROR(VLOOKUP(B181,input_468010!L:R,7,FALSE),VLOOKUP(tables_468010!C181,input_468010!A:H,8,FALSE))</f>
        <v>495900</v>
      </c>
      <c r="P181" s="46">
        <f t="shared" ca="1" si="7"/>
        <v>4.5967741935492301E-3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input_468010!A$2</f>
        <v>468010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IFERROR(VLOOKUP(B182,input_468010!L:R,7,FALSE),VLOOKUP(tables_468010!C182,input_468010!A:H,8,FALSE))</f>
        <v>386815.38462000003</v>
      </c>
      <c r="P182" s="46">
        <f t="shared" ca="1" si="7"/>
        <v>3.5856079404900905E-3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input_468010!A$2</f>
        <v>468010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IFERROR(VLOOKUP(B183,input_468010!L:R,7,FALSE),VLOOKUP(tables_468010!C183,input_468010!A:H,8,FALSE))</f>
        <v>4628.0769200000004</v>
      </c>
      <c r="P183" s="46">
        <f t="shared" ca="1" si="7"/>
        <v>4.29002309974124E-5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input_468010!A$2</f>
        <v>468010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IFERROR(VLOOKUP(B184,input_468010!L:R,7,FALSE),VLOOKUP(tables_468010!C184,input_468010!A:H,8,FALSE))</f>
        <v>124553.57143</v>
      </c>
      <c r="P184" s="46">
        <f t="shared" ca="1" si="7"/>
        <v>1.1545566502597594E-3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input_468010!A$2</f>
        <v>468010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IFERROR(VLOOKUP(B185,input_468010!L:R,7,FALSE),VLOOKUP(tables_468010!C185,input_468010!A:H,8,FALSE))</f>
        <v>86689.285709999996</v>
      </c>
      <c r="P185" s="46">
        <f t="shared" ca="1" si="7"/>
        <v>8.0357142853184921E-4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input_468010!A$2</f>
        <v>468010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IFERROR(VLOOKUP(B186,input_468010!L:R,7,FALSE),VLOOKUP(tables_468010!C186,input_468010!A:H,8,FALSE))</f>
        <v>495900</v>
      </c>
      <c r="P186" s="46">
        <f t="shared" ca="1" si="7"/>
        <v>4.5967741935492301E-3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input_468010!A$2</f>
        <v>468010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IFERROR(VLOOKUP(B187,input_468010!L:R,7,FALSE),VLOOKUP(tables_468010!C187,input_468010!A:H,8,FALSE))</f>
        <v>386815.38462000003</v>
      </c>
      <c r="P187" s="46">
        <f t="shared" ca="1" si="7"/>
        <v>3.5856079404900905E-3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input_468010!A$2</f>
        <v>468010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IFERROR(VLOOKUP(B188,input_468010!L:R,7,FALSE),VLOOKUP(tables_468010!C188,input_468010!A:H,8,FALSE))</f>
        <v>4628.0769200000004</v>
      </c>
      <c r="P188" s="46">
        <f t="shared" ca="1" si="7"/>
        <v>4.29002309974124E-5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input_468010!A$2</f>
        <v>468010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IFERROR(VLOOKUP(B189,input_468010!L:R,7,FALSE),VLOOKUP(tables_468010!C189,input_468010!A:H,8,FALSE))</f>
        <v>124553.57143</v>
      </c>
      <c r="P189" s="46">
        <f t="shared" ca="1" si="7"/>
        <v>1.1545566502597594E-3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input_468010!A$2</f>
        <v>468010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IFERROR(VLOOKUP(B190,input_468010!L:R,7,FALSE),VLOOKUP(tables_468010!C190,input_468010!A:H,8,FALSE))</f>
        <v>86689.285709999996</v>
      </c>
      <c r="P190" s="46">
        <f t="shared" ca="1" si="7"/>
        <v>8.0357142853184921E-4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input_468010!A$2</f>
        <v>468010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IFERROR(VLOOKUP(B191,input_468010!L:R,7,FALSE),VLOOKUP(tables_468010!C191,input_468010!A:H,8,FALSE))</f>
        <v>124553.57143</v>
      </c>
      <c r="P191" s="46">
        <f t="shared" ca="1" si="7"/>
        <v>1.1545566502597594E-3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input_468010!A$2</f>
        <v>468010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IFERROR(VLOOKUP(B192,input_468010!L:R,7,FALSE),VLOOKUP(tables_468010!C192,input_468010!A:H,8,FALSE))</f>
        <v>86689.285709999996</v>
      </c>
      <c r="P192" s="46">
        <f t="shared" ca="1" si="7"/>
        <v>8.0357142853184921E-4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input_468010!A$2</f>
        <v>468010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IFERROR(VLOOKUP(B193,input_468010!L:R,7,FALSE),VLOOKUP(tables_468010!C193,input_468010!A:H,8,FALSE))</f>
        <v>495900</v>
      </c>
      <c r="P193" s="46">
        <f t="shared" ca="1" si="7"/>
        <v>4.5967741935492301E-3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input_468010!A$2</f>
        <v>468010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IFERROR(VLOOKUP(B194,input_468010!L:R,7,FALSE),VLOOKUP(tables_468010!C194,input_468010!A:H,8,FALSE))</f>
        <v>386815.38462000003</v>
      </c>
      <c r="P194" s="46">
        <f t="shared" ref="P194:P257" ca="1" si="10">O194/SUM(O:O)</f>
        <v>3.5856079404900905E-3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input_468010!A$2</f>
        <v>468010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IFERROR(VLOOKUP(B195,input_468010!L:R,7,FALSE),VLOOKUP(tables_468010!C195,input_468010!A:H,8,FALSE))</f>
        <v>4628.0769200000004</v>
      </c>
      <c r="P195" s="46">
        <f t="shared" ca="1" si="10"/>
        <v>4.29002309974124E-5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input_468010!A$2</f>
        <v>468010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IFERROR(VLOOKUP(B196,input_468010!L:R,7,FALSE),VLOOKUP(tables_468010!C196,input_468010!A:H,8,FALSE))</f>
        <v>124553.57143</v>
      </c>
      <c r="P196" s="46">
        <f t="shared" ca="1" si="10"/>
        <v>1.1545566502597594E-3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input_468010!A$2</f>
        <v>468010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IFERROR(VLOOKUP(B197,input_468010!L:R,7,FALSE),VLOOKUP(tables_468010!C197,input_468010!A:H,8,FALSE))</f>
        <v>86689.285709999996</v>
      </c>
      <c r="P197" s="46">
        <f t="shared" ca="1" si="10"/>
        <v>8.0357142853184921E-4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input_468010!A$2</f>
        <v>468010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IFERROR(VLOOKUP(B198,input_468010!L:R,7,FALSE),VLOOKUP(tables_468010!C198,input_468010!A:H,8,FALSE))</f>
        <v>495900</v>
      </c>
      <c r="P198" s="46">
        <f t="shared" ca="1" si="10"/>
        <v>4.5967741935492301E-3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input_468010!A$2</f>
        <v>468010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IFERROR(VLOOKUP(B199,input_468010!L:R,7,FALSE),VLOOKUP(tables_468010!C199,input_468010!A:H,8,FALSE))</f>
        <v>386815.38462000003</v>
      </c>
      <c r="P199" s="46">
        <f t="shared" ca="1" si="10"/>
        <v>3.5856079404900905E-3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input_468010!A$2</f>
        <v>468010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IFERROR(VLOOKUP(B200,input_468010!L:R,7,FALSE),VLOOKUP(tables_468010!C200,input_468010!A:H,8,FALSE))</f>
        <v>4628.0769200000004</v>
      </c>
      <c r="P200" s="46">
        <f t="shared" ca="1" si="10"/>
        <v>4.29002309974124E-5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input_468010!A$2</f>
        <v>468010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IFERROR(VLOOKUP(B201,input_468010!L:R,7,FALSE),VLOOKUP(tables_468010!C201,input_468010!A:H,8,FALSE))</f>
        <v>124553.57143</v>
      </c>
      <c r="P201" s="46">
        <f t="shared" ca="1" si="10"/>
        <v>1.1545566502597594E-3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input_468010!A$2</f>
        <v>468010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IFERROR(VLOOKUP(B202,input_468010!L:R,7,FALSE),VLOOKUP(tables_468010!C202,input_468010!A:H,8,FALSE))</f>
        <v>86689.285709999996</v>
      </c>
      <c r="P202" s="46">
        <f t="shared" ca="1" si="10"/>
        <v>8.0357142853184921E-4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input_468010!A$2</f>
        <v>468010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IFERROR(VLOOKUP(B203,input_468010!L:R,7,FALSE),VLOOKUP(tables_468010!C203,input_468010!A:H,8,FALSE))</f>
        <v>495900</v>
      </c>
      <c r="P203" s="46">
        <f t="shared" ca="1" si="10"/>
        <v>4.5967741935492301E-3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input_468010!A$2</f>
        <v>468010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IFERROR(VLOOKUP(B204,input_468010!L:R,7,FALSE),VLOOKUP(tables_468010!C204,input_468010!A:H,8,FALSE))</f>
        <v>386815.38462000003</v>
      </c>
      <c r="P204" s="46">
        <f t="shared" ca="1" si="10"/>
        <v>3.5856079404900905E-3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input_468010!A$2</f>
        <v>468010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IFERROR(VLOOKUP(B205,input_468010!L:R,7,FALSE),VLOOKUP(tables_468010!C205,input_468010!A:H,8,FALSE))</f>
        <v>4628.0769200000004</v>
      </c>
      <c r="P205" s="46">
        <f t="shared" ca="1" si="10"/>
        <v>4.29002309974124E-5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input_468010!A$2</f>
        <v>468010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IFERROR(VLOOKUP(B206,input_468010!L:R,7,FALSE),VLOOKUP(tables_468010!C206,input_468010!A:H,8,FALSE))</f>
        <v>124553.57143</v>
      </c>
      <c r="P206" s="46">
        <f t="shared" ca="1" si="10"/>
        <v>1.1545566502597594E-3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input_468010!A$2</f>
        <v>468010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IFERROR(VLOOKUP(B207,input_468010!L:R,7,FALSE),VLOOKUP(tables_468010!C207,input_468010!A:H,8,FALSE))</f>
        <v>86689.285709999996</v>
      </c>
      <c r="P207" s="46">
        <f t="shared" ca="1" si="10"/>
        <v>8.0357142853184921E-4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input_468010!A$2</f>
        <v>468010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IFERROR(VLOOKUP(B208,input_468010!L:R,7,FALSE),VLOOKUP(tables_468010!C208,input_468010!A:H,8,FALSE))</f>
        <v>124553.57143</v>
      </c>
      <c r="P208" s="46">
        <f t="shared" ca="1" si="10"/>
        <v>1.1545566502597594E-3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input_468010!A$2</f>
        <v>468010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IFERROR(VLOOKUP(B209,input_468010!L:R,7,FALSE),VLOOKUP(tables_468010!C209,input_468010!A:H,8,FALSE))</f>
        <v>86689.285709999996</v>
      </c>
      <c r="P209" s="46">
        <f t="shared" ca="1" si="10"/>
        <v>8.0357142853184921E-4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input_468010!A$2</f>
        <v>468010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IFERROR(VLOOKUP(B210,input_468010!L:R,7,FALSE),VLOOKUP(tables_468010!C210,input_468010!A:H,8,FALSE))</f>
        <v>495900</v>
      </c>
      <c r="P210" s="46">
        <f t="shared" ca="1" si="10"/>
        <v>4.5967741935492301E-3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input_468010!A$2</f>
        <v>468010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IFERROR(VLOOKUP(B211,input_468010!L:R,7,FALSE),VLOOKUP(tables_468010!C211,input_468010!A:H,8,FALSE))</f>
        <v>386815.38462000003</v>
      </c>
      <c r="P211" s="46">
        <f t="shared" ca="1" si="10"/>
        <v>3.5856079404900905E-3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input_468010!A$2</f>
        <v>468010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IFERROR(VLOOKUP(B212,input_468010!L:R,7,FALSE),VLOOKUP(tables_468010!C212,input_468010!A:H,8,FALSE))</f>
        <v>4628.0769200000004</v>
      </c>
      <c r="P212" s="46">
        <f t="shared" ca="1" si="10"/>
        <v>4.29002309974124E-5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input_468010!A$2</f>
        <v>468010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IFERROR(VLOOKUP(B213,input_468010!L:R,7,FALSE),VLOOKUP(tables_468010!C213,input_468010!A:H,8,FALSE))</f>
        <v>124553.57143</v>
      </c>
      <c r="P213" s="46">
        <f t="shared" ca="1" si="10"/>
        <v>1.1545566502597594E-3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input_468010!A$2</f>
        <v>468010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IFERROR(VLOOKUP(B214,input_468010!L:R,7,FALSE),VLOOKUP(tables_468010!C214,input_468010!A:H,8,FALSE))</f>
        <v>86689.285709999996</v>
      </c>
      <c r="P214" s="46">
        <f t="shared" ca="1" si="10"/>
        <v>8.0357142853184921E-4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input_468010!A$2</f>
        <v>468010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IFERROR(VLOOKUP(B215,input_468010!L:R,7,FALSE),VLOOKUP(tables_468010!C215,input_468010!A:H,8,FALSE))</f>
        <v>31395.652170000001</v>
      </c>
      <c r="P215" s="46">
        <f t="shared" ca="1" si="10"/>
        <v>2.9102384288103229E-4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input_468010!A$2</f>
        <v>468010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IFERROR(VLOOKUP(B216,input_468010!L:R,7,FALSE),VLOOKUP(tables_468010!C216,input_468010!A:H,8,FALSE))</f>
        <v>31395.652170000001</v>
      </c>
      <c r="P216" s="46">
        <f t="shared" ca="1" si="10"/>
        <v>2.9102384288103229E-4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input_468010!A$2</f>
        <v>468010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IFERROR(VLOOKUP(B217,input_468010!L:R,7,FALSE),VLOOKUP(tables_468010!C217,input_468010!A:H,8,FALSE))</f>
        <v>31395.652170000001</v>
      </c>
      <c r="P217" s="46">
        <f t="shared" ca="1" si="10"/>
        <v>2.9102384288103229E-4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input_468010!A$2</f>
        <v>468010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IFERROR(VLOOKUP(B218,input_468010!L:R,7,FALSE),VLOOKUP(tables_468010!C218,input_468010!A:H,8,FALSE))</f>
        <v>31395.652170000001</v>
      </c>
      <c r="P218" s="46">
        <f t="shared" ca="1" si="10"/>
        <v>2.9102384288103229E-4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input_468010!A$2</f>
        <v>468010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IFERROR(VLOOKUP(B219,input_468010!L:R,7,FALSE),VLOOKUP(tables_468010!C219,input_468010!A:H,8,FALSE))</f>
        <v>31395.652170000001</v>
      </c>
      <c r="P219" s="46">
        <f t="shared" ca="1" si="10"/>
        <v>2.9102384288103229E-4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input_468010!A$2</f>
        <v>468010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IFERROR(VLOOKUP(B220,input_468010!L:R,7,FALSE),VLOOKUP(tables_468010!C220,input_468010!A:H,8,FALSE))</f>
        <v>31395.652170000001</v>
      </c>
      <c r="P220" s="46">
        <f t="shared" ca="1" si="10"/>
        <v>2.9102384288103229E-4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input_468010!A$2</f>
        <v>468010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IFERROR(VLOOKUP(B221,input_468010!L:R,7,FALSE),VLOOKUP(tables_468010!C221,input_468010!A:H,8,FALSE))</f>
        <v>124553.57143</v>
      </c>
      <c r="P221" s="46">
        <f t="shared" ca="1" si="10"/>
        <v>1.1545566502597594E-3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input_468010!A$2</f>
        <v>468010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IFERROR(VLOOKUP(B222,input_468010!L:R,7,FALSE),VLOOKUP(tables_468010!C222,input_468010!A:H,8,FALSE))</f>
        <v>86689.285709999996</v>
      </c>
      <c r="P222" s="46">
        <f t="shared" ca="1" si="10"/>
        <v>8.0357142853184921E-4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input_468010!A$2</f>
        <v>468010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IFERROR(VLOOKUP(B223,input_468010!L:R,7,FALSE),VLOOKUP(tables_468010!C223,input_468010!A:H,8,FALSE))</f>
        <v>495900</v>
      </c>
      <c r="P223" s="46">
        <f t="shared" ca="1" si="10"/>
        <v>4.5967741935492301E-3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input_468010!A$2</f>
        <v>468010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IFERROR(VLOOKUP(B224,input_468010!L:R,7,FALSE),VLOOKUP(tables_468010!C224,input_468010!A:H,8,FALSE))</f>
        <v>386815.38462000003</v>
      </c>
      <c r="P224" s="46">
        <f t="shared" ca="1" si="10"/>
        <v>3.5856079404900905E-3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input_468010!A$2</f>
        <v>468010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IFERROR(VLOOKUP(B225,input_468010!L:R,7,FALSE),VLOOKUP(tables_468010!C225,input_468010!A:H,8,FALSE))</f>
        <v>4628.0769200000004</v>
      </c>
      <c r="P225" s="46">
        <f t="shared" ca="1" si="10"/>
        <v>4.29002309974124E-5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input_468010!A$2</f>
        <v>468010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IFERROR(VLOOKUP(B226,input_468010!L:R,7,FALSE),VLOOKUP(tables_468010!C226,input_468010!A:H,8,FALSE))</f>
        <v>495900</v>
      </c>
      <c r="P226" s="46">
        <f t="shared" ca="1" si="10"/>
        <v>4.5967741935492301E-3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input_468010!A$2</f>
        <v>468010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IFERROR(VLOOKUP(B227,input_468010!L:R,7,FALSE),VLOOKUP(tables_468010!C227,input_468010!A:H,8,FALSE))</f>
        <v>386815.38462000003</v>
      </c>
      <c r="P227" s="46">
        <f t="shared" ca="1" si="10"/>
        <v>3.5856079404900905E-3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input_468010!A$2</f>
        <v>468010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IFERROR(VLOOKUP(B228,input_468010!L:R,7,FALSE),VLOOKUP(tables_468010!C228,input_468010!A:H,8,FALSE))</f>
        <v>4628.0769200000004</v>
      </c>
      <c r="P228" s="46">
        <f t="shared" ca="1" si="10"/>
        <v>4.29002309974124E-5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input_468010!A$2</f>
        <v>468010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IFERROR(VLOOKUP(B229,input_468010!L:R,7,FALSE),VLOOKUP(tables_468010!C229,input_468010!A:H,8,FALSE))</f>
        <v>124553.57143</v>
      </c>
      <c r="P229" s="46">
        <f t="shared" ca="1" si="10"/>
        <v>1.1545566502597594E-3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input_468010!A$2</f>
        <v>468010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IFERROR(VLOOKUP(B230,input_468010!L:R,7,FALSE),VLOOKUP(tables_468010!C230,input_468010!A:H,8,FALSE))</f>
        <v>86689.285709999996</v>
      </c>
      <c r="P230" s="46">
        <f t="shared" ca="1" si="10"/>
        <v>8.0357142853184921E-4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input_468010!A$2</f>
        <v>468010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IFERROR(VLOOKUP(B231,input_468010!L:R,7,FALSE),VLOOKUP(tables_468010!C231,input_468010!A:H,8,FALSE))</f>
        <v>495900</v>
      </c>
      <c r="P231" s="46">
        <f t="shared" ca="1" si="10"/>
        <v>4.5967741935492301E-3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input_468010!A$2</f>
        <v>468010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IFERROR(VLOOKUP(B232,input_468010!L:R,7,FALSE),VLOOKUP(tables_468010!C232,input_468010!A:H,8,FALSE))</f>
        <v>386815.38462000003</v>
      </c>
      <c r="P232" s="46">
        <f t="shared" ca="1" si="10"/>
        <v>3.5856079404900905E-3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input_468010!A$2</f>
        <v>468010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IFERROR(VLOOKUP(B233,input_468010!L:R,7,FALSE),VLOOKUP(tables_468010!C233,input_468010!A:H,8,FALSE))</f>
        <v>4628.0769200000004</v>
      </c>
      <c r="P233" s="46">
        <f t="shared" ca="1" si="10"/>
        <v>4.29002309974124E-5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input_468010!A$2</f>
        <v>468010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IFERROR(VLOOKUP(B234,input_468010!L:R,7,FALSE),VLOOKUP(tables_468010!C234,input_468010!A:H,8,FALSE))</f>
        <v>495900</v>
      </c>
      <c r="P234" s="46">
        <f t="shared" ca="1" si="10"/>
        <v>4.5967741935492301E-3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input_468010!A$2</f>
        <v>468010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IFERROR(VLOOKUP(B235,input_468010!L:R,7,FALSE),VLOOKUP(tables_468010!C235,input_468010!A:H,8,FALSE))</f>
        <v>386815.38462000003</v>
      </c>
      <c r="P235" s="46">
        <f t="shared" ca="1" si="10"/>
        <v>3.5856079404900905E-3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input_468010!A$2</f>
        <v>468010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IFERROR(VLOOKUP(B236,input_468010!L:R,7,FALSE),VLOOKUP(tables_468010!C236,input_468010!A:H,8,FALSE))</f>
        <v>4628.0769200000004</v>
      </c>
      <c r="P236" s="46">
        <f t="shared" ca="1" si="10"/>
        <v>4.29002309974124E-5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input_468010!A$2</f>
        <v>468010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IFERROR(VLOOKUP(B237,input_468010!L:R,7,FALSE),VLOOKUP(tables_468010!C237,input_468010!A:H,8,FALSE))</f>
        <v>124553.57143</v>
      </c>
      <c r="P237" s="46">
        <f t="shared" ca="1" si="10"/>
        <v>1.1545566502597594E-3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input_468010!A$2</f>
        <v>468010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IFERROR(VLOOKUP(B238,input_468010!L:R,7,FALSE),VLOOKUP(tables_468010!C238,input_468010!A:H,8,FALSE))</f>
        <v>86689.285709999996</v>
      </c>
      <c r="P238" s="46">
        <f t="shared" ca="1" si="10"/>
        <v>8.0357142853184921E-4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input_468010!A$2</f>
        <v>468010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IFERROR(VLOOKUP(B239,input_468010!L:R,7,FALSE),VLOOKUP(tables_468010!C239,input_468010!A:H,8,FALSE))</f>
        <v>495900</v>
      </c>
      <c r="P239" s="46">
        <f t="shared" ca="1" si="10"/>
        <v>4.5967741935492301E-3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input_468010!A$2</f>
        <v>468010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IFERROR(VLOOKUP(B240,input_468010!L:R,7,FALSE),VLOOKUP(tables_468010!C240,input_468010!A:H,8,FALSE))</f>
        <v>386815.38462000003</v>
      </c>
      <c r="P240" s="46">
        <f t="shared" ca="1" si="10"/>
        <v>3.5856079404900905E-3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input_468010!A$2</f>
        <v>468010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IFERROR(VLOOKUP(B241,input_468010!L:R,7,FALSE),VLOOKUP(tables_468010!C241,input_468010!A:H,8,FALSE))</f>
        <v>4628.0769200000004</v>
      </c>
      <c r="P241" s="46">
        <f t="shared" ca="1" si="10"/>
        <v>4.29002309974124E-5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input_468010!A$2</f>
        <v>468010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IFERROR(VLOOKUP(B242,input_468010!L:R,7,FALSE),VLOOKUP(tables_468010!C242,input_468010!A:H,8,FALSE))</f>
        <v>124553.57143</v>
      </c>
      <c r="P242" s="46">
        <f t="shared" ca="1" si="10"/>
        <v>1.1545566502597594E-3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input_468010!A$2</f>
        <v>468010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IFERROR(VLOOKUP(B243,input_468010!L:R,7,FALSE),VLOOKUP(tables_468010!C243,input_468010!A:H,8,FALSE))</f>
        <v>86689.285709999996</v>
      </c>
      <c r="P243" s="46">
        <f t="shared" ca="1" si="10"/>
        <v>8.0357142853184921E-4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input_468010!A$2</f>
        <v>468010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IFERROR(VLOOKUP(B244,input_468010!L:R,7,FALSE),VLOOKUP(tables_468010!C244,input_468010!A:H,8,FALSE))</f>
        <v>124553.57143</v>
      </c>
      <c r="P244" s="46">
        <f t="shared" ca="1" si="10"/>
        <v>1.1545566502597594E-3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input_468010!A$2</f>
        <v>468010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IFERROR(VLOOKUP(B245,input_468010!L:R,7,FALSE),VLOOKUP(tables_468010!C245,input_468010!A:H,8,FALSE))</f>
        <v>86689.285709999996</v>
      </c>
      <c r="P245" s="46">
        <f t="shared" ca="1" si="10"/>
        <v>8.0357142853184921E-4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input_468010!A$2</f>
        <v>468010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IFERROR(VLOOKUP(B246,input_468010!L:R,7,FALSE),VLOOKUP(tables_468010!C246,input_468010!A:H,8,FALSE))</f>
        <v>495900</v>
      </c>
      <c r="P246" s="46">
        <f t="shared" ca="1" si="10"/>
        <v>4.5967741935492301E-3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input_468010!A$2</f>
        <v>468010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IFERROR(VLOOKUP(B247,input_468010!L:R,7,FALSE),VLOOKUP(tables_468010!C247,input_468010!A:H,8,FALSE))</f>
        <v>386815.38462000003</v>
      </c>
      <c r="P247" s="46">
        <f t="shared" ca="1" si="10"/>
        <v>3.5856079404900905E-3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input_468010!A$2</f>
        <v>468010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IFERROR(VLOOKUP(B248,input_468010!L:R,7,FALSE),VLOOKUP(tables_468010!C248,input_468010!A:H,8,FALSE))</f>
        <v>4628.0769200000004</v>
      </c>
      <c r="P248" s="46">
        <f t="shared" ca="1" si="10"/>
        <v>4.29002309974124E-5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input_468010!A$2</f>
        <v>468010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IFERROR(VLOOKUP(B249,input_468010!L:R,7,FALSE),VLOOKUP(tables_468010!C249,input_468010!A:H,8,FALSE))</f>
        <v>495900</v>
      </c>
      <c r="P249" s="46">
        <f t="shared" ca="1" si="10"/>
        <v>4.5967741935492301E-3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input_468010!A$2</f>
        <v>468010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IFERROR(VLOOKUP(B250,input_468010!L:R,7,FALSE),VLOOKUP(tables_468010!C250,input_468010!A:H,8,FALSE))</f>
        <v>386815.38462000003</v>
      </c>
      <c r="P250" s="46">
        <f t="shared" ca="1" si="10"/>
        <v>3.5856079404900905E-3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input_468010!A$2</f>
        <v>468010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IFERROR(VLOOKUP(B251,input_468010!L:R,7,FALSE),VLOOKUP(tables_468010!C251,input_468010!A:H,8,FALSE))</f>
        <v>4628.0769200000004</v>
      </c>
      <c r="P251" s="46">
        <f t="shared" ca="1" si="10"/>
        <v>4.29002309974124E-5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input_468010!A$2</f>
        <v>468010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IFERROR(VLOOKUP(B252,input_468010!L:R,7,FALSE),VLOOKUP(tables_468010!C252,input_468010!A:H,8,FALSE))</f>
        <v>495900</v>
      </c>
      <c r="P252" s="46">
        <f t="shared" ca="1" si="10"/>
        <v>4.5967741935492301E-3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input_468010!A$2</f>
        <v>468010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IFERROR(VLOOKUP(B253,input_468010!L:R,7,FALSE),VLOOKUP(tables_468010!C253,input_468010!A:H,8,FALSE))</f>
        <v>386815.38462000003</v>
      </c>
      <c r="P253" s="46">
        <f t="shared" ca="1" si="10"/>
        <v>3.5856079404900905E-3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input_468010!A$2</f>
        <v>468010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IFERROR(VLOOKUP(B254,input_468010!L:R,7,FALSE),VLOOKUP(tables_468010!C254,input_468010!A:H,8,FALSE))</f>
        <v>4628.0769200000004</v>
      </c>
      <c r="P254" s="46">
        <f t="shared" ca="1" si="10"/>
        <v>4.29002309974124E-5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input_468010!A$2</f>
        <v>468010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IFERROR(VLOOKUP(B255,input_468010!L:R,7,FALSE),VLOOKUP(tables_468010!C255,input_468010!A:H,8,FALSE))</f>
        <v>495900</v>
      </c>
      <c r="P255" s="46">
        <f t="shared" ca="1" si="10"/>
        <v>4.5967741935492301E-3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input_468010!A$2</f>
        <v>468010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IFERROR(VLOOKUP(B256,input_468010!L:R,7,FALSE),VLOOKUP(tables_468010!C256,input_468010!A:H,8,FALSE))</f>
        <v>386815.38462000003</v>
      </c>
      <c r="P256" s="46">
        <f t="shared" ca="1" si="10"/>
        <v>3.5856079404900905E-3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input_468010!A$2</f>
        <v>468010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IFERROR(VLOOKUP(B257,input_468010!L:R,7,FALSE),VLOOKUP(tables_468010!C257,input_468010!A:H,8,FALSE))</f>
        <v>4628.0769200000004</v>
      </c>
      <c r="P257" s="46">
        <f t="shared" ca="1" si="10"/>
        <v>4.29002309974124E-5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input_468010!A$2</f>
        <v>468010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IFERROR(VLOOKUP(B258,input_468010!L:R,7,FALSE),VLOOKUP(tables_468010!C258,input_468010!A:H,8,FALSE))</f>
        <v>124553.57143</v>
      </c>
      <c r="P258" s="46">
        <f t="shared" ref="P258:P321" ca="1" si="13">O258/SUM(O:O)</f>
        <v>1.1545566502597594E-3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input_468010!A$2</f>
        <v>468010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IFERROR(VLOOKUP(B259,input_468010!L:R,7,FALSE),VLOOKUP(tables_468010!C259,input_468010!A:H,8,FALSE))</f>
        <v>86689.285709999996</v>
      </c>
      <c r="P259" s="46">
        <f t="shared" ca="1" si="13"/>
        <v>8.0357142853184921E-4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input_468010!A$2</f>
        <v>468010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IFERROR(VLOOKUP(B260,input_468010!L:R,7,FALSE),VLOOKUP(tables_468010!C260,input_468010!A:H,8,FALSE))</f>
        <v>124553.57143</v>
      </c>
      <c r="P260" s="46">
        <f t="shared" ca="1" si="13"/>
        <v>1.1545566502597594E-3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input_468010!A$2</f>
        <v>468010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IFERROR(VLOOKUP(B261,input_468010!L:R,7,FALSE),VLOOKUP(tables_468010!C261,input_468010!A:H,8,FALSE))</f>
        <v>86689.285709999996</v>
      </c>
      <c r="P261" s="46">
        <f t="shared" ca="1" si="13"/>
        <v>8.0357142853184921E-4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input_468010!A$2</f>
        <v>468010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IFERROR(VLOOKUP(B262,input_468010!L:R,7,FALSE),VLOOKUP(tables_468010!C262,input_468010!A:H,8,FALSE))</f>
        <v>1001523.52941</v>
      </c>
      <c r="P262" s="46">
        <f t="shared" ca="1" si="13"/>
        <v>9.2836812144065969E-3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input_468010!A$2</f>
        <v>468010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IFERROR(VLOOKUP(B263,input_468010!L:R,7,FALSE),VLOOKUP(tables_468010!C263,input_468010!A:H,8,FALSE))</f>
        <v>31395.652170000001</v>
      </c>
      <c r="P263" s="46">
        <f t="shared" ca="1" si="13"/>
        <v>2.9102384288103229E-4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input_468010!A$2</f>
        <v>468010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IFERROR(VLOOKUP(B264,input_468010!L:R,7,FALSE),VLOOKUP(tables_468010!C264,input_468010!A:H,8,FALSE))</f>
        <v>1001523.52941</v>
      </c>
      <c r="P264" s="46">
        <f t="shared" ca="1" si="13"/>
        <v>9.2836812144065969E-3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input_468010!A$2</f>
        <v>468010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IFERROR(VLOOKUP(B265,input_468010!L:R,7,FALSE),VLOOKUP(tables_468010!C265,input_468010!A:H,8,FALSE))</f>
        <v>31395.652170000001</v>
      </c>
      <c r="P265" s="46">
        <f t="shared" ca="1" si="13"/>
        <v>2.9102384288103229E-4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input_468010!A$2</f>
        <v>468010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IFERROR(VLOOKUP(B266,input_468010!L:R,7,FALSE),VLOOKUP(tables_468010!C266,input_468010!A:H,8,FALSE))</f>
        <v>62177.14286</v>
      </c>
      <c r="P266" s="46">
        <f t="shared" ca="1" si="13"/>
        <v>5.763546798295458E-4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input_468010!A$2</f>
        <v>468010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IFERROR(VLOOKUP(B267,input_468010!L:R,7,FALSE),VLOOKUP(tables_468010!C267,input_468010!A:H,8,FALSE))</f>
        <v>62177.14286</v>
      </c>
      <c r="P267" s="46">
        <f t="shared" ca="1" si="13"/>
        <v>5.763546798295458E-4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input_468010!A$2</f>
        <v>468010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IFERROR(VLOOKUP(B268,input_468010!L:R,7,FALSE),VLOOKUP(tables_468010!C268,input_468010!A:H,8,FALSE))</f>
        <v>62177.14286</v>
      </c>
      <c r="P268" s="46">
        <f t="shared" ca="1" si="13"/>
        <v>5.763546798295458E-4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input_468010!A$2</f>
        <v>468010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IFERROR(VLOOKUP(B269,input_468010!L:R,7,FALSE),VLOOKUP(tables_468010!C269,input_468010!A:H,8,FALSE))</f>
        <v>62177.14286</v>
      </c>
      <c r="P269" s="46">
        <f t="shared" ca="1" si="13"/>
        <v>5.763546798295458E-4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input_468010!A$2</f>
        <v>468010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IFERROR(VLOOKUP(B270,input_468010!L:R,7,FALSE),VLOOKUP(tables_468010!C270,input_468010!A:H,8,FALSE))</f>
        <v>1001523.52941</v>
      </c>
      <c r="P270" s="46">
        <f t="shared" ca="1" si="13"/>
        <v>9.2836812144065969E-3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input_468010!A$2</f>
        <v>468010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IFERROR(VLOOKUP(B271,input_468010!L:R,7,FALSE),VLOOKUP(tables_468010!C271,input_468010!A:H,8,FALSE))</f>
        <v>31395.652170000001</v>
      </c>
      <c r="P271" s="46">
        <f t="shared" ca="1" si="13"/>
        <v>2.9102384288103229E-4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input_468010!A$2</f>
        <v>468010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IFERROR(VLOOKUP(B272,input_468010!L:R,7,FALSE),VLOOKUP(tables_468010!C272,input_468010!A:H,8,FALSE))</f>
        <v>1001523.52941</v>
      </c>
      <c r="P272" s="46">
        <f t="shared" ca="1" si="13"/>
        <v>9.2836812144065969E-3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input_468010!A$2</f>
        <v>468010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IFERROR(VLOOKUP(B273,input_468010!L:R,7,FALSE),VLOOKUP(tables_468010!C273,input_468010!A:H,8,FALSE))</f>
        <v>31395.652170000001</v>
      </c>
      <c r="P273" s="46">
        <f t="shared" ca="1" si="13"/>
        <v>2.9102384288103229E-4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input_468010!A$2</f>
        <v>468010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IFERROR(VLOOKUP(B274,input_468010!L:R,7,FALSE),VLOOKUP(tables_468010!C274,input_468010!A:H,8,FALSE))</f>
        <v>124553.57143</v>
      </c>
      <c r="P274" s="46">
        <f t="shared" ca="1" si="13"/>
        <v>1.1545566502597594E-3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input_468010!A$2</f>
        <v>468010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IFERROR(VLOOKUP(B275,input_468010!L:R,7,FALSE),VLOOKUP(tables_468010!C275,input_468010!A:H,8,FALSE))</f>
        <v>86689.285709999996</v>
      </c>
      <c r="P275" s="46">
        <f t="shared" ca="1" si="13"/>
        <v>8.0357142853184921E-4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input_468010!A$2</f>
        <v>468010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IFERROR(VLOOKUP(B276,input_468010!L:R,7,FALSE),VLOOKUP(tables_468010!C276,input_468010!A:H,8,FALSE))</f>
        <v>124553.57143</v>
      </c>
      <c r="P276" s="46">
        <f t="shared" ca="1" si="13"/>
        <v>1.1545566502597594E-3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input_468010!A$2</f>
        <v>468010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IFERROR(VLOOKUP(B277,input_468010!L:R,7,FALSE),VLOOKUP(tables_468010!C277,input_468010!A:H,8,FALSE))</f>
        <v>86689.285709999996</v>
      </c>
      <c r="P277" s="46">
        <f t="shared" ca="1" si="13"/>
        <v>8.0357142853184921E-4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input_468010!A$2</f>
        <v>468010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IFERROR(VLOOKUP(B278,input_468010!L:R,7,FALSE),VLOOKUP(tables_468010!C278,input_468010!A:H,8,FALSE))</f>
        <v>495900</v>
      </c>
      <c r="P278" s="46">
        <f t="shared" ca="1" si="13"/>
        <v>4.5967741935492301E-3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input_468010!A$2</f>
        <v>468010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IFERROR(VLOOKUP(B279,input_468010!L:R,7,FALSE),VLOOKUP(tables_468010!C279,input_468010!A:H,8,FALSE))</f>
        <v>386815.38462000003</v>
      </c>
      <c r="P279" s="46">
        <f t="shared" ca="1" si="13"/>
        <v>3.5856079404900905E-3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input_468010!A$2</f>
        <v>468010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IFERROR(VLOOKUP(B280,input_468010!L:R,7,FALSE),VLOOKUP(tables_468010!C280,input_468010!A:H,8,FALSE))</f>
        <v>4628.0769200000004</v>
      </c>
      <c r="P280" s="46">
        <f t="shared" ca="1" si="13"/>
        <v>4.29002309974124E-5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input_468010!A$2</f>
        <v>468010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IFERROR(VLOOKUP(B281,input_468010!L:R,7,FALSE),VLOOKUP(tables_468010!C281,input_468010!A:H,8,FALSE))</f>
        <v>495900</v>
      </c>
      <c r="P281" s="46">
        <f t="shared" ca="1" si="13"/>
        <v>4.5967741935492301E-3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input_468010!A$2</f>
        <v>468010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IFERROR(VLOOKUP(B282,input_468010!L:R,7,FALSE),VLOOKUP(tables_468010!C282,input_468010!A:H,8,FALSE))</f>
        <v>386815.38462000003</v>
      </c>
      <c r="P282" s="46">
        <f t="shared" ca="1" si="13"/>
        <v>3.5856079404900905E-3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input_468010!A$2</f>
        <v>468010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IFERROR(VLOOKUP(B283,input_468010!L:R,7,FALSE),VLOOKUP(tables_468010!C283,input_468010!A:H,8,FALSE))</f>
        <v>4628.0769200000004</v>
      </c>
      <c r="P283" s="46">
        <f t="shared" ca="1" si="13"/>
        <v>4.29002309974124E-5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input_468010!A$2</f>
        <v>468010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IFERROR(VLOOKUP(B284,input_468010!L:R,7,FALSE),VLOOKUP(tables_468010!C284,input_468010!A:H,8,FALSE))</f>
        <v>62177.14286</v>
      </c>
      <c r="P284" s="46">
        <f t="shared" ca="1" si="13"/>
        <v>5.763546798295458E-4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input_468010!A$2</f>
        <v>468010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IFERROR(VLOOKUP(B285,input_468010!L:R,7,FALSE),VLOOKUP(tables_468010!C285,input_468010!A:H,8,FALSE))</f>
        <v>62177.14286</v>
      </c>
      <c r="P285" s="46">
        <f t="shared" ca="1" si="13"/>
        <v>5.763546798295458E-4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input_468010!A$2</f>
        <v>468010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IFERROR(VLOOKUP(B286,input_468010!L:R,7,FALSE),VLOOKUP(tables_468010!C286,input_468010!A:H,8,FALSE))</f>
        <v>1001523.52941</v>
      </c>
      <c r="P286" s="46">
        <f t="shared" ca="1" si="13"/>
        <v>9.2836812144065969E-3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input_468010!A$2</f>
        <v>468010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IFERROR(VLOOKUP(B287,input_468010!L:R,7,FALSE),VLOOKUP(tables_468010!C287,input_468010!A:H,8,FALSE))</f>
        <v>31395.652170000001</v>
      </c>
      <c r="P287" s="46">
        <f t="shared" ca="1" si="13"/>
        <v>2.9102384288103229E-4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input_468010!A$2</f>
        <v>468010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IFERROR(VLOOKUP(B288,input_468010!L:R,7,FALSE),VLOOKUP(tables_468010!C288,input_468010!A:H,8,FALSE))</f>
        <v>1001523.52941</v>
      </c>
      <c r="P288" s="46">
        <f t="shared" ca="1" si="13"/>
        <v>9.2836812144065969E-3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input_468010!A$2</f>
        <v>468010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IFERROR(VLOOKUP(B289,input_468010!L:R,7,FALSE),VLOOKUP(tables_468010!C289,input_468010!A:H,8,FALSE))</f>
        <v>31395.652170000001</v>
      </c>
      <c r="P289" s="46">
        <f t="shared" ca="1" si="13"/>
        <v>2.9102384288103229E-4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input_468010!A$2</f>
        <v>468010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IFERROR(VLOOKUP(B290,input_468010!L:R,7,FALSE),VLOOKUP(tables_468010!C290,input_468010!A:H,8,FALSE))</f>
        <v>1001523.52941</v>
      </c>
      <c r="P290" s="46">
        <f t="shared" ca="1" si="13"/>
        <v>9.2836812144065969E-3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input_468010!A$2</f>
        <v>468010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IFERROR(VLOOKUP(B291,input_468010!L:R,7,FALSE),VLOOKUP(tables_468010!C291,input_468010!A:H,8,FALSE))</f>
        <v>31395.652170000001</v>
      </c>
      <c r="P291" s="46">
        <f t="shared" ca="1" si="13"/>
        <v>2.9102384288103229E-4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input_468010!A$2</f>
        <v>468010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IFERROR(VLOOKUP(B292,input_468010!L:R,7,FALSE),VLOOKUP(tables_468010!C292,input_468010!A:H,8,FALSE))</f>
        <v>1001523.52941</v>
      </c>
      <c r="P292" s="46">
        <f t="shared" ca="1" si="13"/>
        <v>9.2836812144065969E-3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input_468010!A$2</f>
        <v>468010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IFERROR(VLOOKUP(B293,input_468010!L:R,7,FALSE),VLOOKUP(tables_468010!C293,input_468010!A:H,8,FALSE))</f>
        <v>31395.652170000001</v>
      </c>
      <c r="P293" s="46">
        <f t="shared" ca="1" si="13"/>
        <v>2.9102384288103229E-4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input_468010!A$2</f>
        <v>468010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IFERROR(VLOOKUP(B294,input_468010!L:R,7,FALSE),VLOOKUP(tables_468010!C294,input_468010!A:H,8,FALSE))</f>
        <v>62177.14286</v>
      </c>
      <c r="P294" s="46">
        <f t="shared" ca="1" si="13"/>
        <v>5.763546798295458E-4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input_468010!A$2</f>
        <v>468010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IFERROR(VLOOKUP(B295,input_468010!L:R,7,FALSE),VLOOKUP(tables_468010!C295,input_468010!A:H,8,FALSE))</f>
        <v>62177.14286</v>
      </c>
      <c r="P295" s="46">
        <f t="shared" ca="1" si="13"/>
        <v>5.763546798295458E-4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input_468010!A$2</f>
        <v>468010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IFERROR(VLOOKUP(B296,input_468010!L:R,7,FALSE),VLOOKUP(tables_468010!C296,input_468010!A:H,8,FALSE))</f>
        <v>62177.14286</v>
      </c>
      <c r="P296" s="46">
        <f t="shared" ca="1" si="13"/>
        <v>5.763546798295458E-4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input_468010!A$2</f>
        <v>468010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IFERROR(VLOOKUP(B297,input_468010!L:R,7,FALSE),VLOOKUP(tables_468010!C297,input_468010!A:H,8,FALSE))</f>
        <v>1001523.52941</v>
      </c>
      <c r="P297" s="46">
        <f t="shared" ca="1" si="13"/>
        <v>9.2836812144065969E-3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input_468010!A$2</f>
        <v>468010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IFERROR(VLOOKUP(B298,input_468010!L:R,7,FALSE),VLOOKUP(tables_468010!C298,input_468010!A:H,8,FALSE))</f>
        <v>31395.652170000001</v>
      </c>
      <c r="P298" s="46">
        <f t="shared" ca="1" si="13"/>
        <v>2.9102384288103229E-4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input_468010!A$2</f>
        <v>468010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IFERROR(VLOOKUP(B299,input_468010!L:R,7,FALSE),VLOOKUP(tables_468010!C299,input_468010!A:H,8,FALSE))</f>
        <v>62177.14286</v>
      </c>
      <c r="P299" s="46">
        <f t="shared" ca="1" si="13"/>
        <v>5.763546798295458E-4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input_468010!A$2</f>
        <v>468010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IFERROR(VLOOKUP(B300,input_468010!L:R,7,FALSE),VLOOKUP(tables_468010!C300,input_468010!A:H,8,FALSE))</f>
        <v>62177.14286</v>
      </c>
      <c r="P300" s="46">
        <f t="shared" ca="1" si="13"/>
        <v>5.763546798295458E-4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input_468010!A$2</f>
        <v>468010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IFERROR(VLOOKUP(B301,input_468010!L:R,7,FALSE),VLOOKUP(tables_468010!C301,input_468010!A:H,8,FALSE))</f>
        <v>62177.14286</v>
      </c>
      <c r="P301" s="46">
        <f t="shared" ca="1" si="13"/>
        <v>5.763546798295458E-4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input_468010!A$2</f>
        <v>468010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IFERROR(VLOOKUP(B302,input_468010!L:R,7,FALSE),VLOOKUP(tables_468010!C302,input_468010!A:H,8,FALSE))</f>
        <v>62177.14286</v>
      </c>
      <c r="P302" s="46">
        <f t="shared" ca="1" si="13"/>
        <v>5.763546798295458E-4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input_468010!A$2</f>
        <v>468010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IFERROR(VLOOKUP(B303,input_468010!L:R,7,FALSE),VLOOKUP(tables_468010!C303,input_468010!A:H,8,FALSE))</f>
        <v>1001523.52941</v>
      </c>
      <c r="P303" s="46">
        <f t="shared" ca="1" si="13"/>
        <v>9.2836812144065969E-3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input_468010!A$2</f>
        <v>468010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IFERROR(VLOOKUP(B304,input_468010!L:R,7,FALSE),VLOOKUP(tables_468010!C304,input_468010!A:H,8,FALSE))</f>
        <v>31395.652170000001</v>
      </c>
      <c r="P304" s="46">
        <f t="shared" ca="1" si="13"/>
        <v>2.9102384288103229E-4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input_468010!A$2</f>
        <v>468010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IFERROR(VLOOKUP(B305,input_468010!L:R,7,FALSE),VLOOKUP(tables_468010!C305,input_468010!A:H,8,FALSE))</f>
        <v>62177.14286</v>
      </c>
      <c r="P305" s="46">
        <f t="shared" ca="1" si="13"/>
        <v>5.763546798295458E-4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input_468010!A$2</f>
        <v>468010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IFERROR(VLOOKUP(B306,input_468010!L:R,7,FALSE),VLOOKUP(tables_468010!C306,input_468010!A:H,8,FALSE))</f>
        <v>1001523.52941</v>
      </c>
      <c r="P306" s="46">
        <f t="shared" ca="1" si="13"/>
        <v>9.2836812144065969E-3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input_468010!A$2</f>
        <v>468010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IFERROR(VLOOKUP(B307,input_468010!L:R,7,FALSE),VLOOKUP(tables_468010!C307,input_468010!A:H,8,FALSE))</f>
        <v>31395.652170000001</v>
      </c>
      <c r="P307" s="46">
        <f t="shared" ca="1" si="13"/>
        <v>2.9102384288103229E-4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input_468010!A$2</f>
        <v>468010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IFERROR(VLOOKUP(B308,input_468010!L:R,7,FALSE),VLOOKUP(tables_468010!C308,input_468010!A:H,8,FALSE))</f>
        <v>62177.14286</v>
      </c>
      <c r="P308" s="46">
        <f t="shared" ca="1" si="13"/>
        <v>5.763546798295458E-4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input_468010!A$2</f>
        <v>468010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IFERROR(VLOOKUP(B309,input_468010!L:R,7,FALSE),VLOOKUP(tables_468010!C309,input_468010!A:H,8,FALSE))</f>
        <v>62177.14286</v>
      </c>
      <c r="P309" s="46">
        <f t="shared" ca="1" si="13"/>
        <v>5.763546798295458E-4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input_468010!A$2</f>
        <v>468010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IFERROR(VLOOKUP(B310,input_468010!L:R,7,FALSE),VLOOKUP(tables_468010!C310,input_468010!A:H,8,FALSE))</f>
        <v>62177.14286</v>
      </c>
      <c r="P310" s="46">
        <f t="shared" ca="1" si="13"/>
        <v>5.763546798295458E-4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input_468010!A$2</f>
        <v>468010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IFERROR(VLOOKUP(B311,input_468010!L:R,7,FALSE),VLOOKUP(tables_468010!C311,input_468010!A:H,8,FALSE))</f>
        <v>1001523.52941</v>
      </c>
      <c r="P311" s="46">
        <f t="shared" ca="1" si="13"/>
        <v>9.2836812144065969E-3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input_468010!A$2</f>
        <v>468010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IFERROR(VLOOKUP(B312,input_468010!L:R,7,FALSE),VLOOKUP(tables_468010!C312,input_468010!A:H,8,FALSE))</f>
        <v>31395.652170000001</v>
      </c>
      <c r="P312" s="46">
        <f t="shared" ca="1" si="13"/>
        <v>2.9102384288103229E-4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input_468010!A$2</f>
        <v>468010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IFERROR(VLOOKUP(B313,input_468010!L:R,7,FALSE),VLOOKUP(tables_468010!C313,input_468010!A:H,8,FALSE))</f>
        <v>62177.14286</v>
      </c>
      <c r="P313" s="46">
        <f t="shared" ca="1" si="13"/>
        <v>5.763546798295458E-4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input_468010!A$2</f>
        <v>468010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IFERROR(VLOOKUP(B314,input_468010!L:R,7,FALSE),VLOOKUP(tables_468010!C314,input_468010!A:H,8,FALSE))</f>
        <v>62177.14286</v>
      </c>
      <c r="P314" s="46">
        <f t="shared" ca="1" si="13"/>
        <v>5.763546798295458E-4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input_468010!A$2</f>
        <v>468010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IFERROR(VLOOKUP(B315,input_468010!L:R,7,FALSE),VLOOKUP(tables_468010!C315,input_468010!A:H,8,FALSE))</f>
        <v>62177.14286</v>
      </c>
      <c r="P315" s="46">
        <f t="shared" ca="1" si="13"/>
        <v>5.763546798295458E-4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input_468010!A$2</f>
        <v>468010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IFERROR(VLOOKUP(B316,input_468010!L:R,7,FALSE),VLOOKUP(tables_468010!C316,input_468010!A:H,8,FALSE))</f>
        <v>62177.14286</v>
      </c>
      <c r="P316" s="46">
        <f t="shared" ca="1" si="13"/>
        <v>5.763546798295458E-4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input_468010!A$2</f>
        <v>468010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IFERROR(VLOOKUP(B317,input_468010!L:R,7,FALSE),VLOOKUP(tables_468010!C317,input_468010!A:H,8,FALSE))</f>
        <v>62177.14286</v>
      </c>
      <c r="P317" s="46">
        <f t="shared" ca="1" si="13"/>
        <v>5.763546798295458E-4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input_468010!A$2</f>
        <v>468010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IFERROR(VLOOKUP(B318,input_468010!L:R,7,FALSE),VLOOKUP(tables_468010!C318,input_468010!A:H,8,FALSE))</f>
        <v>1001523.52941</v>
      </c>
      <c r="P318" s="46">
        <f t="shared" ca="1" si="13"/>
        <v>9.2836812144065969E-3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input_468010!A$2</f>
        <v>468010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IFERROR(VLOOKUP(B319,input_468010!L:R,7,FALSE),VLOOKUP(tables_468010!C319,input_468010!A:H,8,FALSE))</f>
        <v>31395.652170000001</v>
      </c>
      <c r="P319" s="46">
        <f t="shared" ca="1" si="13"/>
        <v>2.9102384288103229E-4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input_468010!A$2</f>
        <v>468010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IFERROR(VLOOKUP(B320,input_468010!L:R,7,FALSE),VLOOKUP(tables_468010!C320,input_468010!A:H,8,FALSE))</f>
        <v>62177.14286</v>
      </c>
      <c r="P320" s="46">
        <f t="shared" ca="1" si="13"/>
        <v>5.763546798295458E-4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input_468010!A$2</f>
        <v>468010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IFERROR(VLOOKUP(B321,input_468010!L:R,7,FALSE),VLOOKUP(tables_468010!C321,input_468010!A:H,8,FALSE))</f>
        <v>62177.14286</v>
      </c>
      <c r="P321" s="46">
        <f t="shared" ca="1" si="13"/>
        <v>5.763546798295458E-4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input_468010!A$2</f>
        <v>468010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IFERROR(VLOOKUP(B322,input_468010!L:R,7,FALSE),VLOOKUP(tables_468010!C322,input_468010!A:H,8,FALSE))</f>
        <v>62177.14286</v>
      </c>
      <c r="P322" s="46">
        <f t="shared" ref="P322:P330" ca="1" si="23">O322/SUM(O:O)</f>
        <v>5.763546798295458E-4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input_468010!A$2</f>
        <v>468010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IFERROR(VLOOKUP(B323,input_468010!L:R,7,FALSE),VLOOKUP(tables_468010!C323,input_468010!A:H,8,FALSE))</f>
        <v>62177.14286</v>
      </c>
      <c r="P323" s="46">
        <f t="shared" ca="1" si="23"/>
        <v>5.763546798295458E-4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input_468010!A$2</f>
        <v>468010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IFERROR(VLOOKUP(B324,input_468010!L:R,7,FALSE),VLOOKUP(tables_468010!C324,input_468010!A:H,8,FALSE))</f>
        <v>1001523.52941</v>
      </c>
      <c r="P324" s="46">
        <f t="shared" ca="1" si="23"/>
        <v>9.2836812144065969E-3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input_468010!A$2</f>
        <v>468010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IFERROR(VLOOKUP(B325,input_468010!L:R,7,FALSE),VLOOKUP(tables_468010!C325,input_468010!A:H,8,FALSE))</f>
        <v>31395.652170000001</v>
      </c>
      <c r="P325" s="46">
        <f t="shared" ca="1" si="23"/>
        <v>2.9102384288103229E-4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input_468010!A$2</f>
        <v>468010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IFERROR(VLOOKUP(B326,input_468010!L:R,7,FALSE),VLOOKUP(tables_468010!C326,input_468010!A:H,8,FALSE))</f>
        <v>1001523.52941</v>
      </c>
      <c r="P326" s="46">
        <f t="shared" ca="1" si="23"/>
        <v>9.2836812144065969E-3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input_468010!A$2</f>
        <v>468010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IFERROR(VLOOKUP(B327,input_468010!L:R,7,FALSE),VLOOKUP(tables_468010!C327,input_468010!A:H,8,FALSE))</f>
        <v>31395.652170000001</v>
      </c>
      <c r="P327" s="46">
        <f t="shared" ca="1" si="23"/>
        <v>2.9102384288103229E-4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input_468010!A$2</f>
        <v>468010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IFERROR(VLOOKUP(B328,input_468010!L:R,7,FALSE),VLOOKUP(tables_468010!C328,input_468010!A:H,8,FALSE))</f>
        <v>62177.14286</v>
      </c>
      <c r="P328" s="46">
        <f t="shared" ca="1" si="23"/>
        <v>5.763546798295458E-4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input_468010!A$2</f>
        <v>468010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IFERROR(VLOOKUP(B329,input_468010!L:R,7,FALSE),VLOOKUP(tables_468010!C329,input_468010!A:H,8,FALSE))</f>
        <v>62177.14286</v>
      </c>
      <c r="P329" s="46">
        <f t="shared" ca="1" si="23"/>
        <v>5.763546798295458E-4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input_468010!A$2</f>
        <v>468010</v>
      </c>
      <c r="B330" s="2">
        <v>1157</v>
      </c>
      <c r="C330" s="7" t="str">
        <f t="shared" si="25"/>
        <v>PremiumSS5R5only</v>
      </c>
      <c r="D330" s="9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IFERROR(VLOOKUP(B330,input_468010!L:R,7,FALSE),VLOOKUP(tables_468010!C330,input_468010!A:H,8,FALSE))</f>
        <v>62177.14286</v>
      </c>
      <c r="P330" s="46">
        <f t="shared" ca="1" si="23"/>
        <v>5.763546798295458E-4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input_468010!A$2</f>
        <v>468010</v>
      </c>
      <c r="B331" s="60">
        <v>1214</v>
      </c>
      <c r="C331" s="7" t="str">
        <f t="shared" ref="C331:C335" si="26">D331&amp;J331&amp;E331&amp;F331&amp;G331</f>
        <v>PremiumSS5R5only</v>
      </c>
      <c r="D331" s="9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IFERROR(VLOOKUP(B331,input_468010!L:R,7,FALSE),VLOOKUP(tables_468010!C331,input_468010!A:H,8,FALSE))</f>
        <v>62177.14286</v>
      </c>
      <c r="P331" s="46">
        <f t="shared" ref="P331:P335" ca="1" si="28">O331/SUM(O:O)</f>
        <v>5.763546798295458E-4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input_468010!A$2</f>
        <v>468010</v>
      </c>
      <c r="B332" s="60">
        <v>1212</v>
      </c>
      <c r="C332" s="7" t="str">
        <f t="shared" si="26"/>
        <v>PremiumSS5R5only</v>
      </c>
      <c r="D332" s="9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IFERROR(VLOOKUP(B332,input_468010!L:R,7,FALSE),VLOOKUP(tables_468010!C332,input_468010!A:H,8,FALSE))</f>
        <v>62177.14286</v>
      </c>
      <c r="P332" s="46">
        <f t="shared" ca="1" si="28"/>
        <v>5.763546798295458E-4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input_468010!A$2</f>
        <v>468010</v>
      </c>
      <c r="B333" s="60">
        <v>1208</v>
      </c>
      <c r="C333" s="7" t="str">
        <f t="shared" si="26"/>
        <v>PremiumSS5R5only</v>
      </c>
      <c r="D333" s="9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IFERROR(VLOOKUP(B333,input_468010!L:R,7,FALSE),VLOOKUP(tables_468010!C333,input_468010!A:H,8,FALSE))</f>
        <v>62177.14286</v>
      </c>
      <c r="P333" s="46">
        <f t="shared" ca="1" si="28"/>
        <v>5.763546798295458E-4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input_468010!A$2</f>
        <v>468010</v>
      </c>
      <c r="B334" s="93">
        <v>1210</v>
      </c>
      <c r="C334" s="7" t="str">
        <f t="shared" si="26"/>
        <v>Premium4R3less</v>
      </c>
      <c r="D334" s="9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IFERROR(VLOOKUP(B334,input_468010!L:R,7,FALSE),VLOOKUP(tables_468010!C334,input_468010!A:H,8,FALSE))</f>
        <v>1001523.52941</v>
      </c>
      <c r="P334" s="46">
        <f t="shared" ca="1" si="28"/>
        <v>9.2836812144065969E-3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input_468010!A$2</f>
        <v>468010</v>
      </c>
      <c r="B335" s="60">
        <v>1211</v>
      </c>
      <c r="C335" s="7" t="str">
        <f t="shared" si="26"/>
        <v>Premium5R3less</v>
      </c>
      <c r="D335" s="9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IFERROR(VLOOKUP(B335,input_468010!L:R,7,FALSE),VLOOKUP(tables_468010!C335,input_468010!A:H,8,FALSE))</f>
        <v>31395.652170000001</v>
      </c>
      <c r="P335" s="46">
        <f t="shared" ca="1" si="28"/>
        <v>2.9102384288103229E-4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input_468010!A$2</f>
        <v>468010</v>
      </c>
      <c r="B336" s="2">
        <v>1224</v>
      </c>
      <c r="C336" s="7" t="str">
        <f t="shared" ref="C336:C340" si="29">D336&amp;J336&amp;E336&amp;F336&amp;G336</f>
        <v>Premium4R3less</v>
      </c>
      <c r="D336" s="97" t="str">
        <f t="shared" ref="D336:D340" si="3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IFERROR(VLOOKUP(B336,input_468010!L:R,7,FALSE),VLOOKUP(tables_468010!C336,input_468010!A:H,8,FALSE))</f>
        <v>1001523.52941</v>
      </c>
      <c r="P336" s="46">
        <f t="shared" ref="P336:P340" ca="1" si="31">O336/SUM(O:O)</f>
        <v>9.2836812144065969E-3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input_468010!A$2</f>
        <v>468010</v>
      </c>
      <c r="B337" s="2">
        <v>1225</v>
      </c>
      <c r="C337" s="7" t="str">
        <f t="shared" si="29"/>
        <v>Premium5R3less</v>
      </c>
      <c r="D337" s="97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IFERROR(VLOOKUP(B337,input_468010!L:R,7,FALSE),VLOOKUP(tables_468010!C337,input_468010!A:H,8,FALSE))</f>
        <v>31395.652170000001</v>
      </c>
      <c r="P337" s="46">
        <f t="shared" ca="1" si="31"/>
        <v>2.9102384288103229E-4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input_468010!A$2</f>
        <v>468010</v>
      </c>
      <c r="B338" s="2">
        <v>1226</v>
      </c>
      <c r="C338" s="7" t="str">
        <f t="shared" si="29"/>
        <v>PremiumSS5R5only</v>
      </c>
      <c r="D338" s="97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IFERROR(VLOOKUP(B338,input_468010!L:R,7,FALSE),VLOOKUP(tables_468010!C338,input_468010!A:H,8,FALSE))</f>
        <v>62177.14286</v>
      </c>
      <c r="P338" s="46">
        <f t="shared" ca="1" si="31"/>
        <v>5.763546798295458E-4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input_468010!A$2</f>
        <v>468010</v>
      </c>
      <c r="B339" s="2">
        <v>1228</v>
      </c>
      <c r="C339" s="7" t="str">
        <f t="shared" si="29"/>
        <v>PremiumSS5R5only</v>
      </c>
      <c r="D339" s="97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IFERROR(VLOOKUP(B339,input_468010!L:R,7,FALSE),VLOOKUP(tables_468010!C339,input_468010!A:H,8,FALSE))</f>
        <v>62177.14286</v>
      </c>
      <c r="P339" s="46">
        <f t="shared" ca="1" si="31"/>
        <v>5.763546798295458E-4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input_468010!A$2</f>
        <v>468010</v>
      </c>
      <c r="B340" s="2">
        <v>1230</v>
      </c>
      <c r="C340" s="7" t="str">
        <f t="shared" si="29"/>
        <v>PremiumSS5R5only</v>
      </c>
      <c r="D340" s="97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IFERROR(VLOOKUP(B340,input_468010!L:R,7,FALSE),VLOOKUP(tables_468010!C340,input_468010!A:H,8,FALSE))</f>
        <v>62177.14286</v>
      </c>
      <c r="P340" s="46">
        <f t="shared" ca="1" si="31"/>
        <v>5.763546798295458E-4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input_468010!A$2</f>
        <v>468010</v>
      </c>
      <c r="B341" s="60">
        <v>953</v>
      </c>
      <c r="C341" s="7" t="str">
        <f t="shared" ref="C341:C346" si="32">D341&amp;J341&amp;E341&amp;F341&amp;G341</f>
        <v>PremiumSSS5R3less</v>
      </c>
      <c r="D341" s="97" t="str">
        <f t="shared" ref="D341:D346" si="33">IF(OR(I341="PremiumSS",I341="PremiumSSw"),"PremiumSS",IF(I341="PremiumSSS",I341,IF(I341="PremiumW",IF(J341=5,"premium",I341),"Premium")))</f>
        <v>PremiumSSS</v>
      </c>
      <c r="E341" s="7" t="str">
        <f>IF(COUNTIF('R6追加前'!A:A,B341)=0,IF(OR(I341="PremiumSS",I341="PremiumSSw"),"R5only","R3less"),"")</f>
        <v>R3less</v>
      </c>
      <c r="F341" s="7" t="str">
        <f>IF(COUNTIF('R6開放'!A:A,B341)&gt;0,"R6release","")</f>
        <v/>
      </c>
      <c r="G341" s="7"/>
      <c r="H341" s="7" t="str">
        <f>VLOOKUP(B341,[1]characters!$A:$C,3,FALSE)</f>
        <v>ハイゼンベルク</v>
      </c>
      <c r="I341" s="7" t="str">
        <f>VLOOKUP(B341,[1]characters!$A:$J,10,FALSE)</f>
        <v>PremiumSSS</v>
      </c>
      <c r="J341" s="7">
        <f>VLOOKUP(B341,[1]characters!$A:$I,9,FALSE)</f>
        <v>5</v>
      </c>
      <c r="K341" s="7" t="str">
        <f>VLOOKUP(B341,[1]characters!$A:$H,8,FALSE)</f>
        <v>green</v>
      </c>
      <c r="L341" s="7" t="str">
        <f>VLOOKUP(B341,[1]characters!$A:$K,11,FALSE)</f>
        <v>attack</v>
      </c>
      <c r="M341" s="7" t="str">
        <f>VLOOKUP(B341,[1]characters!$A:$M,13,FALSE)</f>
        <v>academia</v>
      </c>
      <c r="N341" s="7" t="str">
        <f>VLOOKUP(B341,[1]characters!$A:$G,7,FALSE)</f>
        <v>男性</v>
      </c>
      <c r="O341" s="45">
        <f>IFERROR(VLOOKUP(B341,input_468010!L:R,7,FALSE),VLOOKUP(tables_468010!C341,input_468010!A:H,8,FALSE))</f>
        <v>539400</v>
      </c>
      <c r="P341" s="46">
        <f t="shared" ref="P341:P346" ca="1" si="34">O341/SUM(O:O)</f>
        <v>5.0000000000009169E-3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input_468010!A$2</f>
        <v>468010</v>
      </c>
      <c r="B342" s="60">
        <v>619</v>
      </c>
      <c r="C342" s="7" t="str">
        <f t="shared" si="32"/>
        <v>PremiumSSS4R3less</v>
      </c>
      <c r="D342" s="97" t="str">
        <f t="shared" si="33"/>
        <v>PremiumSSS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メビウス</v>
      </c>
      <c r="I342" s="7" t="str">
        <f>VLOOKUP(B342,[1]characters!$A:$J,10,FALSE)</f>
        <v>PremiumSSS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balance</v>
      </c>
      <c r="M342" s="7" t="str">
        <f>VLOOKUP(B342,[1]characters!$A:$M,13,FALSE)</f>
        <v>human</v>
      </c>
      <c r="N342" s="7" t="str">
        <f>VLOOKUP(B342,[1]characters!$A:$G,7,FALSE)</f>
        <v>女性</v>
      </c>
      <c r="O342" s="45">
        <f>IFERROR(VLOOKUP(B342,input_468010!L:R,7,FALSE),VLOOKUP(tables_468010!C342,input_468010!A:H,8,FALSE))</f>
        <v>485459.99999999994</v>
      </c>
      <c r="P342" s="46">
        <f t="shared" ca="1" si="34"/>
        <v>4.5000000000008245E-3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input_468010!A$2</f>
        <v>468010</v>
      </c>
      <c r="B343" s="60">
        <v>620</v>
      </c>
      <c r="C343" s="7" t="str">
        <f t="shared" si="32"/>
        <v>PremiumSSS5R3less</v>
      </c>
      <c r="D343" s="97" t="str">
        <f t="shared" si="33"/>
        <v>PremiumSSS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奇跡の調和 メビウス</v>
      </c>
      <c r="I343" s="7" t="str">
        <f>VLOOKUP(B343,[1]characters!$A:$J,10,FALSE)</f>
        <v>PremiumSSS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balance</v>
      </c>
      <c r="M343" s="7" t="str">
        <f>VLOOKUP(B343,[1]characters!$A:$M,13,FALSE)</f>
        <v>human</v>
      </c>
      <c r="N343" s="7" t="str">
        <f>VLOOKUP(B343,[1]characters!$A:$G,7,FALSE)</f>
        <v>女性</v>
      </c>
      <c r="O343" s="45">
        <f>IFERROR(VLOOKUP(B343,input_468010!L:R,7,FALSE),VLOOKUP(tables_468010!C343,input_468010!A:H,8,FALSE))</f>
        <v>53940</v>
      </c>
      <c r="P343" s="46">
        <f t="shared" ca="1" si="34"/>
        <v>5.0000000000009173E-4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input_468010!A$2</f>
        <v>468010</v>
      </c>
      <c r="B344" s="93">
        <v>880</v>
      </c>
      <c r="C344" s="7" t="str">
        <f t="shared" si="32"/>
        <v>PremiumSSS5R3less</v>
      </c>
      <c r="D344" s="97" t="str">
        <f t="shared" si="33"/>
        <v>PremiumSSS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ハーシェル</v>
      </c>
      <c r="I344" s="7" t="str">
        <f>VLOOKUP(B344,[1]characters!$A:$J,10,FALSE)</f>
        <v>PremiumSSS</v>
      </c>
      <c r="J344" s="7">
        <f>VLOOKUP(B344,[1]characters!$A:$I,9,FALSE)</f>
        <v>5</v>
      </c>
      <c r="K344" s="7" t="str">
        <f>VLOOKUP(B344,[1]characters!$A:$H,8,FALSE)</f>
        <v>yellow</v>
      </c>
      <c r="L344" s="7" t="str">
        <f>VLOOKUP(B344,[1]characters!$A:$K,11,FALSE)</f>
        <v>heal</v>
      </c>
      <c r="M344" s="7" t="str">
        <f>VLOOKUP(B344,[1]characters!$A:$M,13,FALSE)</f>
        <v>academia</v>
      </c>
      <c r="N344" s="7" t="str">
        <f>VLOOKUP(B344,[1]characters!$A:$G,7,FALSE)</f>
        <v>男性</v>
      </c>
      <c r="O344" s="45">
        <f>IFERROR(VLOOKUP(B344,input_468010!L:R,7,FALSE),VLOOKUP(tables_468010!C344,input_468010!A:H,8,FALSE))</f>
        <v>539400</v>
      </c>
      <c r="P344" s="46">
        <f t="shared" ca="1" si="34"/>
        <v>5.0000000000009169E-3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input_468010!A$2</f>
        <v>468010</v>
      </c>
      <c r="B345" s="60">
        <v>623</v>
      </c>
      <c r="C345" s="7" t="str">
        <f t="shared" si="32"/>
        <v>PremiumSSS5R3less</v>
      </c>
      <c r="D345" s="97" t="str">
        <f t="shared" si="33"/>
        <v>PremiumSSS</v>
      </c>
      <c r="E345" s="7" t="str">
        <f>IF(COUNTIF('R6追加前'!A:A,B345)=0,IF(OR(I345="PremiumSS",I345="PremiumSSw"),"R5only","R3less"),"")</f>
        <v>R3less</v>
      </c>
      <c r="F345" s="7" t="str">
        <f>IF(COUNTIF('R6開放'!A:A,B345)&gt;0,"R6release","")</f>
        <v/>
      </c>
      <c r="G345" s="7"/>
      <c r="H345" s="7" t="str">
        <f>VLOOKUP(B345,[1]characters!$A:$C,3,FALSE)</f>
        <v>フェルマー</v>
      </c>
      <c r="I345" s="7" t="str">
        <f>VLOOKUP(B345,[1]characters!$A:$J,10,FALSE)</f>
        <v>PremiumSSS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academia</v>
      </c>
      <c r="N345" s="7" t="str">
        <f>VLOOKUP(B345,[1]characters!$A:$G,7,FALSE)</f>
        <v>女性</v>
      </c>
      <c r="O345" s="45">
        <f>IFERROR(VLOOKUP(B345,input_468010!L:R,7,FALSE),VLOOKUP(tables_468010!C345,input_468010!A:H,8,FALSE))</f>
        <v>539400</v>
      </c>
      <c r="P345" s="46">
        <f t="shared" ca="1" si="34"/>
        <v>5.0000000000009169E-3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input_468010!A$2</f>
        <v>468010</v>
      </c>
      <c r="B346" s="60">
        <v>972</v>
      </c>
      <c r="C346" s="7" t="str">
        <f t="shared" si="32"/>
        <v>PremiumSSS5R3less</v>
      </c>
      <c r="D346" s="97" t="str">
        <f t="shared" si="33"/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コーシー</v>
      </c>
      <c r="I346" s="7" t="str">
        <f>VLOOKUP(B346,[1]characters!$A:$J,10,FALSE)</f>
        <v>PremiumSSS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attack</v>
      </c>
      <c r="M346" s="7" t="str">
        <f>VLOOKUP(B346,[1]characters!$A:$M,13,FALSE)</f>
        <v>academia</v>
      </c>
      <c r="N346" s="7" t="str">
        <f>VLOOKUP(B346,[1]characters!$A:$G,7,FALSE)</f>
        <v>男性</v>
      </c>
      <c r="O346" s="45">
        <f>IFERROR(VLOOKUP(B346,input_468010!L:R,7,FALSE),VLOOKUP(tables_468010!C346,input_468010!A:H,8,FALSE))</f>
        <v>539400</v>
      </c>
      <c r="P346" s="46">
        <f t="shared" ca="1" si="34"/>
        <v>5.0000000000009169E-3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N8" sqref="N3:N8"/>
    </sheetView>
  </sheetViews>
  <sheetFormatPr baseColWidth="12" defaultRowHeight="14" x14ac:dyDescent="0.15"/>
  <cols>
    <col min="1" max="2" width="24.19921875" bestFit="1" customWidth="1"/>
    <col min="7" max="7" width="20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468100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953</v>
      </c>
      <c r="M3" s="37" t="str">
        <f>VLOOKUP(L3,[1]characters!$A:$C,3,FALSE)</f>
        <v>ハイゼンベルク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VLOOKUP(L3,tables_468100!B:C,2,FALSE)</f>
        <v>PremiumSSS5R3less</v>
      </c>
      <c r="R3" s="62">
        <f t="shared" ref="R3:R20" si="1">N3*A$36</f>
        <v>539400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619</v>
      </c>
      <c r="M4" s="37" t="str">
        <f>VLOOKUP(L4,[1]characters!$A:$C,3,FALSE)</f>
        <v>メビウス</v>
      </c>
      <c r="N4" s="63">
        <v>4.4999999999999997E-3</v>
      </c>
      <c r="O4" s="37">
        <f>VLOOKUP(L4,[1]characters!$A:$I,9,FALSE)</f>
        <v>4</v>
      </c>
      <c r="P4" s="37" t="str">
        <f>VLOOKUP(L4,[1]characters!$A:$J,10,FALSE)</f>
        <v>PremiumSSS</v>
      </c>
      <c r="Q4" s="37" t="str">
        <f>VLOOKUP(L4,tables_468100!B:C,2,FALSE)</f>
        <v>PremiumSSS4R3less</v>
      </c>
      <c r="R4" s="62">
        <f t="shared" si="1"/>
        <v>485459.99999999994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8.6206896551724126E-4</v>
      </c>
      <c r="F5">
        <f>(COUNTIF(tables_468100!C:C,input_468100!A28)+COUNTIF(tables_468100!C:C,input_468100!A29))</f>
        <v>63</v>
      </c>
      <c r="H5" s="84">
        <v>2.5000000000000001E-2</v>
      </c>
      <c r="I5" s="31">
        <v>5</v>
      </c>
      <c r="L5" s="60">
        <v>620</v>
      </c>
      <c r="M5" s="37" t="str">
        <f>VLOOKUP(L5,[1]characters!$A:$C,3,FALSE)</f>
        <v>奇跡の調和 メビウス</v>
      </c>
      <c r="N5" s="63">
        <v>5.0000000000000001E-4</v>
      </c>
      <c r="O5" s="37">
        <f>VLOOKUP(L5,[1]characters!$A:$I,9,FALSE)</f>
        <v>5</v>
      </c>
      <c r="P5" s="37" t="str">
        <f>VLOOKUP(L5,[1]characters!$A:$J,10,FALSE)</f>
        <v>PremiumSSS</v>
      </c>
      <c r="Q5" s="37" t="str">
        <f>VLOOKUP(L5,tables_468100!B:C,2,FALSE)</f>
        <v>PremiumSSS5R3less</v>
      </c>
      <c r="R5" s="62">
        <f t="shared" si="1"/>
        <v>53940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0.92500000000000004</v>
      </c>
      <c r="D6" t="s">
        <v>202</v>
      </c>
      <c r="E6" s="76">
        <f>(B10-H6)/(F6-I6)</f>
        <v>9.9462365591397855E-3</v>
      </c>
      <c r="F6">
        <f>(COUNTIF(tables_468100!C:C,input_468100!A25)+COUNTIF(tables_468100!C:C,input_468100!A18)+COUNTIF(tables_468100!C:C,input_468100!A20)+COUNTIF(tables_468100!C:C,input_468100!A22))</f>
        <v>93</v>
      </c>
      <c r="H6" s="89">
        <v>0</v>
      </c>
      <c r="I6" s="31">
        <v>0</v>
      </c>
      <c r="L6" s="93">
        <v>880</v>
      </c>
      <c r="M6" s="37" t="str">
        <f>VLOOKUP(L6,[1]characters!$A:$C,3,FALSE)</f>
        <v>ハーシェル</v>
      </c>
      <c r="N6" s="63">
        <v>5.0000000000000001E-3</v>
      </c>
      <c r="O6" s="37">
        <f>VLOOKUP(L6,[1]characters!$A:$I,9,FALSE)</f>
        <v>5</v>
      </c>
      <c r="P6" s="37" t="str">
        <f>VLOOKUP(L6,[1]characters!$A:$J,10,FALSE)</f>
        <v>PremiumSSS</v>
      </c>
      <c r="Q6" s="37" t="str">
        <f>VLOOKUP(L6,tables_468100!B:C,2,FALSE)</f>
        <v>PremiumSSS5R3less</v>
      </c>
      <c r="R6" s="62">
        <f t="shared" si="1"/>
        <v>539400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7.4999999999999997E-2</v>
      </c>
      <c r="L7" s="60">
        <v>623</v>
      </c>
      <c r="M7" s="37" t="str">
        <f>VLOOKUP(L7,[1]characters!$A:$C,3,FALSE)</f>
        <v>フェルマー</v>
      </c>
      <c r="N7" s="63">
        <v>5.0000000000000001E-3</v>
      </c>
      <c r="O7" s="37">
        <f>VLOOKUP(L7,[1]characters!$A:$I,9,FALSE)</f>
        <v>5</v>
      </c>
      <c r="P7" s="37" t="str">
        <f>VLOOKUP(L7,[1]characters!$A:$J,10,FALSE)</f>
        <v>PremiumSSS</v>
      </c>
      <c r="Q7" s="37" t="str">
        <f>VLOOKUP(L7,tables_468100!B:C,2,FALSE)</f>
        <v>PremiumSSS5R3less</v>
      </c>
      <c r="R7" s="62">
        <f t="shared" si="1"/>
        <v>539400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>
        <v>972</v>
      </c>
      <c r="M8" s="37" t="str">
        <f>VLOOKUP(L8,[1]characters!$A:$C,3,FALSE)</f>
        <v>コーシー</v>
      </c>
      <c r="N8" s="63">
        <v>5.0000000000000001E-3</v>
      </c>
      <c r="O8" s="37">
        <f>VLOOKUP(L8,[1]characters!$A:$I,9,FALSE)</f>
        <v>5</v>
      </c>
      <c r="P8" s="37" t="str">
        <f>VLOOKUP(L8,[1]characters!$A:$J,10,FALSE)</f>
        <v>PremiumSSS</v>
      </c>
      <c r="Q8" s="37" t="str">
        <f>VLOOKUP(L8,tables_468100!B:C,2,FALSE)</f>
        <v>PremiumSSS5R3less</v>
      </c>
      <c r="R8" s="62">
        <f t="shared" si="1"/>
        <v>539400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VLOOKUP(L9,tables_468100!B:C,2,FALSE)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0.92500000000000004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VLOOKUP(L10,tables_468100!B:C,2,FALSE)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VLOOKUP(L11,tables_468100!B:C,2,FALSE)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VLOOKUP(L12,tables_468100!B:C,2,FALSE)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VLOOKUP(L13,tables_468100!B:C,2,FALSE)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VLOOKUP(L14,tables_468100!B:C,2,FALSE)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VLOOKUP(L15,tables_468100!B:C,2,FALSE)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VLOOKUP(L16,tables_468100!B:C,2,FALSE)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COUNTIF(tables_468100!C:C,input_468100!A17)-COUNTIF(Q:Q,A17)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VLOOKUP(L17,tables_468100!B:C,2,FALSE)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0.19892473118279572</v>
      </c>
      <c r="C18" s="85">
        <f t="shared" si="2"/>
        <v>0</v>
      </c>
      <c r="D18" s="74">
        <f t="shared" si="3"/>
        <v>0.19892473118279572</v>
      </c>
      <c r="E18">
        <f>COUNTIF(tables_468100!C:C,input_468100!A18)-COUNTIF(Q:Q,A18)</f>
        <v>20</v>
      </c>
      <c r="F18" s="43">
        <f>IFERROR(B18/E18,0)</f>
        <v>9.9462365591397855E-3</v>
      </c>
      <c r="G18">
        <f t="shared" si="4"/>
        <v>21460000.000000004</v>
      </c>
      <c r="H18">
        <f t="shared" si="5"/>
        <v>1073000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VLOOKUP(L18,tables_468100!B:C,2,FALSE)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COUNTIF(tables_468100!C:C,input_468100!A19)-COUNTIF(Q:Q,A19)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VLOOKUP(L19,tables_468100!B:C,2,FALSE)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E$6*E20*B$6+G49</f>
        <v>0.48982818872999034</v>
      </c>
      <c r="C20" s="85">
        <f t="shared" si="2"/>
        <v>0</v>
      </c>
      <c r="D20" s="74">
        <f t="shared" si="3"/>
        <v>0.48982818872999034</v>
      </c>
      <c r="E20">
        <f>COUNTIF(tables_468100!C:C,input_468100!A20)-COUNTIF(Q:Q,A20)</f>
        <v>52</v>
      </c>
      <c r="F20" s="43">
        <f t="shared" si="8"/>
        <v>9.4197728601921223E-3</v>
      </c>
      <c r="G20">
        <f t="shared" si="4"/>
        <v>52842665.000191361</v>
      </c>
      <c r="H20">
        <f t="shared" si="5"/>
        <v>1016205.09616</v>
      </c>
      <c r="I20">
        <f t="shared" si="6"/>
        <v>9.6159999957308173E-2</v>
      </c>
      <c r="J20">
        <f t="shared" si="7"/>
        <v>10.399334447212631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VLOOKUP(L20,tables_468100!B:C,2,FALSE)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B7-B23-B26-B28-B29-E34</f>
        <v>2.3761123448275724E-3</v>
      </c>
      <c r="C21" s="85">
        <f t="shared" si="2"/>
        <v>0</v>
      </c>
      <c r="D21" s="74">
        <f t="shared" si="3"/>
        <v>2.3761123448275724E-3</v>
      </c>
      <c r="E21">
        <f>COUNTIF(tables_468100!C:C,input_468100!A21)-COUNTIF(Q:Q,A21)</f>
        <v>52</v>
      </c>
      <c r="F21" s="43">
        <f t="shared" si="8"/>
        <v>4.5694468169761008E-5</v>
      </c>
      <c r="G21">
        <f t="shared" si="4"/>
        <v>256334.99975999852</v>
      </c>
      <c r="H21">
        <f t="shared" si="5"/>
        <v>4929.5192299999999</v>
      </c>
      <c r="I21">
        <f t="shared" si="6"/>
        <v>0.51922999999987951</v>
      </c>
      <c r="J21">
        <f t="shared" si="7"/>
        <v>1.9259287791541939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0.15192876344086023</v>
      </c>
      <c r="C22" s="85">
        <f t="shared" si="2"/>
        <v>0</v>
      </c>
      <c r="D22" s="74">
        <f t="shared" si="3"/>
        <v>0.15192876344086023</v>
      </c>
      <c r="E22">
        <f>COUNTIF(tables_468100!C:C,input_468100!A22)-COUNTIF(Q:Q,A22)</f>
        <v>17</v>
      </c>
      <c r="F22" s="43">
        <f t="shared" si="8"/>
        <v>8.936986084756484E-3</v>
      </c>
      <c r="G22">
        <f t="shared" si="4"/>
        <v>16390075.000000002</v>
      </c>
      <c r="H22">
        <f t="shared" si="5"/>
        <v>964122.05882000003</v>
      </c>
      <c r="I22">
        <f t="shared" si="6"/>
        <v>5.8820000034756958E-2</v>
      </c>
      <c r="J22">
        <f t="shared" si="7"/>
        <v>17.001020051157706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</f>
        <v>1.715725806451613E-2</v>
      </c>
      <c r="C23" s="85">
        <f t="shared" si="2"/>
        <v>0</v>
      </c>
      <c r="D23" s="74">
        <f t="shared" si="3"/>
        <v>1.715725806451613E-2</v>
      </c>
      <c r="E23">
        <f>COUNTIF(tables_468100!C:C,input_468100!A23)-COUNTIF(Q:Q,A23)</f>
        <v>23</v>
      </c>
      <c r="F23" s="43">
        <f t="shared" si="8"/>
        <v>7.4596774193548391E-4</v>
      </c>
      <c r="G23">
        <f t="shared" si="4"/>
        <v>1850925.0000000002</v>
      </c>
      <c r="H23">
        <f t="shared" si="5"/>
        <v>80475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COUNTIF(tables_468100!C:C,input_468100!A24)-COUNTIF(Q:Q,A24)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3.6801075268817207E-2</v>
      </c>
      <c r="C25" s="85">
        <f t="shared" si="2"/>
        <v>0</v>
      </c>
      <c r="D25" s="74">
        <f t="shared" si="3"/>
        <v>3.6801075268817207E-2</v>
      </c>
      <c r="E25">
        <f>COUNTIF(tables_468100!C:C,input_468100!A25)-COUNTIF(Q:Q,A25)</f>
        <v>4</v>
      </c>
      <c r="F25" s="43">
        <f t="shared" si="8"/>
        <v>9.2002688172043018E-3</v>
      </c>
      <c r="G25">
        <f t="shared" si="4"/>
        <v>3970100.0000000005</v>
      </c>
      <c r="H25">
        <f t="shared" si="5"/>
        <v>992525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2.9838709677419356E-3</v>
      </c>
      <c r="C26" s="85">
        <f t="shared" si="2"/>
        <v>0</v>
      </c>
      <c r="D26" s="74">
        <f t="shared" si="3"/>
        <v>2.9838709677419356E-3</v>
      </c>
      <c r="E26">
        <f>COUNTIF(tables_468100!C:C,input_468100!A26)-COUNTIF(Q:Q,A26)</f>
        <v>4</v>
      </c>
      <c r="F26" s="43">
        <f t="shared" si="8"/>
        <v>7.4596774193548391E-4</v>
      </c>
      <c r="G26">
        <f t="shared" si="4"/>
        <v>321900</v>
      </c>
      <c r="H26">
        <f t="shared" si="5"/>
        <v>80475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E$5*E27*(B$5+B$6)+E33-G49</f>
        <v>4.3017241378093624E-2</v>
      </c>
      <c r="C27" s="85">
        <f t="shared" si="2"/>
        <v>0</v>
      </c>
      <c r="D27" s="74">
        <f t="shared" si="3"/>
        <v>4.3017241378093624E-2</v>
      </c>
      <c r="E27">
        <f>COUNTIF(tables_468100!C:C,input_468100!A27)-COUNTIF(Q:Q,A27)</f>
        <v>28</v>
      </c>
      <c r="F27" s="43">
        <f>IFERROR(B27/E27,0)</f>
        <v>1.5363300492176294E-3</v>
      </c>
      <c r="G27">
        <f t="shared" si="4"/>
        <v>4640699.9998687403</v>
      </c>
      <c r="H27">
        <f t="shared" si="5"/>
        <v>165739.28571</v>
      </c>
      <c r="I27">
        <f t="shared" si="6"/>
        <v>0.28570999999647029</v>
      </c>
      <c r="J27">
        <f t="shared" si="7"/>
        <v>3.5000525008307521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1.8103448275862066E-3</v>
      </c>
      <c r="C28" s="85">
        <f t="shared" si="2"/>
        <v>0</v>
      </c>
      <c r="D28" s="74">
        <f t="shared" si="3"/>
        <v>1.8103448275862066E-3</v>
      </c>
      <c r="E28">
        <f>COUNTIF(tables_468100!C:C,input_468100!A28)-COUNTIF(Q:Q,A28)</f>
        <v>28</v>
      </c>
      <c r="F28" s="43">
        <f t="shared" si="8"/>
        <v>6.4655172413793092E-5</v>
      </c>
      <c r="G28">
        <f t="shared" si="4"/>
        <v>195299.99999999997</v>
      </c>
      <c r="H28">
        <f t="shared" si="5"/>
        <v>6975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3.0172413793103443E-2</v>
      </c>
      <c r="C29" s="85">
        <f t="shared" si="2"/>
        <v>0</v>
      </c>
      <c r="D29" s="74">
        <f t="shared" si="3"/>
        <v>3.0172413793103443E-2</v>
      </c>
      <c r="E29">
        <f>COUNTIF(tables_468100!C:C,input_468100!A29)-COUNTIF(Q:Q,A29)</f>
        <v>35</v>
      </c>
      <c r="F29" s="43">
        <f t="shared" si="8"/>
        <v>8.6206896551724126E-4</v>
      </c>
      <c r="G29">
        <f t="shared" si="4"/>
        <v>3254999.9999999995</v>
      </c>
      <c r="H29">
        <f t="shared" si="5"/>
        <v>93000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4.4999999999999997E-3</v>
      </c>
      <c r="D30" s="74">
        <f t="shared" si="3"/>
        <v>-4.4999999999999997E-3</v>
      </c>
      <c r="E30">
        <f>COUNTIF(tables_468100!C:C,input_468100!A30)-COUNTIF(Q:Q,A30)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2.0500000000000001E-2</v>
      </c>
      <c r="D31" s="74">
        <f t="shared" si="3"/>
        <v>-2.0500000000000001E-2</v>
      </c>
      <c r="E31">
        <f>COUNTIF(tables_468100!C:C,input_468100!A31)-COUNTIF(Q:Q,A31)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0.97499999999833242</v>
      </c>
      <c r="C32" s="41">
        <f>SUM(C19:C31)</f>
        <v>2.5000000000000001E-2</v>
      </c>
      <c r="D32" s="42">
        <f t="shared" si="3"/>
        <v>0.9499999999983324</v>
      </c>
      <c r="L32" s="57"/>
      <c r="M32" s="57"/>
      <c r="N32" s="57"/>
      <c r="O32" s="57"/>
      <c r="P32" s="57"/>
      <c r="Q32" s="57"/>
      <c r="R32" s="59"/>
    </row>
    <row r="33" spans="1:7" x14ac:dyDescent="0.15">
      <c r="E33">
        <v>3.2103865406563736E-2</v>
      </c>
      <c r="F33" s="43">
        <f ca="1">0.925-G41</f>
        <v>-1.2974066265769579E-12</v>
      </c>
    </row>
    <row r="34" spans="1:7" x14ac:dyDescent="0.15">
      <c r="E34" s="55">
        <v>2.0500000002224711E-2</v>
      </c>
      <c r="F34" s="55">
        <f ca="1">G42-0.075</f>
        <v>-3.7078673464918666E-13</v>
      </c>
    </row>
    <row r="35" spans="1:7" x14ac:dyDescent="0.15">
      <c r="A35" t="s">
        <v>73</v>
      </c>
    </row>
    <row r="36" spans="1:7" x14ac:dyDescent="0.15">
      <c r="A36" s="31">
        <f>LCM(F5-I5,F6-I6)*1000*2*2*5</f>
        <v>107880000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SUMIF(tables_468100!C:C,input_468100!A40,tables_468100!O:O)</f>
        <v>0</v>
      </c>
      <c r="C40" s="54">
        <f t="shared" ref="C40:C46" ca="1" si="9">B40/B$47</f>
        <v>0</v>
      </c>
      <c r="E40">
        <v>3</v>
      </c>
      <c r="F40">
        <f ca="1">SUMIF(tables_468100!J:J,input_468100!E40,tables_468100!O:O)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SUMIF(tables_468100!C:C,input_468100!A41,tables_468100!O:O)</f>
        <v>52842665.00032001</v>
      </c>
      <c r="C41" s="54">
        <f t="shared" ca="1" si="9"/>
        <v>0.91210261500257295</v>
      </c>
      <c r="E41">
        <v>4</v>
      </c>
      <c r="F41">
        <f ca="1">SUMIF(tables_468100!J:J,input_468100!E41,tables_468100!O:O)</f>
        <v>99789000.000139967</v>
      </c>
      <c r="G41">
        <f ca="1">F41/A36</f>
        <v>0.92500000000129745</v>
      </c>
    </row>
    <row r="42" spans="1:7" x14ac:dyDescent="0.15">
      <c r="A42" s="33" t="s">
        <v>106</v>
      </c>
      <c r="B42">
        <f ca="1">SUMIF(tables_468100!C:C,input_468100!A42,tables_468100!O:O)</f>
        <v>4640699.9998800009</v>
      </c>
      <c r="C42" s="54">
        <f t="shared" ca="1" si="9"/>
        <v>8.0101838264730885E-2</v>
      </c>
      <c r="E42">
        <v>5</v>
      </c>
      <c r="F42">
        <f ca="1">SUMIF(tables_468100!J:J,input_468100!E42,tables_468100!O:O)</f>
        <v>8090999.9999599988</v>
      </c>
      <c r="G42">
        <f ca="1">F42/A36</f>
        <v>7.499999999962921E-2</v>
      </c>
    </row>
    <row r="43" spans="1:7" x14ac:dyDescent="0.15">
      <c r="A43" s="33" t="s">
        <v>109</v>
      </c>
      <c r="B43">
        <f>SUMIF(tables_468100!C:C,input_468100!A43,tables_468100!O:O)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SUMIF(tables_468100!C:C,input_468100!A44,tables_468100!O:O)</f>
        <v>256334.99996000019</v>
      </c>
      <c r="C44" s="54">
        <f t="shared" ca="1" si="9"/>
        <v>4.4245274869990888E-3</v>
      </c>
      <c r="E44" t="s">
        <v>54</v>
      </c>
      <c r="F44" s="55"/>
    </row>
    <row r="45" spans="1:7" x14ac:dyDescent="0.15">
      <c r="A45" s="33" t="s">
        <v>107</v>
      </c>
      <c r="B45">
        <f ca="1">SUMIF(tables_468100!C:C,input_468100!A45,tables_468100!O:O)</f>
        <v>195300</v>
      </c>
      <c r="C45" s="54">
        <f t="shared" ca="1" si="9"/>
        <v>3.3710192456970849E-3</v>
      </c>
      <c r="E45" t="s">
        <v>204</v>
      </c>
      <c r="F45" s="55">
        <f ca="1">SUMIF(tables_468100!I:I,input_468100!E45,tables_468100!P:P)</f>
        <v>0.20340053763422031</v>
      </c>
    </row>
    <row r="46" spans="1:7" x14ac:dyDescent="0.15">
      <c r="A46" s="33" t="s">
        <v>108</v>
      </c>
      <c r="B46">
        <f>SUMIF(tables_468100!C:C,input_468100!A46,tables_468100!O:O)</f>
        <v>0</v>
      </c>
      <c r="C46" s="54">
        <f t="shared" ca="1" si="9"/>
        <v>0</v>
      </c>
      <c r="E46" t="s">
        <v>205</v>
      </c>
      <c r="F46" s="55">
        <f ca="1">SUMIF(tables_468100!I:I,input_468100!E46,tables_468100!P:P)</f>
        <v>0.19075165426039078</v>
      </c>
    </row>
    <row r="47" spans="1:7" x14ac:dyDescent="0.15">
      <c r="A47" s="39" t="s">
        <v>59</v>
      </c>
      <c r="B47">
        <f ca="1">SUM(B40:B46)</f>
        <v>57935000.000160009</v>
      </c>
      <c r="C47" s="55">
        <f ca="1">SUM(C40:C46)</f>
        <v>0.99999999999999989</v>
      </c>
      <c r="E47" t="s">
        <v>206</v>
      </c>
      <c r="F47" s="55">
        <f ca="1">SUMIF(tables_468100!I:I,input_468100!E47,tables_468100!P:P)</f>
        <v>0.50584780810659535</v>
      </c>
    </row>
    <row r="48" spans="1:7" x14ac:dyDescent="0.15">
      <c r="E48" t="s">
        <v>207</v>
      </c>
      <c r="F48" s="55">
        <f ca="1">SUMIF(tables_468100!I:I,input_468100!E48,tables_468100!P:P)</f>
        <v>6.9827586205719563E-2</v>
      </c>
      <c r="G48" s="98">
        <f ca="1">F48+F49-0.075</f>
        <v>-1.1817768985622479E-12</v>
      </c>
    </row>
    <row r="49" spans="5:7" x14ac:dyDescent="0.15">
      <c r="E49" t="s">
        <v>251</v>
      </c>
      <c r="F49" s="55">
        <f ca="1">SUMIF(tables_468100!I:I,input_468100!E49,tables_468100!P:P)</f>
        <v>5.1724137930986586E-3</v>
      </c>
      <c r="G49">
        <v>1.1414210235366665E-2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46"/>
  <sheetViews>
    <sheetView showGridLines="0" zoomScale="75" zoomScaleNormal="75" zoomScalePageLayoutView="75" workbookViewId="0">
      <pane ySplit="1" topLeftCell="A300" activePane="bottomLeft" state="frozen"/>
      <selection activeCell="D34" sqref="D34"/>
      <selection pane="bottomLeft" activeCell="C340" sqref="C340:V34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input_468100!A$2</f>
        <v>468100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IFERROR(VLOOKUP(B2,input_468100!L:R,7,FALSE),VLOOKUP(tables_468100!C2,input_468100!A:H,8,FALSE))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input_468100!A$2</f>
        <v>468100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IFERROR(VLOOKUP(B3,input_468100!L:R,7,FALSE),VLOOKUP(tables_468100!C3,input_468100!A:H,8,FALSE))</f>
        <v>1073000</v>
      </c>
      <c r="P3" s="46">
        <f t="shared" ca="1" si="1"/>
        <v>9.9462365591305741E-3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input_468100!A$2</f>
        <v>468100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IFERROR(VLOOKUP(B4,input_468100!L:R,7,FALSE),VLOOKUP(tables_468100!C4,input_468100!A:H,8,FALSE))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input_468100!A$2</f>
        <v>468100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IFERROR(VLOOKUP(B5,input_468100!L:R,7,FALSE),VLOOKUP(tables_468100!C5,input_468100!A:H,8,FALSE))</f>
        <v>1073000</v>
      </c>
      <c r="P5" s="46">
        <f t="shared" ca="1" si="1"/>
        <v>9.9462365591305741E-3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input_468100!A$2</f>
        <v>468100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IFERROR(VLOOKUP(B6,input_468100!L:R,7,FALSE),VLOOKUP(tables_468100!C6,input_468100!A:H,8,FALSE))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input_468100!A$2</f>
        <v>468100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IFERROR(VLOOKUP(B7,input_468100!L:R,7,FALSE),VLOOKUP(tables_468100!C7,input_468100!A:H,8,FALSE))</f>
        <v>1073000</v>
      </c>
      <c r="P7" s="46">
        <f t="shared" ca="1" si="1"/>
        <v>9.9462365591305741E-3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input_468100!A$2</f>
        <v>468100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IFERROR(VLOOKUP(B8,input_468100!L:R,7,FALSE),VLOOKUP(tables_468100!C8,input_468100!A:H,8,FALSE))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input_468100!A$2</f>
        <v>468100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IFERROR(VLOOKUP(B9,input_468100!L:R,7,FALSE),VLOOKUP(tables_468100!C9,input_468100!A:H,8,FALSE))</f>
        <v>1073000</v>
      </c>
      <c r="P9" s="46">
        <f t="shared" ca="1" si="1"/>
        <v>9.9462365591305741E-3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input_468100!A$2</f>
        <v>468100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IFERROR(VLOOKUP(B10,input_468100!L:R,7,FALSE),VLOOKUP(tables_468100!C10,input_468100!A:H,8,FALSE))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input_468100!A$2</f>
        <v>468100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IFERROR(VLOOKUP(B11,input_468100!L:R,7,FALSE),VLOOKUP(tables_468100!C11,input_468100!A:H,8,FALSE))</f>
        <v>1073000</v>
      </c>
      <c r="P11" s="46">
        <f t="shared" ca="1" si="1"/>
        <v>9.9462365591305741E-3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input_468100!A$2</f>
        <v>468100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IFERROR(VLOOKUP(B12,input_468100!L:R,7,FALSE),VLOOKUP(tables_468100!C12,input_468100!A:H,8,FALSE))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input_468100!A$2</f>
        <v>468100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IFERROR(VLOOKUP(B13,input_468100!L:R,7,FALSE),VLOOKUP(tables_468100!C13,input_468100!A:H,8,FALSE))</f>
        <v>1073000</v>
      </c>
      <c r="P13" s="46">
        <f t="shared" ca="1" si="1"/>
        <v>9.9462365591305741E-3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input_468100!A$2</f>
        <v>468100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IFERROR(VLOOKUP(B14,input_468100!L:R,7,FALSE),VLOOKUP(tables_468100!C14,input_468100!A:H,8,FALSE))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input_468100!A$2</f>
        <v>468100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IFERROR(VLOOKUP(B15,input_468100!L:R,7,FALSE),VLOOKUP(tables_468100!C15,input_468100!A:H,8,FALSE))</f>
        <v>1073000</v>
      </c>
      <c r="P15" s="46">
        <f t="shared" ca="1" si="1"/>
        <v>9.9462365591305741E-3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input_468100!A$2</f>
        <v>468100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IFERROR(VLOOKUP(B16,input_468100!L:R,7,FALSE),VLOOKUP(tables_468100!C16,input_468100!A:H,8,FALSE))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input_468100!A$2</f>
        <v>468100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IFERROR(VLOOKUP(B17,input_468100!L:R,7,FALSE),VLOOKUP(tables_468100!C17,input_468100!A:H,8,FALSE))</f>
        <v>1073000</v>
      </c>
      <c r="P17" s="46">
        <f t="shared" ca="1" si="1"/>
        <v>9.9462365591305741E-3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input_468100!A$2</f>
        <v>468100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IFERROR(VLOOKUP(B18,input_468100!L:R,7,FALSE),VLOOKUP(tables_468100!C18,input_468100!A:H,8,FALSE))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input_468100!A$2</f>
        <v>468100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IFERROR(VLOOKUP(B19,input_468100!L:R,7,FALSE),VLOOKUP(tables_468100!C19,input_468100!A:H,8,FALSE))</f>
        <v>1073000</v>
      </c>
      <c r="P19" s="46">
        <f t="shared" ca="1" si="1"/>
        <v>9.9462365591305741E-3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input_468100!A$2</f>
        <v>468100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IFERROR(VLOOKUP(B20,input_468100!L:R,7,FALSE),VLOOKUP(tables_468100!C20,input_468100!A:H,8,FALSE))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input_468100!A$2</f>
        <v>468100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IFERROR(VLOOKUP(B21,input_468100!L:R,7,FALSE),VLOOKUP(tables_468100!C21,input_468100!A:H,8,FALSE))</f>
        <v>1073000</v>
      </c>
      <c r="P21" s="46">
        <f t="shared" ca="1" si="1"/>
        <v>9.9462365591305741E-3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input_468100!A$2</f>
        <v>468100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IFERROR(VLOOKUP(B22,input_468100!L:R,7,FALSE),VLOOKUP(tables_468100!C22,input_468100!A:H,8,FALSE))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input_468100!A$2</f>
        <v>468100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IFERROR(VLOOKUP(B23,input_468100!L:R,7,FALSE),VLOOKUP(tables_468100!C23,input_468100!A:H,8,FALSE))</f>
        <v>1073000</v>
      </c>
      <c r="P23" s="46">
        <f t="shared" ca="1" si="1"/>
        <v>9.9462365591305741E-3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input_468100!A$2</f>
        <v>468100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IFERROR(VLOOKUP(B24,input_468100!L:R,7,FALSE),VLOOKUP(tables_468100!C24,input_468100!A:H,8,FALSE))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input_468100!A$2</f>
        <v>468100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IFERROR(VLOOKUP(B25,input_468100!L:R,7,FALSE),VLOOKUP(tables_468100!C25,input_468100!A:H,8,FALSE))</f>
        <v>1073000</v>
      </c>
      <c r="P25" s="46">
        <f t="shared" ca="1" si="1"/>
        <v>9.9462365591305741E-3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input_468100!A$2</f>
        <v>468100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IFERROR(VLOOKUP(B26,input_468100!L:R,7,FALSE),VLOOKUP(tables_468100!C26,input_468100!A:H,8,FALSE))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input_468100!A$2</f>
        <v>468100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IFERROR(VLOOKUP(B27,input_468100!L:R,7,FALSE),VLOOKUP(tables_468100!C27,input_468100!A:H,8,FALSE))</f>
        <v>1073000</v>
      </c>
      <c r="P27" s="46">
        <f t="shared" ca="1" si="1"/>
        <v>9.9462365591305741E-3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input_468100!A$2</f>
        <v>468100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IFERROR(VLOOKUP(B28,input_468100!L:R,7,FALSE),VLOOKUP(tables_468100!C28,input_468100!A:H,8,FALSE))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input_468100!A$2</f>
        <v>468100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IFERROR(VLOOKUP(B29,input_468100!L:R,7,FALSE),VLOOKUP(tables_468100!C29,input_468100!A:H,8,FALSE))</f>
        <v>1073000</v>
      </c>
      <c r="P29" s="46">
        <f t="shared" ca="1" si="1"/>
        <v>9.9462365591305741E-3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input_468100!A$2</f>
        <v>468100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IFERROR(VLOOKUP(B30,input_468100!L:R,7,FALSE),VLOOKUP(tables_468100!C30,input_468100!A:H,8,FALSE))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input_468100!A$2</f>
        <v>468100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IFERROR(VLOOKUP(B31,input_468100!L:R,7,FALSE),VLOOKUP(tables_468100!C31,input_468100!A:H,8,FALSE))</f>
        <v>1073000</v>
      </c>
      <c r="P31" s="46">
        <f t="shared" ca="1" si="1"/>
        <v>9.9462365591305741E-3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input_468100!A$2</f>
        <v>468100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IFERROR(VLOOKUP(B32,input_468100!L:R,7,FALSE),VLOOKUP(tables_468100!C32,input_468100!A:H,8,FALSE))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input_468100!A$2</f>
        <v>468100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IFERROR(VLOOKUP(B33,input_468100!L:R,7,FALSE),VLOOKUP(tables_468100!C33,input_468100!A:H,8,FALSE))</f>
        <v>1073000</v>
      </c>
      <c r="P33" s="46">
        <f t="shared" ca="1" si="1"/>
        <v>9.9462365591305741E-3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input_468100!A$2</f>
        <v>468100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IFERROR(VLOOKUP(B34,input_468100!L:R,7,FALSE),VLOOKUP(tables_468100!C34,input_468100!A:H,8,FALSE))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input_468100!A$2</f>
        <v>468100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IFERROR(VLOOKUP(B35,input_468100!L:R,7,FALSE),VLOOKUP(tables_468100!C35,input_468100!A:H,8,FALSE))</f>
        <v>1073000</v>
      </c>
      <c r="P35" s="46">
        <f t="shared" ca="1" si="1"/>
        <v>9.9462365591305741E-3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input_468100!A$2</f>
        <v>468100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IFERROR(VLOOKUP(B36,input_468100!L:R,7,FALSE),VLOOKUP(tables_468100!C36,input_468100!A:H,8,FALSE))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input_468100!A$2</f>
        <v>468100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IFERROR(VLOOKUP(B37,input_468100!L:R,7,FALSE),VLOOKUP(tables_468100!C37,input_468100!A:H,8,FALSE))</f>
        <v>1073000</v>
      </c>
      <c r="P37" s="46">
        <f t="shared" ca="1" si="1"/>
        <v>9.9462365591305741E-3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input_468100!A$2</f>
        <v>468100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IFERROR(VLOOKUP(B38,input_468100!L:R,7,FALSE),VLOOKUP(tables_468100!C38,input_468100!A:H,8,FALSE))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input_468100!A$2</f>
        <v>468100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IFERROR(VLOOKUP(B39,input_468100!L:R,7,FALSE),VLOOKUP(tables_468100!C39,input_468100!A:H,8,FALSE))</f>
        <v>1073000</v>
      </c>
      <c r="P39" s="46">
        <f t="shared" ca="1" si="1"/>
        <v>9.9462365591305741E-3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input_468100!A$2</f>
        <v>468100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IFERROR(VLOOKUP(B40,input_468100!L:R,7,FALSE),VLOOKUP(tables_468100!C40,input_468100!A:H,8,FALSE))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input_468100!A$2</f>
        <v>468100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IFERROR(VLOOKUP(B41,input_468100!L:R,7,FALSE),VLOOKUP(tables_468100!C41,input_468100!A:H,8,FALSE))</f>
        <v>1073000</v>
      </c>
      <c r="P41" s="46">
        <f t="shared" ca="1" si="1"/>
        <v>9.9462365591305741E-3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input_468100!A$2</f>
        <v>468100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IFERROR(VLOOKUP(B42,input_468100!L:R,7,FALSE),VLOOKUP(tables_468100!C42,input_468100!A:H,8,FALSE))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input_468100!A$2</f>
        <v>468100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IFERROR(VLOOKUP(B43,input_468100!L:R,7,FALSE),VLOOKUP(tables_468100!C43,input_468100!A:H,8,FALSE))</f>
        <v>992525</v>
      </c>
      <c r="P43" s="46">
        <f t="shared" ca="1" si="1"/>
        <v>9.2002688171957808E-3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input_468100!A$2</f>
        <v>468100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IFERROR(VLOOKUP(B44,input_468100!L:R,7,FALSE),VLOOKUP(tables_468100!C44,input_468100!A:H,8,FALSE))</f>
        <v>80475</v>
      </c>
      <c r="P44" s="46">
        <f t="shared" ca="1" si="1"/>
        <v>7.4596774193479306E-4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input_468100!A$2</f>
        <v>468100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IFERROR(VLOOKUP(B45,input_468100!L:R,7,FALSE),VLOOKUP(tables_468100!C45,input_468100!A:H,8,FALSE))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input_468100!A$2</f>
        <v>468100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IFERROR(VLOOKUP(B46,input_468100!L:R,7,FALSE),VLOOKUP(tables_468100!C46,input_468100!A:H,8,FALSE))</f>
        <v>992525</v>
      </c>
      <c r="P46" s="46">
        <f t="shared" ca="1" si="1"/>
        <v>9.2002688171957808E-3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input_468100!A$2</f>
        <v>468100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IFERROR(VLOOKUP(B47,input_468100!L:R,7,FALSE),VLOOKUP(tables_468100!C47,input_468100!A:H,8,FALSE))</f>
        <v>80475</v>
      </c>
      <c r="P47" s="46">
        <f t="shared" ca="1" si="1"/>
        <v>7.4596774193479306E-4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input_468100!A$2</f>
        <v>468100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IFERROR(VLOOKUP(B48,input_468100!L:R,7,FALSE),VLOOKUP(tables_468100!C48,input_468100!A:H,8,FALSE))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input_468100!A$2</f>
        <v>468100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IFERROR(VLOOKUP(B49,input_468100!L:R,7,FALSE),VLOOKUP(tables_468100!C49,input_468100!A:H,8,FALSE))</f>
        <v>992525</v>
      </c>
      <c r="P49" s="46">
        <f t="shared" ca="1" si="1"/>
        <v>9.2002688171957808E-3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input_468100!A$2</f>
        <v>468100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IFERROR(VLOOKUP(B50,input_468100!L:R,7,FALSE),VLOOKUP(tables_468100!C50,input_468100!A:H,8,FALSE))</f>
        <v>80475</v>
      </c>
      <c r="P50" s="46">
        <f t="shared" ca="1" si="1"/>
        <v>7.4596774193479306E-4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input_468100!A$2</f>
        <v>468100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IFERROR(VLOOKUP(B51,input_468100!L:R,7,FALSE),VLOOKUP(tables_468100!C51,input_468100!A:H,8,FALSE))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input_468100!A$2</f>
        <v>468100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IFERROR(VLOOKUP(B52,input_468100!L:R,7,FALSE),VLOOKUP(tables_468100!C52,input_468100!A:H,8,FALSE))</f>
        <v>1016205.09616</v>
      </c>
      <c r="P52" s="46">
        <f t="shared" ca="1" si="1"/>
        <v>9.4197728602063314E-3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input_468100!A$2</f>
        <v>468100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IFERROR(VLOOKUP(B53,input_468100!L:R,7,FALSE),VLOOKUP(tables_468100!C53,input_468100!A:H,8,FALSE))</f>
        <v>4929.5192299999999</v>
      </c>
      <c r="P53" s="46">
        <f t="shared" ca="1" si="1"/>
        <v>4.5694468205371107E-5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input_468100!A$2</f>
        <v>468100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IFERROR(VLOOKUP(B54,input_468100!L:R,7,FALSE),VLOOKUP(tables_468100!C54,input_468100!A:H,8,FALSE))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input_468100!A$2</f>
        <v>468100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IFERROR(VLOOKUP(B55,input_468100!L:R,7,FALSE),VLOOKUP(tables_468100!C55,input_468100!A:H,8,FALSE))</f>
        <v>1016205.09616</v>
      </c>
      <c r="P55" s="46">
        <f t="shared" ca="1" si="1"/>
        <v>9.4197728602063314E-3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input_468100!A$2</f>
        <v>468100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IFERROR(VLOOKUP(B56,input_468100!L:R,7,FALSE),VLOOKUP(tables_468100!C56,input_468100!A:H,8,FALSE))</f>
        <v>4929.5192299999999</v>
      </c>
      <c r="P56" s="46">
        <f t="shared" ca="1" si="1"/>
        <v>4.5694468205371107E-5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input_468100!A$2</f>
        <v>468100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IFERROR(VLOOKUP(B57,input_468100!L:R,7,FALSE),VLOOKUP(tables_468100!C57,input_468100!A:H,8,FALSE))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input_468100!A$2</f>
        <v>468100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IFERROR(VLOOKUP(B58,input_468100!L:R,7,FALSE),VLOOKUP(tables_468100!C58,input_468100!A:H,8,FALSE))</f>
        <v>1016205.09616</v>
      </c>
      <c r="P58" s="46">
        <f t="shared" ca="1" si="1"/>
        <v>9.4197728602063314E-3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input_468100!A$2</f>
        <v>468100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IFERROR(VLOOKUP(B59,input_468100!L:R,7,FALSE),VLOOKUP(tables_468100!C59,input_468100!A:H,8,FALSE))</f>
        <v>4929.5192299999999</v>
      </c>
      <c r="P59" s="46">
        <f t="shared" ca="1" si="1"/>
        <v>4.5694468205371107E-5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input_468100!A$2</f>
        <v>468100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IFERROR(VLOOKUP(B60,input_468100!L:R,7,FALSE),VLOOKUP(tables_468100!C60,input_468100!A:H,8,FALSE))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input_468100!A$2</f>
        <v>468100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IFERROR(VLOOKUP(B61,input_468100!L:R,7,FALSE),VLOOKUP(tables_468100!C61,input_468100!A:H,8,FALSE))</f>
        <v>1016205.09616</v>
      </c>
      <c r="P61" s="46">
        <f t="shared" ca="1" si="1"/>
        <v>9.4197728602063314E-3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input_468100!A$2</f>
        <v>468100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IFERROR(VLOOKUP(B62,input_468100!L:R,7,FALSE),VLOOKUP(tables_468100!C62,input_468100!A:H,8,FALSE))</f>
        <v>4929.5192299999999</v>
      </c>
      <c r="P62" s="46">
        <f t="shared" ca="1" si="1"/>
        <v>4.5694468205371107E-5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input_468100!A$2</f>
        <v>468100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IFERROR(VLOOKUP(B63,input_468100!L:R,7,FALSE),VLOOKUP(tables_468100!C63,input_468100!A:H,8,FALSE))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input_468100!A$2</f>
        <v>468100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IFERROR(VLOOKUP(B64,input_468100!L:R,7,FALSE),VLOOKUP(tables_468100!C64,input_468100!A:H,8,FALSE))</f>
        <v>1016205.09616</v>
      </c>
      <c r="P64" s="46">
        <f t="shared" ca="1" si="1"/>
        <v>9.4197728602063314E-3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input_468100!A$2</f>
        <v>468100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IFERROR(VLOOKUP(B65,input_468100!L:R,7,FALSE),VLOOKUP(tables_468100!C65,input_468100!A:H,8,FALSE))</f>
        <v>4929.5192299999999</v>
      </c>
      <c r="P65" s="46">
        <f t="shared" ca="1" si="1"/>
        <v>4.5694468205371107E-5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input_468100!A$2</f>
        <v>468100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IFERROR(VLOOKUP(B66,input_468100!L:R,7,FALSE),VLOOKUP(tables_468100!C66,input_468100!A:H,8,FALSE))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input_468100!A$2</f>
        <v>468100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IFERROR(VLOOKUP(B67,input_468100!L:R,7,FALSE),VLOOKUP(tables_468100!C67,input_468100!A:H,8,FALSE))</f>
        <v>1016205.09616</v>
      </c>
      <c r="P67" s="46">
        <f t="shared" ca="1" si="4"/>
        <v>9.4197728602063314E-3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input_468100!A$2</f>
        <v>468100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IFERROR(VLOOKUP(B68,input_468100!L:R,7,FALSE),VLOOKUP(tables_468100!C68,input_468100!A:H,8,FALSE))</f>
        <v>4929.5192299999999</v>
      </c>
      <c r="P68" s="46">
        <f t="shared" ca="1" si="4"/>
        <v>4.5694468205371107E-5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input_468100!A$2</f>
        <v>468100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IFERROR(VLOOKUP(B69,input_468100!L:R,7,FALSE),VLOOKUP(tables_468100!C69,input_468100!A:H,8,FALSE))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input_468100!A$2</f>
        <v>468100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IFERROR(VLOOKUP(B70,input_468100!L:R,7,FALSE),VLOOKUP(tables_468100!C70,input_468100!A:H,8,FALSE))</f>
        <v>1016205.09616</v>
      </c>
      <c r="P70" s="46">
        <f t="shared" ca="1" si="4"/>
        <v>9.4197728602063314E-3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input_468100!A$2</f>
        <v>468100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IFERROR(VLOOKUP(B71,input_468100!L:R,7,FALSE),VLOOKUP(tables_468100!C71,input_468100!A:H,8,FALSE))</f>
        <v>4929.5192299999999</v>
      </c>
      <c r="P71" s="46">
        <f t="shared" ca="1" si="4"/>
        <v>4.5694468205371107E-5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input_468100!A$2</f>
        <v>468100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IFERROR(VLOOKUP(B72,input_468100!L:R,7,FALSE),VLOOKUP(tables_468100!C72,input_468100!A:H,8,FALSE))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input_468100!A$2</f>
        <v>468100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IFERROR(VLOOKUP(B73,input_468100!L:R,7,FALSE),VLOOKUP(tables_468100!C73,input_468100!A:H,8,FALSE))</f>
        <v>1016205.09616</v>
      </c>
      <c r="P73" s="46">
        <f t="shared" ca="1" si="4"/>
        <v>9.4197728602063314E-3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input_468100!A$2</f>
        <v>468100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IFERROR(VLOOKUP(B74,input_468100!L:R,7,FALSE),VLOOKUP(tables_468100!C74,input_468100!A:H,8,FALSE))</f>
        <v>4929.5192299999999</v>
      </c>
      <c r="P74" s="46">
        <f t="shared" ca="1" si="4"/>
        <v>4.5694468205371107E-5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input_468100!A$2</f>
        <v>468100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IFERROR(VLOOKUP(B75,input_468100!L:R,7,FALSE),VLOOKUP(tables_468100!C75,input_468100!A:H,8,FALSE))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input_468100!A$2</f>
        <v>468100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IFERROR(VLOOKUP(B76,input_468100!L:R,7,FALSE),VLOOKUP(tables_468100!C76,input_468100!A:H,8,FALSE))</f>
        <v>1016205.09616</v>
      </c>
      <c r="P76" s="46">
        <f t="shared" ca="1" si="4"/>
        <v>9.4197728602063314E-3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input_468100!A$2</f>
        <v>468100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IFERROR(VLOOKUP(B77,input_468100!L:R,7,FALSE),VLOOKUP(tables_468100!C77,input_468100!A:H,8,FALSE))</f>
        <v>4929.5192299999999</v>
      </c>
      <c r="P77" s="46">
        <f t="shared" ca="1" si="4"/>
        <v>4.5694468205371107E-5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input_468100!A$2</f>
        <v>468100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IFERROR(VLOOKUP(B78,input_468100!L:R,7,FALSE),VLOOKUP(tables_468100!C78,input_468100!A:H,8,FALSE))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input_468100!A$2</f>
        <v>468100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IFERROR(VLOOKUP(B79,input_468100!L:R,7,FALSE),VLOOKUP(tables_468100!C79,input_468100!A:H,8,FALSE))</f>
        <v>1016205.09616</v>
      </c>
      <c r="P79" s="46">
        <f t="shared" ca="1" si="4"/>
        <v>9.4197728602063314E-3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input_468100!A$2</f>
        <v>468100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IFERROR(VLOOKUP(B80,input_468100!L:R,7,FALSE),VLOOKUP(tables_468100!C80,input_468100!A:H,8,FALSE))</f>
        <v>4929.5192299999999</v>
      </c>
      <c r="P80" s="46">
        <f t="shared" ca="1" si="4"/>
        <v>4.5694468205371107E-5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input_468100!A$2</f>
        <v>468100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IFERROR(VLOOKUP(B81,input_468100!L:R,7,FALSE),VLOOKUP(tables_468100!C81,input_468100!A:H,8,FALSE))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input_468100!A$2</f>
        <v>468100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IFERROR(VLOOKUP(B82,input_468100!L:R,7,FALSE),VLOOKUP(tables_468100!C82,input_468100!A:H,8,FALSE))</f>
        <v>1016205.09616</v>
      </c>
      <c r="P82" s="46">
        <f t="shared" ca="1" si="4"/>
        <v>9.4197728602063314E-3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input_468100!A$2</f>
        <v>468100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IFERROR(VLOOKUP(B83,input_468100!L:R,7,FALSE),VLOOKUP(tables_468100!C83,input_468100!A:H,8,FALSE))</f>
        <v>4929.5192299999999</v>
      </c>
      <c r="P83" s="46">
        <f t="shared" ca="1" si="4"/>
        <v>4.5694468205371107E-5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input_468100!A$2</f>
        <v>468100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IFERROR(VLOOKUP(B84,input_468100!L:R,7,FALSE),VLOOKUP(tables_468100!C84,input_468100!A:H,8,FALSE))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input_468100!A$2</f>
        <v>468100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IFERROR(VLOOKUP(B85,input_468100!L:R,7,FALSE),VLOOKUP(tables_468100!C85,input_468100!A:H,8,FALSE))</f>
        <v>1016205.09616</v>
      </c>
      <c r="P85" s="46">
        <f t="shared" ca="1" si="4"/>
        <v>9.4197728602063314E-3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input_468100!A$2</f>
        <v>468100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IFERROR(VLOOKUP(B86,input_468100!L:R,7,FALSE),VLOOKUP(tables_468100!C86,input_468100!A:H,8,FALSE))</f>
        <v>4929.5192299999999</v>
      </c>
      <c r="P86" s="46">
        <f t="shared" ca="1" si="4"/>
        <v>4.5694468205371107E-5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input_468100!A$2</f>
        <v>468100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IFERROR(VLOOKUP(B87,input_468100!L:R,7,FALSE),VLOOKUP(tables_468100!C87,input_468100!A:H,8,FALSE))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input_468100!A$2</f>
        <v>468100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IFERROR(VLOOKUP(B88,input_468100!L:R,7,FALSE),VLOOKUP(tables_468100!C88,input_468100!A:H,8,FALSE))</f>
        <v>1016205.09616</v>
      </c>
      <c r="P88" s="46">
        <f t="shared" ca="1" si="4"/>
        <v>9.4197728602063314E-3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input_468100!A$2</f>
        <v>468100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IFERROR(VLOOKUP(B89,input_468100!L:R,7,FALSE),VLOOKUP(tables_468100!C89,input_468100!A:H,8,FALSE))</f>
        <v>4929.5192299999999</v>
      </c>
      <c r="P89" s="46">
        <f t="shared" ca="1" si="4"/>
        <v>4.5694468205371107E-5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input_468100!A$2</f>
        <v>468100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IFERROR(VLOOKUP(B90,input_468100!L:R,7,FALSE),VLOOKUP(tables_468100!C90,input_468100!A:H,8,FALSE))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input_468100!A$2</f>
        <v>468100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IFERROR(VLOOKUP(B91,input_468100!L:R,7,FALSE),VLOOKUP(tables_468100!C91,input_468100!A:H,8,FALSE))</f>
        <v>1016205.09616</v>
      </c>
      <c r="P91" s="46">
        <f t="shared" ca="1" si="4"/>
        <v>9.4197728602063314E-3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input_468100!A$2</f>
        <v>468100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IFERROR(VLOOKUP(B92,input_468100!L:R,7,FALSE),VLOOKUP(tables_468100!C92,input_468100!A:H,8,FALSE))</f>
        <v>4929.5192299999999</v>
      </c>
      <c r="P92" s="46">
        <f t="shared" ca="1" si="4"/>
        <v>4.5694468205371107E-5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input_468100!A$2</f>
        <v>468100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IFERROR(VLOOKUP(B93,input_468100!L:R,7,FALSE),VLOOKUP(tables_468100!C93,input_468100!A:H,8,FALSE))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input_468100!A$2</f>
        <v>468100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IFERROR(VLOOKUP(B94,input_468100!L:R,7,FALSE),VLOOKUP(tables_468100!C94,input_468100!A:H,8,FALSE))</f>
        <v>1016205.09616</v>
      </c>
      <c r="P94" s="46">
        <f t="shared" ca="1" si="4"/>
        <v>9.4197728602063314E-3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input_468100!A$2</f>
        <v>468100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IFERROR(VLOOKUP(B95,input_468100!L:R,7,FALSE),VLOOKUP(tables_468100!C95,input_468100!A:H,8,FALSE))</f>
        <v>4929.5192299999999</v>
      </c>
      <c r="P95" s="46">
        <f t="shared" ca="1" si="4"/>
        <v>4.5694468205371107E-5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input_468100!A$2</f>
        <v>468100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IFERROR(VLOOKUP(B96,input_468100!L:R,7,FALSE),VLOOKUP(tables_468100!C96,input_468100!A:H,8,FALSE))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input_468100!A$2</f>
        <v>468100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IFERROR(VLOOKUP(B97,input_468100!L:R,7,FALSE),VLOOKUP(tables_468100!C97,input_468100!A:H,8,FALSE))</f>
        <v>1016205.09616</v>
      </c>
      <c r="P97" s="46">
        <f t="shared" ca="1" si="4"/>
        <v>9.4197728602063314E-3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input_468100!A$2</f>
        <v>468100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IFERROR(VLOOKUP(B98,input_468100!L:R,7,FALSE),VLOOKUP(tables_468100!C98,input_468100!A:H,8,FALSE))</f>
        <v>4929.5192299999999</v>
      </c>
      <c r="P98" s="46">
        <f t="shared" ca="1" si="4"/>
        <v>4.5694468205371107E-5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input_468100!A$2</f>
        <v>468100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IFERROR(VLOOKUP(B99,input_468100!L:R,7,FALSE),VLOOKUP(tables_468100!C99,input_468100!A:H,8,FALSE))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input_468100!A$2</f>
        <v>468100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IFERROR(VLOOKUP(B100,input_468100!L:R,7,FALSE),VLOOKUP(tables_468100!C100,input_468100!A:H,8,FALSE))</f>
        <v>1016205.09616</v>
      </c>
      <c r="P100" s="46">
        <f t="shared" ca="1" si="4"/>
        <v>9.4197728602063314E-3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input_468100!A$2</f>
        <v>468100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IFERROR(VLOOKUP(B101,input_468100!L:R,7,FALSE),VLOOKUP(tables_468100!C101,input_468100!A:H,8,FALSE))</f>
        <v>4929.5192299999999</v>
      </c>
      <c r="P101" s="46">
        <f t="shared" ca="1" si="4"/>
        <v>4.5694468205371107E-5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input_468100!A$2</f>
        <v>468100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IFERROR(VLOOKUP(B102,input_468100!L:R,7,FALSE),VLOOKUP(tables_468100!C102,input_468100!A:H,8,FALSE))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input_468100!A$2</f>
        <v>468100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IFERROR(VLOOKUP(B103,input_468100!L:R,7,FALSE),VLOOKUP(tables_468100!C103,input_468100!A:H,8,FALSE))</f>
        <v>1016205.09616</v>
      </c>
      <c r="P103" s="46">
        <f t="shared" ca="1" si="4"/>
        <v>9.4197728602063314E-3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input_468100!A$2</f>
        <v>468100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IFERROR(VLOOKUP(B104,input_468100!L:R,7,FALSE),VLOOKUP(tables_468100!C104,input_468100!A:H,8,FALSE))</f>
        <v>4929.5192299999999</v>
      </c>
      <c r="P104" s="46">
        <f t="shared" ca="1" si="4"/>
        <v>4.5694468205371107E-5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input_468100!A$2</f>
        <v>468100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IFERROR(VLOOKUP(B105,input_468100!L:R,7,FALSE),VLOOKUP(tables_468100!C105,input_468100!A:H,8,FALSE))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input_468100!A$2</f>
        <v>468100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IFERROR(VLOOKUP(B106,input_468100!L:R,7,FALSE),VLOOKUP(tables_468100!C106,input_468100!A:H,8,FALSE))</f>
        <v>1016205.09616</v>
      </c>
      <c r="P106" s="46">
        <f t="shared" ca="1" si="4"/>
        <v>9.4197728602063314E-3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input_468100!A$2</f>
        <v>468100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IFERROR(VLOOKUP(B107,input_468100!L:R,7,FALSE),VLOOKUP(tables_468100!C107,input_468100!A:H,8,FALSE))</f>
        <v>4929.5192299999999</v>
      </c>
      <c r="P107" s="46">
        <f t="shared" ca="1" si="4"/>
        <v>4.5694468205371107E-5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input_468100!A$2</f>
        <v>468100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IFERROR(VLOOKUP(B108,input_468100!L:R,7,FALSE),VLOOKUP(tables_468100!C108,input_468100!A:H,8,FALSE))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input_468100!A$2</f>
        <v>468100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IFERROR(VLOOKUP(B109,input_468100!L:R,7,FALSE),VLOOKUP(tables_468100!C109,input_468100!A:H,8,FALSE))</f>
        <v>1016205.09616</v>
      </c>
      <c r="P109" s="46">
        <f t="shared" ca="1" si="4"/>
        <v>9.4197728602063314E-3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input_468100!A$2</f>
        <v>468100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IFERROR(VLOOKUP(B110,input_468100!L:R,7,FALSE),VLOOKUP(tables_468100!C110,input_468100!A:H,8,FALSE))</f>
        <v>4929.5192299999999</v>
      </c>
      <c r="P110" s="46">
        <f t="shared" ca="1" si="4"/>
        <v>4.5694468205371107E-5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input_468100!A$2</f>
        <v>468100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IFERROR(VLOOKUP(B111,input_468100!L:R,7,FALSE),VLOOKUP(tables_468100!C111,input_468100!A:H,8,FALSE))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input_468100!A$2</f>
        <v>468100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IFERROR(VLOOKUP(B112,input_468100!L:R,7,FALSE),VLOOKUP(tables_468100!C112,input_468100!A:H,8,FALSE))</f>
        <v>992525</v>
      </c>
      <c r="P112" s="46">
        <f t="shared" ca="1" si="4"/>
        <v>9.2002688171957808E-3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input_468100!A$2</f>
        <v>468100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IFERROR(VLOOKUP(B113,input_468100!L:R,7,FALSE),VLOOKUP(tables_468100!C113,input_468100!A:H,8,FALSE))</f>
        <v>80475</v>
      </c>
      <c r="P113" s="46">
        <f t="shared" ca="1" si="4"/>
        <v>7.4596774193479306E-4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input_468100!A$2</f>
        <v>468100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IFERROR(VLOOKUP(B114,input_468100!L:R,7,FALSE),VLOOKUP(tables_468100!C114,input_468100!A:H,8,FALSE))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input_468100!A$2</f>
        <v>468100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IFERROR(VLOOKUP(B115,input_468100!L:R,7,FALSE),VLOOKUP(tables_468100!C115,input_468100!A:H,8,FALSE))</f>
        <v>1016205.09616</v>
      </c>
      <c r="P115" s="46">
        <f t="shared" ca="1" si="4"/>
        <v>9.4197728602063314E-3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input_468100!A$2</f>
        <v>468100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IFERROR(VLOOKUP(B116,input_468100!L:R,7,FALSE),VLOOKUP(tables_468100!C116,input_468100!A:H,8,FALSE))</f>
        <v>4929.5192299999999</v>
      </c>
      <c r="P116" s="46">
        <f t="shared" ca="1" si="4"/>
        <v>4.5694468205371107E-5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input_468100!A$2</f>
        <v>468100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IFERROR(VLOOKUP(B117,input_468100!L:R,7,FALSE),VLOOKUP(tables_468100!C117,input_468100!A:H,8,FALSE))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input_468100!A$2</f>
        <v>468100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IFERROR(VLOOKUP(B118,input_468100!L:R,7,FALSE),VLOOKUP(tables_468100!C118,input_468100!A:H,8,FALSE))</f>
        <v>1016205.09616</v>
      </c>
      <c r="P118" s="46">
        <f t="shared" ca="1" si="4"/>
        <v>9.4197728602063314E-3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input_468100!A$2</f>
        <v>468100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IFERROR(VLOOKUP(B119,input_468100!L:R,7,FALSE),VLOOKUP(tables_468100!C119,input_468100!A:H,8,FALSE))</f>
        <v>4929.5192299999999</v>
      </c>
      <c r="P119" s="46">
        <f t="shared" ca="1" si="4"/>
        <v>4.5694468205371107E-5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input_468100!A$2</f>
        <v>468100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IFERROR(VLOOKUP(B120,input_468100!L:R,7,FALSE),VLOOKUP(tables_468100!C120,input_468100!A:H,8,FALSE))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input_468100!A$2</f>
        <v>468100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IFERROR(VLOOKUP(B121,input_468100!L:R,7,FALSE),VLOOKUP(tables_468100!C121,input_468100!A:H,8,FALSE))</f>
        <v>1016205.09616</v>
      </c>
      <c r="P121" s="46">
        <f t="shared" ca="1" si="4"/>
        <v>9.4197728602063314E-3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input_468100!A$2</f>
        <v>468100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IFERROR(VLOOKUP(B122,input_468100!L:R,7,FALSE),VLOOKUP(tables_468100!C122,input_468100!A:H,8,FALSE))</f>
        <v>4929.5192299999999</v>
      </c>
      <c r="P122" s="46">
        <f t="shared" ca="1" si="4"/>
        <v>4.5694468205371107E-5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input_468100!A$2</f>
        <v>468100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IFERROR(VLOOKUP(B123,input_468100!L:R,7,FALSE),VLOOKUP(tables_468100!C123,input_468100!A:H,8,FALSE))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input_468100!A$2</f>
        <v>468100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IFERROR(VLOOKUP(B124,input_468100!L:R,7,FALSE),VLOOKUP(tables_468100!C124,input_468100!A:H,8,FALSE))</f>
        <v>1016205.09616</v>
      </c>
      <c r="P124" s="46">
        <f t="shared" ca="1" si="4"/>
        <v>9.4197728602063314E-3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input_468100!A$2</f>
        <v>468100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IFERROR(VLOOKUP(B125,input_468100!L:R,7,FALSE),VLOOKUP(tables_468100!C125,input_468100!A:H,8,FALSE))</f>
        <v>4929.5192299999999</v>
      </c>
      <c r="P125" s="46">
        <f t="shared" ca="1" si="4"/>
        <v>4.5694468205371107E-5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input_468100!A$2</f>
        <v>468100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IFERROR(VLOOKUP(B126,input_468100!L:R,7,FALSE),VLOOKUP(tables_468100!C126,input_468100!A:H,8,FALSE))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input_468100!A$2</f>
        <v>468100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IFERROR(VLOOKUP(B127,input_468100!L:R,7,FALSE),VLOOKUP(tables_468100!C127,input_468100!A:H,8,FALSE))</f>
        <v>1016205.09616</v>
      </c>
      <c r="P127" s="46">
        <f t="shared" ca="1" si="4"/>
        <v>9.4197728602063314E-3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input_468100!A$2</f>
        <v>468100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IFERROR(VLOOKUP(B128,input_468100!L:R,7,FALSE),VLOOKUP(tables_468100!C128,input_468100!A:H,8,FALSE))</f>
        <v>4929.5192299999999</v>
      </c>
      <c r="P128" s="46">
        <f t="shared" ca="1" si="4"/>
        <v>4.5694468205371107E-5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input_468100!A$2</f>
        <v>468100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IFERROR(VLOOKUP(B129,input_468100!L:R,7,FALSE),VLOOKUP(tables_468100!C129,input_468100!A:H,8,FALSE))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input_468100!A$2</f>
        <v>468100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IFERROR(VLOOKUP(B130,input_468100!L:R,7,FALSE),VLOOKUP(tables_468100!C130,input_468100!A:H,8,FALSE))</f>
        <v>1016205.09616</v>
      </c>
      <c r="P130" s="46">
        <f t="shared" ref="P130:P193" ca="1" si="7">O130/SUM(O:O)</f>
        <v>9.4197728602063314E-3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input_468100!A$2</f>
        <v>468100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IFERROR(VLOOKUP(B131,input_468100!L:R,7,FALSE),VLOOKUP(tables_468100!C131,input_468100!A:H,8,FALSE))</f>
        <v>4929.5192299999999</v>
      </c>
      <c r="P131" s="46">
        <f t="shared" ca="1" si="7"/>
        <v>4.5694468205371107E-5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input_468100!A$2</f>
        <v>468100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IFERROR(VLOOKUP(B132,input_468100!L:R,7,FALSE),VLOOKUP(tables_468100!C132,input_468100!A:H,8,FALSE))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input_468100!A$2</f>
        <v>468100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IFERROR(VLOOKUP(B133,input_468100!L:R,7,FALSE),VLOOKUP(tables_468100!C133,input_468100!A:H,8,FALSE))</f>
        <v>1016205.09616</v>
      </c>
      <c r="P133" s="46">
        <f t="shared" ca="1" si="7"/>
        <v>9.4197728602063314E-3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input_468100!A$2</f>
        <v>468100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IFERROR(VLOOKUP(B134,input_468100!L:R,7,FALSE),VLOOKUP(tables_468100!C134,input_468100!A:H,8,FALSE))</f>
        <v>4929.5192299999999</v>
      </c>
      <c r="P134" s="46">
        <f t="shared" ca="1" si="7"/>
        <v>4.5694468205371107E-5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input_468100!A$2</f>
        <v>468100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IFERROR(VLOOKUP(B135,input_468100!L:R,7,FALSE),VLOOKUP(tables_468100!C135,input_468100!A:H,8,FALSE))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input_468100!A$2</f>
        <v>468100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IFERROR(VLOOKUP(B136,input_468100!L:R,7,FALSE),VLOOKUP(tables_468100!C136,input_468100!A:H,8,FALSE))</f>
        <v>1016205.09616</v>
      </c>
      <c r="P136" s="46">
        <f t="shared" ca="1" si="7"/>
        <v>9.4197728602063314E-3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input_468100!A$2</f>
        <v>468100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IFERROR(VLOOKUP(B137,input_468100!L:R,7,FALSE),VLOOKUP(tables_468100!C137,input_468100!A:H,8,FALSE))</f>
        <v>4929.5192299999999</v>
      </c>
      <c r="P137" s="46">
        <f t="shared" ca="1" si="7"/>
        <v>4.5694468205371107E-5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input_468100!A$2</f>
        <v>468100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IFERROR(VLOOKUP(B138,input_468100!L:R,7,FALSE),VLOOKUP(tables_468100!C138,input_468100!A:H,8,FALSE))</f>
        <v>165739.28571</v>
      </c>
      <c r="P138" s="46">
        <f t="shared" ca="1" si="7"/>
        <v>1.5363300492199344E-3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input_468100!A$2</f>
        <v>468100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IFERROR(VLOOKUP(B139,input_468100!L:R,7,FALSE),VLOOKUP(tables_468100!C139,input_468100!A:H,8,FALSE))</f>
        <v>6975</v>
      </c>
      <c r="P139" s="46">
        <f t="shared" ca="1" si="7"/>
        <v>6.465517241373323E-5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input_468100!A$2</f>
        <v>468100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IFERROR(VLOOKUP(B140,input_468100!L:R,7,FALSE),VLOOKUP(tables_468100!C140,input_468100!A:H,8,FALSE))</f>
        <v>165739.28571</v>
      </c>
      <c r="P140" s="46">
        <f t="shared" ca="1" si="7"/>
        <v>1.5363300492199344E-3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input_468100!A$2</f>
        <v>468100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IFERROR(VLOOKUP(B141,input_468100!L:R,7,FALSE),VLOOKUP(tables_468100!C141,input_468100!A:H,8,FALSE))</f>
        <v>6975</v>
      </c>
      <c r="P141" s="46">
        <f t="shared" ca="1" si="7"/>
        <v>6.465517241373323E-5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input_468100!A$2</f>
        <v>468100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IFERROR(VLOOKUP(B142,input_468100!L:R,7,FALSE),VLOOKUP(tables_468100!C142,input_468100!A:H,8,FALSE))</f>
        <v>165739.28571</v>
      </c>
      <c r="P142" s="46">
        <f t="shared" ca="1" si="7"/>
        <v>1.5363300492199344E-3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input_468100!A$2</f>
        <v>468100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IFERROR(VLOOKUP(B143,input_468100!L:R,7,FALSE),VLOOKUP(tables_468100!C143,input_468100!A:H,8,FALSE))</f>
        <v>6975</v>
      </c>
      <c r="P143" s="46">
        <f t="shared" ca="1" si="7"/>
        <v>6.465517241373323E-5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input_468100!A$2</f>
        <v>468100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IFERROR(VLOOKUP(B144,input_468100!L:R,7,FALSE),VLOOKUP(tables_468100!C144,input_468100!A:H,8,FALSE))</f>
        <v>165739.28571</v>
      </c>
      <c r="P144" s="46">
        <f t="shared" ca="1" si="7"/>
        <v>1.5363300492199344E-3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input_468100!A$2</f>
        <v>468100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IFERROR(VLOOKUP(B145,input_468100!L:R,7,FALSE),VLOOKUP(tables_468100!C145,input_468100!A:H,8,FALSE))</f>
        <v>6975</v>
      </c>
      <c r="P145" s="46">
        <f t="shared" ca="1" si="7"/>
        <v>6.465517241373323E-5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input_468100!A$2</f>
        <v>468100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IFERROR(VLOOKUP(B146,input_468100!L:R,7,FALSE),VLOOKUP(tables_468100!C146,input_468100!A:H,8,FALSE))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input_468100!A$2</f>
        <v>468100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IFERROR(VLOOKUP(B147,input_468100!L:R,7,FALSE),VLOOKUP(tables_468100!C147,input_468100!A:H,8,FALSE))</f>
        <v>1016205.09616</v>
      </c>
      <c r="P147" s="46">
        <f t="shared" ca="1" si="7"/>
        <v>9.4197728602063314E-3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input_468100!A$2</f>
        <v>468100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IFERROR(VLOOKUP(B148,input_468100!L:R,7,FALSE),VLOOKUP(tables_468100!C148,input_468100!A:H,8,FALSE))</f>
        <v>4929.5192299999999</v>
      </c>
      <c r="P148" s="46">
        <f t="shared" ca="1" si="7"/>
        <v>4.5694468205371107E-5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input_468100!A$2</f>
        <v>468100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IFERROR(VLOOKUP(B149,input_468100!L:R,7,FALSE),VLOOKUP(tables_468100!C149,input_468100!A:H,8,FALSE))</f>
        <v>165739.28571</v>
      </c>
      <c r="P149" s="46">
        <f t="shared" ca="1" si="7"/>
        <v>1.5363300492199344E-3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input_468100!A$2</f>
        <v>468100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IFERROR(VLOOKUP(B150,input_468100!L:R,7,FALSE),VLOOKUP(tables_468100!C150,input_468100!A:H,8,FALSE))</f>
        <v>6975</v>
      </c>
      <c r="P150" s="46">
        <f t="shared" ca="1" si="7"/>
        <v>6.465517241373323E-5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input_468100!A$2</f>
        <v>468100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IFERROR(VLOOKUP(B151,input_468100!L:R,7,FALSE),VLOOKUP(tables_468100!C151,input_468100!A:H,8,FALSE))</f>
        <v>165739.28571</v>
      </c>
      <c r="P151" s="46">
        <f t="shared" ca="1" si="7"/>
        <v>1.5363300492199344E-3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input_468100!A$2</f>
        <v>468100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IFERROR(VLOOKUP(B152,input_468100!L:R,7,FALSE),VLOOKUP(tables_468100!C152,input_468100!A:H,8,FALSE))</f>
        <v>6975</v>
      </c>
      <c r="P152" s="46">
        <f t="shared" ca="1" si="7"/>
        <v>6.465517241373323E-5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input_468100!A$2</f>
        <v>468100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IFERROR(VLOOKUP(B153,input_468100!L:R,7,FALSE),VLOOKUP(tables_468100!C153,input_468100!A:H,8,FALSE))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input_468100!A$2</f>
        <v>468100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IFERROR(VLOOKUP(B154,input_468100!L:R,7,FALSE),VLOOKUP(tables_468100!C154,input_468100!A:H,8,FALSE))</f>
        <v>1016205.09616</v>
      </c>
      <c r="P154" s="46">
        <f t="shared" ca="1" si="7"/>
        <v>9.4197728602063314E-3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input_468100!A$2</f>
        <v>468100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IFERROR(VLOOKUP(B155,input_468100!L:R,7,FALSE),VLOOKUP(tables_468100!C155,input_468100!A:H,8,FALSE))</f>
        <v>4929.5192299999999</v>
      </c>
      <c r="P155" s="46">
        <f t="shared" ca="1" si="7"/>
        <v>4.5694468205371107E-5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input_468100!A$2</f>
        <v>468100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IFERROR(VLOOKUP(B156,input_468100!L:R,7,FALSE),VLOOKUP(tables_468100!C156,input_468100!A:H,8,FALSE))</f>
        <v>165739.28571</v>
      </c>
      <c r="P156" s="46">
        <f t="shared" ca="1" si="7"/>
        <v>1.5363300492199344E-3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input_468100!A$2</f>
        <v>468100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IFERROR(VLOOKUP(B157,input_468100!L:R,7,FALSE),VLOOKUP(tables_468100!C157,input_468100!A:H,8,FALSE))</f>
        <v>6975</v>
      </c>
      <c r="P157" s="46">
        <f t="shared" ca="1" si="7"/>
        <v>6.465517241373323E-5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input_468100!A$2</f>
        <v>468100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IFERROR(VLOOKUP(B158,input_468100!L:R,7,FALSE),VLOOKUP(tables_468100!C158,input_468100!A:H,8,FALSE))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input_468100!A$2</f>
        <v>468100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IFERROR(VLOOKUP(B159,input_468100!L:R,7,FALSE),VLOOKUP(tables_468100!C159,input_468100!A:H,8,FALSE))</f>
        <v>1016205.09616</v>
      </c>
      <c r="P159" s="46">
        <f t="shared" ca="1" si="7"/>
        <v>9.4197728602063314E-3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input_468100!A$2</f>
        <v>468100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IFERROR(VLOOKUP(B160,input_468100!L:R,7,FALSE),VLOOKUP(tables_468100!C160,input_468100!A:H,8,FALSE))</f>
        <v>4929.5192299999999</v>
      </c>
      <c r="P160" s="46">
        <f t="shared" ca="1" si="7"/>
        <v>4.5694468205371107E-5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input_468100!A$2</f>
        <v>468100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IFERROR(VLOOKUP(B161,input_468100!L:R,7,FALSE),VLOOKUP(tables_468100!C161,input_468100!A:H,8,FALSE))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input_468100!A$2</f>
        <v>468100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IFERROR(VLOOKUP(B162,input_468100!L:R,7,FALSE),VLOOKUP(tables_468100!C162,input_468100!A:H,8,FALSE))</f>
        <v>1016205.09616</v>
      </c>
      <c r="P162" s="46">
        <f t="shared" ca="1" si="7"/>
        <v>9.4197728602063314E-3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input_468100!A$2</f>
        <v>468100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IFERROR(VLOOKUP(B163,input_468100!L:R,7,FALSE),VLOOKUP(tables_468100!C163,input_468100!A:H,8,FALSE))</f>
        <v>4929.5192299999999</v>
      </c>
      <c r="P163" s="46">
        <f t="shared" ca="1" si="7"/>
        <v>4.5694468205371107E-5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input_468100!A$2</f>
        <v>468100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IFERROR(VLOOKUP(B164,input_468100!L:R,7,FALSE),VLOOKUP(tables_468100!C164,input_468100!A:H,8,FALSE))</f>
        <v>165739.28571</v>
      </c>
      <c r="P164" s="46">
        <f t="shared" ca="1" si="7"/>
        <v>1.5363300492199344E-3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input_468100!A$2</f>
        <v>468100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IFERROR(VLOOKUP(B165,input_468100!L:R,7,FALSE),VLOOKUP(tables_468100!C165,input_468100!A:H,8,FALSE))</f>
        <v>6975</v>
      </c>
      <c r="P165" s="46">
        <f t="shared" ca="1" si="7"/>
        <v>6.465517241373323E-5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input_468100!A$2</f>
        <v>468100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IFERROR(VLOOKUP(B166,input_468100!L:R,7,FALSE),VLOOKUP(tables_468100!C166,input_468100!A:H,8,FALSE))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input_468100!A$2</f>
        <v>468100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IFERROR(VLOOKUP(B167,input_468100!L:R,7,FALSE),VLOOKUP(tables_468100!C167,input_468100!A:H,8,FALSE))</f>
        <v>1016205.09616</v>
      </c>
      <c r="P167" s="46">
        <f t="shared" ca="1" si="7"/>
        <v>9.4197728602063314E-3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input_468100!A$2</f>
        <v>468100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IFERROR(VLOOKUP(B168,input_468100!L:R,7,FALSE),VLOOKUP(tables_468100!C168,input_468100!A:H,8,FALSE))</f>
        <v>4929.5192299999999</v>
      </c>
      <c r="P168" s="46">
        <f t="shared" ca="1" si="7"/>
        <v>4.5694468205371107E-5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input_468100!A$2</f>
        <v>468100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IFERROR(VLOOKUP(B169,input_468100!L:R,7,FALSE),VLOOKUP(tables_468100!C169,input_468100!A:H,8,FALSE))</f>
        <v>165739.28571</v>
      </c>
      <c r="P169" s="46">
        <f t="shared" ca="1" si="7"/>
        <v>1.5363300492199344E-3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input_468100!A$2</f>
        <v>468100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IFERROR(VLOOKUP(B170,input_468100!L:R,7,FALSE),VLOOKUP(tables_468100!C170,input_468100!A:H,8,FALSE))</f>
        <v>6975</v>
      </c>
      <c r="P170" s="46">
        <f t="shared" ca="1" si="7"/>
        <v>6.465517241373323E-5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input_468100!A$2</f>
        <v>468100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IFERROR(VLOOKUP(B171,input_468100!L:R,7,FALSE),VLOOKUP(tables_468100!C171,input_468100!A:H,8,FALSE))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input_468100!A$2</f>
        <v>468100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IFERROR(VLOOKUP(B172,input_468100!L:R,7,FALSE),VLOOKUP(tables_468100!C172,input_468100!A:H,8,FALSE))</f>
        <v>1016205.09616</v>
      </c>
      <c r="P172" s="46">
        <f t="shared" ca="1" si="7"/>
        <v>9.4197728602063314E-3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input_468100!A$2</f>
        <v>468100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IFERROR(VLOOKUP(B173,input_468100!L:R,7,FALSE),VLOOKUP(tables_468100!C173,input_468100!A:H,8,FALSE))</f>
        <v>4929.5192299999999</v>
      </c>
      <c r="P173" s="46">
        <f t="shared" ca="1" si="7"/>
        <v>4.5694468205371107E-5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input_468100!A$2</f>
        <v>468100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IFERROR(VLOOKUP(B174,input_468100!L:R,7,FALSE),VLOOKUP(tables_468100!C174,input_468100!A:H,8,FALSE))</f>
        <v>165739.28571</v>
      </c>
      <c r="P174" s="46">
        <f t="shared" ca="1" si="7"/>
        <v>1.5363300492199344E-3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input_468100!A$2</f>
        <v>468100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IFERROR(VLOOKUP(B175,input_468100!L:R,7,FALSE),VLOOKUP(tables_468100!C175,input_468100!A:H,8,FALSE))</f>
        <v>6975</v>
      </c>
      <c r="P175" s="46">
        <f t="shared" ca="1" si="7"/>
        <v>6.465517241373323E-5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input_468100!A$2</f>
        <v>468100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IFERROR(VLOOKUP(B176,input_468100!L:R,7,FALSE),VLOOKUP(tables_468100!C176,input_468100!A:H,8,FALSE))</f>
        <v>165739.28571</v>
      </c>
      <c r="P176" s="46">
        <f t="shared" ca="1" si="7"/>
        <v>1.5363300492199344E-3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input_468100!A$2</f>
        <v>468100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IFERROR(VLOOKUP(B177,input_468100!L:R,7,FALSE),VLOOKUP(tables_468100!C177,input_468100!A:H,8,FALSE))</f>
        <v>6975</v>
      </c>
      <c r="P177" s="46">
        <f t="shared" ca="1" si="7"/>
        <v>6.465517241373323E-5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input_468100!A$2</f>
        <v>468100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IFERROR(VLOOKUP(B178,input_468100!L:R,7,FALSE),VLOOKUP(tables_468100!C178,input_468100!A:H,8,FALSE))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input_468100!A$2</f>
        <v>468100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IFERROR(VLOOKUP(B179,input_468100!L:R,7,FALSE),VLOOKUP(tables_468100!C179,input_468100!A:H,8,FALSE))</f>
        <v>1016205.09616</v>
      </c>
      <c r="P179" s="46">
        <f t="shared" ca="1" si="7"/>
        <v>9.4197728602063314E-3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input_468100!A$2</f>
        <v>468100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IFERROR(VLOOKUP(B180,input_468100!L:R,7,FALSE),VLOOKUP(tables_468100!C180,input_468100!A:H,8,FALSE))</f>
        <v>4929.5192299999999</v>
      </c>
      <c r="P180" s="46">
        <f t="shared" ca="1" si="7"/>
        <v>4.5694468205371107E-5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input_468100!A$2</f>
        <v>468100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IFERROR(VLOOKUP(B181,input_468100!L:R,7,FALSE),VLOOKUP(tables_468100!C181,input_468100!A:H,8,FALSE))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input_468100!A$2</f>
        <v>468100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IFERROR(VLOOKUP(B182,input_468100!L:R,7,FALSE),VLOOKUP(tables_468100!C182,input_468100!A:H,8,FALSE))</f>
        <v>1016205.09616</v>
      </c>
      <c r="P182" s="46">
        <f t="shared" ca="1" si="7"/>
        <v>9.4197728602063314E-3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input_468100!A$2</f>
        <v>468100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IFERROR(VLOOKUP(B183,input_468100!L:R,7,FALSE),VLOOKUP(tables_468100!C183,input_468100!A:H,8,FALSE))</f>
        <v>4929.5192299999999</v>
      </c>
      <c r="P183" s="46">
        <f t="shared" ca="1" si="7"/>
        <v>4.5694468205371107E-5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input_468100!A$2</f>
        <v>468100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IFERROR(VLOOKUP(B184,input_468100!L:R,7,FALSE),VLOOKUP(tables_468100!C184,input_468100!A:H,8,FALSE))</f>
        <v>165739.28571</v>
      </c>
      <c r="P184" s="46">
        <f t="shared" ca="1" si="7"/>
        <v>1.5363300492199344E-3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input_468100!A$2</f>
        <v>468100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IFERROR(VLOOKUP(B185,input_468100!L:R,7,FALSE),VLOOKUP(tables_468100!C185,input_468100!A:H,8,FALSE))</f>
        <v>6975</v>
      </c>
      <c r="P185" s="46">
        <f t="shared" ca="1" si="7"/>
        <v>6.465517241373323E-5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input_468100!A$2</f>
        <v>468100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IFERROR(VLOOKUP(B186,input_468100!L:R,7,FALSE),VLOOKUP(tables_468100!C186,input_468100!A:H,8,FALSE))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input_468100!A$2</f>
        <v>468100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IFERROR(VLOOKUP(B187,input_468100!L:R,7,FALSE),VLOOKUP(tables_468100!C187,input_468100!A:H,8,FALSE))</f>
        <v>1016205.09616</v>
      </c>
      <c r="P187" s="46">
        <f t="shared" ca="1" si="7"/>
        <v>9.4197728602063314E-3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input_468100!A$2</f>
        <v>468100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IFERROR(VLOOKUP(B188,input_468100!L:R,7,FALSE),VLOOKUP(tables_468100!C188,input_468100!A:H,8,FALSE))</f>
        <v>4929.5192299999999</v>
      </c>
      <c r="P188" s="46">
        <f t="shared" ca="1" si="7"/>
        <v>4.5694468205371107E-5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input_468100!A$2</f>
        <v>468100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IFERROR(VLOOKUP(B189,input_468100!L:R,7,FALSE),VLOOKUP(tables_468100!C189,input_468100!A:H,8,FALSE))</f>
        <v>165739.28571</v>
      </c>
      <c r="P189" s="46">
        <f t="shared" ca="1" si="7"/>
        <v>1.5363300492199344E-3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input_468100!A$2</f>
        <v>468100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IFERROR(VLOOKUP(B190,input_468100!L:R,7,FALSE),VLOOKUP(tables_468100!C190,input_468100!A:H,8,FALSE))</f>
        <v>6975</v>
      </c>
      <c r="P190" s="46">
        <f t="shared" ca="1" si="7"/>
        <v>6.465517241373323E-5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input_468100!A$2</f>
        <v>468100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IFERROR(VLOOKUP(B191,input_468100!L:R,7,FALSE),VLOOKUP(tables_468100!C191,input_468100!A:H,8,FALSE))</f>
        <v>165739.28571</v>
      </c>
      <c r="P191" s="46">
        <f t="shared" ca="1" si="7"/>
        <v>1.5363300492199344E-3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input_468100!A$2</f>
        <v>468100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IFERROR(VLOOKUP(B192,input_468100!L:R,7,FALSE),VLOOKUP(tables_468100!C192,input_468100!A:H,8,FALSE))</f>
        <v>6975</v>
      </c>
      <c r="P192" s="46">
        <f t="shared" ca="1" si="7"/>
        <v>6.465517241373323E-5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input_468100!A$2</f>
        <v>468100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IFERROR(VLOOKUP(B193,input_468100!L:R,7,FALSE),VLOOKUP(tables_468100!C193,input_468100!A:H,8,FALSE))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input_468100!A$2</f>
        <v>468100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IFERROR(VLOOKUP(B194,input_468100!L:R,7,FALSE),VLOOKUP(tables_468100!C194,input_468100!A:H,8,FALSE))</f>
        <v>1016205.09616</v>
      </c>
      <c r="P194" s="46">
        <f t="shared" ref="P194:P257" ca="1" si="10">O194/SUM(O:O)</f>
        <v>9.4197728602063314E-3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input_468100!A$2</f>
        <v>468100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IFERROR(VLOOKUP(B195,input_468100!L:R,7,FALSE),VLOOKUP(tables_468100!C195,input_468100!A:H,8,FALSE))</f>
        <v>4929.5192299999999</v>
      </c>
      <c r="P195" s="46">
        <f t="shared" ca="1" si="10"/>
        <v>4.5694468205371107E-5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input_468100!A$2</f>
        <v>468100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IFERROR(VLOOKUP(B196,input_468100!L:R,7,FALSE),VLOOKUP(tables_468100!C196,input_468100!A:H,8,FALSE))</f>
        <v>165739.28571</v>
      </c>
      <c r="P196" s="46">
        <f t="shared" ca="1" si="10"/>
        <v>1.5363300492199344E-3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input_468100!A$2</f>
        <v>468100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IFERROR(VLOOKUP(B197,input_468100!L:R,7,FALSE),VLOOKUP(tables_468100!C197,input_468100!A:H,8,FALSE))</f>
        <v>6975</v>
      </c>
      <c r="P197" s="46">
        <f t="shared" ca="1" si="10"/>
        <v>6.465517241373323E-5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input_468100!A$2</f>
        <v>468100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IFERROR(VLOOKUP(B198,input_468100!L:R,7,FALSE),VLOOKUP(tables_468100!C198,input_468100!A:H,8,FALSE))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input_468100!A$2</f>
        <v>468100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IFERROR(VLOOKUP(B199,input_468100!L:R,7,FALSE),VLOOKUP(tables_468100!C199,input_468100!A:H,8,FALSE))</f>
        <v>1016205.09616</v>
      </c>
      <c r="P199" s="46">
        <f t="shared" ca="1" si="10"/>
        <v>9.4197728602063314E-3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input_468100!A$2</f>
        <v>468100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IFERROR(VLOOKUP(B200,input_468100!L:R,7,FALSE),VLOOKUP(tables_468100!C200,input_468100!A:H,8,FALSE))</f>
        <v>4929.5192299999999</v>
      </c>
      <c r="P200" s="46">
        <f t="shared" ca="1" si="10"/>
        <v>4.5694468205371107E-5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input_468100!A$2</f>
        <v>468100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IFERROR(VLOOKUP(B201,input_468100!L:R,7,FALSE),VLOOKUP(tables_468100!C201,input_468100!A:H,8,FALSE))</f>
        <v>165739.28571</v>
      </c>
      <c r="P201" s="46">
        <f t="shared" ca="1" si="10"/>
        <v>1.5363300492199344E-3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input_468100!A$2</f>
        <v>468100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IFERROR(VLOOKUP(B202,input_468100!L:R,7,FALSE),VLOOKUP(tables_468100!C202,input_468100!A:H,8,FALSE))</f>
        <v>6975</v>
      </c>
      <c r="P202" s="46">
        <f t="shared" ca="1" si="10"/>
        <v>6.465517241373323E-5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input_468100!A$2</f>
        <v>468100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IFERROR(VLOOKUP(B203,input_468100!L:R,7,FALSE),VLOOKUP(tables_468100!C203,input_468100!A:H,8,FALSE))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input_468100!A$2</f>
        <v>468100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IFERROR(VLOOKUP(B204,input_468100!L:R,7,FALSE),VLOOKUP(tables_468100!C204,input_468100!A:H,8,FALSE))</f>
        <v>1016205.09616</v>
      </c>
      <c r="P204" s="46">
        <f t="shared" ca="1" si="10"/>
        <v>9.4197728602063314E-3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input_468100!A$2</f>
        <v>468100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IFERROR(VLOOKUP(B205,input_468100!L:R,7,FALSE),VLOOKUP(tables_468100!C205,input_468100!A:H,8,FALSE))</f>
        <v>4929.5192299999999</v>
      </c>
      <c r="P205" s="46">
        <f t="shared" ca="1" si="10"/>
        <v>4.5694468205371107E-5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input_468100!A$2</f>
        <v>468100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IFERROR(VLOOKUP(B206,input_468100!L:R,7,FALSE),VLOOKUP(tables_468100!C206,input_468100!A:H,8,FALSE))</f>
        <v>165739.28571</v>
      </c>
      <c r="P206" s="46">
        <f t="shared" ca="1" si="10"/>
        <v>1.5363300492199344E-3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input_468100!A$2</f>
        <v>468100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IFERROR(VLOOKUP(B207,input_468100!L:R,7,FALSE),VLOOKUP(tables_468100!C207,input_468100!A:H,8,FALSE))</f>
        <v>6975</v>
      </c>
      <c r="P207" s="46">
        <f t="shared" ca="1" si="10"/>
        <v>6.465517241373323E-5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input_468100!A$2</f>
        <v>468100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IFERROR(VLOOKUP(B208,input_468100!L:R,7,FALSE),VLOOKUP(tables_468100!C208,input_468100!A:H,8,FALSE))</f>
        <v>165739.28571</v>
      </c>
      <c r="P208" s="46">
        <f t="shared" ca="1" si="10"/>
        <v>1.5363300492199344E-3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input_468100!A$2</f>
        <v>468100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IFERROR(VLOOKUP(B209,input_468100!L:R,7,FALSE),VLOOKUP(tables_468100!C209,input_468100!A:H,8,FALSE))</f>
        <v>6975</v>
      </c>
      <c r="P209" s="46">
        <f t="shared" ca="1" si="10"/>
        <v>6.465517241373323E-5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input_468100!A$2</f>
        <v>468100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IFERROR(VLOOKUP(B210,input_468100!L:R,7,FALSE),VLOOKUP(tables_468100!C210,input_468100!A:H,8,FALSE))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input_468100!A$2</f>
        <v>468100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IFERROR(VLOOKUP(B211,input_468100!L:R,7,FALSE),VLOOKUP(tables_468100!C211,input_468100!A:H,8,FALSE))</f>
        <v>1016205.09616</v>
      </c>
      <c r="P211" s="46">
        <f t="shared" ca="1" si="10"/>
        <v>9.4197728602063314E-3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input_468100!A$2</f>
        <v>468100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IFERROR(VLOOKUP(B212,input_468100!L:R,7,FALSE),VLOOKUP(tables_468100!C212,input_468100!A:H,8,FALSE))</f>
        <v>4929.5192299999999</v>
      </c>
      <c r="P212" s="46">
        <f t="shared" ca="1" si="10"/>
        <v>4.5694468205371107E-5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input_468100!A$2</f>
        <v>468100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IFERROR(VLOOKUP(B213,input_468100!L:R,7,FALSE),VLOOKUP(tables_468100!C213,input_468100!A:H,8,FALSE))</f>
        <v>165739.28571</v>
      </c>
      <c r="P213" s="46">
        <f t="shared" ca="1" si="10"/>
        <v>1.5363300492199344E-3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input_468100!A$2</f>
        <v>468100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IFERROR(VLOOKUP(B214,input_468100!L:R,7,FALSE),VLOOKUP(tables_468100!C214,input_468100!A:H,8,FALSE))</f>
        <v>6975</v>
      </c>
      <c r="P214" s="46">
        <f t="shared" ca="1" si="10"/>
        <v>6.465517241373323E-5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input_468100!A$2</f>
        <v>468100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IFERROR(VLOOKUP(B215,input_468100!L:R,7,FALSE),VLOOKUP(tables_468100!C215,input_468100!A:H,8,FALSE))</f>
        <v>80475</v>
      </c>
      <c r="P215" s="46">
        <f t="shared" ca="1" si="10"/>
        <v>7.4596774193479306E-4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input_468100!A$2</f>
        <v>468100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IFERROR(VLOOKUP(B216,input_468100!L:R,7,FALSE),VLOOKUP(tables_468100!C216,input_468100!A:H,8,FALSE))</f>
        <v>80475</v>
      </c>
      <c r="P216" s="46">
        <f t="shared" ca="1" si="10"/>
        <v>7.4596774193479306E-4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input_468100!A$2</f>
        <v>468100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IFERROR(VLOOKUP(B217,input_468100!L:R,7,FALSE),VLOOKUP(tables_468100!C217,input_468100!A:H,8,FALSE))</f>
        <v>80475</v>
      </c>
      <c r="P217" s="46">
        <f t="shared" ca="1" si="10"/>
        <v>7.4596774193479306E-4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input_468100!A$2</f>
        <v>468100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IFERROR(VLOOKUP(B218,input_468100!L:R,7,FALSE),VLOOKUP(tables_468100!C218,input_468100!A:H,8,FALSE))</f>
        <v>80475</v>
      </c>
      <c r="P218" s="46">
        <f t="shared" ca="1" si="10"/>
        <v>7.4596774193479306E-4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input_468100!A$2</f>
        <v>468100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IFERROR(VLOOKUP(B219,input_468100!L:R,7,FALSE),VLOOKUP(tables_468100!C219,input_468100!A:H,8,FALSE))</f>
        <v>80475</v>
      </c>
      <c r="P219" s="46">
        <f t="shared" ca="1" si="10"/>
        <v>7.4596774193479306E-4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input_468100!A$2</f>
        <v>468100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IFERROR(VLOOKUP(B220,input_468100!L:R,7,FALSE),VLOOKUP(tables_468100!C220,input_468100!A:H,8,FALSE))</f>
        <v>80475</v>
      </c>
      <c r="P220" s="46">
        <f t="shared" ca="1" si="10"/>
        <v>7.4596774193479306E-4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input_468100!A$2</f>
        <v>468100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IFERROR(VLOOKUP(B221,input_468100!L:R,7,FALSE),VLOOKUP(tables_468100!C221,input_468100!A:H,8,FALSE))</f>
        <v>165739.28571</v>
      </c>
      <c r="P221" s="46">
        <f t="shared" ca="1" si="10"/>
        <v>1.5363300492199344E-3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input_468100!A$2</f>
        <v>468100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IFERROR(VLOOKUP(B222,input_468100!L:R,7,FALSE),VLOOKUP(tables_468100!C222,input_468100!A:H,8,FALSE))</f>
        <v>6975</v>
      </c>
      <c r="P222" s="46">
        <f t="shared" ca="1" si="10"/>
        <v>6.465517241373323E-5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input_468100!A$2</f>
        <v>468100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IFERROR(VLOOKUP(B223,input_468100!L:R,7,FALSE),VLOOKUP(tables_468100!C223,input_468100!A:H,8,FALSE))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input_468100!A$2</f>
        <v>468100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IFERROR(VLOOKUP(B224,input_468100!L:R,7,FALSE),VLOOKUP(tables_468100!C224,input_468100!A:H,8,FALSE))</f>
        <v>1016205.09616</v>
      </c>
      <c r="P224" s="46">
        <f t="shared" ca="1" si="10"/>
        <v>9.4197728602063314E-3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input_468100!A$2</f>
        <v>468100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IFERROR(VLOOKUP(B225,input_468100!L:R,7,FALSE),VLOOKUP(tables_468100!C225,input_468100!A:H,8,FALSE))</f>
        <v>4929.5192299999999</v>
      </c>
      <c r="P225" s="46">
        <f t="shared" ca="1" si="10"/>
        <v>4.5694468205371107E-5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input_468100!A$2</f>
        <v>468100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IFERROR(VLOOKUP(B226,input_468100!L:R,7,FALSE),VLOOKUP(tables_468100!C226,input_468100!A:H,8,FALSE))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input_468100!A$2</f>
        <v>468100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IFERROR(VLOOKUP(B227,input_468100!L:R,7,FALSE),VLOOKUP(tables_468100!C227,input_468100!A:H,8,FALSE))</f>
        <v>1016205.09616</v>
      </c>
      <c r="P227" s="46">
        <f t="shared" ca="1" si="10"/>
        <v>9.4197728602063314E-3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input_468100!A$2</f>
        <v>468100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IFERROR(VLOOKUP(B228,input_468100!L:R,7,FALSE),VLOOKUP(tables_468100!C228,input_468100!A:H,8,FALSE))</f>
        <v>4929.5192299999999</v>
      </c>
      <c r="P228" s="46">
        <f t="shared" ca="1" si="10"/>
        <v>4.5694468205371107E-5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input_468100!A$2</f>
        <v>468100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IFERROR(VLOOKUP(B229,input_468100!L:R,7,FALSE),VLOOKUP(tables_468100!C229,input_468100!A:H,8,FALSE))</f>
        <v>165739.28571</v>
      </c>
      <c r="P229" s="46">
        <f t="shared" ca="1" si="10"/>
        <v>1.5363300492199344E-3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input_468100!A$2</f>
        <v>468100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IFERROR(VLOOKUP(B230,input_468100!L:R,7,FALSE),VLOOKUP(tables_468100!C230,input_468100!A:H,8,FALSE))</f>
        <v>6975</v>
      </c>
      <c r="P230" s="46">
        <f t="shared" ca="1" si="10"/>
        <v>6.465517241373323E-5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input_468100!A$2</f>
        <v>468100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IFERROR(VLOOKUP(B231,input_468100!L:R,7,FALSE),VLOOKUP(tables_468100!C231,input_468100!A:H,8,FALSE))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input_468100!A$2</f>
        <v>468100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IFERROR(VLOOKUP(B232,input_468100!L:R,7,FALSE),VLOOKUP(tables_468100!C232,input_468100!A:H,8,FALSE))</f>
        <v>1016205.09616</v>
      </c>
      <c r="P232" s="46">
        <f t="shared" ca="1" si="10"/>
        <v>9.4197728602063314E-3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input_468100!A$2</f>
        <v>468100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IFERROR(VLOOKUP(B233,input_468100!L:R,7,FALSE),VLOOKUP(tables_468100!C233,input_468100!A:H,8,FALSE))</f>
        <v>4929.5192299999999</v>
      </c>
      <c r="P233" s="46">
        <f t="shared" ca="1" si="10"/>
        <v>4.5694468205371107E-5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input_468100!A$2</f>
        <v>468100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IFERROR(VLOOKUP(B234,input_468100!L:R,7,FALSE),VLOOKUP(tables_468100!C234,input_468100!A:H,8,FALSE))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input_468100!A$2</f>
        <v>468100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IFERROR(VLOOKUP(B235,input_468100!L:R,7,FALSE),VLOOKUP(tables_468100!C235,input_468100!A:H,8,FALSE))</f>
        <v>1016205.09616</v>
      </c>
      <c r="P235" s="46">
        <f t="shared" ca="1" si="10"/>
        <v>9.4197728602063314E-3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input_468100!A$2</f>
        <v>468100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IFERROR(VLOOKUP(B236,input_468100!L:R,7,FALSE),VLOOKUP(tables_468100!C236,input_468100!A:H,8,FALSE))</f>
        <v>4929.5192299999999</v>
      </c>
      <c r="P236" s="46">
        <f t="shared" ca="1" si="10"/>
        <v>4.5694468205371107E-5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input_468100!A$2</f>
        <v>468100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IFERROR(VLOOKUP(B237,input_468100!L:R,7,FALSE),VLOOKUP(tables_468100!C237,input_468100!A:H,8,FALSE))</f>
        <v>165739.28571</v>
      </c>
      <c r="P237" s="46">
        <f t="shared" ca="1" si="10"/>
        <v>1.5363300492199344E-3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input_468100!A$2</f>
        <v>468100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IFERROR(VLOOKUP(B238,input_468100!L:R,7,FALSE),VLOOKUP(tables_468100!C238,input_468100!A:H,8,FALSE))</f>
        <v>6975</v>
      </c>
      <c r="P238" s="46">
        <f t="shared" ca="1" si="10"/>
        <v>6.465517241373323E-5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input_468100!A$2</f>
        <v>468100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IFERROR(VLOOKUP(B239,input_468100!L:R,7,FALSE),VLOOKUP(tables_468100!C239,input_468100!A:H,8,FALSE))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input_468100!A$2</f>
        <v>468100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IFERROR(VLOOKUP(B240,input_468100!L:R,7,FALSE),VLOOKUP(tables_468100!C240,input_468100!A:H,8,FALSE))</f>
        <v>1016205.09616</v>
      </c>
      <c r="P240" s="46">
        <f t="shared" ca="1" si="10"/>
        <v>9.4197728602063314E-3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input_468100!A$2</f>
        <v>468100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IFERROR(VLOOKUP(B241,input_468100!L:R,7,FALSE),VLOOKUP(tables_468100!C241,input_468100!A:H,8,FALSE))</f>
        <v>4929.5192299999999</v>
      </c>
      <c r="P241" s="46">
        <f t="shared" ca="1" si="10"/>
        <v>4.5694468205371107E-5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input_468100!A$2</f>
        <v>468100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IFERROR(VLOOKUP(B242,input_468100!L:R,7,FALSE),VLOOKUP(tables_468100!C242,input_468100!A:H,8,FALSE))</f>
        <v>165739.28571</v>
      </c>
      <c r="P242" s="46">
        <f t="shared" ca="1" si="10"/>
        <v>1.5363300492199344E-3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input_468100!A$2</f>
        <v>468100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IFERROR(VLOOKUP(B243,input_468100!L:R,7,FALSE),VLOOKUP(tables_468100!C243,input_468100!A:H,8,FALSE))</f>
        <v>6975</v>
      </c>
      <c r="P243" s="46">
        <f t="shared" ca="1" si="10"/>
        <v>6.465517241373323E-5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input_468100!A$2</f>
        <v>468100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IFERROR(VLOOKUP(B244,input_468100!L:R,7,FALSE),VLOOKUP(tables_468100!C244,input_468100!A:H,8,FALSE))</f>
        <v>165739.28571</v>
      </c>
      <c r="P244" s="46">
        <f t="shared" ca="1" si="10"/>
        <v>1.5363300492199344E-3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input_468100!A$2</f>
        <v>468100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IFERROR(VLOOKUP(B245,input_468100!L:R,7,FALSE),VLOOKUP(tables_468100!C245,input_468100!A:H,8,FALSE))</f>
        <v>6975</v>
      </c>
      <c r="P245" s="46">
        <f t="shared" ca="1" si="10"/>
        <v>6.465517241373323E-5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input_468100!A$2</f>
        <v>468100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IFERROR(VLOOKUP(B246,input_468100!L:R,7,FALSE),VLOOKUP(tables_468100!C246,input_468100!A:H,8,FALSE))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input_468100!A$2</f>
        <v>468100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IFERROR(VLOOKUP(B247,input_468100!L:R,7,FALSE),VLOOKUP(tables_468100!C247,input_468100!A:H,8,FALSE))</f>
        <v>1016205.09616</v>
      </c>
      <c r="P247" s="46">
        <f t="shared" ca="1" si="10"/>
        <v>9.4197728602063314E-3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input_468100!A$2</f>
        <v>468100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IFERROR(VLOOKUP(B248,input_468100!L:R,7,FALSE),VLOOKUP(tables_468100!C248,input_468100!A:H,8,FALSE))</f>
        <v>4929.5192299999999</v>
      </c>
      <c r="P248" s="46">
        <f t="shared" ca="1" si="10"/>
        <v>4.5694468205371107E-5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input_468100!A$2</f>
        <v>468100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IFERROR(VLOOKUP(B249,input_468100!L:R,7,FALSE),VLOOKUP(tables_468100!C249,input_468100!A:H,8,FALSE))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input_468100!A$2</f>
        <v>468100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IFERROR(VLOOKUP(B250,input_468100!L:R,7,FALSE),VLOOKUP(tables_468100!C250,input_468100!A:H,8,FALSE))</f>
        <v>1016205.09616</v>
      </c>
      <c r="P250" s="46">
        <f t="shared" ca="1" si="10"/>
        <v>9.4197728602063314E-3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input_468100!A$2</f>
        <v>468100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IFERROR(VLOOKUP(B251,input_468100!L:R,7,FALSE),VLOOKUP(tables_468100!C251,input_468100!A:H,8,FALSE))</f>
        <v>4929.5192299999999</v>
      </c>
      <c r="P251" s="46">
        <f t="shared" ca="1" si="10"/>
        <v>4.5694468205371107E-5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input_468100!A$2</f>
        <v>468100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IFERROR(VLOOKUP(B252,input_468100!L:R,7,FALSE),VLOOKUP(tables_468100!C252,input_468100!A:H,8,FALSE))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input_468100!A$2</f>
        <v>468100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IFERROR(VLOOKUP(B253,input_468100!L:R,7,FALSE),VLOOKUP(tables_468100!C253,input_468100!A:H,8,FALSE))</f>
        <v>1016205.09616</v>
      </c>
      <c r="P253" s="46">
        <f t="shared" ca="1" si="10"/>
        <v>9.4197728602063314E-3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input_468100!A$2</f>
        <v>468100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IFERROR(VLOOKUP(B254,input_468100!L:R,7,FALSE),VLOOKUP(tables_468100!C254,input_468100!A:H,8,FALSE))</f>
        <v>4929.5192299999999</v>
      </c>
      <c r="P254" s="46">
        <f t="shared" ca="1" si="10"/>
        <v>4.5694468205371107E-5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input_468100!A$2</f>
        <v>468100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IFERROR(VLOOKUP(B255,input_468100!L:R,7,FALSE),VLOOKUP(tables_468100!C255,input_468100!A:H,8,FALSE))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input_468100!A$2</f>
        <v>468100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IFERROR(VLOOKUP(B256,input_468100!L:R,7,FALSE),VLOOKUP(tables_468100!C256,input_468100!A:H,8,FALSE))</f>
        <v>1016205.09616</v>
      </c>
      <c r="P256" s="46">
        <f t="shared" ca="1" si="10"/>
        <v>9.4197728602063314E-3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input_468100!A$2</f>
        <v>468100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IFERROR(VLOOKUP(B257,input_468100!L:R,7,FALSE),VLOOKUP(tables_468100!C257,input_468100!A:H,8,FALSE))</f>
        <v>4929.5192299999999</v>
      </c>
      <c r="P257" s="46">
        <f t="shared" ca="1" si="10"/>
        <v>4.5694468205371107E-5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input_468100!A$2</f>
        <v>468100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IFERROR(VLOOKUP(B258,input_468100!L:R,7,FALSE),VLOOKUP(tables_468100!C258,input_468100!A:H,8,FALSE))</f>
        <v>165739.28571</v>
      </c>
      <c r="P258" s="46">
        <f t="shared" ref="P258:P294" ca="1" si="13">O258/SUM(O:O)</f>
        <v>1.5363300492199344E-3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input_468100!A$2</f>
        <v>468100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IFERROR(VLOOKUP(B259,input_468100!L:R,7,FALSE),VLOOKUP(tables_468100!C259,input_468100!A:H,8,FALSE))</f>
        <v>6975</v>
      </c>
      <c r="P259" s="46">
        <f t="shared" ca="1" si="13"/>
        <v>6.465517241373323E-5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input_468100!A$2</f>
        <v>468100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IFERROR(VLOOKUP(B260,input_468100!L:R,7,FALSE),VLOOKUP(tables_468100!C260,input_468100!A:H,8,FALSE))</f>
        <v>165739.28571</v>
      </c>
      <c r="P260" s="46">
        <f t="shared" ca="1" si="13"/>
        <v>1.5363300492199344E-3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input_468100!A$2</f>
        <v>468100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IFERROR(VLOOKUP(B261,input_468100!L:R,7,FALSE),VLOOKUP(tables_468100!C261,input_468100!A:H,8,FALSE))</f>
        <v>6975</v>
      </c>
      <c r="P261" s="46">
        <f t="shared" ca="1" si="13"/>
        <v>6.465517241373323E-5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input_468100!A$2</f>
        <v>468100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IFERROR(VLOOKUP(B262,input_468100!L:R,7,FALSE),VLOOKUP(tables_468100!C262,input_468100!A:H,8,FALSE))</f>
        <v>964122.05882000003</v>
      </c>
      <c r="P262" s="46">
        <f t="shared" ca="1" si="13"/>
        <v>8.9369860847154925E-3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input_468100!A$2</f>
        <v>468100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IFERROR(VLOOKUP(B263,input_468100!L:R,7,FALSE),VLOOKUP(tables_468100!C263,input_468100!A:H,8,FALSE))</f>
        <v>80475</v>
      </c>
      <c r="P263" s="46">
        <f t="shared" ca="1" si="13"/>
        <v>7.4596774193479306E-4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input_468100!A$2</f>
        <v>468100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IFERROR(VLOOKUP(B264,input_468100!L:R,7,FALSE),VLOOKUP(tables_468100!C264,input_468100!A:H,8,FALSE))</f>
        <v>964122.05882000003</v>
      </c>
      <c r="P264" s="46">
        <f t="shared" ca="1" si="13"/>
        <v>8.9369860847154925E-3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input_468100!A$2</f>
        <v>468100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IFERROR(VLOOKUP(B265,input_468100!L:R,7,FALSE),VLOOKUP(tables_468100!C265,input_468100!A:H,8,FALSE))</f>
        <v>80475</v>
      </c>
      <c r="P265" s="46">
        <f t="shared" ca="1" si="13"/>
        <v>7.4596774193479306E-4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input_468100!A$2</f>
        <v>468100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IFERROR(VLOOKUP(B266,input_468100!L:R,7,FALSE),VLOOKUP(tables_468100!C266,input_468100!A:H,8,FALSE))</f>
        <v>93000</v>
      </c>
      <c r="P266" s="46">
        <f t="shared" ca="1" si="13"/>
        <v>8.6206896551644307E-4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input_468100!A$2</f>
        <v>468100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IFERROR(VLOOKUP(B267,input_468100!L:R,7,FALSE),VLOOKUP(tables_468100!C267,input_468100!A:H,8,FALSE))</f>
        <v>93000</v>
      </c>
      <c r="P267" s="46">
        <f t="shared" ca="1" si="13"/>
        <v>8.6206896551644307E-4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input_468100!A$2</f>
        <v>468100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IFERROR(VLOOKUP(B268,input_468100!L:R,7,FALSE),VLOOKUP(tables_468100!C268,input_468100!A:H,8,FALSE))</f>
        <v>93000</v>
      </c>
      <c r="P268" s="46">
        <f t="shared" ca="1" si="13"/>
        <v>8.6206896551644307E-4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input_468100!A$2</f>
        <v>468100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IFERROR(VLOOKUP(B269,input_468100!L:R,7,FALSE),VLOOKUP(tables_468100!C269,input_468100!A:H,8,FALSE))</f>
        <v>93000</v>
      </c>
      <c r="P269" s="46">
        <f t="shared" ca="1" si="13"/>
        <v>8.6206896551644307E-4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input_468100!A$2</f>
        <v>468100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IFERROR(VLOOKUP(B270,input_468100!L:R,7,FALSE),VLOOKUP(tables_468100!C270,input_468100!A:H,8,FALSE))</f>
        <v>964122.05882000003</v>
      </c>
      <c r="P270" s="46">
        <f t="shared" ca="1" si="13"/>
        <v>8.9369860847154925E-3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input_468100!A$2</f>
        <v>468100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IFERROR(VLOOKUP(B271,input_468100!L:R,7,FALSE),VLOOKUP(tables_468100!C271,input_468100!A:H,8,FALSE))</f>
        <v>80475</v>
      </c>
      <c r="P271" s="46">
        <f t="shared" ca="1" si="13"/>
        <v>7.4596774193479306E-4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input_468100!A$2</f>
        <v>468100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IFERROR(VLOOKUP(B272,input_468100!L:R,7,FALSE),VLOOKUP(tables_468100!C272,input_468100!A:H,8,FALSE))</f>
        <v>964122.05882000003</v>
      </c>
      <c r="P272" s="46">
        <f t="shared" ca="1" si="13"/>
        <v>8.9369860847154925E-3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input_468100!A$2</f>
        <v>468100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IFERROR(VLOOKUP(B273,input_468100!L:R,7,FALSE),VLOOKUP(tables_468100!C273,input_468100!A:H,8,FALSE))</f>
        <v>80475</v>
      </c>
      <c r="P273" s="46">
        <f t="shared" ca="1" si="13"/>
        <v>7.4596774193479306E-4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input_468100!A$2</f>
        <v>468100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IFERROR(VLOOKUP(B274,input_468100!L:R,7,FALSE),VLOOKUP(tables_468100!C274,input_468100!A:H,8,FALSE))</f>
        <v>165739.28571</v>
      </c>
      <c r="P274" s="46">
        <f t="shared" ca="1" si="13"/>
        <v>1.5363300492199344E-3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input_468100!A$2</f>
        <v>468100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IFERROR(VLOOKUP(B275,input_468100!L:R,7,FALSE),VLOOKUP(tables_468100!C275,input_468100!A:H,8,FALSE))</f>
        <v>6975</v>
      </c>
      <c r="P275" s="46">
        <f t="shared" ca="1" si="13"/>
        <v>6.465517241373323E-5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input_468100!A$2</f>
        <v>468100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IFERROR(VLOOKUP(B276,input_468100!L:R,7,FALSE),VLOOKUP(tables_468100!C276,input_468100!A:H,8,FALSE))</f>
        <v>165739.28571</v>
      </c>
      <c r="P276" s="46">
        <f t="shared" ca="1" si="13"/>
        <v>1.5363300492199344E-3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input_468100!A$2</f>
        <v>468100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IFERROR(VLOOKUP(B277,input_468100!L:R,7,FALSE),VLOOKUP(tables_468100!C277,input_468100!A:H,8,FALSE))</f>
        <v>6975</v>
      </c>
      <c r="P277" s="46">
        <f t="shared" ca="1" si="13"/>
        <v>6.465517241373323E-5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input_468100!A$2</f>
        <v>468100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IFERROR(VLOOKUP(B278,input_468100!L:R,7,FALSE),VLOOKUP(tables_468100!C278,input_468100!A:H,8,FALSE))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input_468100!A$2</f>
        <v>468100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IFERROR(VLOOKUP(B279,input_468100!L:R,7,FALSE),VLOOKUP(tables_468100!C279,input_468100!A:H,8,FALSE))</f>
        <v>1016205.09616</v>
      </c>
      <c r="P279" s="46">
        <f t="shared" ca="1" si="13"/>
        <v>9.4197728602063314E-3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input_468100!A$2</f>
        <v>468100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IFERROR(VLOOKUP(B280,input_468100!L:R,7,FALSE),VLOOKUP(tables_468100!C280,input_468100!A:H,8,FALSE))</f>
        <v>4929.5192299999999</v>
      </c>
      <c r="P280" s="46">
        <f t="shared" ca="1" si="13"/>
        <v>4.5694468205371107E-5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input_468100!A$2</f>
        <v>468100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IFERROR(VLOOKUP(B281,input_468100!L:R,7,FALSE),VLOOKUP(tables_468100!C281,input_468100!A:H,8,FALSE))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input_468100!A$2</f>
        <v>468100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IFERROR(VLOOKUP(B282,input_468100!L:R,7,FALSE),VLOOKUP(tables_468100!C282,input_468100!A:H,8,FALSE))</f>
        <v>1016205.09616</v>
      </c>
      <c r="P282" s="46">
        <f t="shared" ca="1" si="13"/>
        <v>9.4197728602063314E-3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input_468100!A$2</f>
        <v>468100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IFERROR(VLOOKUP(B283,input_468100!L:R,7,FALSE),VLOOKUP(tables_468100!C283,input_468100!A:H,8,FALSE))</f>
        <v>4929.5192299999999</v>
      </c>
      <c r="P283" s="46">
        <f t="shared" ca="1" si="13"/>
        <v>4.5694468205371107E-5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input_468100!A$2</f>
        <v>468100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IFERROR(VLOOKUP(B284,input_468100!L:R,7,FALSE),VLOOKUP(tables_468100!C284,input_468100!A:H,8,FALSE))</f>
        <v>93000</v>
      </c>
      <c r="P284" s="46">
        <f t="shared" ca="1" si="13"/>
        <v>8.6206896551644307E-4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input_468100!A$2</f>
        <v>468100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IFERROR(VLOOKUP(B285,input_468100!L:R,7,FALSE),VLOOKUP(tables_468100!C285,input_468100!A:H,8,FALSE))</f>
        <v>93000</v>
      </c>
      <c r="P285" s="46">
        <f t="shared" ca="1" si="13"/>
        <v>8.6206896551644307E-4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input_468100!A$2</f>
        <v>468100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IFERROR(VLOOKUP(B286,input_468100!L:R,7,FALSE),VLOOKUP(tables_468100!C286,input_468100!A:H,8,FALSE))</f>
        <v>964122.05882000003</v>
      </c>
      <c r="P286" s="46">
        <f t="shared" ca="1" si="13"/>
        <v>8.9369860847154925E-3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input_468100!A$2</f>
        <v>468100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IFERROR(VLOOKUP(B287,input_468100!L:R,7,FALSE),VLOOKUP(tables_468100!C287,input_468100!A:H,8,FALSE))</f>
        <v>80475</v>
      </c>
      <c r="P287" s="46">
        <f t="shared" ca="1" si="13"/>
        <v>7.4596774193479306E-4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input_468100!A$2</f>
        <v>468100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IFERROR(VLOOKUP(B288,input_468100!L:R,7,FALSE),VLOOKUP(tables_468100!C288,input_468100!A:H,8,FALSE))</f>
        <v>964122.05882000003</v>
      </c>
      <c r="P288" s="46">
        <f t="shared" ca="1" si="13"/>
        <v>8.9369860847154925E-3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input_468100!A$2</f>
        <v>468100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IFERROR(VLOOKUP(B289,input_468100!L:R,7,FALSE),VLOOKUP(tables_468100!C289,input_468100!A:H,8,FALSE))</f>
        <v>80475</v>
      </c>
      <c r="P289" s="46">
        <f t="shared" ca="1" si="13"/>
        <v>7.4596774193479306E-4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input_468100!A$2</f>
        <v>468100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IFERROR(VLOOKUP(B290,input_468100!L:R,7,FALSE),VLOOKUP(tables_468100!C290,input_468100!A:H,8,FALSE))</f>
        <v>964122.05882000003</v>
      </c>
      <c r="P290" s="46">
        <f t="shared" ca="1" si="13"/>
        <v>8.9369860847154925E-3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input_468100!A$2</f>
        <v>468100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IFERROR(VLOOKUP(B291,input_468100!L:R,7,FALSE),VLOOKUP(tables_468100!C291,input_468100!A:H,8,FALSE))</f>
        <v>80475</v>
      </c>
      <c r="P291" s="46">
        <f t="shared" ca="1" si="13"/>
        <v>7.4596774193479306E-4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input_468100!A$2</f>
        <v>468100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IFERROR(VLOOKUP(B292,input_468100!L:R,7,FALSE),VLOOKUP(tables_468100!C292,input_468100!A:H,8,FALSE))</f>
        <v>964122.05882000003</v>
      </c>
      <c r="P292" s="46">
        <f t="shared" ca="1" si="13"/>
        <v>8.9369860847154925E-3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input_468100!A$2</f>
        <v>468100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IFERROR(VLOOKUP(B293,input_468100!L:R,7,FALSE),VLOOKUP(tables_468100!C293,input_468100!A:H,8,FALSE))</f>
        <v>80475</v>
      </c>
      <c r="P293" s="46">
        <f t="shared" ca="1" si="13"/>
        <v>7.4596774193479306E-4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input_468100!A$2</f>
        <v>468100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IFERROR(VLOOKUP(B294,input_468100!L:R,7,FALSE),VLOOKUP(tables_468100!C294,input_468100!A:H,8,FALSE))</f>
        <v>93000</v>
      </c>
      <c r="P294" s="46">
        <f t="shared" ca="1" si="13"/>
        <v>8.6206896551644307E-4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input_468100!A$2</f>
        <v>468100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IFERROR(VLOOKUP(B295,input_468100!L:R,7,FALSE),VLOOKUP(tables_468100!C295,input_468100!A:H,8,FALSE))</f>
        <v>93000</v>
      </c>
      <c r="P295" s="46">
        <f t="shared" ref="P295:P299" ca="1" si="20">O295/SUM(O:O)</f>
        <v>8.6206896551644307E-4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input_468100!A$2</f>
        <v>468100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IFERROR(VLOOKUP(B296,input_468100!L:R,7,FALSE),VLOOKUP(tables_468100!C296,input_468100!A:H,8,FALSE))</f>
        <v>93000</v>
      </c>
      <c r="P296" s="46">
        <f t="shared" ca="1" si="20"/>
        <v>8.6206896551644307E-4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input_468100!A$2</f>
        <v>468100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IFERROR(VLOOKUP(B297,input_468100!L:R,7,FALSE),VLOOKUP(tables_468100!C297,input_468100!A:H,8,FALSE))</f>
        <v>964122.05882000003</v>
      </c>
      <c r="P297" s="46">
        <f t="shared" ca="1" si="20"/>
        <v>8.9369860847154925E-3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input_468100!A$2</f>
        <v>468100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IFERROR(VLOOKUP(B298,input_468100!L:R,7,FALSE),VLOOKUP(tables_468100!C298,input_468100!A:H,8,FALSE))</f>
        <v>80475</v>
      </c>
      <c r="P298" s="46">
        <f t="shared" ca="1" si="20"/>
        <v>7.4596774193479306E-4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input_468100!A$2</f>
        <v>468100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IFERROR(VLOOKUP(B299,input_468100!L:R,7,FALSE),VLOOKUP(tables_468100!C299,input_468100!A:H,8,FALSE))</f>
        <v>93000</v>
      </c>
      <c r="P299" s="46">
        <f t="shared" ca="1" si="20"/>
        <v>8.6206896551644307E-4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input_468100!A$2</f>
        <v>468100</v>
      </c>
      <c r="B300" s="5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IFERROR(VLOOKUP(B300,input_468100!L:R,7,FALSE),VLOOKUP(tables_468100!C300,input_468100!A:H,8,FALSE))</f>
        <v>93000</v>
      </c>
      <c r="P300" s="46">
        <f t="shared" ref="P300:P304" ca="1" si="22">O300/SUM(O:O)</f>
        <v>8.6206896551644307E-4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input_468100!A$2</f>
        <v>468100</v>
      </c>
      <c r="B301" s="5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IFERROR(VLOOKUP(B301,input_468100!L:R,7,FALSE),VLOOKUP(tables_468100!C301,input_468100!A:H,8,FALSE))</f>
        <v>93000</v>
      </c>
      <c r="P301" s="46">
        <f t="shared" ca="1" si="22"/>
        <v>8.6206896551644307E-4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input_468100!A$2</f>
        <v>468100</v>
      </c>
      <c r="B302" s="5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IFERROR(VLOOKUP(B302,input_468100!L:R,7,FALSE),VLOOKUP(tables_468100!C302,input_468100!A:H,8,FALSE))</f>
        <v>93000</v>
      </c>
      <c r="P302" s="46">
        <f t="shared" ca="1" si="22"/>
        <v>8.6206896551644307E-4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input_468100!A$2</f>
        <v>468100</v>
      </c>
      <c r="B303" s="5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IFERROR(VLOOKUP(B303,input_468100!L:R,7,FALSE),VLOOKUP(tables_468100!C303,input_468100!A:H,8,FALSE))</f>
        <v>964122.05882000003</v>
      </c>
      <c r="P303" s="46">
        <f t="shared" ca="1" si="22"/>
        <v>8.9369860847154925E-3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input_468100!A$2</f>
        <v>468100</v>
      </c>
      <c r="B304" s="5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IFERROR(VLOOKUP(B304,input_468100!L:R,7,FALSE),VLOOKUP(tables_468100!C304,input_468100!A:H,8,FALSE))</f>
        <v>80475</v>
      </c>
      <c r="P304" s="46">
        <f t="shared" ca="1" si="22"/>
        <v>7.4596774193479306E-4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input_468100!A$2</f>
        <v>468100</v>
      </c>
      <c r="B305" s="5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IFERROR(VLOOKUP(B305,input_468100!L:R,7,FALSE),VLOOKUP(tables_468100!C305,input_468100!A:H,8,FALSE))</f>
        <v>93000</v>
      </c>
      <c r="P305" s="46">
        <f t="shared" ref="P305:P308" ca="1" si="24">O305/SUM(O:O)</f>
        <v>8.6206896551644307E-4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input_468100!A$2</f>
        <v>468100</v>
      </c>
      <c r="B306" s="5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IFERROR(VLOOKUP(B306,input_468100!L:R,7,FALSE),VLOOKUP(tables_468100!C306,input_468100!A:H,8,FALSE))</f>
        <v>964122.05882000003</v>
      </c>
      <c r="P306" s="46">
        <f t="shared" ca="1" si="24"/>
        <v>8.9369860847154925E-3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input_468100!A$2</f>
        <v>468100</v>
      </c>
      <c r="B307" s="5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IFERROR(VLOOKUP(B307,input_468100!L:R,7,FALSE),VLOOKUP(tables_468100!C307,input_468100!A:H,8,FALSE))</f>
        <v>80475</v>
      </c>
      <c r="P307" s="46">
        <f t="shared" ca="1" si="24"/>
        <v>7.4596774193479306E-4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input_468100!A$2</f>
        <v>468100</v>
      </c>
      <c r="B308" s="5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IFERROR(VLOOKUP(B308,input_468100!L:R,7,FALSE),VLOOKUP(tables_468100!C308,input_468100!A:H,8,FALSE))</f>
        <v>93000</v>
      </c>
      <c r="P308" s="46">
        <f t="shared" ca="1" si="24"/>
        <v>8.6206896551644307E-4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input_468100!A$2</f>
        <v>468100</v>
      </c>
      <c r="B309" s="5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IFERROR(VLOOKUP(B309,input_468100!L:R,7,FALSE),VLOOKUP(tables_468100!C309,input_468100!A:H,8,FALSE))</f>
        <v>93000</v>
      </c>
      <c r="P309" s="46">
        <f t="shared" ref="P309" ca="1" si="26">O309/SUM(O:O)</f>
        <v>8.6206896551644307E-4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input_468100!A$2</f>
        <v>468100</v>
      </c>
      <c r="B310" s="5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IFERROR(VLOOKUP(B310,input_468100!L:R,7,FALSE),VLOOKUP(tables_468100!C310,input_468100!A:H,8,FALSE))</f>
        <v>93000</v>
      </c>
      <c r="P310" s="46">
        <f t="shared" ref="P310:P314" ca="1" si="28">O310/SUM(O:O)</f>
        <v>8.6206896551644307E-4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input_468100!A$2</f>
        <v>468100</v>
      </c>
      <c r="B311" s="5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IFERROR(VLOOKUP(B311,input_468100!L:R,7,FALSE),VLOOKUP(tables_468100!C311,input_468100!A:H,8,FALSE))</f>
        <v>964122.05882000003</v>
      </c>
      <c r="P311" s="46">
        <f t="shared" ca="1" si="28"/>
        <v>8.9369860847154925E-3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input_468100!A$2</f>
        <v>468100</v>
      </c>
      <c r="B312" s="5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IFERROR(VLOOKUP(B312,input_468100!L:R,7,FALSE),VLOOKUP(tables_468100!C312,input_468100!A:H,8,FALSE))</f>
        <v>80475</v>
      </c>
      <c r="P312" s="46">
        <f t="shared" ca="1" si="28"/>
        <v>7.4596774193479306E-4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input_468100!A$2</f>
        <v>468100</v>
      </c>
      <c r="B313" s="5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IFERROR(VLOOKUP(B313,input_468100!L:R,7,FALSE),VLOOKUP(tables_468100!C313,input_468100!A:H,8,FALSE))</f>
        <v>93000</v>
      </c>
      <c r="P313" s="46">
        <f t="shared" ca="1" si="28"/>
        <v>8.6206896551644307E-4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input_468100!A$2</f>
        <v>468100</v>
      </c>
      <c r="B314" s="5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IFERROR(VLOOKUP(B314,input_468100!L:R,7,FALSE),VLOOKUP(tables_468100!C314,input_468100!A:H,8,FALSE))</f>
        <v>93000</v>
      </c>
      <c r="P314" s="46">
        <f t="shared" ca="1" si="28"/>
        <v>8.6206896551644307E-4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input_468100!A$2</f>
        <v>468100</v>
      </c>
      <c r="B315" s="5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IFERROR(VLOOKUP(B315,input_468100!L:R,7,FALSE),VLOOKUP(tables_468100!C315,input_468100!A:H,8,FALSE))</f>
        <v>93000</v>
      </c>
      <c r="P315" s="46">
        <f t="shared" ref="P315:P319" ca="1" si="30">O315/SUM(O:O)</f>
        <v>8.6206896551644307E-4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input_468100!A$2</f>
        <v>468100</v>
      </c>
      <c r="B316" s="5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IFERROR(VLOOKUP(B316,input_468100!L:R,7,FALSE),VLOOKUP(tables_468100!C316,input_468100!A:H,8,FALSE))</f>
        <v>93000</v>
      </c>
      <c r="P316" s="46">
        <f t="shared" ca="1" si="30"/>
        <v>8.6206896551644307E-4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input_468100!A$2</f>
        <v>468100</v>
      </c>
      <c r="B317" s="5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IFERROR(VLOOKUP(B317,input_468100!L:R,7,FALSE),VLOOKUP(tables_468100!C317,input_468100!A:H,8,FALSE))</f>
        <v>93000</v>
      </c>
      <c r="P317" s="46">
        <f t="shared" ca="1" si="30"/>
        <v>8.6206896551644307E-4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input_468100!A$2</f>
        <v>468100</v>
      </c>
      <c r="B318" s="5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IFERROR(VLOOKUP(B318,input_468100!L:R,7,FALSE),VLOOKUP(tables_468100!C318,input_468100!A:H,8,FALSE))</f>
        <v>964122.05882000003</v>
      </c>
      <c r="P318" s="46">
        <f t="shared" ca="1" si="30"/>
        <v>8.9369860847154925E-3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input_468100!A$2</f>
        <v>468100</v>
      </c>
      <c r="B319" s="5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IFERROR(VLOOKUP(B319,input_468100!L:R,7,FALSE),VLOOKUP(tables_468100!C319,input_468100!A:H,8,FALSE))</f>
        <v>80475</v>
      </c>
      <c r="P319" s="46">
        <f t="shared" ca="1" si="30"/>
        <v>7.4596774193479306E-4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input_468100!A$2</f>
        <v>468100</v>
      </c>
      <c r="B320" s="5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IFERROR(VLOOKUP(B320,input_468100!L:R,7,FALSE),VLOOKUP(tables_468100!C320,input_468100!A:H,8,FALSE))</f>
        <v>93000</v>
      </c>
      <c r="P320" s="46">
        <f t="shared" ref="P320:P324" ca="1" si="32">O320/SUM(O:O)</f>
        <v>8.6206896551644307E-4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input_468100!A$2</f>
        <v>468100</v>
      </c>
      <c r="B321" s="5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IFERROR(VLOOKUP(B321,input_468100!L:R,7,FALSE),VLOOKUP(tables_468100!C321,input_468100!A:H,8,FALSE))</f>
        <v>93000</v>
      </c>
      <c r="P321" s="46">
        <f t="shared" ca="1" si="32"/>
        <v>8.6206896551644307E-4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input_468100!A$2</f>
        <v>468100</v>
      </c>
      <c r="B322" s="5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IFERROR(VLOOKUP(B322,input_468100!L:R,7,FALSE),VLOOKUP(tables_468100!C322,input_468100!A:H,8,FALSE))</f>
        <v>93000</v>
      </c>
      <c r="P322" s="46">
        <f t="shared" ca="1" si="32"/>
        <v>8.6206896551644307E-4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input_468100!A$2</f>
        <v>468100</v>
      </c>
      <c r="B323" s="5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IFERROR(VLOOKUP(B323,input_468100!L:R,7,FALSE),VLOOKUP(tables_468100!C323,input_468100!A:H,8,FALSE))</f>
        <v>93000</v>
      </c>
      <c r="P323" s="46">
        <f t="shared" ca="1" si="32"/>
        <v>8.6206896551644307E-4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input_468100!A$2</f>
        <v>468100</v>
      </c>
      <c r="B324" s="2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IFERROR(VLOOKUP(B324,input_468100!L:R,7,FALSE),VLOOKUP(tables_468100!C324,input_468100!A:H,8,FALSE))</f>
        <v>964122.05882000003</v>
      </c>
      <c r="P324" s="46">
        <f t="shared" ca="1" si="32"/>
        <v>8.9369860847154925E-3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input_468100!A$2</f>
        <v>468100</v>
      </c>
      <c r="B325" s="2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IFERROR(VLOOKUP(B325,input_468100!L:R,7,FALSE),VLOOKUP(tables_468100!C325,input_468100!A:H,8,FALSE))</f>
        <v>80475</v>
      </c>
      <c r="P325" s="46">
        <f t="shared" ref="P325:P330" ca="1" si="35">O325/SUM(O:O)</f>
        <v>7.4596774193479306E-4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input_468100!A$2</f>
        <v>468100</v>
      </c>
      <c r="B326" s="2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IFERROR(VLOOKUP(B326,input_468100!L:R,7,FALSE),VLOOKUP(tables_468100!C326,input_468100!A:H,8,FALSE))</f>
        <v>964122.05882000003</v>
      </c>
      <c r="P326" s="46">
        <f t="shared" ca="1" si="35"/>
        <v>8.9369860847154925E-3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input_468100!A$2</f>
        <v>468100</v>
      </c>
      <c r="B327" s="2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IFERROR(VLOOKUP(B327,input_468100!L:R,7,FALSE),VLOOKUP(tables_468100!C327,input_468100!A:H,8,FALSE))</f>
        <v>80475</v>
      </c>
      <c r="P327" s="46">
        <f t="shared" ca="1" si="35"/>
        <v>7.4596774193479306E-4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input_468100!A$2</f>
        <v>468100</v>
      </c>
      <c r="B328" s="2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IFERROR(VLOOKUP(B328,input_468100!L:R,7,FALSE),VLOOKUP(tables_468100!C328,input_468100!A:H,8,FALSE))</f>
        <v>93000</v>
      </c>
      <c r="P328" s="46">
        <f t="shared" ca="1" si="35"/>
        <v>8.6206896551644307E-4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input_468100!A$2</f>
        <v>468100</v>
      </c>
      <c r="B329" s="2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IFERROR(VLOOKUP(B329,input_468100!L:R,7,FALSE),VLOOKUP(tables_468100!C329,input_468100!A:H,8,FALSE))</f>
        <v>93000</v>
      </c>
      <c r="P329" s="46">
        <f t="shared" ca="1" si="35"/>
        <v>8.6206896551644307E-4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input_468100!A$2</f>
        <v>468100</v>
      </c>
      <c r="B330" s="2">
        <v>1157</v>
      </c>
      <c r="C330" s="7" t="str">
        <f t="shared" si="34"/>
        <v>PremiumSS5R5only</v>
      </c>
      <c r="D330" s="97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IFERROR(VLOOKUP(B330,input_468100!L:R,7,FALSE),VLOOKUP(tables_468100!C330,input_468100!A:H,8,FALSE))</f>
        <v>93000</v>
      </c>
      <c r="P330" s="46">
        <f t="shared" ca="1" si="35"/>
        <v>8.6206896551644307E-4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input_468100!A$2</f>
        <v>468100</v>
      </c>
      <c r="B331" s="60">
        <v>1214</v>
      </c>
      <c r="C331" s="7" t="str">
        <f t="shared" ref="C331:C335" si="36">D331&amp;J331&amp;E331&amp;F331&amp;G331</f>
        <v>PremiumSS5R5only</v>
      </c>
      <c r="D331" s="97" t="str">
        <f t="shared" ref="D331:D335" si="3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IFERROR(VLOOKUP(B331,input_468100!L:R,7,FALSE),VLOOKUP(tables_468100!C331,input_468100!A:H,8,FALSE))</f>
        <v>93000</v>
      </c>
      <c r="P331" s="46">
        <f t="shared" ref="P331:P335" ca="1" si="38">O331/SUM(O:O)</f>
        <v>8.6206896551644307E-4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input_468100!A$2</f>
        <v>468100</v>
      </c>
      <c r="B332" s="60">
        <v>1212</v>
      </c>
      <c r="C332" s="7" t="str">
        <f t="shared" si="36"/>
        <v>PremiumSS5R5only</v>
      </c>
      <c r="D332" s="97" t="str">
        <f t="shared" si="3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IFERROR(VLOOKUP(B332,input_468100!L:R,7,FALSE),VLOOKUP(tables_468100!C332,input_468100!A:H,8,FALSE))</f>
        <v>93000</v>
      </c>
      <c r="P332" s="46">
        <f t="shared" ca="1" si="38"/>
        <v>8.6206896551644307E-4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input_468100!A$2</f>
        <v>468100</v>
      </c>
      <c r="B333" s="60">
        <v>1208</v>
      </c>
      <c r="C333" s="7" t="str">
        <f t="shared" si="36"/>
        <v>PremiumSS5R5only</v>
      </c>
      <c r="D333" s="97" t="str">
        <f t="shared" si="3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IFERROR(VLOOKUP(B333,input_468100!L:R,7,FALSE),VLOOKUP(tables_468100!C333,input_468100!A:H,8,FALSE))</f>
        <v>93000</v>
      </c>
      <c r="P333" s="46">
        <f t="shared" ca="1" si="38"/>
        <v>8.6206896551644307E-4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input_468100!A$2</f>
        <v>468100</v>
      </c>
      <c r="B334" s="93">
        <v>1210</v>
      </c>
      <c r="C334" s="7" t="str">
        <f t="shared" si="36"/>
        <v>Premium4R3less</v>
      </c>
      <c r="D334" s="97" t="str">
        <f t="shared" si="3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IFERROR(VLOOKUP(B334,input_468100!L:R,7,FALSE),VLOOKUP(tables_468100!C334,input_468100!A:H,8,FALSE))</f>
        <v>964122.05882000003</v>
      </c>
      <c r="P334" s="46">
        <f t="shared" ca="1" si="38"/>
        <v>8.9369860847154925E-3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input_468100!A$2</f>
        <v>468100</v>
      </c>
      <c r="B335" s="60">
        <v>1211</v>
      </c>
      <c r="C335" s="7" t="str">
        <f t="shared" si="36"/>
        <v>Premium5R3less</v>
      </c>
      <c r="D335" s="97" t="str">
        <f t="shared" si="3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IFERROR(VLOOKUP(B335,input_468100!L:R,7,FALSE),VLOOKUP(tables_468100!C335,input_468100!A:H,8,FALSE))</f>
        <v>80475</v>
      </c>
      <c r="P335" s="46">
        <f t="shared" ca="1" si="38"/>
        <v>7.4596774193479306E-4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input_468100!A$2</f>
        <v>468100</v>
      </c>
      <c r="B336" s="2">
        <v>1224</v>
      </c>
      <c r="C336" s="7" t="str">
        <f t="shared" ref="C336:C340" si="39">D336&amp;J336&amp;E336&amp;F336&amp;G336</f>
        <v>Premium4R3less</v>
      </c>
      <c r="D336" s="97" t="str">
        <f t="shared" ref="D336:D340" si="4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IFERROR(VLOOKUP(B336,input_468100!L:R,7,FALSE),VLOOKUP(tables_468100!C336,input_468100!A:H,8,FALSE))</f>
        <v>964122.05882000003</v>
      </c>
      <c r="P336" s="46">
        <f t="shared" ref="P336:P340" ca="1" si="41">O336/SUM(O:O)</f>
        <v>8.9369860847154925E-3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input_468100!A$2</f>
        <v>468100</v>
      </c>
      <c r="B337" s="2">
        <v>1225</v>
      </c>
      <c r="C337" s="7" t="str">
        <f t="shared" si="39"/>
        <v>Premium5R3less</v>
      </c>
      <c r="D337" s="97" t="str">
        <f t="shared" si="4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IFERROR(VLOOKUP(B337,input_468100!L:R,7,FALSE),VLOOKUP(tables_468100!C337,input_468100!A:H,8,FALSE))</f>
        <v>80475</v>
      </c>
      <c r="P337" s="46">
        <f t="shared" ca="1" si="41"/>
        <v>7.4596774193479306E-4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input_468100!A$2</f>
        <v>468100</v>
      </c>
      <c r="B338" s="2">
        <v>1226</v>
      </c>
      <c r="C338" s="7" t="str">
        <f t="shared" si="39"/>
        <v>PremiumSS5R5only</v>
      </c>
      <c r="D338" s="97" t="str">
        <f t="shared" si="4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IFERROR(VLOOKUP(B338,input_468100!L:R,7,FALSE),VLOOKUP(tables_468100!C338,input_468100!A:H,8,FALSE))</f>
        <v>93000</v>
      </c>
      <c r="P338" s="46">
        <f t="shared" ca="1" si="41"/>
        <v>8.6206896551644307E-4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input_468100!A$2</f>
        <v>468100</v>
      </c>
      <c r="B339" s="2">
        <v>1228</v>
      </c>
      <c r="C339" s="7" t="str">
        <f t="shared" si="39"/>
        <v>PremiumSS5R5only</v>
      </c>
      <c r="D339" s="97" t="str">
        <f t="shared" si="4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IFERROR(VLOOKUP(B339,input_468100!L:R,7,FALSE),VLOOKUP(tables_468100!C339,input_468100!A:H,8,FALSE))</f>
        <v>93000</v>
      </c>
      <c r="P339" s="46">
        <f t="shared" ca="1" si="41"/>
        <v>8.6206896551644307E-4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input_468100!A$2</f>
        <v>468100</v>
      </c>
      <c r="B340" s="2">
        <v>1230</v>
      </c>
      <c r="C340" s="7" t="str">
        <f t="shared" si="39"/>
        <v>PremiumSS5R5only</v>
      </c>
      <c r="D340" s="97" t="str">
        <f t="shared" si="4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IFERROR(VLOOKUP(B340,input_468100!L:R,7,FALSE),VLOOKUP(tables_468100!C340,input_468100!A:H,8,FALSE))</f>
        <v>93000</v>
      </c>
      <c r="P340" s="46">
        <f t="shared" ca="1" si="41"/>
        <v>8.6206896551644307E-4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input_468100!A$2</f>
        <v>468100</v>
      </c>
      <c r="B341" s="60">
        <v>953</v>
      </c>
      <c r="C341" s="7" t="str">
        <f t="shared" ref="C341:C346" si="42">D341&amp;J341&amp;E341&amp;F341&amp;G341</f>
        <v>PremiumSSS5R3less</v>
      </c>
      <c r="D341" s="97" t="str">
        <f t="shared" ref="D341:D346" si="43">IF(OR(I341="PremiumSS",I341="PremiumSSw"),"PremiumSS",IF(I341="PremiumSSS",I341,IF(I341="PremiumW",IF(J341=5,"premium",I341),"Premium")))</f>
        <v>PremiumSSS</v>
      </c>
      <c r="E341" s="7" t="str">
        <f>IF(COUNTIF('R6追加前'!A:A,B341)=0,IF(OR(I341="PremiumSS",I341="PremiumSSw"),"R5only","R3less"),"")</f>
        <v>R3less</v>
      </c>
      <c r="F341" s="7" t="str">
        <f>IF(COUNTIF('R6開放'!A:A,B341)&gt;0,"R6release","")</f>
        <v/>
      </c>
      <c r="G341" s="7"/>
      <c r="H341" s="7" t="str">
        <f>VLOOKUP(B341,[1]characters!$A:$C,3,FALSE)</f>
        <v>ハイゼンベルク</v>
      </c>
      <c r="I341" s="7" t="str">
        <f>VLOOKUP(B341,[1]characters!$A:$J,10,FALSE)</f>
        <v>PremiumSSS</v>
      </c>
      <c r="J341" s="7">
        <f>VLOOKUP(B341,[1]characters!$A:$I,9,FALSE)</f>
        <v>5</v>
      </c>
      <c r="K341" s="7" t="str">
        <f>VLOOKUP(B341,[1]characters!$A:$H,8,FALSE)</f>
        <v>green</v>
      </c>
      <c r="L341" s="7" t="str">
        <f>VLOOKUP(B341,[1]characters!$A:$K,11,FALSE)</f>
        <v>attack</v>
      </c>
      <c r="M341" s="7" t="str">
        <f>VLOOKUP(B341,[1]characters!$A:$M,13,FALSE)</f>
        <v>academia</v>
      </c>
      <c r="N341" s="7" t="str">
        <f>VLOOKUP(B341,[1]characters!$A:$G,7,FALSE)</f>
        <v>男性</v>
      </c>
      <c r="O341" s="45">
        <f>IFERROR(VLOOKUP(B341,input_468100!L:R,7,FALSE),VLOOKUP(tables_468100!C341,input_468100!A:H,8,FALSE))</f>
        <v>539400</v>
      </c>
      <c r="P341" s="46">
        <f t="shared" ref="P341:P346" ca="1" si="44">O341/SUM(O:O)</f>
        <v>4.9999999999953701E-3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input_468100!A$2</f>
        <v>468100</v>
      </c>
      <c r="B342" s="60">
        <v>619</v>
      </c>
      <c r="C342" s="7" t="str">
        <f t="shared" si="42"/>
        <v>PremiumSSS4R3less</v>
      </c>
      <c r="D342" s="97" t="str">
        <f t="shared" si="43"/>
        <v>PremiumSSS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メビウス</v>
      </c>
      <c r="I342" s="7" t="str">
        <f>VLOOKUP(B342,[1]characters!$A:$J,10,FALSE)</f>
        <v>PremiumSSS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balance</v>
      </c>
      <c r="M342" s="7" t="str">
        <f>VLOOKUP(B342,[1]characters!$A:$M,13,FALSE)</f>
        <v>human</v>
      </c>
      <c r="N342" s="7" t="str">
        <f>VLOOKUP(B342,[1]characters!$A:$G,7,FALSE)</f>
        <v>女性</v>
      </c>
      <c r="O342" s="45">
        <f>IFERROR(VLOOKUP(B342,input_468100!L:R,7,FALSE),VLOOKUP(tables_468100!C342,input_468100!A:H,8,FALSE))</f>
        <v>485459.99999999994</v>
      </c>
      <c r="P342" s="46">
        <f t="shared" ca="1" si="44"/>
        <v>4.4999999999958329E-3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input_468100!A$2</f>
        <v>468100</v>
      </c>
      <c r="B343" s="60">
        <v>620</v>
      </c>
      <c r="C343" s="7" t="str">
        <f t="shared" si="42"/>
        <v>PremiumSSS5R3less</v>
      </c>
      <c r="D343" s="97" t="str">
        <f t="shared" si="43"/>
        <v>PremiumSSS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奇跡の調和 メビウス</v>
      </c>
      <c r="I343" s="7" t="str">
        <f>VLOOKUP(B343,[1]characters!$A:$J,10,FALSE)</f>
        <v>PremiumSSS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balance</v>
      </c>
      <c r="M343" s="7" t="str">
        <f>VLOOKUP(B343,[1]characters!$A:$M,13,FALSE)</f>
        <v>human</v>
      </c>
      <c r="N343" s="7" t="str">
        <f>VLOOKUP(B343,[1]characters!$A:$G,7,FALSE)</f>
        <v>女性</v>
      </c>
      <c r="O343" s="45">
        <f>IFERROR(VLOOKUP(B343,input_468100!L:R,7,FALSE),VLOOKUP(tables_468100!C343,input_468100!A:H,8,FALSE))</f>
        <v>53940</v>
      </c>
      <c r="P343" s="46">
        <f t="shared" ca="1" si="44"/>
        <v>4.9999999999953695E-4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input_468100!A$2</f>
        <v>468100</v>
      </c>
      <c r="B344" s="93">
        <v>880</v>
      </c>
      <c r="C344" s="7" t="str">
        <f t="shared" si="42"/>
        <v>PremiumSSS5R3less</v>
      </c>
      <c r="D344" s="97" t="str">
        <f t="shared" si="43"/>
        <v>PremiumSSS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ハーシェル</v>
      </c>
      <c r="I344" s="7" t="str">
        <f>VLOOKUP(B344,[1]characters!$A:$J,10,FALSE)</f>
        <v>PremiumSSS</v>
      </c>
      <c r="J344" s="7">
        <f>VLOOKUP(B344,[1]characters!$A:$I,9,FALSE)</f>
        <v>5</v>
      </c>
      <c r="K344" s="7" t="str">
        <f>VLOOKUP(B344,[1]characters!$A:$H,8,FALSE)</f>
        <v>yellow</v>
      </c>
      <c r="L344" s="7" t="str">
        <f>VLOOKUP(B344,[1]characters!$A:$K,11,FALSE)</f>
        <v>heal</v>
      </c>
      <c r="M344" s="7" t="str">
        <f>VLOOKUP(B344,[1]characters!$A:$M,13,FALSE)</f>
        <v>academia</v>
      </c>
      <c r="N344" s="7" t="str">
        <f>VLOOKUP(B344,[1]characters!$A:$G,7,FALSE)</f>
        <v>男性</v>
      </c>
      <c r="O344" s="45">
        <f>IFERROR(VLOOKUP(B344,input_468100!L:R,7,FALSE),VLOOKUP(tables_468100!C344,input_468100!A:H,8,FALSE))</f>
        <v>539400</v>
      </c>
      <c r="P344" s="46">
        <f t="shared" ca="1" si="44"/>
        <v>4.9999999999953701E-3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input_468100!A$2</f>
        <v>468100</v>
      </c>
      <c r="B345" s="60">
        <v>623</v>
      </c>
      <c r="C345" s="7" t="str">
        <f t="shared" si="42"/>
        <v>PremiumSSS5R3less</v>
      </c>
      <c r="D345" s="97" t="str">
        <f t="shared" si="43"/>
        <v>PremiumSSS</v>
      </c>
      <c r="E345" s="7" t="str">
        <f>IF(COUNTIF('R6追加前'!A:A,B345)=0,IF(OR(I345="PremiumSS",I345="PremiumSSw"),"R5only","R3less"),"")</f>
        <v>R3less</v>
      </c>
      <c r="F345" s="7" t="str">
        <f>IF(COUNTIF('R6開放'!A:A,B345)&gt;0,"R6release","")</f>
        <v/>
      </c>
      <c r="G345" s="7"/>
      <c r="H345" s="7" t="str">
        <f>VLOOKUP(B345,[1]characters!$A:$C,3,FALSE)</f>
        <v>フェルマー</v>
      </c>
      <c r="I345" s="7" t="str">
        <f>VLOOKUP(B345,[1]characters!$A:$J,10,FALSE)</f>
        <v>PremiumSSS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academia</v>
      </c>
      <c r="N345" s="7" t="str">
        <f>VLOOKUP(B345,[1]characters!$A:$G,7,FALSE)</f>
        <v>女性</v>
      </c>
      <c r="O345" s="45">
        <f>IFERROR(VLOOKUP(B345,input_468100!L:R,7,FALSE),VLOOKUP(tables_468100!C345,input_468100!A:H,8,FALSE))</f>
        <v>539400</v>
      </c>
      <c r="P345" s="46">
        <f t="shared" ca="1" si="44"/>
        <v>4.9999999999953701E-3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input_468100!A$2</f>
        <v>468100</v>
      </c>
      <c r="B346" s="60">
        <v>972</v>
      </c>
      <c r="C346" s="7" t="str">
        <f t="shared" si="42"/>
        <v>PremiumSSS5R3less</v>
      </c>
      <c r="D346" s="97" t="str">
        <f t="shared" si="43"/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コーシー</v>
      </c>
      <c r="I346" s="7" t="str">
        <f>VLOOKUP(B346,[1]characters!$A:$J,10,FALSE)</f>
        <v>PremiumSSS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attack</v>
      </c>
      <c r="M346" s="7" t="str">
        <f>VLOOKUP(B346,[1]characters!$A:$M,13,FALSE)</f>
        <v>academia</v>
      </c>
      <c r="N346" s="7" t="str">
        <f>VLOOKUP(B346,[1]characters!$A:$G,7,FALSE)</f>
        <v>男性</v>
      </c>
      <c r="O346" s="45">
        <f>IFERROR(VLOOKUP(B346,input_468100!L:R,7,FALSE),VLOOKUP(tables_468100!C346,input_468100!A:H,8,FALSE))</f>
        <v>539400</v>
      </c>
      <c r="P346" s="46">
        <f t="shared" ca="1" si="44"/>
        <v>4.9999999999953701E-3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152"/>
  <sheetViews>
    <sheetView showGridLines="0" zoomScale="75" zoomScaleNormal="75" zoomScalePageLayoutView="75" workbookViewId="0">
      <pane ySplit="1" topLeftCell="A118" activePane="bottomLeft" state="frozen"/>
      <selection activeCell="D34" sqref="D34"/>
      <selection pane="bottomLeft" activeCell="O149" sqref="O14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468105</v>
      </c>
      <c r="B2" s="6">
        <v>168</v>
      </c>
      <c r="C2" s="7" t="str">
        <f t="shared" ref="C2:C65" si="0">D2&amp;J2&amp;E2&amp;F2&amp;G2</f>
        <v>Premium5R6release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f>IF(D2="Premium",3780,IF(D2="PremiumSSS",1659,395))</f>
        <v>3780</v>
      </c>
      <c r="P2" s="46">
        <f>O2/SUM(O:O)</f>
        <v>1.1392405063291139E-2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468105</v>
      </c>
      <c r="B3" s="6">
        <v>171</v>
      </c>
      <c r="C3" s="7" t="str">
        <f t="shared" si="0"/>
        <v>Premium5R6release</v>
      </c>
      <c r="D3" s="7" t="str">
        <f t="shared" ref="D3:D66" si="1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f t="shared" ref="O3:O66" si="2">IF(D3="Premium",3780,IF(D3="PremiumSSS",1659,395))</f>
        <v>3780</v>
      </c>
      <c r="P3" s="46">
        <f>O3/SUM(O:O)</f>
        <v>1.1392405063291139E-2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468105</v>
      </c>
      <c r="B4" s="6">
        <v>174</v>
      </c>
      <c r="C4" s="7" t="str">
        <f t="shared" si="0"/>
        <v>Premium5R6release</v>
      </c>
      <c r="D4" s="7" t="str">
        <f t="shared" si="1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f t="shared" si="2"/>
        <v>3780</v>
      </c>
      <c r="P4" s="46">
        <f>O4/SUM(O:O)</f>
        <v>1.1392405063291139E-2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>
        <v>468105</v>
      </c>
      <c r="B5" s="6">
        <v>177</v>
      </c>
      <c r="C5" s="7" t="str">
        <f t="shared" si="0"/>
        <v>Premium5</v>
      </c>
      <c r="D5" s="7" t="str">
        <f t="shared" si="1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黒魔の異端師 バフォメット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f t="shared" si="2"/>
        <v>3780</v>
      </c>
      <c r="P5" s="46">
        <f>O5/SUM(O:O)</f>
        <v>1.1392405063291139E-2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>
        <v>468105</v>
      </c>
      <c r="B6" s="6">
        <v>180</v>
      </c>
      <c r="C6" s="7" t="str">
        <f t="shared" si="0"/>
        <v>Premium5</v>
      </c>
      <c r="D6" s="7" t="str">
        <f t="shared" si="1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地獄の大門番 ケルベロス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animal</v>
      </c>
      <c r="N6" s="7" t="str">
        <f>VLOOKUP(B6,[1]characters!$A:$G,7,FALSE)</f>
        <v>女性</v>
      </c>
      <c r="O6" s="45">
        <f t="shared" si="2"/>
        <v>3780</v>
      </c>
      <c r="P6" s="46">
        <f>O6/SUM(O:O)</f>
        <v>1.1392405063291139E-2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>
        <v>468105</v>
      </c>
      <c r="B7" s="6">
        <v>183</v>
      </c>
      <c r="C7" s="7" t="str">
        <f t="shared" si="0"/>
        <v>Premium5</v>
      </c>
      <c r="D7" s="7" t="str">
        <f t="shared" si="1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鈍重な彷徨者 ベヒモス</v>
      </c>
      <c r="I7" s="7" t="str">
        <f>VLOOKUP(B7,[1]characters!$A:$J,10,FALSE)</f>
        <v>PremiumN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animal</v>
      </c>
      <c r="N7" s="7" t="str">
        <f>VLOOKUP(B7,[1]characters!$A:$G,7,FALSE)</f>
        <v>女性</v>
      </c>
      <c r="O7" s="45">
        <f t="shared" si="2"/>
        <v>3780</v>
      </c>
      <c r="P7" s="46">
        <f>O7/SUM(O:O)</f>
        <v>1.1392405063291139E-2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>
        <v>468105</v>
      </c>
      <c r="B8" s="6">
        <v>186</v>
      </c>
      <c r="C8" s="7" t="str">
        <f t="shared" si="0"/>
        <v>Premium5</v>
      </c>
      <c r="D8" s="7" t="str">
        <f t="shared" si="1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誇り高き多触姫・クラーケン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heal</v>
      </c>
      <c r="M8" s="7" t="str">
        <f>VLOOKUP(B8,[1]characters!$A:$M,13,FALSE)</f>
        <v>animal</v>
      </c>
      <c r="N8" s="7" t="str">
        <f>VLOOKUP(B8,[1]characters!$A:$G,7,FALSE)</f>
        <v>女性</v>
      </c>
      <c r="O8" s="45">
        <f t="shared" si="2"/>
        <v>3780</v>
      </c>
      <c r="P8" s="46">
        <f>O8/SUM(O:O)</f>
        <v>1.1392405063291139E-2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>
        <v>468105</v>
      </c>
      <c r="B9" s="6">
        <v>189</v>
      </c>
      <c r="C9" s="7" t="str">
        <f t="shared" si="0"/>
        <v>Premium5</v>
      </c>
      <c r="D9" s="7" t="str">
        <f t="shared" si="1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迅雷の王禽 ホルス</v>
      </c>
      <c r="I9" s="7" t="str">
        <f>VLOOKUP(B9,[1]characters!$A:$J,10,FALSE)</f>
        <v>PremiumN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animal</v>
      </c>
      <c r="N9" s="7" t="str">
        <f>VLOOKUP(B9,[1]characters!$A:$G,7,FALSE)</f>
        <v>女性</v>
      </c>
      <c r="O9" s="45">
        <f t="shared" si="2"/>
        <v>3780</v>
      </c>
      <c r="P9" s="46">
        <f>O9/SUM(O:O)</f>
        <v>1.1392405063291139E-2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>
        <v>468105</v>
      </c>
      <c r="B10" s="6">
        <v>192</v>
      </c>
      <c r="C10" s="7" t="str">
        <f t="shared" si="0"/>
        <v>Premium5</v>
      </c>
      <c r="D10" s="7" t="str">
        <f t="shared" si="1"/>
        <v>Premium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荘厳なる始祖帝 卑弥呼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t="shared" si="2"/>
        <v>3780</v>
      </c>
      <c r="P10" s="46">
        <f>O10/SUM(O:O)</f>
        <v>1.1392405063291139E-2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>
        <v>468105</v>
      </c>
      <c r="B11" s="6">
        <v>195</v>
      </c>
      <c r="C11" s="7" t="str">
        <f t="shared" si="0"/>
        <v>Premium5</v>
      </c>
      <c r="D11" s="7" t="str">
        <f t="shared" si="1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グランドハンター ロビンフッド</v>
      </c>
      <c r="I11" s="7" t="str">
        <f>VLOOKUP(B11,[1]characters!$A:$J,10,FALSE)</f>
        <v>PremiumN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t="shared" si="2"/>
        <v>3780</v>
      </c>
      <c r="P11" s="46">
        <f>O11/SUM(O:O)</f>
        <v>1.1392405063291139E-2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>
        <v>468105</v>
      </c>
      <c r="B12" s="8">
        <v>198</v>
      </c>
      <c r="C12" s="7" t="str">
        <f t="shared" si="0"/>
        <v>Premium5</v>
      </c>
      <c r="D12" s="7" t="str">
        <f t="shared" si="1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砕骨の剛腕 アキレス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t="shared" si="2"/>
        <v>3780</v>
      </c>
      <c r="P12" s="46">
        <f>O12/SUM(O:O)</f>
        <v>1.1392405063291139E-2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>
        <v>468105</v>
      </c>
      <c r="B13" s="8">
        <v>201</v>
      </c>
      <c r="C13" s="7" t="str">
        <f t="shared" si="0"/>
        <v>Premium5</v>
      </c>
      <c r="D13" s="7" t="str">
        <f t="shared" si="1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斬空の大破剣 ジークフリート</v>
      </c>
      <c r="I13" s="7" t="str">
        <f>VLOOKUP(B13,[1]characters!$A:$J,10,FALSE)</f>
        <v>PremiumN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男性</v>
      </c>
      <c r="O13" s="45">
        <f t="shared" si="2"/>
        <v>3780</v>
      </c>
      <c r="P13" s="46">
        <f>O13/SUM(O:O)</f>
        <v>1.1392405063291139E-2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>
        <v>468105</v>
      </c>
      <c r="B14" s="6">
        <v>204</v>
      </c>
      <c r="C14" s="7" t="str">
        <f t="shared" si="0"/>
        <v>Premium5</v>
      </c>
      <c r="D14" s="7" t="str">
        <f t="shared" si="1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慟哭の巨焔 プロメテウス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男性</v>
      </c>
      <c r="O14" s="45">
        <f t="shared" si="2"/>
        <v>3780</v>
      </c>
      <c r="P14" s="46">
        <f>O14/SUM(O:O)</f>
        <v>1.1392405063291139E-2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>
        <v>468105</v>
      </c>
      <c r="B15" s="6">
        <v>207</v>
      </c>
      <c r="C15" s="7" t="str">
        <f t="shared" si="0"/>
        <v>Premium5</v>
      </c>
      <c r="D15" s="7" t="str">
        <f t="shared" si="1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豊穣の麗神・アフロディーテ</v>
      </c>
      <c r="I15" s="7" t="str">
        <f>VLOOKUP(B15,[1]characters!$A:$J,10,FALSE)</f>
        <v>PremiumN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hp</v>
      </c>
      <c r="M15" s="7" t="str">
        <f>VLOOKUP(B15,[1]characters!$A:$M,13,FALSE)</f>
        <v>god</v>
      </c>
      <c r="N15" s="7" t="str">
        <f>VLOOKUP(B15,[1]characters!$A:$G,7,FALSE)</f>
        <v>女性</v>
      </c>
      <c r="O15" s="45">
        <f t="shared" si="2"/>
        <v>3780</v>
      </c>
      <c r="P15" s="46">
        <f>O15/SUM(O:O)</f>
        <v>1.1392405063291139E-2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>
        <v>468105</v>
      </c>
      <c r="B16" s="10">
        <v>210</v>
      </c>
      <c r="C16" s="7" t="str">
        <f t="shared" si="0"/>
        <v>Premium5</v>
      </c>
      <c r="D16" s="7" t="str">
        <f t="shared" si="1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海底の孤高神 テティス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hp</v>
      </c>
      <c r="M16" s="7" t="str">
        <f>VLOOKUP(B16,[1]characters!$A:$M,13,FALSE)</f>
        <v>god</v>
      </c>
      <c r="N16" s="7" t="str">
        <f>VLOOKUP(B16,[1]characters!$A:$G,7,FALSE)</f>
        <v>女性</v>
      </c>
      <c r="O16" s="45">
        <f t="shared" si="2"/>
        <v>3780</v>
      </c>
      <c r="P16" s="46">
        <f>O16/SUM(O:O)</f>
        <v>1.1392405063291139E-2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>
        <v>468105</v>
      </c>
      <c r="B17" s="11">
        <v>213</v>
      </c>
      <c r="C17" s="7" t="str">
        <f t="shared" si="0"/>
        <v>Premium5</v>
      </c>
      <c r="D17" s="7" t="str">
        <f t="shared" si="1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満天の星降神 アストライアー</v>
      </c>
      <c r="I17" s="7" t="str">
        <f>VLOOKUP(B17,[1]characters!$A:$J,10,FALSE)</f>
        <v>PremiumN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god</v>
      </c>
      <c r="N17" s="7" t="str">
        <f>VLOOKUP(B17,[1]characters!$A:$G,7,FALSE)</f>
        <v>女性</v>
      </c>
      <c r="O17" s="45">
        <f t="shared" si="2"/>
        <v>3780</v>
      </c>
      <c r="P17" s="46">
        <f>O17/SUM(O:O)</f>
        <v>1.1392405063291139E-2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>
        <v>468105</v>
      </c>
      <c r="B18" s="6">
        <v>216</v>
      </c>
      <c r="C18" s="7" t="str">
        <f t="shared" si="0"/>
        <v>Premium5</v>
      </c>
      <c r="D18" s="7" t="str">
        <f t="shared" si="1"/>
        <v>Premium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百読の死導司書 アズラエル</v>
      </c>
      <c r="I18" s="7" t="str">
        <f>VLOOKUP(B18,[1]characters!$A:$J,10,FALSE)</f>
        <v>PremiumN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god</v>
      </c>
      <c r="N18" s="7" t="str">
        <f>VLOOKUP(B18,[1]characters!$A:$G,7,FALSE)</f>
        <v>女性</v>
      </c>
      <c r="O18" s="45">
        <f t="shared" si="2"/>
        <v>3780</v>
      </c>
      <c r="P18" s="46">
        <f>O18/SUM(O:O)</f>
        <v>1.1392405063291139E-2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>
        <v>468105</v>
      </c>
      <c r="B19" s="6">
        <v>219</v>
      </c>
      <c r="C19" s="7" t="str">
        <f t="shared" si="0"/>
        <v>Premium5</v>
      </c>
      <c r="D19" s="7" t="str">
        <f t="shared" si="1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覇翼の聖蛇竜 ケツァクアトル</v>
      </c>
      <c r="I19" s="7" t="str">
        <f>VLOOKUP(B19,[1]characters!$A:$J,10,FALSE)</f>
        <v>PremiumN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dragon</v>
      </c>
      <c r="N19" s="7" t="str">
        <f>VLOOKUP(B19,[1]characters!$A:$G,7,FALSE)</f>
        <v>女性</v>
      </c>
      <c r="O19" s="45">
        <f t="shared" si="2"/>
        <v>3780</v>
      </c>
      <c r="P19" s="46">
        <f>O19/SUM(O:O)</f>
        <v>1.1392405063291139E-2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>
        <v>468105</v>
      </c>
      <c r="B20" s="10">
        <v>222</v>
      </c>
      <c r="C20" s="7" t="str">
        <f t="shared" si="0"/>
        <v>Premium5</v>
      </c>
      <c r="D20" s="7" t="str">
        <f t="shared" si="1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避光の鉄鎖宰相 ルキフグス</v>
      </c>
      <c r="I20" s="7" t="str">
        <f>VLOOKUP(B20,[1]characters!$A:$J,10,FALSE)</f>
        <v>PremiumN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balance</v>
      </c>
      <c r="M20" s="7" t="str">
        <f>VLOOKUP(B20,[1]characters!$A:$M,13,FALSE)</f>
        <v>god</v>
      </c>
      <c r="N20" s="7" t="str">
        <f>VLOOKUP(B20,[1]characters!$A:$G,7,FALSE)</f>
        <v>女性</v>
      </c>
      <c r="O20" s="45">
        <f t="shared" si="2"/>
        <v>3780</v>
      </c>
      <c r="P20" s="46">
        <f>O20/SUM(O:O)</f>
        <v>1.1392405063291139E-2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>
        <v>468105</v>
      </c>
      <c r="B21" s="6">
        <v>225</v>
      </c>
      <c r="C21" s="7" t="str">
        <f t="shared" si="0"/>
        <v>Premium5</v>
      </c>
      <c r="D21" s="7" t="str">
        <f t="shared" si="1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咆哮の巨獅腕 ヘラクレス</v>
      </c>
      <c r="I21" s="7" t="str">
        <f>VLOOKUP(B21,[1]characters!$A:$J,10,FALSE)</f>
        <v>PremiumN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45">
        <f t="shared" si="2"/>
        <v>3780</v>
      </c>
      <c r="P21" s="46">
        <f>O21/SUM(O:O)</f>
        <v>1.1392405063291139E-2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>
        <v>468105</v>
      </c>
      <c r="B22" s="6">
        <v>228</v>
      </c>
      <c r="C22" s="7" t="str">
        <f t="shared" si="0"/>
        <v>Premium5</v>
      </c>
      <c r="D22" s="7" t="str">
        <f t="shared" si="1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殲滅の掃射砲 アレス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god</v>
      </c>
      <c r="N22" s="7" t="str">
        <f>VLOOKUP(B22,[1]characters!$A:$G,7,FALSE)</f>
        <v>男性</v>
      </c>
      <c r="O22" s="45">
        <f t="shared" si="2"/>
        <v>3780</v>
      </c>
      <c r="P22" s="46">
        <f>O22/SUM(O:O)</f>
        <v>1.1392405063291139E-2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>
        <v>468105</v>
      </c>
      <c r="B23" s="6">
        <v>231</v>
      </c>
      <c r="C23" s="7" t="str">
        <f t="shared" si="0"/>
        <v>Premium5</v>
      </c>
      <c r="D23" s="7" t="str">
        <f t="shared" si="1"/>
        <v>Premium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必中の咬銃 ヨルムンガンド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dragon</v>
      </c>
      <c r="N23" s="7" t="str">
        <f>VLOOKUP(B23,[1]characters!$A:$G,7,FALSE)</f>
        <v>女性</v>
      </c>
      <c r="O23" s="45">
        <f t="shared" si="2"/>
        <v>3780</v>
      </c>
      <c r="P23" s="46">
        <f>O23/SUM(O:O)</f>
        <v>1.1392405063291139E-2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>
        <v>468105</v>
      </c>
      <c r="B24" s="6">
        <v>234</v>
      </c>
      <c r="C24" s="7" t="str">
        <f t="shared" si="0"/>
        <v>Premium5</v>
      </c>
      <c r="D24" s="7" t="str">
        <f t="shared" si="1"/>
        <v>Premium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精密なる照準 パーシヴァル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technical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t="shared" si="2"/>
        <v>3780</v>
      </c>
      <c r="P24" s="46">
        <f>O24/SUM(O:O)</f>
        <v>1.1392405063291139E-2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>
        <v>468105</v>
      </c>
      <c r="B25" s="6">
        <v>237</v>
      </c>
      <c r="C25" s="7" t="str">
        <f t="shared" si="0"/>
        <v>Premium5R6release</v>
      </c>
      <c r="D25" s="7" t="str">
        <f t="shared" si="1"/>
        <v>Premium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>R6release</v>
      </c>
      <c r="G25" s="7"/>
      <c r="H25" s="7" t="str">
        <f>VLOOKUP(B25,[1]characters!$A:$C,3,FALSE)</f>
        <v>森羅万象の神母 イザナミ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attack</v>
      </c>
      <c r="M25" s="7" t="str">
        <f>VLOOKUP(B25,[1]characters!$A:$M,13,FALSE)</f>
        <v>god</v>
      </c>
      <c r="N25" s="7" t="str">
        <f>VLOOKUP(B25,[1]characters!$A:$G,7,FALSE)</f>
        <v>女性</v>
      </c>
      <c r="O25" s="45">
        <f t="shared" si="2"/>
        <v>3780</v>
      </c>
      <c r="P25" s="46">
        <f>O25/SUM(O:O)</f>
        <v>1.1392405063291139E-2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>
        <v>468105</v>
      </c>
      <c r="B26" s="6">
        <v>240</v>
      </c>
      <c r="C26" s="7" t="str">
        <f t="shared" si="0"/>
        <v>Premium5</v>
      </c>
      <c r="D26" s="7" t="str">
        <f t="shared" si="1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轟炎の天使 ウリエル・スレイヤー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hp</v>
      </c>
      <c r="M26" s="7" t="str">
        <f>VLOOKUP(B26,[1]characters!$A:$M,13,FALSE)</f>
        <v>machine</v>
      </c>
      <c r="N26" s="7" t="str">
        <f>VLOOKUP(B26,[1]characters!$A:$G,7,FALSE)</f>
        <v>女性</v>
      </c>
      <c r="O26" s="45">
        <f t="shared" si="2"/>
        <v>3780</v>
      </c>
      <c r="P26" s="46">
        <f>O26/SUM(O:O)</f>
        <v>1.1392405063291139E-2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>
        <v>468105</v>
      </c>
      <c r="B27" s="6">
        <v>243</v>
      </c>
      <c r="C27" s="7" t="str">
        <f t="shared" si="0"/>
        <v>Premium5</v>
      </c>
      <c r="D27" s="7" t="str">
        <f t="shared" si="1"/>
        <v>Premium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万花の天使 ガブリエル・ブルーム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machine</v>
      </c>
      <c r="N27" s="7" t="str">
        <f>VLOOKUP(B27,[1]characters!$A:$G,7,FALSE)</f>
        <v>女性</v>
      </c>
      <c r="O27" s="45">
        <f t="shared" si="2"/>
        <v>3780</v>
      </c>
      <c r="P27" s="46">
        <f>O27/SUM(O:O)</f>
        <v>1.1392405063291139E-2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>
        <v>468105</v>
      </c>
      <c r="B28" s="6">
        <v>246</v>
      </c>
      <c r="C28" s="7" t="str">
        <f t="shared" si="0"/>
        <v>Premium5</v>
      </c>
      <c r="D28" s="7" t="str">
        <f t="shared" si="1"/>
        <v>Premium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真癒の天使 ラファエル・メディカ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machine</v>
      </c>
      <c r="N28" s="7" t="str">
        <f>VLOOKUP(B28,[1]characters!$A:$G,7,FALSE)</f>
        <v>女性</v>
      </c>
      <c r="O28" s="45">
        <f t="shared" si="2"/>
        <v>3780</v>
      </c>
      <c r="P28" s="46">
        <f>O28/SUM(O:O)</f>
        <v>1.1392405063291139E-2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>
        <v>468105</v>
      </c>
      <c r="B29" s="6">
        <v>249</v>
      </c>
      <c r="C29" s="7" t="str">
        <f t="shared" si="0"/>
        <v>Premium5</v>
      </c>
      <c r="D29" s="7" t="str">
        <f t="shared" si="1"/>
        <v>Premium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雷電の天使 ミカエル・ゲイナー</v>
      </c>
      <c r="I29" s="7" t="str">
        <f>VLOOKUP(B29,[1]characters!$A:$J,10,FALSE)</f>
        <v>PremiumS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machine</v>
      </c>
      <c r="N29" s="7" t="str">
        <f>VLOOKUP(B29,[1]characters!$A:$G,7,FALSE)</f>
        <v>女性</v>
      </c>
      <c r="O29" s="45">
        <f t="shared" si="2"/>
        <v>3780</v>
      </c>
      <c r="P29" s="46">
        <f>O29/SUM(O:O)</f>
        <v>1.1392405063291139E-2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>
        <v>468105</v>
      </c>
      <c r="B30" s="6">
        <v>252</v>
      </c>
      <c r="C30" s="7" t="str">
        <f t="shared" si="0"/>
        <v>Premium5</v>
      </c>
      <c r="D30" s="7" t="str">
        <f t="shared" si="1"/>
        <v>Premium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強欲の沸騰 マンモン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balance</v>
      </c>
      <c r="M30" s="7" t="str">
        <f>VLOOKUP(B30,[1]characters!$A:$M,13,FALSE)</f>
        <v>god</v>
      </c>
      <c r="N30" s="7" t="str">
        <f>VLOOKUP(B30,[1]characters!$A:$G,7,FALSE)</f>
        <v>女性</v>
      </c>
      <c r="O30" s="45">
        <f t="shared" si="2"/>
        <v>3780</v>
      </c>
      <c r="P30" s="46">
        <f>O30/SUM(O:O)</f>
        <v>1.1392405063291139E-2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>
        <v>468105</v>
      </c>
      <c r="B31" s="6">
        <v>255</v>
      </c>
      <c r="C31" s="7" t="str">
        <f t="shared" si="0"/>
        <v>Premium5</v>
      </c>
      <c r="D31" s="7" t="str">
        <f t="shared" si="1"/>
        <v>Premium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怠惰の頂点 ベルフェゴール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女性</v>
      </c>
      <c r="O31" s="45">
        <f t="shared" si="2"/>
        <v>3780</v>
      </c>
      <c r="P31" s="46">
        <f>O31/SUM(O:O)</f>
        <v>1.1392405063291139E-2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>
        <v>468105</v>
      </c>
      <c r="B32" s="6">
        <v>258</v>
      </c>
      <c r="C32" s="7" t="str">
        <f t="shared" si="0"/>
        <v>Premium5</v>
      </c>
      <c r="D32" s="7" t="str">
        <f t="shared" si="1"/>
        <v>Premium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色欲の源流 アスモデウス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女性</v>
      </c>
      <c r="O32" s="45">
        <f t="shared" si="2"/>
        <v>3780</v>
      </c>
      <c r="P32" s="46">
        <f>O32/SUM(O:O)</f>
        <v>1.1392405063291139E-2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>
        <v>468105</v>
      </c>
      <c r="B33" s="6">
        <v>261</v>
      </c>
      <c r="C33" s="7" t="str">
        <f t="shared" si="0"/>
        <v>Premium5</v>
      </c>
      <c r="D33" s="7" t="str">
        <f t="shared" si="1"/>
        <v>Premium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輪廻の蛇龍 ウロボロス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女性</v>
      </c>
      <c r="O33" s="45">
        <f t="shared" si="2"/>
        <v>3780</v>
      </c>
      <c r="P33" s="46">
        <f>O33/SUM(O:O)</f>
        <v>1.1392405063291139E-2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>
        <v>468105</v>
      </c>
      <c r="B34" s="6">
        <v>321</v>
      </c>
      <c r="C34" s="7" t="str">
        <f t="shared" si="0"/>
        <v>PremiumSS5</v>
      </c>
      <c r="D34" s="7" t="str">
        <f t="shared" si="1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巌鉄の烈志士 近藤勇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hp</v>
      </c>
      <c r="M34" s="7" t="str">
        <f>VLOOKUP(B34,[1]characters!$A:$M,13,FALSE)</f>
        <v>human</v>
      </c>
      <c r="N34" s="7" t="str">
        <f>VLOOKUP(B34,[1]characters!$A:$G,7,FALSE)</f>
        <v>男性</v>
      </c>
      <c r="O34" s="45">
        <f t="shared" si="2"/>
        <v>395</v>
      </c>
      <c r="P34" s="46">
        <f>O34/SUM(O:O)</f>
        <v>1.1904761904761906E-3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>
        <v>468105</v>
      </c>
      <c r="B35" s="6">
        <v>323</v>
      </c>
      <c r="C35" s="7" t="str">
        <f t="shared" si="0"/>
        <v>PremiumSS5</v>
      </c>
      <c r="D35" s="7" t="str">
        <f t="shared" si="1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流麗の愛志士 土方歳三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t="shared" si="2"/>
        <v>395</v>
      </c>
      <c r="P35" s="46">
        <f>O35/SUM(O:O)</f>
        <v>1.1904761904761906E-3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>
        <v>468105</v>
      </c>
      <c r="B36" s="6">
        <v>325</v>
      </c>
      <c r="C36" s="7" t="str">
        <f t="shared" si="0"/>
        <v>PremiumSS5</v>
      </c>
      <c r="D36" s="7" t="str">
        <f t="shared" si="1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天賦の凛志士 沖田総司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t="shared" si="2"/>
        <v>395</v>
      </c>
      <c r="P36" s="46">
        <f>O36/SUM(O:O)</f>
        <v>1.1904761904761906E-3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>
        <v>468105</v>
      </c>
      <c r="B37" s="6">
        <v>327</v>
      </c>
      <c r="C37" s="7" t="str">
        <f t="shared" si="0"/>
        <v>PremiumSS5</v>
      </c>
      <c r="D37" s="7" t="str">
        <f t="shared" si="1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千殺の妖志士 斎藤一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technical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t="shared" si="2"/>
        <v>395</v>
      </c>
      <c r="P37" s="46">
        <f>O37/SUM(O:O)</f>
        <v>1.1904761904761906E-3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>
        <v>468105</v>
      </c>
      <c r="B38" s="6">
        <v>382</v>
      </c>
      <c r="C38" s="7" t="str">
        <f t="shared" si="0"/>
        <v>Premium5</v>
      </c>
      <c r="D38" s="7" t="str">
        <f t="shared" si="1"/>
        <v>Premium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激情の愛炎 バハムート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technical</v>
      </c>
      <c r="M38" s="7" t="str">
        <f>VLOOKUP(B38,[1]characters!$A:$M,13,FALSE)</f>
        <v>dragon</v>
      </c>
      <c r="N38" s="7" t="str">
        <f>VLOOKUP(B38,[1]characters!$A:$G,7,FALSE)</f>
        <v>女性</v>
      </c>
      <c r="O38" s="45">
        <f t="shared" si="2"/>
        <v>3780</v>
      </c>
      <c r="P38" s="46">
        <f>O38/SUM(O:O)</f>
        <v>1.1392405063291139E-2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>
        <v>468105</v>
      </c>
      <c r="B39" s="6">
        <v>384</v>
      </c>
      <c r="C39" s="7" t="str">
        <f t="shared" si="0"/>
        <v>PremiumSS5</v>
      </c>
      <c r="D39" s="7" t="str">
        <f t="shared" si="1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破国の呑龍 ヤマタノオロチ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hp</v>
      </c>
      <c r="M39" s="7" t="str">
        <f>VLOOKUP(B39,[1]characters!$A:$M,13,FALSE)</f>
        <v>dragon</v>
      </c>
      <c r="N39" s="7" t="str">
        <f>VLOOKUP(B39,[1]characters!$A:$G,7,FALSE)</f>
        <v>女性</v>
      </c>
      <c r="O39" s="45">
        <f t="shared" si="2"/>
        <v>395</v>
      </c>
      <c r="P39" s="46">
        <f>O39/SUM(O:O)</f>
        <v>1.1904761904761906E-3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>
        <v>468105</v>
      </c>
      <c r="B40" s="6">
        <v>386</v>
      </c>
      <c r="C40" s="7" t="str">
        <f t="shared" si="0"/>
        <v>PremiumSS5</v>
      </c>
      <c r="D40" s="7" t="str">
        <f t="shared" si="1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氾乱の海龍 リヴァイアサン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blue</v>
      </c>
      <c r="L40" s="7" t="str">
        <f>VLOOKUP(B40,[1]characters!$A:$K,11,FALSE)</f>
        <v>balance</v>
      </c>
      <c r="M40" s="7" t="str">
        <f>VLOOKUP(B40,[1]characters!$A:$M,13,FALSE)</f>
        <v>dragon</v>
      </c>
      <c r="N40" s="7" t="str">
        <f>VLOOKUP(B40,[1]characters!$A:$G,7,FALSE)</f>
        <v>女性</v>
      </c>
      <c r="O40" s="45">
        <f t="shared" si="2"/>
        <v>395</v>
      </c>
      <c r="P40" s="46">
        <f>O40/SUM(O:O)</f>
        <v>1.1904761904761906E-3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>
        <v>468105</v>
      </c>
      <c r="B41" s="6">
        <v>389</v>
      </c>
      <c r="C41" s="7" t="str">
        <f t="shared" si="0"/>
        <v>Premium5</v>
      </c>
      <c r="D41" s="7" t="str">
        <f t="shared" si="1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操神の愛姫 スフィンクス</v>
      </c>
      <c r="I41" s="7" t="str">
        <f>VLOOKUP(B41,[1]characters!$A:$J,10,FALSE)</f>
        <v>PremiumS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heal</v>
      </c>
      <c r="M41" s="7" t="str">
        <f>VLOOKUP(B41,[1]characters!$A:$M,13,FALSE)</f>
        <v>animal</v>
      </c>
      <c r="N41" s="7" t="str">
        <f>VLOOKUP(B41,[1]characters!$A:$G,7,FALSE)</f>
        <v>女性</v>
      </c>
      <c r="O41" s="45">
        <f t="shared" si="2"/>
        <v>3780</v>
      </c>
      <c r="P41" s="46">
        <f>O41/SUM(O:O)</f>
        <v>1.1392405063291139E-2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>
        <v>468105</v>
      </c>
      <c r="B42" s="6">
        <v>391</v>
      </c>
      <c r="C42" s="7" t="str">
        <f t="shared" si="0"/>
        <v>PremiumSS5</v>
      </c>
      <c r="D42" s="7" t="str">
        <f t="shared" si="1"/>
        <v>PremiumSS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燕翼の旅人 親指姫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red</v>
      </c>
      <c r="L42" s="7" t="str">
        <f>VLOOKUP(B42,[1]characters!$A:$K,11,FALSE)</f>
        <v>heal</v>
      </c>
      <c r="M42" s="7" t="str">
        <f>VLOOKUP(B42,[1]characters!$A:$M,13,FALSE)</f>
        <v>human</v>
      </c>
      <c r="N42" s="7" t="str">
        <f>VLOOKUP(B42,[1]characters!$A:$G,7,FALSE)</f>
        <v>女性</v>
      </c>
      <c r="O42" s="45">
        <f t="shared" si="2"/>
        <v>395</v>
      </c>
      <c r="P42" s="46">
        <f>O42/SUM(O:O)</f>
        <v>1.1904761904761906E-3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>
        <v>468105</v>
      </c>
      <c r="B43" s="6">
        <v>394</v>
      </c>
      <c r="C43" s="7" t="str">
        <f t="shared" si="0"/>
        <v>Premium5</v>
      </c>
      <c r="D43" s="7" t="str">
        <f t="shared" si="1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影求の悪童 ピーターパン</v>
      </c>
      <c r="I43" s="7" t="str">
        <f>VLOOKUP(B43,[1]characters!$A:$J,10,FALSE)</f>
        <v>PremiumS</v>
      </c>
      <c r="J43" s="7">
        <f>VLOOKUP(B43,[1]characters!$A:$I,9,FALSE)</f>
        <v>5</v>
      </c>
      <c r="K43" s="7" t="str">
        <f>VLOOKUP(B43,[1]characters!$A:$H,8,FALSE)</f>
        <v>green</v>
      </c>
      <c r="L43" s="7" t="str">
        <f>VLOOKUP(B43,[1]characters!$A:$K,11,FALSE)</f>
        <v>attack</v>
      </c>
      <c r="M43" s="7" t="str">
        <f>VLOOKUP(B43,[1]characters!$A:$M,13,FALSE)</f>
        <v>human</v>
      </c>
      <c r="N43" s="7" t="str">
        <f>VLOOKUP(B43,[1]characters!$A:$G,7,FALSE)</f>
        <v>男性</v>
      </c>
      <c r="O43" s="45">
        <f t="shared" si="2"/>
        <v>3780</v>
      </c>
      <c r="P43" s="46">
        <f>O43/SUM(O:O)</f>
        <v>1.1392405063291139E-2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>
        <v>468105</v>
      </c>
      <c r="B44" s="6">
        <v>397</v>
      </c>
      <c r="C44" s="7" t="str">
        <f t="shared" si="0"/>
        <v>Premium5</v>
      </c>
      <c r="D44" s="7" t="str">
        <f t="shared" si="1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禁断の追箱 乙姫</v>
      </c>
      <c r="I44" s="7" t="str">
        <f>VLOOKUP(B44,[1]characters!$A:$J,10,FALSE)</f>
        <v>PremiumS</v>
      </c>
      <c r="J44" s="7">
        <f>VLOOKUP(B44,[1]characters!$A:$I,9,FALSE)</f>
        <v>5</v>
      </c>
      <c r="K44" s="7" t="str">
        <f>VLOOKUP(B44,[1]characters!$A:$H,8,FALSE)</f>
        <v>blue</v>
      </c>
      <c r="L44" s="7" t="str">
        <f>VLOOKUP(B44,[1]characters!$A:$K,11,FALSE)</f>
        <v>hp</v>
      </c>
      <c r="M44" s="7" t="str">
        <f>VLOOKUP(B44,[1]characters!$A:$M,13,FALSE)</f>
        <v>human</v>
      </c>
      <c r="N44" s="7" t="str">
        <f>VLOOKUP(B44,[1]characters!$A:$G,7,FALSE)</f>
        <v>女性</v>
      </c>
      <c r="O44" s="45">
        <f t="shared" si="2"/>
        <v>3780</v>
      </c>
      <c r="P44" s="46">
        <f>O44/SUM(O:O)</f>
        <v>1.1392405063291139E-2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>
        <v>468105</v>
      </c>
      <c r="B45" s="6">
        <v>399</v>
      </c>
      <c r="C45" s="7" t="str">
        <f t="shared" si="0"/>
        <v>PremiumSS5</v>
      </c>
      <c r="D45" s="7" t="str">
        <f t="shared" si="1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信愛の兄妹 ヘンゼル＆グレーテル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yellow</v>
      </c>
      <c r="L45" s="7" t="str">
        <f>VLOOKUP(B45,[1]characters!$A:$K,11,FALSE)</f>
        <v>balance</v>
      </c>
      <c r="M45" s="7" t="str">
        <f>VLOOKUP(B45,[1]characters!$A:$M,13,FALSE)</f>
        <v>human</v>
      </c>
      <c r="N45" s="7" t="str">
        <f>VLOOKUP(B45,[1]characters!$A:$G,7,FALSE)</f>
        <v>女性</v>
      </c>
      <c r="O45" s="45">
        <f t="shared" si="2"/>
        <v>395</v>
      </c>
      <c r="P45" s="46">
        <f>O45/SUM(O:O)</f>
        <v>1.1904761904761906E-3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>
        <v>468105</v>
      </c>
      <c r="B46" s="6">
        <v>402</v>
      </c>
      <c r="C46" s="7" t="str">
        <f t="shared" si="0"/>
        <v>Premium5</v>
      </c>
      <c r="D46" s="7" t="str">
        <f t="shared" si="1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天災の神狼 フェンリル</v>
      </c>
      <c r="I46" s="7" t="str">
        <f>VLOOKUP(B46,[1]characters!$A:$J,10,FALSE)</f>
        <v>PremiumS</v>
      </c>
      <c r="J46" s="7">
        <f>VLOOKUP(B46,[1]characters!$A:$I,9,FALSE)</f>
        <v>5</v>
      </c>
      <c r="K46" s="7" t="str">
        <f>VLOOKUP(B46,[1]characters!$A:$H,8,FALSE)</f>
        <v>red</v>
      </c>
      <c r="L46" s="7" t="str">
        <f>VLOOKUP(B46,[1]characters!$A:$K,11,FALSE)</f>
        <v>attack</v>
      </c>
      <c r="M46" s="7" t="str">
        <f>VLOOKUP(B46,[1]characters!$A:$M,13,FALSE)</f>
        <v>animal</v>
      </c>
      <c r="N46" s="7" t="str">
        <f>VLOOKUP(B46,[1]characters!$A:$G,7,FALSE)</f>
        <v>女性</v>
      </c>
      <c r="O46" s="45">
        <f t="shared" si="2"/>
        <v>3780</v>
      </c>
      <c r="P46" s="46">
        <f>O46/SUM(O:O)</f>
        <v>1.1392405063291139E-2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>
        <v>468105</v>
      </c>
      <c r="B47" s="6">
        <v>404</v>
      </c>
      <c r="C47" s="7" t="str">
        <f t="shared" si="0"/>
        <v>PremiumSS5</v>
      </c>
      <c r="D47" s="7" t="str">
        <f t="shared" si="1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空襲の神眼 八咫烏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45">
        <f t="shared" si="2"/>
        <v>395</v>
      </c>
      <c r="P47" s="46">
        <f>O47/SUM(O:O)</f>
        <v>1.1904761904761906E-3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>
        <v>468105</v>
      </c>
      <c r="B48" s="6">
        <v>407</v>
      </c>
      <c r="C48" s="7" t="str">
        <f t="shared" si="0"/>
        <v>Premium5</v>
      </c>
      <c r="D48" s="7" t="str">
        <f t="shared" si="1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蠱惑の飛刀 エキドナ</v>
      </c>
      <c r="I48" s="7" t="str">
        <f>VLOOKUP(B48,[1]characters!$A:$J,10,FALSE)</f>
        <v>PremiumS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technical</v>
      </c>
      <c r="M48" s="7" t="str">
        <f>VLOOKUP(B48,[1]characters!$A:$M,13,FALSE)</f>
        <v>animal</v>
      </c>
      <c r="N48" s="7" t="str">
        <f>VLOOKUP(B48,[1]characters!$A:$G,7,FALSE)</f>
        <v>女性</v>
      </c>
      <c r="O48" s="45">
        <f t="shared" si="2"/>
        <v>3780</v>
      </c>
      <c r="P48" s="46">
        <f>O48/SUM(O:O)</f>
        <v>1.1392405063291139E-2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>
        <v>468105</v>
      </c>
      <c r="B49" s="6">
        <v>409</v>
      </c>
      <c r="C49" s="7" t="str">
        <f t="shared" si="0"/>
        <v>PremiumSS5</v>
      </c>
      <c r="D49" s="7" t="str">
        <f t="shared" si="1"/>
        <v>PremiumSS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天眼の皇貴魔 アスタロト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男性</v>
      </c>
      <c r="O49" s="45">
        <f t="shared" si="2"/>
        <v>395</v>
      </c>
      <c r="P49" s="46">
        <f>O49/SUM(O:O)</f>
        <v>1.1904761904761906E-3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>
        <v>468105</v>
      </c>
      <c r="B50" s="6">
        <v>435</v>
      </c>
      <c r="C50" s="7" t="str">
        <f t="shared" si="0"/>
        <v>PremiumSS5</v>
      </c>
      <c r="D50" s="7" t="str">
        <f t="shared" si="1"/>
        <v>PremiumSS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曝弾の密偵 D.R.T.H.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女性</v>
      </c>
      <c r="O50" s="45">
        <f t="shared" si="2"/>
        <v>395</v>
      </c>
      <c r="P50" s="46">
        <f>O50/SUM(O:O)</f>
        <v>1.1904761904761906E-3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>
        <v>468105</v>
      </c>
      <c r="B51" s="6">
        <v>438</v>
      </c>
      <c r="C51" s="7" t="str">
        <f t="shared" si="0"/>
        <v>Premium5</v>
      </c>
      <c r="D51" s="7" t="str">
        <f t="shared" si="1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記憶の奪還 カカシ</v>
      </c>
      <c r="I51" s="7" t="str">
        <f>VLOOKUP(B51,[1]characters!$A:$J,10,FALSE)</f>
        <v>PremiumS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technical</v>
      </c>
      <c r="M51" s="7" t="str">
        <f>VLOOKUP(B51,[1]characters!$A:$M,13,FALSE)</f>
        <v>human</v>
      </c>
      <c r="N51" s="7" t="str">
        <f>VLOOKUP(B51,[1]characters!$A:$G,7,FALSE)</f>
        <v>男性</v>
      </c>
      <c r="O51" s="45">
        <f t="shared" si="2"/>
        <v>3780</v>
      </c>
      <c r="P51" s="46">
        <f>O51/SUM(O:O)</f>
        <v>1.1392405063291139E-2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>
        <v>468105</v>
      </c>
      <c r="B52" s="6">
        <v>441</v>
      </c>
      <c r="C52" s="7" t="str">
        <f t="shared" si="0"/>
        <v>Premium5</v>
      </c>
      <c r="D52" s="7" t="str">
        <f t="shared" si="1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求心の錻装 ブリキロガー</v>
      </c>
      <c r="I52" s="7" t="str">
        <f>VLOOKUP(B52,[1]characters!$A:$J,10,FALSE)</f>
        <v>PremiumS</v>
      </c>
      <c r="J52" s="7">
        <f>VLOOKUP(B52,[1]characters!$A:$I,9,FALSE)</f>
        <v>5</v>
      </c>
      <c r="K52" s="7" t="str">
        <f>VLOOKUP(B52,[1]characters!$A:$H,8,FALSE)</f>
        <v>blue</v>
      </c>
      <c r="L52" s="7" t="str">
        <f>VLOOKUP(B52,[1]characters!$A:$K,11,FALSE)</f>
        <v>attack</v>
      </c>
      <c r="M52" s="7" t="str">
        <f>VLOOKUP(B52,[1]characters!$A:$M,13,FALSE)</f>
        <v>machine</v>
      </c>
      <c r="N52" s="7" t="str">
        <f>VLOOKUP(B52,[1]characters!$A:$G,7,FALSE)</f>
        <v>不明</v>
      </c>
      <c r="O52" s="45">
        <f t="shared" si="2"/>
        <v>3780</v>
      </c>
      <c r="P52" s="46">
        <f>O52/SUM(O:O)</f>
        <v>1.1392405063291139E-2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>
        <v>468105</v>
      </c>
      <c r="B53" s="6">
        <v>443</v>
      </c>
      <c r="C53" s="7" t="str">
        <f t="shared" si="0"/>
        <v>PremiumSS5</v>
      </c>
      <c r="D53" s="7" t="str">
        <f t="shared" si="1"/>
        <v>PremiumSS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勇機結集 ブレイブリー・ライオン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hp</v>
      </c>
      <c r="M53" s="7" t="str">
        <f>VLOOKUP(B53,[1]characters!$A:$M,13,FALSE)</f>
        <v>animal</v>
      </c>
      <c r="N53" s="7" t="str">
        <f>VLOOKUP(B53,[1]characters!$A:$G,7,FALSE)</f>
        <v>不明</v>
      </c>
      <c r="O53" s="45">
        <f t="shared" si="2"/>
        <v>395</v>
      </c>
      <c r="P53" s="46">
        <f>O53/SUM(O:O)</f>
        <v>1.1904761904761906E-3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>
        <v>468105</v>
      </c>
      <c r="B54" s="6">
        <v>464</v>
      </c>
      <c r="C54" s="7" t="str">
        <f t="shared" si="0"/>
        <v>Premium5</v>
      </c>
      <c r="D54" s="7" t="str">
        <f t="shared" si="1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円熟の弾導 ガウェイン</v>
      </c>
      <c r="I54" s="7" t="str">
        <f>VLOOKUP(B54,[1]characters!$A:$J,10,FALSE)</f>
        <v>PremiumS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hp</v>
      </c>
      <c r="M54" s="7" t="str">
        <f>VLOOKUP(B54,[1]characters!$A:$M,13,FALSE)</f>
        <v>human</v>
      </c>
      <c r="N54" s="7" t="str">
        <f>VLOOKUP(B54,[1]characters!$A:$G,7,FALSE)</f>
        <v>男性</v>
      </c>
      <c r="O54" s="45">
        <f t="shared" si="2"/>
        <v>3780</v>
      </c>
      <c r="P54" s="46">
        <f>O54/SUM(O:O)</f>
        <v>1.1392405063291139E-2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>
        <v>468105</v>
      </c>
      <c r="B55" s="6">
        <v>466</v>
      </c>
      <c r="C55" s="7" t="str">
        <f t="shared" si="0"/>
        <v>PremiumSS5</v>
      </c>
      <c r="D55" s="7" t="str">
        <f t="shared" si="1"/>
        <v>PremiumSS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真断の勇覇 ランスロット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男性</v>
      </c>
      <c r="O55" s="45">
        <f t="shared" si="2"/>
        <v>395</v>
      </c>
      <c r="P55" s="46">
        <f>O55/SUM(O:O)</f>
        <v>1.1904761904761906E-3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>
        <v>468105</v>
      </c>
      <c r="B56" s="6">
        <v>468</v>
      </c>
      <c r="C56" s="7" t="str">
        <f t="shared" si="0"/>
        <v>PremiumSS5</v>
      </c>
      <c r="D56" s="7" t="str">
        <f t="shared" si="1"/>
        <v>PremiumSS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憎愛の尖鋒 モルドレッド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blue</v>
      </c>
      <c r="L56" s="7" t="str">
        <f>VLOOKUP(B56,[1]characters!$A:$K,11,FALSE)</f>
        <v>technical</v>
      </c>
      <c r="M56" s="7" t="str">
        <f>VLOOKUP(B56,[1]characters!$A:$M,13,FALSE)</f>
        <v>human</v>
      </c>
      <c r="N56" s="7" t="str">
        <f>VLOOKUP(B56,[1]characters!$A:$G,7,FALSE)</f>
        <v>女性</v>
      </c>
      <c r="O56" s="45">
        <f t="shared" si="2"/>
        <v>395</v>
      </c>
      <c r="P56" s="46">
        <f>O56/SUM(O:O)</f>
        <v>1.1904761904761906E-3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>
        <v>468105</v>
      </c>
      <c r="B57" s="6">
        <v>471</v>
      </c>
      <c r="C57" s="7" t="str">
        <f t="shared" si="0"/>
        <v>Premium5</v>
      </c>
      <c r="D57" s="7" t="str">
        <f t="shared" si="1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不可避の爆激 トリスタン</v>
      </c>
      <c r="I57" s="7" t="str">
        <f>VLOOKUP(B57,[1]characters!$A:$J,10,FALSE)</f>
        <v>PremiumS</v>
      </c>
      <c r="J57" s="7">
        <f>VLOOKUP(B57,[1]characters!$A:$I,9,FALSE)</f>
        <v>5</v>
      </c>
      <c r="K57" s="7" t="str">
        <f>VLOOKUP(B57,[1]characters!$A:$H,8,FALSE)</f>
        <v>yellow</v>
      </c>
      <c r="L57" s="7" t="str">
        <f>VLOOKUP(B57,[1]characters!$A:$K,11,FALSE)</f>
        <v>attack</v>
      </c>
      <c r="M57" s="7" t="str">
        <f>VLOOKUP(B57,[1]characters!$A:$M,13,FALSE)</f>
        <v>human</v>
      </c>
      <c r="N57" s="7" t="str">
        <f>VLOOKUP(B57,[1]characters!$A:$G,7,FALSE)</f>
        <v>男性</v>
      </c>
      <c r="O57" s="45">
        <f t="shared" si="2"/>
        <v>3780</v>
      </c>
      <c r="P57" s="46">
        <f>O57/SUM(O:O)</f>
        <v>1.1392405063291139E-2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>
        <v>468105</v>
      </c>
      <c r="B58" s="6">
        <v>475</v>
      </c>
      <c r="C58" s="7" t="str">
        <f t="shared" si="0"/>
        <v>PremiumSS5</v>
      </c>
      <c r="D58" s="7" t="str">
        <f t="shared" si="1"/>
        <v>PremiumSS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緋王 キング・ドライグ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red</v>
      </c>
      <c r="L58" s="7" t="str">
        <f>VLOOKUP(B58,[1]characters!$A:$K,11,FALSE)</f>
        <v>attack</v>
      </c>
      <c r="M58" s="7" t="str">
        <f>VLOOKUP(B58,[1]characters!$A:$M,13,FALSE)</f>
        <v>dragon</v>
      </c>
      <c r="N58" s="7" t="str">
        <f>VLOOKUP(B58,[1]characters!$A:$G,7,FALSE)</f>
        <v>不明</v>
      </c>
      <c r="O58" s="45">
        <f t="shared" si="2"/>
        <v>395</v>
      </c>
      <c r="P58" s="46">
        <f>O58/SUM(O:O)</f>
        <v>1.1904761904761906E-3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>
        <v>468105</v>
      </c>
      <c r="B59" s="6">
        <v>478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時計仕掛けの愛羽妖精 ファータ</v>
      </c>
      <c r="I59" s="7" t="str">
        <f>VLOOKUP(B59,[1]characters!$A:$J,10,FALSE)</f>
        <v>PremiumS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heal</v>
      </c>
      <c r="M59" s="7" t="str">
        <f>VLOOKUP(B59,[1]characters!$A:$M,13,FALSE)</f>
        <v>unknown</v>
      </c>
      <c r="N59" s="7" t="str">
        <f>VLOOKUP(B59,[1]characters!$A:$G,7,FALSE)</f>
        <v>女性</v>
      </c>
      <c r="O59" s="45">
        <f t="shared" si="2"/>
        <v>3780</v>
      </c>
      <c r="P59" s="46">
        <f>O59/SUM(O:O)</f>
        <v>1.1392405063291139E-2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>
        <v>468105</v>
      </c>
      <c r="B60" s="6">
        <v>480</v>
      </c>
      <c r="C60" s="7" t="str">
        <f t="shared" si="0"/>
        <v>PremiumSS5</v>
      </c>
      <c r="D60" s="7" t="str">
        <f t="shared" si="1"/>
        <v>PremiumSS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夢幻の愚者フール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 t="str">
        <f>VLOOKUP(B60,[1]characters!$A:$G,7,FALSE)</f>
        <v>男性</v>
      </c>
      <c r="O60" s="45">
        <f t="shared" si="2"/>
        <v>395</v>
      </c>
      <c r="P60" s="46">
        <f>O60/SUM(O:O)</f>
        <v>1.1904761904761906E-3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>
        <v>468105</v>
      </c>
      <c r="B61" s="6">
        <v>483</v>
      </c>
      <c r="C61" s="7" t="str">
        <f t="shared" si="0"/>
        <v>Premium5</v>
      </c>
      <c r="D61" s="7" t="str">
        <f t="shared" si="1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 xml:space="preserve">命経死遂 沢庵宗彭 </v>
      </c>
      <c r="I61" s="7" t="str">
        <f>VLOOKUP(B61,[1]characters!$A:$J,10,FALSE)</f>
        <v>PremiumS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hp</v>
      </c>
      <c r="M61" s="7" t="str">
        <f>VLOOKUP(B61,[1]characters!$A:$M,13,FALSE)</f>
        <v>human</v>
      </c>
      <c r="N61" s="7" t="str">
        <f>VLOOKUP(B61,[1]characters!$A:$G,7,FALSE)</f>
        <v>男性</v>
      </c>
      <c r="O61" s="45">
        <f t="shared" si="2"/>
        <v>3780</v>
      </c>
      <c r="P61" s="46">
        <f>O61/SUM(O:O)</f>
        <v>1.1392405063291139E-2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>
        <v>468105</v>
      </c>
      <c r="B62" s="8">
        <v>493</v>
      </c>
      <c r="C62" s="7" t="str">
        <f t="shared" si="0"/>
        <v>PremiumSS5</v>
      </c>
      <c r="D62" s="7" t="str">
        <f t="shared" si="1"/>
        <v>PremiumSS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跋扈の機脚 ブートレグ・ペロー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red</v>
      </c>
      <c r="L62" s="7" t="str">
        <f>VLOOKUP(B62,[1]characters!$A:$K,11,FALSE)</f>
        <v>hp</v>
      </c>
      <c r="M62" s="7" t="str">
        <f>VLOOKUP(B62,[1]characters!$A:$M,13,FALSE)</f>
        <v>animal</v>
      </c>
      <c r="N62" s="7" t="str">
        <f>VLOOKUP(B62,[1]characters!$A:$G,7,FALSE)</f>
        <v>不明</v>
      </c>
      <c r="O62" s="45">
        <f t="shared" si="2"/>
        <v>395</v>
      </c>
      <c r="P62" s="46">
        <f>O62/SUM(O:O)</f>
        <v>1.1904761904761906E-3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>
        <v>468105</v>
      </c>
      <c r="B63" s="8">
        <v>495</v>
      </c>
      <c r="C63" s="7" t="str">
        <f t="shared" si="0"/>
        <v>PremiumSS5</v>
      </c>
      <c r="D63" s="7" t="str">
        <f t="shared" si="1"/>
        <v>PremiumSS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鼠災呼ぶ笛音 ハーメルン</v>
      </c>
      <c r="I63" s="7" t="str">
        <f>VLOOKUP(B63,[1]characters!$A:$J,10,FALSE)</f>
        <v>PremiumSS</v>
      </c>
      <c r="J63" s="7">
        <f>VLOOKUP(B63,[1]characters!$A:$I,9,FALSE)</f>
        <v>5</v>
      </c>
      <c r="K63" s="7" t="str">
        <f>VLOOKUP(B63,[1]characters!$A:$H,8,FALSE)</f>
        <v>green</v>
      </c>
      <c r="L63" s="7" t="str">
        <f>VLOOKUP(B63,[1]characters!$A:$K,11,FALSE)</f>
        <v>technical</v>
      </c>
      <c r="M63" s="7" t="str">
        <f>VLOOKUP(B63,[1]characters!$A:$M,13,FALSE)</f>
        <v>human</v>
      </c>
      <c r="N63" s="7" t="str">
        <f>VLOOKUP(B63,[1]characters!$A:$G,7,FALSE)</f>
        <v>男性</v>
      </c>
      <c r="O63" s="45">
        <f t="shared" si="2"/>
        <v>395</v>
      </c>
      <c r="P63" s="46">
        <f>O63/SUM(O:O)</f>
        <v>1.1904761904761906E-3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>
        <v>468105</v>
      </c>
      <c r="B64" s="8">
        <v>498</v>
      </c>
      <c r="C64" s="7" t="str">
        <f t="shared" si="0"/>
        <v>Premium5</v>
      </c>
      <c r="D64" s="7" t="str">
        <f t="shared" si="1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自愛の高魔 エスタブ</v>
      </c>
      <c r="I64" s="7" t="str">
        <f>VLOOKUP(B64,[1]characters!$A:$J,10,FALSE)</f>
        <v>PremiumS</v>
      </c>
      <c r="J64" s="7">
        <f>VLOOKUP(B64,[1]characters!$A:$I,9,FALSE)</f>
        <v>5</v>
      </c>
      <c r="K64" s="7" t="str">
        <f>VLOOKUP(B64,[1]characters!$A:$H,8,FALSE)</f>
        <v>blue</v>
      </c>
      <c r="L64" s="7" t="str">
        <f>VLOOKUP(B64,[1]characters!$A:$K,11,FALSE)</f>
        <v>attack</v>
      </c>
      <c r="M64" s="7" t="str">
        <f>VLOOKUP(B64,[1]characters!$A:$M,13,FALSE)</f>
        <v>human</v>
      </c>
      <c r="N64" s="7" t="str">
        <f>VLOOKUP(B64,[1]characters!$A:$G,7,FALSE)</f>
        <v>男性</v>
      </c>
      <c r="O64" s="45">
        <f t="shared" si="2"/>
        <v>3780</v>
      </c>
      <c r="P64" s="46">
        <f>O64/SUM(O:O)</f>
        <v>1.1392405063291139E-2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>
        <v>468105</v>
      </c>
      <c r="B65" s="8">
        <v>500</v>
      </c>
      <c r="C65" s="7" t="str">
        <f t="shared" si="0"/>
        <v>PremiumSS5</v>
      </c>
      <c r="D65" s="7" t="str">
        <f t="shared" si="1"/>
        <v>PremiumSS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脈動の禁髪 ラプンツェル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45">
        <f t="shared" si="2"/>
        <v>395</v>
      </c>
      <c r="P65" s="46">
        <f>O65/SUM(O:O)</f>
        <v>1.1904761904761906E-3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>
        <v>468105</v>
      </c>
      <c r="B66" s="6">
        <v>560</v>
      </c>
      <c r="C66" s="7" t="str">
        <f t="shared" ref="C66:C129" si="3">D66&amp;J66&amp;E66&amp;F66&amp;G66</f>
        <v>premium5R3less</v>
      </c>
      <c r="D66" s="7" t="str">
        <f t="shared" si="1"/>
        <v>premium</v>
      </c>
      <c r="E66" s="7" t="str">
        <f>IF(COUNTIF('R6追加前'!A:A,B66)=0,IF(OR(I66="PremiumSS",I66="PremiumSSw"),"R5only","R3less"),"")</f>
        <v>R3less</v>
      </c>
      <c r="F66" s="7" t="str">
        <f>IF(COUNTIF('R6開放'!A:A,B66)&gt;0,"R6release","")</f>
        <v/>
      </c>
      <c r="G66" s="7"/>
      <c r="H66" s="7" t="str">
        <f>VLOOKUP(B66,[1]characters!$A:$C,3,FALSE)</f>
        <v>暴骨炎舞の狂賢者 ユノ</v>
      </c>
      <c r="I66" s="7" t="str">
        <f>VLOOKUP(B66,[1]characters!$A:$J,10,FALSE)</f>
        <v>PremiumW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attack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t="shared" si="2"/>
        <v>3780</v>
      </c>
      <c r="P66" s="46">
        <f>O66/SUM(O:O)</f>
        <v>1.1392405063291139E-2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>
        <v>468105</v>
      </c>
      <c r="B67" s="6">
        <v>561</v>
      </c>
      <c r="C67" s="7" t="str">
        <f t="shared" si="3"/>
        <v>premium5R3less</v>
      </c>
      <c r="D67" s="7" t="str">
        <f t="shared" ref="D67:D130" si="4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>R3less</v>
      </c>
      <c r="F67" s="7" t="str">
        <f>IF(COUNTIF('R6開放'!A:A,B67)&gt;0,"R6release","")</f>
        <v/>
      </c>
      <c r="G67" s="7"/>
      <c r="H67" s="7" t="str">
        <f>VLOOKUP(B67,[1]characters!$A:$C,3,FALSE)</f>
        <v>森翠統べる獣姫 アマラ</v>
      </c>
      <c r="I67" s="7" t="str">
        <f>VLOOKUP(B67,[1]characters!$A:$J,10,FALSE)</f>
        <v>PremiumW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t="shared" ref="O67:O130" si="5">IF(D67="Premium",3780,IF(D67="PremiumSSS",1659,395))</f>
        <v>3780</v>
      </c>
      <c r="P67" s="46">
        <f>O67/SUM(O:O)</f>
        <v>1.1392405063291139E-2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>
        <v>468105</v>
      </c>
      <c r="B68" s="6">
        <v>562</v>
      </c>
      <c r="C68" s="7" t="str">
        <f t="shared" si="3"/>
        <v>premium5R3less</v>
      </c>
      <c r="D68" s="7" t="str">
        <f t="shared" si="4"/>
        <v>premium</v>
      </c>
      <c r="E68" s="7" t="str">
        <f>IF(COUNTIF('R6追加前'!A:A,B68)=0,IF(OR(I68="PremiumSS",I68="PremiumSSw"),"R5only","R3less"),"")</f>
        <v>R3less</v>
      </c>
      <c r="F68" s="7" t="str">
        <f>IF(COUNTIF('R6開放'!A:A,B68)&gt;0,"R6release","")</f>
        <v/>
      </c>
      <c r="G68" s="7"/>
      <c r="H68" s="7" t="str">
        <f>VLOOKUP(B68,[1]characters!$A:$C,3,FALSE)</f>
        <v>月夜砕く蒼狂狼 ローレンス</v>
      </c>
      <c r="I68" s="7" t="str">
        <f>VLOOKUP(B68,[1]characters!$A:$J,10,FALSE)</f>
        <v>PremiumW</v>
      </c>
      <c r="J68" s="7">
        <f>VLOOKUP(B68,[1]characters!$A:$I,9,FALSE)</f>
        <v>5</v>
      </c>
      <c r="K68" s="7" t="str">
        <f>VLOOKUP(B68,[1]characters!$A:$H,8,FALSE)</f>
        <v>blue</v>
      </c>
      <c r="L68" s="7" t="str">
        <f>VLOOKUP(B68,[1]characters!$A:$K,11,FALSE)</f>
        <v>attack</v>
      </c>
      <c r="M68" s="7" t="str">
        <f>VLOOKUP(B68,[1]characters!$A:$M,13,FALSE)</f>
        <v>animal</v>
      </c>
      <c r="N68" s="7" t="str">
        <f>VLOOKUP(B68,[1]characters!$A:$G,7,FALSE)</f>
        <v>不明</v>
      </c>
      <c r="O68" s="45">
        <f t="shared" si="5"/>
        <v>3780</v>
      </c>
      <c r="P68" s="46">
        <f>O68/SUM(O:O)</f>
        <v>1.1392405063291139E-2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>
        <v>468105</v>
      </c>
      <c r="B69" s="6">
        <v>563</v>
      </c>
      <c r="C69" s="7" t="str">
        <f t="shared" si="3"/>
        <v>premium5R3less</v>
      </c>
      <c r="D69" s="7" t="str">
        <f t="shared" si="4"/>
        <v>premium</v>
      </c>
      <c r="E69" s="7" t="str">
        <f>IF(COUNTIF('R6追加前'!A:A,B69)=0,IF(OR(I69="PremiumSS",I69="PremiumSSw"),"R5only","R3less"),"")</f>
        <v>R3less</v>
      </c>
      <c r="F69" s="7" t="str">
        <f>IF(COUNTIF('R6開放'!A:A,B69)&gt;0,"R6release","")</f>
        <v/>
      </c>
      <c r="G69" s="7"/>
      <c r="H69" s="7" t="str">
        <f>VLOOKUP(B69,[1]characters!$A:$C,3,FALSE)</f>
        <v>電翔紫閃の雷刃 ハヤト</v>
      </c>
      <c r="I69" s="7" t="str">
        <f>VLOOKUP(B69,[1]characters!$A:$J,10,FALSE)</f>
        <v>PremiumW</v>
      </c>
      <c r="J69" s="7">
        <f>VLOOKUP(B69,[1]characters!$A:$I,9,FALSE)</f>
        <v>5</v>
      </c>
      <c r="K69" s="7" t="str">
        <f>VLOOKUP(B69,[1]characters!$A:$H,8,FALSE)</f>
        <v>yellow</v>
      </c>
      <c r="L69" s="7" t="str">
        <f>VLOOKUP(B69,[1]characters!$A:$K,11,FALSE)</f>
        <v>attack</v>
      </c>
      <c r="M69" s="7" t="str">
        <f>VLOOKUP(B69,[1]characters!$A:$M,13,FALSE)</f>
        <v>human</v>
      </c>
      <c r="N69" s="7" t="str">
        <f>VLOOKUP(B69,[1]characters!$A:$G,7,FALSE)</f>
        <v>男性</v>
      </c>
      <c r="O69" s="45">
        <f t="shared" si="5"/>
        <v>3780</v>
      </c>
      <c r="P69" s="46">
        <f>O69/SUM(O:O)</f>
        <v>1.1392405063291139E-2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>
        <v>468105</v>
      </c>
      <c r="B70" s="10">
        <v>566</v>
      </c>
      <c r="C70" s="7" t="str">
        <f t="shared" si="3"/>
        <v>premium5R3less</v>
      </c>
      <c r="D70" s="7" t="str">
        <f t="shared" si="4"/>
        <v>premium</v>
      </c>
      <c r="E70" s="7" t="str">
        <f>IF(COUNTIF('R6追加前'!A:A,B70)=0,IF(OR(I70="PremiumSS",I70="PremiumSSw"),"R5only","R3less"),"")</f>
        <v>R3less</v>
      </c>
      <c r="F70" s="7" t="str">
        <f>IF(COUNTIF('R6開放'!A:A,B70)&gt;0,"R6release","")</f>
        <v/>
      </c>
      <c r="G70" s="7"/>
      <c r="H70" s="7" t="str">
        <f>VLOOKUP(B70,[1]characters!$A:$C,3,FALSE)</f>
        <v>遊歩遊泳プリンセス マーメイド</v>
      </c>
      <c r="I70" s="7" t="str">
        <f>VLOOKUP(B70,[1]characters!$A:$J,10,FALSE)</f>
        <v>PremiumW</v>
      </c>
      <c r="J70" s="7">
        <f>VLOOKUP(B70,[1]characters!$A:$I,9,FALSE)</f>
        <v>5</v>
      </c>
      <c r="K70" s="7" t="str">
        <f>VLOOKUP(B70,[1]characters!$A:$H,8,FALSE)</f>
        <v>blue</v>
      </c>
      <c r="L70" s="7" t="str">
        <f>VLOOKUP(B70,[1]characters!$A:$K,11,FALSE)</f>
        <v>hp</v>
      </c>
      <c r="M70" s="7" t="str">
        <f>VLOOKUP(B70,[1]characters!$A:$M,13,FALSE)</f>
        <v>human</v>
      </c>
      <c r="N70" s="7" t="str">
        <f>VLOOKUP(B70,[1]characters!$A:$G,7,FALSE)</f>
        <v>不明</v>
      </c>
      <c r="O70" s="45">
        <f t="shared" si="5"/>
        <v>3780</v>
      </c>
      <c r="P70" s="46">
        <f>O70/SUM(O:O)</f>
        <v>1.1392405063291139E-2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>
        <v>468105</v>
      </c>
      <c r="B71" s="6">
        <v>567</v>
      </c>
      <c r="C71" s="7" t="str">
        <f t="shared" si="3"/>
        <v>premium5R3less</v>
      </c>
      <c r="D71" s="7" t="str">
        <f t="shared" si="4"/>
        <v>premium</v>
      </c>
      <c r="E71" s="7" t="str">
        <f>IF(COUNTIF('R6追加前'!A:A,B71)=0,IF(OR(I71="PremiumSS",I71="PremiumSSw"),"R5only","R3less"),"")</f>
        <v>R3less</v>
      </c>
      <c r="F71" s="7" t="str">
        <f>IF(COUNTIF('R6開放'!A:A,B71)&gt;0,"R6release","")</f>
        <v/>
      </c>
      <c r="G71" s="7"/>
      <c r="H71" s="7" t="str">
        <f>VLOOKUP(B71,[1]characters!$A:$C,3,FALSE)</f>
        <v>紅揚の祭狐宴舞 タマモ</v>
      </c>
      <c r="I71" s="7" t="str">
        <f>VLOOKUP(B71,[1]characters!$A:$J,10,FALSE)</f>
        <v>PremiumW</v>
      </c>
      <c r="J71" s="7">
        <f>VLOOKUP(B71,[1]characters!$A:$I,9,FALSE)</f>
        <v>5</v>
      </c>
      <c r="K71" s="7" t="str">
        <f>VLOOKUP(B71,[1]characters!$A:$H,8,FALSE)</f>
        <v>yellow</v>
      </c>
      <c r="L71" s="7" t="str">
        <f>VLOOKUP(B71,[1]characters!$A:$K,11,FALSE)</f>
        <v>balance</v>
      </c>
      <c r="M71" s="7" t="str">
        <f>VLOOKUP(B71,[1]characters!$A:$M,13,FALSE)</f>
        <v>animal</v>
      </c>
      <c r="N71" s="7" t="str">
        <f>VLOOKUP(B71,[1]characters!$A:$G,7,FALSE)</f>
        <v>不明</v>
      </c>
      <c r="O71" s="45">
        <f t="shared" si="5"/>
        <v>3780</v>
      </c>
      <c r="P71" s="46">
        <f>O71/SUM(O:O)</f>
        <v>1.1392405063291139E-2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>
        <v>468105</v>
      </c>
      <c r="B72" s="10">
        <v>587</v>
      </c>
      <c r="C72" s="7" t="str">
        <f t="shared" si="3"/>
        <v>PremiumSS5</v>
      </c>
      <c r="D72" s="7" t="str">
        <f t="shared" si="4"/>
        <v>PremiumSS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原初の煉鋼巨刃 ユミル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red</v>
      </c>
      <c r="L72" s="7" t="str">
        <f>VLOOKUP(B72,[1]characters!$A:$K,11,FALSE)</f>
        <v>hp</v>
      </c>
      <c r="M72" s="7" t="str">
        <f>VLOOKUP(B72,[1]characters!$A:$M,13,FALSE)</f>
        <v>machine</v>
      </c>
      <c r="N72" s="7" t="str">
        <f>VLOOKUP(B72,[1]characters!$A:$G,7,FALSE)</f>
        <v>不明</v>
      </c>
      <c r="O72" s="45">
        <f t="shared" si="5"/>
        <v>395</v>
      </c>
      <c r="P72" s="46">
        <f>O72/SUM(O:O)</f>
        <v>1.1904761904761906E-3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>
        <v>468105</v>
      </c>
      <c r="B73" s="11">
        <v>590</v>
      </c>
      <c r="C73" s="7" t="str">
        <f t="shared" si="3"/>
        <v>Premium5</v>
      </c>
      <c r="D73" s="7" t="str">
        <f t="shared" si="4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永遠を廻る呪い ニーベルゲン</v>
      </c>
      <c r="I73" s="7" t="str">
        <f>VLOOKUP(B73,[1]characters!$A:$J,10,FALSE)</f>
        <v>PremiumS</v>
      </c>
      <c r="J73" s="7">
        <f>VLOOKUP(B73,[1]characters!$A:$I,9,FALSE)</f>
        <v>5</v>
      </c>
      <c r="K73" s="7" t="str">
        <f>VLOOKUP(B73,[1]characters!$A:$H,8,FALSE)</f>
        <v>green</v>
      </c>
      <c r="L73" s="7" t="str">
        <f>VLOOKUP(B73,[1]characters!$A:$K,11,FALSE)</f>
        <v>balance</v>
      </c>
      <c r="M73" s="7" t="str">
        <f>VLOOKUP(B73,[1]characters!$A:$M,13,FALSE)</f>
        <v>unknown</v>
      </c>
      <c r="N73" s="7" t="str">
        <f>VLOOKUP(B73,[1]characters!$A:$G,7,FALSE)</f>
        <v>女性</v>
      </c>
      <c r="O73" s="45">
        <f t="shared" si="5"/>
        <v>3780</v>
      </c>
      <c r="P73" s="46">
        <f>O73/SUM(O:O)</f>
        <v>1.1392405063291139E-2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>
        <v>468105</v>
      </c>
      <c r="B74" s="6">
        <v>593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妄執する邪毒龍 ファフニール</v>
      </c>
      <c r="I74" s="7" t="str">
        <f>VLOOKUP(B74,[1]characters!$A:$J,10,FALSE)</f>
        <v>PremiumS</v>
      </c>
      <c r="J74" s="7">
        <f>VLOOKUP(B74,[1]characters!$A:$I,9,FALSE)</f>
        <v>5</v>
      </c>
      <c r="K74" s="7" t="str">
        <f>VLOOKUP(B74,[1]characters!$A:$H,8,FALSE)</f>
        <v>blue</v>
      </c>
      <c r="L74" s="7" t="str">
        <f>VLOOKUP(B74,[1]characters!$A:$K,11,FALSE)</f>
        <v>technical</v>
      </c>
      <c r="M74" s="7" t="str">
        <f>VLOOKUP(B74,[1]characters!$A:$M,13,FALSE)</f>
        <v>dragon</v>
      </c>
      <c r="N74" s="7" t="str">
        <f>VLOOKUP(B74,[1]characters!$A:$G,7,FALSE)</f>
        <v>不明</v>
      </c>
      <c r="O74" s="45">
        <f t="shared" si="5"/>
        <v>3780</v>
      </c>
      <c r="P74" s="46">
        <f>O74/SUM(O:O)</f>
        <v>1.1392405063291139E-2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>
        <v>468105</v>
      </c>
      <c r="B75" s="6">
        <v>595</v>
      </c>
      <c r="C75" s="7" t="str">
        <f t="shared" si="3"/>
        <v>PremiumSS5</v>
      </c>
      <c r="D75" s="7" t="str">
        <f t="shared" si="4"/>
        <v>PremiumSS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光華なる神域 アルフヘイム</v>
      </c>
      <c r="I75" s="7" t="str">
        <f>VLOOKUP(B75,[1]characters!$A:$J,10,FALSE)</f>
        <v>PremiumSS</v>
      </c>
      <c r="J75" s="7">
        <f>VLOOKUP(B75,[1]characters!$A:$I,9,FALSE)</f>
        <v>5</v>
      </c>
      <c r="K75" s="7" t="str">
        <f>VLOOKUP(B75,[1]characters!$A:$H,8,FALSE)</f>
        <v>yellow</v>
      </c>
      <c r="L75" s="7" t="str">
        <f>VLOOKUP(B75,[1]characters!$A:$K,11,FALSE)</f>
        <v>attack</v>
      </c>
      <c r="M75" s="7" t="str">
        <f>VLOOKUP(B75,[1]characters!$A:$M,13,FALSE)</f>
        <v>dragon</v>
      </c>
      <c r="N75" s="7" t="str">
        <f>VLOOKUP(B75,[1]characters!$A:$G,7,FALSE)</f>
        <v>不明</v>
      </c>
      <c r="O75" s="45">
        <f t="shared" si="5"/>
        <v>395</v>
      </c>
      <c r="P75" s="46">
        <f>O75/SUM(O:O)</f>
        <v>1.1904761904761906E-3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>
        <v>468105</v>
      </c>
      <c r="B76" s="6">
        <v>598</v>
      </c>
      <c r="C76" s="7" t="str">
        <f t="shared" si="3"/>
        <v>Premium5</v>
      </c>
      <c r="D76" s="7" t="str">
        <f t="shared" si="4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焼燃の情熱 ムスペルヘイム</v>
      </c>
      <c r="I76" s="7" t="str">
        <f>VLOOKUP(B76,[1]characters!$A:$J,10,FALSE)</f>
        <v>PremiumS</v>
      </c>
      <c r="J76" s="7">
        <f>VLOOKUP(B76,[1]characters!$A:$I,9,FALSE)</f>
        <v>5</v>
      </c>
      <c r="K76" s="7" t="str">
        <f>VLOOKUP(B76,[1]characters!$A:$H,8,FALSE)</f>
        <v>red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t="shared" si="5"/>
        <v>3780</v>
      </c>
      <c r="P76" s="46">
        <f>O76/SUM(O:O)</f>
        <v>1.1392405063291139E-2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>
        <v>468105</v>
      </c>
      <c r="B77" s="5">
        <v>601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界根蝕む悪食 ニーズヘッグ</v>
      </c>
      <c r="I77" s="7" t="str">
        <f>VLOOKUP(B77,[1]characters!$A:$J,10,FALSE)</f>
        <v>PremiumS</v>
      </c>
      <c r="J77" s="7">
        <f>VLOOKUP(B77,[1]characters!$A:$I,9,FALSE)</f>
        <v>5</v>
      </c>
      <c r="K77" s="7" t="str">
        <f>VLOOKUP(B77,[1]characters!$A:$H,8,FALSE)</f>
        <v>green</v>
      </c>
      <c r="L77" s="7" t="str">
        <f>VLOOKUP(B77,[1]characters!$A:$K,11,FALSE)</f>
        <v>attack</v>
      </c>
      <c r="M77" s="7" t="str">
        <f>VLOOKUP(B77,[1]characters!$A:$M,13,FALSE)</f>
        <v>dragon</v>
      </c>
      <c r="N77" s="7" t="str">
        <f>VLOOKUP(B77,[1]characters!$A:$G,7,FALSE)</f>
        <v>不明</v>
      </c>
      <c r="O77" s="45">
        <f t="shared" si="5"/>
        <v>3780</v>
      </c>
      <c r="P77" s="46">
        <f>O77/SUM(O:O)</f>
        <v>1.1392405063291139E-2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>
        <v>468105</v>
      </c>
      <c r="B78" s="5">
        <v>603</v>
      </c>
      <c r="C78" s="7" t="str">
        <f t="shared" si="3"/>
        <v>PremiumSS5</v>
      </c>
      <c r="D78" s="7" t="str">
        <f t="shared" si="4"/>
        <v>PremiumSS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掌愛の豊穣女神 フレイヤ</v>
      </c>
      <c r="I78" s="7" t="str">
        <f>VLOOKUP(B78,[1]characters!$A:$J,10,FALSE)</f>
        <v>PremiumSS</v>
      </c>
      <c r="J78" s="7">
        <f>VLOOKUP(B78,[1]characters!$A:$I,9,FALSE)</f>
        <v>5</v>
      </c>
      <c r="K78" s="7" t="str">
        <f>VLOOKUP(B78,[1]characters!$A:$H,8,FALSE)</f>
        <v>blue</v>
      </c>
      <c r="L78" s="7" t="str">
        <f>VLOOKUP(B78,[1]characters!$A:$K,11,FALSE)</f>
        <v>heal</v>
      </c>
      <c r="M78" s="7" t="str">
        <f>VLOOKUP(B78,[1]characters!$A:$M,13,FALSE)</f>
        <v>animal</v>
      </c>
      <c r="N78" s="7" t="str">
        <f>VLOOKUP(B78,[1]characters!$A:$G,7,FALSE)</f>
        <v>女性</v>
      </c>
      <c r="O78" s="45">
        <f t="shared" si="5"/>
        <v>395</v>
      </c>
      <c r="P78" s="46">
        <f>O78/SUM(O:O)</f>
        <v>1.1904761904761906E-3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>
        <v>468105</v>
      </c>
      <c r="B79" s="5">
        <v>606</v>
      </c>
      <c r="C79" s="7" t="str">
        <f t="shared" si="3"/>
        <v>Premium5</v>
      </c>
      <c r="D79" s="7" t="str">
        <f t="shared" si="4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冀望の光芒 バルドル</v>
      </c>
      <c r="I79" s="7" t="str">
        <f>VLOOKUP(B79,[1]characters!$A:$J,10,FALSE)</f>
        <v>PremiumS</v>
      </c>
      <c r="J79" s="7">
        <f>VLOOKUP(B79,[1]characters!$A:$I,9,FALSE)</f>
        <v>5</v>
      </c>
      <c r="K79" s="7" t="str">
        <f>VLOOKUP(B79,[1]characters!$A:$H,8,FALSE)</f>
        <v>yellow</v>
      </c>
      <c r="L79" s="7" t="str">
        <f>VLOOKUP(B79,[1]characters!$A:$K,11,FALSE)</f>
        <v>heal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t="shared" si="5"/>
        <v>3780</v>
      </c>
      <c r="P79" s="46">
        <f>O79/SUM(O:O)</f>
        <v>1.1392405063291139E-2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>
        <v>468105</v>
      </c>
      <c r="B80" s="5">
        <v>659</v>
      </c>
      <c r="C80" s="7" t="str">
        <f t="shared" si="3"/>
        <v>PremiumSS5</v>
      </c>
      <c r="D80" s="7" t="str">
        <f t="shared" si="4"/>
        <v>PremiumSS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跳梁する化猫 クルミ</v>
      </c>
      <c r="I80" s="7" t="str">
        <f>VLOOKUP(B80,[1]characters!$A:$J,10,FALSE)</f>
        <v>PremiumSS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attack</v>
      </c>
      <c r="M80" s="7" t="str">
        <f>VLOOKUP(B80,[1]characters!$A:$M,13,FALSE)</f>
        <v>animal</v>
      </c>
      <c r="N80" s="7" t="str">
        <f>VLOOKUP(B80,[1]characters!$A:$G,7,FALSE)</f>
        <v>女性</v>
      </c>
      <c r="O80" s="45">
        <f t="shared" si="5"/>
        <v>395</v>
      </c>
      <c r="P80" s="46">
        <f>O80/SUM(O:O)</f>
        <v>1.1904761904761906E-3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>
        <v>468105</v>
      </c>
      <c r="B81" s="5">
        <v>661</v>
      </c>
      <c r="C81" s="7" t="str">
        <f t="shared" si="3"/>
        <v>PremiumSS5</v>
      </c>
      <c r="D81" s="7" t="str">
        <f t="shared" si="4"/>
        <v>PremiumSS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疾風の天狗礫 フウガ</v>
      </c>
      <c r="I81" s="7" t="str">
        <f>VLOOKUP(B81,[1]characters!$A:$J,10,FALSE)</f>
        <v>PremiumSS</v>
      </c>
      <c r="J81" s="7">
        <f>VLOOKUP(B81,[1]characters!$A:$I,9,FALSE)</f>
        <v>5</v>
      </c>
      <c r="K81" s="7" t="str">
        <f>VLOOKUP(B81,[1]characters!$A:$H,8,FALSE)</f>
        <v>green</v>
      </c>
      <c r="L81" s="7" t="str">
        <f>VLOOKUP(B81,[1]characters!$A:$K,11,FALSE)</f>
        <v>balance</v>
      </c>
      <c r="M81" s="7" t="str">
        <f>VLOOKUP(B81,[1]characters!$A:$M,13,FALSE)</f>
        <v>animal</v>
      </c>
      <c r="N81" s="7" t="str">
        <f>VLOOKUP(B81,[1]characters!$A:$G,7,FALSE)</f>
        <v>男性</v>
      </c>
      <c r="O81" s="45">
        <f t="shared" si="5"/>
        <v>395</v>
      </c>
      <c r="P81" s="46">
        <f>O81/SUM(O:O)</f>
        <v>1.1904761904761906E-3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>
        <v>468105</v>
      </c>
      <c r="B82" s="5">
        <v>664</v>
      </c>
      <c r="C82" s="7" t="str">
        <f t="shared" si="3"/>
        <v>Premium5</v>
      </c>
      <c r="D82" s="7" t="str">
        <f t="shared" si="4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山掴み国造り ダイダラ</v>
      </c>
      <c r="I82" s="7" t="str">
        <f>VLOOKUP(B82,[1]characters!$A:$J,10,FALSE)</f>
        <v>PremiumS</v>
      </c>
      <c r="J82" s="7">
        <f>VLOOKUP(B82,[1]characters!$A:$I,9,FALSE)</f>
        <v>5</v>
      </c>
      <c r="K82" s="7" t="str">
        <f>VLOOKUP(B82,[1]characters!$A:$H,8,FALSE)</f>
        <v>blue</v>
      </c>
      <c r="L82" s="7" t="str">
        <f>VLOOKUP(B82,[1]characters!$A:$K,11,FALSE)</f>
        <v>hp</v>
      </c>
      <c r="M82" s="7" t="str">
        <f>VLOOKUP(B82,[1]characters!$A:$M,13,FALSE)</f>
        <v>unknown</v>
      </c>
      <c r="N82" s="7" t="str">
        <f>VLOOKUP(B82,[1]characters!$A:$G,7,FALSE)</f>
        <v>不明</v>
      </c>
      <c r="O82" s="45">
        <f t="shared" si="5"/>
        <v>3780</v>
      </c>
      <c r="P82" s="46">
        <f>O82/SUM(O:O)</f>
        <v>1.1392405063291139E-2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>
        <v>468105</v>
      </c>
      <c r="B83" s="5">
        <v>667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最幸運の妖童 テマリ</v>
      </c>
      <c r="I83" s="7" t="str">
        <f>VLOOKUP(B83,[1]characters!$A:$J,10,FALSE)</f>
        <v>PremiumS</v>
      </c>
      <c r="J83" s="7">
        <f>VLOOKUP(B83,[1]characters!$A:$I,9,FALSE)</f>
        <v>5</v>
      </c>
      <c r="K83" s="7" t="str">
        <f>VLOOKUP(B83,[1]characters!$A:$H,8,FALSE)</f>
        <v>yellow</v>
      </c>
      <c r="L83" s="7" t="str">
        <f>VLOOKUP(B83,[1]characters!$A:$K,11,FALSE)</f>
        <v>balance</v>
      </c>
      <c r="M83" s="7" t="str">
        <f>VLOOKUP(B83,[1]characters!$A:$M,13,FALSE)</f>
        <v>unknown</v>
      </c>
      <c r="N83" s="7" t="str">
        <f>VLOOKUP(B83,[1]characters!$A:$G,7,FALSE)</f>
        <v>女性</v>
      </c>
      <c r="O83" s="45">
        <f t="shared" si="5"/>
        <v>3780</v>
      </c>
      <c r="P83" s="46">
        <f>O83/SUM(O:O)</f>
        <v>1.1392405063291139E-2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>
        <v>468105</v>
      </c>
      <c r="B84" s="5">
        <v>670</v>
      </c>
      <c r="C84" s="7" t="str">
        <f t="shared" si="3"/>
        <v>Premium5</v>
      </c>
      <c r="D84" s="7" t="str">
        <f t="shared" si="4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陽天の噴煙 アグニ</v>
      </c>
      <c r="I84" s="7" t="str">
        <f>VLOOKUP(B84,[1]characters!$A:$J,10,FALSE)</f>
        <v>PremiumS</v>
      </c>
      <c r="J84" s="7">
        <f>VLOOKUP(B84,[1]characters!$A:$I,9,FALSE)</f>
        <v>5</v>
      </c>
      <c r="K84" s="7" t="str">
        <f>VLOOKUP(B84,[1]characters!$A:$H,8,FALSE)</f>
        <v>red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男性</v>
      </c>
      <c r="O84" s="45">
        <f t="shared" si="5"/>
        <v>3780</v>
      </c>
      <c r="P84" s="46">
        <f>O84/SUM(O:O)</f>
        <v>1.1392405063291139E-2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>
        <v>468105</v>
      </c>
      <c r="B85" s="5">
        <v>673</v>
      </c>
      <c r="C85" s="7" t="str">
        <f t="shared" si="3"/>
        <v>Premium5</v>
      </c>
      <c r="D85" s="7" t="str">
        <f t="shared" si="4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変幻自在の猿王 ハヌマーン</v>
      </c>
      <c r="I85" s="7" t="str">
        <f>VLOOKUP(B85,[1]characters!$A:$J,10,FALSE)</f>
        <v>PremiumS</v>
      </c>
      <c r="J85" s="7">
        <f>VLOOKUP(B85,[1]characters!$A:$I,9,FALSE)</f>
        <v>5</v>
      </c>
      <c r="K85" s="7" t="str">
        <f>VLOOKUP(B85,[1]characters!$A:$H,8,FALSE)</f>
        <v>green</v>
      </c>
      <c r="L85" s="7" t="str">
        <f>VLOOKUP(B85,[1]characters!$A:$K,11,FALSE)</f>
        <v>attack</v>
      </c>
      <c r="M85" s="7" t="str">
        <f>VLOOKUP(B85,[1]characters!$A:$M,13,FALSE)</f>
        <v>animal</v>
      </c>
      <c r="N85" s="7" t="str">
        <f>VLOOKUP(B85,[1]characters!$A:$G,7,FALSE)</f>
        <v>男性</v>
      </c>
      <c r="O85" s="45">
        <f t="shared" si="5"/>
        <v>3780</v>
      </c>
      <c r="P85" s="46">
        <f>O85/SUM(O:O)</f>
        <v>1.1392405063291139E-2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>
        <v>468105</v>
      </c>
      <c r="B86" s="5">
        <v>675</v>
      </c>
      <c r="C86" s="7" t="str">
        <f t="shared" si="3"/>
        <v>PremiumSS5</v>
      </c>
      <c r="D86" s="7" t="str">
        <f t="shared" si="4"/>
        <v>PremiumSS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芸楽の奔流 サラスヴァティ</v>
      </c>
      <c r="I86" s="7" t="str">
        <f>VLOOKUP(B86,[1]characters!$A:$J,10,FALSE)</f>
        <v>PremiumSS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balance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t="shared" si="5"/>
        <v>395</v>
      </c>
      <c r="P86" s="46">
        <f>O86/SUM(O:O)</f>
        <v>1.1904761904761906E-3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>
        <v>468105</v>
      </c>
      <c r="B87" s="5">
        <v>677</v>
      </c>
      <c r="C87" s="7" t="str">
        <f t="shared" si="3"/>
        <v>PremiumSS5</v>
      </c>
      <c r="D87" s="7" t="str">
        <f t="shared" si="4"/>
        <v>PremiumSS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武遊闊歩 ヴィシュヌ</v>
      </c>
      <c r="I87" s="7" t="str">
        <f>VLOOKUP(B87,[1]characters!$A:$J,10,FALSE)</f>
        <v>PremiumSS</v>
      </c>
      <c r="J87" s="7">
        <f>VLOOKUP(B87,[1]characters!$A:$I,9,FALSE)</f>
        <v>5</v>
      </c>
      <c r="K87" s="7" t="str">
        <f>VLOOKUP(B87,[1]characters!$A:$H,8,FALSE)</f>
        <v>yellow</v>
      </c>
      <c r="L87" s="7" t="str">
        <f>VLOOKUP(B87,[1]characters!$A:$K,11,FALSE)</f>
        <v>attack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t="shared" si="5"/>
        <v>395</v>
      </c>
      <c r="P87" s="46">
        <f>O87/SUM(O:O)</f>
        <v>1.1904761904761906E-3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>
        <v>468105</v>
      </c>
      <c r="B88" s="5">
        <v>729</v>
      </c>
      <c r="C88" s="7" t="str">
        <f t="shared" si="3"/>
        <v>Premium5R3less</v>
      </c>
      <c r="D88" s="7" t="str">
        <f t="shared" si="4"/>
        <v>Premium</v>
      </c>
      <c r="E88" s="7" t="str">
        <f>IF(COUNTIF('R6追加前'!A:A,B88)=0,IF(OR(I88="PremiumSS",I88="PremiumSSw"),"R5only","R3less"),"")</f>
        <v>R3less</v>
      </c>
      <c r="F88" s="7" t="str">
        <f>IF(COUNTIF('R6開放'!A:A,B88)&gt;0,"R6release","")</f>
        <v/>
      </c>
      <c r="G88" s="7"/>
      <c r="H88" s="7" t="str">
        <f>VLOOKUP(B88,[1]characters!$A:$C,3,FALSE)</f>
        <v>暗厄の双刀 井伊直虎</v>
      </c>
      <c r="I88" s="7" t="str">
        <f>VLOOKUP(B88,[1]characters!$A:$J,10,FALSE)</f>
        <v>PremiumS</v>
      </c>
      <c r="J88" s="7">
        <f>VLOOKUP(B88,[1]characters!$A:$I,9,FALSE)</f>
        <v>5</v>
      </c>
      <c r="K88" s="7" t="str">
        <f>VLOOKUP(B88,[1]characters!$A:$H,8,FALSE)</f>
        <v>red</v>
      </c>
      <c r="L88" s="7" t="str">
        <f>VLOOKUP(B88,[1]characters!$A:$K,11,FALSE)</f>
        <v>balance</v>
      </c>
      <c r="M88" s="7" t="str">
        <f>VLOOKUP(B88,[1]characters!$A:$M,13,FALSE)</f>
        <v>human</v>
      </c>
      <c r="N88" s="7" t="str">
        <f>VLOOKUP(B88,[1]characters!$A:$G,7,FALSE)</f>
        <v>女性</v>
      </c>
      <c r="O88" s="45">
        <f t="shared" si="5"/>
        <v>3780</v>
      </c>
      <c r="P88" s="46">
        <f>O88/SUM(O:O)</f>
        <v>1.1392405063291139E-2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>
        <v>468105</v>
      </c>
      <c r="B89" s="5">
        <v>731</v>
      </c>
      <c r="C89" s="7" t="str">
        <f t="shared" si="3"/>
        <v>Premium5R3less</v>
      </c>
      <c r="D89" s="7" t="str">
        <f t="shared" si="4"/>
        <v>Premium</v>
      </c>
      <c r="E89" s="7" t="str">
        <f>IF(COUNTIF('R6追加前'!A:A,B89)=0,IF(OR(I89="PremiumSS",I89="PremiumSSw"),"R5only","R3less"),"")</f>
        <v>R3less</v>
      </c>
      <c r="F89" s="7" t="str">
        <f>IF(COUNTIF('R6開放'!A:A,B89)&gt;0,"R6release","")</f>
        <v/>
      </c>
      <c r="G89" s="7"/>
      <c r="H89" s="7" t="str">
        <f>VLOOKUP(B89,[1]characters!$A:$C,3,FALSE)</f>
        <v>敬虔なる追銃 ガラシャ</v>
      </c>
      <c r="I89" s="7" t="str">
        <f>VLOOKUP(B89,[1]characters!$A:$J,10,FALSE)</f>
        <v>PremiumS</v>
      </c>
      <c r="J89" s="7">
        <f>VLOOKUP(B89,[1]characters!$A:$I,9,FALSE)</f>
        <v>5</v>
      </c>
      <c r="K89" s="7" t="str">
        <f>VLOOKUP(B89,[1]characters!$A:$H,8,FALSE)</f>
        <v>green</v>
      </c>
      <c r="L89" s="7" t="str">
        <f>VLOOKUP(B89,[1]characters!$A:$K,11,FALSE)</f>
        <v>heal</v>
      </c>
      <c r="M89" s="7" t="str">
        <f>VLOOKUP(B89,[1]characters!$A:$M,13,FALSE)</f>
        <v>human</v>
      </c>
      <c r="N89" s="7" t="str">
        <f>VLOOKUP(B89,[1]characters!$A:$G,7,FALSE)</f>
        <v>女性</v>
      </c>
      <c r="O89" s="45">
        <f t="shared" si="5"/>
        <v>3780</v>
      </c>
      <c r="P89" s="46">
        <f>O89/SUM(O:O)</f>
        <v>1.1392405063291139E-2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>
        <v>468105</v>
      </c>
      <c r="B90" s="5">
        <v>732</v>
      </c>
      <c r="C90" s="7" t="str">
        <f t="shared" si="3"/>
        <v>PremiumSS5R5only</v>
      </c>
      <c r="D90" s="7" t="str">
        <f t="shared" si="4"/>
        <v>PremiumSS</v>
      </c>
      <c r="E90" s="7" t="str">
        <f>IF(COUNTIF('R6追加前'!A:A,B90)=0,IF(OR(I90="PremiumSS",I90="PremiumSSw"),"R5only","R3less"),"")</f>
        <v>R5only</v>
      </c>
      <c r="F90" s="7" t="str">
        <f>IF(COUNTIF('R6開放'!A:A,B90)&gt;0,"R6release","")</f>
        <v/>
      </c>
      <c r="G90" s="7"/>
      <c r="H90" s="7" t="str">
        <f>VLOOKUP(B90,[1]characters!$A:$C,3,FALSE)</f>
        <v>上杉謙信</v>
      </c>
      <c r="I90" s="7" t="str">
        <f>VLOOKUP(B90,[1]characters!$A:$J,10,FALSE)</f>
        <v>PremiumSS</v>
      </c>
      <c r="J90" s="7">
        <f>VLOOKUP(B90,[1]characters!$A:$I,9,FALSE)</f>
        <v>5</v>
      </c>
      <c r="K90" s="7" t="str">
        <f>VLOOKUP(B90,[1]characters!$A:$H,8,FALSE)</f>
        <v>blue</v>
      </c>
      <c r="L90" s="7" t="str">
        <f>VLOOKUP(B90,[1]characters!$A:$K,11,FALSE)</f>
        <v>attack</v>
      </c>
      <c r="M90" s="7" t="str">
        <f>VLOOKUP(B90,[1]characters!$A:$M,13,FALSE)</f>
        <v>human</v>
      </c>
      <c r="N90" s="7" t="str">
        <f>VLOOKUP(B90,[1]characters!$A:$G,7,FALSE)</f>
        <v>女性</v>
      </c>
      <c r="O90" s="45">
        <f t="shared" si="5"/>
        <v>395</v>
      </c>
      <c r="P90" s="46">
        <f>O90/SUM(O:O)</f>
        <v>1.1904761904761906E-3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>
        <v>468105</v>
      </c>
      <c r="B91" s="5">
        <v>734</v>
      </c>
      <c r="C91" s="7" t="str">
        <f t="shared" si="3"/>
        <v>PremiumSS5R5only</v>
      </c>
      <c r="D91" s="7" t="str">
        <f t="shared" si="4"/>
        <v>PremiumSS</v>
      </c>
      <c r="E91" s="7" t="str">
        <f>IF(COUNTIF('R6追加前'!A:A,B91)=0,IF(OR(I91="PremiumSS",I91="PremiumSSw"),"R5only","R3less"),"")</f>
        <v>R5only</v>
      </c>
      <c r="F91" s="7" t="str">
        <f>IF(COUNTIF('R6開放'!A:A,B91)&gt;0,"R6release","")</f>
        <v/>
      </c>
      <c r="G91" s="7"/>
      <c r="H91" s="7" t="str">
        <f>VLOOKUP(B91,[1]characters!$A:$C,3,FALSE)</f>
        <v>伊達政宗</v>
      </c>
      <c r="I91" s="7" t="str">
        <f>VLOOKUP(B91,[1]characters!$A:$J,10,FALSE)</f>
        <v>PremiumSS</v>
      </c>
      <c r="J91" s="7">
        <f>VLOOKUP(B91,[1]characters!$A:$I,9,FALSE)</f>
        <v>5</v>
      </c>
      <c r="K91" s="7" t="str">
        <f>VLOOKUP(B91,[1]characters!$A:$H,8,FALSE)</f>
        <v>yellow</v>
      </c>
      <c r="L91" s="7" t="str">
        <f>VLOOKUP(B91,[1]characters!$A:$K,11,FALSE)</f>
        <v>balance</v>
      </c>
      <c r="M91" s="7" t="str">
        <f>VLOOKUP(B91,[1]characters!$A:$M,13,FALSE)</f>
        <v>human</v>
      </c>
      <c r="N91" s="7" t="str">
        <f>VLOOKUP(B91,[1]characters!$A:$G,7,FALSE)</f>
        <v>男性</v>
      </c>
      <c r="O91" s="45">
        <f t="shared" si="5"/>
        <v>395</v>
      </c>
      <c r="P91" s="46">
        <f>O91/SUM(O:O)</f>
        <v>1.1904761904761906E-3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>
        <v>468105</v>
      </c>
      <c r="B92" s="5">
        <v>742</v>
      </c>
      <c r="C92" s="7" t="str">
        <f t="shared" si="3"/>
        <v>PremiumSS5R5only</v>
      </c>
      <c r="D92" s="7" t="str">
        <f t="shared" si="4"/>
        <v>PremiumSS</v>
      </c>
      <c r="E92" s="7" t="str">
        <f>IF(COUNTIF('R6追加前'!A:A,B92)=0,IF(OR(I92="PremiumSS",I92="PremiumSSw"),"R5only","R3less"),"")</f>
        <v>R5only</v>
      </c>
      <c r="F92" s="7" t="str">
        <f>IF(COUNTIF('R6開放'!A:A,B92)&gt;0,"R6release","")</f>
        <v/>
      </c>
      <c r="G92" s="7"/>
      <c r="H92" s="7" t="str">
        <f>VLOOKUP(B92,[1]characters!$A:$C,3,FALSE)</f>
        <v>アポロン</v>
      </c>
      <c r="I92" s="7" t="str">
        <f>VLOOKUP(B92,[1]characters!$A:$J,10,FALSE)</f>
        <v>PremiumSS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attack</v>
      </c>
      <c r="M92" s="7" t="str">
        <f>VLOOKUP(B92,[1]characters!$A:$M,13,FALSE)</f>
        <v>god</v>
      </c>
      <c r="N92" s="7" t="str">
        <f>VLOOKUP(B92,[1]characters!$A:$G,7,FALSE)</f>
        <v>男性</v>
      </c>
      <c r="O92" s="45">
        <f t="shared" si="5"/>
        <v>395</v>
      </c>
      <c r="P92" s="46">
        <f>O92/SUM(O:O)</f>
        <v>1.1904761904761906E-3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>
        <v>468105</v>
      </c>
      <c r="B93" s="5">
        <v>744</v>
      </c>
      <c r="C93" s="7" t="str">
        <f t="shared" si="3"/>
        <v>PremiumSS5R5only</v>
      </c>
      <c r="D93" s="7" t="str">
        <f t="shared" si="4"/>
        <v>PremiumSS</v>
      </c>
      <c r="E93" s="7" t="str">
        <f>IF(COUNTIF('R6追加前'!A:A,B93)=0,IF(OR(I93="PremiumSS",I93="PremiumSSw"),"R5only","R3less"),"")</f>
        <v>R5only</v>
      </c>
      <c r="F93" s="7" t="str">
        <f>IF(COUNTIF('R6開放'!A:A,B93)&gt;0,"R6release","")</f>
        <v/>
      </c>
      <c r="G93" s="7"/>
      <c r="H93" s="7" t="str">
        <f>VLOOKUP(B93,[1]characters!$A:$C,3,FALSE)</f>
        <v>ヘルメス</v>
      </c>
      <c r="I93" s="7" t="str">
        <f>VLOOKUP(B93,[1]characters!$A:$J,10,FALSE)</f>
        <v>PremiumSS</v>
      </c>
      <c r="J93" s="7">
        <f>VLOOKUP(B93,[1]characters!$A:$I,9,FALSE)</f>
        <v>5</v>
      </c>
      <c r="K93" s="7" t="str">
        <f>VLOOKUP(B93,[1]characters!$A:$H,8,FALSE)</f>
        <v>green</v>
      </c>
      <c r="L93" s="7" t="str">
        <f>VLOOKUP(B93,[1]characters!$A:$K,11,FALSE)</f>
        <v>technical</v>
      </c>
      <c r="M93" s="7" t="str">
        <f>VLOOKUP(B93,[1]characters!$A:$M,13,FALSE)</f>
        <v>god</v>
      </c>
      <c r="N93" s="7" t="str">
        <f>VLOOKUP(B93,[1]characters!$A:$G,7,FALSE)</f>
        <v>男性</v>
      </c>
      <c r="O93" s="45">
        <f t="shared" si="5"/>
        <v>395</v>
      </c>
      <c r="P93" s="46">
        <f>O93/SUM(O:O)</f>
        <v>1.1904761904761906E-3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>
        <v>468105</v>
      </c>
      <c r="B94" s="5">
        <v>747</v>
      </c>
      <c r="C94" s="7" t="str">
        <f t="shared" si="3"/>
        <v>Premium5R3less</v>
      </c>
      <c r="D94" s="7" t="str">
        <f t="shared" si="4"/>
        <v>Premium</v>
      </c>
      <c r="E94" s="7" t="str">
        <f>IF(COUNTIF('R6追加前'!A:A,B94)=0,IF(OR(I94="PremiumSS",I94="PremiumSSw"),"R5only","R3less"),"")</f>
        <v>R3less</v>
      </c>
      <c r="F94" s="7" t="str">
        <f>IF(COUNTIF('R6開放'!A:A,B94)&gt;0,"R6release","")</f>
        <v/>
      </c>
      <c r="G94" s="7"/>
      <c r="H94" s="7" t="str">
        <f>VLOOKUP(B94,[1]characters!$A:$C,3,FALSE)</f>
        <v>潔碧の巡励神 ノルン</v>
      </c>
      <c r="I94" s="7" t="str">
        <f>VLOOKUP(B94,[1]characters!$A:$J,10,FALSE)</f>
        <v>PremiumS</v>
      </c>
      <c r="J94" s="7">
        <f>VLOOKUP(B94,[1]characters!$A:$I,9,FALSE)</f>
        <v>5</v>
      </c>
      <c r="K94" s="7" t="str">
        <f>VLOOKUP(B94,[1]characters!$A:$H,8,FALSE)</f>
        <v>blue</v>
      </c>
      <c r="L94" s="7" t="str">
        <f>VLOOKUP(B94,[1]characters!$A:$K,11,FALSE)</f>
        <v>balance</v>
      </c>
      <c r="M94" s="7" t="str">
        <f>VLOOKUP(B94,[1]characters!$A:$M,13,FALSE)</f>
        <v>god</v>
      </c>
      <c r="N94" s="7" t="str">
        <f>VLOOKUP(B94,[1]characters!$A:$G,7,FALSE)</f>
        <v>男性</v>
      </c>
      <c r="O94" s="45">
        <f t="shared" si="5"/>
        <v>3780</v>
      </c>
      <c r="P94" s="46">
        <f>O94/SUM(O:O)</f>
        <v>1.1392405063291139E-2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>
        <v>468105</v>
      </c>
      <c r="B95" s="5">
        <v>749</v>
      </c>
      <c r="C95" s="7" t="str">
        <f t="shared" si="3"/>
        <v>Premium5R3less</v>
      </c>
      <c r="D95" s="7" t="str">
        <f t="shared" si="4"/>
        <v>Premium</v>
      </c>
      <c r="E95" s="7" t="str">
        <f>IF(COUNTIF('R6追加前'!A:A,B95)=0,IF(OR(I95="PremiumSS",I95="PremiumSSw"),"R5only","R3less"),"")</f>
        <v>R3less</v>
      </c>
      <c r="F95" s="7" t="str">
        <f>IF(COUNTIF('R6開放'!A:A,B95)&gt;0,"R6release","")</f>
        <v/>
      </c>
      <c r="G95" s="7"/>
      <c r="H95" s="7" t="str">
        <f>VLOOKUP(B95,[1]characters!$A:$C,3,FALSE)</f>
        <v>光喜の牧童 パーン</v>
      </c>
      <c r="I95" s="7" t="str">
        <f>VLOOKUP(B95,[1]characters!$A:$J,10,FALSE)</f>
        <v>PremiumS</v>
      </c>
      <c r="J95" s="7">
        <f>VLOOKUP(B95,[1]characters!$A:$I,9,FALSE)</f>
        <v>5</v>
      </c>
      <c r="K95" s="7" t="str">
        <f>VLOOKUP(B95,[1]characters!$A:$H,8,FALSE)</f>
        <v>yellow</v>
      </c>
      <c r="L95" s="7" t="str">
        <f>VLOOKUP(B95,[1]characters!$A:$K,11,FALSE)</f>
        <v>heal</v>
      </c>
      <c r="M95" s="7" t="str">
        <f>VLOOKUP(B95,[1]characters!$A:$M,13,FALSE)</f>
        <v>animal</v>
      </c>
      <c r="N95" s="7" t="str">
        <f>VLOOKUP(B95,[1]characters!$A:$G,7,FALSE)</f>
        <v>男性</v>
      </c>
      <c r="O95" s="45">
        <f t="shared" si="5"/>
        <v>3780</v>
      </c>
      <c r="P95" s="46">
        <f>O95/SUM(O:O)</f>
        <v>1.1392405063291139E-2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>
        <v>468105</v>
      </c>
      <c r="B96" s="5">
        <v>771</v>
      </c>
      <c r="C96" s="7" t="str">
        <f t="shared" si="3"/>
        <v>PremiumSS5</v>
      </c>
      <c r="D96" s="7" t="str">
        <f t="shared" si="4"/>
        <v>PremiumSS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天織羽鶴 ハヅル</v>
      </c>
      <c r="I96" s="7" t="str">
        <f>VLOOKUP(B96,[1]characters!$A:$J,10,FALSE)</f>
        <v>PremiumSS</v>
      </c>
      <c r="J96" s="7">
        <f>VLOOKUP(B96,[1]characters!$A:$I,9,FALSE)</f>
        <v>5</v>
      </c>
      <c r="K96" s="7" t="str">
        <f>VLOOKUP(B96,[1]characters!$A:$H,8,FALSE)</f>
        <v>red</v>
      </c>
      <c r="L96" s="7" t="str">
        <f>VLOOKUP(B96,[1]characters!$A:$K,11,FALSE)</f>
        <v>balance</v>
      </c>
      <c r="M96" s="7" t="str">
        <f>VLOOKUP(B96,[1]characters!$A:$M,13,FALSE)</f>
        <v>animal</v>
      </c>
      <c r="N96" s="7" t="str">
        <f>VLOOKUP(B96,[1]characters!$A:$G,7,FALSE)</f>
        <v>女性</v>
      </c>
      <c r="O96" s="45">
        <f t="shared" si="5"/>
        <v>395</v>
      </c>
      <c r="P96" s="46">
        <f>O96/SUM(O:O)</f>
        <v>1.1904761904761906E-3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>
        <v>468105</v>
      </c>
      <c r="B97" s="5">
        <v>773</v>
      </c>
      <c r="C97" s="7" t="str">
        <f t="shared" si="3"/>
        <v>PremiumSS5</v>
      </c>
      <c r="D97" s="7" t="str">
        <f t="shared" si="4"/>
        <v>PremiumSS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浮跳天兎 イナバ</v>
      </c>
      <c r="I97" s="7" t="str">
        <f>VLOOKUP(B97,[1]characters!$A:$J,10,FALSE)</f>
        <v>PremiumSS</v>
      </c>
      <c r="J97" s="7">
        <f>VLOOKUP(B97,[1]characters!$A:$I,9,FALSE)</f>
        <v>5</v>
      </c>
      <c r="K97" s="7" t="str">
        <f>VLOOKUP(B97,[1]characters!$A:$H,8,FALSE)</f>
        <v>green</v>
      </c>
      <c r="L97" s="7" t="str">
        <f>VLOOKUP(B97,[1]characters!$A:$K,11,FALSE)</f>
        <v>balance</v>
      </c>
      <c r="M97" s="7" t="str">
        <f>VLOOKUP(B97,[1]characters!$A:$M,13,FALSE)</f>
        <v>animal</v>
      </c>
      <c r="N97" s="7" t="str">
        <f>VLOOKUP(B97,[1]characters!$A:$G,7,FALSE)</f>
        <v>女性</v>
      </c>
      <c r="O97" s="45">
        <f t="shared" si="5"/>
        <v>395</v>
      </c>
      <c r="P97" s="46">
        <f>O97/SUM(O:O)</f>
        <v>1.1904761904761906E-3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>
        <v>468105</v>
      </c>
      <c r="B98" s="5">
        <v>776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水竜底主 ミズチ</v>
      </c>
      <c r="I98" s="7" t="str">
        <f>VLOOKUP(B98,[1]characters!$A:$J,10,FALSE)</f>
        <v>PremiumS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heal</v>
      </c>
      <c r="M98" s="7" t="str">
        <f>VLOOKUP(B98,[1]characters!$A:$M,13,FALSE)</f>
        <v>dragon</v>
      </c>
      <c r="N98" s="7" t="str">
        <f>VLOOKUP(B98,[1]characters!$A:$G,7,FALSE)</f>
        <v>不明</v>
      </c>
      <c r="O98" s="45">
        <f t="shared" si="5"/>
        <v>3780</v>
      </c>
      <c r="P98" s="46">
        <f>O98/SUM(O:O)</f>
        <v>1.1392405063291139E-2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>
        <v>468105</v>
      </c>
      <c r="B99" s="5">
        <v>779</v>
      </c>
      <c r="C99" s="7" t="str">
        <f t="shared" si="3"/>
        <v>Premium5</v>
      </c>
      <c r="D99" s="7" t="str">
        <f t="shared" si="4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頑堅咬亀 ガメック</v>
      </c>
      <c r="I99" s="7" t="str">
        <f>VLOOKUP(B99,[1]characters!$A:$J,10,FALSE)</f>
        <v>PremiumS</v>
      </c>
      <c r="J99" s="7">
        <f>VLOOKUP(B99,[1]characters!$A:$I,9,FALSE)</f>
        <v>5</v>
      </c>
      <c r="K99" s="7" t="str">
        <f>VLOOKUP(B99,[1]characters!$A:$H,8,FALSE)</f>
        <v>yellow</v>
      </c>
      <c r="L99" s="7" t="str">
        <f>VLOOKUP(B99,[1]characters!$A:$K,11,FALSE)</f>
        <v>hp</v>
      </c>
      <c r="M99" s="7" t="str">
        <f>VLOOKUP(B99,[1]characters!$A:$M,13,FALSE)</f>
        <v>animal</v>
      </c>
      <c r="N99" s="7" t="str">
        <f>VLOOKUP(B99,[1]characters!$A:$G,7,FALSE)</f>
        <v>不明</v>
      </c>
      <c r="O99" s="45">
        <f t="shared" si="5"/>
        <v>3780</v>
      </c>
      <c r="P99" s="46">
        <f>O99/SUM(O:O)</f>
        <v>1.1392405063291139E-2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>
        <v>468105</v>
      </c>
      <c r="B100" s="5">
        <v>848</v>
      </c>
      <c r="C100" s="7" t="str">
        <f t="shared" si="3"/>
        <v>PremiumSS5R5only</v>
      </c>
      <c r="D100" s="7" t="str">
        <f t="shared" si="4"/>
        <v>PremiumSS</v>
      </c>
      <c r="E100" s="7" t="str">
        <f>IF(COUNTIF('R6追加前'!A:A,B100)=0,IF(OR(I100="PremiumSS",I100="PremiumSSw"),"R5only","R3less"),"")</f>
        <v>R5only</v>
      </c>
      <c r="F100" s="7" t="str">
        <f>IF(COUNTIF('R6開放'!A:A,B100)&gt;0,"R6release","")</f>
        <v/>
      </c>
      <c r="G100" s="7"/>
      <c r="H100" s="7" t="str">
        <f>VLOOKUP(B100,[1]characters!$A:$C,3,FALSE)</f>
        <v>メタトロン</v>
      </c>
      <c r="I100" s="7" t="str">
        <f>VLOOKUP(B100,[1]characters!$A:$J,10,FALSE)</f>
        <v>PremiumSS</v>
      </c>
      <c r="J100" s="7">
        <f>VLOOKUP(B100,[1]characters!$A:$I,9,FALSE)</f>
        <v>5</v>
      </c>
      <c r="K100" s="7" t="str">
        <f>VLOOKUP(B100,[1]characters!$A:$H,8,FALSE)</f>
        <v>red</v>
      </c>
      <c r="L100" s="7" t="str">
        <f>VLOOKUP(B100,[1]characters!$A:$K,11,FALSE)</f>
        <v>balance</v>
      </c>
      <c r="M100" s="7" t="str">
        <f>VLOOKUP(B100,[1]characters!$A:$M,13,FALSE)</f>
        <v>god</v>
      </c>
      <c r="N100" s="7" t="str">
        <f>VLOOKUP(B100,[1]characters!$A:$G,7,FALSE)</f>
        <v>男性</v>
      </c>
      <c r="O100" s="45">
        <f t="shared" si="5"/>
        <v>395</v>
      </c>
      <c r="P100" s="46">
        <f>O100/SUM(O:O)</f>
        <v>1.1904761904761906E-3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>
        <v>468105</v>
      </c>
      <c r="B101" s="5">
        <v>850</v>
      </c>
      <c r="C101" s="7" t="str">
        <f t="shared" si="3"/>
        <v>PremiumSS5R5only</v>
      </c>
      <c r="D101" s="7" t="str">
        <f t="shared" si="4"/>
        <v>PremiumSS</v>
      </c>
      <c r="E101" s="7" t="str">
        <f>IF(COUNTIF('R6追加前'!A:A,B101)=0,IF(OR(I101="PremiumSS",I101="PremiumSSw"),"R5only","R3less"),"")</f>
        <v>R5only</v>
      </c>
      <c r="F101" s="7" t="str">
        <f>IF(COUNTIF('R6開放'!A:A,B101)&gt;0,"R6release","")</f>
        <v/>
      </c>
      <c r="G101" s="7"/>
      <c r="H101" s="7" t="str">
        <f>VLOOKUP(B101,[1]characters!$A:$C,3,FALSE)</f>
        <v>バアル</v>
      </c>
      <c r="I101" s="7" t="str">
        <f>VLOOKUP(B101,[1]characters!$A:$J,10,FALSE)</f>
        <v>PremiumSS</v>
      </c>
      <c r="J101" s="7">
        <f>VLOOKUP(B101,[1]characters!$A:$I,9,FALSE)</f>
        <v>5</v>
      </c>
      <c r="K101" s="7" t="str">
        <f>VLOOKUP(B101,[1]characters!$A:$H,8,FALSE)</f>
        <v>green</v>
      </c>
      <c r="L101" s="7" t="str">
        <f>VLOOKUP(B101,[1]characters!$A:$K,11,FALSE)</f>
        <v>technical</v>
      </c>
      <c r="M101" s="7" t="str">
        <f>VLOOKUP(B101,[1]characters!$A:$M,13,FALSE)</f>
        <v>god</v>
      </c>
      <c r="N101" s="7" t="str">
        <f>VLOOKUP(B101,[1]characters!$A:$G,7,FALSE)</f>
        <v>男性</v>
      </c>
      <c r="O101" s="45">
        <f t="shared" si="5"/>
        <v>395</v>
      </c>
      <c r="P101" s="46">
        <f>O101/SUM(O:O)</f>
        <v>1.1904761904761906E-3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>
        <v>468105</v>
      </c>
      <c r="B102" s="5">
        <v>853</v>
      </c>
      <c r="C102" s="7" t="str">
        <f t="shared" si="3"/>
        <v>Premium5R3less</v>
      </c>
      <c r="D102" s="7" t="str">
        <f t="shared" si="4"/>
        <v>Premium</v>
      </c>
      <c r="E102" s="7" t="str">
        <f>IF(COUNTIF('R6追加前'!A:A,B102)=0,IF(OR(I102="PremiumSS",I102="PremiumSSw"),"R5only","R3less"),"")</f>
        <v>R3less</v>
      </c>
      <c r="F102" s="7" t="str">
        <f>IF(COUNTIF('R6開放'!A:A,B102)&gt;0,"R6release","")</f>
        <v/>
      </c>
      <c r="G102" s="7"/>
      <c r="H102" s="7" t="str">
        <f>VLOOKUP(B102,[1]characters!$A:$C,3,FALSE)</f>
        <v>裂爪の天使 サキエル・ティア</v>
      </c>
      <c r="I102" s="7" t="str">
        <f>VLOOKUP(B102,[1]characters!$A:$J,10,FALSE)</f>
        <v>PremiumS</v>
      </c>
      <c r="J102" s="7">
        <f>VLOOKUP(B102,[1]characters!$A:$I,9,FALSE)</f>
        <v>5</v>
      </c>
      <c r="K102" s="7" t="str">
        <f>VLOOKUP(B102,[1]characters!$A:$H,8,FALSE)</f>
        <v>blue</v>
      </c>
      <c r="L102" s="7" t="str">
        <f>VLOOKUP(B102,[1]characters!$A:$K,11,FALSE)</f>
        <v>hp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t="shared" si="5"/>
        <v>3780</v>
      </c>
      <c r="P102" s="46">
        <f>O102/SUM(O:O)</f>
        <v>1.1392405063291139E-2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>
        <v>468105</v>
      </c>
      <c r="B103" s="5">
        <v>855</v>
      </c>
      <c r="C103" s="7" t="str">
        <f t="shared" si="3"/>
        <v>Premium5R3less</v>
      </c>
      <c r="D103" s="7" t="str">
        <f t="shared" si="4"/>
        <v>Premium</v>
      </c>
      <c r="E103" s="7" t="str">
        <f>IF(COUNTIF('R6追加前'!A:A,B103)=0,IF(OR(I103="PremiumSS",I103="PremiumSSw"),"R5only","R3less"),"")</f>
        <v>R3less</v>
      </c>
      <c r="F103" s="7" t="str">
        <f>IF(COUNTIF('R6開放'!A:A,B103)&gt;0,"R6release","")</f>
        <v/>
      </c>
      <c r="G103" s="7"/>
      <c r="H103" s="7" t="str">
        <f>VLOOKUP(B103,[1]characters!$A:$C,3,FALSE)</f>
        <v>豹魔の侠客 フラウロス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yellow</v>
      </c>
      <c r="L103" s="7" t="str">
        <f>VLOOKUP(B103,[1]characters!$A:$K,11,FALSE)</f>
        <v>attack</v>
      </c>
      <c r="M103" s="7" t="str">
        <f>VLOOKUP(B103,[1]characters!$A:$M,13,FALSE)</f>
        <v>animal</v>
      </c>
      <c r="N103" s="7" t="str">
        <f>VLOOKUP(B103,[1]characters!$A:$G,7,FALSE)</f>
        <v>男性</v>
      </c>
      <c r="O103" s="45">
        <f t="shared" si="5"/>
        <v>3780</v>
      </c>
      <c r="P103" s="46">
        <f>O103/SUM(O:O)</f>
        <v>1.1392405063291139E-2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>
        <v>468105</v>
      </c>
      <c r="B104" s="5">
        <v>863</v>
      </c>
      <c r="C104" s="7" t="str">
        <f t="shared" si="3"/>
        <v>Premium5R3less</v>
      </c>
      <c r="D104" s="7" t="str">
        <f t="shared" si="4"/>
        <v>Premium</v>
      </c>
      <c r="E104" s="7" t="str">
        <f>IF(COUNTIF('R6追加前'!A:A,B104)=0,IF(OR(I104="PremiumSS",I104="PremiumSSw"),"R5only","R3less"),"")</f>
        <v>R3less</v>
      </c>
      <c r="F104" s="7" t="str">
        <f>IF(COUNTIF('R6開放'!A:A,B104)&gt;0,"R6release","")</f>
        <v/>
      </c>
      <c r="G104" s="7"/>
      <c r="H104" s="7" t="str">
        <f>VLOOKUP(B104,[1]characters!$A:$C,3,FALSE)</f>
        <v>歓揮の楽団長 ブレーメン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balance</v>
      </c>
      <c r="M104" s="7" t="str">
        <f>VLOOKUP(B104,[1]characters!$A:$M,13,FALSE)</f>
        <v>animal</v>
      </c>
      <c r="N104" s="7" t="str">
        <f>VLOOKUP(B104,[1]characters!$A:$G,7,FALSE)</f>
        <v>男性</v>
      </c>
      <c r="O104" s="45">
        <f t="shared" si="5"/>
        <v>3780</v>
      </c>
      <c r="P104" s="46">
        <f>O104/SUM(O:O)</f>
        <v>1.1392405063291139E-2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>
        <v>468105</v>
      </c>
      <c r="B105" s="5">
        <v>865</v>
      </c>
      <c r="C105" s="7" t="str">
        <f t="shared" si="3"/>
        <v>Premium5R3less</v>
      </c>
      <c r="D105" s="7" t="str">
        <f t="shared" si="4"/>
        <v>Premium</v>
      </c>
      <c r="E105" s="7" t="str">
        <f>IF(COUNTIF('R6追加前'!A:A,B105)=0,IF(OR(I105="PremiumSS",I105="PremiumSSw"),"R5only","R3less"),"")</f>
        <v>R3less</v>
      </c>
      <c r="F105" s="7" t="str">
        <f>IF(COUNTIF('R6開放'!A:A,B105)&gt;0,"R6release","")</f>
        <v/>
      </c>
      <c r="G105" s="7"/>
      <c r="H105" s="7" t="str">
        <f>VLOOKUP(B105,[1]characters!$A:$C,3,FALSE)</f>
        <v>無情の感線 ピノキオ</v>
      </c>
      <c r="I105" s="7" t="str">
        <f>VLOOKUP(B105,[1]characters!$A:$J,10,FALSE)</f>
        <v>PremiumS</v>
      </c>
      <c r="J105" s="7">
        <f>VLOOKUP(B105,[1]characters!$A:$I,9,FALSE)</f>
        <v>5</v>
      </c>
      <c r="K105" s="7" t="str">
        <f>VLOOKUP(B105,[1]characters!$A:$H,8,FALSE)</f>
        <v>green</v>
      </c>
      <c r="L105" s="7" t="str">
        <f>VLOOKUP(B105,[1]characters!$A:$K,11,FALSE)</f>
        <v>attack</v>
      </c>
      <c r="M105" s="7" t="str">
        <f>VLOOKUP(B105,[1]characters!$A:$M,13,FALSE)</f>
        <v>machine</v>
      </c>
      <c r="N105" s="7" t="str">
        <f>VLOOKUP(B105,[1]characters!$A:$G,7,FALSE)</f>
        <v>男性</v>
      </c>
      <c r="O105" s="45">
        <f t="shared" si="5"/>
        <v>3780</v>
      </c>
      <c r="P105" s="46">
        <f>O105/SUM(O:O)</f>
        <v>1.1392405063291139E-2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>
        <v>468105</v>
      </c>
      <c r="B106" s="5">
        <v>866</v>
      </c>
      <c r="C106" s="7" t="str">
        <f t="shared" si="3"/>
        <v>PremiumSS5R5only</v>
      </c>
      <c r="D106" s="7" t="str">
        <f t="shared" si="4"/>
        <v>PremiumSS</v>
      </c>
      <c r="E106" s="7" t="str">
        <f>IF(COUNTIF('R6追加前'!A:A,B106)=0,IF(OR(I106="PremiumSS",I106="PremiumSSw"),"R5only","R3less"),"")</f>
        <v>R5only</v>
      </c>
      <c r="F106" s="7" t="str">
        <f>IF(COUNTIF('R6開放'!A:A,B106)&gt;0,"R6release","")</f>
        <v/>
      </c>
      <c r="G106" s="7"/>
      <c r="H106" s="7" t="str">
        <f>VLOOKUP(B106,[1]characters!$A:$C,3,FALSE)</f>
        <v>無敗の司令姫 白雪姫</v>
      </c>
      <c r="I106" s="7" t="str">
        <f>VLOOKUP(B106,[1]characters!$A:$J,10,FALSE)</f>
        <v>PremiumSS</v>
      </c>
      <c r="J106" s="7">
        <f>VLOOKUP(B106,[1]characters!$A:$I,9,FALSE)</f>
        <v>5</v>
      </c>
      <c r="K106" s="7" t="str">
        <f>VLOOKUP(B106,[1]characters!$A:$H,8,FALSE)</f>
        <v>blue</v>
      </c>
      <c r="L106" s="7" t="str">
        <f>VLOOKUP(B106,[1]characters!$A:$K,11,FALSE)</f>
        <v>balance</v>
      </c>
      <c r="M106" s="7" t="str">
        <f>VLOOKUP(B106,[1]characters!$A:$M,13,FALSE)</f>
        <v>human</v>
      </c>
      <c r="N106" s="7" t="str">
        <f>VLOOKUP(B106,[1]characters!$A:$G,7,FALSE)</f>
        <v>男性</v>
      </c>
      <c r="O106" s="45">
        <f t="shared" si="5"/>
        <v>395</v>
      </c>
      <c r="P106" s="46">
        <f>O106/SUM(O:O)</f>
        <v>1.1904761904761906E-3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>
        <v>468105</v>
      </c>
      <c r="B107" s="5">
        <v>868</v>
      </c>
      <c r="C107" s="7" t="str">
        <f t="shared" si="3"/>
        <v>PremiumSS5R5only</v>
      </c>
      <c r="D107" s="7" t="str">
        <f t="shared" si="4"/>
        <v>PremiumSS</v>
      </c>
      <c r="E107" s="7" t="str">
        <f>IF(COUNTIF('R6追加前'!A:A,B107)=0,IF(OR(I107="PremiumSS",I107="PremiumSSw"),"R5only","R3less"),"")</f>
        <v>R5only</v>
      </c>
      <c r="F107" s="7" t="str">
        <f>IF(COUNTIF('R6開放'!A:A,B107)&gt;0,"R6release","")</f>
        <v/>
      </c>
      <c r="G107" s="7"/>
      <c r="H107" s="7" t="str">
        <f>VLOOKUP(B107,[1]characters!$A:$C,3,FALSE)</f>
        <v>アラジンと殲滅機兵LAMP</v>
      </c>
      <c r="I107" s="7" t="str">
        <f>VLOOKUP(B107,[1]characters!$A:$J,10,FALSE)</f>
        <v>PremiumSS</v>
      </c>
      <c r="J107" s="7">
        <f>VLOOKUP(B107,[1]characters!$A:$I,9,FALSE)</f>
        <v>5</v>
      </c>
      <c r="K107" s="7" t="str">
        <f>VLOOKUP(B107,[1]characters!$A:$H,8,FALSE)</f>
        <v>yellow</v>
      </c>
      <c r="L107" s="7" t="str">
        <f>VLOOKUP(B107,[1]characters!$A:$K,11,FALSE)</f>
        <v>hp</v>
      </c>
      <c r="M107" s="7" t="str">
        <f>VLOOKUP(B107,[1]characters!$A:$M,13,FALSE)</f>
        <v>human</v>
      </c>
      <c r="N107" s="7" t="str">
        <f>VLOOKUP(B107,[1]characters!$A:$G,7,FALSE)</f>
        <v>男性</v>
      </c>
      <c r="O107" s="45">
        <f t="shared" si="5"/>
        <v>395</v>
      </c>
      <c r="P107" s="46">
        <f>O107/SUM(O:O)</f>
        <v>1.1904761904761906E-3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>
        <v>468105</v>
      </c>
      <c r="B108" s="5">
        <v>937</v>
      </c>
      <c r="C108" s="7" t="str">
        <f t="shared" si="3"/>
        <v>PremiumSS5R5only</v>
      </c>
      <c r="D108" s="7" t="str">
        <f t="shared" si="4"/>
        <v>PremiumSS</v>
      </c>
      <c r="E108" s="7" t="str">
        <f>IF(COUNTIF('R6追加前'!A:A,B108)=0,IF(OR(I108="PremiumSS",I108="PremiumSSw"),"R5only","R3less"),"")</f>
        <v>R5only</v>
      </c>
      <c r="F108" s="7" t="str">
        <f>IF(COUNTIF('R6開放'!A:A,B108)&gt;0,"R6release","")</f>
        <v/>
      </c>
      <c r="G108" s="7"/>
      <c r="H108" s="7" t="str">
        <f>VLOOKUP(B108,[1]characters!$A:$C,3,FALSE)</f>
        <v>ナポレオン</v>
      </c>
      <c r="I108" s="7" t="str">
        <f>VLOOKUP(B108,[1]characters!$A:$J,10,FALSE)</f>
        <v>PremiumSS</v>
      </c>
      <c r="J108" s="7">
        <f>VLOOKUP(B108,[1]characters!$A:$I,9,FALSE)</f>
        <v>5</v>
      </c>
      <c r="K108" s="7" t="str">
        <f>VLOOKUP(B108,[1]characters!$A:$H,8,FALSE)</f>
        <v>red</v>
      </c>
      <c r="L108" s="7" t="str">
        <f>VLOOKUP(B108,[1]characters!$A:$K,11,FALSE)</f>
        <v>balance</v>
      </c>
      <c r="M108" s="7" t="str">
        <f>VLOOKUP(B108,[1]characters!$A:$M,13,FALSE)</f>
        <v>human</v>
      </c>
      <c r="N108" s="7" t="str">
        <f>VLOOKUP(B108,[1]characters!$A:$G,7,FALSE)</f>
        <v>男性</v>
      </c>
      <c r="O108" s="45">
        <f t="shared" si="5"/>
        <v>395</v>
      </c>
      <c r="P108" s="46">
        <f>O108/SUM(O:O)</f>
        <v>1.1904761904761906E-3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>
        <v>468105</v>
      </c>
      <c r="B109" s="5">
        <v>940</v>
      </c>
      <c r="C109" s="7" t="str">
        <f t="shared" si="3"/>
        <v>Premium5R3less</v>
      </c>
      <c r="D109" s="7" t="str">
        <f t="shared" si="4"/>
        <v>Premium</v>
      </c>
      <c r="E109" s="7" t="str">
        <f>IF(COUNTIF('R6追加前'!A:A,B109)=0,IF(OR(I109="PremiumSS",I109="PremiumSSw"),"R5only","R3less"),"")</f>
        <v>R3less</v>
      </c>
      <c r="F109" s="7" t="str">
        <f>IF(COUNTIF('R6開放'!A:A,B109)&gt;0,"R6release","")</f>
        <v/>
      </c>
      <c r="G109" s="7"/>
      <c r="H109" s="7" t="str">
        <f>VLOOKUP(B109,[1]characters!$A:$C,3,FALSE)</f>
        <v>不壊の大要塞 バスティーユ</v>
      </c>
      <c r="I109" s="7" t="str">
        <f>VLOOKUP(B109,[1]characters!$A:$J,10,FALSE)</f>
        <v>PremiumS</v>
      </c>
      <c r="J109" s="7">
        <f>VLOOKUP(B109,[1]characters!$A:$I,9,FALSE)</f>
        <v>5</v>
      </c>
      <c r="K109" s="7" t="str">
        <f>VLOOKUP(B109,[1]characters!$A:$H,8,FALSE)</f>
        <v>green</v>
      </c>
      <c r="L109" s="7" t="str">
        <f>VLOOKUP(B109,[1]characters!$A:$K,11,FALSE)</f>
        <v>hp</v>
      </c>
      <c r="M109" s="7" t="str">
        <f>VLOOKUP(B109,[1]characters!$A:$M,13,FALSE)</f>
        <v>unknown</v>
      </c>
      <c r="N109" s="7" t="str">
        <f>VLOOKUP(B109,[1]characters!$A:$G,7,FALSE)</f>
        <v>男性</v>
      </c>
      <c r="O109" s="45">
        <f t="shared" si="5"/>
        <v>3780</v>
      </c>
      <c r="P109" s="46">
        <f>O109/SUM(O:O)</f>
        <v>1.1392405063291139E-2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>
        <v>468105</v>
      </c>
      <c r="B110" s="5">
        <v>941</v>
      </c>
      <c r="C110" s="7" t="str">
        <f t="shared" si="3"/>
        <v>PremiumSS5R5only</v>
      </c>
      <c r="D110" s="7" t="str">
        <f t="shared" si="4"/>
        <v>PremiumSS</v>
      </c>
      <c r="E110" s="7" t="str">
        <f>IF(COUNTIF('R6追加前'!A:A,B110)=0,IF(OR(I110="PremiumSS",I110="PremiumSSw"),"R5only","R3less"),"")</f>
        <v>R5only</v>
      </c>
      <c r="F110" s="7" t="str">
        <f>IF(COUNTIF('R6開放'!A:A,B110)&gt;0,"R6release","")</f>
        <v/>
      </c>
      <c r="G110" s="7"/>
      <c r="H110" s="7" t="str">
        <f>VLOOKUP(B110,[1]characters!$A:$C,3,FALSE)</f>
        <v>アントワネット</v>
      </c>
      <c r="I110" s="7" t="str">
        <f>VLOOKUP(B110,[1]characters!$A:$J,10,FALSE)</f>
        <v>PremiumSS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男性</v>
      </c>
      <c r="O110" s="45">
        <f t="shared" si="5"/>
        <v>395</v>
      </c>
      <c r="P110" s="46">
        <f>O110/SUM(O:O)</f>
        <v>1.1904761904761906E-3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>
        <v>468105</v>
      </c>
      <c r="B111" s="5">
        <v>943</v>
      </c>
      <c r="C111" s="7" t="str">
        <f t="shared" si="3"/>
        <v>PremiumSS5R5only</v>
      </c>
      <c r="D111" s="7" t="str">
        <f t="shared" si="4"/>
        <v>PremiumSS</v>
      </c>
      <c r="E111" s="7" t="str">
        <f>IF(COUNTIF('R6追加前'!A:A,B111)=0,IF(OR(I111="PremiumSS",I111="PremiumSSw"),"R5only","R3less"),"")</f>
        <v>R5only</v>
      </c>
      <c r="F111" s="7" t="str">
        <f>IF(COUNTIF('R6開放'!A:A,B111)&gt;0,"R6release","")</f>
        <v/>
      </c>
      <c r="G111" s="7"/>
      <c r="H111" s="7" t="str">
        <f>VLOOKUP(B111,[1]characters!$A:$C,3,FALSE)</f>
        <v>サンソン</v>
      </c>
      <c r="I111" s="7" t="str">
        <f>VLOOKUP(B111,[1]characters!$A:$J,10,FALSE)</f>
        <v>PremiumSS</v>
      </c>
      <c r="J111" s="7">
        <f>VLOOKUP(B111,[1]characters!$A:$I,9,FALSE)</f>
        <v>5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human</v>
      </c>
      <c r="N111" s="7" t="str">
        <f>VLOOKUP(B111,[1]characters!$A:$G,7,FALSE)</f>
        <v>男性</v>
      </c>
      <c r="O111" s="45">
        <f t="shared" si="5"/>
        <v>395</v>
      </c>
      <c r="P111" s="46">
        <f>O111/SUM(O:O)</f>
        <v>1.1904761904761906E-3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>
        <v>468105</v>
      </c>
      <c r="B112" s="5">
        <v>1012</v>
      </c>
      <c r="C112" s="7" t="str">
        <f t="shared" si="3"/>
        <v>PremiumSS5R5only</v>
      </c>
      <c r="D112" s="7" t="str">
        <f t="shared" si="4"/>
        <v>PremiumSS</v>
      </c>
      <c r="E112" s="7" t="str">
        <f>IF(COUNTIF('R6追加前'!A:A,B112)=0,IF(OR(I112="PremiumSS",I112="PremiumSSw"),"R5only","R3less"),"")</f>
        <v>R5only</v>
      </c>
      <c r="F112" s="7" t="str">
        <f>IF(COUNTIF('R6開放'!A:A,B112)&gt;0,"R6release","")</f>
        <v/>
      </c>
      <c r="G112" s="7"/>
      <c r="H112" s="7" t="str">
        <f>VLOOKUP(B112,[1]characters!$A:$C,3,FALSE)</f>
        <v>ラー</v>
      </c>
      <c r="I112" s="7" t="str">
        <f>VLOOKUP(B112,[1]characters!$A:$J,10,FALSE)</f>
        <v>PremiumSS</v>
      </c>
      <c r="J112" s="7">
        <f>VLOOKUP(B112,[1]characters!$A:$I,9,FALSE)</f>
        <v>5</v>
      </c>
      <c r="K112" s="7" t="str">
        <f>VLOOKUP(B112,[1]characters!$A:$H,8,FALSE)</f>
        <v>red</v>
      </c>
      <c r="L112" s="7" t="str">
        <f>VLOOKUP(B112,[1]characters!$A:$K,11,FALSE)</f>
        <v>balance</v>
      </c>
      <c r="M112" s="7" t="str">
        <f>VLOOKUP(B112,[1]characters!$A:$M,13,FALSE)</f>
        <v>god</v>
      </c>
      <c r="N112" s="7" t="str">
        <f>VLOOKUP(B112,[1]characters!$A:$G,7,FALSE)</f>
        <v>男性</v>
      </c>
      <c r="O112" s="45">
        <f t="shared" si="5"/>
        <v>395</v>
      </c>
      <c r="P112" s="46">
        <f>O112/SUM(O:O)</f>
        <v>1.1904761904761906E-3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>
        <v>468105</v>
      </c>
      <c r="B113" s="5">
        <v>1014</v>
      </c>
      <c r="C113" s="7" t="str">
        <f t="shared" si="3"/>
        <v>PremiumSS5R5only</v>
      </c>
      <c r="D113" s="7" t="str">
        <f t="shared" si="4"/>
        <v>PremiumSS</v>
      </c>
      <c r="E113" s="7" t="str">
        <f>IF(COUNTIF('R6追加前'!A:A,B113)=0,IF(OR(I113="PremiumSS",I113="PremiumSSw"),"R5only","R3less"),"")</f>
        <v>R5only</v>
      </c>
      <c r="F113" s="7" t="str">
        <f>IF(COUNTIF('R6開放'!A:A,B113)&gt;0,"R6release","")</f>
        <v/>
      </c>
      <c r="G113" s="7"/>
      <c r="H113" s="7" t="str">
        <f>VLOOKUP(B113,[1]characters!$A:$C,3,FALSE)</f>
        <v>イシス</v>
      </c>
      <c r="I113" s="7" t="str">
        <f>VLOOKUP(B113,[1]characters!$A:$J,10,FALSE)</f>
        <v>PremiumSS</v>
      </c>
      <c r="J113" s="7">
        <f>VLOOKUP(B113,[1]characters!$A:$I,9,FALSE)</f>
        <v>5</v>
      </c>
      <c r="K113" s="7" t="str">
        <f>VLOOKUP(B113,[1]characters!$A:$H,8,FALSE)</f>
        <v>green</v>
      </c>
      <c r="L113" s="7" t="str">
        <f>VLOOKUP(B113,[1]characters!$A:$K,11,FALSE)</f>
        <v>hp</v>
      </c>
      <c r="M113" s="7" t="str">
        <f>VLOOKUP(B113,[1]characters!$A:$M,13,FALSE)</f>
        <v>god</v>
      </c>
      <c r="N113" s="7" t="str">
        <f>VLOOKUP(B113,[1]characters!$A:$G,7,FALSE)</f>
        <v>男性</v>
      </c>
      <c r="O113" s="45">
        <f t="shared" si="5"/>
        <v>395</v>
      </c>
      <c r="P113" s="46">
        <f>O113/SUM(O:O)</f>
        <v>1.1904761904761906E-3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>
        <v>468105</v>
      </c>
      <c r="B114" s="5">
        <v>1017</v>
      </c>
      <c r="C114" s="7" t="str">
        <f t="shared" si="3"/>
        <v>Premium5R3less</v>
      </c>
      <c r="D114" s="7" t="str">
        <f t="shared" si="4"/>
        <v>Premium</v>
      </c>
      <c r="E114" s="7" t="str">
        <f>IF(COUNTIF('R6追加前'!A:A,B114)=0,IF(OR(I114="PremiumSS",I114="PremiumSSw"),"R5only","R3less"),"")</f>
        <v>R3less</v>
      </c>
      <c r="F114" s="7" t="str">
        <f>IF(COUNTIF('R6開放'!A:A,B114)&gt;0,"R6release","")</f>
        <v/>
      </c>
      <c r="G114" s="7"/>
      <c r="H114" s="7" t="str">
        <f>VLOOKUP(B114,[1]characters!$A:$C,3,FALSE)</f>
        <v>命瞳の慈母神 ハトホル</v>
      </c>
      <c r="I114" s="7" t="str">
        <f>VLOOKUP(B114,[1]characters!$A:$J,10,FALSE)</f>
        <v>PremiumS</v>
      </c>
      <c r="J114" s="7">
        <f>VLOOKUP(B114,[1]characters!$A:$I,9,FALSE)</f>
        <v>5</v>
      </c>
      <c r="K114" s="7" t="str">
        <f>VLOOKUP(B114,[1]characters!$A:$H,8,FALSE)</f>
        <v>blue</v>
      </c>
      <c r="L114" s="7" t="str">
        <f>VLOOKUP(B114,[1]characters!$A:$K,11,FALSE)</f>
        <v>heal</v>
      </c>
      <c r="M114" s="7" t="str">
        <f>VLOOKUP(B114,[1]characters!$A:$M,13,FALSE)</f>
        <v>god</v>
      </c>
      <c r="N114" s="7" t="str">
        <f>VLOOKUP(B114,[1]characters!$A:$G,7,FALSE)</f>
        <v>男性</v>
      </c>
      <c r="O114" s="45">
        <f t="shared" si="5"/>
        <v>3780</v>
      </c>
      <c r="P114" s="46">
        <f>O114/SUM(O:O)</f>
        <v>1.1392405063291139E-2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>
        <v>468105</v>
      </c>
      <c r="B115" s="5">
        <v>1018</v>
      </c>
      <c r="C115" s="7" t="str">
        <f t="shared" si="3"/>
        <v>PremiumSS5R5only</v>
      </c>
      <c r="D115" s="7" t="str">
        <f t="shared" si="4"/>
        <v>PremiumSS</v>
      </c>
      <c r="E115" s="7" t="str">
        <f>IF(COUNTIF('R6追加前'!A:A,B115)=0,IF(OR(I115="PremiumSS",I115="PremiumSSw"),"R5only","R3less"),"")</f>
        <v>R5only</v>
      </c>
      <c r="F115" s="7" t="str">
        <f>IF(COUNTIF('R6開放'!A:A,B115)&gt;0,"R6release","")</f>
        <v/>
      </c>
      <c r="G115" s="7"/>
      <c r="H115" s="7" t="str">
        <f>VLOOKUP(B115,[1]characters!$A:$C,3,FALSE)</f>
        <v>バステト</v>
      </c>
      <c r="I115" s="7" t="str">
        <f>VLOOKUP(B115,[1]characters!$A:$J,10,FALSE)</f>
        <v>PremiumSS</v>
      </c>
      <c r="J115" s="7">
        <f>VLOOKUP(B115,[1]characters!$A:$I,9,FALSE)</f>
        <v>5</v>
      </c>
      <c r="K115" s="7" t="str">
        <f>VLOOKUP(B115,[1]characters!$A:$H,8,FALSE)</f>
        <v>yellow</v>
      </c>
      <c r="L115" s="7" t="str">
        <f>VLOOKUP(B115,[1]characters!$A:$K,11,FALSE)</f>
        <v>attack</v>
      </c>
      <c r="M115" s="7" t="str">
        <f>VLOOKUP(B115,[1]characters!$A:$M,13,FALSE)</f>
        <v>god</v>
      </c>
      <c r="N115" s="7" t="str">
        <f>VLOOKUP(B115,[1]characters!$A:$G,7,FALSE)</f>
        <v>男性</v>
      </c>
      <c r="O115" s="45">
        <f t="shared" si="5"/>
        <v>395</v>
      </c>
      <c r="P115" s="46">
        <f>O115/SUM(O:O)</f>
        <v>1.1904761904761906E-3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>
        <v>468105</v>
      </c>
      <c r="B116" s="5">
        <v>1027</v>
      </c>
      <c r="C116" s="7" t="str">
        <f t="shared" si="3"/>
        <v>Premium5R3less</v>
      </c>
      <c r="D116" s="7" t="str">
        <f t="shared" si="4"/>
        <v>Premium</v>
      </c>
      <c r="E116" s="7" t="str">
        <f>IF(COUNTIF('R6追加前'!A:A,B116)=0,IF(OR(I116="PremiumSS",I116="PremiumSSw"),"R5only","R3less"),"")</f>
        <v>R3less</v>
      </c>
      <c r="F116" s="7" t="str">
        <f>IF(COUNTIF('R6開放'!A:A,B116)&gt;0,"R6release","")</f>
        <v/>
      </c>
      <c r="G116" s="7"/>
      <c r="H116" s="7" t="str">
        <f>VLOOKUP(B116,[1]characters!$A:$C,3,FALSE)</f>
        <v>弾丸多重奏 蝉丸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attack</v>
      </c>
      <c r="M116" s="7" t="str">
        <f>VLOOKUP(B116,[1]characters!$A:$M,13,FALSE)</f>
        <v>human</v>
      </c>
      <c r="N116" s="7" t="str">
        <f>VLOOKUP(B116,[1]characters!$A:$G,7,FALSE)</f>
        <v>男性</v>
      </c>
      <c r="O116" s="45">
        <f t="shared" si="5"/>
        <v>3780</v>
      </c>
      <c r="P116" s="46">
        <f>O116/SUM(O:O)</f>
        <v>1.1392405063291139E-2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>
        <v>468105</v>
      </c>
      <c r="B117" s="5">
        <v>1028</v>
      </c>
      <c r="C117" s="7" t="str">
        <f t="shared" si="3"/>
        <v>PremiumSS5R5only</v>
      </c>
      <c r="D117" s="7" t="str">
        <f t="shared" si="4"/>
        <v>PremiumSS</v>
      </c>
      <c r="E117" s="7" t="str">
        <f>IF(COUNTIF('R6追加前'!A:A,B117)=0,IF(OR(I117="PremiumSS",I117="PremiumSSw"),"R5only","R3less"),"")</f>
        <v>R5only</v>
      </c>
      <c r="F117" s="7" t="str">
        <f>IF(COUNTIF('R6開放'!A:A,B117)&gt;0,"R6release","")</f>
        <v/>
      </c>
      <c r="G117" s="7"/>
      <c r="H117" s="7" t="str">
        <f>VLOOKUP(B117,[1]characters!$A:$C,3,FALSE)</f>
        <v>牛若丸</v>
      </c>
      <c r="I117" s="7" t="str">
        <f>VLOOKUP(B117,[1]characters!$A:$J,10,FALSE)</f>
        <v>PremiumSS</v>
      </c>
      <c r="J117" s="7">
        <f>VLOOKUP(B117,[1]characters!$A:$I,9,FALSE)</f>
        <v>5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human</v>
      </c>
      <c r="N117" s="7" t="str">
        <f>VLOOKUP(B117,[1]characters!$A:$G,7,FALSE)</f>
        <v>男性</v>
      </c>
      <c r="O117" s="45">
        <f t="shared" si="5"/>
        <v>395</v>
      </c>
      <c r="P117" s="46">
        <f>O117/SUM(O:O)</f>
        <v>1.1904761904761906E-3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>
        <v>468105</v>
      </c>
      <c r="B118" s="5">
        <v>1031</v>
      </c>
      <c r="C118" s="7" t="str">
        <f t="shared" si="3"/>
        <v>PremiumSS5R5only</v>
      </c>
      <c r="D118" s="7" t="str">
        <f t="shared" si="4"/>
        <v>PremiumSS</v>
      </c>
      <c r="E118" s="7" t="str">
        <f>IF(COUNTIF('R6追加前'!A:A,B118)=0,IF(OR(I118="PremiumSS",I118="PremiumSSw"),"R5only","R3less"),"")</f>
        <v>R5only</v>
      </c>
      <c r="F118" s="7" t="str">
        <f>IF(COUNTIF('R6開放'!A:A,B118)&gt;0,"R6release","")</f>
        <v/>
      </c>
      <c r="G118" s="7"/>
      <c r="H118" s="7" t="str">
        <f>VLOOKUP(B118,[1]characters!$A:$C,3,FALSE)</f>
        <v>紫式部</v>
      </c>
      <c r="I118" s="7" t="str">
        <f>VLOOKUP(B118,[1]characters!$A:$J,10,FALSE)</f>
        <v>PremiumSS</v>
      </c>
      <c r="J118" s="7">
        <f>VLOOKUP(B118,[1]characters!$A:$I,9,FALSE)</f>
        <v>5</v>
      </c>
      <c r="K118" s="7" t="str">
        <f>VLOOKUP(B118,[1]characters!$A:$H,8,FALSE)</f>
        <v>blue</v>
      </c>
      <c r="L118" s="7" t="str">
        <f>VLOOKUP(B118,[1]characters!$A:$K,11,FALSE)</f>
        <v>technical</v>
      </c>
      <c r="M118" s="7" t="str">
        <f>VLOOKUP(B118,[1]characters!$A:$M,13,FALSE)</f>
        <v>human</v>
      </c>
      <c r="N118" s="7" t="str">
        <f>VLOOKUP(B118,[1]characters!$A:$G,7,FALSE)</f>
        <v>男性</v>
      </c>
      <c r="O118" s="45">
        <f t="shared" si="5"/>
        <v>395</v>
      </c>
      <c r="P118" s="46">
        <f>O118/SUM(O:O)</f>
        <v>1.1904761904761906E-3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>
        <v>468105</v>
      </c>
      <c r="B119" s="5">
        <v>1033</v>
      </c>
      <c r="C119" s="7" t="str">
        <f t="shared" si="3"/>
        <v>PremiumSS5R5only</v>
      </c>
      <c r="D119" s="7" t="str">
        <f t="shared" si="4"/>
        <v>PremiumSS</v>
      </c>
      <c r="E119" s="7" t="str">
        <f>IF(COUNTIF('R6追加前'!A:A,B119)=0,IF(OR(I119="PremiumSS",I119="PremiumSSw"),"R5only","R3less"),"")</f>
        <v>R5only</v>
      </c>
      <c r="F119" s="7" t="str">
        <f>IF(COUNTIF('R6開放'!A:A,B119)&gt;0,"R6release","")</f>
        <v/>
      </c>
      <c r="G119" s="7"/>
      <c r="H119" s="7" t="str">
        <f>VLOOKUP(B119,[1]characters!$A:$C,3,FALSE)</f>
        <v>清少納言</v>
      </c>
      <c r="I119" s="7" t="str">
        <f>VLOOKUP(B119,[1]characters!$A:$J,10,FALSE)</f>
        <v>PremiumSS</v>
      </c>
      <c r="J119" s="7">
        <f>VLOOKUP(B119,[1]characters!$A:$I,9,FALSE)</f>
        <v>5</v>
      </c>
      <c r="K119" s="7" t="str">
        <f>VLOOKUP(B119,[1]characters!$A:$H,8,FALSE)</f>
        <v>yellow</v>
      </c>
      <c r="L119" s="7" t="str">
        <f>VLOOKUP(B119,[1]characters!$A:$K,11,FALSE)</f>
        <v>heal</v>
      </c>
      <c r="M119" s="7" t="str">
        <f>VLOOKUP(B119,[1]characters!$A:$M,13,FALSE)</f>
        <v>human</v>
      </c>
      <c r="N119" s="7" t="str">
        <f>VLOOKUP(B119,[1]characters!$A:$G,7,FALSE)</f>
        <v>男性</v>
      </c>
      <c r="O119" s="45">
        <f t="shared" si="5"/>
        <v>395</v>
      </c>
      <c r="P119" s="46">
        <f>O119/SUM(O:O)</f>
        <v>1.1904761904761906E-3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>
        <v>468105</v>
      </c>
      <c r="B120" s="5">
        <v>1068</v>
      </c>
      <c r="C120" s="7" t="str">
        <f t="shared" si="3"/>
        <v>Premium5R3less</v>
      </c>
      <c r="D120" s="7" t="str">
        <f t="shared" si="4"/>
        <v>Premium</v>
      </c>
      <c r="E120" s="7" t="str">
        <f>IF(COUNTIF('R6追加前'!A:A,B120)=0,IF(OR(I120="PremiumSS",I120="PremiumSSw"),"R5only","R3less"),"")</f>
        <v>R3less</v>
      </c>
      <c r="F120" s="7" t="str">
        <f>IF(COUNTIF('R6開放'!A:A,B120)&gt;0,"R6release","")</f>
        <v/>
      </c>
      <c r="G120" s="7"/>
      <c r="H120" s="7" t="str">
        <f>VLOOKUP(B120,[1]characters!$A:$C,3,FALSE)</f>
        <v>想母の羽龍 ウシュムガル</v>
      </c>
      <c r="I120" s="7" t="str">
        <f>VLOOKUP(B120,[1]characters!$A:$J,10,FALSE)</f>
        <v>PremiumS</v>
      </c>
      <c r="J120" s="7">
        <f>VLOOKUP(B120,[1]characters!$A:$I,9,FALSE)</f>
        <v>5</v>
      </c>
      <c r="K120" s="7" t="str">
        <f>VLOOKUP(B120,[1]characters!$A:$H,8,FALSE)</f>
        <v>red</v>
      </c>
      <c r="L120" s="7" t="str">
        <f>VLOOKUP(B120,[1]characters!$A:$K,11,FALSE)</f>
        <v>balance</v>
      </c>
      <c r="M120" s="7" t="str">
        <f>VLOOKUP(B120,[1]characters!$A:$M,13,FALSE)</f>
        <v>dragon</v>
      </c>
      <c r="N120" s="7" t="str">
        <f>VLOOKUP(B120,[1]characters!$A:$G,7,FALSE)</f>
        <v>男性</v>
      </c>
      <c r="O120" s="45">
        <f t="shared" si="5"/>
        <v>3780</v>
      </c>
      <c r="P120" s="46">
        <f>O120/SUM(O:O)</f>
        <v>1.1392405063291139E-2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>
        <v>468105</v>
      </c>
      <c r="B121" s="5">
        <v>1069</v>
      </c>
      <c r="C121" s="7" t="str">
        <f t="shared" si="3"/>
        <v>PremiumSS5R5only</v>
      </c>
      <c r="D121" s="7" t="str">
        <f t="shared" si="4"/>
        <v>PremiumSS</v>
      </c>
      <c r="E121" s="7" t="str">
        <f>IF(COUNTIF('R6追加前'!A:A,B121)=0,IF(OR(I121="PremiumSS",I121="PremiumSSw"),"R5only","R3less"),"")</f>
        <v>R5only</v>
      </c>
      <c r="F121" s="7" t="str">
        <f>IF(COUNTIF('R6開放'!A:A,B121)&gt;0,"R6release","")</f>
        <v/>
      </c>
      <c r="G121" s="7"/>
      <c r="H121" s="7" t="str">
        <f>VLOOKUP(B121,[1]characters!$A:$C,3,FALSE)</f>
        <v>イシュタル</v>
      </c>
      <c r="I121" s="7" t="str">
        <f>VLOOKUP(B121,[1]characters!$A:$J,10,FALSE)</f>
        <v>PremiumSS</v>
      </c>
      <c r="J121" s="7">
        <f>VLOOKUP(B121,[1]characters!$A:$I,9,FALSE)</f>
        <v>5</v>
      </c>
      <c r="K121" s="7" t="str">
        <f>VLOOKUP(B121,[1]characters!$A:$H,8,FALSE)</f>
        <v>green</v>
      </c>
      <c r="L121" s="7" t="str">
        <f>VLOOKUP(B121,[1]characters!$A:$K,11,FALSE)</f>
        <v>technical</v>
      </c>
      <c r="M121" s="7" t="str">
        <f>VLOOKUP(B121,[1]characters!$A:$M,13,FALSE)</f>
        <v>god</v>
      </c>
      <c r="N121" s="7" t="str">
        <f>VLOOKUP(B121,[1]characters!$A:$G,7,FALSE)</f>
        <v>男性</v>
      </c>
      <c r="O121" s="45">
        <f t="shared" si="5"/>
        <v>395</v>
      </c>
      <c r="P121" s="46">
        <f>O121/SUM(O:O)</f>
        <v>1.1904761904761906E-3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>
        <v>468105</v>
      </c>
      <c r="B122" s="5">
        <v>1072</v>
      </c>
      <c r="C122" s="7" t="str">
        <f t="shared" si="3"/>
        <v>PremiumSS5R5only</v>
      </c>
      <c r="D122" s="7" t="str">
        <f t="shared" si="4"/>
        <v>PremiumSS</v>
      </c>
      <c r="E122" s="7" t="str">
        <f>IF(COUNTIF('R6追加前'!A:A,B122)=0,IF(OR(I122="PremiumSS",I122="PremiumSSw"),"R5only","R3less"),"")</f>
        <v>R5only</v>
      </c>
      <c r="F122" s="7" t="str">
        <f>IF(COUNTIF('R6開放'!A:A,B122)&gt;0,"R6release","")</f>
        <v/>
      </c>
      <c r="G122" s="7"/>
      <c r="H122" s="7" t="str">
        <f>VLOOKUP(B122,[1]characters!$A:$C,3,FALSE)</f>
        <v>エンキドゥ</v>
      </c>
      <c r="I122" s="7" t="str">
        <f>VLOOKUP(B122,[1]characters!$A:$J,10,FALSE)</f>
        <v>PremiumSSw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attack</v>
      </c>
      <c r="M122" s="7" t="str">
        <f>VLOOKUP(B122,[1]characters!$A:$M,13,FALSE)</f>
        <v>human</v>
      </c>
      <c r="N122" s="7" t="str">
        <f>VLOOKUP(B122,[1]characters!$A:$G,7,FALSE)</f>
        <v>男性</v>
      </c>
      <c r="O122" s="45">
        <f t="shared" si="5"/>
        <v>395</v>
      </c>
      <c r="P122" s="46">
        <f>O122/SUM(O:O)</f>
        <v>1.1904761904761906E-3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>
        <v>468105</v>
      </c>
      <c r="B123" s="5">
        <v>1074</v>
      </c>
      <c r="C123" s="7" t="str">
        <f t="shared" si="3"/>
        <v>PremiumSS5R5only</v>
      </c>
      <c r="D123" s="7" t="str">
        <f t="shared" si="4"/>
        <v>PremiumSS</v>
      </c>
      <c r="E123" s="7" t="str">
        <f>IF(COUNTIF('R6追加前'!A:A,B123)=0,IF(OR(I123="PremiumSS",I123="PremiumSSw"),"R5only","R3less"),"")</f>
        <v>R5only</v>
      </c>
      <c r="F123" s="7" t="str">
        <f>IF(COUNTIF('R6開放'!A:A,B123)&gt;0,"R6release","")</f>
        <v/>
      </c>
      <c r="G123" s="7"/>
      <c r="H123" s="7" t="str">
        <f>VLOOKUP(B123,[1]characters!$A:$C,3,FALSE)</f>
        <v>マルドゥク</v>
      </c>
      <c r="I123" s="7" t="str">
        <f>VLOOKUP(B123,[1]characters!$A:$J,10,FALSE)</f>
        <v>PremiumSS</v>
      </c>
      <c r="J123" s="7">
        <f>VLOOKUP(B123,[1]characters!$A:$I,9,FALSE)</f>
        <v>5</v>
      </c>
      <c r="K123" s="7" t="str">
        <f>VLOOKUP(B123,[1]characters!$A:$H,8,FALSE)</f>
        <v>yellow</v>
      </c>
      <c r="L123" s="7" t="str">
        <f>VLOOKUP(B123,[1]characters!$A:$K,11,FALSE)</f>
        <v>technical</v>
      </c>
      <c r="M123" s="7" t="str">
        <f>VLOOKUP(B123,[1]characters!$A:$M,13,FALSE)</f>
        <v>god</v>
      </c>
      <c r="N123" s="7" t="str">
        <f>VLOOKUP(B123,[1]characters!$A:$G,7,FALSE)</f>
        <v>男性</v>
      </c>
      <c r="O123" s="45">
        <f t="shared" si="5"/>
        <v>395</v>
      </c>
      <c r="P123" s="46">
        <f>O123/SUM(O:O)</f>
        <v>1.1904761904761906E-3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>
        <v>468105</v>
      </c>
      <c r="B124" s="5">
        <v>1100</v>
      </c>
      <c r="C124" s="7" t="str">
        <f t="shared" si="3"/>
        <v>PremiumSS5R5only</v>
      </c>
      <c r="D124" s="7" t="str">
        <f t="shared" si="4"/>
        <v>PremiumSS</v>
      </c>
      <c r="E124" s="7" t="str">
        <f>IF(COUNTIF('R6追加前'!A:A,B124)=0,IF(OR(I124="PremiumSS",I124="PremiumSSw"),"R5only","R3less"),"")</f>
        <v>R5only</v>
      </c>
      <c r="F124" s="7" t="str">
        <f>IF(COUNTIF('R6開放'!A:A,B124)&gt;0,"R6release","")</f>
        <v/>
      </c>
      <c r="G124" s="7"/>
      <c r="H124" s="7" t="str">
        <f>VLOOKUP(B124,[1]characters!$A:$C,3,FALSE)</f>
        <v>北斎</v>
      </c>
      <c r="I124" s="7" t="str">
        <f>VLOOKUP(B124,[1]characters!$A:$J,10,FALSE)</f>
        <v>PremiumSS</v>
      </c>
      <c r="J124" s="7">
        <f>VLOOKUP(B124,[1]characters!$A:$I,9,FALSE)</f>
        <v>5</v>
      </c>
      <c r="K124" s="7" t="str">
        <f>VLOOKUP(B124,[1]characters!$A:$H,8,FALSE)</f>
        <v>red</v>
      </c>
      <c r="L124" s="7" t="str">
        <f>VLOOKUP(B124,[1]characters!$A:$K,11,FALSE)</f>
        <v>attack</v>
      </c>
      <c r="M124" s="7" t="str">
        <f>VLOOKUP(B124,[1]characters!$A:$M,13,FALSE)</f>
        <v>human</v>
      </c>
      <c r="N124" s="7" t="str">
        <f>VLOOKUP(B124,[1]characters!$A:$G,7,FALSE)</f>
        <v>不明</v>
      </c>
      <c r="O124" s="45">
        <f t="shared" si="5"/>
        <v>395</v>
      </c>
      <c r="P124" s="46">
        <f>O124/SUM(O:O)</f>
        <v>1.1904761904761906E-3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>
        <v>468105</v>
      </c>
      <c r="B125" s="6">
        <v>1102</v>
      </c>
      <c r="C125" s="7" t="str">
        <f t="shared" si="3"/>
        <v>PremiumSS5R5only</v>
      </c>
      <c r="D125" s="7" t="str">
        <f t="shared" si="4"/>
        <v>PremiumSS</v>
      </c>
      <c r="E125" s="7" t="str">
        <f>IF(COUNTIF('R6追加前'!A:A,B125)=0,IF(OR(I125="PremiumSS",I125="PremiumSSw"),"R5only","R3less"),"")</f>
        <v>R5only</v>
      </c>
      <c r="F125" s="7" t="str">
        <f>IF(COUNTIF('R6開放'!A:A,B125)&gt;0,"R6release","")</f>
        <v/>
      </c>
      <c r="G125" s="7"/>
      <c r="H125" s="7" t="str">
        <f>VLOOKUP(B125,[1]characters!$A:$C,3,FALSE)</f>
        <v>ドガ</v>
      </c>
      <c r="I125" s="7" t="str">
        <f>VLOOKUP(B125,[1]characters!$A:$J,10,FALSE)</f>
        <v>PremiumSSW</v>
      </c>
      <c r="J125" s="7">
        <f>VLOOKUP(B125,[1]characters!$A:$I,9,FALSE)</f>
        <v>5</v>
      </c>
      <c r="K125" s="7" t="str">
        <f>VLOOKUP(B125,[1]characters!$A:$H,8,FALSE)</f>
        <v>green</v>
      </c>
      <c r="L125" s="7" t="str">
        <f>VLOOKUP(B125,[1]characters!$A:$K,11,FALSE)</f>
        <v>balance</v>
      </c>
      <c r="M125" s="7" t="str">
        <f>VLOOKUP(B125,[1]characters!$A:$M,13,FALSE)</f>
        <v>animal</v>
      </c>
      <c r="N125" s="7" t="str">
        <f>VLOOKUP(B125,[1]characters!$A:$G,7,FALSE)</f>
        <v>不明</v>
      </c>
      <c r="O125" s="45">
        <f t="shared" si="5"/>
        <v>395</v>
      </c>
      <c r="P125" s="46">
        <f>O125/SUM(O:O)</f>
        <v>1.1904761904761906E-3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>
        <v>468105</v>
      </c>
      <c r="B126" s="6">
        <v>1105</v>
      </c>
      <c r="C126" s="7" t="str">
        <f t="shared" si="3"/>
        <v>Premium5R3less</v>
      </c>
      <c r="D126" s="7" t="str">
        <f t="shared" si="4"/>
        <v>Premium</v>
      </c>
      <c r="E126" s="7" t="str">
        <f>IF(COUNTIF('R6追加前'!A:A,B126)=0,IF(OR(I126="PremiumSS",I126="PremiumSSw"),"R5only","R3less"),"")</f>
        <v>R3less</v>
      </c>
      <c r="F126" s="7" t="str">
        <f>IF(COUNTIF('R6開放'!A:A,B126)&gt;0,"R6release","")</f>
        <v/>
      </c>
      <c r="G126" s="7"/>
      <c r="H126" s="7" t="str">
        <f>VLOOKUP(B126,[1]characters!$A:$C,3,FALSE)</f>
        <v>甘美なる背徳 クリムト</v>
      </c>
      <c r="I126" s="7" t="str">
        <f>VLOOKUP(B126,[1]characters!$A:$J,10,FALSE)</f>
        <v>PremiumS</v>
      </c>
      <c r="J126" s="7">
        <f>VLOOKUP(B126,[1]characters!$A:$I,9,FALSE)</f>
        <v>5</v>
      </c>
      <c r="K126" s="7" t="str">
        <f>VLOOKUP(B126,[1]characters!$A:$H,8,FALSE)</f>
        <v>blue</v>
      </c>
      <c r="L126" s="7" t="str">
        <f>VLOOKUP(B126,[1]characters!$A:$K,11,FALSE)</f>
        <v>technical</v>
      </c>
      <c r="M126" s="7" t="str">
        <f>VLOOKUP(B126,[1]characters!$A:$M,13,FALSE)</f>
        <v>human</v>
      </c>
      <c r="N126" s="7" t="str">
        <f>VLOOKUP(B126,[1]characters!$A:$G,7,FALSE)</f>
        <v>不明</v>
      </c>
      <c r="O126" s="45">
        <f t="shared" si="5"/>
        <v>3780</v>
      </c>
      <c r="P126" s="46">
        <f>O126/SUM(O:O)</f>
        <v>1.1392405063291139E-2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>
        <v>468105</v>
      </c>
      <c r="B127" s="6">
        <v>1106</v>
      </c>
      <c r="C127" s="7" t="str">
        <f t="shared" si="3"/>
        <v>PremiumSS5R5only</v>
      </c>
      <c r="D127" s="7" t="str">
        <f t="shared" si="4"/>
        <v>PremiumSS</v>
      </c>
      <c r="E127" s="7" t="str">
        <f>IF(COUNTIF('R6追加前'!A:A,B127)=0,IF(OR(I127="PremiumSS",I127="PremiumSSw"),"R5only","R3less"),"")</f>
        <v>R5only</v>
      </c>
      <c r="F127" s="7" t="str">
        <f>IF(COUNTIF('R6開放'!A:A,B127)&gt;0,"R6release","")</f>
        <v/>
      </c>
      <c r="G127" s="7"/>
      <c r="H127" s="7" t="str">
        <f>VLOOKUP(B127,[1]characters!$A:$C,3,FALSE)</f>
        <v>ラファエロ</v>
      </c>
      <c r="I127" s="7" t="str">
        <f>VLOOKUP(B127,[1]characters!$A:$J,10,FALSE)</f>
        <v>PremiumSS</v>
      </c>
      <c r="J127" s="7">
        <f>VLOOKUP(B127,[1]characters!$A:$I,9,FALSE)</f>
        <v>5</v>
      </c>
      <c r="K127" s="7" t="str">
        <f>VLOOKUP(B127,[1]characters!$A:$H,8,FALSE)</f>
        <v>yellow</v>
      </c>
      <c r="L127" s="7" t="str">
        <f>VLOOKUP(B127,[1]characters!$A:$K,11,FALSE)</f>
        <v>attack</v>
      </c>
      <c r="M127" s="7" t="str">
        <f>VLOOKUP(B127,[1]characters!$A:$M,13,FALSE)</f>
        <v>human</v>
      </c>
      <c r="N127" s="7" t="str">
        <f>VLOOKUP(B127,[1]characters!$A:$G,7,FALSE)</f>
        <v>不明</v>
      </c>
      <c r="O127" s="45">
        <f t="shared" si="5"/>
        <v>395</v>
      </c>
      <c r="P127" s="46">
        <f>O127/SUM(O:O)</f>
        <v>1.1904761904761906E-3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>
        <v>468105</v>
      </c>
      <c r="B128" s="6">
        <v>1137</v>
      </c>
      <c r="C128" s="7" t="str">
        <f t="shared" si="3"/>
        <v>PremiumSS5R5only</v>
      </c>
      <c r="D128" s="7" t="str">
        <f t="shared" si="4"/>
        <v>PremiumSS</v>
      </c>
      <c r="E128" s="7" t="str">
        <f>IF(COUNTIF('R6追加前'!A:A,B128)=0,IF(OR(I128="PremiumSS",I128="PremiumSSw"),"R5only","R3less"),"")</f>
        <v>R5only</v>
      </c>
      <c r="F128" s="7" t="str">
        <f>IF(COUNTIF('R6開放'!A:A,B128)&gt;0,"R6release","")</f>
        <v/>
      </c>
      <c r="G128" s="7"/>
      <c r="H128" s="7" t="str">
        <f>VLOOKUP(B128,[1]characters!$A:$C,3,FALSE)</f>
        <v>諸葛亮</v>
      </c>
      <c r="I128" s="7" t="str">
        <f>VLOOKUP(B128,[1]characters!$A:$J,10,FALSE)</f>
        <v>PremiumSSW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technical</v>
      </c>
      <c r="M128" s="7" t="str">
        <f>VLOOKUP(B128,[1]characters!$A:$M,13,FALSE)</f>
        <v>samurai</v>
      </c>
      <c r="N128" s="7" t="str">
        <f>VLOOKUP(B128,[1]characters!$A:$G,7,FALSE)</f>
        <v>不明</v>
      </c>
      <c r="O128" s="45">
        <f t="shared" si="5"/>
        <v>395</v>
      </c>
      <c r="P128" s="46">
        <f>O128/SUM(O:O)</f>
        <v>1.1904761904761906E-3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>
        <v>468105</v>
      </c>
      <c r="B129" s="6">
        <v>1139</v>
      </c>
      <c r="C129" s="7" t="str">
        <f t="shared" si="3"/>
        <v>PremiumSS5R5only</v>
      </c>
      <c r="D129" s="7" t="str">
        <f t="shared" si="4"/>
        <v>PremiumSS</v>
      </c>
      <c r="E129" s="7" t="str">
        <f>IF(COUNTIF('R6追加前'!A:A,B129)=0,IF(OR(I129="PremiumSS",I129="PremiumSSw"),"R5only","R3less"),"")</f>
        <v>R5only</v>
      </c>
      <c r="F129" s="7" t="str">
        <f>IF(COUNTIF('R6開放'!A:A,B129)&gt;0,"R6release","")</f>
        <v/>
      </c>
      <c r="G129" s="7"/>
      <c r="H129" s="7" t="str">
        <f>VLOOKUP(B129,[1]characters!$A:$C,3,FALSE)</f>
        <v>趙雲</v>
      </c>
      <c r="I129" s="7" t="str">
        <f>VLOOKUP(B129,[1]characters!$A:$J,10,FALSE)</f>
        <v>PremiumSS</v>
      </c>
      <c r="J129" s="7">
        <f>VLOOKUP(B129,[1]characters!$A:$I,9,FALSE)</f>
        <v>5</v>
      </c>
      <c r="K129" s="7" t="str">
        <f>VLOOKUP(B129,[1]characters!$A:$H,8,FALSE)</f>
        <v>green</v>
      </c>
      <c r="L129" s="7" t="str">
        <f>VLOOKUP(B129,[1]characters!$A:$K,11,FALSE)</f>
        <v>balance</v>
      </c>
      <c r="M129" s="7" t="str">
        <f>VLOOKUP(B129,[1]characters!$A:$M,13,FALSE)</f>
        <v>samurai</v>
      </c>
      <c r="N129" s="7" t="str">
        <f>VLOOKUP(B129,[1]characters!$A:$G,7,FALSE)</f>
        <v>不明</v>
      </c>
      <c r="O129" s="45">
        <f t="shared" si="5"/>
        <v>395</v>
      </c>
      <c r="P129" s="46">
        <f>O129/SUM(O:O)</f>
        <v>1.1904761904761906E-3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>
        <v>468105</v>
      </c>
      <c r="B130" s="6">
        <v>1141</v>
      </c>
      <c r="C130" s="7" t="str">
        <f t="shared" ref="C130:C148" si="6">D130&amp;J130&amp;E130&amp;F130&amp;G130</f>
        <v>PremiumSS5R5only</v>
      </c>
      <c r="D130" s="7" t="str">
        <f t="shared" si="4"/>
        <v>PremiumSS</v>
      </c>
      <c r="E130" s="7" t="str">
        <f>IF(COUNTIF('R6追加前'!A:A,B130)=0,IF(OR(I130="PremiumSS",I130="PremiumSSw"),"R5only","R3less"),"")</f>
        <v>R5only</v>
      </c>
      <c r="F130" s="7" t="str">
        <f>IF(COUNTIF('R6開放'!A:A,B130)&gt;0,"R6release","")</f>
        <v/>
      </c>
      <c r="G130" s="7"/>
      <c r="H130" s="7" t="str">
        <f>VLOOKUP(B130,[1]characters!$A:$C,3,FALSE)</f>
        <v>月英</v>
      </c>
      <c r="I130" s="7" t="str">
        <f>VLOOKUP(B130,[1]characters!$A:$J,10,FALSE)</f>
        <v>PremiumSS</v>
      </c>
      <c r="J130" s="7">
        <f>VLOOKUP(B130,[1]characters!$A:$I,9,FALSE)</f>
        <v>5</v>
      </c>
      <c r="K130" s="7" t="str">
        <f>VLOOKUP(B130,[1]characters!$A:$H,8,FALSE)</f>
        <v>blue</v>
      </c>
      <c r="L130" s="7" t="str">
        <f>VLOOKUP(B130,[1]characters!$A:$K,11,FALSE)</f>
        <v>balance</v>
      </c>
      <c r="M130" s="7" t="str">
        <f>VLOOKUP(B130,[1]characters!$A:$M,13,FALSE)</f>
        <v>human</v>
      </c>
      <c r="N130" s="7" t="str">
        <f>VLOOKUP(B130,[1]characters!$A:$G,7,FALSE)</f>
        <v>不明</v>
      </c>
      <c r="O130" s="45">
        <f t="shared" si="5"/>
        <v>395</v>
      </c>
      <c r="P130" s="46">
        <f>O130/SUM(O:O)</f>
        <v>1.1904761904761906E-3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>
        <v>468105</v>
      </c>
      <c r="B131" s="6">
        <v>1144</v>
      </c>
      <c r="C131" s="7" t="str">
        <f t="shared" si="6"/>
        <v>Premium5R3less</v>
      </c>
      <c r="D131" s="7" t="str">
        <f t="shared" ref="D131:D148" si="7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>R3less</v>
      </c>
      <c r="F131" s="7" t="str">
        <f>IF(COUNTIF('R6開放'!A:A,B131)&gt;0,"R6release","")</f>
        <v/>
      </c>
      <c r="G131" s="7"/>
      <c r="H131" s="7" t="str">
        <f>VLOOKUP(B131,[1]characters!$A:$C,3,FALSE)</f>
        <v>白星を射る老将 黄忠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yellow</v>
      </c>
      <c r="L131" s="7" t="str">
        <f>VLOOKUP(B131,[1]characters!$A:$K,11,FALSE)</f>
        <v>technical</v>
      </c>
      <c r="M131" s="7" t="str">
        <f>VLOOKUP(B131,[1]characters!$A:$M,13,FALSE)</f>
        <v>samurai</v>
      </c>
      <c r="N131" s="7" t="str">
        <f>VLOOKUP(B131,[1]characters!$A:$G,7,FALSE)</f>
        <v>不明</v>
      </c>
      <c r="O131" s="45">
        <f t="shared" ref="O131:O148" si="8">IF(D131="Premium",3780,IF(D131="PremiumSSS",1659,395))</f>
        <v>3780</v>
      </c>
      <c r="P131" s="46">
        <f>O131/SUM(O:O)</f>
        <v>1.1392405063291139E-2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>
        <v>468105</v>
      </c>
      <c r="B132" s="6">
        <v>1152</v>
      </c>
      <c r="C132" s="7" t="str">
        <f t="shared" si="6"/>
        <v>Premium5R3less</v>
      </c>
      <c r="D132" s="7" t="str">
        <f t="shared" si="7"/>
        <v>Premium</v>
      </c>
      <c r="E132" s="7" t="str">
        <f>IF(COUNTIF('R6追加前'!A:A,B132)=0,IF(OR(I132="PremiumSS",I132="PremiumSSw"),"R5only","R3less"),"")</f>
        <v>R3less</v>
      </c>
      <c r="F132" s="7" t="str">
        <f>IF(COUNTIF('R6開放'!A:A,B132)&gt;0,"R6release","")</f>
        <v/>
      </c>
      <c r="G132" s="7"/>
      <c r="H132" s="7" t="str">
        <f>VLOOKUP(B132,[1]characters!$A:$C,3,FALSE)</f>
        <v>衆知の富益神 ガネーシャ</v>
      </c>
      <c r="I132" s="7" t="str">
        <f>VLOOKUP(B132,[1]characters!$A:$J,10,FALSE)</f>
        <v>PremiumS</v>
      </c>
      <c r="J132" s="7">
        <f>VLOOKUP(B132,[1]characters!$A:$I,9,FALSE)</f>
        <v>5</v>
      </c>
      <c r="K132" s="7" t="str">
        <f>VLOOKUP(B132,[1]characters!$A:$H,8,FALSE)</f>
        <v>red</v>
      </c>
      <c r="L132" s="7" t="str">
        <f>VLOOKUP(B132,[1]characters!$A:$K,11,FALSE)</f>
        <v>heal</v>
      </c>
      <c r="M132" s="7" t="str">
        <f>VLOOKUP(B132,[1]characters!$A:$M,13,FALSE)</f>
        <v>god</v>
      </c>
      <c r="N132" s="7" t="str">
        <f>VLOOKUP(B132,[1]characters!$A:$G,7,FALSE)</f>
        <v>不明</v>
      </c>
      <c r="O132" s="45">
        <f t="shared" si="8"/>
        <v>3780</v>
      </c>
      <c r="P132" s="46">
        <f>O132/SUM(O:O)</f>
        <v>1.1392405063291139E-2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>
        <v>468105</v>
      </c>
      <c r="B133" s="6">
        <v>1153</v>
      </c>
      <c r="C133" s="7" t="str">
        <f t="shared" si="6"/>
        <v>PremiumSS5R5only</v>
      </c>
      <c r="D133" s="7" t="str">
        <f t="shared" si="7"/>
        <v>PremiumSS</v>
      </c>
      <c r="E133" s="7" t="str">
        <f>IF(COUNTIF('R6追加前'!A:A,B133)=0,IF(OR(I133="PremiumSS",I133="PremiumSSw"),"R5only","R3less"),"")</f>
        <v>R5only</v>
      </c>
      <c r="F133" s="7" t="str">
        <f>IF(COUNTIF('R6開放'!A:A,B133)&gt;0,"R6release","")</f>
        <v/>
      </c>
      <c r="G133" s="7"/>
      <c r="H133" s="7" t="str">
        <f>VLOOKUP(B133,[1]characters!$A:$C,3,FALSE)</f>
        <v>ラクシュミー</v>
      </c>
      <c r="I133" s="7" t="str">
        <f>VLOOKUP(B133,[1]characters!$A:$J,10,FALSE)</f>
        <v>PremiumSSW</v>
      </c>
      <c r="J133" s="7">
        <f>VLOOKUP(B133,[1]characters!$A:$I,9,FALSE)</f>
        <v>5</v>
      </c>
      <c r="K133" s="7" t="str">
        <f>VLOOKUP(B133,[1]characters!$A:$H,8,FALSE)</f>
        <v>green</v>
      </c>
      <c r="L133" s="7" t="str">
        <f>VLOOKUP(B133,[1]characters!$A:$K,11,FALSE)</f>
        <v>hp</v>
      </c>
      <c r="M133" s="7" t="str">
        <f>VLOOKUP(B133,[1]characters!$A:$M,13,FALSE)</f>
        <v>god</v>
      </c>
      <c r="N133" s="7" t="str">
        <f>VLOOKUP(B133,[1]characters!$A:$G,7,FALSE)</f>
        <v>不明</v>
      </c>
      <c r="O133" s="45">
        <f t="shared" si="8"/>
        <v>395</v>
      </c>
      <c r="P133" s="46">
        <f>O133/SUM(O:O)</f>
        <v>1.1904761904761906E-3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>
        <v>468105</v>
      </c>
      <c r="B134" s="6">
        <v>1155</v>
      </c>
      <c r="C134" s="7" t="str">
        <f t="shared" si="6"/>
        <v>PremiumSS5R5only</v>
      </c>
      <c r="D134" s="7" t="str">
        <f t="shared" si="7"/>
        <v>PremiumSS</v>
      </c>
      <c r="E134" s="7" t="str">
        <f>IF(COUNTIF('R6追加前'!A:A,B134)=0,IF(OR(I134="PremiumSS",I134="PremiumSSw"),"R5only","R3less"),"")</f>
        <v>R5only</v>
      </c>
      <c r="F134" s="7" t="str">
        <f>IF(COUNTIF('R6開放'!A:A,B134)&gt;0,"R6release","")</f>
        <v/>
      </c>
      <c r="G134" s="7"/>
      <c r="H134" s="7" t="str">
        <f>VLOOKUP(B134,[1]characters!$A:$C,3,FALSE)</f>
        <v>ドゥルガー</v>
      </c>
      <c r="I134" s="7" t="str">
        <f>VLOOKUP(B134,[1]characters!$A:$J,10,FALSE)</f>
        <v>PremiumSS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balance</v>
      </c>
      <c r="M134" s="7" t="str">
        <f>VLOOKUP(B134,[1]characters!$A:$M,13,FALSE)</f>
        <v>god</v>
      </c>
      <c r="N134" s="7" t="str">
        <f>VLOOKUP(B134,[1]characters!$A:$G,7,FALSE)</f>
        <v>不明</v>
      </c>
      <c r="O134" s="45">
        <f t="shared" si="8"/>
        <v>395</v>
      </c>
      <c r="P134" s="46">
        <f>O134/SUM(O:O)</f>
        <v>1.1904761904761906E-3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>
        <v>468105</v>
      </c>
      <c r="B135" s="6">
        <v>1157</v>
      </c>
      <c r="C135" s="7" t="str">
        <f t="shared" si="6"/>
        <v>PremiumSS5R5only</v>
      </c>
      <c r="D135" s="7" t="str">
        <f t="shared" si="7"/>
        <v>PremiumSS</v>
      </c>
      <c r="E135" s="7" t="str">
        <f>IF(COUNTIF('R6追加前'!A:A,B135)=0,IF(OR(I135="PremiumSS",I135="PremiumSSw"),"R5only","R3less"),"")</f>
        <v>R5only</v>
      </c>
      <c r="F135" s="7" t="str">
        <f>IF(COUNTIF('R6開放'!A:A,B135)&gt;0,"R6release","")</f>
        <v/>
      </c>
      <c r="G135" s="7"/>
      <c r="H135" s="7" t="str">
        <f>VLOOKUP(B135,[1]characters!$A:$C,3,FALSE)</f>
        <v>インドラ</v>
      </c>
      <c r="I135" s="7" t="str">
        <f>VLOOKUP(B135,[1]characters!$A:$J,10,FALSE)</f>
        <v>PremiumSS</v>
      </c>
      <c r="J135" s="7">
        <f>VLOOKUP(B135,[1]characters!$A:$I,9,FALSE)</f>
        <v>5</v>
      </c>
      <c r="K135" s="7" t="str">
        <f>VLOOKUP(B135,[1]characters!$A:$H,8,FALSE)</f>
        <v>yellow</v>
      </c>
      <c r="L135" s="7" t="str">
        <f>VLOOKUP(B135,[1]characters!$A:$K,11,FALSE)</f>
        <v>attack</v>
      </c>
      <c r="M135" s="7" t="str">
        <f>VLOOKUP(B135,[1]characters!$A:$M,13,FALSE)</f>
        <v>god</v>
      </c>
      <c r="N135" s="7" t="str">
        <f>VLOOKUP(B135,[1]characters!$A:$G,7,FALSE)</f>
        <v>不明</v>
      </c>
      <c r="O135" s="45">
        <f t="shared" si="8"/>
        <v>395</v>
      </c>
      <c r="P135" s="46">
        <f>O135/SUM(O:O)</f>
        <v>1.1904761904761906E-3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>
        <v>468105</v>
      </c>
      <c r="B136" s="8">
        <v>1214</v>
      </c>
      <c r="C136" s="7" t="str">
        <f t="shared" si="6"/>
        <v>PremiumSS5R5only</v>
      </c>
      <c r="D136" s="7" t="str">
        <f t="shared" si="7"/>
        <v>PremiumSS</v>
      </c>
      <c r="E136" s="7" t="str">
        <f>IF(COUNTIF('R6追加前'!A:A,B136)=0,IF(OR(I136="PremiumSS",I136="PremiumSSw"),"R5only","R3less"),"")</f>
        <v>R5only</v>
      </c>
      <c r="F136" s="7" t="str">
        <f>IF(COUNTIF('R6開放'!A:A,B136)&gt;0,"R6release","")</f>
        <v/>
      </c>
      <c r="G136" s="7"/>
      <c r="H136" s="7" t="str">
        <f>VLOOKUP(B136,[1]characters!$A:$C,3,FALSE)</f>
        <v>アルテミス</v>
      </c>
      <c r="I136" s="7" t="str">
        <f>VLOOKUP(B136,[1]characters!$A:$J,10,FALSE)</f>
        <v>PremiumSSw</v>
      </c>
      <c r="J136" s="7">
        <f>VLOOKUP(B136,[1]characters!$A:$I,9,FALSE)</f>
        <v>5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god</v>
      </c>
      <c r="N136" s="7">
        <f>VLOOKUP(B136,[1]characters!$A:$G,7,FALSE)</f>
        <v>0</v>
      </c>
      <c r="O136" s="45">
        <f t="shared" si="8"/>
        <v>395</v>
      </c>
      <c r="P136" s="46">
        <f>O136/SUM(O:O)</f>
        <v>1.1904761904761906E-3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>
        <v>468105</v>
      </c>
      <c r="B137" s="8">
        <v>1212</v>
      </c>
      <c r="C137" s="7" t="str">
        <f t="shared" si="6"/>
        <v>PremiumSS5R5only</v>
      </c>
      <c r="D137" s="7" t="str">
        <f t="shared" si="7"/>
        <v>PremiumSS</v>
      </c>
      <c r="E137" s="7" t="str">
        <f>IF(COUNTIF('R6追加前'!A:A,B137)=0,IF(OR(I137="PremiumSS",I137="PremiumSSw"),"R5only","R3less"),"")</f>
        <v>R5only</v>
      </c>
      <c r="F137" s="7" t="str">
        <f>IF(COUNTIF('R6開放'!A:A,B137)&gt;0,"R6release","")</f>
        <v/>
      </c>
      <c r="G137" s="7"/>
      <c r="H137" s="7" t="str">
        <f>VLOOKUP(B137,[1]characters!$A:$C,3,FALSE)</f>
        <v>クロノス</v>
      </c>
      <c r="I137" s="7" t="str">
        <f>VLOOKUP(B137,[1]characters!$A:$J,10,FALSE)</f>
        <v>PremiumSS</v>
      </c>
      <c r="J137" s="7">
        <f>VLOOKUP(B137,[1]characters!$A:$I,9,FALSE)</f>
        <v>5</v>
      </c>
      <c r="K137" s="7" t="str">
        <f>VLOOKUP(B137,[1]characters!$A:$H,8,FALSE)</f>
        <v>blue</v>
      </c>
      <c r="L137" s="7" t="str">
        <f>VLOOKUP(B137,[1]characters!$A:$K,11,FALSE)</f>
        <v>technical</v>
      </c>
      <c r="M137" s="7" t="str">
        <f>VLOOKUP(B137,[1]characters!$A:$M,13,FALSE)</f>
        <v>god</v>
      </c>
      <c r="N137" s="7">
        <f>VLOOKUP(B137,[1]characters!$A:$G,7,FALSE)</f>
        <v>0</v>
      </c>
      <c r="O137" s="45">
        <f t="shared" si="8"/>
        <v>395</v>
      </c>
      <c r="P137" s="46">
        <f>O137/SUM(O:O)</f>
        <v>1.1904761904761906E-3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>
        <v>468105</v>
      </c>
      <c r="B138" s="6">
        <v>1208</v>
      </c>
      <c r="C138" s="7" t="str">
        <f t="shared" si="6"/>
        <v>PremiumSS5R5only</v>
      </c>
      <c r="D138" s="7" t="str">
        <f t="shared" si="7"/>
        <v>PremiumSS</v>
      </c>
      <c r="E138" s="7" t="str">
        <f>IF(COUNTIF('R6追加前'!A:A,B138)=0,IF(OR(I138="PremiumSS",I138="PremiumSSw"),"R5only","R3less"),"")</f>
        <v>R5only</v>
      </c>
      <c r="F138" s="7" t="str">
        <f>IF(COUNTIF('R6開放'!A:A,B138)&gt;0,"R6release","")</f>
        <v/>
      </c>
      <c r="G138" s="7"/>
      <c r="H138" s="7" t="str">
        <f>VLOOKUP(B138,[1]characters!$A:$C,3,FALSE)</f>
        <v>ネメシス</v>
      </c>
      <c r="I138" s="7" t="str">
        <f>VLOOKUP(B138,[1]characters!$A:$J,10,FALSE)</f>
        <v>PremiumSS</v>
      </c>
      <c r="J138" s="7">
        <f>VLOOKUP(B138,[1]characters!$A:$I,9,FALSE)</f>
        <v>5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god</v>
      </c>
      <c r="N138" s="7">
        <f>VLOOKUP(B138,[1]characters!$A:$G,7,FALSE)</f>
        <v>0</v>
      </c>
      <c r="O138" s="45">
        <f t="shared" si="8"/>
        <v>395</v>
      </c>
      <c r="P138" s="46">
        <f>O138/SUM(O:O)</f>
        <v>1.1904761904761906E-3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>
        <v>468105</v>
      </c>
      <c r="B139" s="6">
        <v>1211</v>
      </c>
      <c r="C139" s="7" t="str">
        <f t="shared" si="6"/>
        <v>Premium5R3less</v>
      </c>
      <c r="D139" s="7" t="str">
        <f t="shared" si="7"/>
        <v>Premium</v>
      </c>
      <c r="E139" s="7" t="str">
        <f>IF(COUNTIF('R6追加前'!A:A,B139)=0,IF(OR(I139="PremiumSS",I139="PremiumSSw"),"R5only","R3less"),"")</f>
        <v>R3less</v>
      </c>
      <c r="F139" s="7" t="str">
        <f>IF(COUNTIF('R6開放'!A:A,B139)&gt;0,"R6release","")</f>
        <v/>
      </c>
      <c r="G139" s="7"/>
      <c r="H139" s="7" t="str">
        <f>VLOOKUP(B139,[1]characters!$A:$C,3,FALSE)</f>
        <v>奏駆の翻騎 ケンタウロス</v>
      </c>
      <c r="I139" s="7" t="str">
        <f>VLOOKUP(B139,[1]characters!$A:$J,10,FALSE)</f>
        <v>PremiumS</v>
      </c>
      <c r="J139" s="7">
        <f>VLOOKUP(B139,[1]characters!$A:$I,9,FALSE)</f>
        <v>5</v>
      </c>
      <c r="K139" s="7" t="str">
        <f>VLOOKUP(B139,[1]characters!$A:$H,8,FALSE)</f>
        <v>green</v>
      </c>
      <c r="L139" s="7" t="str">
        <f>VLOOKUP(B139,[1]characters!$A:$K,11,FALSE)</f>
        <v>attack</v>
      </c>
      <c r="M139" s="7" t="str">
        <f>VLOOKUP(B139,[1]characters!$A:$M,13,FALSE)</f>
        <v>god</v>
      </c>
      <c r="N139" s="7">
        <f>VLOOKUP(B139,[1]characters!$A:$G,7,FALSE)</f>
        <v>0</v>
      </c>
      <c r="O139" s="45">
        <f t="shared" si="8"/>
        <v>3780</v>
      </c>
      <c r="P139" s="46">
        <f>O139/SUM(O:O)</f>
        <v>1.1392405063291139E-2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>
        <v>468105</v>
      </c>
      <c r="B140" s="6">
        <v>1225</v>
      </c>
      <c r="C140" s="7" t="str">
        <f t="shared" si="6"/>
        <v>Premium5R3less</v>
      </c>
      <c r="D140" s="7" t="str">
        <f t="shared" si="7"/>
        <v>Premium</v>
      </c>
      <c r="E140" s="7" t="str">
        <f>IF(COUNTIF('R6追加前'!A:A,B140)=0,IF(OR(I140="PremiumSS",I140="PremiumSSw"),"R5only","R3less"),"")</f>
        <v>R3less</v>
      </c>
      <c r="F140" s="7" t="str">
        <f>IF(COUNTIF('R6開放'!A:A,B140)&gt;0,"R6release","")</f>
        <v/>
      </c>
      <c r="G140" s="7"/>
      <c r="H140" s="7" t="str">
        <f>VLOOKUP(B140,[1]characters!$A:$C,3,FALSE)</f>
        <v>優柔なる風断者 セルバンテス</v>
      </c>
      <c r="I140" s="7" t="str">
        <f>VLOOKUP(B140,[1]characters!$A:$J,10,FALSE)</f>
        <v>PremiumS</v>
      </c>
      <c r="J140" s="7">
        <f>VLOOKUP(B140,[1]characters!$A:$I,9,FALSE)</f>
        <v>5</v>
      </c>
      <c r="K140" s="7" t="str">
        <f>VLOOKUP(B140,[1]characters!$A:$H,8,FALSE)</f>
        <v>red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>
        <f>VLOOKUP(B140,[1]characters!$A:$G,7,FALSE)</f>
        <v>0</v>
      </c>
      <c r="O140" s="45">
        <f t="shared" si="8"/>
        <v>3780</v>
      </c>
      <c r="P140" s="46">
        <f>O140/SUM(O:O)</f>
        <v>1.1392405063291139E-2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>
        <v>468105</v>
      </c>
      <c r="B141" s="6">
        <v>1226</v>
      </c>
      <c r="C141" s="7" t="str">
        <f t="shared" si="6"/>
        <v>PremiumSS5R5only</v>
      </c>
      <c r="D141" s="7" t="str">
        <f t="shared" si="7"/>
        <v>PremiumSS</v>
      </c>
      <c r="E141" s="7" t="str">
        <f>IF(COUNTIF('R6追加前'!A:A,B141)=0,IF(OR(I141="PremiumSS",I141="PremiumSSw"),"R5only","R3less"),"")</f>
        <v>R5only</v>
      </c>
      <c r="F141" s="7" t="str">
        <f>IF(COUNTIF('R6開放'!A:A,B141)&gt;0,"R6release","")</f>
        <v/>
      </c>
      <c r="G141" s="7"/>
      <c r="H141" s="7" t="str">
        <f>VLOOKUP(B141,[1]characters!$A:$C,3,FALSE)</f>
        <v>トルストイ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>
        <f>VLOOKUP(B141,[1]characters!$A:$G,7,FALSE)</f>
        <v>0</v>
      </c>
      <c r="O141" s="45">
        <f t="shared" si="8"/>
        <v>395</v>
      </c>
      <c r="P141" s="46">
        <f>O141/SUM(O:O)</f>
        <v>1.1904761904761906E-3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>
        <v>468105</v>
      </c>
      <c r="B142" s="6">
        <v>1228</v>
      </c>
      <c r="C142" s="7" t="str">
        <f t="shared" si="6"/>
        <v>PremiumSS5R5only</v>
      </c>
      <c r="D142" s="7" t="str">
        <f t="shared" si="7"/>
        <v>PremiumSS</v>
      </c>
      <c r="E142" s="7" t="str">
        <f>IF(COUNTIF('R6追加前'!A:A,B142)=0,IF(OR(I142="PremiumSS",I142="PremiumSSw"),"R5only","R3less"),"")</f>
        <v>R5only</v>
      </c>
      <c r="F142" s="7" t="str">
        <f>IF(COUNTIF('R6開放'!A:A,B142)&gt;0,"R6release","")</f>
        <v/>
      </c>
      <c r="G142" s="7"/>
      <c r="H142" s="7" t="str">
        <f>VLOOKUP(B142,[1]characters!$A:$C,3,FALSE)</f>
        <v>芥川龍之介</v>
      </c>
      <c r="I142" s="7" t="str">
        <f>VLOOKUP(B142,[1]characters!$A:$J,10,FALSE)</f>
        <v>PremiumSSw</v>
      </c>
      <c r="J142" s="7">
        <f>VLOOKUP(B142,[1]characters!$A:$I,9,FALSE)</f>
        <v>5</v>
      </c>
      <c r="K142" s="7" t="str">
        <f>VLOOKUP(B142,[1]characters!$A:$H,8,FALSE)</f>
        <v>blue</v>
      </c>
      <c r="L142" s="7" t="str">
        <f>VLOOKUP(B142,[1]characters!$A:$K,11,FALSE)</f>
        <v>attack</v>
      </c>
      <c r="M142" s="7" t="str">
        <f>VLOOKUP(B142,[1]characters!$A:$M,13,FALSE)</f>
        <v>human</v>
      </c>
      <c r="N142" s="7">
        <f>VLOOKUP(B142,[1]characters!$A:$G,7,FALSE)</f>
        <v>0</v>
      </c>
      <c r="O142" s="45">
        <f t="shared" si="8"/>
        <v>395</v>
      </c>
      <c r="P142" s="46">
        <f>O142/SUM(O:O)</f>
        <v>1.1904761904761906E-3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>
        <v>468105</v>
      </c>
      <c r="B143" s="6">
        <v>1230</v>
      </c>
      <c r="C143" s="7" t="str">
        <f t="shared" si="6"/>
        <v>PremiumSS5R5only</v>
      </c>
      <c r="D143" s="7" t="str">
        <f t="shared" si="7"/>
        <v>PremiumSS</v>
      </c>
      <c r="E143" s="7" t="str">
        <f>IF(COUNTIF('R6追加前'!A:A,B143)=0,IF(OR(I143="PremiumSS",I143="PremiumSSw"),"R5only","R3less"),"")</f>
        <v>R5only</v>
      </c>
      <c r="F143" s="7" t="str">
        <f>IF(COUNTIF('R6開放'!A:A,B143)&gt;0,"R6release","")</f>
        <v/>
      </c>
      <c r="G143" s="7"/>
      <c r="H143" s="7" t="str">
        <f>VLOOKUP(B143,[1]characters!$A:$C,3,FALSE)</f>
        <v>夏目漱石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yellow</v>
      </c>
      <c r="L143" s="7" t="str">
        <f>VLOOKUP(B143,[1]characters!$A:$K,11,FALSE)</f>
        <v>heal</v>
      </c>
      <c r="M143" s="7" t="str">
        <f>VLOOKUP(B143,[1]characters!$A:$M,13,FALSE)</f>
        <v>animal</v>
      </c>
      <c r="N143" s="7">
        <f>VLOOKUP(B143,[1]characters!$A:$G,7,FALSE)</f>
        <v>0</v>
      </c>
      <c r="O143" s="45">
        <f t="shared" si="8"/>
        <v>395</v>
      </c>
      <c r="P143" s="46">
        <f>O143/SUM(O:O)</f>
        <v>1.1904761904761906E-3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>
        <v>468105</v>
      </c>
      <c r="B144" s="6">
        <v>953</v>
      </c>
      <c r="C144" s="7" t="str">
        <f t="shared" si="6"/>
        <v>PremiumSSS5R3less</v>
      </c>
      <c r="D144" s="7" t="str">
        <f t="shared" si="7"/>
        <v>PremiumSSS</v>
      </c>
      <c r="E144" s="7" t="str">
        <f>IF(COUNTIF('R6追加前'!A:A,B144)=0,IF(OR(I144="PremiumSS",I144="PremiumSSw"),"R5only","R3less"),"")</f>
        <v>R3less</v>
      </c>
      <c r="F144" s="7" t="str">
        <f>IF(COUNTIF('R6開放'!A:A,B144)&gt;0,"R6release","")</f>
        <v/>
      </c>
      <c r="G144" s="7"/>
      <c r="H144" s="7" t="str">
        <f>VLOOKUP(B144,[1]characters!$A:$C,3,FALSE)</f>
        <v>ハイゼンベルク</v>
      </c>
      <c r="I144" s="7" t="str">
        <f>VLOOKUP(B144,[1]characters!$A:$J,10,FALSE)</f>
        <v>PremiumSSS</v>
      </c>
      <c r="J144" s="7">
        <f>VLOOKUP(B144,[1]characters!$A:$I,9,FALSE)</f>
        <v>5</v>
      </c>
      <c r="K144" s="7" t="str">
        <f>VLOOKUP(B144,[1]characters!$A:$H,8,FALSE)</f>
        <v>green</v>
      </c>
      <c r="L144" s="7" t="str">
        <f>VLOOKUP(B144,[1]characters!$A:$K,11,FALSE)</f>
        <v>attack</v>
      </c>
      <c r="M144" s="7" t="str">
        <f>VLOOKUP(B144,[1]characters!$A:$M,13,FALSE)</f>
        <v>academia</v>
      </c>
      <c r="N144" s="7" t="str">
        <f>VLOOKUP(B144,[1]characters!$A:$G,7,FALSE)</f>
        <v>男性</v>
      </c>
      <c r="O144" s="45">
        <f t="shared" si="8"/>
        <v>1659</v>
      </c>
      <c r="P144" s="46">
        <f>O144/SUM(O:O)</f>
        <v>5.0000000000000001E-3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>
        <v>468105</v>
      </c>
      <c r="B145" s="6">
        <v>620</v>
      </c>
      <c r="C145" s="7" t="str">
        <f t="shared" si="6"/>
        <v>PremiumSSS5R3less</v>
      </c>
      <c r="D145" s="7" t="str">
        <f t="shared" si="7"/>
        <v>PremiumSSS</v>
      </c>
      <c r="E145" s="7" t="str">
        <f>IF(COUNTIF('R6追加前'!A:A,B145)=0,IF(OR(I145="PremiumSS",I145="PremiumSSw"),"R5only","R3less"),"")</f>
        <v>R3less</v>
      </c>
      <c r="F145" s="7" t="str">
        <f>IF(COUNTIF('R6開放'!A:A,B145)&gt;0,"R6release","")</f>
        <v/>
      </c>
      <c r="G145" s="7"/>
      <c r="H145" s="7" t="str">
        <f>VLOOKUP(B145,[1]characters!$A:$C,3,FALSE)</f>
        <v>奇跡の調和 メビウス</v>
      </c>
      <c r="I145" s="7" t="str">
        <f>VLOOKUP(B145,[1]characters!$A:$J,10,FALSE)</f>
        <v>PremiumSSS</v>
      </c>
      <c r="J145" s="7">
        <f>VLOOKUP(B145,[1]characters!$A:$I,9,FALSE)</f>
        <v>5</v>
      </c>
      <c r="K145" s="7" t="str">
        <f>VLOOKUP(B145,[1]characters!$A:$H,8,FALSE)</f>
        <v>blue</v>
      </c>
      <c r="L145" s="7" t="str">
        <f>VLOOKUP(B145,[1]characters!$A:$K,11,FALSE)</f>
        <v>balance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t="shared" si="8"/>
        <v>1659</v>
      </c>
      <c r="P145" s="46">
        <f>O145/SUM(O:O)</f>
        <v>5.0000000000000001E-3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>
        <v>468105</v>
      </c>
      <c r="B146" s="6">
        <v>880</v>
      </c>
      <c r="C146" s="7" t="str">
        <f t="shared" si="6"/>
        <v>PremiumSSS5R3less</v>
      </c>
      <c r="D146" s="7" t="str">
        <f t="shared" si="7"/>
        <v>PremiumSSS</v>
      </c>
      <c r="E146" s="7" t="str">
        <f>IF(COUNTIF('R6追加前'!A:A,B146)=0,IF(OR(I146="PremiumSS",I146="PremiumSSw"),"R5only","R3less"),"")</f>
        <v>R3less</v>
      </c>
      <c r="F146" s="7" t="str">
        <f>IF(COUNTIF('R6開放'!A:A,B146)&gt;0,"R6release","")</f>
        <v/>
      </c>
      <c r="G146" s="7"/>
      <c r="H146" s="7" t="str">
        <f>VLOOKUP(B146,[1]characters!$A:$C,3,FALSE)</f>
        <v>ハーシェル</v>
      </c>
      <c r="I146" s="7" t="str">
        <f>VLOOKUP(B146,[1]characters!$A:$J,10,FALSE)</f>
        <v>PremiumSSS</v>
      </c>
      <c r="J146" s="7">
        <f>VLOOKUP(B146,[1]characters!$A:$I,9,FALSE)</f>
        <v>5</v>
      </c>
      <c r="K146" s="7" t="str">
        <f>VLOOKUP(B146,[1]characters!$A:$H,8,FALSE)</f>
        <v>yellow</v>
      </c>
      <c r="L146" s="7" t="str">
        <f>VLOOKUP(B146,[1]characters!$A:$K,11,FALSE)</f>
        <v>heal</v>
      </c>
      <c r="M146" s="7" t="str">
        <f>VLOOKUP(B146,[1]characters!$A:$M,13,FALSE)</f>
        <v>academia</v>
      </c>
      <c r="N146" s="7" t="str">
        <f>VLOOKUP(B146,[1]characters!$A:$G,7,FALSE)</f>
        <v>男性</v>
      </c>
      <c r="O146" s="45">
        <f t="shared" si="8"/>
        <v>1659</v>
      </c>
      <c r="P146" s="46">
        <f>O146/SUM(O:O)</f>
        <v>5.0000000000000001E-3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>
        <v>468105</v>
      </c>
      <c r="B147" s="6">
        <v>623</v>
      </c>
      <c r="C147" s="7" t="str">
        <f t="shared" si="6"/>
        <v>PremiumSSS5R3less</v>
      </c>
      <c r="D147" s="7" t="str">
        <f t="shared" si="7"/>
        <v>PremiumSSS</v>
      </c>
      <c r="E147" s="7" t="str">
        <f>IF(COUNTIF('R6追加前'!A:A,B147)=0,IF(OR(I147="PremiumSS",I147="PremiumSSw"),"R5only","R3less"),"")</f>
        <v>R3less</v>
      </c>
      <c r="F147" s="7" t="str">
        <f>IF(COUNTIF('R6開放'!A:A,B147)&gt;0,"R6release","")</f>
        <v/>
      </c>
      <c r="G147" s="7"/>
      <c r="H147" s="7" t="str">
        <f>VLOOKUP(B147,[1]characters!$A:$C,3,FALSE)</f>
        <v>フェルマー</v>
      </c>
      <c r="I147" s="7" t="str">
        <f>VLOOKUP(B147,[1]characters!$A:$J,10,FALSE)</f>
        <v>PremiumSSS</v>
      </c>
      <c r="J147" s="7">
        <f>VLOOKUP(B147,[1]characters!$A:$I,9,FALSE)</f>
        <v>5</v>
      </c>
      <c r="K147" s="7" t="str">
        <f>VLOOKUP(B147,[1]characters!$A:$H,8,FALSE)</f>
        <v>yellow</v>
      </c>
      <c r="L147" s="7" t="str">
        <f>VLOOKUP(B147,[1]characters!$A:$K,11,FALSE)</f>
        <v>attack</v>
      </c>
      <c r="M147" s="7" t="str">
        <f>VLOOKUP(B147,[1]characters!$A:$M,13,FALSE)</f>
        <v>academia</v>
      </c>
      <c r="N147" s="7" t="str">
        <f>VLOOKUP(B147,[1]characters!$A:$G,7,FALSE)</f>
        <v>女性</v>
      </c>
      <c r="O147" s="45">
        <f t="shared" si="8"/>
        <v>1659</v>
      </c>
      <c r="P147" s="46">
        <f>O147/SUM(O:O)</f>
        <v>5.0000000000000001E-3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>
        <v>468105</v>
      </c>
      <c r="B148" s="6">
        <v>972</v>
      </c>
      <c r="C148" s="7" t="str">
        <f t="shared" si="6"/>
        <v>PremiumSSS5R3less</v>
      </c>
      <c r="D148" s="7" t="str">
        <f t="shared" si="7"/>
        <v>PremiumSSS</v>
      </c>
      <c r="E148" s="7" t="str">
        <f>IF(COUNTIF('R6追加前'!A:A,B148)=0,IF(OR(I148="PremiumSS",I148="PremiumSSw"),"R5only","R3less"),"")</f>
        <v>R3less</v>
      </c>
      <c r="F148" s="7" t="str">
        <f>IF(COUNTIF('R6開放'!A:A,B148)&gt;0,"R6release","")</f>
        <v/>
      </c>
      <c r="G148" s="7"/>
      <c r="H148" s="7" t="str">
        <f>VLOOKUP(B148,[1]characters!$A:$C,3,FALSE)</f>
        <v>コーシー</v>
      </c>
      <c r="I148" s="7" t="str">
        <f>VLOOKUP(B148,[1]characters!$A:$J,10,FALSE)</f>
        <v>PremiumSSS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attack</v>
      </c>
      <c r="M148" s="7" t="str">
        <f>VLOOKUP(B148,[1]characters!$A:$M,13,FALSE)</f>
        <v>academia</v>
      </c>
      <c r="N148" s="7" t="str">
        <f>VLOOKUP(B148,[1]characters!$A:$G,7,FALSE)</f>
        <v>男性</v>
      </c>
      <c r="O148" s="45">
        <f t="shared" si="8"/>
        <v>1659</v>
      </c>
      <c r="P148" s="46">
        <f>O148/SUM(O:O)</f>
        <v>5.0000000000000001E-3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E149" s="1">
        <f>COUNTIF(D:D,"Premium")</f>
        <v>79</v>
      </c>
      <c r="F149" s="1">
        <f>E152*0.9/E149</f>
        <v>3780</v>
      </c>
    </row>
    <row r="150" spans="1:22" ht="21" customHeight="1" x14ac:dyDescent="0.15">
      <c r="E150" s="1">
        <f>COUNTIF(D:D,"PremiumSS")</f>
        <v>63</v>
      </c>
      <c r="F150" s="1">
        <f>E152*0.075/E150</f>
        <v>395</v>
      </c>
    </row>
    <row r="151" spans="1:22" ht="21" customHeight="1" x14ac:dyDescent="0.15">
      <c r="E151" s="1">
        <f>COUNTIF(D:D,"PremiumSSS")</f>
        <v>5</v>
      </c>
      <c r="F151" s="1">
        <f>E152*0.025/E151</f>
        <v>1659</v>
      </c>
    </row>
    <row r="152" spans="1:22" ht="21" customHeight="1" x14ac:dyDescent="0.15">
      <c r="E152" s="1">
        <f>E149*E150*E151*40*20/60</f>
        <v>331800</v>
      </c>
      <c r="F152" s="1">
        <f>GCD(F149,F150,F151)</f>
        <v>1</v>
      </c>
    </row>
  </sheetData>
  <autoFilter ref="A1:V148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input_468010</vt:lpstr>
      <vt:lpstr>tables_468010</vt:lpstr>
      <vt:lpstr>input_468100</vt:lpstr>
      <vt:lpstr>tables_468100</vt:lpstr>
      <vt:lpstr>tables_settle_468105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2016-11-18T04:50:03Z</dcterms:modified>
</cp:coreProperties>
</file>