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8260" yWindow="-3580" windowWidth="32220" windowHeight="18200" tabRatio="943" activeTab="6"/>
  </bookViews>
  <sheets>
    <sheet name="Sheet1" sheetId="107" r:id="rId1"/>
    <sheet name="output" sheetId="103" r:id="rId2"/>
    <sheet name="input_321101" sheetId="106" r:id="rId3"/>
    <sheet name="tables_321101" sheetId="82" r:id="rId4"/>
    <sheet name="input_321102" sheetId="120" r:id="rId5"/>
    <sheet name="tables_321102" sheetId="121" r:id="rId6"/>
    <sheet name="input_321103" sheetId="124" r:id="rId7"/>
    <sheet name="tables_321103" sheetId="125" r:id="rId8"/>
    <sheet name="input_settle_321103" sheetId="126" r:id="rId9"/>
    <sheet name="tables_settle_321103" sheetId="127" r:id="rId10"/>
    <sheet name="input_321104" sheetId="128" r:id="rId11"/>
    <sheet name="tables_321104" sheetId="129" r:id="rId12"/>
    <sheet name="input_321105" sheetId="130" r:id="rId13"/>
    <sheet name="tables_321105" sheetId="131" r:id="rId14"/>
    <sheet name="input_settle_321105" sheetId="132" r:id="rId15"/>
    <sheet name="tables_settle_321105" sheetId="133" r:id="rId16"/>
    <sheet name="gacha_bonus_tables" sheetId="98" r:id="rId17"/>
    <sheet name="bug_conf_sheet" sheetId="104" r:id="rId18"/>
    <sheet name="check_sheet" sheetId="105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3" hidden="1">tables_321101!$A$1:$T$245</definedName>
    <definedName name="_xlnm._FilterDatabase" localSheetId="5" hidden="1">tables_321102!$A$1:$T$245</definedName>
    <definedName name="_xlnm._FilterDatabase" localSheetId="7" hidden="1">tables_321103!$A$1:$T$245</definedName>
    <definedName name="_xlnm._FilterDatabase" localSheetId="11" hidden="1">tables_321104!$A$1:$T$245</definedName>
    <definedName name="_xlnm._FilterDatabase" localSheetId="13" hidden="1">tables_321105!$A$1:$T$245</definedName>
    <definedName name="_xlnm._FilterDatabase" localSheetId="9" hidden="1">tables_settle_321103!$A$1:$T$245</definedName>
    <definedName name="_xlnm._FilterDatabase" localSheetId="15" hidden="1">tables_settle_321105!$A$1:$T$245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77" i="125" l="1"/>
  <c r="G196" i="125"/>
  <c r="G202" i="125"/>
  <c r="G214" i="125"/>
  <c r="A32" i="126"/>
  <c r="G156" i="127"/>
  <c r="G215" i="127"/>
  <c r="G140" i="133"/>
  <c r="G256" i="129"/>
  <c r="G169" i="129"/>
  <c r="G236" i="121"/>
  <c r="G215" i="121"/>
  <c r="G189" i="121"/>
  <c r="G239" i="82"/>
  <c r="G213" i="82"/>
  <c r="G215" i="82"/>
  <c r="F215" i="82"/>
  <c r="F213" i="82"/>
  <c r="G185" i="82"/>
  <c r="G174" i="82"/>
  <c r="G149" i="82"/>
  <c r="G150" i="82"/>
  <c r="C150" i="82"/>
  <c r="C149" i="82"/>
  <c r="C8" i="103"/>
  <c r="E8" i="103"/>
  <c r="C7" i="103"/>
  <c r="E7" i="103"/>
  <c r="C6" i="103"/>
  <c r="E6" i="103"/>
  <c r="C5" i="103"/>
  <c r="E5" i="103"/>
  <c r="C4" i="103"/>
  <c r="E4" i="103"/>
  <c r="T265" i="133"/>
  <c r="S265" i="133"/>
  <c r="R265" i="133"/>
  <c r="Q265" i="133"/>
  <c r="P265" i="133"/>
  <c r="O265" i="133"/>
  <c r="G265" i="133"/>
  <c r="C265" i="133"/>
  <c r="H265" i="133"/>
  <c r="B265" i="133"/>
  <c r="A2" i="132"/>
  <c r="A32" i="132"/>
  <c r="B22" i="132"/>
  <c r="B21" i="132"/>
  <c r="P3" i="132"/>
  <c r="O3" i="132"/>
  <c r="Q3" i="132"/>
  <c r="P4" i="132"/>
  <c r="O4" i="132"/>
  <c r="Q4" i="132"/>
  <c r="P5" i="132"/>
  <c r="O5" i="132"/>
  <c r="Q5" i="132"/>
  <c r="P6" i="132"/>
  <c r="O6" i="132"/>
  <c r="Q6" i="132"/>
  <c r="P7" i="132"/>
  <c r="O7" i="132"/>
  <c r="Q7" i="132"/>
  <c r="P8" i="132"/>
  <c r="O8" i="132"/>
  <c r="Q8" i="132"/>
  <c r="P9" i="132"/>
  <c r="O9" i="132"/>
  <c r="Q9" i="132"/>
  <c r="P10" i="132"/>
  <c r="O10" i="132"/>
  <c r="Q10" i="132"/>
  <c r="P11" i="132"/>
  <c r="O11" i="132"/>
  <c r="Q11" i="132"/>
  <c r="P12" i="132"/>
  <c r="O12" i="132"/>
  <c r="Q12" i="132"/>
  <c r="C21" i="132"/>
  <c r="D21" i="132"/>
  <c r="G21" i="132"/>
  <c r="G2" i="133"/>
  <c r="C2" i="133"/>
  <c r="H2" i="133"/>
  <c r="B2" i="133"/>
  <c r="G3" i="133"/>
  <c r="C3" i="133"/>
  <c r="H3" i="133"/>
  <c r="B3" i="133"/>
  <c r="G4" i="133"/>
  <c r="C4" i="133"/>
  <c r="H4" i="133"/>
  <c r="B4" i="133"/>
  <c r="G5" i="133"/>
  <c r="C5" i="133"/>
  <c r="H5" i="133"/>
  <c r="B5" i="133"/>
  <c r="G6" i="133"/>
  <c r="C6" i="133"/>
  <c r="H6" i="133"/>
  <c r="B6" i="133"/>
  <c r="G7" i="133"/>
  <c r="C7" i="133"/>
  <c r="H7" i="133"/>
  <c r="B7" i="133"/>
  <c r="G8" i="133"/>
  <c r="C8" i="133"/>
  <c r="H8" i="133"/>
  <c r="B8" i="133"/>
  <c r="G9" i="133"/>
  <c r="C9" i="133"/>
  <c r="H9" i="133"/>
  <c r="B9" i="133"/>
  <c r="G10" i="133"/>
  <c r="C10" i="133"/>
  <c r="H10" i="133"/>
  <c r="B10" i="133"/>
  <c r="G11" i="133"/>
  <c r="C11" i="133"/>
  <c r="H11" i="133"/>
  <c r="B11" i="133"/>
  <c r="G12" i="133"/>
  <c r="C12" i="133"/>
  <c r="H12" i="133"/>
  <c r="B12" i="133"/>
  <c r="G13" i="133"/>
  <c r="C13" i="133"/>
  <c r="H13" i="133"/>
  <c r="B13" i="133"/>
  <c r="G14" i="133"/>
  <c r="C14" i="133"/>
  <c r="H14" i="133"/>
  <c r="B14" i="133"/>
  <c r="G15" i="133"/>
  <c r="C15" i="133"/>
  <c r="H15" i="133"/>
  <c r="B15" i="133"/>
  <c r="G16" i="133"/>
  <c r="C16" i="133"/>
  <c r="H16" i="133"/>
  <c r="B16" i="133"/>
  <c r="G17" i="133"/>
  <c r="C17" i="133"/>
  <c r="H17" i="133"/>
  <c r="B17" i="133"/>
  <c r="G18" i="133"/>
  <c r="C18" i="133"/>
  <c r="H18" i="133"/>
  <c r="B18" i="133"/>
  <c r="G19" i="133"/>
  <c r="C19" i="133"/>
  <c r="H19" i="133"/>
  <c r="B19" i="133"/>
  <c r="G20" i="133"/>
  <c r="C20" i="133"/>
  <c r="H20" i="133"/>
  <c r="B20" i="133"/>
  <c r="G21" i="133"/>
  <c r="C21" i="133"/>
  <c r="H21" i="133"/>
  <c r="B21" i="133"/>
  <c r="G22" i="133"/>
  <c r="C22" i="133"/>
  <c r="H22" i="133"/>
  <c r="B22" i="133"/>
  <c r="G23" i="133"/>
  <c r="C23" i="133"/>
  <c r="H23" i="133"/>
  <c r="B23" i="133"/>
  <c r="G24" i="133"/>
  <c r="C24" i="133"/>
  <c r="H24" i="133"/>
  <c r="B24" i="133"/>
  <c r="G25" i="133"/>
  <c r="C25" i="133"/>
  <c r="H25" i="133"/>
  <c r="B25" i="133"/>
  <c r="G26" i="133"/>
  <c r="C26" i="133"/>
  <c r="H26" i="133"/>
  <c r="B26" i="133"/>
  <c r="G27" i="133"/>
  <c r="C27" i="133"/>
  <c r="H27" i="133"/>
  <c r="B27" i="133"/>
  <c r="G28" i="133"/>
  <c r="C28" i="133"/>
  <c r="H28" i="133"/>
  <c r="B28" i="133"/>
  <c r="G29" i="133"/>
  <c r="C29" i="133"/>
  <c r="H29" i="133"/>
  <c r="B29" i="133"/>
  <c r="G30" i="133"/>
  <c r="C30" i="133"/>
  <c r="H30" i="133"/>
  <c r="B30" i="133"/>
  <c r="G31" i="133"/>
  <c r="C31" i="133"/>
  <c r="H31" i="133"/>
  <c r="B31" i="133"/>
  <c r="G32" i="133"/>
  <c r="C32" i="133"/>
  <c r="H32" i="133"/>
  <c r="B32" i="133"/>
  <c r="G33" i="133"/>
  <c r="C33" i="133"/>
  <c r="H33" i="133"/>
  <c r="B33" i="133"/>
  <c r="G34" i="133"/>
  <c r="C34" i="133"/>
  <c r="H34" i="133"/>
  <c r="B34" i="133"/>
  <c r="G35" i="133"/>
  <c r="C35" i="133"/>
  <c r="H35" i="133"/>
  <c r="B35" i="133"/>
  <c r="G36" i="133"/>
  <c r="C36" i="133"/>
  <c r="H36" i="133"/>
  <c r="B36" i="133"/>
  <c r="G37" i="133"/>
  <c r="C37" i="133"/>
  <c r="H37" i="133"/>
  <c r="B37" i="133"/>
  <c r="G38" i="133"/>
  <c r="C38" i="133"/>
  <c r="H38" i="133"/>
  <c r="B38" i="133"/>
  <c r="G39" i="133"/>
  <c r="C39" i="133"/>
  <c r="H39" i="133"/>
  <c r="B39" i="133"/>
  <c r="G40" i="133"/>
  <c r="C40" i="133"/>
  <c r="H40" i="133"/>
  <c r="B40" i="133"/>
  <c r="G41" i="133"/>
  <c r="C41" i="133"/>
  <c r="H41" i="133"/>
  <c r="B41" i="133"/>
  <c r="G42" i="133"/>
  <c r="C42" i="133"/>
  <c r="H42" i="133"/>
  <c r="B42" i="133"/>
  <c r="G43" i="133"/>
  <c r="C43" i="133"/>
  <c r="H43" i="133"/>
  <c r="B43" i="133"/>
  <c r="G44" i="133"/>
  <c r="C44" i="133"/>
  <c r="H44" i="133"/>
  <c r="B44" i="133"/>
  <c r="G45" i="133"/>
  <c r="C45" i="133"/>
  <c r="H45" i="133"/>
  <c r="B45" i="133"/>
  <c r="G46" i="133"/>
  <c r="C46" i="133"/>
  <c r="H46" i="133"/>
  <c r="B46" i="133"/>
  <c r="G47" i="133"/>
  <c r="C47" i="133"/>
  <c r="H47" i="133"/>
  <c r="B47" i="133"/>
  <c r="G48" i="133"/>
  <c r="C48" i="133"/>
  <c r="H48" i="133"/>
  <c r="B48" i="133"/>
  <c r="G49" i="133"/>
  <c r="C49" i="133"/>
  <c r="H49" i="133"/>
  <c r="B49" i="133"/>
  <c r="G50" i="133"/>
  <c r="C50" i="133"/>
  <c r="H50" i="133"/>
  <c r="B50" i="133"/>
  <c r="G51" i="133"/>
  <c r="C51" i="133"/>
  <c r="H51" i="133"/>
  <c r="B51" i="133"/>
  <c r="G52" i="133"/>
  <c r="C52" i="133"/>
  <c r="H52" i="133"/>
  <c r="B52" i="133"/>
  <c r="G53" i="133"/>
  <c r="C53" i="133"/>
  <c r="H53" i="133"/>
  <c r="B53" i="133"/>
  <c r="G54" i="133"/>
  <c r="C54" i="133"/>
  <c r="H54" i="133"/>
  <c r="B54" i="133"/>
  <c r="G55" i="133"/>
  <c r="C55" i="133"/>
  <c r="H55" i="133"/>
  <c r="B55" i="133"/>
  <c r="G56" i="133"/>
  <c r="C56" i="133"/>
  <c r="H56" i="133"/>
  <c r="B56" i="133"/>
  <c r="G57" i="133"/>
  <c r="C57" i="133"/>
  <c r="H57" i="133"/>
  <c r="B57" i="133"/>
  <c r="G58" i="133"/>
  <c r="C58" i="133"/>
  <c r="H58" i="133"/>
  <c r="B58" i="133"/>
  <c r="G59" i="133"/>
  <c r="C59" i="133"/>
  <c r="H59" i="133"/>
  <c r="B59" i="133"/>
  <c r="G60" i="133"/>
  <c r="C60" i="133"/>
  <c r="H60" i="133"/>
  <c r="B60" i="133"/>
  <c r="G61" i="133"/>
  <c r="C61" i="133"/>
  <c r="H61" i="133"/>
  <c r="B61" i="133"/>
  <c r="G62" i="133"/>
  <c r="C62" i="133"/>
  <c r="H62" i="133"/>
  <c r="B62" i="133"/>
  <c r="G63" i="133"/>
  <c r="C63" i="133"/>
  <c r="H63" i="133"/>
  <c r="B63" i="133"/>
  <c r="G64" i="133"/>
  <c r="C64" i="133"/>
  <c r="H64" i="133"/>
  <c r="B64" i="133"/>
  <c r="G65" i="133"/>
  <c r="C65" i="133"/>
  <c r="H65" i="133"/>
  <c r="B65" i="133"/>
  <c r="G66" i="133"/>
  <c r="C66" i="133"/>
  <c r="H66" i="133"/>
  <c r="B66" i="133"/>
  <c r="G67" i="133"/>
  <c r="C67" i="133"/>
  <c r="H67" i="133"/>
  <c r="B67" i="133"/>
  <c r="G68" i="133"/>
  <c r="C68" i="133"/>
  <c r="H68" i="133"/>
  <c r="B68" i="133"/>
  <c r="G69" i="133"/>
  <c r="C69" i="133"/>
  <c r="H69" i="133"/>
  <c r="B69" i="133"/>
  <c r="G70" i="133"/>
  <c r="C70" i="133"/>
  <c r="H70" i="133"/>
  <c r="B70" i="133"/>
  <c r="G71" i="133"/>
  <c r="C71" i="133"/>
  <c r="H71" i="133"/>
  <c r="B71" i="133"/>
  <c r="G72" i="133"/>
  <c r="C72" i="133"/>
  <c r="H72" i="133"/>
  <c r="B72" i="133"/>
  <c r="G73" i="133"/>
  <c r="C73" i="133"/>
  <c r="H73" i="133"/>
  <c r="B73" i="133"/>
  <c r="G74" i="133"/>
  <c r="C74" i="133"/>
  <c r="H74" i="133"/>
  <c r="B74" i="133"/>
  <c r="G75" i="133"/>
  <c r="C75" i="133"/>
  <c r="H75" i="133"/>
  <c r="B75" i="133"/>
  <c r="G76" i="133"/>
  <c r="C76" i="133"/>
  <c r="H76" i="133"/>
  <c r="B76" i="133"/>
  <c r="G77" i="133"/>
  <c r="C77" i="133"/>
  <c r="H77" i="133"/>
  <c r="B77" i="133"/>
  <c r="G78" i="133"/>
  <c r="C78" i="133"/>
  <c r="H78" i="133"/>
  <c r="B78" i="133"/>
  <c r="G79" i="133"/>
  <c r="C79" i="133"/>
  <c r="H79" i="133"/>
  <c r="B79" i="133"/>
  <c r="G80" i="133"/>
  <c r="C80" i="133"/>
  <c r="H80" i="133"/>
  <c r="B80" i="133"/>
  <c r="G81" i="133"/>
  <c r="C81" i="133"/>
  <c r="H81" i="133"/>
  <c r="B81" i="133"/>
  <c r="G82" i="133"/>
  <c r="C82" i="133"/>
  <c r="H82" i="133"/>
  <c r="B82" i="133"/>
  <c r="G83" i="133"/>
  <c r="C83" i="133"/>
  <c r="H83" i="133"/>
  <c r="B83" i="133"/>
  <c r="G84" i="133"/>
  <c r="C84" i="133"/>
  <c r="H84" i="133"/>
  <c r="B84" i="133"/>
  <c r="G85" i="133"/>
  <c r="C85" i="133"/>
  <c r="H85" i="133"/>
  <c r="B85" i="133"/>
  <c r="G86" i="133"/>
  <c r="C86" i="133"/>
  <c r="H86" i="133"/>
  <c r="B86" i="133"/>
  <c r="G87" i="133"/>
  <c r="C87" i="133"/>
  <c r="H87" i="133"/>
  <c r="B87" i="133"/>
  <c r="G88" i="133"/>
  <c r="C88" i="133"/>
  <c r="H88" i="133"/>
  <c r="B88" i="133"/>
  <c r="G89" i="133"/>
  <c r="C89" i="133"/>
  <c r="H89" i="133"/>
  <c r="B89" i="133"/>
  <c r="G90" i="133"/>
  <c r="C90" i="133"/>
  <c r="H90" i="133"/>
  <c r="B90" i="133"/>
  <c r="G91" i="133"/>
  <c r="C91" i="133"/>
  <c r="H91" i="133"/>
  <c r="B91" i="133"/>
  <c r="G92" i="133"/>
  <c r="C92" i="133"/>
  <c r="H92" i="133"/>
  <c r="B92" i="133"/>
  <c r="G93" i="133"/>
  <c r="C93" i="133"/>
  <c r="H93" i="133"/>
  <c r="B93" i="133"/>
  <c r="G94" i="133"/>
  <c r="C94" i="133"/>
  <c r="H94" i="133"/>
  <c r="B94" i="133"/>
  <c r="G95" i="133"/>
  <c r="C95" i="133"/>
  <c r="H95" i="133"/>
  <c r="B95" i="133"/>
  <c r="G96" i="133"/>
  <c r="C96" i="133"/>
  <c r="H96" i="133"/>
  <c r="B96" i="133"/>
  <c r="G97" i="133"/>
  <c r="C97" i="133"/>
  <c r="H97" i="133"/>
  <c r="B97" i="133"/>
  <c r="G98" i="133"/>
  <c r="C98" i="133"/>
  <c r="H98" i="133"/>
  <c r="B98" i="133"/>
  <c r="G99" i="133"/>
  <c r="C99" i="133"/>
  <c r="H99" i="133"/>
  <c r="B99" i="133"/>
  <c r="G100" i="133"/>
  <c r="C100" i="133"/>
  <c r="H100" i="133"/>
  <c r="B100" i="133"/>
  <c r="G101" i="133"/>
  <c r="C101" i="133"/>
  <c r="H101" i="133"/>
  <c r="B101" i="133"/>
  <c r="G102" i="133"/>
  <c r="C102" i="133"/>
  <c r="H102" i="133"/>
  <c r="B102" i="133"/>
  <c r="G103" i="133"/>
  <c r="C103" i="133"/>
  <c r="H103" i="133"/>
  <c r="B103" i="133"/>
  <c r="G104" i="133"/>
  <c r="C104" i="133"/>
  <c r="H104" i="133"/>
  <c r="B104" i="133"/>
  <c r="G105" i="133"/>
  <c r="C105" i="133"/>
  <c r="H105" i="133"/>
  <c r="B105" i="133"/>
  <c r="G106" i="133"/>
  <c r="C106" i="133"/>
  <c r="H106" i="133"/>
  <c r="B106" i="133"/>
  <c r="G107" i="133"/>
  <c r="C107" i="133"/>
  <c r="H107" i="133"/>
  <c r="B107" i="133"/>
  <c r="G108" i="133"/>
  <c r="C108" i="133"/>
  <c r="H108" i="133"/>
  <c r="B108" i="133"/>
  <c r="G109" i="133"/>
  <c r="C109" i="133"/>
  <c r="H109" i="133"/>
  <c r="B109" i="133"/>
  <c r="G110" i="133"/>
  <c r="C110" i="133"/>
  <c r="H110" i="133"/>
  <c r="B110" i="133"/>
  <c r="G111" i="133"/>
  <c r="C111" i="133"/>
  <c r="H111" i="133"/>
  <c r="B111" i="133"/>
  <c r="G112" i="133"/>
  <c r="C112" i="133"/>
  <c r="H112" i="133"/>
  <c r="B112" i="133"/>
  <c r="G113" i="133"/>
  <c r="C113" i="133"/>
  <c r="H113" i="133"/>
  <c r="B113" i="133"/>
  <c r="G114" i="133"/>
  <c r="C114" i="133"/>
  <c r="H114" i="133"/>
  <c r="B114" i="133"/>
  <c r="G115" i="133"/>
  <c r="C115" i="133"/>
  <c r="H115" i="133"/>
  <c r="B115" i="133"/>
  <c r="G116" i="133"/>
  <c r="C116" i="133"/>
  <c r="H116" i="133"/>
  <c r="B116" i="133"/>
  <c r="G117" i="133"/>
  <c r="C117" i="133"/>
  <c r="H117" i="133"/>
  <c r="B117" i="133"/>
  <c r="G118" i="133"/>
  <c r="C118" i="133"/>
  <c r="H118" i="133"/>
  <c r="B118" i="133"/>
  <c r="G119" i="133"/>
  <c r="C119" i="133"/>
  <c r="H119" i="133"/>
  <c r="B119" i="133"/>
  <c r="G120" i="133"/>
  <c r="C120" i="133"/>
  <c r="H120" i="133"/>
  <c r="B120" i="133"/>
  <c r="G121" i="133"/>
  <c r="C121" i="133"/>
  <c r="H121" i="133"/>
  <c r="B121" i="133"/>
  <c r="G122" i="133"/>
  <c r="C122" i="133"/>
  <c r="H122" i="133"/>
  <c r="B122" i="133"/>
  <c r="G123" i="133"/>
  <c r="C123" i="133"/>
  <c r="H123" i="133"/>
  <c r="B123" i="133"/>
  <c r="G124" i="133"/>
  <c r="C124" i="133"/>
  <c r="H124" i="133"/>
  <c r="B124" i="133"/>
  <c r="G125" i="133"/>
  <c r="C125" i="133"/>
  <c r="H125" i="133"/>
  <c r="B125" i="133"/>
  <c r="G126" i="133"/>
  <c r="C126" i="133"/>
  <c r="H126" i="133"/>
  <c r="B126" i="133"/>
  <c r="G127" i="133"/>
  <c r="C127" i="133"/>
  <c r="H127" i="133"/>
  <c r="B127" i="133"/>
  <c r="G128" i="133"/>
  <c r="C128" i="133"/>
  <c r="H128" i="133"/>
  <c r="B128" i="133"/>
  <c r="G129" i="133"/>
  <c r="C129" i="133"/>
  <c r="H129" i="133"/>
  <c r="B129" i="133"/>
  <c r="G130" i="133"/>
  <c r="C130" i="133"/>
  <c r="H130" i="133"/>
  <c r="B130" i="133"/>
  <c r="G131" i="133"/>
  <c r="C131" i="133"/>
  <c r="H131" i="133"/>
  <c r="B131" i="133"/>
  <c r="G132" i="133"/>
  <c r="C132" i="133"/>
  <c r="H132" i="133"/>
  <c r="B132" i="133"/>
  <c r="G133" i="133"/>
  <c r="C133" i="133"/>
  <c r="H133" i="133"/>
  <c r="B133" i="133"/>
  <c r="G134" i="133"/>
  <c r="C134" i="133"/>
  <c r="H134" i="133"/>
  <c r="B134" i="133"/>
  <c r="G135" i="133"/>
  <c r="C135" i="133"/>
  <c r="H135" i="133"/>
  <c r="B135" i="133"/>
  <c r="G136" i="133"/>
  <c r="C136" i="133"/>
  <c r="H136" i="133"/>
  <c r="B136" i="133"/>
  <c r="G137" i="133"/>
  <c r="C137" i="133"/>
  <c r="H137" i="133"/>
  <c r="B137" i="133"/>
  <c r="G138" i="133"/>
  <c r="C138" i="133"/>
  <c r="H138" i="133"/>
  <c r="B138" i="133"/>
  <c r="G139" i="133"/>
  <c r="C139" i="133"/>
  <c r="H139" i="133"/>
  <c r="B139" i="133"/>
  <c r="C140" i="133"/>
  <c r="H140" i="133"/>
  <c r="B140" i="133"/>
  <c r="G141" i="133"/>
  <c r="C141" i="133"/>
  <c r="H141" i="133"/>
  <c r="B141" i="133"/>
  <c r="G142" i="133"/>
  <c r="C142" i="133"/>
  <c r="H142" i="133"/>
  <c r="B142" i="133"/>
  <c r="G143" i="133"/>
  <c r="C143" i="133"/>
  <c r="H143" i="133"/>
  <c r="B143" i="133"/>
  <c r="G144" i="133"/>
  <c r="C144" i="133"/>
  <c r="H144" i="133"/>
  <c r="B144" i="133"/>
  <c r="G145" i="133"/>
  <c r="C145" i="133"/>
  <c r="H145" i="133"/>
  <c r="B145" i="133"/>
  <c r="G146" i="133"/>
  <c r="C146" i="133"/>
  <c r="H146" i="133"/>
  <c r="B146" i="133"/>
  <c r="G147" i="133"/>
  <c r="C147" i="133"/>
  <c r="H147" i="133"/>
  <c r="B147" i="133"/>
  <c r="G148" i="133"/>
  <c r="C148" i="133"/>
  <c r="H148" i="133"/>
  <c r="B148" i="133"/>
  <c r="G149" i="133"/>
  <c r="C149" i="133"/>
  <c r="H149" i="133"/>
  <c r="B149" i="133"/>
  <c r="G150" i="133"/>
  <c r="C150" i="133"/>
  <c r="H150" i="133"/>
  <c r="B150" i="133"/>
  <c r="G151" i="133"/>
  <c r="C151" i="133"/>
  <c r="H151" i="133"/>
  <c r="B151" i="133"/>
  <c r="G152" i="133"/>
  <c r="C152" i="133"/>
  <c r="H152" i="133"/>
  <c r="B152" i="133"/>
  <c r="G153" i="133"/>
  <c r="C153" i="133"/>
  <c r="H153" i="133"/>
  <c r="B153" i="133"/>
  <c r="G154" i="133"/>
  <c r="C154" i="133"/>
  <c r="H154" i="133"/>
  <c r="B154" i="133"/>
  <c r="G155" i="133"/>
  <c r="C155" i="133"/>
  <c r="H155" i="133"/>
  <c r="B155" i="133"/>
  <c r="G156" i="133"/>
  <c r="C156" i="133"/>
  <c r="H156" i="133"/>
  <c r="B156" i="133"/>
  <c r="G157" i="133"/>
  <c r="C157" i="133"/>
  <c r="H157" i="133"/>
  <c r="B157" i="133"/>
  <c r="G158" i="133"/>
  <c r="C158" i="133"/>
  <c r="H158" i="133"/>
  <c r="B158" i="133"/>
  <c r="G159" i="133"/>
  <c r="C159" i="133"/>
  <c r="H159" i="133"/>
  <c r="B159" i="133"/>
  <c r="G160" i="133"/>
  <c r="C160" i="133"/>
  <c r="H160" i="133"/>
  <c r="B160" i="133"/>
  <c r="G161" i="133"/>
  <c r="C161" i="133"/>
  <c r="H161" i="133"/>
  <c r="B161" i="133"/>
  <c r="G162" i="133"/>
  <c r="C162" i="133"/>
  <c r="H162" i="133"/>
  <c r="B162" i="133"/>
  <c r="G163" i="133"/>
  <c r="C163" i="133"/>
  <c r="H163" i="133"/>
  <c r="B163" i="133"/>
  <c r="G164" i="133"/>
  <c r="C164" i="133"/>
  <c r="H164" i="133"/>
  <c r="B164" i="133"/>
  <c r="G165" i="133"/>
  <c r="C165" i="133"/>
  <c r="H165" i="133"/>
  <c r="B165" i="133"/>
  <c r="G166" i="133"/>
  <c r="C166" i="133"/>
  <c r="H166" i="133"/>
  <c r="B166" i="133"/>
  <c r="G167" i="133"/>
  <c r="C167" i="133"/>
  <c r="H167" i="133"/>
  <c r="B167" i="133"/>
  <c r="G168" i="133"/>
  <c r="C168" i="133"/>
  <c r="H168" i="133"/>
  <c r="B168" i="133"/>
  <c r="G169" i="133"/>
  <c r="C169" i="133"/>
  <c r="H169" i="133"/>
  <c r="B169" i="133"/>
  <c r="G170" i="133"/>
  <c r="C170" i="133"/>
  <c r="H170" i="133"/>
  <c r="B170" i="133"/>
  <c r="G171" i="133"/>
  <c r="C171" i="133"/>
  <c r="H171" i="133"/>
  <c r="B171" i="133"/>
  <c r="G172" i="133"/>
  <c r="C172" i="133"/>
  <c r="H172" i="133"/>
  <c r="B172" i="133"/>
  <c r="G173" i="133"/>
  <c r="C173" i="133"/>
  <c r="H173" i="133"/>
  <c r="B173" i="133"/>
  <c r="G174" i="133"/>
  <c r="C174" i="133"/>
  <c r="H174" i="133"/>
  <c r="B174" i="133"/>
  <c r="G175" i="133"/>
  <c r="C175" i="133"/>
  <c r="H175" i="133"/>
  <c r="B175" i="133"/>
  <c r="G176" i="133"/>
  <c r="C176" i="133"/>
  <c r="H176" i="133"/>
  <c r="B176" i="133"/>
  <c r="G177" i="133"/>
  <c r="C177" i="133"/>
  <c r="H177" i="133"/>
  <c r="B177" i="133"/>
  <c r="G178" i="133"/>
  <c r="C178" i="133"/>
  <c r="H178" i="133"/>
  <c r="B178" i="133"/>
  <c r="G179" i="133"/>
  <c r="C179" i="133"/>
  <c r="H179" i="133"/>
  <c r="B179" i="133"/>
  <c r="G180" i="133"/>
  <c r="C180" i="133"/>
  <c r="H180" i="133"/>
  <c r="B180" i="133"/>
  <c r="G181" i="133"/>
  <c r="C181" i="133"/>
  <c r="H181" i="133"/>
  <c r="B181" i="133"/>
  <c r="G182" i="133"/>
  <c r="C182" i="133"/>
  <c r="H182" i="133"/>
  <c r="B182" i="133"/>
  <c r="G183" i="133"/>
  <c r="C183" i="133"/>
  <c r="H183" i="133"/>
  <c r="B183" i="133"/>
  <c r="G184" i="133"/>
  <c r="C184" i="133"/>
  <c r="H184" i="133"/>
  <c r="B184" i="133"/>
  <c r="G185" i="133"/>
  <c r="C185" i="133"/>
  <c r="H185" i="133"/>
  <c r="B185" i="133"/>
  <c r="G186" i="133"/>
  <c r="C186" i="133"/>
  <c r="H186" i="133"/>
  <c r="B186" i="133"/>
  <c r="G187" i="133"/>
  <c r="C187" i="133"/>
  <c r="H187" i="133"/>
  <c r="B187" i="133"/>
  <c r="G188" i="133"/>
  <c r="C188" i="133"/>
  <c r="H188" i="133"/>
  <c r="B188" i="133"/>
  <c r="G189" i="133"/>
  <c r="C189" i="133"/>
  <c r="H189" i="133"/>
  <c r="B189" i="133"/>
  <c r="G190" i="133"/>
  <c r="C190" i="133"/>
  <c r="H190" i="133"/>
  <c r="B190" i="133"/>
  <c r="G191" i="133"/>
  <c r="C191" i="133"/>
  <c r="H191" i="133"/>
  <c r="B191" i="133"/>
  <c r="G192" i="133"/>
  <c r="C192" i="133"/>
  <c r="H192" i="133"/>
  <c r="B192" i="133"/>
  <c r="G193" i="133"/>
  <c r="C193" i="133"/>
  <c r="H193" i="133"/>
  <c r="B193" i="133"/>
  <c r="G194" i="133"/>
  <c r="C194" i="133"/>
  <c r="H194" i="133"/>
  <c r="B194" i="133"/>
  <c r="G195" i="133"/>
  <c r="C195" i="133"/>
  <c r="H195" i="133"/>
  <c r="B195" i="133"/>
  <c r="G196" i="133"/>
  <c r="C196" i="133"/>
  <c r="H196" i="133"/>
  <c r="B196" i="133"/>
  <c r="G197" i="133"/>
  <c r="C197" i="133"/>
  <c r="H197" i="133"/>
  <c r="B197" i="133"/>
  <c r="G198" i="133"/>
  <c r="C198" i="133"/>
  <c r="H198" i="133"/>
  <c r="B198" i="133"/>
  <c r="G199" i="133"/>
  <c r="C199" i="133"/>
  <c r="H199" i="133"/>
  <c r="B199" i="133"/>
  <c r="G200" i="133"/>
  <c r="C200" i="133"/>
  <c r="H200" i="133"/>
  <c r="B200" i="133"/>
  <c r="G201" i="133"/>
  <c r="C201" i="133"/>
  <c r="H201" i="133"/>
  <c r="B201" i="133"/>
  <c r="G202" i="133"/>
  <c r="C202" i="133"/>
  <c r="H202" i="133"/>
  <c r="B202" i="133"/>
  <c r="G203" i="133"/>
  <c r="C203" i="133"/>
  <c r="H203" i="133"/>
  <c r="B203" i="133"/>
  <c r="G204" i="133"/>
  <c r="C204" i="133"/>
  <c r="H204" i="133"/>
  <c r="B204" i="133"/>
  <c r="G205" i="133"/>
  <c r="C205" i="133"/>
  <c r="H205" i="133"/>
  <c r="B205" i="133"/>
  <c r="G206" i="133"/>
  <c r="C206" i="133"/>
  <c r="H206" i="133"/>
  <c r="B206" i="133"/>
  <c r="G207" i="133"/>
  <c r="C207" i="133"/>
  <c r="H207" i="133"/>
  <c r="B207" i="133"/>
  <c r="G208" i="133"/>
  <c r="C208" i="133"/>
  <c r="H208" i="133"/>
  <c r="B208" i="133"/>
  <c r="G209" i="133"/>
  <c r="C209" i="133"/>
  <c r="H209" i="133"/>
  <c r="B209" i="133"/>
  <c r="G210" i="133"/>
  <c r="C210" i="133"/>
  <c r="H210" i="133"/>
  <c r="B210" i="133"/>
  <c r="G211" i="133"/>
  <c r="C211" i="133"/>
  <c r="H211" i="133"/>
  <c r="B211" i="133"/>
  <c r="G212" i="133"/>
  <c r="C212" i="133"/>
  <c r="H212" i="133"/>
  <c r="B212" i="133"/>
  <c r="G213" i="133"/>
  <c r="C213" i="133"/>
  <c r="H213" i="133"/>
  <c r="B213" i="133"/>
  <c r="G214" i="133"/>
  <c r="C214" i="133"/>
  <c r="H214" i="133"/>
  <c r="B214" i="133"/>
  <c r="G215" i="133"/>
  <c r="C215" i="133"/>
  <c r="H215" i="133"/>
  <c r="B215" i="133"/>
  <c r="G216" i="133"/>
  <c r="C216" i="133"/>
  <c r="H216" i="133"/>
  <c r="B216" i="133"/>
  <c r="G217" i="133"/>
  <c r="C217" i="133"/>
  <c r="H217" i="133"/>
  <c r="B217" i="133"/>
  <c r="G218" i="133"/>
  <c r="C218" i="133"/>
  <c r="H218" i="133"/>
  <c r="B218" i="133"/>
  <c r="G219" i="133"/>
  <c r="C219" i="133"/>
  <c r="H219" i="133"/>
  <c r="B219" i="133"/>
  <c r="G220" i="133"/>
  <c r="C220" i="133"/>
  <c r="H220" i="133"/>
  <c r="B220" i="133"/>
  <c r="G221" i="133"/>
  <c r="C221" i="133"/>
  <c r="H221" i="133"/>
  <c r="B221" i="133"/>
  <c r="G222" i="133"/>
  <c r="C222" i="133"/>
  <c r="H222" i="133"/>
  <c r="B222" i="133"/>
  <c r="G223" i="133"/>
  <c r="C223" i="133"/>
  <c r="H223" i="133"/>
  <c r="B223" i="133"/>
  <c r="G224" i="133"/>
  <c r="C224" i="133"/>
  <c r="H224" i="133"/>
  <c r="B224" i="133"/>
  <c r="G225" i="133"/>
  <c r="C225" i="133"/>
  <c r="H225" i="133"/>
  <c r="B225" i="133"/>
  <c r="G226" i="133"/>
  <c r="C226" i="133"/>
  <c r="H226" i="133"/>
  <c r="B226" i="133"/>
  <c r="G227" i="133"/>
  <c r="C227" i="133"/>
  <c r="H227" i="133"/>
  <c r="B227" i="133"/>
  <c r="G228" i="133"/>
  <c r="C228" i="133"/>
  <c r="H228" i="133"/>
  <c r="B228" i="133"/>
  <c r="G229" i="133"/>
  <c r="C229" i="133"/>
  <c r="H229" i="133"/>
  <c r="B229" i="133"/>
  <c r="G230" i="133"/>
  <c r="C230" i="133"/>
  <c r="H230" i="133"/>
  <c r="B230" i="133"/>
  <c r="G231" i="133"/>
  <c r="C231" i="133"/>
  <c r="H231" i="133"/>
  <c r="B231" i="133"/>
  <c r="G232" i="133"/>
  <c r="C232" i="133"/>
  <c r="H232" i="133"/>
  <c r="B232" i="133"/>
  <c r="G233" i="133"/>
  <c r="C233" i="133"/>
  <c r="H233" i="133"/>
  <c r="B233" i="133"/>
  <c r="G234" i="133"/>
  <c r="C234" i="133"/>
  <c r="H234" i="133"/>
  <c r="B234" i="133"/>
  <c r="G235" i="133"/>
  <c r="C235" i="133"/>
  <c r="H235" i="133"/>
  <c r="B235" i="133"/>
  <c r="G236" i="133"/>
  <c r="C236" i="133"/>
  <c r="H236" i="133"/>
  <c r="B236" i="133"/>
  <c r="G237" i="133"/>
  <c r="C237" i="133"/>
  <c r="H237" i="133"/>
  <c r="B237" i="133"/>
  <c r="G238" i="133"/>
  <c r="C238" i="133"/>
  <c r="H238" i="133"/>
  <c r="B238" i="133"/>
  <c r="G239" i="133"/>
  <c r="C239" i="133"/>
  <c r="H239" i="133"/>
  <c r="B239" i="133"/>
  <c r="G240" i="133"/>
  <c r="C240" i="133"/>
  <c r="H240" i="133"/>
  <c r="B240" i="133"/>
  <c r="G241" i="133"/>
  <c r="C241" i="133"/>
  <c r="H241" i="133"/>
  <c r="B241" i="133"/>
  <c r="G242" i="133"/>
  <c r="C242" i="133"/>
  <c r="H242" i="133"/>
  <c r="B242" i="133"/>
  <c r="G243" i="133"/>
  <c r="C243" i="133"/>
  <c r="H243" i="133"/>
  <c r="B243" i="133"/>
  <c r="G244" i="133"/>
  <c r="C244" i="133"/>
  <c r="H244" i="133"/>
  <c r="B244" i="133"/>
  <c r="G245" i="133"/>
  <c r="C245" i="133"/>
  <c r="H245" i="133"/>
  <c r="B245" i="133"/>
  <c r="G246" i="133"/>
  <c r="C246" i="133"/>
  <c r="H246" i="133"/>
  <c r="B246" i="133"/>
  <c r="G247" i="133"/>
  <c r="C247" i="133"/>
  <c r="H247" i="133"/>
  <c r="B247" i="133"/>
  <c r="G248" i="133"/>
  <c r="C248" i="133"/>
  <c r="H248" i="133"/>
  <c r="B248" i="133"/>
  <c r="G249" i="133"/>
  <c r="C249" i="133"/>
  <c r="H249" i="133"/>
  <c r="B249" i="133"/>
  <c r="G250" i="133"/>
  <c r="C250" i="133"/>
  <c r="H250" i="133"/>
  <c r="B250" i="133"/>
  <c r="G251" i="133"/>
  <c r="C251" i="133"/>
  <c r="H251" i="133"/>
  <c r="B251" i="133"/>
  <c r="G252" i="133"/>
  <c r="C252" i="133"/>
  <c r="H252" i="133"/>
  <c r="B252" i="133"/>
  <c r="G253" i="133"/>
  <c r="C253" i="133"/>
  <c r="H253" i="133"/>
  <c r="B253" i="133"/>
  <c r="G254" i="133"/>
  <c r="C254" i="133"/>
  <c r="H254" i="133"/>
  <c r="B254" i="133"/>
  <c r="G255" i="133"/>
  <c r="C255" i="133"/>
  <c r="H255" i="133"/>
  <c r="B255" i="133"/>
  <c r="G256" i="133"/>
  <c r="C256" i="133"/>
  <c r="H256" i="133"/>
  <c r="B256" i="133"/>
  <c r="G257" i="133"/>
  <c r="C257" i="133"/>
  <c r="H257" i="133"/>
  <c r="B257" i="133"/>
  <c r="G258" i="133"/>
  <c r="C258" i="133"/>
  <c r="H258" i="133"/>
  <c r="B258" i="133"/>
  <c r="G259" i="133"/>
  <c r="C259" i="133"/>
  <c r="H259" i="133"/>
  <c r="B259" i="133"/>
  <c r="G260" i="133"/>
  <c r="C260" i="133"/>
  <c r="H260" i="133"/>
  <c r="B260" i="133"/>
  <c r="G261" i="133"/>
  <c r="C261" i="133"/>
  <c r="H261" i="133"/>
  <c r="B261" i="133"/>
  <c r="G262" i="133"/>
  <c r="C262" i="133"/>
  <c r="H262" i="133"/>
  <c r="B262" i="133"/>
  <c r="G263" i="133"/>
  <c r="C263" i="133"/>
  <c r="H263" i="133"/>
  <c r="B263" i="133"/>
  <c r="G264" i="133"/>
  <c r="C264" i="133"/>
  <c r="H264" i="133"/>
  <c r="B264" i="133"/>
  <c r="H21" i="132"/>
  <c r="M265" i="133"/>
  <c r="B5" i="132"/>
  <c r="C17" i="132"/>
  <c r="D17" i="132"/>
  <c r="G17" i="132"/>
  <c r="H17" i="132"/>
  <c r="M2" i="133"/>
  <c r="B19" i="132"/>
  <c r="C18" i="132"/>
  <c r="D18" i="132"/>
  <c r="G18" i="132"/>
  <c r="H18" i="132"/>
  <c r="M3" i="133"/>
  <c r="M4" i="133"/>
  <c r="M5" i="133"/>
  <c r="M6" i="133"/>
  <c r="M7" i="133"/>
  <c r="M8" i="133"/>
  <c r="M9" i="133"/>
  <c r="M10" i="133"/>
  <c r="M11" i="133"/>
  <c r="M12" i="133"/>
  <c r="M13" i="133"/>
  <c r="M14" i="133"/>
  <c r="M15" i="133"/>
  <c r="M16" i="133"/>
  <c r="M17" i="133"/>
  <c r="M18" i="133"/>
  <c r="M19" i="133"/>
  <c r="M20" i="133"/>
  <c r="M21" i="133"/>
  <c r="M22" i="133"/>
  <c r="M23" i="133"/>
  <c r="M24" i="133"/>
  <c r="M25" i="133"/>
  <c r="M26" i="133"/>
  <c r="M27" i="133"/>
  <c r="M28" i="133"/>
  <c r="M29" i="133"/>
  <c r="M30" i="133"/>
  <c r="M31" i="133"/>
  <c r="M32" i="133"/>
  <c r="M33" i="133"/>
  <c r="M34" i="133"/>
  <c r="M35" i="133"/>
  <c r="M36" i="133"/>
  <c r="M37" i="133"/>
  <c r="M38" i="133"/>
  <c r="M39" i="133"/>
  <c r="M40" i="133"/>
  <c r="M41" i="133"/>
  <c r="M42" i="133"/>
  <c r="M43" i="133"/>
  <c r="M44" i="133"/>
  <c r="M45" i="133"/>
  <c r="M46" i="133"/>
  <c r="M47" i="133"/>
  <c r="M48" i="133"/>
  <c r="M49" i="133"/>
  <c r="M50" i="133"/>
  <c r="M51" i="133"/>
  <c r="M52" i="133"/>
  <c r="M53" i="133"/>
  <c r="M54" i="133"/>
  <c r="M55" i="133"/>
  <c r="M56" i="133"/>
  <c r="M57" i="133"/>
  <c r="M58" i="133"/>
  <c r="M59" i="133"/>
  <c r="M60" i="133"/>
  <c r="M61" i="133"/>
  <c r="M62" i="133"/>
  <c r="M63" i="133"/>
  <c r="M64" i="133"/>
  <c r="M65" i="133"/>
  <c r="M66" i="133"/>
  <c r="M67" i="133"/>
  <c r="M68" i="133"/>
  <c r="M69" i="133"/>
  <c r="M70" i="133"/>
  <c r="M71" i="133"/>
  <c r="M72" i="133"/>
  <c r="M73" i="133"/>
  <c r="M74" i="133"/>
  <c r="M75" i="133"/>
  <c r="M76" i="133"/>
  <c r="M77" i="133"/>
  <c r="M78" i="133"/>
  <c r="M79" i="133"/>
  <c r="M80" i="133"/>
  <c r="M81" i="133"/>
  <c r="M82" i="133"/>
  <c r="M83" i="133"/>
  <c r="M84" i="133"/>
  <c r="M85" i="133"/>
  <c r="M86" i="133"/>
  <c r="M87" i="133"/>
  <c r="M88" i="133"/>
  <c r="M89" i="133"/>
  <c r="M90" i="133"/>
  <c r="M91" i="133"/>
  <c r="M92" i="133"/>
  <c r="M93" i="133"/>
  <c r="M94" i="133"/>
  <c r="M95" i="133"/>
  <c r="M96" i="133"/>
  <c r="M97" i="133"/>
  <c r="M98" i="133"/>
  <c r="M99" i="133"/>
  <c r="M100" i="133"/>
  <c r="M101" i="133"/>
  <c r="M102" i="133"/>
  <c r="M103" i="133"/>
  <c r="M104" i="133"/>
  <c r="M105" i="133"/>
  <c r="M106" i="133"/>
  <c r="M107" i="133"/>
  <c r="M108" i="133"/>
  <c r="M109" i="133"/>
  <c r="M110" i="133"/>
  <c r="M111" i="133"/>
  <c r="M112" i="133"/>
  <c r="M113" i="133"/>
  <c r="M114" i="133"/>
  <c r="M115" i="133"/>
  <c r="M116" i="133"/>
  <c r="M117" i="133"/>
  <c r="M118" i="133"/>
  <c r="M119" i="133"/>
  <c r="M120" i="133"/>
  <c r="M121" i="133"/>
  <c r="M122" i="133"/>
  <c r="M123" i="133"/>
  <c r="M124" i="133"/>
  <c r="M125" i="133"/>
  <c r="M126" i="133"/>
  <c r="M127" i="133"/>
  <c r="M128" i="133"/>
  <c r="M129" i="133"/>
  <c r="M130" i="133"/>
  <c r="M131" i="133"/>
  <c r="M132" i="133"/>
  <c r="M133" i="133"/>
  <c r="M134" i="133"/>
  <c r="M135" i="133"/>
  <c r="M136" i="133"/>
  <c r="M137" i="133"/>
  <c r="C19" i="132"/>
  <c r="D19" i="132"/>
  <c r="G19" i="132"/>
  <c r="H19" i="132"/>
  <c r="M138" i="133"/>
  <c r="C22" i="132"/>
  <c r="D22" i="132"/>
  <c r="G22" i="132"/>
  <c r="H22" i="132"/>
  <c r="M139" i="133"/>
  <c r="M140" i="133"/>
  <c r="M141" i="133"/>
  <c r="M142" i="133"/>
  <c r="M143" i="133"/>
  <c r="M144" i="133"/>
  <c r="M145" i="133"/>
  <c r="M146" i="133"/>
  <c r="M147" i="133"/>
  <c r="M148" i="133"/>
  <c r="M149" i="133"/>
  <c r="M150" i="133"/>
  <c r="M151" i="133"/>
  <c r="M152" i="133"/>
  <c r="M153" i="133"/>
  <c r="M154" i="133"/>
  <c r="M155" i="133"/>
  <c r="M156" i="133"/>
  <c r="M157" i="133"/>
  <c r="M158" i="133"/>
  <c r="M159" i="133"/>
  <c r="M160" i="133"/>
  <c r="M161" i="133"/>
  <c r="M162" i="133"/>
  <c r="M163" i="133"/>
  <c r="M164" i="133"/>
  <c r="M165" i="133"/>
  <c r="M166" i="133"/>
  <c r="M167" i="133"/>
  <c r="M168" i="133"/>
  <c r="M169" i="133"/>
  <c r="M170" i="133"/>
  <c r="M171" i="133"/>
  <c r="M172" i="133"/>
  <c r="M173" i="133"/>
  <c r="M174" i="133"/>
  <c r="M175" i="133"/>
  <c r="M176" i="133"/>
  <c r="M177" i="133"/>
  <c r="M178" i="133"/>
  <c r="M179" i="133"/>
  <c r="M180" i="133"/>
  <c r="M181" i="133"/>
  <c r="M182" i="133"/>
  <c r="M183" i="133"/>
  <c r="M184" i="133"/>
  <c r="M185" i="133"/>
  <c r="M186" i="133"/>
  <c r="M187" i="133"/>
  <c r="M188" i="133"/>
  <c r="M189" i="133"/>
  <c r="M190" i="133"/>
  <c r="M191" i="133"/>
  <c r="M192" i="133"/>
  <c r="M193" i="133"/>
  <c r="M194" i="133"/>
  <c r="M195" i="133"/>
  <c r="M196" i="133"/>
  <c r="M197" i="133"/>
  <c r="M198" i="133"/>
  <c r="M199" i="133"/>
  <c r="M200" i="133"/>
  <c r="M201" i="133"/>
  <c r="M202" i="133"/>
  <c r="M203" i="133"/>
  <c r="M204" i="133"/>
  <c r="M205" i="133"/>
  <c r="M206" i="133"/>
  <c r="M207" i="133"/>
  <c r="M208" i="133"/>
  <c r="M209" i="133"/>
  <c r="M210" i="133"/>
  <c r="M211" i="133"/>
  <c r="M212" i="133"/>
  <c r="M213" i="133"/>
  <c r="M214" i="133"/>
  <c r="M215" i="133"/>
  <c r="M216" i="133"/>
  <c r="M217" i="133"/>
  <c r="M218" i="133"/>
  <c r="M219" i="133"/>
  <c r="M220" i="133"/>
  <c r="M221" i="133"/>
  <c r="M222" i="133"/>
  <c r="M223" i="133"/>
  <c r="M224" i="133"/>
  <c r="M225" i="133"/>
  <c r="M226" i="133"/>
  <c r="M227" i="133"/>
  <c r="M228" i="133"/>
  <c r="M229" i="133"/>
  <c r="M230" i="133"/>
  <c r="M231" i="133"/>
  <c r="M232" i="133"/>
  <c r="M233" i="133"/>
  <c r="M234" i="133"/>
  <c r="M235" i="133"/>
  <c r="M236" i="133"/>
  <c r="M237" i="133"/>
  <c r="M238" i="133"/>
  <c r="M239" i="133"/>
  <c r="M240" i="133"/>
  <c r="M241" i="133"/>
  <c r="M242" i="133"/>
  <c r="M243" i="133"/>
  <c r="M244" i="133"/>
  <c r="M245" i="133"/>
  <c r="M246" i="133"/>
  <c r="M247" i="133"/>
  <c r="M248" i="133"/>
  <c r="M249" i="133"/>
  <c r="M250" i="133"/>
  <c r="M251" i="133"/>
  <c r="M252" i="133"/>
  <c r="M253" i="133"/>
  <c r="M254" i="133"/>
  <c r="M255" i="133"/>
  <c r="M256" i="133"/>
  <c r="M257" i="133"/>
  <c r="M258" i="133"/>
  <c r="M259" i="133"/>
  <c r="M260" i="133"/>
  <c r="M261" i="133"/>
  <c r="M262" i="133"/>
  <c r="M263" i="133"/>
  <c r="M264" i="133"/>
  <c r="N265" i="133"/>
  <c r="L265" i="133"/>
  <c r="K265" i="133"/>
  <c r="J265" i="133"/>
  <c r="I265" i="133"/>
  <c r="F265" i="133"/>
  <c r="A265" i="133"/>
  <c r="T264" i="133"/>
  <c r="S264" i="133"/>
  <c r="R264" i="133"/>
  <c r="Q264" i="133"/>
  <c r="P264" i="133"/>
  <c r="O264" i="133"/>
  <c r="N264" i="133"/>
  <c r="L264" i="133"/>
  <c r="K264" i="133"/>
  <c r="J264" i="133"/>
  <c r="I264" i="133"/>
  <c r="F264" i="133"/>
  <c r="A264" i="133"/>
  <c r="T263" i="133"/>
  <c r="S263" i="133"/>
  <c r="R263" i="133"/>
  <c r="Q263" i="133"/>
  <c r="P263" i="133"/>
  <c r="O263" i="133"/>
  <c r="N263" i="133"/>
  <c r="L263" i="133"/>
  <c r="K263" i="133"/>
  <c r="J263" i="133"/>
  <c r="I263" i="133"/>
  <c r="F263" i="133"/>
  <c r="A263" i="133"/>
  <c r="T262" i="133"/>
  <c r="S262" i="133"/>
  <c r="R262" i="133"/>
  <c r="Q262" i="133"/>
  <c r="P262" i="133"/>
  <c r="O262" i="133"/>
  <c r="N262" i="133"/>
  <c r="L262" i="133"/>
  <c r="K262" i="133"/>
  <c r="J262" i="133"/>
  <c r="I262" i="133"/>
  <c r="F262" i="133"/>
  <c r="A262" i="133"/>
  <c r="T261" i="133"/>
  <c r="S261" i="133"/>
  <c r="R261" i="133"/>
  <c r="Q261" i="133"/>
  <c r="P261" i="133"/>
  <c r="O261" i="133"/>
  <c r="N261" i="133"/>
  <c r="L261" i="133"/>
  <c r="K261" i="133"/>
  <c r="J261" i="133"/>
  <c r="I261" i="133"/>
  <c r="F261" i="133"/>
  <c r="A261" i="133"/>
  <c r="T260" i="133"/>
  <c r="S260" i="133"/>
  <c r="R260" i="133"/>
  <c r="Q260" i="133"/>
  <c r="P260" i="133"/>
  <c r="O260" i="133"/>
  <c r="N260" i="133"/>
  <c r="L260" i="133"/>
  <c r="K260" i="133"/>
  <c r="J260" i="133"/>
  <c r="I260" i="133"/>
  <c r="F260" i="133"/>
  <c r="A260" i="133"/>
  <c r="T259" i="133"/>
  <c r="S259" i="133"/>
  <c r="R259" i="133"/>
  <c r="Q259" i="133"/>
  <c r="P259" i="133"/>
  <c r="O259" i="133"/>
  <c r="N259" i="133"/>
  <c r="L259" i="133"/>
  <c r="K259" i="133"/>
  <c r="J259" i="133"/>
  <c r="I259" i="133"/>
  <c r="F259" i="133"/>
  <c r="A259" i="133"/>
  <c r="T258" i="133"/>
  <c r="S258" i="133"/>
  <c r="R258" i="133"/>
  <c r="Q258" i="133"/>
  <c r="P258" i="133"/>
  <c r="O258" i="133"/>
  <c r="N258" i="133"/>
  <c r="L258" i="133"/>
  <c r="K258" i="133"/>
  <c r="J258" i="133"/>
  <c r="I258" i="133"/>
  <c r="F258" i="133"/>
  <c r="A258" i="133"/>
  <c r="T257" i="133"/>
  <c r="S257" i="133"/>
  <c r="R257" i="133"/>
  <c r="Q257" i="133"/>
  <c r="P257" i="133"/>
  <c r="O257" i="133"/>
  <c r="N257" i="133"/>
  <c r="L257" i="133"/>
  <c r="K257" i="133"/>
  <c r="J257" i="133"/>
  <c r="I257" i="133"/>
  <c r="F257" i="133"/>
  <c r="A257" i="133"/>
  <c r="T256" i="133"/>
  <c r="S256" i="133"/>
  <c r="R256" i="133"/>
  <c r="Q256" i="133"/>
  <c r="P256" i="133"/>
  <c r="O256" i="133"/>
  <c r="N256" i="133"/>
  <c r="L256" i="133"/>
  <c r="K256" i="133"/>
  <c r="J256" i="133"/>
  <c r="I256" i="133"/>
  <c r="F256" i="133"/>
  <c r="A256" i="133"/>
  <c r="T255" i="133"/>
  <c r="S255" i="133"/>
  <c r="R255" i="133"/>
  <c r="Q255" i="133"/>
  <c r="P255" i="133"/>
  <c r="O255" i="133"/>
  <c r="N255" i="133"/>
  <c r="L255" i="133"/>
  <c r="K255" i="133"/>
  <c r="J255" i="133"/>
  <c r="I255" i="133"/>
  <c r="F255" i="133"/>
  <c r="A255" i="133"/>
  <c r="T254" i="133"/>
  <c r="S254" i="133"/>
  <c r="R254" i="133"/>
  <c r="Q254" i="133"/>
  <c r="P254" i="133"/>
  <c r="O254" i="133"/>
  <c r="N254" i="133"/>
  <c r="L254" i="133"/>
  <c r="K254" i="133"/>
  <c r="J254" i="133"/>
  <c r="I254" i="133"/>
  <c r="F254" i="133"/>
  <c r="A254" i="133"/>
  <c r="T253" i="133"/>
  <c r="S253" i="133"/>
  <c r="R253" i="133"/>
  <c r="Q253" i="133"/>
  <c r="P253" i="133"/>
  <c r="O253" i="133"/>
  <c r="N253" i="133"/>
  <c r="L253" i="133"/>
  <c r="K253" i="133"/>
  <c r="J253" i="133"/>
  <c r="I253" i="133"/>
  <c r="F253" i="133"/>
  <c r="A253" i="133"/>
  <c r="T252" i="133"/>
  <c r="S252" i="133"/>
  <c r="R252" i="133"/>
  <c r="Q252" i="133"/>
  <c r="P252" i="133"/>
  <c r="O252" i="133"/>
  <c r="N252" i="133"/>
  <c r="L252" i="133"/>
  <c r="K252" i="133"/>
  <c r="J252" i="133"/>
  <c r="I252" i="133"/>
  <c r="F252" i="133"/>
  <c r="A252" i="133"/>
  <c r="T251" i="133"/>
  <c r="S251" i="133"/>
  <c r="R251" i="133"/>
  <c r="Q251" i="133"/>
  <c r="P251" i="133"/>
  <c r="O251" i="133"/>
  <c r="N251" i="133"/>
  <c r="L251" i="133"/>
  <c r="K251" i="133"/>
  <c r="J251" i="133"/>
  <c r="I251" i="133"/>
  <c r="F251" i="133"/>
  <c r="A251" i="133"/>
  <c r="T250" i="133"/>
  <c r="S250" i="133"/>
  <c r="R250" i="133"/>
  <c r="Q250" i="133"/>
  <c r="P250" i="133"/>
  <c r="O250" i="133"/>
  <c r="N250" i="133"/>
  <c r="L250" i="133"/>
  <c r="K250" i="133"/>
  <c r="J250" i="133"/>
  <c r="I250" i="133"/>
  <c r="F250" i="133"/>
  <c r="A250" i="133"/>
  <c r="T249" i="133"/>
  <c r="S249" i="133"/>
  <c r="R249" i="133"/>
  <c r="Q249" i="133"/>
  <c r="P249" i="133"/>
  <c r="O249" i="133"/>
  <c r="N249" i="133"/>
  <c r="L249" i="133"/>
  <c r="K249" i="133"/>
  <c r="J249" i="133"/>
  <c r="I249" i="133"/>
  <c r="F249" i="133"/>
  <c r="A249" i="133"/>
  <c r="T248" i="133"/>
  <c r="S248" i="133"/>
  <c r="R248" i="133"/>
  <c r="Q248" i="133"/>
  <c r="P248" i="133"/>
  <c r="O248" i="133"/>
  <c r="N248" i="133"/>
  <c r="L248" i="133"/>
  <c r="K248" i="133"/>
  <c r="J248" i="133"/>
  <c r="I248" i="133"/>
  <c r="F248" i="133"/>
  <c r="A248" i="133"/>
  <c r="T247" i="133"/>
  <c r="S247" i="133"/>
  <c r="R247" i="133"/>
  <c r="Q247" i="133"/>
  <c r="P247" i="133"/>
  <c r="O247" i="133"/>
  <c r="N247" i="133"/>
  <c r="L247" i="133"/>
  <c r="K247" i="133"/>
  <c r="J247" i="133"/>
  <c r="I247" i="133"/>
  <c r="F247" i="133"/>
  <c r="A247" i="133"/>
  <c r="T246" i="133"/>
  <c r="S246" i="133"/>
  <c r="R246" i="133"/>
  <c r="Q246" i="133"/>
  <c r="P246" i="133"/>
  <c r="O246" i="133"/>
  <c r="N246" i="133"/>
  <c r="L246" i="133"/>
  <c r="K246" i="133"/>
  <c r="J246" i="133"/>
  <c r="I246" i="133"/>
  <c r="F246" i="133"/>
  <c r="A246" i="133"/>
  <c r="T245" i="133"/>
  <c r="S245" i="133"/>
  <c r="R245" i="133"/>
  <c r="Q245" i="133"/>
  <c r="P245" i="133"/>
  <c r="O245" i="133"/>
  <c r="N245" i="133"/>
  <c r="L245" i="133"/>
  <c r="K245" i="133"/>
  <c r="J245" i="133"/>
  <c r="I245" i="133"/>
  <c r="F245" i="133"/>
  <c r="A245" i="133"/>
  <c r="T244" i="133"/>
  <c r="S244" i="133"/>
  <c r="R244" i="133"/>
  <c r="Q244" i="133"/>
  <c r="P244" i="133"/>
  <c r="O244" i="133"/>
  <c r="N244" i="133"/>
  <c r="L244" i="133"/>
  <c r="K244" i="133"/>
  <c r="J244" i="133"/>
  <c r="I244" i="133"/>
  <c r="F244" i="133"/>
  <c r="A244" i="133"/>
  <c r="T243" i="133"/>
  <c r="S243" i="133"/>
  <c r="R243" i="133"/>
  <c r="Q243" i="133"/>
  <c r="P243" i="133"/>
  <c r="O243" i="133"/>
  <c r="N243" i="133"/>
  <c r="L243" i="133"/>
  <c r="K243" i="133"/>
  <c r="J243" i="133"/>
  <c r="I243" i="133"/>
  <c r="F243" i="133"/>
  <c r="A243" i="133"/>
  <c r="T242" i="133"/>
  <c r="S242" i="133"/>
  <c r="R242" i="133"/>
  <c r="Q242" i="133"/>
  <c r="P242" i="133"/>
  <c r="O242" i="133"/>
  <c r="N242" i="133"/>
  <c r="L242" i="133"/>
  <c r="K242" i="133"/>
  <c r="J242" i="133"/>
  <c r="I242" i="133"/>
  <c r="F242" i="133"/>
  <c r="A242" i="133"/>
  <c r="T241" i="133"/>
  <c r="S241" i="133"/>
  <c r="R241" i="133"/>
  <c r="Q241" i="133"/>
  <c r="P241" i="133"/>
  <c r="O241" i="133"/>
  <c r="N241" i="133"/>
  <c r="L241" i="133"/>
  <c r="K241" i="133"/>
  <c r="J241" i="133"/>
  <c r="I241" i="133"/>
  <c r="F241" i="133"/>
  <c r="A241" i="133"/>
  <c r="T240" i="133"/>
  <c r="S240" i="133"/>
  <c r="R240" i="133"/>
  <c r="Q240" i="133"/>
  <c r="P240" i="133"/>
  <c r="O240" i="133"/>
  <c r="N240" i="133"/>
  <c r="L240" i="133"/>
  <c r="K240" i="133"/>
  <c r="J240" i="133"/>
  <c r="I240" i="133"/>
  <c r="F240" i="133"/>
  <c r="A240" i="133"/>
  <c r="T239" i="133"/>
  <c r="S239" i="133"/>
  <c r="R239" i="133"/>
  <c r="Q239" i="133"/>
  <c r="P239" i="133"/>
  <c r="O239" i="133"/>
  <c r="N239" i="133"/>
  <c r="L239" i="133"/>
  <c r="K239" i="133"/>
  <c r="J239" i="133"/>
  <c r="I239" i="133"/>
  <c r="F239" i="133"/>
  <c r="A239" i="133"/>
  <c r="T238" i="133"/>
  <c r="S238" i="133"/>
  <c r="R238" i="133"/>
  <c r="Q238" i="133"/>
  <c r="P238" i="133"/>
  <c r="O238" i="133"/>
  <c r="N238" i="133"/>
  <c r="L238" i="133"/>
  <c r="K238" i="133"/>
  <c r="J238" i="133"/>
  <c r="I238" i="133"/>
  <c r="F238" i="133"/>
  <c r="A238" i="133"/>
  <c r="T237" i="133"/>
  <c r="S237" i="133"/>
  <c r="R237" i="133"/>
  <c r="Q237" i="133"/>
  <c r="P237" i="133"/>
  <c r="O237" i="133"/>
  <c r="N237" i="133"/>
  <c r="L237" i="133"/>
  <c r="K237" i="133"/>
  <c r="J237" i="133"/>
  <c r="I237" i="133"/>
  <c r="F237" i="133"/>
  <c r="A237" i="133"/>
  <c r="T236" i="133"/>
  <c r="S236" i="133"/>
  <c r="R236" i="133"/>
  <c r="Q236" i="133"/>
  <c r="P236" i="133"/>
  <c r="O236" i="133"/>
  <c r="N236" i="133"/>
  <c r="L236" i="133"/>
  <c r="K236" i="133"/>
  <c r="J236" i="133"/>
  <c r="I236" i="133"/>
  <c r="F236" i="133"/>
  <c r="A236" i="133"/>
  <c r="T235" i="133"/>
  <c r="S235" i="133"/>
  <c r="R235" i="133"/>
  <c r="Q235" i="133"/>
  <c r="P235" i="133"/>
  <c r="O235" i="133"/>
  <c r="N235" i="133"/>
  <c r="L235" i="133"/>
  <c r="K235" i="133"/>
  <c r="J235" i="133"/>
  <c r="I235" i="133"/>
  <c r="F235" i="133"/>
  <c r="A235" i="133"/>
  <c r="T234" i="133"/>
  <c r="S234" i="133"/>
  <c r="R234" i="133"/>
  <c r="Q234" i="133"/>
  <c r="P234" i="133"/>
  <c r="O234" i="133"/>
  <c r="N234" i="133"/>
  <c r="L234" i="133"/>
  <c r="K234" i="133"/>
  <c r="J234" i="133"/>
  <c r="I234" i="133"/>
  <c r="F234" i="133"/>
  <c r="A234" i="133"/>
  <c r="T233" i="133"/>
  <c r="S233" i="133"/>
  <c r="R233" i="133"/>
  <c r="Q233" i="133"/>
  <c r="P233" i="133"/>
  <c r="O233" i="133"/>
  <c r="N233" i="133"/>
  <c r="L233" i="133"/>
  <c r="K233" i="133"/>
  <c r="J233" i="133"/>
  <c r="I233" i="133"/>
  <c r="F233" i="133"/>
  <c r="A233" i="133"/>
  <c r="T232" i="133"/>
  <c r="S232" i="133"/>
  <c r="R232" i="133"/>
  <c r="Q232" i="133"/>
  <c r="P232" i="133"/>
  <c r="O232" i="133"/>
  <c r="N232" i="133"/>
  <c r="L232" i="133"/>
  <c r="K232" i="133"/>
  <c r="J232" i="133"/>
  <c r="I232" i="133"/>
  <c r="F232" i="133"/>
  <c r="A232" i="133"/>
  <c r="T231" i="133"/>
  <c r="S231" i="133"/>
  <c r="R231" i="133"/>
  <c r="Q231" i="133"/>
  <c r="P231" i="133"/>
  <c r="O231" i="133"/>
  <c r="N231" i="133"/>
  <c r="L231" i="133"/>
  <c r="K231" i="133"/>
  <c r="J231" i="133"/>
  <c r="I231" i="133"/>
  <c r="F231" i="133"/>
  <c r="A231" i="133"/>
  <c r="T230" i="133"/>
  <c r="S230" i="133"/>
  <c r="R230" i="133"/>
  <c r="Q230" i="133"/>
  <c r="P230" i="133"/>
  <c r="O230" i="133"/>
  <c r="N230" i="133"/>
  <c r="L230" i="133"/>
  <c r="K230" i="133"/>
  <c r="J230" i="133"/>
  <c r="I230" i="133"/>
  <c r="F230" i="133"/>
  <c r="A230" i="133"/>
  <c r="T229" i="133"/>
  <c r="S229" i="133"/>
  <c r="R229" i="133"/>
  <c r="Q229" i="133"/>
  <c r="P229" i="133"/>
  <c r="O229" i="133"/>
  <c r="N229" i="133"/>
  <c r="L229" i="133"/>
  <c r="K229" i="133"/>
  <c r="J229" i="133"/>
  <c r="I229" i="133"/>
  <c r="F229" i="133"/>
  <c r="A229" i="133"/>
  <c r="T228" i="133"/>
  <c r="S228" i="133"/>
  <c r="R228" i="133"/>
  <c r="Q228" i="133"/>
  <c r="P228" i="133"/>
  <c r="O228" i="133"/>
  <c r="N228" i="133"/>
  <c r="L228" i="133"/>
  <c r="K228" i="133"/>
  <c r="J228" i="133"/>
  <c r="I228" i="133"/>
  <c r="F228" i="133"/>
  <c r="A228" i="133"/>
  <c r="T227" i="133"/>
  <c r="S227" i="133"/>
  <c r="R227" i="133"/>
  <c r="Q227" i="133"/>
  <c r="P227" i="133"/>
  <c r="O227" i="133"/>
  <c r="N227" i="133"/>
  <c r="L227" i="133"/>
  <c r="K227" i="133"/>
  <c r="J227" i="133"/>
  <c r="I227" i="133"/>
  <c r="F227" i="133"/>
  <c r="A227" i="133"/>
  <c r="T226" i="133"/>
  <c r="S226" i="133"/>
  <c r="R226" i="133"/>
  <c r="Q226" i="133"/>
  <c r="P226" i="133"/>
  <c r="O226" i="133"/>
  <c r="N226" i="133"/>
  <c r="L226" i="133"/>
  <c r="K226" i="133"/>
  <c r="J226" i="133"/>
  <c r="I226" i="133"/>
  <c r="F226" i="133"/>
  <c r="A226" i="133"/>
  <c r="T225" i="133"/>
  <c r="S225" i="133"/>
  <c r="R225" i="133"/>
  <c r="Q225" i="133"/>
  <c r="P225" i="133"/>
  <c r="O225" i="133"/>
  <c r="N225" i="133"/>
  <c r="L225" i="133"/>
  <c r="K225" i="133"/>
  <c r="J225" i="133"/>
  <c r="I225" i="133"/>
  <c r="F225" i="133"/>
  <c r="A225" i="133"/>
  <c r="T224" i="133"/>
  <c r="S224" i="133"/>
  <c r="R224" i="133"/>
  <c r="Q224" i="133"/>
  <c r="P224" i="133"/>
  <c r="O224" i="133"/>
  <c r="N224" i="133"/>
  <c r="L224" i="133"/>
  <c r="K224" i="133"/>
  <c r="J224" i="133"/>
  <c r="I224" i="133"/>
  <c r="F224" i="133"/>
  <c r="A224" i="133"/>
  <c r="T223" i="133"/>
  <c r="S223" i="133"/>
  <c r="R223" i="133"/>
  <c r="Q223" i="133"/>
  <c r="P223" i="133"/>
  <c r="O223" i="133"/>
  <c r="N223" i="133"/>
  <c r="L223" i="133"/>
  <c r="K223" i="133"/>
  <c r="J223" i="133"/>
  <c r="I223" i="133"/>
  <c r="F223" i="133"/>
  <c r="A223" i="133"/>
  <c r="T222" i="133"/>
  <c r="S222" i="133"/>
  <c r="R222" i="133"/>
  <c r="Q222" i="133"/>
  <c r="P222" i="133"/>
  <c r="O222" i="133"/>
  <c r="N222" i="133"/>
  <c r="L222" i="133"/>
  <c r="K222" i="133"/>
  <c r="J222" i="133"/>
  <c r="I222" i="133"/>
  <c r="F222" i="133"/>
  <c r="A222" i="133"/>
  <c r="T221" i="133"/>
  <c r="S221" i="133"/>
  <c r="R221" i="133"/>
  <c r="Q221" i="133"/>
  <c r="P221" i="133"/>
  <c r="O221" i="133"/>
  <c r="N221" i="133"/>
  <c r="L221" i="133"/>
  <c r="K221" i="133"/>
  <c r="J221" i="133"/>
  <c r="I221" i="133"/>
  <c r="F221" i="133"/>
  <c r="A221" i="133"/>
  <c r="T220" i="133"/>
  <c r="S220" i="133"/>
  <c r="R220" i="133"/>
  <c r="Q220" i="133"/>
  <c r="P220" i="133"/>
  <c r="O220" i="133"/>
  <c r="N220" i="133"/>
  <c r="L220" i="133"/>
  <c r="K220" i="133"/>
  <c r="J220" i="133"/>
  <c r="I220" i="133"/>
  <c r="F220" i="133"/>
  <c r="A220" i="133"/>
  <c r="T219" i="133"/>
  <c r="S219" i="133"/>
  <c r="R219" i="133"/>
  <c r="Q219" i="133"/>
  <c r="P219" i="133"/>
  <c r="O219" i="133"/>
  <c r="N219" i="133"/>
  <c r="L219" i="133"/>
  <c r="K219" i="133"/>
  <c r="J219" i="133"/>
  <c r="I219" i="133"/>
  <c r="F219" i="133"/>
  <c r="A219" i="133"/>
  <c r="T218" i="133"/>
  <c r="S218" i="133"/>
  <c r="R218" i="133"/>
  <c r="Q218" i="133"/>
  <c r="P218" i="133"/>
  <c r="O218" i="133"/>
  <c r="N218" i="133"/>
  <c r="L218" i="133"/>
  <c r="K218" i="133"/>
  <c r="J218" i="133"/>
  <c r="I218" i="133"/>
  <c r="F218" i="133"/>
  <c r="A218" i="133"/>
  <c r="T217" i="133"/>
  <c r="S217" i="133"/>
  <c r="R217" i="133"/>
  <c r="Q217" i="133"/>
  <c r="P217" i="133"/>
  <c r="O217" i="133"/>
  <c r="N217" i="133"/>
  <c r="L217" i="133"/>
  <c r="K217" i="133"/>
  <c r="J217" i="133"/>
  <c r="I217" i="133"/>
  <c r="F217" i="133"/>
  <c r="A217" i="133"/>
  <c r="T216" i="133"/>
  <c r="S216" i="133"/>
  <c r="R216" i="133"/>
  <c r="Q216" i="133"/>
  <c r="P216" i="133"/>
  <c r="O216" i="133"/>
  <c r="N216" i="133"/>
  <c r="L216" i="133"/>
  <c r="K216" i="133"/>
  <c r="J216" i="133"/>
  <c r="I216" i="133"/>
  <c r="F216" i="133"/>
  <c r="A216" i="133"/>
  <c r="T215" i="133"/>
  <c r="S215" i="133"/>
  <c r="R215" i="133"/>
  <c r="Q215" i="133"/>
  <c r="P215" i="133"/>
  <c r="O215" i="133"/>
  <c r="N215" i="133"/>
  <c r="L215" i="133"/>
  <c r="K215" i="133"/>
  <c r="J215" i="133"/>
  <c r="I215" i="133"/>
  <c r="F215" i="133"/>
  <c r="A215" i="133"/>
  <c r="T214" i="133"/>
  <c r="S214" i="133"/>
  <c r="R214" i="133"/>
  <c r="Q214" i="133"/>
  <c r="P214" i="133"/>
  <c r="O214" i="133"/>
  <c r="N214" i="133"/>
  <c r="L214" i="133"/>
  <c r="K214" i="133"/>
  <c r="J214" i="133"/>
  <c r="I214" i="133"/>
  <c r="F214" i="133"/>
  <c r="A214" i="133"/>
  <c r="T213" i="133"/>
  <c r="S213" i="133"/>
  <c r="R213" i="133"/>
  <c r="Q213" i="133"/>
  <c r="P213" i="133"/>
  <c r="O213" i="133"/>
  <c r="N213" i="133"/>
  <c r="L213" i="133"/>
  <c r="K213" i="133"/>
  <c r="J213" i="133"/>
  <c r="I213" i="133"/>
  <c r="F213" i="133"/>
  <c r="A213" i="133"/>
  <c r="T212" i="133"/>
  <c r="S212" i="133"/>
  <c r="R212" i="133"/>
  <c r="Q212" i="133"/>
  <c r="P212" i="133"/>
  <c r="O212" i="133"/>
  <c r="N212" i="133"/>
  <c r="L212" i="133"/>
  <c r="K212" i="133"/>
  <c r="J212" i="133"/>
  <c r="I212" i="133"/>
  <c r="F212" i="133"/>
  <c r="A212" i="133"/>
  <c r="T211" i="133"/>
  <c r="S211" i="133"/>
  <c r="R211" i="133"/>
  <c r="Q211" i="133"/>
  <c r="P211" i="133"/>
  <c r="O211" i="133"/>
  <c r="N211" i="133"/>
  <c r="L211" i="133"/>
  <c r="K211" i="133"/>
  <c r="J211" i="133"/>
  <c r="I211" i="133"/>
  <c r="F211" i="133"/>
  <c r="A211" i="133"/>
  <c r="T210" i="133"/>
  <c r="S210" i="133"/>
  <c r="R210" i="133"/>
  <c r="Q210" i="133"/>
  <c r="P210" i="133"/>
  <c r="O210" i="133"/>
  <c r="N210" i="133"/>
  <c r="L210" i="133"/>
  <c r="K210" i="133"/>
  <c r="J210" i="133"/>
  <c r="I210" i="133"/>
  <c r="F210" i="133"/>
  <c r="A210" i="133"/>
  <c r="T209" i="133"/>
  <c r="S209" i="133"/>
  <c r="R209" i="133"/>
  <c r="Q209" i="133"/>
  <c r="P209" i="133"/>
  <c r="O209" i="133"/>
  <c r="N209" i="133"/>
  <c r="L209" i="133"/>
  <c r="K209" i="133"/>
  <c r="J209" i="133"/>
  <c r="I209" i="133"/>
  <c r="F209" i="133"/>
  <c r="A209" i="133"/>
  <c r="T208" i="133"/>
  <c r="S208" i="133"/>
  <c r="R208" i="133"/>
  <c r="Q208" i="133"/>
  <c r="P208" i="133"/>
  <c r="O208" i="133"/>
  <c r="N208" i="133"/>
  <c r="L208" i="133"/>
  <c r="K208" i="133"/>
  <c r="J208" i="133"/>
  <c r="I208" i="133"/>
  <c r="F208" i="133"/>
  <c r="A208" i="133"/>
  <c r="T207" i="133"/>
  <c r="S207" i="133"/>
  <c r="R207" i="133"/>
  <c r="Q207" i="133"/>
  <c r="P207" i="133"/>
  <c r="O207" i="133"/>
  <c r="N207" i="133"/>
  <c r="L207" i="133"/>
  <c r="K207" i="133"/>
  <c r="J207" i="133"/>
  <c r="I207" i="133"/>
  <c r="F207" i="133"/>
  <c r="A207" i="133"/>
  <c r="T206" i="133"/>
  <c r="S206" i="133"/>
  <c r="R206" i="133"/>
  <c r="Q206" i="133"/>
  <c r="P206" i="133"/>
  <c r="O206" i="133"/>
  <c r="N206" i="133"/>
  <c r="L206" i="133"/>
  <c r="K206" i="133"/>
  <c r="J206" i="133"/>
  <c r="I206" i="133"/>
  <c r="F206" i="133"/>
  <c r="A206" i="133"/>
  <c r="T205" i="133"/>
  <c r="S205" i="133"/>
  <c r="R205" i="133"/>
  <c r="Q205" i="133"/>
  <c r="P205" i="133"/>
  <c r="O205" i="133"/>
  <c r="N205" i="133"/>
  <c r="L205" i="133"/>
  <c r="K205" i="133"/>
  <c r="J205" i="133"/>
  <c r="I205" i="133"/>
  <c r="F205" i="133"/>
  <c r="A205" i="133"/>
  <c r="T204" i="133"/>
  <c r="S204" i="133"/>
  <c r="R204" i="133"/>
  <c r="Q204" i="133"/>
  <c r="P204" i="133"/>
  <c r="O204" i="133"/>
  <c r="N204" i="133"/>
  <c r="L204" i="133"/>
  <c r="K204" i="133"/>
  <c r="J204" i="133"/>
  <c r="I204" i="133"/>
  <c r="F204" i="133"/>
  <c r="A204" i="133"/>
  <c r="T203" i="133"/>
  <c r="S203" i="133"/>
  <c r="R203" i="133"/>
  <c r="Q203" i="133"/>
  <c r="P203" i="133"/>
  <c r="O203" i="133"/>
  <c r="N203" i="133"/>
  <c r="L203" i="133"/>
  <c r="K203" i="133"/>
  <c r="J203" i="133"/>
  <c r="I203" i="133"/>
  <c r="F203" i="133"/>
  <c r="A203" i="133"/>
  <c r="T202" i="133"/>
  <c r="S202" i="133"/>
  <c r="R202" i="133"/>
  <c r="Q202" i="133"/>
  <c r="P202" i="133"/>
  <c r="O202" i="133"/>
  <c r="N202" i="133"/>
  <c r="L202" i="133"/>
  <c r="K202" i="133"/>
  <c r="J202" i="133"/>
  <c r="I202" i="133"/>
  <c r="F202" i="133"/>
  <c r="A202" i="133"/>
  <c r="T201" i="133"/>
  <c r="S201" i="133"/>
  <c r="R201" i="133"/>
  <c r="Q201" i="133"/>
  <c r="P201" i="133"/>
  <c r="O201" i="133"/>
  <c r="N201" i="133"/>
  <c r="L201" i="133"/>
  <c r="K201" i="133"/>
  <c r="J201" i="133"/>
  <c r="I201" i="133"/>
  <c r="F201" i="133"/>
  <c r="A201" i="133"/>
  <c r="T200" i="133"/>
  <c r="S200" i="133"/>
  <c r="R200" i="133"/>
  <c r="Q200" i="133"/>
  <c r="P200" i="133"/>
  <c r="O200" i="133"/>
  <c r="N200" i="133"/>
  <c r="L200" i="133"/>
  <c r="K200" i="133"/>
  <c r="J200" i="133"/>
  <c r="I200" i="133"/>
  <c r="F200" i="133"/>
  <c r="A200" i="133"/>
  <c r="T199" i="133"/>
  <c r="S199" i="133"/>
  <c r="R199" i="133"/>
  <c r="Q199" i="133"/>
  <c r="P199" i="133"/>
  <c r="O199" i="133"/>
  <c r="N199" i="133"/>
  <c r="L199" i="133"/>
  <c r="K199" i="133"/>
  <c r="J199" i="133"/>
  <c r="I199" i="133"/>
  <c r="F199" i="133"/>
  <c r="A199" i="133"/>
  <c r="T198" i="133"/>
  <c r="S198" i="133"/>
  <c r="R198" i="133"/>
  <c r="Q198" i="133"/>
  <c r="P198" i="133"/>
  <c r="O198" i="133"/>
  <c r="N198" i="133"/>
  <c r="L198" i="133"/>
  <c r="K198" i="133"/>
  <c r="J198" i="133"/>
  <c r="I198" i="133"/>
  <c r="F198" i="133"/>
  <c r="A198" i="133"/>
  <c r="T197" i="133"/>
  <c r="S197" i="133"/>
  <c r="R197" i="133"/>
  <c r="Q197" i="133"/>
  <c r="P197" i="133"/>
  <c r="O197" i="133"/>
  <c r="N197" i="133"/>
  <c r="L197" i="133"/>
  <c r="K197" i="133"/>
  <c r="J197" i="133"/>
  <c r="I197" i="133"/>
  <c r="F197" i="133"/>
  <c r="A197" i="133"/>
  <c r="T196" i="133"/>
  <c r="S196" i="133"/>
  <c r="R196" i="133"/>
  <c r="Q196" i="133"/>
  <c r="P196" i="133"/>
  <c r="O196" i="133"/>
  <c r="N196" i="133"/>
  <c r="L196" i="133"/>
  <c r="K196" i="133"/>
  <c r="J196" i="133"/>
  <c r="I196" i="133"/>
  <c r="F196" i="133"/>
  <c r="A196" i="133"/>
  <c r="T195" i="133"/>
  <c r="S195" i="133"/>
  <c r="R195" i="133"/>
  <c r="Q195" i="133"/>
  <c r="P195" i="133"/>
  <c r="O195" i="133"/>
  <c r="N195" i="133"/>
  <c r="L195" i="133"/>
  <c r="K195" i="133"/>
  <c r="J195" i="133"/>
  <c r="I195" i="133"/>
  <c r="F195" i="133"/>
  <c r="A195" i="133"/>
  <c r="T194" i="133"/>
  <c r="S194" i="133"/>
  <c r="R194" i="133"/>
  <c r="Q194" i="133"/>
  <c r="P194" i="133"/>
  <c r="O194" i="133"/>
  <c r="N194" i="133"/>
  <c r="L194" i="133"/>
  <c r="K194" i="133"/>
  <c r="J194" i="133"/>
  <c r="I194" i="133"/>
  <c r="F194" i="133"/>
  <c r="A194" i="133"/>
  <c r="T193" i="133"/>
  <c r="S193" i="133"/>
  <c r="R193" i="133"/>
  <c r="Q193" i="133"/>
  <c r="P193" i="133"/>
  <c r="O193" i="133"/>
  <c r="N193" i="133"/>
  <c r="L193" i="133"/>
  <c r="K193" i="133"/>
  <c r="J193" i="133"/>
  <c r="I193" i="133"/>
  <c r="F193" i="133"/>
  <c r="A193" i="133"/>
  <c r="T192" i="133"/>
  <c r="S192" i="133"/>
  <c r="R192" i="133"/>
  <c r="Q192" i="133"/>
  <c r="P192" i="133"/>
  <c r="O192" i="133"/>
  <c r="N192" i="133"/>
  <c r="L192" i="133"/>
  <c r="K192" i="133"/>
  <c r="J192" i="133"/>
  <c r="I192" i="133"/>
  <c r="F192" i="133"/>
  <c r="A192" i="133"/>
  <c r="T191" i="133"/>
  <c r="S191" i="133"/>
  <c r="R191" i="133"/>
  <c r="Q191" i="133"/>
  <c r="P191" i="133"/>
  <c r="O191" i="133"/>
  <c r="N191" i="133"/>
  <c r="L191" i="133"/>
  <c r="K191" i="133"/>
  <c r="J191" i="133"/>
  <c r="I191" i="133"/>
  <c r="F191" i="133"/>
  <c r="A191" i="133"/>
  <c r="T190" i="133"/>
  <c r="S190" i="133"/>
  <c r="R190" i="133"/>
  <c r="Q190" i="133"/>
  <c r="P190" i="133"/>
  <c r="O190" i="133"/>
  <c r="N190" i="133"/>
  <c r="L190" i="133"/>
  <c r="K190" i="133"/>
  <c r="J190" i="133"/>
  <c r="I190" i="133"/>
  <c r="F190" i="133"/>
  <c r="A190" i="133"/>
  <c r="T189" i="133"/>
  <c r="S189" i="133"/>
  <c r="R189" i="133"/>
  <c r="Q189" i="133"/>
  <c r="P189" i="133"/>
  <c r="O189" i="133"/>
  <c r="N189" i="133"/>
  <c r="L189" i="133"/>
  <c r="K189" i="133"/>
  <c r="J189" i="133"/>
  <c r="I189" i="133"/>
  <c r="F189" i="133"/>
  <c r="A189" i="133"/>
  <c r="T188" i="133"/>
  <c r="S188" i="133"/>
  <c r="R188" i="133"/>
  <c r="Q188" i="133"/>
  <c r="P188" i="133"/>
  <c r="O188" i="133"/>
  <c r="N188" i="133"/>
  <c r="L188" i="133"/>
  <c r="K188" i="133"/>
  <c r="J188" i="133"/>
  <c r="I188" i="133"/>
  <c r="F188" i="133"/>
  <c r="A188" i="133"/>
  <c r="T187" i="133"/>
  <c r="S187" i="133"/>
  <c r="R187" i="133"/>
  <c r="Q187" i="133"/>
  <c r="P187" i="133"/>
  <c r="O187" i="133"/>
  <c r="N187" i="133"/>
  <c r="L187" i="133"/>
  <c r="K187" i="133"/>
  <c r="J187" i="133"/>
  <c r="I187" i="133"/>
  <c r="F187" i="133"/>
  <c r="A187" i="133"/>
  <c r="T186" i="133"/>
  <c r="S186" i="133"/>
  <c r="R186" i="133"/>
  <c r="Q186" i="133"/>
  <c r="P186" i="133"/>
  <c r="O186" i="133"/>
  <c r="N186" i="133"/>
  <c r="L186" i="133"/>
  <c r="K186" i="133"/>
  <c r="J186" i="133"/>
  <c r="I186" i="133"/>
  <c r="F186" i="133"/>
  <c r="A186" i="133"/>
  <c r="T185" i="133"/>
  <c r="S185" i="133"/>
  <c r="R185" i="133"/>
  <c r="Q185" i="133"/>
  <c r="P185" i="133"/>
  <c r="O185" i="133"/>
  <c r="N185" i="133"/>
  <c r="L185" i="133"/>
  <c r="K185" i="133"/>
  <c r="J185" i="133"/>
  <c r="I185" i="133"/>
  <c r="F185" i="133"/>
  <c r="A185" i="133"/>
  <c r="T184" i="133"/>
  <c r="S184" i="133"/>
  <c r="R184" i="133"/>
  <c r="Q184" i="133"/>
  <c r="P184" i="133"/>
  <c r="O184" i="133"/>
  <c r="N184" i="133"/>
  <c r="L184" i="133"/>
  <c r="K184" i="133"/>
  <c r="J184" i="133"/>
  <c r="I184" i="133"/>
  <c r="F184" i="133"/>
  <c r="A184" i="133"/>
  <c r="T183" i="133"/>
  <c r="S183" i="133"/>
  <c r="R183" i="133"/>
  <c r="Q183" i="133"/>
  <c r="P183" i="133"/>
  <c r="O183" i="133"/>
  <c r="N183" i="133"/>
  <c r="L183" i="133"/>
  <c r="K183" i="133"/>
  <c r="J183" i="133"/>
  <c r="I183" i="133"/>
  <c r="F183" i="133"/>
  <c r="A183" i="133"/>
  <c r="T182" i="133"/>
  <c r="S182" i="133"/>
  <c r="R182" i="133"/>
  <c r="Q182" i="133"/>
  <c r="P182" i="133"/>
  <c r="O182" i="133"/>
  <c r="N182" i="133"/>
  <c r="L182" i="133"/>
  <c r="K182" i="133"/>
  <c r="J182" i="133"/>
  <c r="I182" i="133"/>
  <c r="F182" i="133"/>
  <c r="A182" i="133"/>
  <c r="T181" i="133"/>
  <c r="S181" i="133"/>
  <c r="R181" i="133"/>
  <c r="Q181" i="133"/>
  <c r="P181" i="133"/>
  <c r="O181" i="133"/>
  <c r="N181" i="133"/>
  <c r="L181" i="133"/>
  <c r="K181" i="133"/>
  <c r="J181" i="133"/>
  <c r="I181" i="133"/>
  <c r="F181" i="133"/>
  <c r="A181" i="133"/>
  <c r="T180" i="133"/>
  <c r="S180" i="133"/>
  <c r="R180" i="133"/>
  <c r="Q180" i="133"/>
  <c r="P180" i="133"/>
  <c r="O180" i="133"/>
  <c r="N180" i="133"/>
  <c r="L180" i="133"/>
  <c r="K180" i="133"/>
  <c r="J180" i="133"/>
  <c r="I180" i="133"/>
  <c r="F180" i="133"/>
  <c r="A180" i="133"/>
  <c r="T179" i="133"/>
  <c r="S179" i="133"/>
  <c r="R179" i="133"/>
  <c r="Q179" i="133"/>
  <c r="P179" i="133"/>
  <c r="O179" i="133"/>
  <c r="N179" i="133"/>
  <c r="L179" i="133"/>
  <c r="K179" i="133"/>
  <c r="J179" i="133"/>
  <c r="I179" i="133"/>
  <c r="F179" i="133"/>
  <c r="A179" i="133"/>
  <c r="T178" i="133"/>
  <c r="S178" i="133"/>
  <c r="R178" i="133"/>
  <c r="Q178" i="133"/>
  <c r="P178" i="133"/>
  <c r="O178" i="133"/>
  <c r="N178" i="133"/>
  <c r="L178" i="133"/>
  <c r="K178" i="133"/>
  <c r="J178" i="133"/>
  <c r="I178" i="133"/>
  <c r="F178" i="133"/>
  <c r="A178" i="133"/>
  <c r="T177" i="133"/>
  <c r="S177" i="133"/>
  <c r="R177" i="133"/>
  <c r="Q177" i="133"/>
  <c r="P177" i="133"/>
  <c r="O177" i="133"/>
  <c r="N177" i="133"/>
  <c r="L177" i="133"/>
  <c r="K177" i="133"/>
  <c r="J177" i="133"/>
  <c r="I177" i="133"/>
  <c r="F177" i="133"/>
  <c r="A177" i="133"/>
  <c r="T176" i="133"/>
  <c r="S176" i="133"/>
  <c r="R176" i="133"/>
  <c r="Q176" i="133"/>
  <c r="P176" i="133"/>
  <c r="O176" i="133"/>
  <c r="N176" i="133"/>
  <c r="L176" i="133"/>
  <c r="K176" i="133"/>
  <c r="J176" i="133"/>
  <c r="I176" i="133"/>
  <c r="F176" i="133"/>
  <c r="A176" i="133"/>
  <c r="T175" i="133"/>
  <c r="S175" i="133"/>
  <c r="R175" i="133"/>
  <c r="Q175" i="133"/>
  <c r="P175" i="133"/>
  <c r="O175" i="133"/>
  <c r="N175" i="133"/>
  <c r="L175" i="133"/>
  <c r="K175" i="133"/>
  <c r="J175" i="133"/>
  <c r="I175" i="133"/>
  <c r="F175" i="133"/>
  <c r="A175" i="133"/>
  <c r="T174" i="133"/>
  <c r="S174" i="133"/>
  <c r="R174" i="133"/>
  <c r="Q174" i="133"/>
  <c r="P174" i="133"/>
  <c r="O174" i="133"/>
  <c r="N174" i="133"/>
  <c r="L174" i="133"/>
  <c r="K174" i="133"/>
  <c r="J174" i="133"/>
  <c r="I174" i="133"/>
  <c r="F174" i="133"/>
  <c r="A174" i="133"/>
  <c r="T173" i="133"/>
  <c r="S173" i="133"/>
  <c r="R173" i="133"/>
  <c r="Q173" i="133"/>
  <c r="P173" i="133"/>
  <c r="O173" i="133"/>
  <c r="N173" i="133"/>
  <c r="L173" i="133"/>
  <c r="K173" i="133"/>
  <c r="J173" i="133"/>
  <c r="I173" i="133"/>
  <c r="F173" i="133"/>
  <c r="A173" i="133"/>
  <c r="T172" i="133"/>
  <c r="S172" i="133"/>
  <c r="R172" i="133"/>
  <c r="Q172" i="133"/>
  <c r="P172" i="133"/>
  <c r="O172" i="133"/>
  <c r="N172" i="133"/>
  <c r="L172" i="133"/>
  <c r="K172" i="133"/>
  <c r="J172" i="133"/>
  <c r="I172" i="133"/>
  <c r="F172" i="133"/>
  <c r="A172" i="133"/>
  <c r="T171" i="133"/>
  <c r="S171" i="133"/>
  <c r="R171" i="133"/>
  <c r="Q171" i="133"/>
  <c r="P171" i="133"/>
  <c r="O171" i="133"/>
  <c r="N171" i="133"/>
  <c r="L171" i="133"/>
  <c r="K171" i="133"/>
  <c r="J171" i="133"/>
  <c r="I171" i="133"/>
  <c r="F171" i="133"/>
  <c r="A171" i="133"/>
  <c r="T170" i="133"/>
  <c r="S170" i="133"/>
  <c r="R170" i="133"/>
  <c r="Q170" i="133"/>
  <c r="P170" i="133"/>
  <c r="O170" i="133"/>
  <c r="N170" i="133"/>
  <c r="L170" i="133"/>
  <c r="K170" i="133"/>
  <c r="J170" i="133"/>
  <c r="I170" i="133"/>
  <c r="F170" i="133"/>
  <c r="A170" i="133"/>
  <c r="T169" i="133"/>
  <c r="S169" i="133"/>
  <c r="R169" i="133"/>
  <c r="Q169" i="133"/>
  <c r="P169" i="133"/>
  <c r="O169" i="133"/>
  <c r="N169" i="133"/>
  <c r="L169" i="133"/>
  <c r="K169" i="133"/>
  <c r="J169" i="133"/>
  <c r="I169" i="133"/>
  <c r="F169" i="133"/>
  <c r="A169" i="133"/>
  <c r="T168" i="133"/>
  <c r="S168" i="133"/>
  <c r="R168" i="133"/>
  <c r="Q168" i="133"/>
  <c r="P168" i="133"/>
  <c r="O168" i="133"/>
  <c r="N168" i="133"/>
  <c r="L168" i="133"/>
  <c r="K168" i="133"/>
  <c r="J168" i="133"/>
  <c r="I168" i="133"/>
  <c r="F168" i="133"/>
  <c r="A168" i="133"/>
  <c r="T167" i="133"/>
  <c r="S167" i="133"/>
  <c r="R167" i="133"/>
  <c r="Q167" i="133"/>
  <c r="P167" i="133"/>
  <c r="O167" i="133"/>
  <c r="N167" i="133"/>
  <c r="L167" i="133"/>
  <c r="K167" i="133"/>
  <c r="J167" i="133"/>
  <c r="I167" i="133"/>
  <c r="F167" i="133"/>
  <c r="A167" i="133"/>
  <c r="T166" i="133"/>
  <c r="S166" i="133"/>
  <c r="R166" i="133"/>
  <c r="Q166" i="133"/>
  <c r="P166" i="133"/>
  <c r="O166" i="133"/>
  <c r="N166" i="133"/>
  <c r="L166" i="133"/>
  <c r="K166" i="133"/>
  <c r="J166" i="133"/>
  <c r="I166" i="133"/>
  <c r="F166" i="133"/>
  <c r="A166" i="133"/>
  <c r="T165" i="133"/>
  <c r="S165" i="133"/>
  <c r="R165" i="133"/>
  <c r="Q165" i="133"/>
  <c r="P165" i="133"/>
  <c r="O165" i="133"/>
  <c r="N165" i="133"/>
  <c r="L165" i="133"/>
  <c r="K165" i="133"/>
  <c r="J165" i="133"/>
  <c r="I165" i="133"/>
  <c r="F165" i="133"/>
  <c r="A165" i="133"/>
  <c r="T164" i="133"/>
  <c r="S164" i="133"/>
  <c r="R164" i="133"/>
  <c r="Q164" i="133"/>
  <c r="P164" i="133"/>
  <c r="O164" i="133"/>
  <c r="N164" i="133"/>
  <c r="L164" i="133"/>
  <c r="K164" i="133"/>
  <c r="J164" i="133"/>
  <c r="I164" i="133"/>
  <c r="F164" i="133"/>
  <c r="A164" i="133"/>
  <c r="T163" i="133"/>
  <c r="S163" i="133"/>
  <c r="R163" i="133"/>
  <c r="Q163" i="133"/>
  <c r="P163" i="133"/>
  <c r="O163" i="133"/>
  <c r="N163" i="133"/>
  <c r="L163" i="133"/>
  <c r="K163" i="133"/>
  <c r="J163" i="133"/>
  <c r="I163" i="133"/>
  <c r="F163" i="133"/>
  <c r="A163" i="133"/>
  <c r="T162" i="133"/>
  <c r="S162" i="133"/>
  <c r="R162" i="133"/>
  <c r="Q162" i="133"/>
  <c r="P162" i="133"/>
  <c r="O162" i="133"/>
  <c r="N162" i="133"/>
  <c r="L162" i="133"/>
  <c r="K162" i="133"/>
  <c r="J162" i="133"/>
  <c r="I162" i="133"/>
  <c r="F162" i="133"/>
  <c r="A162" i="133"/>
  <c r="T161" i="133"/>
  <c r="S161" i="133"/>
  <c r="R161" i="133"/>
  <c r="Q161" i="133"/>
  <c r="P161" i="133"/>
  <c r="O161" i="133"/>
  <c r="N161" i="133"/>
  <c r="L161" i="133"/>
  <c r="K161" i="133"/>
  <c r="J161" i="133"/>
  <c r="I161" i="133"/>
  <c r="F161" i="133"/>
  <c r="A161" i="133"/>
  <c r="T160" i="133"/>
  <c r="S160" i="133"/>
  <c r="R160" i="133"/>
  <c r="Q160" i="133"/>
  <c r="P160" i="133"/>
  <c r="O160" i="133"/>
  <c r="N160" i="133"/>
  <c r="L160" i="133"/>
  <c r="K160" i="133"/>
  <c r="J160" i="133"/>
  <c r="I160" i="133"/>
  <c r="F160" i="133"/>
  <c r="A160" i="133"/>
  <c r="T159" i="133"/>
  <c r="S159" i="133"/>
  <c r="R159" i="133"/>
  <c r="Q159" i="133"/>
  <c r="P159" i="133"/>
  <c r="O159" i="133"/>
  <c r="N159" i="133"/>
  <c r="L159" i="133"/>
  <c r="K159" i="133"/>
  <c r="J159" i="133"/>
  <c r="I159" i="133"/>
  <c r="F159" i="133"/>
  <c r="A159" i="133"/>
  <c r="T158" i="133"/>
  <c r="S158" i="133"/>
  <c r="R158" i="133"/>
  <c r="Q158" i="133"/>
  <c r="P158" i="133"/>
  <c r="O158" i="133"/>
  <c r="N158" i="133"/>
  <c r="L158" i="133"/>
  <c r="K158" i="133"/>
  <c r="J158" i="133"/>
  <c r="I158" i="133"/>
  <c r="F158" i="133"/>
  <c r="A158" i="133"/>
  <c r="T157" i="133"/>
  <c r="S157" i="133"/>
  <c r="R157" i="133"/>
  <c r="Q157" i="133"/>
  <c r="P157" i="133"/>
  <c r="O157" i="133"/>
  <c r="N157" i="133"/>
  <c r="L157" i="133"/>
  <c r="K157" i="133"/>
  <c r="J157" i="133"/>
  <c r="I157" i="133"/>
  <c r="F157" i="133"/>
  <c r="A157" i="133"/>
  <c r="T156" i="133"/>
  <c r="S156" i="133"/>
  <c r="R156" i="133"/>
  <c r="Q156" i="133"/>
  <c r="P156" i="133"/>
  <c r="O156" i="133"/>
  <c r="N156" i="133"/>
  <c r="L156" i="133"/>
  <c r="K156" i="133"/>
  <c r="J156" i="133"/>
  <c r="I156" i="133"/>
  <c r="F156" i="133"/>
  <c r="A156" i="133"/>
  <c r="T155" i="133"/>
  <c r="S155" i="133"/>
  <c r="R155" i="133"/>
  <c r="Q155" i="133"/>
  <c r="P155" i="133"/>
  <c r="O155" i="133"/>
  <c r="N155" i="133"/>
  <c r="L155" i="133"/>
  <c r="K155" i="133"/>
  <c r="J155" i="133"/>
  <c r="I155" i="133"/>
  <c r="F155" i="133"/>
  <c r="A155" i="133"/>
  <c r="T154" i="133"/>
  <c r="S154" i="133"/>
  <c r="R154" i="133"/>
  <c r="Q154" i="133"/>
  <c r="P154" i="133"/>
  <c r="O154" i="133"/>
  <c r="N154" i="133"/>
  <c r="L154" i="133"/>
  <c r="K154" i="133"/>
  <c r="J154" i="133"/>
  <c r="I154" i="133"/>
  <c r="F154" i="133"/>
  <c r="A154" i="133"/>
  <c r="T153" i="133"/>
  <c r="S153" i="133"/>
  <c r="R153" i="133"/>
  <c r="Q153" i="133"/>
  <c r="P153" i="133"/>
  <c r="O153" i="133"/>
  <c r="N153" i="133"/>
  <c r="L153" i="133"/>
  <c r="K153" i="133"/>
  <c r="J153" i="133"/>
  <c r="I153" i="133"/>
  <c r="F153" i="133"/>
  <c r="A153" i="133"/>
  <c r="T152" i="133"/>
  <c r="S152" i="133"/>
  <c r="R152" i="133"/>
  <c r="Q152" i="133"/>
  <c r="P152" i="133"/>
  <c r="O152" i="133"/>
  <c r="N152" i="133"/>
  <c r="L152" i="133"/>
  <c r="K152" i="133"/>
  <c r="J152" i="133"/>
  <c r="I152" i="133"/>
  <c r="F152" i="133"/>
  <c r="A152" i="133"/>
  <c r="T151" i="133"/>
  <c r="S151" i="133"/>
  <c r="R151" i="133"/>
  <c r="Q151" i="133"/>
  <c r="P151" i="133"/>
  <c r="O151" i="133"/>
  <c r="N151" i="133"/>
  <c r="L151" i="133"/>
  <c r="K151" i="133"/>
  <c r="J151" i="133"/>
  <c r="I151" i="133"/>
  <c r="F151" i="133"/>
  <c r="A151" i="133"/>
  <c r="T150" i="133"/>
  <c r="S150" i="133"/>
  <c r="R150" i="133"/>
  <c r="Q150" i="133"/>
  <c r="P150" i="133"/>
  <c r="O150" i="133"/>
  <c r="N150" i="133"/>
  <c r="L150" i="133"/>
  <c r="K150" i="133"/>
  <c r="J150" i="133"/>
  <c r="I150" i="133"/>
  <c r="F150" i="133"/>
  <c r="A150" i="133"/>
  <c r="T149" i="133"/>
  <c r="S149" i="133"/>
  <c r="R149" i="133"/>
  <c r="Q149" i="133"/>
  <c r="P149" i="133"/>
  <c r="O149" i="133"/>
  <c r="N149" i="133"/>
  <c r="L149" i="133"/>
  <c r="K149" i="133"/>
  <c r="J149" i="133"/>
  <c r="I149" i="133"/>
  <c r="F149" i="133"/>
  <c r="A149" i="133"/>
  <c r="T148" i="133"/>
  <c r="S148" i="133"/>
  <c r="R148" i="133"/>
  <c r="Q148" i="133"/>
  <c r="P148" i="133"/>
  <c r="O148" i="133"/>
  <c r="N148" i="133"/>
  <c r="L148" i="133"/>
  <c r="K148" i="133"/>
  <c r="J148" i="133"/>
  <c r="I148" i="133"/>
  <c r="F148" i="133"/>
  <c r="A148" i="133"/>
  <c r="T147" i="133"/>
  <c r="S147" i="133"/>
  <c r="R147" i="133"/>
  <c r="Q147" i="133"/>
  <c r="P147" i="133"/>
  <c r="O147" i="133"/>
  <c r="N147" i="133"/>
  <c r="L147" i="133"/>
  <c r="K147" i="133"/>
  <c r="J147" i="133"/>
  <c r="I147" i="133"/>
  <c r="F147" i="133"/>
  <c r="A147" i="133"/>
  <c r="T146" i="133"/>
  <c r="S146" i="133"/>
  <c r="R146" i="133"/>
  <c r="Q146" i="133"/>
  <c r="P146" i="133"/>
  <c r="O146" i="133"/>
  <c r="N146" i="133"/>
  <c r="L146" i="133"/>
  <c r="K146" i="133"/>
  <c r="J146" i="133"/>
  <c r="I146" i="133"/>
  <c r="F146" i="133"/>
  <c r="A146" i="133"/>
  <c r="T145" i="133"/>
  <c r="S145" i="133"/>
  <c r="R145" i="133"/>
  <c r="Q145" i="133"/>
  <c r="P145" i="133"/>
  <c r="O145" i="133"/>
  <c r="N145" i="133"/>
  <c r="L145" i="133"/>
  <c r="K145" i="133"/>
  <c r="J145" i="133"/>
  <c r="I145" i="133"/>
  <c r="F145" i="133"/>
  <c r="A145" i="133"/>
  <c r="T144" i="133"/>
  <c r="S144" i="133"/>
  <c r="R144" i="133"/>
  <c r="Q144" i="133"/>
  <c r="P144" i="133"/>
  <c r="O144" i="133"/>
  <c r="N144" i="133"/>
  <c r="L144" i="133"/>
  <c r="K144" i="133"/>
  <c r="J144" i="133"/>
  <c r="I144" i="133"/>
  <c r="F144" i="133"/>
  <c r="A144" i="133"/>
  <c r="T143" i="133"/>
  <c r="S143" i="133"/>
  <c r="R143" i="133"/>
  <c r="Q143" i="133"/>
  <c r="P143" i="133"/>
  <c r="O143" i="133"/>
  <c r="N143" i="133"/>
  <c r="L143" i="133"/>
  <c r="K143" i="133"/>
  <c r="J143" i="133"/>
  <c r="I143" i="133"/>
  <c r="F143" i="133"/>
  <c r="A143" i="133"/>
  <c r="T142" i="133"/>
  <c r="S142" i="133"/>
  <c r="R142" i="133"/>
  <c r="Q142" i="133"/>
  <c r="P142" i="133"/>
  <c r="O142" i="133"/>
  <c r="N142" i="133"/>
  <c r="L142" i="133"/>
  <c r="K142" i="133"/>
  <c r="J142" i="133"/>
  <c r="I142" i="133"/>
  <c r="F142" i="133"/>
  <c r="A142" i="133"/>
  <c r="T141" i="133"/>
  <c r="S141" i="133"/>
  <c r="R141" i="133"/>
  <c r="Q141" i="133"/>
  <c r="P141" i="133"/>
  <c r="O141" i="133"/>
  <c r="N141" i="133"/>
  <c r="L141" i="133"/>
  <c r="K141" i="133"/>
  <c r="J141" i="133"/>
  <c r="I141" i="133"/>
  <c r="F141" i="133"/>
  <c r="A141" i="133"/>
  <c r="T140" i="133"/>
  <c r="S140" i="133"/>
  <c r="R140" i="133"/>
  <c r="Q140" i="133"/>
  <c r="P140" i="133"/>
  <c r="O140" i="133"/>
  <c r="N140" i="133"/>
  <c r="L140" i="133"/>
  <c r="K140" i="133"/>
  <c r="J140" i="133"/>
  <c r="I140" i="133"/>
  <c r="F140" i="133"/>
  <c r="A140" i="133"/>
  <c r="T139" i="133"/>
  <c r="S139" i="133"/>
  <c r="R139" i="133"/>
  <c r="Q139" i="133"/>
  <c r="P139" i="133"/>
  <c r="O139" i="133"/>
  <c r="N139" i="133"/>
  <c r="L139" i="133"/>
  <c r="K139" i="133"/>
  <c r="J139" i="133"/>
  <c r="I139" i="133"/>
  <c r="F139" i="133"/>
  <c r="A139" i="133"/>
  <c r="T138" i="133"/>
  <c r="S138" i="133"/>
  <c r="R138" i="133"/>
  <c r="Q138" i="133"/>
  <c r="P138" i="133"/>
  <c r="O138" i="133"/>
  <c r="N138" i="133"/>
  <c r="L138" i="133"/>
  <c r="K138" i="133"/>
  <c r="J138" i="133"/>
  <c r="I138" i="133"/>
  <c r="F138" i="133"/>
  <c r="A138" i="133"/>
  <c r="T137" i="133"/>
  <c r="S137" i="133"/>
  <c r="R137" i="133"/>
  <c r="Q137" i="133"/>
  <c r="P137" i="133"/>
  <c r="O137" i="133"/>
  <c r="N137" i="133"/>
  <c r="L137" i="133"/>
  <c r="K137" i="133"/>
  <c r="J137" i="133"/>
  <c r="I137" i="133"/>
  <c r="F137" i="133"/>
  <c r="A137" i="133"/>
  <c r="T136" i="133"/>
  <c r="S136" i="133"/>
  <c r="R136" i="133"/>
  <c r="Q136" i="133"/>
  <c r="P136" i="133"/>
  <c r="O136" i="133"/>
  <c r="N136" i="133"/>
  <c r="L136" i="133"/>
  <c r="K136" i="133"/>
  <c r="J136" i="133"/>
  <c r="I136" i="133"/>
  <c r="F136" i="133"/>
  <c r="A136" i="133"/>
  <c r="T135" i="133"/>
  <c r="S135" i="133"/>
  <c r="R135" i="133"/>
  <c r="Q135" i="133"/>
  <c r="P135" i="133"/>
  <c r="O135" i="133"/>
  <c r="N135" i="133"/>
  <c r="L135" i="133"/>
  <c r="K135" i="133"/>
  <c r="J135" i="133"/>
  <c r="I135" i="133"/>
  <c r="F135" i="133"/>
  <c r="A135" i="133"/>
  <c r="T134" i="133"/>
  <c r="S134" i="133"/>
  <c r="R134" i="133"/>
  <c r="Q134" i="133"/>
  <c r="P134" i="133"/>
  <c r="O134" i="133"/>
  <c r="N134" i="133"/>
  <c r="L134" i="133"/>
  <c r="K134" i="133"/>
  <c r="J134" i="133"/>
  <c r="I134" i="133"/>
  <c r="F134" i="133"/>
  <c r="A134" i="133"/>
  <c r="T133" i="133"/>
  <c r="S133" i="133"/>
  <c r="R133" i="133"/>
  <c r="Q133" i="133"/>
  <c r="P133" i="133"/>
  <c r="O133" i="133"/>
  <c r="N133" i="133"/>
  <c r="L133" i="133"/>
  <c r="K133" i="133"/>
  <c r="J133" i="133"/>
  <c r="I133" i="133"/>
  <c r="F133" i="133"/>
  <c r="A133" i="133"/>
  <c r="T132" i="133"/>
  <c r="S132" i="133"/>
  <c r="R132" i="133"/>
  <c r="Q132" i="133"/>
  <c r="P132" i="133"/>
  <c r="O132" i="133"/>
  <c r="N132" i="133"/>
  <c r="L132" i="133"/>
  <c r="K132" i="133"/>
  <c r="J132" i="133"/>
  <c r="I132" i="133"/>
  <c r="F132" i="133"/>
  <c r="A132" i="133"/>
  <c r="T131" i="133"/>
  <c r="S131" i="133"/>
  <c r="R131" i="133"/>
  <c r="Q131" i="133"/>
  <c r="P131" i="133"/>
  <c r="O131" i="133"/>
  <c r="N131" i="133"/>
  <c r="L131" i="133"/>
  <c r="K131" i="133"/>
  <c r="J131" i="133"/>
  <c r="I131" i="133"/>
  <c r="F131" i="133"/>
  <c r="A131" i="133"/>
  <c r="T130" i="133"/>
  <c r="S130" i="133"/>
  <c r="R130" i="133"/>
  <c r="Q130" i="133"/>
  <c r="P130" i="133"/>
  <c r="O130" i="133"/>
  <c r="N130" i="133"/>
  <c r="L130" i="133"/>
  <c r="K130" i="133"/>
  <c r="J130" i="133"/>
  <c r="I130" i="133"/>
  <c r="F130" i="133"/>
  <c r="A130" i="133"/>
  <c r="T129" i="133"/>
  <c r="S129" i="133"/>
  <c r="R129" i="133"/>
  <c r="Q129" i="133"/>
  <c r="P129" i="133"/>
  <c r="O129" i="133"/>
  <c r="N129" i="133"/>
  <c r="L129" i="133"/>
  <c r="K129" i="133"/>
  <c r="J129" i="133"/>
  <c r="I129" i="133"/>
  <c r="F129" i="133"/>
  <c r="A129" i="133"/>
  <c r="T128" i="133"/>
  <c r="S128" i="133"/>
  <c r="R128" i="133"/>
  <c r="Q128" i="133"/>
  <c r="P128" i="133"/>
  <c r="O128" i="133"/>
  <c r="N128" i="133"/>
  <c r="L128" i="133"/>
  <c r="K128" i="133"/>
  <c r="J128" i="133"/>
  <c r="I128" i="133"/>
  <c r="F128" i="133"/>
  <c r="A128" i="133"/>
  <c r="T127" i="133"/>
  <c r="S127" i="133"/>
  <c r="R127" i="133"/>
  <c r="Q127" i="133"/>
  <c r="P127" i="133"/>
  <c r="O127" i="133"/>
  <c r="N127" i="133"/>
  <c r="L127" i="133"/>
  <c r="K127" i="133"/>
  <c r="J127" i="133"/>
  <c r="I127" i="133"/>
  <c r="F127" i="133"/>
  <c r="A127" i="133"/>
  <c r="T126" i="133"/>
  <c r="S126" i="133"/>
  <c r="R126" i="133"/>
  <c r="Q126" i="133"/>
  <c r="P126" i="133"/>
  <c r="O126" i="133"/>
  <c r="N126" i="133"/>
  <c r="L126" i="133"/>
  <c r="K126" i="133"/>
  <c r="J126" i="133"/>
  <c r="I126" i="133"/>
  <c r="F126" i="133"/>
  <c r="A126" i="133"/>
  <c r="T125" i="133"/>
  <c r="S125" i="133"/>
  <c r="R125" i="133"/>
  <c r="Q125" i="133"/>
  <c r="P125" i="133"/>
  <c r="O125" i="133"/>
  <c r="N125" i="133"/>
  <c r="L125" i="133"/>
  <c r="K125" i="133"/>
  <c r="J125" i="133"/>
  <c r="I125" i="133"/>
  <c r="F125" i="133"/>
  <c r="A125" i="133"/>
  <c r="T124" i="133"/>
  <c r="S124" i="133"/>
  <c r="R124" i="133"/>
  <c r="Q124" i="133"/>
  <c r="P124" i="133"/>
  <c r="O124" i="133"/>
  <c r="N124" i="133"/>
  <c r="L124" i="133"/>
  <c r="K124" i="133"/>
  <c r="J124" i="133"/>
  <c r="I124" i="133"/>
  <c r="F124" i="133"/>
  <c r="A124" i="133"/>
  <c r="T123" i="133"/>
  <c r="S123" i="133"/>
  <c r="R123" i="133"/>
  <c r="Q123" i="133"/>
  <c r="P123" i="133"/>
  <c r="O123" i="133"/>
  <c r="N123" i="133"/>
  <c r="L123" i="133"/>
  <c r="K123" i="133"/>
  <c r="J123" i="133"/>
  <c r="I123" i="133"/>
  <c r="F123" i="133"/>
  <c r="A123" i="133"/>
  <c r="T122" i="133"/>
  <c r="S122" i="133"/>
  <c r="R122" i="133"/>
  <c r="Q122" i="133"/>
  <c r="P122" i="133"/>
  <c r="O122" i="133"/>
  <c r="N122" i="133"/>
  <c r="L122" i="133"/>
  <c r="K122" i="133"/>
  <c r="J122" i="133"/>
  <c r="I122" i="133"/>
  <c r="F122" i="133"/>
  <c r="A122" i="133"/>
  <c r="T121" i="133"/>
  <c r="S121" i="133"/>
  <c r="R121" i="133"/>
  <c r="Q121" i="133"/>
  <c r="P121" i="133"/>
  <c r="O121" i="133"/>
  <c r="N121" i="133"/>
  <c r="L121" i="133"/>
  <c r="K121" i="133"/>
  <c r="J121" i="133"/>
  <c r="I121" i="133"/>
  <c r="F121" i="133"/>
  <c r="A121" i="133"/>
  <c r="T120" i="133"/>
  <c r="S120" i="133"/>
  <c r="R120" i="133"/>
  <c r="Q120" i="133"/>
  <c r="P120" i="133"/>
  <c r="O120" i="133"/>
  <c r="N120" i="133"/>
  <c r="L120" i="133"/>
  <c r="K120" i="133"/>
  <c r="J120" i="133"/>
  <c r="I120" i="133"/>
  <c r="F120" i="133"/>
  <c r="A120" i="133"/>
  <c r="T119" i="133"/>
  <c r="S119" i="133"/>
  <c r="R119" i="133"/>
  <c r="Q119" i="133"/>
  <c r="P119" i="133"/>
  <c r="O119" i="133"/>
  <c r="N119" i="133"/>
  <c r="L119" i="133"/>
  <c r="K119" i="133"/>
  <c r="J119" i="133"/>
  <c r="I119" i="133"/>
  <c r="F119" i="133"/>
  <c r="A119" i="133"/>
  <c r="T118" i="133"/>
  <c r="S118" i="133"/>
  <c r="R118" i="133"/>
  <c r="Q118" i="133"/>
  <c r="P118" i="133"/>
  <c r="O118" i="133"/>
  <c r="N118" i="133"/>
  <c r="L118" i="133"/>
  <c r="K118" i="133"/>
  <c r="J118" i="133"/>
  <c r="I118" i="133"/>
  <c r="F118" i="133"/>
  <c r="A118" i="133"/>
  <c r="T117" i="133"/>
  <c r="S117" i="133"/>
  <c r="R117" i="133"/>
  <c r="Q117" i="133"/>
  <c r="P117" i="133"/>
  <c r="O117" i="133"/>
  <c r="N117" i="133"/>
  <c r="L117" i="133"/>
  <c r="K117" i="133"/>
  <c r="J117" i="133"/>
  <c r="I117" i="133"/>
  <c r="F117" i="133"/>
  <c r="A117" i="133"/>
  <c r="T116" i="133"/>
  <c r="S116" i="133"/>
  <c r="R116" i="133"/>
  <c r="Q116" i="133"/>
  <c r="P116" i="133"/>
  <c r="O116" i="133"/>
  <c r="N116" i="133"/>
  <c r="L116" i="133"/>
  <c r="K116" i="133"/>
  <c r="J116" i="133"/>
  <c r="I116" i="133"/>
  <c r="F116" i="133"/>
  <c r="A116" i="133"/>
  <c r="T115" i="133"/>
  <c r="S115" i="133"/>
  <c r="R115" i="133"/>
  <c r="Q115" i="133"/>
  <c r="P115" i="133"/>
  <c r="O115" i="133"/>
  <c r="N115" i="133"/>
  <c r="L115" i="133"/>
  <c r="K115" i="133"/>
  <c r="J115" i="133"/>
  <c r="I115" i="133"/>
  <c r="F115" i="133"/>
  <c r="A115" i="133"/>
  <c r="T114" i="133"/>
  <c r="S114" i="133"/>
  <c r="R114" i="133"/>
  <c r="Q114" i="133"/>
  <c r="P114" i="133"/>
  <c r="O114" i="133"/>
  <c r="N114" i="133"/>
  <c r="L114" i="133"/>
  <c r="K114" i="133"/>
  <c r="J114" i="133"/>
  <c r="I114" i="133"/>
  <c r="F114" i="133"/>
  <c r="A114" i="133"/>
  <c r="T113" i="133"/>
  <c r="S113" i="133"/>
  <c r="R113" i="133"/>
  <c r="Q113" i="133"/>
  <c r="P113" i="133"/>
  <c r="O113" i="133"/>
  <c r="N113" i="133"/>
  <c r="L113" i="133"/>
  <c r="K113" i="133"/>
  <c r="J113" i="133"/>
  <c r="I113" i="133"/>
  <c r="F113" i="133"/>
  <c r="A113" i="133"/>
  <c r="T112" i="133"/>
  <c r="S112" i="133"/>
  <c r="R112" i="133"/>
  <c r="Q112" i="133"/>
  <c r="P112" i="133"/>
  <c r="O112" i="133"/>
  <c r="N112" i="133"/>
  <c r="L112" i="133"/>
  <c r="K112" i="133"/>
  <c r="J112" i="133"/>
  <c r="I112" i="133"/>
  <c r="F112" i="133"/>
  <c r="A112" i="133"/>
  <c r="T111" i="133"/>
  <c r="S111" i="133"/>
  <c r="R111" i="133"/>
  <c r="Q111" i="133"/>
  <c r="P111" i="133"/>
  <c r="O111" i="133"/>
  <c r="N111" i="133"/>
  <c r="L111" i="133"/>
  <c r="K111" i="133"/>
  <c r="J111" i="133"/>
  <c r="I111" i="133"/>
  <c r="F111" i="133"/>
  <c r="A111" i="133"/>
  <c r="T110" i="133"/>
  <c r="S110" i="133"/>
  <c r="R110" i="133"/>
  <c r="Q110" i="133"/>
  <c r="P110" i="133"/>
  <c r="O110" i="133"/>
  <c r="N110" i="133"/>
  <c r="L110" i="133"/>
  <c r="K110" i="133"/>
  <c r="J110" i="133"/>
  <c r="I110" i="133"/>
  <c r="F110" i="133"/>
  <c r="A110" i="133"/>
  <c r="T109" i="133"/>
  <c r="S109" i="133"/>
  <c r="R109" i="133"/>
  <c r="Q109" i="133"/>
  <c r="P109" i="133"/>
  <c r="O109" i="133"/>
  <c r="N109" i="133"/>
  <c r="L109" i="133"/>
  <c r="K109" i="133"/>
  <c r="J109" i="133"/>
  <c r="I109" i="133"/>
  <c r="F109" i="133"/>
  <c r="A109" i="133"/>
  <c r="T108" i="133"/>
  <c r="S108" i="133"/>
  <c r="R108" i="133"/>
  <c r="Q108" i="133"/>
  <c r="P108" i="133"/>
  <c r="O108" i="133"/>
  <c r="N108" i="133"/>
  <c r="L108" i="133"/>
  <c r="K108" i="133"/>
  <c r="J108" i="133"/>
  <c r="I108" i="133"/>
  <c r="F108" i="133"/>
  <c r="A108" i="133"/>
  <c r="T107" i="133"/>
  <c r="S107" i="133"/>
  <c r="R107" i="133"/>
  <c r="Q107" i="133"/>
  <c r="P107" i="133"/>
  <c r="O107" i="133"/>
  <c r="N107" i="133"/>
  <c r="L107" i="133"/>
  <c r="K107" i="133"/>
  <c r="J107" i="133"/>
  <c r="I107" i="133"/>
  <c r="F107" i="133"/>
  <c r="A107" i="133"/>
  <c r="T106" i="133"/>
  <c r="S106" i="133"/>
  <c r="R106" i="133"/>
  <c r="Q106" i="133"/>
  <c r="P106" i="133"/>
  <c r="O106" i="133"/>
  <c r="N106" i="133"/>
  <c r="L106" i="133"/>
  <c r="K106" i="133"/>
  <c r="J106" i="133"/>
  <c r="I106" i="133"/>
  <c r="F106" i="133"/>
  <c r="A106" i="133"/>
  <c r="T105" i="133"/>
  <c r="S105" i="133"/>
  <c r="R105" i="133"/>
  <c r="Q105" i="133"/>
  <c r="P105" i="133"/>
  <c r="O105" i="133"/>
  <c r="N105" i="133"/>
  <c r="L105" i="133"/>
  <c r="K105" i="133"/>
  <c r="J105" i="133"/>
  <c r="I105" i="133"/>
  <c r="F105" i="133"/>
  <c r="A105" i="133"/>
  <c r="T104" i="133"/>
  <c r="S104" i="133"/>
  <c r="R104" i="133"/>
  <c r="Q104" i="133"/>
  <c r="P104" i="133"/>
  <c r="O104" i="133"/>
  <c r="N104" i="133"/>
  <c r="L104" i="133"/>
  <c r="K104" i="133"/>
  <c r="J104" i="133"/>
  <c r="I104" i="133"/>
  <c r="F104" i="133"/>
  <c r="A104" i="133"/>
  <c r="T103" i="133"/>
  <c r="S103" i="133"/>
  <c r="R103" i="133"/>
  <c r="Q103" i="133"/>
  <c r="P103" i="133"/>
  <c r="O103" i="133"/>
  <c r="N103" i="133"/>
  <c r="L103" i="133"/>
  <c r="K103" i="133"/>
  <c r="J103" i="133"/>
  <c r="I103" i="133"/>
  <c r="F103" i="133"/>
  <c r="A103" i="133"/>
  <c r="T102" i="133"/>
  <c r="S102" i="133"/>
  <c r="R102" i="133"/>
  <c r="Q102" i="133"/>
  <c r="P102" i="133"/>
  <c r="O102" i="133"/>
  <c r="N102" i="133"/>
  <c r="L102" i="133"/>
  <c r="K102" i="133"/>
  <c r="J102" i="133"/>
  <c r="I102" i="133"/>
  <c r="F102" i="133"/>
  <c r="A102" i="133"/>
  <c r="T101" i="133"/>
  <c r="S101" i="133"/>
  <c r="R101" i="133"/>
  <c r="Q101" i="133"/>
  <c r="P101" i="133"/>
  <c r="O101" i="133"/>
  <c r="N101" i="133"/>
  <c r="L101" i="133"/>
  <c r="K101" i="133"/>
  <c r="J101" i="133"/>
  <c r="I101" i="133"/>
  <c r="F101" i="133"/>
  <c r="A101" i="133"/>
  <c r="T100" i="133"/>
  <c r="S100" i="133"/>
  <c r="R100" i="133"/>
  <c r="Q100" i="133"/>
  <c r="P100" i="133"/>
  <c r="O100" i="133"/>
  <c r="N100" i="133"/>
  <c r="L100" i="133"/>
  <c r="K100" i="133"/>
  <c r="J100" i="133"/>
  <c r="I100" i="133"/>
  <c r="F100" i="133"/>
  <c r="A100" i="133"/>
  <c r="T99" i="133"/>
  <c r="S99" i="133"/>
  <c r="R99" i="133"/>
  <c r="Q99" i="133"/>
  <c r="P99" i="133"/>
  <c r="O99" i="133"/>
  <c r="N99" i="133"/>
  <c r="L99" i="133"/>
  <c r="K99" i="133"/>
  <c r="J99" i="133"/>
  <c r="I99" i="133"/>
  <c r="F99" i="133"/>
  <c r="A99" i="133"/>
  <c r="T98" i="133"/>
  <c r="S98" i="133"/>
  <c r="R98" i="133"/>
  <c r="Q98" i="133"/>
  <c r="P98" i="133"/>
  <c r="O98" i="133"/>
  <c r="N98" i="133"/>
  <c r="L98" i="133"/>
  <c r="K98" i="133"/>
  <c r="J98" i="133"/>
  <c r="I98" i="133"/>
  <c r="F98" i="133"/>
  <c r="A98" i="133"/>
  <c r="T97" i="133"/>
  <c r="S97" i="133"/>
  <c r="R97" i="133"/>
  <c r="Q97" i="133"/>
  <c r="P97" i="133"/>
  <c r="O97" i="133"/>
  <c r="N97" i="133"/>
  <c r="L97" i="133"/>
  <c r="K97" i="133"/>
  <c r="J97" i="133"/>
  <c r="I97" i="133"/>
  <c r="F97" i="133"/>
  <c r="A97" i="133"/>
  <c r="T96" i="133"/>
  <c r="S96" i="133"/>
  <c r="R96" i="133"/>
  <c r="Q96" i="133"/>
  <c r="P96" i="133"/>
  <c r="O96" i="133"/>
  <c r="N96" i="133"/>
  <c r="L96" i="133"/>
  <c r="K96" i="133"/>
  <c r="J96" i="133"/>
  <c r="I96" i="133"/>
  <c r="F96" i="133"/>
  <c r="A96" i="133"/>
  <c r="T95" i="133"/>
  <c r="S95" i="133"/>
  <c r="R95" i="133"/>
  <c r="Q95" i="133"/>
  <c r="P95" i="133"/>
  <c r="O95" i="133"/>
  <c r="N95" i="133"/>
  <c r="L95" i="133"/>
  <c r="K95" i="133"/>
  <c r="J95" i="133"/>
  <c r="I95" i="133"/>
  <c r="F95" i="133"/>
  <c r="A95" i="133"/>
  <c r="T94" i="133"/>
  <c r="S94" i="133"/>
  <c r="R94" i="133"/>
  <c r="Q94" i="133"/>
  <c r="P94" i="133"/>
  <c r="O94" i="133"/>
  <c r="N94" i="133"/>
  <c r="L94" i="133"/>
  <c r="K94" i="133"/>
  <c r="J94" i="133"/>
  <c r="I94" i="133"/>
  <c r="F94" i="133"/>
  <c r="A94" i="133"/>
  <c r="T93" i="133"/>
  <c r="S93" i="133"/>
  <c r="R93" i="133"/>
  <c r="Q93" i="133"/>
  <c r="P93" i="133"/>
  <c r="O93" i="133"/>
  <c r="N93" i="133"/>
  <c r="L93" i="133"/>
  <c r="K93" i="133"/>
  <c r="J93" i="133"/>
  <c r="I93" i="133"/>
  <c r="F93" i="133"/>
  <c r="A93" i="133"/>
  <c r="T92" i="133"/>
  <c r="S92" i="133"/>
  <c r="R92" i="133"/>
  <c r="Q92" i="133"/>
  <c r="P92" i="133"/>
  <c r="O92" i="133"/>
  <c r="N92" i="133"/>
  <c r="L92" i="133"/>
  <c r="K92" i="133"/>
  <c r="J92" i="133"/>
  <c r="I92" i="133"/>
  <c r="F92" i="133"/>
  <c r="A92" i="133"/>
  <c r="T91" i="133"/>
  <c r="S91" i="133"/>
  <c r="R91" i="133"/>
  <c r="Q91" i="133"/>
  <c r="P91" i="133"/>
  <c r="O91" i="133"/>
  <c r="N91" i="133"/>
  <c r="L91" i="133"/>
  <c r="K91" i="133"/>
  <c r="J91" i="133"/>
  <c r="I91" i="133"/>
  <c r="F91" i="133"/>
  <c r="A91" i="133"/>
  <c r="T90" i="133"/>
  <c r="S90" i="133"/>
  <c r="R90" i="133"/>
  <c r="Q90" i="133"/>
  <c r="P90" i="133"/>
  <c r="O90" i="133"/>
  <c r="N90" i="133"/>
  <c r="L90" i="133"/>
  <c r="K90" i="133"/>
  <c r="J90" i="133"/>
  <c r="I90" i="133"/>
  <c r="F90" i="133"/>
  <c r="A90" i="133"/>
  <c r="T89" i="133"/>
  <c r="S89" i="133"/>
  <c r="R89" i="133"/>
  <c r="Q89" i="133"/>
  <c r="P89" i="133"/>
  <c r="O89" i="133"/>
  <c r="N89" i="133"/>
  <c r="L89" i="133"/>
  <c r="K89" i="133"/>
  <c r="J89" i="133"/>
  <c r="I89" i="133"/>
  <c r="F89" i="133"/>
  <c r="A89" i="133"/>
  <c r="T88" i="133"/>
  <c r="S88" i="133"/>
  <c r="R88" i="133"/>
  <c r="Q88" i="133"/>
  <c r="P88" i="133"/>
  <c r="O88" i="133"/>
  <c r="N88" i="133"/>
  <c r="L88" i="133"/>
  <c r="K88" i="133"/>
  <c r="J88" i="133"/>
  <c r="I88" i="133"/>
  <c r="F88" i="133"/>
  <c r="A88" i="133"/>
  <c r="T87" i="133"/>
  <c r="S87" i="133"/>
  <c r="R87" i="133"/>
  <c r="Q87" i="133"/>
  <c r="P87" i="133"/>
  <c r="O87" i="133"/>
  <c r="N87" i="133"/>
  <c r="L87" i="133"/>
  <c r="K87" i="133"/>
  <c r="J87" i="133"/>
  <c r="I87" i="133"/>
  <c r="F87" i="133"/>
  <c r="A87" i="133"/>
  <c r="T86" i="133"/>
  <c r="S86" i="133"/>
  <c r="R86" i="133"/>
  <c r="Q86" i="133"/>
  <c r="P86" i="133"/>
  <c r="O86" i="133"/>
  <c r="N86" i="133"/>
  <c r="L86" i="133"/>
  <c r="K86" i="133"/>
  <c r="J86" i="133"/>
  <c r="I86" i="133"/>
  <c r="F86" i="133"/>
  <c r="A86" i="133"/>
  <c r="T85" i="133"/>
  <c r="S85" i="133"/>
  <c r="R85" i="133"/>
  <c r="Q85" i="133"/>
  <c r="P85" i="133"/>
  <c r="O85" i="133"/>
  <c r="N85" i="133"/>
  <c r="L85" i="133"/>
  <c r="K85" i="133"/>
  <c r="J85" i="133"/>
  <c r="I85" i="133"/>
  <c r="F85" i="133"/>
  <c r="A85" i="133"/>
  <c r="T84" i="133"/>
  <c r="S84" i="133"/>
  <c r="R84" i="133"/>
  <c r="Q84" i="133"/>
  <c r="P84" i="133"/>
  <c r="O84" i="133"/>
  <c r="N84" i="133"/>
  <c r="L84" i="133"/>
  <c r="K84" i="133"/>
  <c r="J84" i="133"/>
  <c r="I84" i="133"/>
  <c r="F84" i="133"/>
  <c r="A84" i="133"/>
  <c r="T83" i="133"/>
  <c r="S83" i="133"/>
  <c r="R83" i="133"/>
  <c r="Q83" i="133"/>
  <c r="P83" i="133"/>
  <c r="O83" i="133"/>
  <c r="N83" i="133"/>
  <c r="L83" i="133"/>
  <c r="K83" i="133"/>
  <c r="J83" i="133"/>
  <c r="I83" i="133"/>
  <c r="F83" i="133"/>
  <c r="A83" i="133"/>
  <c r="T82" i="133"/>
  <c r="S82" i="133"/>
  <c r="R82" i="133"/>
  <c r="Q82" i="133"/>
  <c r="P82" i="133"/>
  <c r="O82" i="133"/>
  <c r="N82" i="133"/>
  <c r="L82" i="133"/>
  <c r="K82" i="133"/>
  <c r="J82" i="133"/>
  <c r="I82" i="133"/>
  <c r="F82" i="133"/>
  <c r="A82" i="133"/>
  <c r="T81" i="133"/>
  <c r="S81" i="133"/>
  <c r="R81" i="133"/>
  <c r="Q81" i="133"/>
  <c r="P81" i="133"/>
  <c r="O81" i="133"/>
  <c r="N81" i="133"/>
  <c r="L81" i="133"/>
  <c r="K81" i="133"/>
  <c r="J81" i="133"/>
  <c r="I81" i="133"/>
  <c r="F81" i="133"/>
  <c r="A81" i="133"/>
  <c r="T80" i="133"/>
  <c r="S80" i="133"/>
  <c r="R80" i="133"/>
  <c r="Q80" i="133"/>
  <c r="P80" i="133"/>
  <c r="O80" i="133"/>
  <c r="N80" i="133"/>
  <c r="L80" i="133"/>
  <c r="K80" i="133"/>
  <c r="J80" i="133"/>
  <c r="I80" i="133"/>
  <c r="F80" i="133"/>
  <c r="A80" i="133"/>
  <c r="T79" i="133"/>
  <c r="S79" i="133"/>
  <c r="R79" i="133"/>
  <c r="Q79" i="133"/>
  <c r="P79" i="133"/>
  <c r="O79" i="133"/>
  <c r="N79" i="133"/>
  <c r="L79" i="133"/>
  <c r="K79" i="133"/>
  <c r="J79" i="133"/>
  <c r="I79" i="133"/>
  <c r="F79" i="133"/>
  <c r="A79" i="133"/>
  <c r="T78" i="133"/>
  <c r="S78" i="133"/>
  <c r="R78" i="133"/>
  <c r="Q78" i="133"/>
  <c r="P78" i="133"/>
  <c r="O78" i="133"/>
  <c r="N78" i="133"/>
  <c r="L78" i="133"/>
  <c r="K78" i="133"/>
  <c r="J78" i="133"/>
  <c r="I78" i="133"/>
  <c r="F78" i="133"/>
  <c r="A78" i="133"/>
  <c r="T77" i="133"/>
  <c r="S77" i="133"/>
  <c r="R77" i="133"/>
  <c r="Q77" i="133"/>
  <c r="P77" i="133"/>
  <c r="O77" i="133"/>
  <c r="N77" i="133"/>
  <c r="L77" i="133"/>
  <c r="K77" i="133"/>
  <c r="J77" i="133"/>
  <c r="I77" i="133"/>
  <c r="F77" i="133"/>
  <c r="A77" i="133"/>
  <c r="T76" i="133"/>
  <c r="S76" i="133"/>
  <c r="R76" i="133"/>
  <c r="Q76" i="133"/>
  <c r="P76" i="133"/>
  <c r="O76" i="133"/>
  <c r="N76" i="133"/>
  <c r="L76" i="133"/>
  <c r="K76" i="133"/>
  <c r="J76" i="133"/>
  <c r="I76" i="133"/>
  <c r="F76" i="133"/>
  <c r="A76" i="133"/>
  <c r="T75" i="133"/>
  <c r="S75" i="133"/>
  <c r="R75" i="133"/>
  <c r="Q75" i="133"/>
  <c r="P75" i="133"/>
  <c r="O75" i="133"/>
  <c r="N75" i="133"/>
  <c r="L75" i="133"/>
  <c r="K75" i="133"/>
  <c r="J75" i="133"/>
  <c r="I75" i="133"/>
  <c r="F75" i="133"/>
  <c r="A75" i="133"/>
  <c r="T74" i="133"/>
  <c r="S74" i="133"/>
  <c r="R74" i="133"/>
  <c r="Q74" i="133"/>
  <c r="P74" i="133"/>
  <c r="O74" i="133"/>
  <c r="N74" i="133"/>
  <c r="L74" i="133"/>
  <c r="K74" i="133"/>
  <c r="J74" i="133"/>
  <c r="I74" i="133"/>
  <c r="F74" i="133"/>
  <c r="A74" i="133"/>
  <c r="T73" i="133"/>
  <c r="S73" i="133"/>
  <c r="R73" i="133"/>
  <c r="Q73" i="133"/>
  <c r="P73" i="133"/>
  <c r="O73" i="133"/>
  <c r="N73" i="133"/>
  <c r="L73" i="133"/>
  <c r="K73" i="133"/>
  <c r="J73" i="133"/>
  <c r="I73" i="133"/>
  <c r="F73" i="133"/>
  <c r="A73" i="133"/>
  <c r="T72" i="133"/>
  <c r="S72" i="133"/>
  <c r="R72" i="133"/>
  <c r="Q72" i="133"/>
  <c r="P72" i="133"/>
  <c r="O72" i="133"/>
  <c r="N72" i="133"/>
  <c r="L72" i="133"/>
  <c r="K72" i="133"/>
  <c r="J72" i="133"/>
  <c r="I72" i="133"/>
  <c r="F72" i="133"/>
  <c r="A72" i="133"/>
  <c r="T71" i="133"/>
  <c r="S71" i="133"/>
  <c r="R71" i="133"/>
  <c r="Q71" i="133"/>
  <c r="P71" i="133"/>
  <c r="O71" i="133"/>
  <c r="N71" i="133"/>
  <c r="L71" i="133"/>
  <c r="K71" i="133"/>
  <c r="J71" i="133"/>
  <c r="I71" i="133"/>
  <c r="F71" i="133"/>
  <c r="A71" i="133"/>
  <c r="T70" i="133"/>
  <c r="S70" i="133"/>
  <c r="R70" i="133"/>
  <c r="Q70" i="133"/>
  <c r="P70" i="133"/>
  <c r="O70" i="133"/>
  <c r="N70" i="133"/>
  <c r="L70" i="133"/>
  <c r="K70" i="133"/>
  <c r="J70" i="133"/>
  <c r="I70" i="133"/>
  <c r="F70" i="133"/>
  <c r="A70" i="133"/>
  <c r="T69" i="133"/>
  <c r="S69" i="133"/>
  <c r="R69" i="133"/>
  <c r="Q69" i="133"/>
  <c r="P69" i="133"/>
  <c r="O69" i="133"/>
  <c r="N69" i="133"/>
  <c r="L69" i="133"/>
  <c r="K69" i="133"/>
  <c r="J69" i="133"/>
  <c r="I69" i="133"/>
  <c r="F69" i="133"/>
  <c r="A69" i="133"/>
  <c r="T68" i="133"/>
  <c r="S68" i="133"/>
  <c r="R68" i="133"/>
  <c r="Q68" i="133"/>
  <c r="P68" i="133"/>
  <c r="O68" i="133"/>
  <c r="N68" i="133"/>
  <c r="L68" i="133"/>
  <c r="K68" i="133"/>
  <c r="J68" i="133"/>
  <c r="I68" i="133"/>
  <c r="F68" i="133"/>
  <c r="A68" i="133"/>
  <c r="T67" i="133"/>
  <c r="S67" i="133"/>
  <c r="R67" i="133"/>
  <c r="Q67" i="133"/>
  <c r="P67" i="133"/>
  <c r="O67" i="133"/>
  <c r="N67" i="133"/>
  <c r="L67" i="133"/>
  <c r="K67" i="133"/>
  <c r="J67" i="133"/>
  <c r="I67" i="133"/>
  <c r="F67" i="133"/>
  <c r="A67" i="133"/>
  <c r="T66" i="133"/>
  <c r="S66" i="133"/>
  <c r="R66" i="133"/>
  <c r="Q66" i="133"/>
  <c r="P66" i="133"/>
  <c r="O66" i="133"/>
  <c r="N66" i="133"/>
  <c r="L66" i="133"/>
  <c r="K66" i="133"/>
  <c r="J66" i="133"/>
  <c r="I66" i="133"/>
  <c r="F66" i="133"/>
  <c r="A66" i="133"/>
  <c r="T65" i="133"/>
  <c r="S65" i="133"/>
  <c r="R65" i="133"/>
  <c r="Q65" i="133"/>
  <c r="P65" i="133"/>
  <c r="O65" i="133"/>
  <c r="N65" i="133"/>
  <c r="L65" i="133"/>
  <c r="K65" i="133"/>
  <c r="J65" i="133"/>
  <c r="I65" i="133"/>
  <c r="F65" i="133"/>
  <c r="A65" i="133"/>
  <c r="T64" i="133"/>
  <c r="S64" i="133"/>
  <c r="R64" i="133"/>
  <c r="Q64" i="133"/>
  <c r="P64" i="133"/>
  <c r="O64" i="133"/>
  <c r="N64" i="133"/>
  <c r="L64" i="133"/>
  <c r="K64" i="133"/>
  <c r="J64" i="133"/>
  <c r="I64" i="133"/>
  <c r="F64" i="133"/>
  <c r="A64" i="133"/>
  <c r="T63" i="133"/>
  <c r="S63" i="133"/>
  <c r="R63" i="133"/>
  <c r="Q63" i="133"/>
  <c r="P63" i="133"/>
  <c r="O63" i="133"/>
  <c r="N63" i="133"/>
  <c r="L63" i="133"/>
  <c r="K63" i="133"/>
  <c r="J63" i="133"/>
  <c r="I63" i="133"/>
  <c r="F63" i="133"/>
  <c r="A63" i="133"/>
  <c r="T62" i="133"/>
  <c r="S62" i="133"/>
  <c r="R62" i="133"/>
  <c r="Q62" i="133"/>
  <c r="P62" i="133"/>
  <c r="O62" i="133"/>
  <c r="N62" i="133"/>
  <c r="L62" i="133"/>
  <c r="K62" i="133"/>
  <c r="J62" i="133"/>
  <c r="I62" i="133"/>
  <c r="F62" i="133"/>
  <c r="A62" i="133"/>
  <c r="T61" i="133"/>
  <c r="S61" i="133"/>
  <c r="R61" i="133"/>
  <c r="Q61" i="133"/>
  <c r="P61" i="133"/>
  <c r="O61" i="133"/>
  <c r="N61" i="133"/>
  <c r="L61" i="133"/>
  <c r="K61" i="133"/>
  <c r="J61" i="133"/>
  <c r="I61" i="133"/>
  <c r="F61" i="133"/>
  <c r="A61" i="133"/>
  <c r="T60" i="133"/>
  <c r="S60" i="133"/>
  <c r="R60" i="133"/>
  <c r="Q60" i="133"/>
  <c r="P60" i="133"/>
  <c r="O60" i="133"/>
  <c r="N60" i="133"/>
  <c r="L60" i="133"/>
  <c r="K60" i="133"/>
  <c r="J60" i="133"/>
  <c r="I60" i="133"/>
  <c r="F60" i="133"/>
  <c r="A60" i="133"/>
  <c r="T59" i="133"/>
  <c r="S59" i="133"/>
  <c r="R59" i="133"/>
  <c r="Q59" i="133"/>
  <c r="P59" i="133"/>
  <c r="O59" i="133"/>
  <c r="N59" i="133"/>
  <c r="L59" i="133"/>
  <c r="K59" i="133"/>
  <c r="J59" i="133"/>
  <c r="I59" i="133"/>
  <c r="F59" i="133"/>
  <c r="A59" i="133"/>
  <c r="T58" i="133"/>
  <c r="S58" i="133"/>
  <c r="R58" i="133"/>
  <c r="Q58" i="133"/>
  <c r="P58" i="133"/>
  <c r="O58" i="133"/>
  <c r="N58" i="133"/>
  <c r="L58" i="133"/>
  <c r="K58" i="133"/>
  <c r="J58" i="133"/>
  <c r="I58" i="133"/>
  <c r="F58" i="133"/>
  <c r="A58" i="133"/>
  <c r="T57" i="133"/>
  <c r="S57" i="133"/>
  <c r="R57" i="133"/>
  <c r="Q57" i="133"/>
  <c r="P57" i="133"/>
  <c r="O57" i="133"/>
  <c r="N57" i="133"/>
  <c r="L57" i="133"/>
  <c r="K57" i="133"/>
  <c r="J57" i="133"/>
  <c r="I57" i="133"/>
  <c r="F57" i="133"/>
  <c r="A57" i="133"/>
  <c r="T56" i="133"/>
  <c r="S56" i="133"/>
  <c r="R56" i="133"/>
  <c r="Q56" i="133"/>
  <c r="P56" i="133"/>
  <c r="O56" i="133"/>
  <c r="N56" i="133"/>
  <c r="L56" i="133"/>
  <c r="K56" i="133"/>
  <c r="J56" i="133"/>
  <c r="I56" i="133"/>
  <c r="F56" i="133"/>
  <c r="A56" i="133"/>
  <c r="T55" i="133"/>
  <c r="S55" i="133"/>
  <c r="R55" i="133"/>
  <c r="Q55" i="133"/>
  <c r="P55" i="133"/>
  <c r="O55" i="133"/>
  <c r="N55" i="133"/>
  <c r="L55" i="133"/>
  <c r="K55" i="133"/>
  <c r="J55" i="133"/>
  <c r="I55" i="133"/>
  <c r="F55" i="133"/>
  <c r="A55" i="133"/>
  <c r="T54" i="133"/>
  <c r="S54" i="133"/>
  <c r="R54" i="133"/>
  <c r="Q54" i="133"/>
  <c r="P54" i="133"/>
  <c r="O54" i="133"/>
  <c r="N54" i="133"/>
  <c r="L54" i="133"/>
  <c r="K54" i="133"/>
  <c r="J54" i="133"/>
  <c r="I54" i="133"/>
  <c r="F54" i="133"/>
  <c r="A54" i="133"/>
  <c r="T53" i="133"/>
  <c r="S53" i="133"/>
  <c r="R53" i="133"/>
  <c r="Q53" i="133"/>
  <c r="P53" i="133"/>
  <c r="O53" i="133"/>
  <c r="N53" i="133"/>
  <c r="L53" i="133"/>
  <c r="K53" i="133"/>
  <c r="J53" i="133"/>
  <c r="I53" i="133"/>
  <c r="F53" i="133"/>
  <c r="A53" i="133"/>
  <c r="T52" i="133"/>
  <c r="S52" i="133"/>
  <c r="R52" i="133"/>
  <c r="Q52" i="133"/>
  <c r="P52" i="133"/>
  <c r="O52" i="133"/>
  <c r="N52" i="133"/>
  <c r="L52" i="133"/>
  <c r="K52" i="133"/>
  <c r="J52" i="133"/>
  <c r="I52" i="133"/>
  <c r="F52" i="133"/>
  <c r="A52" i="133"/>
  <c r="T51" i="133"/>
  <c r="S51" i="133"/>
  <c r="R51" i="133"/>
  <c r="Q51" i="133"/>
  <c r="P51" i="133"/>
  <c r="O51" i="133"/>
  <c r="N51" i="133"/>
  <c r="L51" i="133"/>
  <c r="K51" i="133"/>
  <c r="J51" i="133"/>
  <c r="I51" i="133"/>
  <c r="F51" i="133"/>
  <c r="A51" i="133"/>
  <c r="T50" i="133"/>
  <c r="S50" i="133"/>
  <c r="R50" i="133"/>
  <c r="Q50" i="133"/>
  <c r="P50" i="133"/>
  <c r="O50" i="133"/>
  <c r="N50" i="133"/>
  <c r="L50" i="133"/>
  <c r="K50" i="133"/>
  <c r="J50" i="133"/>
  <c r="I50" i="133"/>
  <c r="F50" i="133"/>
  <c r="A50" i="133"/>
  <c r="T49" i="133"/>
  <c r="S49" i="133"/>
  <c r="R49" i="133"/>
  <c r="Q49" i="133"/>
  <c r="P49" i="133"/>
  <c r="O49" i="133"/>
  <c r="N49" i="133"/>
  <c r="L49" i="133"/>
  <c r="K49" i="133"/>
  <c r="J49" i="133"/>
  <c r="I49" i="133"/>
  <c r="F49" i="133"/>
  <c r="A49" i="133"/>
  <c r="T48" i="133"/>
  <c r="S48" i="133"/>
  <c r="R48" i="133"/>
  <c r="Q48" i="133"/>
  <c r="P48" i="133"/>
  <c r="O48" i="133"/>
  <c r="N48" i="133"/>
  <c r="L48" i="133"/>
  <c r="K48" i="133"/>
  <c r="J48" i="133"/>
  <c r="I48" i="133"/>
  <c r="F48" i="133"/>
  <c r="A48" i="133"/>
  <c r="T47" i="133"/>
  <c r="S47" i="133"/>
  <c r="R47" i="133"/>
  <c r="Q47" i="133"/>
  <c r="P47" i="133"/>
  <c r="O47" i="133"/>
  <c r="N47" i="133"/>
  <c r="L47" i="133"/>
  <c r="K47" i="133"/>
  <c r="J47" i="133"/>
  <c r="I47" i="133"/>
  <c r="F47" i="133"/>
  <c r="A47" i="133"/>
  <c r="T46" i="133"/>
  <c r="S46" i="133"/>
  <c r="R46" i="133"/>
  <c r="Q46" i="133"/>
  <c r="P46" i="133"/>
  <c r="O46" i="133"/>
  <c r="N46" i="133"/>
  <c r="L46" i="133"/>
  <c r="K46" i="133"/>
  <c r="J46" i="133"/>
  <c r="I46" i="133"/>
  <c r="F46" i="133"/>
  <c r="A46" i="133"/>
  <c r="T45" i="133"/>
  <c r="S45" i="133"/>
  <c r="R45" i="133"/>
  <c r="Q45" i="133"/>
  <c r="P45" i="133"/>
  <c r="O45" i="133"/>
  <c r="N45" i="133"/>
  <c r="L45" i="133"/>
  <c r="K45" i="133"/>
  <c r="J45" i="133"/>
  <c r="I45" i="133"/>
  <c r="F45" i="133"/>
  <c r="A45" i="133"/>
  <c r="T44" i="133"/>
  <c r="S44" i="133"/>
  <c r="R44" i="133"/>
  <c r="Q44" i="133"/>
  <c r="P44" i="133"/>
  <c r="O44" i="133"/>
  <c r="N44" i="133"/>
  <c r="L44" i="133"/>
  <c r="K44" i="133"/>
  <c r="J44" i="133"/>
  <c r="I44" i="133"/>
  <c r="F44" i="133"/>
  <c r="A44" i="133"/>
  <c r="T43" i="133"/>
  <c r="S43" i="133"/>
  <c r="R43" i="133"/>
  <c r="Q43" i="133"/>
  <c r="P43" i="133"/>
  <c r="O43" i="133"/>
  <c r="N43" i="133"/>
  <c r="L43" i="133"/>
  <c r="K43" i="133"/>
  <c r="J43" i="133"/>
  <c r="I43" i="133"/>
  <c r="F43" i="133"/>
  <c r="A43" i="133"/>
  <c r="T42" i="133"/>
  <c r="S42" i="133"/>
  <c r="R42" i="133"/>
  <c r="Q42" i="133"/>
  <c r="P42" i="133"/>
  <c r="O42" i="133"/>
  <c r="N42" i="133"/>
  <c r="L42" i="133"/>
  <c r="K42" i="133"/>
  <c r="J42" i="133"/>
  <c r="I42" i="133"/>
  <c r="F42" i="133"/>
  <c r="A42" i="133"/>
  <c r="T41" i="133"/>
  <c r="S41" i="133"/>
  <c r="R41" i="133"/>
  <c r="Q41" i="133"/>
  <c r="P41" i="133"/>
  <c r="O41" i="133"/>
  <c r="N41" i="133"/>
  <c r="L41" i="133"/>
  <c r="K41" i="133"/>
  <c r="J41" i="133"/>
  <c r="I41" i="133"/>
  <c r="F41" i="133"/>
  <c r="A41" i="133"/>
  <c r="T40" i="133"/>
  <c r="S40" i="133"/>
  <c r="R40" i="133"/>
  <c r="Q40" i="133"/>
  <c r="P40" i="133"/>
  <c r="O40" i="133"/>
  <c r="N40" i="133"/>
  <c r="L40" i="133"/>
  <c r="K40" i="133"/>
  <c r="J40" i="133"/>
  <c r="I40" i="133"/>
  <c r="F40" i="133"/>
  <c r="A40" i="133"/>
  <c r="T39" i="133"/>
  <c r="S39" i="133"/>
  <c r="R39" i="133"/>
  <c r="Q39" i="133"/>
  <c r="P39" i="133"/>
  <c r="O39" i="133"/>
  <c r="N39" i="133"/>
  <c r="L39" i="133"/>
  <c r="K39" i="133"/>
  <c r="J39" i="133"/>
  <c r="I39" i="133"/>
  <c r="F39" i="133"/>
  <c r="A39" i="133"/>
  <c r="T38" i="133"/>
  <c r="S38" i="133"/>
  <c r="R38" i="133"/>
  <c r="Q38" i="133"/>
  <c r="P38" i="133"/>
  <c r="O38" i="133"/>
  <c r="N38" i="133"/>
  <c r="L38" i="133"/>
  <c r="K38" i="133"/>
  <c r="J38" i="133"/>
  <c r="I38" i="133"/>
  <c r="F38" i="133"/>
  <c r="A38" i="133"/>
  <c r="T37" i="133"/>
  <c r="S37" i="133"/>
  <c r="R37" i="133"/>
  <c r="Q37" i="133"/>
  <c r="P37" i="133"/>
  <c r="O37" i="133"/>
  <c r="N37" i="133"/>
  <c r="L37" i="133"/>
  <c r="K37" i="133"/>
  <c r="J37" i="133"/>
  <c r="I37" i="133"/>
  <c r="F37" i="133"/>
  <c r="A37" i="133"/>
  <c r="T36" i="133"/>
  <c r="S36" i="133"/>
  <c r="R36" i="133"/>
  <c r="Q36" i="133"/>
  <c r="P36" i="133"/>
  <c r="O36" i="133"/>
  <c r="N36" i="133"/>
  <c r="L36" i="133"/>
  <c r="K36" i="133"/>
  <c r="J36" i="133"/>
  <c r="I36" i="133"/>
  <c r="F36" i="133"/>
  <c r="A36" i="133"/>
  <c r="T35" i="133"/>
  <c r="S35" i="133"/>
  <c r="R35" i="133"/>
  <c r="Q35" i="133"/>
  <c r="P35" i="133"/>
  <c r="O35" i="133"/>
  <c r="N35" i="133"/>
  <c r="L35" i="133"/>
  <c r="K35" i="133"/>
  <c r="J35" i="133"/>
  <c r="I35" i="133"/>
  <c r="F35" i="133"/>
  <c r="A35" i="133"/>
  <c r="T34" i="133"/>
  <c r="S34" i="133"/>
  <c r="R34" i="133"/>
  <c r="Q34" i="133"/>
  <c r="P34" i="133"/>
  <c r="O34" i="133"/>
  <c r="N34" i="133"/>
  <c r="L34" i="133"/>
  <c r="K34" i="133"/>
  <c r="J34" i="133"/>
  <c r="I34" i="133"/>
  <c r="F34" i="133"/>
  <c r="A34" i="133"/>
  <c r="T33" i="133"/>
  <c r="S33" i="133"/>
  <c r="R33" i="133"/>
  <c r="Q33" i="133"/>
  <c r="P33" i="133"/>
  <c r="O33" i="133"/>
  <c r="N33" i="133"/>
  <c r="L33" i="133"/>
  <c r="K33" i="133"/>
  <c r="J33" i="133"/>
  <c r="I33" i="133"/>
  <c r="F33" i="133"/>
  <c r="A33" i="133"/>
  <c r="T32" i="133"/>
  <c r="S32" i="133"/>
  <c r="R32" i="133"/>
  <c r="Q32" i="133"/>
  <c r="P32" i="133"/>
  <c r="O32" i="133"/>
  <c r="N32" i="133"/>
  <c r="L32" i="133"/>
  <c r="K32" i="133"/>
  <c r="J32" i="133"/>
  <c r="I32" i="133"/>
  <c r="F32" i="133"/>
  <c r="A32" i="133"/>
  <c r="T31" i="133"/>
  <c r="S31" i="133"/>
  <c r="R31" i="133"/>
  <c r="Q31" i="133"/>
  <c r="P31" i="133"/>
  <c r="O31" i="133"/>
  <c r="N31" i="133"/>
  <c r="L31" i="133"/>
  <c r="K31" i="133"/>
  <c r="J31" i="133"/>
  <c r="I31" i="133"/>
  <c r="F31" i="133"/>
  <c r="A31" i="133"/>
  <c r="T30" i="133"/>
  <c r="S30" i="133"/>
  <c r="R30" i="133"/>
  <c r="Q30" i="133"/>
  <c r="P30" i="133"/>
  <c r="O30" i="133"/>
  <c r="N30" i="133"/>
  <c r="L30" i="133"/>
  <c r="K30" i="133"/>
  <c r="J30" i="133"/>
  <c r="I30" i="133"/>
  <c r="F30" i="133"/>
  <c r="A30" i="133"/>
  <c r="T29" i="133"/>
  <c r="S29" i="133"/>
  <c r="R29" i="133"/>
  <c r="Q29" i="133"/>
  <c r="P29" i="133"/>
  <c r="O29" i="133"/>
  <c r="N29" i="133"/>
  <c r="L29" i="133"/>
  <c r="K29" i="133"/>
  <c r="J29" i="133"/>
  <c r="I29" i="133"/>
  <c r="F29" i="133"/>
  <c r="A29" i="133"/>
  <c r="T28" i="133"/>
  <c r="S28" i="133"/>
  <c r="R28" i="133"/>
  <c r="Q28" i="133"/>
  <c r="P28" i="133"/>
  <c r="O28" i="133"/>
  <c r="N28" i="133"/>
  <c r="L28" i="133"/>
  <c r="K28" i="133"/>
  <c r="J28" i="133"/>
  <c r="I28" i="133"/>
  <c r="F28" i="133"/>
  <c r="A28" i="133"/>
  <c r="T27" i="133"/>
  <c r="S27" i="133"/>
  <c r="R27" i="133"/>
  <c r="Q27" i="133"/>
  <c r="P27" i="133"/>
  <c r="O27" i="133"/>
  <c r="N27" i="133"/>
  <c r="L27" i="133"/>
  <c r="K27" i="133"/>
  <c r="J27" i="133"/>
  <c r="I27" i="133"/>
  <c r="F27" i="133"/>
  <c r="A27" i="133"/>
  <c r="T26" i="133"/>
  <c r="S26" i="133"/>
  <c r="R26" i="133"/>
  <c r="Q26" i="133"/>
  <c r="P26" i="133"/>
  <c r="O26" i="133"/>
  <c r="N26" i="133"/>
  <c r="L26" i="133"/>
  <c r="K26" i="133"/>
  <c r="J26" i="133"/>
  <c r="I26" i="133"/>
  <c r="F26" i="133"/>
  <c r="A26" i="133"/>
  <c r="T25" i="133"/>
  <c r="S25" i="133"/>
  <c r="R25" i="133"/>
  <c r="Q25" i="133"/>
  <c r="P25" i="133"/>
  <c r="O25" i="133"/>
  <c r="N25" i="133"/>
  <c r="L25" i="133"/>
  <c r="K25" i="133"/>
  <c r="J25" i="133"/>
  <c r="I25" i="133"/>
  <c r="F25" i="133"/>
  <c r="A25" i="133"/>
  <c r="T24" i="133"/>
  <c r="S24" i="133"/>
  <c r="R24" i="133"/>
  <c r="Q24" i="133"/>
  <c r="P24" i="133"/>
  <c r="O24" i="133"/>
  <c r="N24" i="133"/>
  <c r="L24" i="133"/>
  <c r="K24" i="133"/>
  <c r="J24" i="133"/>
  <c r="I24" i="133"/>
  <c r="F24" i="133"/>
  <c r="A24" i="133"/>
  <c r="T23" i="133"/>
  <c r="S23" i="133"/>
  <c r="R23" i="133"/>
  <c r="Q23" i="133"/>
  <c r="P23" i="133"/>
  <c r="O23" i="133"/>
  <c r="N23" i="133"/>
  <c r="L23" i="133"/>
  <c r="K23" i="133"/>
  <c r="J23" i="133"/>
  <c r="I23" i="133"/>
  <c r="F23" i="133"/>
  <c r="A23" i="133"/>
  <c r="T22" i="133"/>
  <c r="S22" i="133"/>
  <c r="R22" i="133"/>
  <c r="Q22" i="133"/>
  <c r="P22" i="133"/>
  <c r="O22" i="133"/>
  <c r="N22" i="133"/>
  <c r="L22" i="133"/>
  <c r="K22" i="133"/>
  <c r="J22" i="133"/>
  <c r="I22" i="133"/>
  <c r="F22" i="133"/>
  <c r="A22" i="133"/>
  <c r="T21" i="133"/>
  <c r="S21" i="133"/>
  <c r="R21" i="133"/>
  <c r="Q21" i="133"/>
  <c r="P21" i="133"/>
  <c r="O21" i="133"/>
  <c r="N21" i="133"/>
  <c r="L21" i="133"/>
  <c r="K21" i="133"/>
  <c r="J21" i="133"/>
  <c r="I21" i="133"/>
  <c r="F21" i="133"/>
  <c r="A21" i="133"/>
  <c r="T20" i="133"/>
  <c r="S20" i="133"/>
  <c r="R20" i="133"/>
  <c r="Q20" i="133"/>
  <c r="P20" i="133"/>
  <c r="O20" i="133"/>
  <c r="N20" i="133"/>
  <c r="L20" i="133"/>
  <c r="K20" i="133"/>
  <c r="J20" i="133"/>
  <c r="I20" i="133"/>
  <c r="F20" i="133"/>
  <c r="A20" i="133"/>
  <c r="T19" i="133"/>
  <c r="S19" i="133"/>
  <c r="R19" i="133"/>
  <c r="Q19" i="133"/>
  <c r="P19" i="133"/>
  <c r="O19" i="133"/>
  <c r="N19" i="133"/>
  <c r="L19" i="133"/>
  <c r="K19" i="133"/>
  <c r="J19" i="133"/>
  <c r="I19" i="133"/>
  <c r="F19" i="133"/>
  <c r="A19" i="133"/>
  <c r="T18" i="133"/>
  <c r="S18" i="133"/>
  <c r="R18" i="133"/>
  <c r="Q18" i="133"/>
  <c r="P18" i="133"/>
  <c r="O18" i="133"/>
  <c r="N18" i="133"/>
  <c r="L18" i="133"/>
  <c r="K18" i="133"/>
  <c r="J18" i="133"/>
  <c r="I18" i="133"/>
  <c r="F18" i="133"/>
  <c r="A18" i="133"/>
  <c r="T17" i="133"/>
  <c r="S17" i="133"/>
  <c r="R17" i="133"/>
  <c r="Q17" i="133"/>
  <c r="P17" i="133"/>
  <c r="O17" i="133"/>
  <c r="N17" i="133"/>
  <c r="L17" i="133"/>
  <c r="K17" i="133"/>
  <c r="J17" i="133"/>
  <c r="I17" i="133"/>
  <c r="F17" i="133"/>
  <c r="A17" i="133"/>
  <c r="T16" i="133"/>
  <c r="S16" i="133"/>
  <c r="R16" i="133"/>
  <c r="Q16" i="133"/>
  <c r="P16" i="133"/>
  <c r="O16" i="133"/>
  <c r="N16" i="133"/>
  <c r="L16" i="133"/>
  <c r="K16" i="133"/>
  <c r="J16" i="133"/>
  <c r="I16" i="133"/>
  <c r="F16" i="133"/>
  <c r="A16" i="133"/>
  <c r="T15" i="133"/>
  <c r="S15" i="133"/>
  <c r="R15" i="133"/>
  <c r="Q15" i="133"/>
  <c r="P15" i="133"/>
  <c r="O15" i="133"/>
  <c r="N15" i="133"/>
  <c r="L15" i="133"/>
  <c r="K15" i="133"/>
  <c r="J15" i="133"/>
  <c r="I15" i="133"/>
  <c r="F15" i="133"/>
  <c r="A15" i="133"/>
  <c r="T14" i="133"/>
  <c r="S14" i="133"/>
  <c r="R14" i="133"/>
  <c r="Q14" i="133"/>
  <c r="P14" i="133"/>
  <c r="O14" i="133"/>
  <c r="N14" i="133"/>
  <c r="L14" i="133"/>
  <c r="K14" i="133"/>
  <c r="J14" i="133"/>
  <c r="I14" i="133"/>
  <c r="F14" i="133"/>
  <c r="A14" i="133"/>
  <c r="T13" i="133"/>
  <c r="S13" i="133"/>
  <c r="R13" i="133"/>
  <c r="Q13" i="133"/>
  <c r="P13" i="133"/>
  <c r="O13" i="133"/>
  <c r="N13" i="133"/>
  <c r="L13" i="133"/>
  <c r="K13" i="133"/>
  <c r="J13" i="133"/>
  <c r="I13" i="133"/>
  <c r="F13" i="133"/>
  <c r="A13" i="133"/>
  <c r="T12" i="133"/>
  <c r="S12" i="133"/>
  <c r="R12" i="133"/>
  <c r="Q12" i="133"/>
  <c r="P12" i="133"/>
  <c r="O12" i="133"/>
  <c r="N12" i="133"/>
  <c r="L12" i="133"/>
  <c r="K12" i="133"/>
  <c r="J12" i="133"/>
  <c r="I12" i="133"/>
  <c r="F12" i="133"/>
  <c r="A12" i="133"/>
  <c r="T11" i="133"/>
  <c r="S11" i="133"/>
  <c r="R11" i="133"/>
  <c r="Q11" i="133"/>
  <c r="P11" i="133"/>
  <c r="O11" i="133"/>
  <c r="N11" i="133"/>
  <c r="L11" i="133"/>
  <c r="K11" i="133"/>
  <c r="J11" i="133"/>
  <c r="I11" i="133"/>
  <c r="F11" i="133"/>
  <c r="A11" i="133"/>
  <c r="T10" i="133"/>
  <c r="S10" i="133"/>
  <c r="R10" i="133"/>
  <c r="Q10" i="133"/>
  <c r="P10" i="133"/>
  <c r="O10" i="133"/>
  <c r="N10" i="133"/>
  <c r="L10" i="133"/>
  <c r="K10" i="133"/>
  <c r="J10" i="133"/>
  <c r="I10" i="133"/>
  <c r="F10" i="133"/>
  <c r="A10" i="133"/>
  <c r="T9" i="133"/>
  <c r="S9" i="133"/>
  <c r="R9" i="133"/>
  <c r="Q9" i="133"/>
  <c r="P9" i="133"/>
  <c r="O9" i="133"/>
  <c r="N9" i="133"/>
  <c r="L9" i="133"/>
  <c r="K9" i="133"/>
  <c r="J9" i="133"/>
  <c r="I9" i="133"/>
  <c r="F9" i="133"/>
  <c r="A9" i="133"/>
  <c r="T8" i="133"/>
  <c r="S8" i="133"/>
  <c r="R8" i="133"/>
  <c r="Q8" i="133"/>
  <c r="P8" i="133"/>
  <c r="O8" i="133"/>
  <c r="N8" i="133"/>
  <c r="L8" i="133"/>
  <c r="K8" i="133"/>
  <c r="J8" i="133"/>
  <c r="I8" i="133"/>
  <c r="F8" i="133"/>
  <c r="A8" i="133"/>
  <c r="T7" i="133"/>
  <c r="S7" i="133"/>
  <c r="R7" i="133"/>
  <c r="Q7" i="133"/>
  <c r="P7" i="133"/>
  <c r="O7" i="133"/>
  <c r="N7" i="133"/>
  <c r="L7" i="133"/>
  <c r="K7" i="133"/>
  <c r="J7" i="133"/>
  <c r="I7" i="133"/>
  <c r="F7" i="133"/>
  <c r="A7" i="133"/>
  <c r="T6" i="133"/>
  <c r="S6" i="133"/>
  <c r="R6" i="133"/>
  <c r="Q6" i="133"/>
  <c r="P6" i="133"/>
  <c r="O6" i="133"/>
  <c r="N6" i="133"/>
  <c r="L6" i="133"/>
  <c r="K6" i="133"/>
  <c r="J6" i="133"/>
  <c r="I6" i="133"/>
  <c r="F6" i="133"/>
  <c r="A6" i="133"/>
  <c r="T5" i="133"/>
  <c r="S5" i="133"/>
  <c r="R5" i="133"/>
  <c r="Q5" i="133"/>
  <c r="P5" i="133"/>
  <c r="O5" i="133"/>
  <c r="N5" i="133"/>
  <c r="L5" i="133"/>
  <c r="K5" i="133"/>
  <c r="J5" i="133"/>
  <c r="I5" i="133"/>
  <c r="F5" i="133"/>
  <c r="A5" i="133"/>
  <c r="T4" i="133"/>
  <c r="S4" i="133"/>
  <c r="R4" i="133"/>
  <c r="Q4" i="133"/>
  <c r="P4" i="133"/>
  <c r="O4" i="133"/>
  <c r="N4" i="133"/>
  <c r="L4" i="133"/>
  <c r="K4" i="133"/>
  <c r="J4" i="133"/>
  <c r="I4" i="133"/>
  <c r="F4" i="133"/>
  <c r="A4" i="133"/>
  <c r="T3" i="133"/>
  <c r="S3" i="133"/>
  <c r="R3" i="133"/>
  <c r="Q3" i="133"/>
  <c r="P3" i="133"/>
  <c r="O3" i="133"/>
  <c r="N3" i="133"/>
  <c r="L3" i="133"/>
  <c r="K3" i="133"/>
  <c r="J3" i="133"/>
  <c r="I3" i="133"/>
  <c r="F3" i="133"/>
  <c r="A3" i="133"/>
  <c r="T2" i="133"/>
  <c r="S2" i="133"/>
  <c r="R2" i="133"/>
  <c r="Q2" i="133"/>
  <c r="P2" i="133"/>
  <c r="O2" i="133"/>
  <c r="N2" i="133"/>
  <c r="L2" i="133"/>
  <c r="K2" i="133"/>
  <c r="J2" i="133"/>
  <c r="I2" i="133"/>
  <c r="F2" i="133"/>
  <c r="A2" i="133"/>
  <c r="B39" i="132"/>
  <c r="B36" i="132"/>
  <c r="B37" i="132"/>
  <c r="B38" i="132"/>
  <c r="B40" i="132"/>
  <c r="B41" i="132"/>
  <c r="B42" i="132"/>
  <c r="B43" i="132"/>
  <c r="C39" i="132"/>
  <c r="C42" i="132"/>
  <c r="F43" i="132"/>
  <c r="C38" i="132"/>
  <c r="C41" i="132"/>
  <c r="F42" i="132"/>
  <c r="C36" i="132"/>
  <c r="C37" i="132"/>
  <c r="C40" i="132"/>
  <c r="F41" i="132"/>
  <c r="F38" i="132"/>
  <c r="F37" i="132"/>
  <c r="F36" i="132"/>
  <c r="B24" i="132"/>
  <c r="C20" i="132"/>
  <c r="C23" i="132"/>
  <c r="C24" i="132"/>
  <c r="D24" i="132"/>
  <c r="D23" i="132"/>
  <c r="G23" i="132"/>
  <c r="H23" i="132"/>
  <c r="I23" i="132"/>
  <c r="J23" i="132"/>
  <c r="F23" i="132"/>
  <c r="I22" i="132"/>
  <c r="J22" i="132"/>
  <c r="F22" i="132"/>
  <c r="I21" i="132"/>
  <c r="J21" i="132"/>
  <c r="F21" i="132"/>
  <c r="D20" i="132"/>
  <c r="G20" i="132"/>
  <c r="H20" i="132"/>
  <c r="I20" i="132"/>
  <c r="J20" i="132"/>
  <c r="F20" i="132"/>
  <c r="I19" i="132"/>
  <c r="J19" i="132"/>
  <c r="F19" i="132"/>
  <c r="I18" i="132"/>
  <c r="J18" i="132"/>
  <c r="F18" i="132"/>
  <c r="I17" i="132"/>
  <c r="J17" i="132"/>
  <c r="F17" i="132"/>
  <c r="R12" i="132"/>
  <c r="M12" i="132"/>
  <c r="R11" i="132"/>
  <c r="M11" i="132"/>
  <c r="R10" i="132"/>
  <c r="M10" i="132"/>
  <c r="B10" i="132"/>
  <c r="R9" i="132"/>
  <c r="M9" i="132"/>
  <c r="R8" i="132"/>
  <c r="M8" i="132"/>
  <c r="R7" i="132"/>
  <c r="M7" i="132"/>
  <c r="R6" i="132"/>
  <c r="M6" i="132"/>
  <c r="R5" i="132"/>
  <c r="M5" i="132"/>
  <c r="R4" i="132"/>
  <c r="M4" i="132"/>
  <c r="R3" i="132"/>
  <c r="M3" i="132"/>
  <c r="T265" i="131"/>
  <c r="S265" i="131"/>
  <c r="R265" i="131"/>
  <c r="Q265" i="131"/>
  <c r="P265" i="131"/>
  <c r="O265" i="131"/>
  <c r="G265" i="131"/>
  <c r="C265" i="131"/>
  <c r="H265" i="131"/>
  <c r="B265" i="131"/>
  <c r="A2" i="130"/>
  <c r="A32" i="130"/>
  <c r="B22" i="130"/>
  <c r="B21" i="130"/>
  <c r="P3" i="130"/>
  <c r="O3" i="130"/>
  <c r="Q3" i="130"/>
  <c r="P4" i="130"/>
  <c r="O4" i="130"/>
  <c r="Q4" i="130"/>
  <c r="P5" i="130"/>
  <c r="O5" i="130"/>
  <c r="Q5" i="130"/>
  <c r="P6" i="130"/>
  <c r="O6" i="130"/>
  <c r="Q6" i="130"/>
  <c r="P7" i="130"/>
  <c r="O7" i="130"/>
  <c r="Q7" i="130"/>
  <c r="P8" i="130"/>
  <c r="O8" i="130"/>
  <c r="Q8" i="130"/>
  <c r="P9" i="130"/>
  <c r="O9" i="130"/>
  <c r="Q9" i="130"/>
  <c r="P10" i="130"/>
  <c r="O10" i="130"/>
  <c r="Q10" i="130"/>
  <c r="P11" i="130"/>
  <c r="O11" i="130"/>
  <c r="Q11" i="130"/>
  <c r="P12" i="130"/>
  <c r="O12" i="130"/>
  <c r="Q12" i="130"/>
  <c r="C21" i="130"/>
  <c r="D21" i="130"/>
  <c r="G21" i="130"/>
  <c r="G2" i="131"/>
  <c r="C2" i="131"/>
  <c r="H2" i="131"/>
  <c r="B2" i="131"/>
  <c r="G3" i="131"/>
  <c r="C3" i="131"/>
  <c r="H3" i="131"/>
  <c r="B3" i="131"/>
  <c r="G4" i="131"/>
  <c r="C4" i="131"/>
  <c r="H4" i="131"/>
  <c r="B4" i="131"/>
  <c r="G5" i="131"/>
  <c r="C5" i="131"/>
  <c r="H5" i="131"/>
  <c r="B5" i="131"/>
  <c r="G6" i="131"/>
  <c r="C6" i="131"/>
  <c r="H6" i="131"/>
  <c r="B6" i="131"/>
  <c r="G7" i="131"/>
  <c r="C7" i="131"/>
  <c r="H7" i="131"/>
  <c r="B7" i="131"/>
  <c r="G8" i="131"/>
  <c r="C8" i="131"/>
  <c r="H8" i="131"/>
  <c r="B8" i="131"/>
  <c r="G9" i="131"/>
  <c r="C9" i="131"/>
  <c r="H9" i="131"/>
  <c r="B9" i="131"/>
  <c r="G10" i="131"/>
  <c r="C10" i="131"/>
  <c r="H10" i="131"/>
  <c r="B10" i="131"/>
  <c r="G11" i="131"/>
  <c r="C11" i="131"/>
  <c r="H11" i="131"/>
  <c r="B11" i="131"/>
  <c r="G12" i="131"/>
  <c r="C12" i="131"/>
  <c r="H12" i="131"/>
  <c r="B12" i="131"/>
  <c r="G13" i="131"/>
  <c r="C13" i="131"/>
  <c r="H13" i="131"/>
  <c r="B13" i="131"/>
  <c r="G14" i="131"/>
  <c r="C14" i="131"/>
  <c r="H14" i="131"/>
  <c r="B14" i="131"/>
  <c r="G15" i="131"/>
  <c r="C15" i="131"/>
  <c r="H15" i="131"/>
  <c r="B15" i="131"/>
  <c r="G16" i="131"/>
  <c r="C16" i="131"/>
  <c r="H16" i="131"/>
  <c r="B16" i="131"/>
  <c r="G17" i="131"/>
  <c r="C17" i="131"/>
  <c r="H17" i="131"/>
  <c r="B17" i="131"/>
  <c r="G18" i="131"/>
  <c r="C18" i="131"/>
  <c r="H18" i="131"/>
  <c r="B18" i="131"/>
  <c r="G19" i="131"/>
  <c r="C19" i="131"/>
  <c r="H19" i="131"/>
  <c r="B19" i="131"/>
  <c r="G20" i="131"/>
  <c r="C20" i="131"/>
  <c r="H20" i="131"/>
  <c r="B20" i="131"/>
  <c r="G21" i="131"/>
  <c r="C21" i="131"/>
  <c r="H21" i="131"/>
  <c r="B21" i="131"/>
  <c r="G22" i="131"/>
  <c r="C22" i="131"/>
  <c r="H22" i="131"/>
  <c r="B22" i="131"/>
  <c r="G23" i="131"/>
  <c r="C23" i="131"/>
  <c r="H23" i="131"/>
  <c r="B23" i="131"/>
  <c r="G24" i="131"/>
  <c r="C24" i="131"/>
  <c r="H24" i="131"/>
  <c r="B24" i="131"/>
  <c r="G25" i="131"/>
  <c r="C25" i="131"/>
  <c r="H25" i="131"/>
  <c r="B25" i="131"/>
  <c r="G26" i="131"/>
  <c r="C26" i="131"/>
  <c r="H26" i="131"/>
  <c r="B26" i="131"/>
  <c r="G27" i="131"/>
  <c r="C27" i="131"/>
  <c r="H27" i="131"/>
  <c r="B27" i="131"/>
  <c r="G28" i="131"/>
  <c r="C28" i="131"/>
  <c r="H28" i="131"/>
  <c r="B28" i="131"/>
  <c r="G29" i="131"/>
  <c r="C29" i="131"/>
  <c r="H29" i="131"/>
  <c r="B29" i="131"/>
  <c r="G30" i="131"/>
  <c r="C30" i="131"/>
  <c r="H30" i="131"/>
  <c r="B30" i="131"/>
  <c r="G31" i="131"/>
  <c r="C31" i="131"/>
  <c r="H31" i="131"/>
  <c r="B31" i="131"/>
  <c r="G32" i="131"/>
  <c r="C32" i="131"/>
  <c r="H32" i="131"/>
  <c r="B32" i="131"/>
  <c r="G33" i="131"/>
  <c r="C33" i="131"/>
  <c r="H33" i="131"/>
  <c r="B33" i="131"/>
  <c r="G34" i="131"/>
  <c r="C34" i="131"/>
  <c r="H34" i="131"/>
  <c r="B34" i="131"/>
  <c r="G35" i="131"/>
  <c r="C35" i="131"/>
  <c r="H35" i="131"/>
  <c r="B35" i="131"/>
  <c r="G36" i="131"/>
  <c r="C36" i="131"/>
  <c r="H36" i="131"/>
  <c r="B36" i="131"/>
  <c r="G37" i="131"/>
  <c r="C37" i="131"/>
  <c r="H37" i="131"/>
  <c r="B37" i="131"/>
  <c r="G38" i="131"/>
  <c r="C38" i="131"/>
  <c r="H38" i="131"/>
  <c r="B38" i="131"/>
  <c r="G39" i="131"/>
  <c r="C39" i="131"/>
  <c r="H39" i="131"/>
  <c r="B39" i="131"/>
  <c r="G40" i="131"/>
  <c r="C40" i="131"/>
  <c r="H40" i="131"/>
  <c r="B40" i="131"/>
  <c r="G41" i="131"/>
  <c r="C41" i="131"/>
  <c r="H41" i="131"/>
  <c r="B41" i="131"/>
  <c r="G42" i="131"/>
  <c r="C42" i="131"/>
  <c r="H42" i="131"/>
  <c r="B42" i="131"/>
  <c r="G43" i="131"/>
  <c r="C43" i="131"/>
  <c r="H43" i="131"/>
  <c r="B43" i="131"/>
  <c r="G44" i="131"/>
  <c r="C44" i="131"/>
  <c r="H44" i="131"/>
  <c r="B44" i="131"/>
  <c r="G45" i="131"/>
  <c r="C45" i="131"/>
  <c r="H45" i="131"/>
  <c r="B45" i="131"/>
  <c r="G46" i="131"/>
  <c r="C46" i="131"/>
  <c r="H46" i="131"/>
  <c r="B46" i="131"/>
  <c r="G47" i="131"/>
  <c r="C47" i="131"/>
  <c r="H47" i="131"/>
  <c r="B47" i="131"/>
  <c r="G48" i="131"/>
  <c r="C48" i="131"/>
  <c r="H48" i="131"/>
  <c r="B48" i="131"/>
  <c r="G49" i="131"/>
  <c r="C49" i="131"/>
  <c r="H49" i="131"/>
  <c r="B49" i="131"/>
  <c r="G50" i="131"/>
  <c r="C50" i="131"/>
  <c r="H50" i="131"/>
  <c r="B50" i="131"/>
  <c r="G51" i="131"/>
  <c r="C51" i="131"/>
  <c r="H51" i="131"/>
  <c r="B51" i="131"/>
  <c r="G52" i="131"/>
  <c r="C52" i="131"/>
  <c r="H52" i="131"/>
  <c r="B52" i="131"/>
  <c r="G53" i="131"/>
  <c r="C53" i="131"/>
  <c r="H53" i="131"/>
  <c r="B53" i="131"/>
  <c r="G54" i="131"/>
  <c r="C54" i="131"/>
  <c r="H54" i="131"/>
  <c r="B54" i="131"/>
  <c r="G55" i="131"/>
  <c r="C55" i="131"/>
  <c r="H55" i="131"/>
  <c r="B55" i="131"/>
  <c r="G56" i="131"/>
  <c r="C56" i="131"/>
  <c r="H56" i="131"/>
  <c r="B56" i="131"/>
  <c r="G57" i="131"/>
  <c r="C57" i="131"/>
  <c r="H57" i="131"/>
  <c r="B57" i="131"/>
  <c r="G58" i="131"/>
  <c r="C58" i="131"/>
  <c r="H58" i="131"/>
  <c r="B58" i="131"/>
  <c r="G59" i="131"/>
  <c r="C59" i="131"/>
  <c r="H59" i="131"/>
  <c r="B59" i="131"/>
  <c r="G60" i="131"/>
  <c r="C60" i="131"/>
  <c r="H60" i="131"/>
  <c r="B60" i="131"/>
  <c r="G61" i="131"/>
  <c r="C61" i="131"/>
  <c r="H61" i="131"/>
  <c r="B61" i="131"/>
  <c r="G62" i="131"/>
  <c r="C62" i="131"/>
  <c r="H62" i="131"/>
  <c r="B62" i="131"/>
  <c r="G63" i="131"/>
  <c r="C63" i="131"/>
  <c r="H63" i="131"/>
  <c r="B63" i="131"/>
  <c r="G64" i="131"/>
  <c r="C64" i="131"/>
  <c r="H64" i="131"/>
  <c r="B64" i="131"/>
  <c r="G65" i="131"/>
  <c r="C65" i="131"/>
  <c r="H65" i="131"/>
  <c r="B65" i="131"/>
  <c r="G66" i="131"/>
  <c r="C66" i="131"/>
  <c r="H66" i="131"/>
  <c r="B66" i="131"/>
  <c r="G67" i="131"/>
  <c r="C67" i="131"/>
  <c r="H67" i="131"/>
  <c r="B67" i="131"/>
  <c r="G68" i="131"/>
  <c r="C68" i="131"/>
  <c r="H68" i="131"/>
  <c r="B68" i="131"/>
  <c r="G69" i="131"/>
  <c r="C69" i="131"/>
  <c r="H69" i="131"/>
  <c r="B69" i="131"/>
  <c r="G70" i="131"/>
  <c r="C70" i="131"/>
  <c r="H70" i="131"/>
  <c r="B70" i="131"/>
  <c r="G71" i="131"/>
  <c r="C71" i="131"/>
  <c r="H71" i="131"/>
  <c r="B71" i="131"/>
  <c r="G72" i="131"/>
  <c r="C72" i="131"/>
  <c r="H72" i="131"/>
  <c r="B72" i="131"/>
  <c r="G73" i="131"/>
  <c r="C73" i="131"/>
  <c r="H73" i="131"/>
  <c r="B73" i="131"/>
  <c r="G74" i="131"/>
  <c r="C74" i="131"/>
  <c r="H74" i="131"/>
  <c r="B74" i="131"/>
  <c r="G75" i="131"/>
  <c r="C75" i="131"/>
  <c r="H75" i="131"/>
  <c r="B75" i="131"/>
  <c r="G76" i="131"/>
  <c r="C76" i="131"/>
  <c r="H76" i="131"/>
  <c r="B76" i="131"/>
  <c r="G77" i="131"/>
  <c r="C77" i="131"/>
  <c r="H77" i="131"/>
  <c r="B77" i="131"/>
  <c r="G78" i="131"/>
  <c r="C78" i="131"/>
  <c r="H78" i="131"/>
  <c r="B78" i="131"/>
  <c r="G79" i="131"/>
  <c r="C79" i="131"/>
  <c r="H79" i="131"/>
  <c r="B79" i="131"/>
  <c r="G80" i="131"/>
  <c r="C80" i="131"/>
  <c r="H80" i="131"/>
  <c r="B80" i="131"/>
  <c r="G81" i="131"/>
  <c r="C81" i="131"/>
  <c r="H81" i="131"/>
  <c r="B81" i="131"/>
  <c r="G82" i="131"/>
  <c r="C82" i="131"/>
  <c r="H82" i="131"/>
  <c r="B82" i="131"/>
  <c r="G83" i="131"/>
  <c r="C83" i="131"/>
  <c r="H83" i="131"/>
  <c r="B83" i="131"/>
  <c r="G84" i="131"/>
  <c r="C84" i="131"/>
  <c r="H84" i="131"/>
  <c r="B84" i="131"/>
  <c r="G85" i="131"/>
  <c r="C85" i="131"/>
  <c r="H85" i="131"/>
  <c r="B85" i="131"/>
  <c r="G86" i="131"/>
  <c r="C86" i="131"/>
  <c r="H86" i="131"/>
  <c r="B86" i="131"/>
  <c r="G87" i="131"/>
  <c r="C87" i="131"/>
  <c r="H87" i="131"/>
  <c r="B87" i="131"/>
  <c r="G88" i="131"/>
  <c r="C88" i="131"/>
  <c r="H88" i="131"/>
  <c r="B88" i="131"/>
  <c r="G89" i="131"/>
  <c r="C89" i="131"/>
  <c r="H89" i="131"/>
  <c r="B89" i="131"/>
  <c r="G90" i="131"/>
  <c r="C90" i="131"/>
  <c r="H90" i="131"/>
  <c r="B90" i="131"/>
  <c r="G91" i="131"/>
  <c r="C91" i="131"/>
  <c r="H91" i="131"/>
  <c r="B91" i="131"/>
  <c r="G92" i="131"/>
  <c r="C92" i="131"/>
  <c r="H92" i="131"/>
  <c r="B92" i="131"/>
  <c r="G93" i="131"/>
  <c r="C93" i="131"/>
  <c r="H93" i="131"/>
  <c r="B93" i="131"/>
  <c r="G94" i="131"/>
  <c r="C94" i="131"/>
  <c r="H94" i="131"/>
  <c r="B94" i="131"/>
  <c r="G95" i="131"/>
  <c r="C95" i="131"/>
  <c r="H95" i="131"/>
  <c r="B95" i="131"/>
  <c r="G96" i="131"/>
  <c r="C96" i="131"/>
  <c r="H96" i="131"/>
  <c r="B96" i="131"/>
  <c r="G97" i="131"/>
  <c r="C97" i="131"/>
  <c r="H97" i="131"/>
  <c r="B97" i="131"/>
  <c r="G98" i="131"/>
  <c r="C98" i="131"/>
  <c r="H98" i="131"/>
  <c r="B98" i="131"/>
  <c r="G99" i="131"/>
  <c r="C99" i="131"/>
  <c r="H99" i="131"/>
  <c r="B99" i="131"/>
  <c r="G100" i="131"/>
  <c r="C100" i="131"/>
  <c r="H100" i="131"/>
  <c r="B100" i="131"/>
  <c r="G101" i="131"/>
  <c r="C101" i="131"/>
  <c r="H101" i="131"/>
  <c r="B101" i="131"/>
  <c r="G102" i="131"/>
  <c r="C102" i="131"/>
  <c r="H102" i="131"/>
  <c r="B102" i="131"/>
  <c r="G103" i="131"/>
  <c r="C103" i="131"/>
  <c r="H103" i="131"/>
  <c r="B103" i="131"/>
  <c r="G104" i="131"/>
  <c r="C104" i="131"/>
  <c r="H104" i="131"/>
  <c r="B104" i="131"/>
  <c r="G105" i="131"/>
  <c r="C105" i="131"/>
  <c r="H105" i="131"/>
  <c r="B105" i="131"/>
  <c r="G106" i="131"/>
  <c r="C106" i="131"/>
  <c r="H106" i="131"/>
  <c r="B106" i="131"/>
  <c r="G107" i="131"/>
  <c r="C107" i="131"/>
  <c r="H107" i="131"/>
  <c r="B107" i="131"/>
  <c r="G108" i="131"/>
  <c r="C108" i="131"/>
  <c r="H108" i="131"/>
  <c r="B108" i="131"/>
  <c r="G109" i="131"/>
  <c r="C109" i="131"/>
  <c r="H109" i="131"/>
  <c r="B109" i="131"/>
  <c r="G110" i="131"/>
  <c r="C110" i="131"/>
  <c r="H110" i="131"/>
  <c r="B110" i="131"/>
  <c r="G111" i="131"/>
  <c r="C111" i="131"/>
  <c r="H111" i="131"/>
  <c r="B111" i="131"/>
  <c r="G112" i="131"/>
  <c r="C112" i="131"/>
  <c r="H112" i="131"/>
  <c r="B112" i="131"/>
  <c r="G113" i="131"/>
  <c r="C113" i="131"/>
  <c r="H113" i="131"/>
  <c r="B113" i="131"/>
  <c r="G114" i="131"/>
  <c r="C114" i="131"/>
  <c r="H114" i="131"/>
  <c r="B114" i="131"/>
  <c r="G115" i="131"/>
  <c r="C115" i="131"/>
  <c r="H115" i="131"/>
  <c r="B115" i="131"/>
  <c r="G116" i="131"/>
  <c r="C116" i="131"/>
  <c r="H116" i="131"/>
  <c r="B116" i="131"/>
  <c r="G117" i="131"/>
  <c r="C117" i="131"/>
  <c r="H117" i="131"/>
  <c r="B117" i="131"/>
  <c r="G118" i="131"/>
  <c r="C118" i="131"/>
  <c r="H118" i="131"/>
  <c r="B118" i="131"/>
  <c r="G119" i="131"/>
  <c r="C119" i="131"/>
  <c r="H119" i="131"/>
  <c r="B119" i="131"/>
  <c r="G120" i="131"/>
  <c r="C120" i="131"/>
  <c r="H120" i="131"/>
  <c r="B120" i="131"/>
  <c r="G121" i="131"/>
  <c r="C121" i="131"/>
  <c r="H121" i="131"/>
  <c r="B121" i="131"/>
  <c r="G122" i="131"/>
  <c r="C122" i="131"/>
  <c r="H122" i="131"/>
  <c r="B122" i="131"/>
  <c r="G123" i="131"/>
  <c r="C123" i="131"/>
  <c r="H123" i="131"/>
  <c r="B123" i="131"/>
  <c r="G124" i="131"/>
  <c r="C124" i="131"/>
  <c r="H124" i="131"/>
  <c r="B124" i="131"/>
  <c r="G125" i="131"/>
  <c r="C125" i="131"/>
  <c r="H125" i="131"/>
  <c r="B125" i="131"/>
  <c r="G126" i="131"/>
  <c r="C126" i="131"/>
  <c r="H126" i="131"/>
  <c r="B126" i="131"/>
  <c r="G127" i="131"/>
  <c r="C127" i="131"/>
  <c r="H127" i="131"/>
  <c r="B127" i="131"/>
  <c r="G128" i="131"/>
  <c r="C128" i="131"/>
  <c r="H128" i="131"/>
  <c r="B128" i="131"/>
  <c r="G129" i="131"/>
  <c r="C129" i="131"/>
  <c r="H129" i="131"/>
  <c r="B129" i="131"/>
  <c r="G130" i="131"/>
  <c r="C130" i="131"/>
  <c r="H130" i="131"/>
  <c r="B130" i="131"/>
  <c r="G131" i="131"/>
  <c r="C131" i="131"/>
  <c r="H131" i="131"/>
  <c r="B131" i="131"/>
  <c r="G132" i="131"/>
  <c r="C132" i="131"/>
  <c r="H132" i="131"/>
  <c r="B132" i="131"/>
  <c r="G133" i="131"/>
  <c r="C133" i="131"/>
  <c r="H133" i="131"/>
  <c r="B133" i="131"/>
  <c r="G134" i="131"/>
  <c r="C134" i="131"/>
  <c r="H134" i="131"/>
  <c r="B134" i="131"/>
  <c r="G135" i="131"/>
  <c r="C135" i="131"/>
  <c r="H135" i="131"/>
  <c r="B135" i="131"/>
  <c r="G136" i="131"/>
  <c r="C136" i="131"/>
  <c r="H136" i="131"/>
  <c r="B136" i="131"/>
  <c r="G137" i="131"/>
  <c r="C137" i="131"/>
  <c r="H137" i="131"/>
  <c r="B137" i="131"/>
  <c r="G138" i="131"/>
  <c r="C138" i="131"/>
  <c r="H138" i="131"/>
  <c r="B138" i="131"/>
  <c r="G139" i="131"/>
  <c r="C139" i="131"/>
  <c r="H139" i="131"/>
  <c r="B139" i="131"/>
  <c r="G140" i="131"/>
  <c r="C140" i="131"/>
  <c r="H140" i="131"/>
  <c r="B140" i="131"/>
  <c r="G141" i="131"/>
  <c r="C141" i="131"/>
  <c r="H141" i="131"/>
  <c r="B141" i="131"/>
  <c r="G142" i="131"/>
  <c r="C142" i="131"/>
  <c r="H142" i="131"/>
  <c r="B142" i="131"/>
  <c r="G143" i="131"/>
  <c r="C143" i="131"/>
  <c r="H143" i="131"/>
  <c r="B143" i="131"/>
  <c r="G144" i="131"/>
  <c r="C144" i="131"/>
  <c r="H144" i="131"/>
  <c r="B144" i="131"/>
  <c r="G145" i="131"/>
  <c r="C145" i="131"/>
  <c r="H145" i="131"/>
  <c r="B145" i="131"/>
  <c r="G146" i="131"/>
  <c r="C146" i="131"/>
  <c r="H146" i="131"/>
  <c r="B146" i="131"/>
  <c r="G147" i="131"/>
  <c r="C147" i="131"/>
  <c r="H147" i="131"/>
  <c r="B147" i="131"/>
  <c r="G148" i="131"/>
  <c r="C148" i="131"/>
  <c r="H148" i="131"/>
  <c r="B148" i="131"/>
  <c r="G149" i="131"/>
  <c r="C149" i="131"/>
  <c r="H149" i="131"/>
  <c r="B149" i="131"/>
  <c r="G150" i="131"/>
  <c r="C150" i="131"/>
  <c r="H150" i="131"/>
  <c r="B150" i="131"/>
  <c r="G151" i="131"/>
  <c r="C151" i="131"/>
  <c r="H151" i="131"/>
  <c r="B151" i="131"/>
  <c r="G152" i="131"/>
  <c r="C152" i="131"/>
  <c r="H152" i="131"/>
  <c r="B152" i="131"/>
  <c r="G153" i="131"/>
  <c r="C153" i="131"/>
  <c r="H153" i="131"/>
  <c r="B153" i="131"/>
  <c r="G154" i="131"/>
  <c r="C154" i="131"/>
  <c r="H154" i="131"/>
  <c r="B154" i="131"/>
  <c r="G155" i="131"/>
  <c r="C155" i="131"/>
  <c r="H155" i="131"/>
  <c r="B155" i="131"/>
  <c r="G156" i="131"/>
  <c r="C156" i="131"/>
  <c r="H156" i="131"/>
  <c r="B156" i="131"/>
  <c r="G157" i="131"/>
  <c r="C157" i="131"/>
  <c r="H157" i="131"/>
  <c r="B157" i="131"/>
  <c r="G158" i="131"/>
  <c r="C158" i="131"/>
  <c r="H158" i="131"/>
  <c r="B158" i="131"/>
  <c r="G159" i="131"/>
  <c r="C159" i="131"/>
  <c r="H159" i="131"/>
  <c r="B159" i="131"/>
  <c r="G160" i="131"/>
  <c r="C160" i="131"/>
  <c r="H160" i="131"/>
  <c r="B160" i="131"/>
  <c r="G161" i="131"/>
  <c r="C161" i="131"/>
  <c r="H161" i="131"/>
  <c r="B161" i="131"/>
  <c r="G162" i="131"/>
  <c r="C162" i="131"/>
  <c r="H162" i="131"/>
  <c r="B162" i="131"/>
  <c r="G163" i="131"/>
  <c r="C163" i="131"/>
  <c r="H163" i="131"/>
  <c r="B163" i="131"/>
  <c r="G164" i="131"/>
  <c r="C164" i="131"/>
  <c r="H164" i="131"/>
  <c r="B164" i="131"/>
  <c r="G165" i="131"/>
  <c r="C165" i="131"/>
  <c r="H165" i="131"/>
  <c r="B165" i="131"/>
  <c r="G166" i="131"/>
  <c r="C166" i="131"/>
  <c r="H166" i="131"/>
  <c r="B166" i="131"/>
  <c r="G167" i="131"/>
  <c r="C167" i="131"/>
  <c r="H167" i="131"/>
  <c r="B167" i="131"/>
  <c r="G168" i="131"/>
  <c r="C168" i="131"/>
  <c r="H168" i="131"/>
  <c r="B168" i="131"/>
  <c r="G169" i="131"/>
  <c r="C169" i="131"/>
  <c r="H169" i="131"/>
  <c r="B169" i="131"/>
  <c r="G170" i="131"/>
  <c r="C170" i="131"/>
  <c r="H170" i="131"/>
  <c r="B170" i="131"/>
  <c r="G171" i="131"/>
  <c r="C171" i="131"/>
  <c r="H171" i="131"/>
  <c r="B171" i="131"/>
  <c r="G172" i="131"/>
  <c r="C172" i="131"/>
  <c r="H172" i="131"/>
  <c r="B172" i="131"/>
  <c r="G173" i="131"/>
  <c r="C173" i="131"/>
  <c r="H173" i="131"/>
  <c r="B173" i="131"/>
  <c r="G174" i="131"/>
  <c r="C174" i="131"/>
  <c r="H174" i="131"/>
  <c r="B174" i="131"/>
  <c r="G175" i="131"/>
  <c r="C175" i="131"/>
  <c r="H175" i="131"/>
  <c r="B175" i="131"/>
  <c r="G176" i="131"/>
  <c r="C176" i="131"/>
  <c r="H176" i="131"/>
  <c r="B176" i="131"/>
  <c r="G177" i="131"/>
  <c r="C177" i="131"/>
  <c r="H177" i="131"/>
  <c r="B177" i="131"/>
  <c r="G178" i="131"/>
  <c r="C178" i="131"/>
  <c r="H178" i="131"/>
  <c r="B178" i="131"/>
  <c r="G179" i="131"/>
  <c r="C179" i="131"/>
  <c r="H179" i="131"/>
  <c r="B179" i="131"/>
  <c r="G180" i="131"/>
  <c r="C180" i="131"/>
  <c r="H180" i="131"/>
  <c r="B180" i="131"/>
  <c r="G181" i="131"/>
  <c r="C181" i="131"/>
  <c r="H181" i="131"/>
  <c r="B181" i="131"/>
  <c r="G182" i="131"/>
  <c r="C182" i="131"/>
  <c r="H182" i="131"/>
  <c r="B182" i="131"/>
  <c r="G183" i="131"/>
  <c r="C183" i="131"/>
  <c r="H183" i="131"/>
  <c r="B183" i="131"/>
  <c r="G184" i="131"/>
  <c r="C184" i="131"/>
  <c r="H184" i="131"/>
  <c r="B184" i="131"/>
  <c r="G185" i="131"/>
  <c r="C185" i="131"/>
  <c r="H185" i="131"/>
  <c r="B185" i="131"/>
  <c r="G186" i="131"/>
  <c r="C186" i="131"/>
  <c r="H186" i="131"/>
  <c r="B186" i="131"/>
  <c r="G187" i="131"/>
  <c r="C187" i="131"/>
  <c r="H187" i="131"/>
  <c r="B187" i="131"/>
  <c r="G188" i="131"/>
  <c r="C188" i="131"/>
  <c r="H188" i="131"/>
  <c r="B188" i="131"/>
  <c r="G189" i="131"/>
  <c r="C189" i="131"/>
  <c r="H189" i="131"/>
  <c r="B189" i="131"/>
  <c r="G190" i="131"/>
  <c r="C190" i="131"/>
  <c r="H190" i="131"/>
  <c r="B190" i="131"/>
  <c r="G191" i="131"/>
  <c r="C191" i="131"/>
  <c r="H191" i="131"/>
  <c r="B191" i="131"/>
  <c r="G192" i="131"/>
  <c r="C192" i="131"/>
  <c r="H192" i="131"/>
  <c r="B192" i="131"/>
  <c r="G193" i="131"/>
  <c r="C193" i="131"/>
  <c r="H193" i="131"/>
  <c r="B193" i="131"/>
  <c r="G194" i="131"/>
  <c r="C194" i="131"/>
  <c r="H194" i="131"/>
  <c r="B194" i="131"/>
  <c r="G195" i="131"/>
  <c r="C195" i="131"/>
  <c r="H195" i="131"/>
  <c r="B195" i="131"/>
  <c r="G196" i="131"/>
  <c r="C196" i="131"/>
  <c r="H196" i="131"/>
  <c r="B196" i="131"/>
  <c r="G197" i="131"/>
  <c r="C197" i="131"/>
  <c r="H197" i="131"/>
  <c r="B197" i="131"/>
  <c r="G198" i="131"/>
  <c r="C198" i="131"/>
  <c r="H198" i="131"/>
  <c r="B198" i="131"/>
  <c r="G199" i="131"/>
  <c r="C199" i="131"/>
  <c r="H199" i="131"/>
  <c r="B199" i="131"/>
  <c r="G200" i="131"/>
  <c r="C200" i="131"/>
  <c r="H200" i="131"/>
  <c r="B200" i="131"/>
  <c r="G201" i="131"/>
  <c r="C201" i="131"/>
  <c r="H201" i="131"/>
  <c r="B201" i="131"/>
  <c r="G202" i="131"/>
  <c r="C202" i="131"/>
  <c r="H202" i="131"/>
  <c r="B202" i="131"/>
  <c r="G203" i="131"/>
  <c r="C203" i="131"/>
  <c r="H203" i="131"/>
  <c r="B203" i="131"/>
  <c r="G204" i="131"/>
  <c r="C204" i="131"/>
  <c r="H204" i="131"/>
  <c r="B204" i="131"/>
  <c r="G205" i="131"/>
  <c r="C205" i="131"/>
  <c r="H205" i="131"/>
  <c r="B205" i="131"/>
  <c r="G206" i="131"/>
  <c r="C206" i="131"/>
  <c r="H206" i="131"/>
  <c r="B206" i="131"/>
  <c r="G207" i="131"/>
  <c r="C207" i="131"/>
  <c r="H207" i="131"/>
  <c r="B207" i="131"/>
  <c r="G208" i="131"/>
  <c r="C208" i="131"/>
  <c r="H208" i="131"/>
  <c r="B208" i="131"/>
  <c r="G209" i="131"/>
  <c r="C209" i="131"/>
  <c r="H209" i="131"/>
  <c r="B209" i="131"/>
  <c r="G210" i="131"/>
  <c r="C210" i="131"/>
  <c r="H210" i="131"/>
  <c r="B210" i="131"/>
  <c r="G211" i="131"/>
  <c r="C211" i="131"/>
  <c r="H211" i="131"/>
  <c r="B211" i="131"/>
  <c r="G212" i="131"/>
  <c r="C212" i="131"/>
  <c r="H212" i="131"/>
  <c r="B212" i="131"/>
  <c r="G213" i="131"/>
  <c r="C213" i="131"/>
  <c r="H213" i="131"/>
  <c r="B213" i="131"/>
  <c r="G214" i="131"/>
  <c r="C214" i="131"/>
  <c r="H214" i="131"/>
  <c r="B214" i="131"/>
  <c r="G215" i="131"/>
  <c r="C215" i="131"/>
  <c r="H215" i="131"/>
  <c r="B215" i="131"/>
  <c r="G216" i="131"/>
  <c r="C216" i="131"/>
  <c r="H216" i="131"/>
  <c r="B216" i="131"/>
  <c r="G217" i="131"/>
  <c r="C217" i="131"/>
  <c r="H217" i="131"/>
  <c r="B217" i="131"/>
  <c r="G218" i="131"/>
  <c r="C218" i="131"/>
  <c r="H218" i="131"/>
  <c r="B218" i="131"/>
  <c r="G219" i="131"/>
  <c r="C219" i="131"/>
  <c r="H219" i="131"/>
  <c r="B219" i="131"/>
  <c r="G220" i="131"/>
  <c r="C220" i="131"/>
  <c r="H220" i="131"/>
  <c r="B220" i="131"/>
  <c r="G221" i="131"/>
  <c r="C221" i="131"/>
  <c r="H221" i="131"/>
  <c r="B221" i="131"/>
  <c r="G222" i="131"/>
  <c r="C222" i="131"/>
  <c r="H222" i="131"/>
  <c r="B222" i="131"/>
  <c r="G223" i="131"/>
  <c r="C223" i="131"/>
  <c r="H223" i="131"/>
  <c r="B223" i="131"/>
  <c r="G224" i="131"/>
  <c r="C224" i="131"/>
  <c r="H224" i="131"/>
  <c r="B224" i="131"/>
  <c r="G225" i="131"/>
  <c r="C225" i="131"/>
  <c r="H225" i="131"/>
  <c r="B225" i="131"/>
  <c r="G226" i="131"/>
  <c r="C226" i="131"/>
  <c r="H226" i="131"/>
  <c r="B226" i="131"/>
  <c r="G227" i="131"/>
  <c r="C227" i="131"/>
  <c r="H227" i="131"/>
  <c r="B227" i="131"/>
  <c r="G228" i="131"/>
  <c r="C228" i="131"/>
  <c r="H228" i="131"/>
  <c r="B228" i="131"/>
  <c r="G229" i="131"/>
  <c r="C229" i="131"/>
  <c r="H229" i="131"/>
  <c r="B229" i="131"/>
  <c r="G230" i="131"/>
  <c r="C230" i="131"/>
  <c r="H230" i="131"/>
  <c r="B230" i="131"/>
  <c r="G231" i="131"/>
  <c r="C231" i="131"/>
  <c r="H231" i="131"/>
  <c r="B231" i="131"/>
  <c r="G232" i="131"/>
  <c r="C232" i="131"/>
  <c r="H232" i="131"/>
  <c r="B232" i="131"/>
  <c r="G233" i="131"/>
  <c r="C233" i="131"/>
  <c r="H233" i="131"/>
  <c r="B233" i="131"/>
  <c r="G234" i="131"/>
  <c r="C234" i="131"/>
  <c r="H234" i="131"/>
  <c r="B234" i="131"/>
  <c r="G235" i="131"/>
  <c r="C235" i="131"/>
  <c r="H235" i="131"/>
  <c r="B235" i="131"/>
  <c r="G236" i="131"/>
  <c r="C236" i="131"/>
  <c r="H236" i="131"/>
  <c r="B236" i="131"/>
  <c r="G237" i="131"/>
  <c r="C237" i="131"/>
  <c r="H237" i="131"/>
  <c r="B237" i="131"/>
  <c r="G238" i="131"/>
  <c r="C238" i="131"/>
  <c r="H238" i="131"/>
  <c r="B238" i="131"/>
  <c r="G239" i="131"/>
  <c r="C239" i="131"/>
  <c r="H239" i="131"/>
  <c r="B239" i="131"/>
  <c r="G240" i="131"/>
  <c r="C240" i="131"/>
  <c r="H240" i="131"/>
  <c r="B240" i="131"/>
  <c r="G241" i="131"/>
  <c r="C241" i="131"/>
  <c r="H241" i="131"/>
  <c r="B241" i="131"/>
  <c r="G242" i="131"/>
  <c r="C242" i="131"/>
  <c r="H242" i="131"/>
  <c r="B242" i="131"/>
  <c r="G243" i="131"/>
  <c r="C243" i="131"/>
  <c r="H243" i="131"/>
  <c r="B243" i="131"/>
  <c r="G244" i="131"/>
  <c r="C244" i="131"/>
  <c r="H244" i="131"/>
  <c r="B244" i="131"/>
  <c r="G245" i="131"/>
  <c r="C245" i="131"/>
  <c r="H245" i="131"/>
  <c r="B245" i="131"/>
  <c r="G246" i="131"/>
  <c r="C246" i="131"/>
  <c r="H246" i="131"/>
  <c r="B246" i="131"/>
  <c r="G247" i="131"/>
  <c r="C247" i="131"/>
  <c r="H247" i="131"/>
  <c r="B247" i="131"/>
  <c r="G248" i="131"/>
  <c r="C248" i="131"/>
  <c r="H248" i="131"/>
  <c r="B248" i="131"/>
  <c r="G249" i="131"/>
  <c r="C249" i="131"/>
  <c r="H249" i="131"/>
  <c r="B249" i="131"/>
  <c r="G250" i="131"/>
  <c r="C250" i="131"/>
  <c r="H250" i="131"/>
  <c r="B250" i="131"/>
  <c r="G251" i="131"/>
  <c r="C251" i="131"/>
  <c r="H251" i="131"/>
  <c r="B251" i="131"/>
  <c r="G252" i="131"/>
  <c r="C252" i="131"/>
  <c r="H252" i="131"/>
  <c r="B252" i="131"/>
  <c r="G253" i="131"/>
  <c r="C253" i="131"/>
  <c r="H253" i="131"/>
  <c r="B253" i="131"/>
  <c r="G254" i="131"/>
  <c r="C254" i="131"/>
  <c r="H254" i="131"/>
  <c r="B254" i="131"/>
  <c r="G255" i="131"/>
  <c r="C255" i="131"/>
  <c r="H255" i="131"/>
  <c r="B255" i="131"/>
  <c r="G256" i="131"/>
  <c r="C256" i="131"/>
  <c r="H256" i="131"/>
  <c r="B256" i="131"/>
  <c r="G257" i="131"/>
  <c r="C257" i="131"/>
  <c r="H257" i="131"/>
  <c r="B257" i="131"/>
  <c r="G258" i="131"/>
  <c r="C258" i="131"/>
  <c r="H258" i="131"/>
  <c r="B258" i="131"/>
  <c r="G259" i="131"/>
  <c r="C259" i="131"/>
  <c r="H259" i="131"/>
  <c r="B259" i="131"/>
  <c r="G260" i="131"/>
  <c r="C260" i="131"/>
  <c r="H260" i="131"/>
  <c r="B260" i="131"/>
  <c r="G261" i="131"/>
  <c r="C261" i="131"/>
  <c r="H261" i="131"/>
  <c r="B261" i="131"/>
  <c r="G262" i="131"/>
  <c r="C262" i="131"/>
  <c r="H262" i="131"/>
  <c r="B262" i="131"/>
  <c r="G263" i="131"/>
  <c r="C263" i="131"/>
  <c r="H263" i="131"/>
  <c r="B263" i="131"/>
  <c r="G264" i="131"/>
  <c r="C264" i="131"/>
  <c r="H264" i="131"/>
  <c r="B264" i="131"/>
  <c r="H21" i="130"/>
  <c r="M265" i="131"/>
  <c r="B5" i="130"/>
  <c r="B17" i="130"/>
  <c r="C17" i="130"/>
  <c r="D17" i="130"/>
  <c r="G17" i="130"/>
  <c r="H17" i="130"/>
  <c r="M2" i="131"/>
  <c r="B19" i="130"/>
  <c r="B18" i="130"/>
  <c r="C18" i="130"/>
  <c r="D18" i="130"/>
  <c r="G18" i="130"/>
  <c r="H18" i="130"/>
  <c r="M3" i="131"/>
  <c r="M4" i="131"/>
  <c r="M5" i="131"/>
  <c r="M6" i="131"/>
  <c r="M7" i="131"/>
  <c r="M8" i="131"/>
  <c r="M9" i="131"/>
  <c r="M10" i="131"/>
  <c r="M11" i="131"/>
  <c r="M12" i="131"/>
  <c r="M13" i="131"/>
  <c r="M14" i="131"/>
  <c r="M15" i="131"/>
  <c r="M16" i="131"/>
  <c r="M17" i="131"/>
  <c r="M18" i="131"/>
  <c r="M19" i="131"/>
  <c r="M20" i="131"/>
  <c r="M21" i="131"/>
  <c r="M22" i="131"/>
  <c r="M23" i="131"/>
  <c r="M24" i="131"/>
  <c r="M25" i="131"/>
  <c r="M26" i="131"/>
  <c r="M27" i="131"/>
  <c r="M28" i="131"/>
  <c r="M29" i="131"/>
  <c r="M30" i="131"/>
  <c r="M31" i="131"/>
  <c r="M32" i="131"/>
  <c r="M33" i="131"/>
  <c r="M34" i="131"/>
  <c r="M35" i="131"/>
  <c r="M36" i="131"/>
  <c r="M37" i="131"/>
  <c r="M38" i="131"/>
  <c r="M39" i="131"/>
  <c r="M40" i="131"/>
  <c r="M41" i="131"/>
  <c r="M42" i="131"/>
  <c r="M43" i="131"/>
  <c r="M44" i="131"/>
  <c r="M45" i="131"/>
  <c r="M46" i="131"/>
  <c r="M47" i="131"/>
  <c r="M48" i="131"/>
  <c r="M49" i="131"/>
  <c r="M50" i="131"/>
  <c r="M51" i="131"/>
  <c r="M52" i="131"/>
  <c r="M53" i="131"/>
  <c r="M54" i="131"/>
  <c r="M55" i="131"/>
  <c r="M56" i="131"/>
  <c r="M57" i="131"/>
  <c r="M58" i="131"/>
  <c r="M59" i="131"/>
  <c r="M60" i="131"/>
  <c r="M61" i="131"/>
  <c r="M62" i="131"/>
  <c r="M63" i="131"/>
  <c r="M64" i="131"/>
  <c r="M65" i="131"/>
  <c r="M66" i="131"/>
  <c r="M67" i="131"/>
  <c r="M68" i="131"/>
  <c r="M69" i="131"/>
  <c r="M70" i="131"/>
  <c r="M71" i="131"/>
  <c r="M72" i="131"/>
  <c r="M73" i="131"/>
  <c r="M74" i="131"/>
  <c r="M75" i="131"/>
  <c r="M76" i="131"/>
  <c r="M77" i="131"/>
  <c r="M78" i="131"/>
  <c r="M79" i="131"/>
  <c r="M80" i="131"/>
  <c r="M81" i="131"/>
  <c r="M82" i="131"/>
  <c r="M83" i="131"/>
  <c r="M84" i="131"/>
  <c r="M85" i="131"/>
  <c r="M86" i="131"/>
  <c r="M87" i="131"/>
  <c r="M88" i="131"/>
  <c r="M89" i="131"/>
  <c r="M90" i="131"/>
  <c r="M91" i="131"/>
  <c r="M92" i="131"/>
  <c r="M93" i="131"/>
  <c r="M94" i="131"/>
  <c r="M95" i="131"/>
  <c r="M96" i="131"/>
  <c r="M97" i="131"/>
  <c r="M98" i="131"/>
  <c r="M99" i="131"/>
  <c r="M100" i="131"/>
  <c r="M101" i="131"/>
  <c r="M102" i="131"/>
  <c r="M103" i="131"/>
  <c r="M104" i="131"/>
  <c r="M105" i="131"/>
  <c r="M106" i="131"/>
  <c r="M107" i="131"/>
  <c r="M108" i="131"/>
  <c r="M109" i="131"/>
  <c r="M110" i="131"/>
  <c r="M111" i="131"/>
  <c r="M112" i="131"/>
  <c r="M113" i="131"/>
  <c r="M114" i="131"/>
  <c r="M115" i="131"/>
  <c r="M116" i="131"/>
  <c r="M117" i="131"/>
  <c r="M118" i="131"/>
  <c r="M119" i="131"/>
  <c r="M120" i="131"/>
  <c r="M121" i="131"/>
  <c r="M122" i="131"/>
  <c r="M123" i="131"/>
  <c r="M124" i="131"/>
  <c r="M125" i="131"/>
  <c r="M126" i="131"/>
  <c r="M127" i="131"/>
  <c r="M128" i="131"/>
  <c r="M129" i="131"/>
  <c r="M130" i="131"/>
  <c r="M131" i="131"/>
  <c r="M132" i="131"/>
  <c r="M133" i="131"/>
  <c r="M134" i="131"/>
  <c r="M135" i="131"/>
  <c r="M136" i="131"/>
  <c r="M137" i="131"/>
  <c r="C19" i="130"/>
  <c r="D19" i="130"/>
  <c r="G19" i="130"/>
  <c r="H19" i="130"/>
  <c r="M138" i="131"/>
  <c r="C22" i="130"/>
  <c r="D22" i="130"/>
  <c r="G22" i="130"/>
  <c r="H22" i="130"/>
  <c r="M139" i="131"/>
  <c r="M140" i="131"/>
  <c r="M141" i="131"/>
  <c r="M142" i="131"/>
  <c r="M143" i="131"/>
  <c r="M144" i="131"/>
  <c r="M145" i="131"/>
  <c r="M146" i="131"/>
  <c r="M147" i="131"/>
  <c r="M148" i="131"/>
  <c r="M149" i="131"/>
  <c r="M150" i="131"/>
  <c r="M151" i="131"/>
  <c r="M152" i="131"/>
  <c r="M153" i="131"/>
  <c r="M154" i="131"/>
  <c r="M155" i="131"/>
  <c r="M156" i="131"/>
  <c r="M157" i="131"/>
  <c r="M158" i="131"/>
  <c r="M159" i="131"/>
  <c r="M160" i="131"/>
  <c r="M161" i="131"/>
  <c r="M162" i="131"/>
  <c r="M163" i="131"/>
  <c r="M164" i="131"/>
  <c r="M165" i="131"/>
  <c r="M166" i="131"/>
  <c r="M167" i="131"/>
  <c r="M168" i="131"/>
  <c r="M169" i="131"/>
  <c r="M170" i="131"/>
  <c r="M171" i="131"/>
  <c r="M172" i="131"/>
  <c r="M173" i="131"/>
  <c r="M174" i="131"/>
  <c r="M175" i="131"/>
  <c r="M176" i="131"/>
  <c r="M177" i="131"/>
  <c r="M178" i="131"/>
  <c r="M179" i="131"/>
  <c r="M180" i="131"/>
  <c r="M181" i="131"/>
  <c r="M182" i="131"/>
  <c r="M183" i="131"/>
  <c r="M184" i="131"/>
  <c r="M185" i="131"/>
  <c r="M186" i="131"/>
  <c r="M187" i="131"/>
  <c r="M188" i="131"/>
  <c r="M189" i="131"/>
  <c r="M190" i="131"/>
  <c r="M191" i="131"/>
  <c r="M192" i="131"/>
  <c r="M193" i="131"/>
  <c r="M194" i="131"/>
  <c r="M195" i="131"/>
  <c r="M196" i="131"/>
  <c r="M197" i="131"/>
  <c r="M198" i="131"/>
  <c r="M199" i="131"/>
  <c r="M200" i="131"/>
  <c r="M201" i="131"/>
  <c r="M202" i="131"/>
  <c r="M203" i="131"/>
  <c r="M204" i="131"/>
  <c r="M205" i="131"/>
  <c r="M206" i="131"/>
  <c r="M207" i="131"/>
  <c r="M208" i="131"/>
  <c r="M209" i="131"/>
  <c r="M210" i="131"/>
  <c r="M211" i="131"/>
  <c r="M212" i="131"/>
  <c r="M213" i="131"/>
  <c r="M214" i="131"/>
  <c r="M215" i="131"/>
  <c r="M216" i="131"/>
  <c r="M217" i="131"/>
  <c r="M218" i="131"/>
  <c r="M219" i="131"/>
  <c r="M220" i="131"/>
  <c r="M221" i="131"/>
  <c r="M222" i="131"/>
  <c r="M223" i="131"/>
  <c r="M224" i="131"/>
  <c r="M225" i="131"/>
  <c r="M226" i="131"/>
  <c r="M227" i="131"/>
  <c r="M228" i="131"/>
  <c r="M229" i="131"/>
  <c r="M230" i="131"/>
  <c r="M231" i="131"/>
  <c r="M232" i="131"/>
  <c r="M233" i="131"/>
  <c r="M234" i="131"/>
  <c r="M235" i="131"/>
  <c r="M236" i="131"/>
  <c r="M237" i="131"/>
  <c r="M238" i="131"/>
  <c r="M239" i="131"/>
  <c r="M240" i="131"/>
  <c r="M241" i="131"/>
  <c r="M242" i="131"/>
  <c r="M243" i="131"/>
  <c r="M244" i="131"/>
  <c r="M245" i="131"/>
  <c r="M246" i="131"/>
  <c r="M247" i="131"/>
  <c r="M248" i="131"/>
  <c r="M249" i="131"/>
  <c r="M250" i="131"/>
  <c r="M251" i="131"/>
  <c r="M252" i="131"/>
  <c r="M253" i="131"/>
  <c r="M254" i="131"/>
  <c r="M255" i="131"/>
  <c r="M256" i="131"/>
  <c r="M257" i="131"/>
  <c r="M258" i="131"/>
  <c r="M259" i="131"/>
  <c r="M260" i="131"/>
  <c r="M261" i="131"/>
  <c r="M262" i="131"/>
  <c r="M263" i="131"/>
  <c r="M264" i="131"/>
  <c r="N265" i="131"/>
  <c r="L265" i="131"/>
  <c r="K265" i="131"/>
  <c r="J265" i="131"/>
  <c r="I265" i="131"/>
  <c r="F265" i="131"/>
  <c r="A265" i="131"/>
  <c r="T264" i="131"/>
  <c r="S264" i="131"/>
  <c r="R264" i="131"/>
  <c r="Q264" i="131"/>
  <c r="P264" i="131"/>
  <c r="O264" i="131"/>
  <c r="N264" i="131"/>
  <c r="L264" i="131"/>
  <c r="K264" i="131"/>
  <c r="J264" i="131"/>
  <c r="I264" i="131"/>
  <c r="F264" i="131"/>
  <c r="A264" i="131"/>
  <c r="T263" i="131"/>
  <c r="S263" i="131"/>
  <c r="R263" i="131"/>
  <c r="Q263" i="131"/>
  <c r="P263" i="131"/>
  <c r="O263" i="131"/>
  <c r="N263" i="131"/>
  <c r="L263" i="131"/>
  <c r="K263" i="131"/>
  <c r="J263" i="131"/>
  <c r="I263" i="131"/>
  <c r="F263" i="131"/>
  <c r="A263" i="131"/>
  <c r="T262" i="131"/>
  <c r="S262" i="131"/>
  <c r="R262" i="131"/>
  <c r="Q262" i="131"/>
  <c r="P262" i="131"/>
  <c r="O262" i="131"/>
  <c r="N262" i="131"/>
  <c r="L262" i="131"/>
  <c r="K262" i="131"/>
  <c r="J262" i="131"/>
  <c r="I262" i="131"/>
  <c r="F262" i="131"/>
  <c r="A262" i="131"/>
  <c r="T261" i="131"/>
  <c r="S261" i="131"/>
  <c r="R261" i="131"/>
  <c r="Q261" i="131"/>
  <c r="P261" i="131"/>
  <c r="O261" i="131"/>
  <c r="N261" i="131"/>
  <c r="L261" i="131"/>
  <c r="K261" i="131"/>
  <c r="J261" i="131"/>
  <c r="I261" i="131"/>
  <c r="F261" i="131"/>
  <c r="A261" i="131"/>
  <c r="T260" i="131"/>
  <c r="S260" i="131"/>
  <c r="R260" i="131"/>
  <c r="Q260" i="131"/>
  <c r="P260" i="131"/>
  <c r="O260" i="131"/>
  <c r="N260" i="131"/>
  <c r="L260" i="131"/>
  <c r="K260" i="131"/>
  <c r="J260" i="131"/>
  <c r="I260" i="131"/>
  <c r="F260" i="131"/>
  <c r="A260" i="131"/>
  <c r="T259" i="131"/>
  <c r="S259" i="131"/>
  <c r="R259" i="131"/>
  <c r="Q259" i="131"/>
  <c r="P259" i="131"/>
  <c r="O259" i="131"/>
  <c r="N259" i="131"/>
  <c r="L259" i="131"/>
  <c r="K259" i="131"/>
  <c r="J259" i="131"/>
  <c r="I259" i="131"/>
  <c r="F259" i="131"/>
  <c r="A259" i="131"/>
  <c r="T258" i="131"/>
  <c r="S258" i="131"/>
  <c r="R258" i="131"/>
  <c r="Q258" i="131"/>
  <c r="P258" i="131"/>
  <c r="O258" i="131"/>
  <c r="N258" i="131"/>
  <c r="L258" i="131"/>
  <c r="K258" i="131"/>
  <c r="J258" i="131"/>
  <c r="I258" i="131"/>
  <c r="F258" i="131"/>
  <c r="A258" i="131"/>
  <c r="T257" i="131"/>
  <c r="S257" i="131"/>
  <c r="R257" i="131"/>
  <c r="Q257" i="131"/>
  <c r="P257" i="131"/>
  <c r="O257" i="131"/>
  <c r="N257" i="131"/>
  <c r="L257" i="131"/>
  <c r="K257" i="131"/>
  <c r="J257" i="131"/>
  <c r="I257" i="131"/>
  <c r="F257" i="131"/>
  <c r="A257" i="131"/>
  <c r="T256" i="131"/>
  <c r="S256" i="131"/>
  <c r="R256" i="131"/>
  <c r="Q256" i="131"/>
  <c r="P256" i="131"/>
  <c r="O256" i="131"/>
  <c r="N256" i="131"/>
  <c r="L256" i="131"/>
  <c r="K256" i="131"/>
  <c r="J256" i="131"/>
  <c r="I256" i="131"/>
  <c r="F256" i="131"/>
  <c r="A256" i="131"/>
  <c r="T255" i="131"/>
  <c r="S255" i="131"/>
  <c r="R255" i="131"/>
  <c r="Q255" i="131"/>
  <c r="P255" i="131"/>
  <c r="O255" i="131"/>
  <c r="N255" i="131"/>
  <c r="L255" i="131"/>
  <c r="K255" i="131"/>
  <c r="J255" i="131"/>
  <c r="I255" i="131"/>
  <c r="F255" i="131"/>
  <c r="A255" i="131"/>
  <c r="T254" i="131"/>
  <c r="S254" i="131"/>
  <c r="R254" i="131"/>
  <c r="Q254" i="131"/>
  <c r="P254" i="131"/>
  <c r="O254" i="131"/>
  <c r="N254" i="131"/>
  <c r="L254" i="131"/>
  <c r="K254" i="131"/>
  <c r="J254" i="131"/>
  <c r="I254" i="131"/>
  <c r="F254" i="131"/>
  <c r="A254" i="131"/>
  <c r="T253" i="131"/>
  <c r="S253" i="131"/>
  <c r="R253" i="131"/>
  <c r="Q253" i="131"/>
  <c r="P253" i="131"/>
  <c r="O253" i="131"/>
  <c r="N253" i="131"/>
  <c r="L253" i="131"/>
  <c r="K253" i="131"/>
  <c r="J253" i="131"/>
  <c r="I253" i="131"/>
  <c r="F253" i="131"/>
  <c r="A253" i="131"/>
  <c r="T252" i="131"/>
  <c r="S252" i="131"/>
  <c r="R252" i="131"/>
  <c r="Q252" i="131"/>
  <c r="P252" i="131"/>
  <c r="O252" i="131"/>
  <c r="N252" i="131"/>
  <c r="L252" i="131"/>
  <c r="K252" i="131"/>
  <c r="J252" i="131"/>
  <c r="I252" i="131"/>
  <c r="F252" i="131"/>
  <c r="A252" i="131"/>
  <c r="T251" i="131"/>
  <c r="S251" i="131"/>
  <c r="R251" i="131"/>
  <c r="Q251" i="131"/>
  <c r="P251" i="131"/>
  <c r="O251" i="131"/>
  <c r="N251" i="131"/>
  <c r="L251" i="131"/>
  <c r="K251" i="131"/>
  <c r="J251" i="131"/>
  <c r="I251" i="131"/>
  <c r="F251" i="131"/>
  <c r="A251" i="131"/>
  <c r="T250" i="131"/>
  <c r="S250" i="131"/>
  <c r="R250" i="131"/>
  <c r="Q250" i="131"/>
  <c r="P250" i="131"/>
  <c r="O250" i="131"/>
  <c r="N250" i="131"/>
  <c r="L250" i="131"/>
  <c r="K250" i="131"/>
  <c r="J250" i="131"/>
  <c r="I250" i="131"/>
  <c r="F250" i="131"/>
  <c r="A250" i="131"/>
  <c r="T249" i="131"/>
  <c r="S249" i="131"/>
  <c r="R249" i="131"/>
  <c r="Q249" i="131"/>
  <c r="P249" i="131"/>
  <c r="O249" i="131"/>
  <c r="N249" i="131"/>
  <c r="L249" i="131"/>
  <c r="K249" i="131"/>
  <c r="J249" i="131"/>
  <c r="I249" i="131"/>
  <c r="F249" i="131"/>
  <c r="A249" i="131"/>
  <c r="T248" i="131"/>
  <c r="S248" i="131"/>
  <c r="R248" i="131"/>
  <c r="Q248" i="131"/>
  <c r="P248" i="131"/>
  <c r="O248" i="131"/>
  <c r="N248" i="131"/>
  <c r="L248" i="131"/>
  <c r="K248" i="131"/>
  <c r="J248" i="131"/>
  <c r="I248" i="131"/>
  <c r="F248" i="131"/>
  <c r="A248" i="131"/>
  <c r="T247" i="131"/>
  <c r="S247" i="131"/>
  <c r="R247" i="131"/>
  <c r="Q247" i="131"/>
  <c r="P247" i="131"/>
  <c r="O247" i="131"/>
  <c r="N247" i="131"/>
  <c r="L247" i="131"/>
  <c r="K247" i="131"/>
  <c r="J247" i="131"/>
  <c r="I247" i="131"/>
  <c r="F247" i="131"/>
  <c r="A247" i="131"/>
  <c r="T246" i="131"/>
  <c r="S246" i="131"/>
  <c r="R246" i="131"/>
  <c r="Q246" i="131"/>
  <c r="P246" i="131"/>
  <c r="O246" i="131"/>
  <c r="N246" i="131"/>
  <c r="L246" i="131"/>
  <c r="K246" i="131"/>
  <c r="J246" i="131"/>
  <c r="I246" i="131"/>
  <c r="F246" i="131"/>
  <c r="A246" i="131"/>
  <c r="T245" i="131"/>
  <c r="S245" i="131"/>
  <c r="R245" i="131"/>
  <c r="Q245" i="131"/>
  <c r="P245" i="131"/>
  <c r="O245" i="131"/>
  <c r="N245" i="131"/>
  <c r="L245" i="131"/>
  <c r="K245" i="131"/>
  <c r="J245" i="131"/>
  <c r="I245" i="131"/>
  <c r="F245" i="131"/>
  <c r="A245" i="131"/>
  <c r="T244" i="131"/>
  <c r="S244" i="131"/>
  <c r="R244" i="131"/>
  <c r="Q244" i="131"/>
  <c r="P244" i="131"/>
  <c r="O244" i="131"/>
  <c r="N244" i="131"/>
  <c r="L244" i="131"/>
  <c r="K244" i="131"/>
  <c r="J244" i="131"/>
  <c r="I244" i="131"/>
  <c r="F244" i="131"/>
  <c r="A244" i="131"/>
  <c r="T243" i="131"/>
  <c r="S243" i="131"/>
  <c r="R243" i="131"/>
  <c r="Q243" i="131"/>
  <c r="P243" i="131"/>
  <c r="O243" i="131"/>
  <c r="N243" i="131"/>
  <c r="L243" i="131"/>
  <c r="K243" i="131"/>
  <c r="J243" i="131"/>
  <c r="I243" i="131"/>
  <c r="F243" i="131"/>
  <c r="A243" i="131"/>
  <c r="T242" i="131"/>
  <c r="S242" i="131"/>
  <c r="R242" i="131"/>
  <c r="Q242" i="131"/>
  <c r="P242" i="131"/>
  <c r="O242" i="131"/>
  <c r="N242" i="131"/>
  <c r="L242" i="131"/>
  <c r="K242" i="131"/>
  <c r="J242" i="131"/>
  <c r="I242" i="131"/>
  <c r="F242" i="131"/>
  <c r="A242" i="131"/>
  <c r="T241" i="131"/>
  <c r="S241" i="131"/>
  <c r="R241" i="131"/>
  <c r="Q241" i="131"/>
  <c r="P241" i="131"/>
  <c r="O241" i="131"/>
  <c r="N241" i="131"/>
  <c r="L241" i="131"/>
  <c r="K241" i="131"/>
  <c r="J241" i="131"/>
  <c r="I241" i="131"/>
  <c r="F241" i="131"/>
  <c r="A241" i="131"/>
  <c r="T240" i="131"/>
  <c r="S240" i="131"/>
  <c r="R240" i="131"/>
  <c r="Q240" i="131"/>
  <c r="P240" i="131"/>
  <c r="O240" i="131"/>
  <c r="N240" i="131"/>
  <c r="L240" i="131"/>
  <c r="K240" i="131"/>
  <c r="J240" i="131"/>
  <c r="I240" i="131"/>
  <c r="F240" i="131"/>
  <c r="A240" i="131"/>
  <c r="T239" i="131"/>
  <c r="S239" i="131"/>
  <c r="R239" i="131"/>
  <c r="Q239" i="131"/>
  <c r="P239" i="131"/>
  <c r="O239" i="131"/>
  <c r="N239" i="131"/>
  <c r="L239" i="131"/>
  <c r="K239" i="131"/>
  <c r="J239" i="131"/>
  <c r="I239" i="131"/>
  <c r="F239" i="131"/>
  <c r="A239" i="131"/>
  <c r="T238" i="131"/>
  <c r="S238" i="131"/>
  <c r="R238" i="131"/>
  <c r="Q238" i="131"/>
  <c r="P238" i="131"/>
  <c r="O238" i="131"/>
  <c r="N238" i="131"/>
  <c r="L238" i="131"/>
  <c r="K238" i="131"/>
  <c r="J238" i="131"/>
  <c r="I238" i="131"/>
  <c r="F238" i="131"/>
  <c r="A238" i="131"/>
  <c r="T237" i="131"/>
  <c r="S237" i="131"/>
  <c r="R237" i="131"/>
  <c r="Q237" i="131"/>
  <c r="P237" i="131"/>
  <c r="O237" i="131"/>
  <c r="N237" i="131"/>
  <c r="L237" i="131"/>
  <c r="K237" i="131"/>
  <c r="J237" i="131"/>
  <c r="I237" i="131"/>
  <c r="F237" i="131"/>
  <c r="A237" i="131"/>
  <c r="T236" i="131"/>
  <c r="S236" i="131"/>
  <c r="R236" i="131"/>
  <c r="Q236" i="131"/>
  <c r="P236" i="131"/>
  <c r="O236" i="131"/>
  <c r="N236" i="131"/>
  <c r="L236" i="131"/>
  <c r="K236" i="131"/>
  <c r="J236" i="131"/>
  <c r="I236" i="131"/>
  <c r="F236" i="131"/>
  <c r="A236" i="131"/>
  <c r="T235" i="131"/>
  <c r="S235" i="131"/>
  <c r="R235" i="131"/>
  <c r="Q235" i="131"/>
  <c r="P235" i="131"/>
  <c r="O235" i="131"/>
  <c r="N235" i="131"/>
  <c r="L235" i="131"/>
  <c r="K235" i="131"/>
  <c r="J235" i="131"/>
  <c r="I235" i="131"/>
  <c r="F235" i="131"/>
  <c r="A235" i="131"/>
  <c r="T234" i="131"/>
  <c r="S234" i="131"/>
  <c r="R234" i="131"/>
  <c r="Q234" i="131"/>
  <c r="P234" i="131"/>
  <c r="O234" i="131"/>
  <c r="N234" i="131"/>
  <c r="L234" i="131"/>
  <c r="K234" i="131"/>
  <c r="J234" i="131"/>
  <c r="I234" i="131"/>
  <c r="F234" i="131"/>
  <c r="A234" i="131"/>
  <c r="T233" i="131"/>
  <c r="S233" i="131"/>
  <c r="R233" i="131"/>
  <c r="Q233" i="131"/>
  <c r="P233" i="131"/>
  <c r="O233" i="131"/>
  <c r="N233" i="131"/>
  <c r="L233" i="131"/>
  <c r="K233" i="131"/>
  <c r="J233" i="131"/>
  <c r="I233" i="131"/>
  <c r="F233" i="131"/>
  <c r="A233" i="131"/>
  <c r="T232" i="131"/>
  <c r="S232" i="131"/>
  <c r="R232" i="131"/>
  <c r="Q232" i="131"/>
  <c r="P232" i="131"/>
  <c r="O232" i="131"/>
  <c r="N232" i="131"/>
  <c r="L232" i="131"/>
  <c r="K232" i="131"/>
  <c r="J232" i="131"/>
  <c r="I232" i="131"/>
  <c r="F232" i="131"/>
  <c r="A232" i="131"/>
  <c r="T231" i="131"/>
  <c r="S231" i="131"/>
  <c r="R231" i="131"/>
  <c r="Q231" i="131"/>
  <c r="P231" i="131"/>
  <c r="O231" i="131"/>
  <c r="N231" i="131"/>
  <c r="L231" i="131"/>
  <c r="K231" i="131"/>
  <c r="J231" i="131"/>
  <c r="I231" i="131"/>
  <c r="F231" i="131"/>
  <c r="A231" i="131"/>
  <c r="T230" i="131"/>
  <c r="S230" i="131"/>
  <c r="R230" i="131"/>
  <c r="Q230" i="131"/>
  <c r="P230" i="131"/>
  <c r="O230" i="131"/>
  <c r="N230" i="131"/>
  <c r="L230" i="131"/>
  <c r="K230" i="131"/>
  <c r="J230" i="131"/>
  <c r="I230" i="131"/>
  <c r="F230" i="131"/>
  <c r="A230" i="131"/>
  <c r="T229" i="131"/>
  <c r="S229" i="131"/>
  <c r="R229" i="131"/>
  <c r="Q229" i="131"/>
  <c r="P229" i="131"/>
  <c r="O229" i="131"/>
  <c r="N229" i="131"/>
  <c r="L229" i="131"/>
  <c r="K229" i="131"/>
  <c r="J229" i="131"/>
  <c r="I229" i="131"/>
  <c r="F229" i="131"/>
  <c r="A229" i="131"/>
  <c r="T228" i="131"/>
  <c r="S228" i="131"/>
  <c r="R228" i="131"/>
  <c r="Q228" i="131"/>
  <c r="P228" i="131"/>
  <c r="O228" i="131"/>
  <c r="N228" i="131"/>
  <c r="L228" i="131"/>
  <c r="K228" i="131"/>
  <c r="J228" i="131"/>
  <c r="I228" i="131"/>
  <c r="F228" i="131"/>
  <c r="A228" i="131"/>
  <c r="T227" i="131"/>
  <c r="S227" i="131"/>
  <c r="R227" i="131"/>
  <c r="Q227" i="131"/>
  <c r="P227" i="131"/>
  <c r="O227" i="131"/>
  <c r="N227" i="131"/>
  <c r="L227" i="131"/>
  <c r="K227" i="131"/>
  <c r="J227" i="131"/>
  <c r="I227" i="131"/>
  <c r="F227" i="131"/>
  <c r="A227" i="131"/>
  <c r="T226" i="131"/>
  <c r="S226" i="131"/>
  <c r="R226" i="131"/>
  <c r="Q226" i="131"/>
  <c r="P226" i="131"/>
  <c r="O226" i="131"/>
  <c r="N226" i="131"/>
  <c r="L226" i="131"/>
  <c r="K226" i="131"/>
  <c r="J226" i="131"/>
  <c r="I226" i="131"/>
  <c r="F226" i="131"/>
  <c r="A226" i="131"/>
  <c r="T225" i="131"/>
  <c r="S225" i="131"/>
  <c r="R225" i="131"/>
  <c r="Q225" i="131"/>
  <c r="P225" i="131"/>
  <c r="O225" i="131"/>
  <c r="N225" i="131"/>
  <c r="L225" i="131"/>
  <c r="K225" i="131"/>
  <c r="J225" i="131"/>
  <c r="I225" i="131"/>
  <c r="F225" i="131"/>
  <c r="A225" i="131"/>
  <c r="T224" i="131"/>
  <c r="S224" i="131"/>
  <c r="R224" i="131"/>
  <c r="Q224" i="131"/>
  <c r="P224" i="131"/>
  <c r="O224" i="131"/>
  <c r="N224" i="131"/>
  <c r="L224" i="131"/>
  <c r="K224" i="131"/>
  <c r="J224" i="131"/>
  <c r="I224" i="131"/>
  <c r="F224" i="131"/>
  <c r="A224" i="131"/>
  <c r="T223" i="131"/>
  <c r="S223" i="131"/>
  <c r="R223" i="131"/>
  <c r="Q223" i="131"/>
  <c r="P223" i="131"/>
  <c r="O223" i="131"/>
  <c r="N223" i="131"/>
  <c r="L223" i="131"/>
  <c r="K223" i="131"/>
  <c r="J223" i="131"/>
  <c r="I223" i="131"/>
  <c r="F223" i="131"/>
  <c r="A223" i="131"/>
  <c r="T222" i="131"/>
  <c r="S222" i="131"/>
  <c r="R222" i="131"/>
  <c r="Q222" i="131"/>
  <c r="P222" i="131"/>
  <c r="O222" i="131"/>
  <c r="N222" i="131"/>
  <c r="L222" i="131"/>
  <c r="K222" i="131"/>
  <c r="J222" i="131"/>
  <c r="I222" i="131"/>
  <c r="F222" i="131"/>
  <c r="A222" i="131"/>
  <c r="T221" i="131"/>
  <c r="S221" i="131"/>
  <c r="R221" i="131"/>
  <c r="Q221" i="131"/>
  <c r="P221" i="131"/>
  <c r="O221" i="131"/>
  <c r="N221" i="131"/>
  <c r="L221" i="131"/>
  <c r="K221" i="131"/>
  <c r="J221" i="131"/>
  <c r="I221" i="131"/>
  <c r="F221" i="131"/>
  <c r="A221" i="131"/>
  <c r="T220" i="131"/>
  <c r="S220" i="131"/>
  <c r="R220" i="131"/>
  <c r="Q220" i="131"/>
  <c r="P220" i="131"/>
  <c r="O220" i="131"/>
  <c r="N220" i="131"/>
  <c r="L220" i="131"/>
  <c r="K220" i="131"/>
  <c r="J220" i="131"/>
  <c r="I220" i="131"/>
  <c r="F220" i="131"/>
  <c r="A220" i="131"/>
  <c r="T219" i="131"/>
  <c r="S219" i="131"/>
  <c r="R219" i="131"/>
  <c r="Q219" i="131"/>
  <c r="P219" i="131"/>
  <c r="O219" i="131"/>
  <c r="N219" i="131"/>
  <c r="L219" i="131"/>
  <c r="K219" i="131"/>
  <c r="J219" i="131"/>
  <c r="I219" i="131"/>
  <c r="F219" i="131"/>
  <c r="A219" i="131"/>
  <c r="T218" i="131"/>
  <c r="S218" i="131"/>
  <c r="R218" i="131"/>
  <c r="Q218" i="131"/>
  <c r="P218" i="131"/>
  <c r="O218" i="131"/>
  <c r="N218" i="131"/>
  <c r="L218" i="131"/>
  <c r="K218" i="131"/>
  <c r="J218" i="131"/>
  <c r="I218" i="131"/>
  <c r="F218" i="131"/>
  <c r="A218" i="131"/>
  <c r="T217" i="131"/>
  <c r="S217" i="131"/>
  <c r="R217" i="131"/>
  <c r="Q217" i="131"/>
  <c r="P217" i="131"/>
  <c r="O217" i="131"/>
  <c r="N217" i="131"/>
  <c r="L217" i="131"/>
  <c r="K217" i="131"/>
  <c r="J217" i="131"/>
  <c r="I217" i="131"/>
  <c r="F217" i="131"/>
  <c r="A217" i="131"/>
  <c r="T216" i="131"/>
  <c r="S216" i="131"/>
  <c r="R216" i="131"/>
  <c r="Q216" i="131"/>
  <c r="P216" i="131"/>
  <c r="O216" i="131"/>
  <c r="N216" i="131"/>
  <c r="L216" i="131"/>
  <c r="K216" i="131"/>
  <c r="J216" i="131"/>
  <c r="I216" i="131"/>
  <c r="F216" i="131"/>
  <c r="A216" i="131"/>
  <c r="T215" i="131"/>
  <c r="S215" i="131"/>
  <c r="R215" i="131"/>
  <c r="Q215" i="131"/>
  <c r="P215" i="131"/>
  <c r="O215" i="131"/>
  <c r="N215" i="131"/>
  <c r="L215" i="131"/>
  <c r="K215" i="131"/>
  <c r="J215" i="131"/>
  <c r="I215" i="131"/>
  <c r="F215" i="131"/>
  <c r="A215" i="131"/>
  <c r="T214" i="131"/>
  <c r="S214" i="131"/>
  <c r="R214" i="131"/>
  <c r="Q214" i="131"/>
  <c r="P214" i="131"/>
  <c r="O214" i="131"/>
  <c r="N214" i="131"/>
  <c r="L214" i="131"/>
  <c r="K214" i="131"/>
  <c r="J214" i="131"/>
  <c r="I214" i="131"/>
  <c r="F214" i="131"/>
  <c r="A214" i="131"/>
  <c r="T213" i="131"/>
  <c r="S213" i="131"/>
  <c r="R213" i="131"/>
  <c r="Q213" i="131"/>
  <c r="P213" i="131"/>
  <c r="O213" i="131"/>
  <c r="N213" i="131"/>
  <c r="L213" i="131"/>
  <c r="K213" i="131"/>
  <c r="J213" i="131"/>
  <c r="I213" i="131"/>
  <c r="F213" i="131"/>
  <c r="A213" i="131"/>
  <c r="T212" i="131"/>
  <c r="S212" i="131"/>
  <c r="R212" i="131"/>
  <c r="Q212" i="131"/>
  <c r="P212" i="131"/>
  <c r="O212" i="131"/>
  <c r="N212" i="131"/>
  <c r="L212" i="131"/>
  <c r="K212" i="131"/>
  <c r="J212" i="131"/>
  <c r="I212" i="131"/>
  <c r="F212" i="131"/>
  <c r="A212" i="131"/>
  <c r="T211" i="131"/>
  <c r="S211" i="131"/>
  <c r="R211" i="131"/>
  <c r="Q211" i="131"/>
  <c r="P211" i="131"/>
  <c r="O211" i="131"/>
  <c r="N211" i="131"/>
  <c r="L211" i="131"/>
  <c r="K211" i="131"/>
  <c r="J211" i="131"/>
  <c r="I211" i="131"/>
  <c r="F211" i="131"/>
  <c r="A211" i="131"/>
  <c r="T210" i="131"/>
  <c r="S210" i="131"/>
  <c r="R210" i="131"/>
  <c r="Q210" i="131"/>
  <c r="P210" i="131"/>
  <c r="O210" i="131"/>
  <c r="N210" i="131"/>
  <c r="L210" i="131"/>
  <c r="K210" i="131"/>
  <c r="J210" i="131"/>
  <c r="I210" i="131"/>
  <c r="F210" i="131"/>
  <c r="A210" i="131"/>
  <c r="T209" i="131"/>
  <c r="S209" i="131"/>
  <c r="R209" i="131"/>
  <c r="Q209" i="131"/>
  <c r="P209" i="131"/>
  <c r="O209" i="131"/>
  <c r="N209" i="131"/>
  <c r="L209" i="131"/>
  <c r="K209" i="131"/>
  <c r="J209" i="131"/>
  <c r="I209" i="131"/>
  <c r="F209" i="131"/>
  <c r="A209" i="131"/>
  <c r="T208" i="131"/>
  <c r="S208" i="131"/>
  <c r="R208" i="131"/>
  <c r="Q208" i="131"/>
  <c r="P208" i="131"/>
  <c r="O208" i="131"/>
  <c r="N208" i="131"/>
  <c r="L208" i="131"/>
  <c r="K208" i="131"/>
  <c r="J208" i="131"/>
  <c r="I208" i="131"/>
  <c r="F208" i="131"/>
  <c r="A208" i="131"/>
  <c r="T207" i="131"/>
  <c r="S207" i="131"/>
  <c r="R207" i="131"/>
  <c r="Q207" i="131"/>
  <c r="P207" i="131"/>
  <c r="O207" i="131"/>
  <c r="N207" i="131"/>
  <c r="L207" i="131"/>
  <c r="K207" i="131"/>
  <c r="J207" i="131"/>
  <c r="I207" i="131"/>
  <c r="F207" i="131"/>
  <c r="A207" i="131"/>
  <c r="T206" i="131"/>
  <c r="S206" i="131"/>
  <c r="R206" i="131"/>
  <c r="Q206" i="131"/>
  <c r="P206" i="131"/>
  <c r="O206" i="131"/>
  <c r="N206" i="131"/>
  <c r="L206" i="131"/>
  <c r="K206" i="131"/>
  <c r="J206" i="131"/>
  <c r="I206" i="131"/>
  <c r="F206" i="131"/>
  <c r="A206" i="131"/>
  <c r="T205" i="131"/>
  <c r="S205" i="131"/>
  <c r="R205" i="131"/>
  <c r="Q205" i="131"/>
  <c r="P205" i="131"/>
  <c r="O205" i="131"/>
  <c r="N205" i="131"/>
  <c r="L205" i="131"/>
  <c r="K205" i="131"/>
  <c r="J205" i="131"/>
  <c r="I205" i="131"/>
  <c r="F205" i="131"/>
  <c r="A205" i="131"/>
  <c r="T204" i="131"/>
  <c r="S204" i="131"/>
  <c r="R204" i="131"/>
  <c r="Q204" i="131"/>
  <c r="P204" i="131"/>
  <c r="O204" i="131"/>
  <c r="N204" i="131"/>
  <c r="L204" i="131"/>
  <c r="K204" i="131"/>
  <c r="J204" i="131"/>
  <c r="I204" i="131"/>
  <c r="F204" i="131"/>
  <c r="A204" i="131"/>
  <c r="T203" i="131"/>
  <c r="S203" i="131"/>
  <c r="R203" i="131"/>
  <c r="Q203" i="131"/>
  <c r="P203" i="131"/>
  <c r="O203" i="131"/>
  <c r="N203" i="131"/>
  <c r="L203" i="131"/>
  <c r="K203" i="131"/>
  <c r="J203" i="131"/>
  <c r="I203" i="131"/>
  <c r="F203" i="131"/>
  <c r="A203" i="131"/>
  <c r="T202" i="131"/>
  <c r="S202" i="131"/>
  <c r="R202" i="131"/>
  <c r="Q202" i="131"/>
  <c r="P202" i="131"/>
  <c r="O202" i="131"/>
  <c r="N202" i="131"/>
  <c r="L202" i="131"/>
  <c r="K202" i="131"/>
  <c r="J202" i="131"/>
  <c r="I202" i="131"/>
  <c r="F202" i="131"/>
  <c r="A202" i="131"/>
  <c r="T201" i="131"/>
  <c r="S201" i="131"/>
  <c r="R201" i="131"/>
  <c r="Q201" i="131"/>
  <c r="P201" i="131"/>
  <c r="O201" i="131"/>
  <c r="N201" i="131"/>
  <c r="L201" i="131"/>
  <c r="K201" i="131"/>
  <c r="J201" i="131"/>
  <c r="I201" i="131"/>
  <c r="F201" i="131"/>
  <c r="A201" i="131"/>
  <c r="T200" i="131"/>
  <c r="S200" i="131"/>
  <c r="R200" i="131"/>
  <c r="Q200" i="131"/>
  <c r="P200" i="131"/>
  <c r="O200" i="131"/>
  <c r="N200" i="131"/>
  <c r="L200" i="131"/>
  <c r="K200" i="131"/>
  <c r="J200" i="131"/>
  <c r="I200" i="131"/>
  <c r="F200" i="131"/>
  <c r="A200" i="131"/>
  <c r="T199" i="131"/>
  <c r="S199" i="131"/>
  <c r="R199" i="131"/>
  <c r="Q199" i="131"/>
  <c r="P199" i="131"/>
  <c r="O199" i="131"/>
  <c r="N199" i="131"/>
  <c r="L199" i="131"/>
  <c r="K199" i="131"/>
  <c r="J199" i="131"/>
  <c r="I199" i="131"/>
  <c r="F199" i="131"/>
  <c r="A199" i="131"/>
  <c r="T198" i="131"/>
  <c r="S198" i="131"/>
  <c r="R198" i="131"/>
  <c r="Q198" i="131"/>
  <c r="P198" i="131"/>
  <c r="O198" i="131"/>
  <c r="N198" i="131"/>
  <c r="L198" i="131"/>
  <c r="K198" i="131"/>
  <c r="J198" i="131"/>
  <c r="I198" i="131"/>
  <c r="F198" i="131"/>
  <c r="A198" i="131"/>
  <c r="T197" i="131"/>
  <c r="S197" i="131"/>
  <c r="R197" i="131"/>
  <c r="Q197" i="131"/>
  <c r="P197" i="131"/>
  <c r="O197" i="131"/>
  <c r="N197" i="131"/>
  <c r="L197" i="131"/>
  <c r="K197" i="131"/>
  <c r="J197" i="131"/>
  <c r="I197" i="131"/>
  <c r="F197" i="131"/>
  <c r="A197" i="131"/>
  <c r="T196" i="131"/>
  <c r="S196" i="131"/>
  <c r="R196" i="131"/>
  <c r="Q196" i="131"/>
  <c r="P196" i="131"/>
  <c r="O196" i="131"/>
  <c r="N196" i="131"/>
  <c r="L196" i="131"/>
  <c r="K196" i="131"/>
  <c r="J196" i="131"/>
  <c r="I196" i="131"/>
  <c r="F196" i="131"/>
  <c r="A196" i="131"/>
  <c r="T195" i="131"/>
  <c r="S195" i="131"/>
  <c r="R195" i="131"/>
  <c r="Q195" i="131"/>
  <c r="P195" i="131"/>
  <c r="O195" i="131"/>
  <c r="N195" i="131"/>
  <c r="L195" i="131"/>
  <c r="K195" i="131"/>
  <c r="J195" i="131"/>
  <c r="I195" i="131"/>
  <c r="F195" i="131"/>
  <c r="A195" i="131"/>
  <c r="T194" i="131"/>
  <c r="S194" i="131"/>
  <c r="R194" i="131"/>
  <c r="Q194" i="131"/>
  <c r="P194" i="131"/>
  <c r="O194" i="131"/>
  <c r="N194" i="131"/>
  <c r="L194" i="131"/>
  <c r="K194" i="131"/>
  <c r="J194" i="131"/>
  <c r="I194" i="131"/>
  <c r="F194" i="131"/>
  <c r="A194" i="131"/>
  <c r="T193" i="131"/>
  <c r="S193" i="131"/>
  <c r="R193" i="131"/>
  <c r="Q193" i="131"/>
  <c r="P193" i="131"/>
  <c r="O193" i="131"/>
  <c r="N193" i="131"/>
  <c r="L193" i="131"/>
  <c r="K193" i="131"/>
  <c r="J193" i="131"/>
  <c r="I193" i="131"/>
  <c r="F193" i="131"/>
  <c r="A193" i="131"/>
  <c r="T192" i="131"/>
  <c r="S192" i="131"/>
  <c r="R192" i="131"/>
  <c r="Q192" i="131"/>
  <c r="P192" i="131"/>
  <c r="O192" i="131"/>
  <c r="N192" i="131"/>
  <c r="L192" i="131"/>
  <c r="K192" i="131"/>
  <c r="J192" i="131"/>
  <c r="I192" i="131"/>
  <c r="F192" i="131"/>
  <c r="A192" i="131"/>
  <c r="T191" i="131"/>
  <c r="S191" i="131"/>
  <c r="R191" i="131"/>
  <c r="Q191" i="131"/>
  <c r="P191" i="131"/>
  <c r="O191" i="131"/>
  <c r="N191" i="131"/>
  <c r="L191" i="131"/>
  <c r="K191" i="131"/>
  <c r="J191" i="131"/>
  <c r="I191" i="131"/>
  <c r="F191" i="131"/>
  <c r="A191" i="131"/>
  <c r="T190" i="131"/>
  <c r="S190" i="131"/>
  <c r="R190" i="131"/>
  <c r="Q190" i="131"/>
  <c r="P190" i="131"/>
  <c r="O190" i="131"/>
  <c r="N190" i="131"/>
  <c r="L190" i="131"/>
  <c r="K190" i="131"/>
  <c r="J190" i="131"/>
  <c r="I190" i="131"/>
  <c r="F190" i="131"/>
  <c r="A190" i="131"/>
  <c r="T189" i="131"/>
  <c r="S189" i="131"/>
  <c r="R189" i="131"/>
  <c r="Q189" i="131"/>
  <c r="P189" i="131"/>
  <c r="O189" i="131"/>
  <c r="N189" i="131"/>
  <c r="L189" i="131"/>
  <c r="K189" i="131"/>
  <c r="J189" i="131"/>
  <c r="I189" i="131"/>
  <c r="F189" i="131"/>
  <c r="A189" i="131"/>
  <c r="T188" i="131"/>
  <c r="S188" i="131"/>
  <c r="R188" i="131"/>
  <c r="Q188" i="131"/>
  <c r="P188" i="131"/>
  <c r="O188" i="131"/>
  <c r="N188" i="131"/>
  <c r="L188" i="131"/>
  <c r="K188" i="131"/>
  <c r="J188" i="131"/>
  <c r="I188" i="131"/>
  <c r="F188" i="131"/>
  <c r="A188" i="131"/>
  <c r="T187" i="131"/>
  <c r="S187" i="131"/>
  <c r="R187" i="131"/>
  <c r="Q187" i="131"/>
  <c r="P187" i="131"/>
  <c r="O187" i="131"/>
  <c r="N187" i="131"/>
  <c r="L187" i="131"/>
  <c r="K187" i="131"/>
  <c r="J187" i="131"/>
  <c r="I187" i="131"/>
  <c r="F187" i="131"/>
  <c r="A187" i="131"/>
  <c r="T186" i="131"/>
  <c r="S186" i="131"/>
  <c r="R186" i="131"/>
  <c r="Q186" i="131"/>
  <c r="P186" i="131"/>
  <c r="O186" i="131"/>
  <c r="N186" i="131"/>
  <c r="L186" i="131"/>
  <c r="K186" i="131"/>
  <c r="J186" i="131"/>
  <c r="I186" i="131"/>
  <c r="F186" i="131"/>
  <c r="A186" i="131"/>
  <c r="T185" i="131"/>
  <c r="S185" i="131"/>
  <c r="R185" i="131"/>
  <c r="Q185" i="131"/>
  <c r="P185" i="131"/>
  <c r="O185" i="131"/>
  <c r="N185" i="131"/>
  <c r="L185" i="131"/>
  <c r="K185" i="131"/>
  <c r="J185" i="131"/>
  <c r="I185" i="131"/>
  <c r="F185" i="131"/>
  <c r="A185" i="131"/>
  <c r="T184" i="131"/>
  <c r="S184" i="131"/>
  <c r="R184" i="131"/>
  <c r="Q184" i="131"/>
  <c r="P184" i="131"/>
  <c r="O184" i="131"/>
  <c r="N184" i="131"/>
  <c r="L184" i="131"/>
  <c r="K184" i="131"/>
  <c r="J184" i="131"/>
  <c r="I184" i="131"/>
  <c r="F184" i="131"/>
  <c r="A184" i="131"/>
  <c r="T183" i="131"/>
  <c r="S183" i="131"/>
  <c r="R183" i="131"/>
  <c r="Q183" i="131"/>
  <c r="P183" i="131"/>
  <c r="O183" i="131"/>
  <c r="N183" i="131"/>
  <c r="L183" i="131"/>
  <c r="K183" i="131"/>
  <c r="J183" i="131"/>
  <c r="I183" i="131"/>
  <c r="F183" i="131"/>
  <c r="A183" i="131"/>
  <c r="T182" i="131"/>
  <c r="S182" i="131"/>
  <c r="R182" i="131"/>
  <c r="Q182" i="131"/>
  <c r="P182" i="131"/>
  <c r="O182" i="131"/>
  <c r="N182" i="131"/>
  <c r="L182" i="131"/>
  <c r="K182" i="131"/>
  <c r="J182" i="131"/>
  <c r="I182" i="131"/>
  <c r="F182" i="131"/>
  <c r="A182" i="131"/>
  <c r="T181" i="131"/>
  <c r="S181" i="131"/>
  <c r="R181" i="131"/>
  <c r="Q181" i="131"/>
  <c r="P181" i="131"/>
  <c r="O181" i="131"/>
  <c r="N181" i="131"/>
  <c r="L181" i="131"/>
  <c r="K181" i="131"/>
  <c r="J181" i="131"/>
  <c r="I181" i="131"/>
  <c r="F181" i="131"/>
  <c r="A181" i="131"/>
  <c r="T180" i="131"/>
  <c r="S180" i="131"/>
  <c r="R180" i="131"/>
  <c r="Q180" i="131"/>
  <c r="P180" i="131"/>
  <c r="O180" i="131"/>
  <c r="N180" i="131"/>
  <c r="L180" i="131"/>
  <c r="K180" i="131"/>
  <c r="J180" i="131"/>
  <c r="I180" i="131"/>
  <c r="F180" i="131"/>
  <c r="A180" i="131"/>
  <c r="T179" i="131"/>
  <c r="S179" i="131"/>
  <c r="R179" i="131"/>
  <c r="Q179" i="131"/>
  <c r="P179" i="131"/>
  <c r="O179" i="131"/>
  <c r="N179" i="131"/>
  <c r="L179" i="131"/>
  <c r="K179" i="131"/>
  <c r="J179" i="131"/>
  <c r="I179" i="131"/>
  <c r="F179" i="131"/>
  <c r="A179" i="131"/>
  <c r="T178" i="131"/>
  <c r="S178" i="131"/>
  <c r="R178" i="131"/>
  <c r="Q178" i="131"/>
  <c r="P178" i="131"/>
  <c r="O178" i="131"/>
  <c r="N178" i="131"/>
  <c r="L178" i="131"/>
  <c r="K178" i="131"/>
  <c r="J178" i="131"/>
  <c r="I178" i="131"/>
  <c r="F178" i="131"/>
  <c r="A178" i="131"/>
  <c r="T177" i="131"/>
  <c r="S177" i="131"/>
  <c r="R177" i="131"/>
  <c r="Q177" i="131"/>
  <c r="P177" i="131"/>
  <c r="O177" i="131"/>
  <c r="N177" i="131"/>
  <c r="L177" i="131"/>
  <c r="K177" i="131"/>
  <c r="J177" i="131"/>
  <c r="I177" i="131"/>
  <c r="F177" i="131"/>
  <c r="A177" i="131"/>
  <c r="T176" i="131"/>
  <c r="S176" i="131"/>
  <c r="R176" i="131"/>
  <c r="Q176" i="131"/>
  <c r="P176" i="131"/>
  <c r="O176" i="131"/>
  <c r="N176" i="131"/>
  <c r="L176" i="131"/>
  <c r="K176" i="131"/>
  <c r="J176" i="131"/>
  <c r="I176" i="131"/>
  <c r="F176" i="131"/>
  <c r="A176" i="131"/>
  <c r="T175" i="131"/>
  <c r="S175" i="131"/>
  <c r="R175" i="131"/>
  <c r="Q175" i="131"/>
  <c r="P175" i="131"/>
  <c r="O175" i="131"/>
  <c r="N175" i="131"/>
  <c r="L175" i="131"/>
  <c r="K175" i="131"/>
  <c r="J175" i="131"/>
  <c r="I175" i="131"/>
  <c r="F175" i="131"/>
  <c r="A175" i="131"/>
  <c r="T174" i="131"/>
  <c r="S174" i="131"/>
  <c r="R174" i="131"/>
  <c r="Q174" i="131"/>
  <c r="P174" i="131"/>
  <c r="O174" i="131"/>
  <c r="N174" i="131"/>
  <c r="L174" i="131"/>
  <c r="K174" i="131"/>
  <c r="J174" i="131"/>
  <c r="I174" i="131"/>
  <c r="F174" i="131"/>
  <c r="A174" i="131"/>
  <c r="T173" i="131"/>
  <c r="S173" i="131"/>
  <c r="R173" i="131"/>
  <c r="Q173" i="131"/>
  <c r="P173" i="131"/>
  <c r="O173" i="131"/>
  <c r="N173" i="131"/>
  <c r="L173" i="131"/>
  <c r="K173" i="131"/>
  <c r="J173" i="131"/>
  <c r="I173" i="131"/>
  <c r="F173" i="131"/>
  <c r="A173" i="131"/>
  <c r="T172" i="131"/>
  <c r="S172" i="131"/>
  <c r="R172" i="131"/>
  <c r="Q172" i="131"/>
  <c r="P172" i="131"/>
  <c r="O172" i="131"/>
  <c r="N172" i="131"/>
  <c r="L172" i="131"/>
  <c r="K172" i="131"/>
  <c r="J172" i="131"/>
  <c r="I172" i="131"/>
  <c r="F172" i="131"/>
  <c r="A172" i="131"/>
  <c r="T171" i="131"/>
  <c r="S171" i="131"/>
  <c r="R171" i="131"/>
  <c r="Q171" i="131"/>
  <c r="P171" i="131"/>
  <c r="O171" i="131"/>
  <c r="N171" i="131"/>
  <c r="L171" i="131"/>
  <c r="K171" i="131"/>
  <c r="J171" i="131"/>
  <c r="I171" i="131"/>
  <c r="F171" i="131"/>
  <c r="A171" i="131"/>
  <c r="T170" i="131"/>
  <c r="S170" i="131"/>
  <c r="R170" i="131"/>
  <c r="Q170" i="131"/>
  <c r="P170" i="131"/>
  <c r="O170" i="131"/>
  <c r="N170" i="131"/>
  <c r="L170" i="131"/>
  <c r="K170" i="131"/>
  <c r="J170" i="131"/>
  <c r="I170" i="131"/>
  <c r="F170" i="131"/>
  <c r="A170" i="131"/>
  <c r="T169" i="131"/>
  <c r="S169" i="131"/>
  <c r="R169" i="131"/>
  <c r="Q169" i="131"/>
  <c r="P169" i="131"/>
  <c r="O169" i="131"/>
  <c r="N169" i="131"/>
  <c r="L169" i="131"/>
  <c r="K169" i="131"/>
  <c r="J169" i="131"/>
  <c r="I169" i="131"/>
  <c r="F169" i="131"/>
  <c r="A169" i="131"/>
  <c r="T168" i="131"/>
  <c r="S168" i="131"/>
  <c r="R168" i="131"/>
  <c r="Q168" i="131"/>
  <c r="P168" i="131"/>
  <c r="O168" i="131"/>
  <c r="N168" i="131"/>
  <c r="L168" i="131"/>
  <c r="K168" i="131"/>
  <c r="J168" i="131"/>
  <c r="I168" i="131"/>
  <c r="F168" i="131"/>
  <c r="A168" i="131"/>
  <c r="T167" i="131"/>
  <c r="S167" i="131"/>
  <c r="R167" i="131"/>
  <c r="Q167" i="131"/>
  <c r="P167" i="131"/>
  <c r="O167" i="131"/>
  <c r="N167" i="131"/>
  <c r="L167" i="131"/>
  <c r="K167" i="131"/>
  <c r="J167" i="131"/>
  <c r="I167" i="131"/>
  <c r="F167" i="131"/>
  <c r="A167" i="131"/>
  <c r="T166" i="131"/>
  <c r="S166" i="131"/>
  <c r="R166" i="131"/>
  <c r="Q166" i="131"/>
  <c r="P166" i="131"/>
  <c r="O166" i="131"/>
  <c r="N166" i="131"/>
  <c r="L166" i="131"/>
  <c r="K166" i="131"/>
  <c r="J166" i="131"/>
  <c r="I166" i="131"/>
  <c r="F166" i="131"/>
  <c r="A166" i="131"/>
  <c r="T165" i="131"/>
  <c r="S165" i="131"/>
  <c r="R165" i="131"/>
  <c r="Q165" i="131"/>
  <c r="P165" i="131"/>
  <c r="O165" i="131"/>
  <c r="N165" i="131"/>
  <c r="L165" i="131"/>
  <c r="K165" i="131"/>
  <c r="J165" i="131"/>
  <c r="I165" i="131"/>
  <c r="F165" i="131"/>
  <c r="A165" i="131"/>
  <c r="T164" i="131"/>
  <c r="S164" i="131"/>
  <c r="R164" i="131"/>
  <c r="Q164" i="131"/>
  <c r="P164" i="131"/>
  <c r="O164" i="131"/>
  <c r="N164" i="131"/>
  <c r="L164" i="131"/>
  <c r="K164" i="131"/>
  <c r="J164" i="131"/>
  <c r="I164" i="131"/>
  <c r="F164" i="131"/>
  <c r="A164" i="131"/>
  <c r="T163" i="131"/>
  <c r="S163" i="131"/>
  <c r="R163" i="131"/>
  <c r="Q163" i="131"/>
  <c r="P163" i="131"/>
  <c r="O163" i="131"/>
  <c r="N163" i="131"/>
  <c r="L163" i="131"/>
  <c r="K163" i="131"/>
  <c r="J163" i="131"/>
  <c r="I163" i="131"/>
  <c r="F163" i="131"/>
  <c r="A163" i="131"/>
  <c r="T162" i="131"/>
  <c r="S162" i="131"/>
  <c r="R162" i="131"/>
  <c r="Q162" i="131"/>
  <c r="P162" i="131"/>
  <c r="O162" i="131"/>
  <c r="N162" i="131"/>
  <c r="L162" i="131"/>
  <c r="K162" i="131"/>
  <c r="J162" i="131"/>
  <c r="I162" i="131"/>
  <c r="F162" i="131"/>
  <c r="A162" i="131"/>
  <c r="T161" i="131"/>
  <c r="S161" i="131"/>
  <c r="R161" i="131"/>
  <c r="Q161" i="131"/>
  <c r="P161" i="131"/>
  <c r="O161" i="131"/>
  <c r="N161" i="131"/>
  <c r="L161" i="131"/>
  <c r="K161" i="131"/>
  <c r="J161" i="131"/>
  <c r="I161" i="131"/>
  <c r="F161" i="131"/>
  <c r="A161" i="131"/>
  <c r="T160" i="131"/>
  <c r="S160" i="131"/>
  <c r="R160" i="131"/>
  <c r="Q160" i="131"/>
  <c r="P160" i="131"/>
  <c r="O160" i="131"/>
  <c r="N160" i="131"/>
  <c r="L160" i="131"/>
  <c r="K160" i="131"/>
  <c r="J160" i="131"/>
  <c r="I160" i="131"/>
  <c r="F160" i="131"/>
  <c r="A160" i="131"/>
  <c r="T159" i="131"/>
  <c r="S159" i="131"/>
  <c r="R159" i="131"/>
  <c r="Q159" i="131"/>
  <c r="P159" i="131"/>
  <c r="O159" i="131"/>
  <c r="N159" i="131"/>
  <c r="L159" i="131"/>
  <c r="K159" i="131"/>
  <c r="J159" i="131"/>
  <c r="I159" i="131"/>
  <c r="F159" i="131"/>
  <c r="A159" i="131"/>
  <c r="T158" i="131"/>
  <c r="S158" i="131"/>
  <c r="R158" i="131"/>
  <c r="Q158" i="131"/>
  <c r="P158" i="131"/>
  <c r="O158" i="131"/>
  <c r="N158" i="131"/>
  <c r="L158" i="131"/>
  <c r="K158" i="131"/>
  <c r="J158" i="131"/>
  <c r="I158" i="131"/>
  <c r="F158" i="131"/>
  <c r="A158" i="131"/>
  <c r="T157" i="131"/>
  <c r="S157" i="131"/>
  <c r="R157" i="131"/>
  <c r="Q157" i="131"/>
  <c r="P157" i="131"/>
  <c r="O157" i="131"/>
  <c r="N157" i="131"/>
  <c r="L157" i="131"/>
  <c r="K157" i="131"/>
  <c r="J157" i="131"/>
  <c r="I157" i="131"/>
  <c r="F157" i="131"/>
  <c r="A157" i="131"/>
  <c r="T156" i="131"/>
  <c r="S156" i="131"/>
  <c r="R156" i="131"/>
  <c r="Q156" i="131"/>
  <c r="P156" i="131"/>
  <c r="O156" i="131"/>
  <c r="N156" i="131"/>
  <c r="L156" i="131"/>
  <c r="K156" i="131"/>
  <c r="J156" i="131"/>
  <c r="I156" i="131"/>
  <c r="F156" i="131"/>
  <c r="A156" i="131"/>
  <c r="T155" i="131"/>
  <c r="S155" i="131"/>
  <c r="R155" i="131"/>
  <c r="Q155" i="131"/>
  <c r="P155" i="131"/>
  <c r="O155" i="131"/>
  <c r="N155" i="131"/>
  <c r="L155" i="131"/>
  <c r="K155" i="131"/>
  <c r="J155" i="131"/>
  <c r="I155" i="131"/>
  <c r="F155" i="131"/>
  <c r="A155" i="131"/>
  <c r="T154" i="131"/>
  <c r="S154" i="131"/>
  <c r="R154" i="131"/>
  <c r="Q154" i="131"/>
  <c r="P154" i="131"/>
  <c r="O154" i="131"/>
  <c r="N154" i="131"/>
  <c r="L154" i="131"/>
  <c r="K154" i="131"/>
  <c r="J154" i="131"/>
  <c r="I154" i="131"/>
  <c r="F154" i="131"/>
  <c r="A154" i="131"/>
  <c r="T153" i="131"/>
  <c r="S153" i="131"/>
  <c r="R153" i="131"/>
  <c r="Q153" i="131"/>
  <c r="P153" i="131"/>
  <c r="O153" i="131"/>
  <c r="N153" i="131"/>
  <c r="L153" i="131"/>
  <c r="K153" i="131"/>
  <c r="J153" i="131"/>
  <c r="I153" i="131"/>
  <c r="F153" i="131"/>
  <c r="A153" i="131"/>
  <c r="T152" i="131"/>
  <c r="S152" i="131"/>
  <c r="R152" i="131"/>
  <c r="Q152" i="131"/>
  <c r="P152" i="131"/>
  <c r="O152" i="131"/>
  <c r="N152" i="131"/>
  <c r="L152" i="131"/>
  <c r="K152" i="131"/>
  <c r="J152" i="131"/>
  <c r="I152" i="131"/>
  <c r="F152" i="131"/>
  <c r="A152" i="131"/>
  <c r="T151" i="131"/>
  <c r="S151" i="131"/>
  <c r="R151" i="131"/>
  <c r="Q151" i="131"/>
  <c r="P151" i="131"/>
  <c r="O151" i="131"/>
  <c r="N151" i="131"/>
  <c r="L151" i="131"/>
  <c r="K151" i="131"/>
  <c r="J151" i="131"/>
  <c r="I151" i="131"/>
  <c r="F151" i="131"/>
  <c r="A151" i="131"/>
  <c r="T150" i="131"/>
  <c r="S150" i="131"/>
  <c r="R150" i="131"/>
  <c r="Q150" i="131"/>
  <c r="P150" i="131"/>
  <c r="O150" i="131"/>
  <c r="N150" i="131"/>
  <c r="L150" i="131"/>
  <c r="K150" i="131"/>
  <c r="J150" i="131"/>
  <c r="I150" i="131"/>
  <c r="F150" i="131"/>
  <c r="A150" i="131"/>
  <c r="T149" i="131"/>
  <c r="S149" i="131"/>
  <c r="R149" i="131"/>
  <c r="Q149" i="131"/>
  <c r="P149" i="131"/>
  <c r="O149" i="131"/>
  <c r="N149" i="131"/>
  <c r="L149" i="131"/>
  <c r="K149" i="131"/>
  <c r="J149" i="131"/>
  <c r="I149" i="131"/>
  <c r="F149" i="131"/>
  <c r="A149" i="131"/>
  <c r="T148" i="131"/>
  <c r="S148" i="131"/>
  <c r="R148" i="131"/>
  <c r="Q148" i="131"/>
  <c r="P148" i="131"/>
  <c r="O148" i="131"/>
  <c r="N148" i="131"/>
  <c r="L148" i="131"/>
  <c r="K148" i="131"/>
  <c r="J148" i="131"/>
  <c r="I148" i="131"/>
  <c r="F148" i="131"/>
  <c r="A148" i="131"/>
  <c r="T147" i="131"/>
  <c r="S147" i="131"/>
  <c r="R147" i="131"/>
  <c r="Q147" i="131"/>
  <c r="P147" i="131"/>
  <c r="O147" i="131"/>
  <c r="N147" i="131"/>
  <c r="L147" i="131"/>
  <c r="K147" i="131"/>
  <c r="J147" i="131"/>
  <c r="I147" i="131"/>
  <c r="F147" i="131"/>
  <c r="A147" i="131"/>
  <c r="T146" i="131"/>
  <c r="S146" i="131"/>
  <c r="R146" i="131"/>
  <c r="Q146" i="131"/>
  <c r="P146" i="131"/>
  <c r="O146" i="131"/>
  <c r="N146" i="131"/>
  <c r="L146" i="131"/>
  <c r="K146" i="131"/>
  <c r="J146" i="131"/>
  <c r="I146" i="131"/>
  <c r="F146" i="131"/>
  <c r="A146" i="131"/>
  <c r="T145" i="131"/>
  <c r="S145" i="131"/>
  <c r="R145" i="131"/>
  <c r="Q145" i="131"/>
  <c r="P145" i="131"/>
  <c r="O145" i="131"/>
  <c r="N145" i="131"/>
  <c r="L145" i="131"/>
  <c r="K145" i="131"/>
  <c r="J145" i="131"/>
  <c r="I145" i="131"/>
  <c r="F145" i="131"/>
  <c r="A145" i="131"/>
  <c r="T144" i="131"/>
  <c r="S144" i="131"/>
  <c r="R144" i="131"/>
  <c r="Q144" i="131"/>
  <c r="P144" i="131"/>
  <c r="O144" i="131"/>
  <c r="N144" i="131"/>
  <c r="L144" i="131"/>
  <c r="K144" i="131"/>
  <c r="J144" i="131"/>
  <c r="I144" i="131"/>
  <c r="F144" i="131"/>
  <c r="A144" i="131"/>
  <c r="T143" i="131"/>
  <c r="S143" i="131"/>
  <c r="R143" i="131"/>
  <c r="Q143" i="131"/>
  <c r="P143" i="131"/>
  <c r="O143" i="131"/>
  <c r="N143" i="131"/>
  <c r="L143" i="131"/>
  <c r="K143" i="131"/>
  <c r="J143" i="131"/>
  <c r="I143" i="131"/>
  <c r="F143" i="131"/>
  <c r="A143" i="131"/>
  <c r="T142" i="131"/>
  <c r="S142" i="131"/>
  <c r="R142" i="131"/>
  <c r="Q142" i="131"/>
  <c r="P142" i="131"/>
  <c r="O142" i="131"/>
  <c r="N142" i="131"/>
  <c r="L142" i="131"/>
  <c r="K142" i="131"/>
  <c r="J142" i="131"/>
  <c r="I142" i="131"/>
  <c r="F142" i="131"/>
  <c r="A142" i="131"/>
  <c r="T141" i="131"/>
  <c r="S141" i="131"/>
  <c r="R141" i="131"/>
  <c r="Q141" i="131"/>
  <c r="P141" i="131"/>
  <c r="O141" i="131"/>
  <c r="N141" i="131"/>
  <c r="L141" i="131"/>
  <c r="K141" i="131"/>
  <c r="J141" i="131"/>
  <c r="I141" i="131"/>
  <c r="F141" i="131"/>
  <c r="A141" i="131"/>
  <c r="T140" i="131"/>
  <c r="S140" i="131"/>
  <c r="R140" i="131"/>
  <c r="Q140" i="131"/>
  <c r="P140" i="131"/>
  <c r="O140" i="131"/>
  <c r="N140" i="131"/>
  <c r="L140" i="131"/>
  <c r="K140" i="131"/>
  <c r="J140" i="131"/>
  <c r="I140" i="131"/>
  <c r="F140" i="131"/>
  <c r="A140" i="131"/>
  <c r="T139" i="131"/>
  <c r="S139" i="131"/>
  <c r="R139" i="131"/>
  <c r="Q139" i="131"/>
  <c r="P139" i="131"/>
  <c r="O139" i="131"/>
  <c r="N139" i="131"/>
  <c r="L139" i="131"/>
  <c r="K139" i="131"/>
  <c r="J139" i="131"/>
  <c r="I139" i="131"/>
  <c r="F139" i="131"/>
  <c r="A139" i="131"/>
  <c r="T138" i="131"/>
  <c r="S138" i="131"/>
  <c r="R138" i="131"/>
  <c r="Q138" i="131"/>
  <c r="P138" i="131"/>
  <c r="O138" i="131"/>
  <c r="N138" i="131"/>
  <c r="L138" i="131"/>
  <c r="K138" i="131"/>
  <c r="J138" i="131"/>
  <c r="I138" i="131"/>
  <c r="F138" i="131"/>
  <c r="A138" i="131"/>
  <c r="T137" i="131"/>
  <c r="S137" i="131"/>
  <c r="R137" i="131"/>
  <c r="Q137" i="131"/>
  <c r="P137" i="131"/>
  <c r="O137" i="131"/>
  <c r="N137" i="131"/>
  <c r="L137" i="131"/>
  <c r="K137" i="131"/>
  <c r="J137" i="131"/>
  <c r="I137" i="131"/>
  <c r="F137" i="131"/>
  <c r="A137" i="131"/>
  <c r="T136" i="131"/>
  <c r="S136" i="131"/>
  <c r="R136" i="131"/>
  <c r="Q136" i="131"/>
  <c r="P136" i="131"/>
  <c r="O136" i="131"/>
  <c r="N136" i="131"/>
  <c r="L136" i="131"/>
  <c r="K136" i="131"/>
  <c r="J136" i="131"/>
  <c r="I136" i="131"/>
  <c r="F136" i="131"/>
  <c r="A136" i="131"/>
  <c r="T135" i="131"/>
  <c r="S135" i="131"/>
  <c r="R135" i="131"/>
  <c r="Q135" i="131"/>
  <c r="P135" i="131"/>
  <c r="O135" i="131"/>
  <c r="N135" i="131"/>
  <c r="L135" i="131"/>
  <c r="K135" i="131"/>
  <c r="J135" i="131"/>
  <c r="I135" i="131"/>
  <c r="F135" i="131"/>
  <c r="A135" i="131"/>
  <c r="T134" i="131"/>
  <c r="S134" i="131"/>
  <c r="R134" i="131"/>
  <c r="Q134" i="131"/>
  <c r="P134" i="131"/>
  <c r="O134" i="131"/>
  <c r="N134" i="131"/>
  <c r="L134" i="131"/>
  <c r="K134" i="131"/>
  <c r="J134" i="131"/>
  <c r="I134" i="131"/>
  <c r="F134" i="131"/>
  <c r="A134" i="131"/>
  <c r="T133" i="131"/>
  <c r="S133" i="131"/>
  <c r="R133" i="131"/>
  <c r="Q133" i="131"/>
  <c r="P133" i="131"/>
  <c r="O133" i="131"/>
  <c r="N133" i="131"/>
  <c r="L133" i="131"/>
  <c r="K133" i="131"/>
  <c r="J133" i="131"/>
  <c r="I133" i="131"/>
  <c r="F133" i="131"/>
  <c r="A133" i="131"/>
  <c r="T132" i="131"/>
  <c r="S132" i="131"/>
  <c r="R132" i="131"/>
  <c r="Q132" i="131"/>
  <c r="P132" i="131"/>
  <c r="O132" i="131"/>
  <c r="N132" i="131"/>
  <c r="L132" i="131"/>
  <c r="K132" i="131"/>
  <c r="J132" i="131"/>
  <c r="I132" i="131"/>
  <c r="F132" i="131"/>
  <c r="A132" i="131"/>
  <c r="T131" i="131"/>
  <c r="S131" i="131"/>
  <c r="R131" i="131"/>
  <c r="Q131" i="131"/>
  <c r="P131" i="131"/>
  <c r="O131" i="131"/>
  <c r="N131" i="131"/>
  <c r="L131" i="131"/>
  <c r="K131" i="131"/>
  <c r="J131" i="131"/>
  <c r="I131" i="131"/>
  <c r="F131" i="131"/>
  <c r="A131" i="131"/>
  <c r="T130" i="131"/>
  <c r="S130" i="131"/>
  <c r="R130" i="131"/>
  <c r="Q130" i="131"/>
  <c r="P130" i="131"/>
  <c r="O130" i="131"/>
  <c r="N130" i="131"/>
  <c r="L130" i="131"/>
  <c r="K130" i="131"/>
  <c r="J130" i="131"/>
  <c r="I130" i="131"/>
  <c r="F130" i="131"/>
  <c r="A130" i="131"/>
  <c r="T129" i="131"/>
  <c r="S129" i="131"/>
  <c r="R129" i="131"/>
  <c r="Q129" i="131"/>
  <c r="P129" i="131"/>
  <c r="O129" i="131"/>
  <c r="N129" i="131"/>
  <c r="L129" i="131"/>
  <c r="K129" i="131"/>
  <c r="J129" i="131"/>
  <c r="I129" i="131"/>
  <c r="F129" i="131"/>
  <c r="A129" i="131"/>
  <c r="T128" i="131"/>
  <c r="S128" i="131"/>
  <c r="R128" i="131"/>
  <c r="Q128" i="131"/>
  <c r="P128" i="131"/>
  <c r="O128" i="131"/>
  <c r="N128" i="131"/>
  <c r="L128" i="131"/>
  <c r="K128" i="131"/>
  <c r="J128" i="131"/>
  <c r="I128" i="131"/>
  <c r="F128" i="131"/>
  <c r="A128" i="131"/>
  <c r="T127" i="131"/>
  <c r="S127" i="131"/>
  <c r="R127" i="131"/>
  <c r="Q127" i="131"/>
  <c r="P127" i="131"/>
  <c r="O127" i="131"/>
  <c r="N127" i="131"/>
  <c r="L127" i="131"/>
  <c r="K127" i="131"/>
  <c r="J127" i="131"/>
  <c r="I127" i="131"/>
  <c r="F127" i="131"/>
  <c r="A127" i="131"/>
  <c r="T126" i="131"/>
  <c r="S126" i="131"/>
  <c r="R126" i="131"/>
  <c r="Q126" i="131"/>
  <c r="P126" i="131"/>
  <c r="O126" i="131"/>
  <c r="N126" i="131"/>
  <c r="L126" i="131"/>
  <c r="K126" i="131"/>
  <c r="J126" i="131"/>
  <c r="I126" i="131"/>
  <c r="F126" i="131"/>
  <c r="A126" i="131"/>
  <c r="T125" i="131"/>
  <c r="S125" i="131"/>
  <c r="R125" i="131"/>
  <c r="Q125" i="131"/>
  <c r="P125" i="131"/>
  <c r="O125" i="131"/>
  <c r="N125" i="131"/>
  <c r="L125" i="131"/>
  <c r="K125" i="131"/>
  <c r="J125" i="131"/>
  <c r="I125" i="131"/>
  <c r="F125" i="131"/>
  <c r="A125" i="131"/>
  <c r="T124" i="131"/>
  <c r="S124" i="131"/>
  <c r="R124" i="131"/>
  <c r="Q124" i="131"/>
  <c r="P124" i="131"/>
  <c r="O124" i="131"/>
  <c r="N124" i="131"/>
  <c r="L124" i="131"/>
  <c r="K124" i="131"/>
  <c r="J124" i="131"/>
  <c r="I124" i="131"/>
  <c r="F124" i="131"/>
  <c r="A124" i="131"/>
  <c r="T123" i="131"/>
  <c r="S123" i="131"/>
  <c r="R123" i="131"/>
  <c r="Q123" i="131"/>
  <c r="P123" i="131"/>
  <c r="O123" i="131"/>
  <c r="N123" i="131"/>
  <c r="L123" i="131"/>
  <c r="K123" i="131"/>
  <c r="J123" i="131"/>
  <c r="I123" i="131"/>
  <c r="F123" i="131"/>
  <c r="A123" i="131"/>
  <c r="T122" i="131"/>
  <c r="S122" i="131"/>
  <c r="R122" i="131"/>
  <c r="Q122" i="131"/>
  <c r="P122" i="131"/>
  <c r="O122" i="131"/>
  <c r="N122" i="131"/>
  <c r="L122" i="131"/>
  <c r="K122" i="131"/>
  <c r="J122" i="131"/>
  <c r="I122" i="131"/>
  <c r="F122" i="131"/>
  <c r="A122" i="131"/>
  <c r="T121" i="131"/>
  <c r="S121" i="131"/>
  <c r="R121" i="131"/>
  <c r="Q121" i="131"/>
  <c r="P121" i="131"/>
  <c r="O121" i="131"/>
  <c r="N121" i="131"/>
  <c r="L121" i="131"/>
  <c r="K121" i="131"/>
  <c r="J121" i="131"/>
  <c r="I121" i="131"/>
  <c r="F121" i="131"/>
  <c r="A121" i="131"/>
  <c r="T120" i="131"/>
  <c r="S120" i="131"/>
  <c r="R120" i="131"/>
  <c r="Q120" i="131"/>
  <c r="P120" i="131"/>
  <c r="O120" i="131"/>
  <c r="N120" i="131"/>
  <c r="L120" i="131"/>
  <c r="K120" i="131"/>
  <c r="J120" i="131"/>
  <c r="I120" i="131"/>
  <c r="F120" i="131"/>
  <c r="A120" i="131"/>
  <c r="T119" i="131"/>
  <c r="S119" i="131"/>
  <c r="R119" i="131"/>
  <c r="Q119" i="131"/>
  <c r="P119" i="131"/>
  <c r="O119" i="131"/>
  <c r="N119" i="131"/>
  <c r="L119" i="131"/>
  <c r="K119" i="131"/>
  <c r="J119" i="131"/>
  <c r="I119" i="131"/>
  <c r="F119" i="131"/>
  <c r="A119" i="131"/>
  <c r="T118" i="131"/>
  <c r="S118" i="131"/>
  <c r="R118" i="131"/>
  <c r="Q118" i="131"/>
  <c r="P118" i="131"/>
  <c r="O118" i="131"/>
  <c r="N118" i="131"/>
  <c r="L118" i="131"/>
  <c r="K118" i="131"/>
  <c r="J118" i="131"/>
  <c r="I118" i="131"/>
  <c r="F118" i="131"/>
  <c r="A118" i="131"/>
  <c r="T117" i="131"/>
  <c r="S117" i="131"/>
  <c r="R117" i="131"/>
  <c r="Q117" i="131"/>
  <c r="P117" i="131"/>
  <c r="O117" i="131"/>
  <c r="N117" i="131"/>
  <c r="L117" i="131"/>
  <c r="K117" i="131"/>
  <c r="J117" i="131"/>
  <c r="I117" i="131"/>
  <c r="F117" i="131"/>
  <c r="A117" i="131"/>
  <c r="T116" i="131"/>
  <c r="S116" i="131"/>
  <c r="R116" i="131"/>
  <c r="Q116" i="131"/>
  <c r="P116" i="131"/>
  <c r="O116" i="131"/>
  <c r="N116" i="131"/>
  <c r="L116" i="131"/>
  <c r="K116" i="131"/>
  <c r="J116" i="131"/>
  <c r="I116" i="131"/>
  <c r="F116" i="131"/>
  <c r="A116" i="131"/>
  <c r="T115" i="131"/>
  <c r="S115" i="131"/>
  <c r="R115" i="131"/>
  <c r="Q115" i="131"/>
  <c r="P115" i="131"/>
  <c r="O115" i="131"/>
  <c r="N115" i="131"/>
  <c r="L115" i="131"/>
  <c r="K115" i="131"/>
  <c r="J115" i="131"/>
  <c r="I115" i="131"/>
  <c r="F115" i="131"/>
  <c r="A115" i="131"/>
  <c r="T114" i="131"/>
  <c r="S114" i="131"/>
  <c r="R114" i="131"/>
  <c r="Q114" i="131"/>
  <c r="P114" i="131"/>
  <c r="O114" i="131"/>
  <c r="N114" i="131"/>
  <c r="L114" i="131"/>
  <c r="K114" i="131"/>
  <c r="J114" i="131"/>
  <c r="I114" i="131"/>
  <c r="F114" i="131"/>
  <c r="A114" i="131"/>
  <c r="T113" i="131"/>
  <c r="S113" i="131"/>
  <c r="R113" i="131"/>
  <c r="Q113" i="131"/>
  <c r="P113" i="131"/>
  <c r="O113" i="131"/>
  <c r="N113" i="131"/>
  <c r="L113" i="131"/>
  <c r="K113" i="131"/>
  <c r="J113" i="131"/>
  <c r="I113" i="131"/>
  <c r="F113" i="131"/>
  <c r="A113" i="131"/>
  <c r="T112" i="131"/>
  <c r="S112" i="131"/>
  <c r="R112" i="131"/>
  <c r="Q112" i="131"/>
  <c r="P112" i="131"/>
  <c r="O112" i="131"/>
  <c r="N112" i="131"/>
  <c r="L112" i="131"/>
  <c r="K112" i="131"/>
  <c r="J112" i="131"/>
  <c r="I112" i="131"/>
  <c r="F112" i="131"/>
  <c r="A112" i="131"/>
  <c r="T111" i="131"/>
  <c r="S111" i="131"/>
  <c r="R111" i="131"/>
  <c r="Q111" i="131"/>
  <c r="P111" i="131"/>
  <c r="O111" i="131"/>
  <c r="N111" i="131"/>
  <c r="L111" i="131"/>
  <c r="K111" i="131"/>
  <c r="J111" i="131"/>
  <c r="I111" i="131"/>
  <c r="F111" i="131"/>
  <c r="A111" i="131"/>
  <c r="T110" i="131"/>
  <c r="S110" i="131"/>
  <c r="R110" i="131"/>
  <c r="Q110" i="131"/>
  <c r="P110" i="131"/>
  <c r="O110" i="131"/>
  <c r="N110" i="131"/>
  <c r="L110" i="131"/>
  <c r="K110" i="131"/>
  <c r="J110" i="131"/>
  <c r="I110" i="131"/>
  <c r="F110" i="131"/>
  <c r="A110" i="131"/>
  <c r="T109" i="131"/>
  <c r="S109" i="131"/>
  <c r="R109" i="131"/>
  <c r="Q109" i="131"/>
  <c r="P109" i="131"/>
  <c r="O109" i="131"/>
  <c r="N109" i="131"/>
  <c r="L109" i="131"/>
  <c r="K109" i="131"/>
  <c r="J109" i="131"/>
  <c r="I109" i="131"/>
  <c r="F109" i="131"/>
  <c r="A109" i="131"/>
  <c r="T108" i="131"/>
  <c r="S108" i="131"/>
  <c r="R108" i="131"/>
  <c r="Q108" i="131"/>
  <c r="P108" i="131"/>
  <c r="O108" i="131"/>
  <c r="N108" i="131"/>
  <c r="L108" i="131"/>
  <c r="K108" i="131"/>
  <c r="J108" i="131"/>
  <c r="I108" i="131"/>
  <c r="F108" i="131"/>
  <c r="A108" i="131"/>
  <c r="T107" i="131"/>
  <c r="S107" i="131"/>
  <c r="R107" i="131"/>
  <c r="Q107" i="131"/>
  <c r="P107" i="131"/>
  <c r="O107" i="131"/>
  <c r="N107" i="131"/>
  <c r="L107" i="131"/>
  <c r="K107" i="131"/>
  <c r="J107" i="131"/>
  <c r="I107" i="131"/>
  <c r="F107" i="131"/>
  <c r="A107" i="131"/>
  <c r="T106" i="131"/>
  <c r="S106" i="131"/>
  <c r="R106" i="131"/>
  <c r="Q106" i="131"/>
  <c r="P106" i="131"/>
  <c r="O106" i="131"/>
  <c r="N106" i="131"/>
  <c r="L106" i="131"/>
  <c r="K106" i="131"/>
  <c r="J106" i="131"/>
  <c r="I106" i="131"/>
  <c r="F106" i="131"/>
  <c r="A106" i="131"/>
  <c r="T105" i="131"/>
  <c r="S105" i="131"/>
  <c r="R105" i="131"/>
  <c r="Q105" i="131"/>
  <c r="P105" i="131"/>
  <c r="O105" i="131"/>
  <c r="N105" i="131"/>
  <c r="L105" i="131"/>
  <c r="K105" i="131"/>
  <c r="J105" i="131"/>
  <c r="I105" i="131"/>
  <c r="F105" i="131"/>
  <c r="A105" i="131"/>
  <c r="T104" i="131"/>
  <c r="S104" i="131"/>
  <c r="R104" i="131"/>
  <c r="Q104" i="131"/>
  <c r="P104" i="131"/>
  <c r="O104" i="131"/>
  <c r="N104" i="131"/>
  <c r="L104" i="131"/>
  <c r="K104" i="131"/>
  <c r="J104" i="131"/>
  <c r="I104" i="131"/>
  <c r="F104" i="131"/>
  <c r="A104" i="131"/>
  <c r="T103" i="131"/>
  <c r="S103" i="131"/>
  <c r="R103" i="131"/>
  <c r="Q103" i="131"/>
  <c r="P103" i="131"/>
  <c r="O103" i="131"/>
  <c r="N103" i="131"/>
  <c r="L103" i="131"/>
  <c r="K103" i="131"/>
  <c r="J103" i="131"/>
  <c r="I103" i="131"/>
  <c r="F103" i="131"/>
  <c r="A103" i="131"/>
  <c r="T102" i="131"/>
  <c r="S102" i="131"/>
  <c r="R102" i="131"/>
  <c r="Q102" i="131"/>
  <c r="P102" i="131"/>
  <c r="O102" i="131"/>
  <c r="N102" i="131"/>
  <c r="L102" i="131"/>
  <c r="K102" i="131"/>
  <c r="J102" i="131"/>
  <c r="I102" i="131"/>
  <c r="F102" i="131"/>
  <c r="A102" i="131"/>
  <c r="T101" i="131"/>
  <c r="S101" i="131"/>
  <c r="R101" i="131"/>
  <c r="Q101" i="131"/>
  <c r="P101" i="131"/>
  <c r="O101" i="131"/>
  <c r="N101" i="131"/>
  <c r="L101" i="131"/>
  <c r="K101" i="131"/>
  <c r="J101" i="131"/>
  <c r="I101" i="131"/>
  <c r="F101" i="131"/>
  <c r="A101" i="131"/>
  <c r="T100" i="131"/>
  <c r="S100" i="131"/>
  <c r="R100" i="131"/>
  <c r="Q100" i="131"/>
  <c r="P100" i="131"/>
  <c r="O100" i="131"/>
  <c r="N100" i="131"/>
  <c r="L100" i="131"/>
  <c r="K100" i="131"/>
  <c r="J100" i="131"/>
  <c r="I100" i="131"/>
  <c r="F100" i="131"/>
  <c r="A100" i="131"/>
  <c r="T99" i="131"/>
  <c r="S99" i="131"/>
  <c r="R99" i="131"/>
  <c r="Q99" i="131"/>
  <c r="P99" i="131"/>
  <c r="O99" i="131"/>
  <c r="N99" i="131"/>
  <c r="L99" i="131"/>
  <c r="K99" i="131"/>
  <c r="J99" i="131"/>
  <c r="I99" i="131"/>
  <c r="F99" i="131"/>
  <c r="A99" i="131"/>
  <c r="T98" i="131"/>
  <c r="S98" i="131"/>
  <c r="R98" i="131"/>
  <c r="Q98" i="131"/>
  <c r="P98" i="131"/>
  <c r="O98" i="131"/>
  <c r="N98" i="131"/>
  <c r="L98" i="131"/>
  <c r="K98" i="131"/>
  <c r="J98" i="131"/>
  <c r="I98" i="131"/>
  <c r="F98" i="131"/>
  <c r="A98" i="131"/>
  <c r="T97" i="131"/>
  <c r="S97" i="131"/>
  <c r="R97" i="131"/>
  <c r="Q97" i="131"/>
  <c r="P97" i="131"/>
  <c r="O97" i="131"/>
  <c r="N97" i="131"/>
  <c r="L97" i="131"/>
  <c r="K97" i="131"/>
  <c r="J97" i="131"/>
  <c r="I97" i="131"/>
  <c r="F97" i="131"/>
  <c r="A97" i="131"/>
  <c r="T96" i="131"/>
  <c r="S96" i="131"/>
  <c r="R96" i="131"/>
  <c r="Q96" i="131"/>
  <c r="P96" i="131"/>
  <c r="O96" i="131"/>
  <c r="N96" i="131"/>
  <c r="L96" i="131"/>
  <c r="K96" i="131"/>
  <c r="J96" i="131"/>
  <c r="I96" i="131"/>
  <c r="F96" i="131"/>
  <c r="A96" i="131"/>
  <c r="T95" i="131"/>
  <c r="S95" i="131"/>
  <c r="R95" i="131"/>
  <c r="Q95" i="131"/>
  <c r="P95" i="131"/>
  <c r="O95" i="131"/>
  <c r="N95" i="131"/>
  <c r="L95" i="131"/>
  <c r="K95" i="131"/>
  <c r="J95" i="131"/>
  <c r="I95" i="131"/>
  <c r="F95" i="131"/>
  <c r="A95" i="131"/>
  <c r="T94" i="131"/>
  <c r="S94" i="131"/>
  <c r="R94" i="131"/>
  <c r="Q94" i="131"/>
  <c r="P94" i="131"/>
  <c r="O94" i="131"/>
  <c r="N94" i="131"/>
  <c r="L94" i="131"/>
  <c r="K94" i="131"/>
  <c r="J94" i="131"/>
  <c r="I94" i="131"/>
  <c r="F94" i="131"/>
  <c r="A94" i="131"/>
  <c r="T93" i="131"/>
  <c r="S93" i="131"/>
  <c r="R93" i="131"/>
  <c r="Q93" i="131"/>
  <c r="P93" i="131"/>
  <c r="O93" i="131"/>
  <c r="N93" i="131"/>
  <c r="L93" i="131"/>
  <c r="K93" i="131"/>
  <c r="J93" i="131"/>
  <c r="I93" i="131"/>
  <c r="F93" i="131"/>
  <c r="A93" i="131"/>
  <c r="T92" i="131"/>
  <c r="S92" i="131"/>
  <c r="R92" i="131"/>
  <c r="Q92" i="131"/>
  <c r="P92" i="131"/>
  <c r="O92" i="131"/>
  <c r="N92" i="131"/>
  <c r="L92" i="131"/>
  <c r="K92" i="131"/>
  <c r="J92" i="131"/>
  <c r="I92" i="131"/>
  <c r="F92" i="131"/>
  <c r="A92" i="131"/>
  <c r="T91" i="131"/>
  <c r="S91" i="131"/>
  <c r="R91" i="131"/>
  <c r="Q91" i="131"/>
  <c r="P91" i="131"/>
  <c r="O91" i="131"/>
  <c r="N91" i="131"/>
  <c r="L91" i="131"/>
  <c r="K91" i="131"/>
  <c r="J91" i="131"/>
  <c r="I91" i="131"/>
  <c r="F91" i="131"/>
  <c r="A91" i="131"/>
  <c r="T90" i="131"/>
  <c r="S90" i="131"/>
  <c r="R90" i="131"/>
  <c r="Q90" i="131"/>
  <c r="P90" i="131"/>
  <c r="O90" i="131"/>
  <c r="N90" i="131"/>
  <c r="L90" i="131"/>
  <c r="K90" i="131"/>
  <c r="J90" i="131"/>
  <c r="I90" i="131"/>
  <c r="F90" i="131"/>
  <c r="A90" i="131"/>
  <c r="T89" i="131"/>
  <c r="S89" i="131"/>
  <c r="R89" i="131"/>
  <c r="Q89" i="131"/>
  <c r="P89" i="131"/>
  <c r="O89" i="131"/>
  <c r="N89" i="131"/>
  <c r="L89" i="131"/>
  <c r="K89" i="131"/>
  <c r="J89" i="131"/>
  <c r="I89" i="131"/>
  <c r="F89" i="131"/>
  <c r="A89" i="131"/>
  <c r="T88" i="131"/>
  <c r="S88" i="131"/>
  <c r="R88" i="131"/>
  <c r="Q88" i="131"/>
  <c r="P88" i="131"/>
  <c r="O88" i="131"/>
  <c r="N88" i="131"/>
  <c r="L88" i="131"/>
  <c r="K88" i="131"/>
  <c r="J88" i="131"/>
  <c r="I88" i="131"/>
  <c r="F88" i="131"/>
  <c r="A88" i="131"/>
  <c r="T87" i="131"/>
  <c r="S87" i="131"/>
  <c r="R87" i="131"/>
  <c r="Q87" i="131"/>
  <c r="P87" i="131"/>
  <c r="O87" i="131"/>
  <c r="N87" i="131"/>
  <c r="L87" i="131"/>
  <c r="K87" i="131"/>
  <c r="J87" i="131"/>
  <c r="I87" i="131"/>
  <c r="F87" i="131"/>
  <c r="A87" i="131"/>
  <c r="T86" i="131"/>
  <c r="S86" i="131"/>
  <c r="R86" i="131"/>
  <c r="Q86" i="131"/>
  <c r="P86" i="131"/>
  <c r="O86" i="131"/>
  <c r="N86" i="131"/>
  <c r="L86" i="131"/>
  <c r="K86" i="131"/>
  <c r="J86" i="131"/>
  <c r="I86" i="131"/>
  <c r="F86" i="131"/>
  <c r="A86" i="131"/>
  <c r="T85" i="131"/>
  <c r="S85" i="131"/>
  <c r="R85" i="131"/>
  <c r="Q85" i="131"/>
  <c r="P85" i="131"/>
  <c r="O85" i="131"/>
  <c r="N85" i="131"/>
  <c r="L85" i="131"/>
  <c r="K85" i="131"/>
  <c r="J85" i="131"/>
  <c r="I85" i="131"/>
  <c r="F85" i="131"/>
  <c r="A85" i="131"/>
  <c r="T84" i="131"/>
  <c r="S84" i="131"/>
  <c r="R84" i="131"/>
  <c r="Q84" i="131"/>
  <c r="P84" i="131"/>
  <c r="O84" i="131"/>
  <c r="N84" i="131"/>
  <c r="L84" i="131"/>
  <c r="K84" i="131"/>
  <c r="J84" i="131"/>
  <c r="I84" i="131"/>
  <c r="F84" i="131"/>
  <c r="A84" i="131"/>
  <c r="T83" i="131"/>
  <c r="S83" i="131"/>
  <c r="R83" i="131"/>
  <c r="Q83" i="131"/>
  <c r="P83" i="131"/>
  <c r="O83" i="131"/>
  <c r="N83" i="131"/>
  <c r="L83" i="131"/>
  <c r="K83" i="131"/>
  <c r="J83" i="131"/>
  <c r="I83" i="131"/>
  <c r="F83" i="131"/>
  <c r="A83" i="131"/>
  <c r="T82" i="131"/>
  <c r="S82" i="131"/>
  <c r="R82" i="131"/>
  <c r="Q82" i="131"/>
  <c r="P82" i="131"/>
  <c r="O82" i="131"/>
  <c r="N82" i="131"/>
  <c r="L82" i="131"/>
  <c r="K82" i="131"/>
  <c r="J82" i="131"/>
  <c r="I82" i="131"/>
  <c r="F82" i="131"/>
  <c r="A82" i="131"/>
  <c r="T81" i="131"/>
  <c r="S81" i="131"/>
  <c r="R81" i="131"/>
  <c r="Q81" i="131"/>
  <c r="P81" i="131"/>
  <c r="O81" i="131"/>
  <c r="N81" i="131"/>
  <c r="L81" i="131"/>
  <c r="K81" i="131"/>
  <c r="J81" i="131"/>
  <c r="I81" i="131"/>
  <c r="F81" i="131"/>
  <c r="A81" i="131"/>
  <c r="T80" i="131"/>
  <c r="S80" i="131"/>
  <c r="R80" i="131"/>
  <c r="Q80" i="131"/>
  <c r="P80" i="131"/>
  <c r="O80" i="131"/>
  <c r="N80" i="131"/>
  <c r="L80" i="131"/>
  <c r="K80" i="131"/>
  <c r="J80" i="131"/>
  <c r="I80" i="131"/>
  <c r="F80" i="131"/>
  <c r="A80" i="131"/>
  <c r="T79" i="131"/>
  <c r="S79" i="131"/>
  <c r="R79" i="131"/>
  <c r="Q79" i="131"/>
  <c r="P79" i="131"/>
  <c r="O79" i="131"/>
  <c r="N79" i="131"/>
  <c r="L79" i="131"/>
  <c r="K79" i="131"/>
  <c r="J79" i="131"/>
  <c r="I79" i="131"/>
  <c r="F79" i="131"/>
  <c r="A79" i="131"/>
  <c r="T78" i="131"/>
  <c r="S78" i="131"/>
  <c r="R78" i="131"/>
  <c r="Q78" i="131"/>
  <c r="P78" i="131"/>
  <c r="O78" i="131"/>
  <c r="N78" i="131"/>
  <c r="L78" i="131"/>
  <c r="K78" i="131"/>
  <c r="J78" i="131"/>
  <c r="I78" i="131"/>
  <c r="F78" i="131"/>
  <c r="A78" i="131"/>
  <c r="T77" i="131"/>
  <c r="S77" i="131"/>
  <c r="R77" i="131"/>
  <c r="Q77" i="131"/>
  <c r="P77" i="131"/>
  <c r="O77" i="131"/>
  <c r="N77" i="131"/>
  <c r="L77" i="131"/>
  <c r="K77" i="131"/>
  <c r="J77" i="131"/>
  <c r="I77" i="131"/>
  <c r="F77" i="131"/>
  <c r="A77" i="131"/>
  <c r="T76" i="131"/>
  <c r="S76" i="131"/>
  <c r="R76" i="131"/>
  <c r="Q76" i="131"/>
  <c r="P76" i="131"/>
  <c r="O76" i="131"/>
  <c r="N76" i="131"/>
  <c r="L76" i="131"/>
  <c r="K76" i="131"/>
  <c r="J76" i="131"/>
  <c r="I76" i="131"/>
  <c r="F76" i="131"/>
  <c r="A76" i="131"/>
  <c r="T75" i="131"/>
  <c r="S75" i="131"/>
  <c r="R75" i="131"/>
  <c r="Q75" i="131"/>
  <c r="P75" i="131"/>
  <c r="O75" i="131"/>
  <c r="N75" i="131"/>
  <c r="L75" i="131"/>
  <c r="K75" i="131"/>
  <c r="J75" i="131"/>
  <c r="I75" i="131"/>
  <c r="F75" i="131"/>
  <c r="A75" i="131"/>
  <c r="T74" i="131"/>
  <c r="S74" i="131"/>
  <c r="R74" i="131"/>
  <c r="Q74" i="131"/>
  <c r="P74" i="131"/>
  <c r="O74" i="131"/>
  <c r="N74" i="131"/>
  <c r="L74" i="131"/>
  <c r="K74" i="131"/>
  <c r="J74" i="131"/>
  <c r="I74" i="131"/>
  <c r="F74" i="131"/>
  <c r="A74" i="131"/>
  <c r="T73" i="131"/>
  <c r="S73" i="131"/>
  <c r="R73" i="131"/>
  <c r="Q73" i="131"/>
  <c r="P73" i="131"/>
  <c r="O73" i="131"/>
  <c r="N73" i="131"/>
  <c r="L73" i="131"/>
  <c r="K73" i="131"/>
  <c r="J73" i="131"/>
  <c r="I73" i="131"/>
  <c r="F73" i="131"/>
  <c r="A73" i="131"/>
  <c r="T72" i="131"/>
  <c r="S72" i="131"/>
  <c r="R72" i="131"/>
  <c r="Q72" i="131"/>
  <c r="P72" i="131"/>
  <c r="O72" i="131"/>
  <c r="N72" i="131"/>
  <c r="L72" i="131"/>
  <c r="K72" i="131"/>
  <c r="J72" i="131"/>
  <c r="I72" i="131"/>
  <c r="F72" i="131"/>
  <c r="A72" i="131"/>
  <c r="T71" i="131"/>
  <c r="S71" i="131"/>
  <c r="R71" i="131"/>
  <c r="Q71" i="131"/>
  <c r="P71" i="131"/>
  <c r="O71" i="131"/>
  <c r="N71" i="131"/>
  <c r="L71" i="131"/>
  <c r="K71" i="131"/>
  <c r="J71" i="131"/>
  <c r="I71" i="131"/>
  <c r="F71" i="131"/>
  <c r="A71" i="131"/>
  <c r="T70" i="131"/>
  <c r="S70" i="131"/>
  <c r="R70" i="131"/>
  <c r="Q70" i="131"/>
  <c r="P70" i="131"/>
  <c r="O70" i="131"/>
  <c r="N70" i="131"/>
  <c r="L70" i="131"/>
  <c r="K70" i="131"/>
  <c r="J70" i="131"/>
  <c r="I70" i="131"/>
  <c r="F70" i="131"/>
  <c r="A70" i="131"/>
  <c r="T69" i="131"/>
  <c r="S69" i="131"/>
  <c r="R69" i="131"/>
  <c r="Q69" i="131"/>
  <c r="P69" i="131"/>
  <c r="O69" i="131"/>
  <c r="N69" i="131"/>
  <c r="L69" i="131"/>
  <c r="K69" i="131"/>
  <c r="J69" i="131"/>
  <c r="I69" i="131"/>
  <c r="F69" i="131"/>
  <c r="A69" i="131"/>
  <c r="T68" i="131"/>
  <c r="S68" i="131"/>
  <c r="R68" i="131"/>
  <c r="Q68" i="131"/>
  <c r="P68" i="131"/>
  <c r="O68" i="131"/>
  <c r="N68" i="131"/>
  <c r="L68" i="131"/>
  <c r="K68" i="131"/>
  <c r="J68" i="131"/>
  <c r="I68" i="131"/>
  <c r="F68" i="131"/>
  <c r="A68" i="131"/>
  <c r="T67" i="131"/>
  <c r="S67" i="131"/>
  <c r="R67" i="131"/>
  <c r="Q67" i="131"/>
  <c r="P67" i="131"/>
  <c r="O67" i="131"/>
  <c r="N67" i="131"/>
  <c r="L67" i="131"/>
  <c r="K67" i="131"/>
  <c r="J67" i="131"/>
  <c r="I67" i="131"/>
  <c r="F67" i="131"/>
  <c r="A67" i="131"/>
  <c r="T66" i="131"/>
  <c r="S66" i="131"/>
  <c r="R66" i="131"/>
  <c r="Q66" i="131"/>
  <c r="P66" i="131"/>
  <c r="O66" i="131"/>
  <c r="N66" i="131"/>
  <c r="L66" i="131"/>
  <c r="K66" i="131"/>
  <c r="J66" i="131"/>
  <c r="I66" i="131"/>
  <c r="F66" i="131"/>
  <c r="A66" i="131"/>
  <c r="T65" i="131"/>
  <c r="S65" i="131"/>
  <c r="R65" i="131"/>
  <c r="Q65" i="131"/>
  <c r="P65" i="131"/>
  <c r="O65" i="131"/>
  <c r="N65" i="131"/>
  <c r="L65" i="131"/>
  <c r="K65" i="131"/>
  <c r="J65" i="131"/>
  <c r="I65" i="131"/>
  <c r="F65" i="131"/>
  <c r="A65" i="131"/>
  <c r="T64" i="131"/>
  <c r="S64" i="131"/>
  <c r="R64" i="131"/>
  <c r="Q64" i="131"/>
  <c r="P64" i="131"/>
  <c r="O64" i="131"/>
  <c r="N64" i="131"/>
  <c r="L64" i="131"/>
  <c r="K64" i="131"/>
  <c r="J64" i="131"/>
  <c r="I64" i="131"/>
  <c r="F64" i="131"/>
  <c r="A64" i="131"/>
  <c r="T63" i="131"/>
  <c r="S63" i="131"/>
  <c r="R63" i="131"/>
  <c r="Q63" i="131"/>
  <c r="P63" i="131"/>
  <c r="O63" i="131"/>
  <c r="N63" i="131"/>
  <c r="L63" i="131"/>
  <c r="K63" i="131"/>
  <c r="J63" i="131"/>
  <c r="I63" i="131"/>
  <c r="F63" i="131"/>
  <c r="A63" i="131"/>
  <c r="T62" i="131"/>
  <c r="S62" i="131"/>
  <c r="R62" i="131"/>
  <c r="Q62" i="131"/>
  <c r="P62" i="131"/>
  <c r="O62" i="131"/>
  <c r="N62" i="131"/>
  <c r="L62" i="131"/>
  <c r="K62" i="131"/>
  <c r="J62" i="131"/>
  <c r="I62" i="131"/>
  <c r="F62" i="131"/>
  <c r="A62" i="131"/>
  <c r="T61" i="131"/>
  <c r="S61" i="131"/>
  <c r="R61" i="131"/>
  <c r="Q61" i="131"/>
  <c r="P61" i="131"/>
  <c r="O61" i="131"/>
  <c r="N61" i="131"/>
  <c r="L61" i="131"/>
  <c r="K61" i="131"/>
  <c r="J61" i="131"/>
  <c r="I61" i="131"/>
  <c r="F61" i="131"/>
  <c r="A61" i="131"/>
  <c r="T60" i="131"/>
  <c r="S60" i="131"/>
  <c r="R60" i="131"/>
  <c r="Q60" i="131"/>
  <c r="P60" i="131"/>
  <c r="O60" i="131"/>
  <c r="N60" i="131"/>
  <c r="L60" i="131"/>
  <c r="K60" i="131"/>
  <c r="J60" i="131"/>
  <c r="I60" i="131"/>
  <c r="F60" i="131"/>
  <c r="A60" i="131"/>
  <c r="T59" i="131"/>
  <c r="S59" i="131"/>
  <c r="R59" i="131"/>
  <c r="Q59" i="131"/>
  <c r="P59" i="131"/>
  <c r="O59" i="131"/>
  <c r="N59" i="131"/>
  <c r="L59" i="131"/>
  <c r="K59" i="131"/>
  <c r="J59" i="131"/>
  <c r="I59" i="131"/>
  <c r="F59" i="131"/>
  <c r="A59" i="131"/>
  <c r="T58" i="131"/>
  <c r="S58" i="131"/>
  <c r="R58" i="131"/>
  <c r="Q58" i="131"/>
  <c r="P58" i="131"/>
  <c r="O58" i="131"/>
  <c r="N58" i="131"/>
  <c r="L58" i="131"/>
  <c r="K58" i="131"/>
  <c r="J58" i="131"/>
  <c r="I58" i="131"/>
  <c r="F58" i="131"/>
  <c r="A58" i="131"/>
  <c r="T57" i="131"/>
  <c r="S57" i="131"/>
  <c r="R57" i="131"/>
  <c r="Q57" i="131"/>
  <c r="P57" i="131"/>
  <c r="O57" i="131"/>
  <c r="N57" i="131"/>
  <c r="L57" i="131"/>
  <c r="K57" i="131"/>
  <c r="J57" i="131"/>
  <c r="I57" i="131"/>
  <c r="F57" i="131"/>
  <c r="A57" i="131"/>
  <c r="T56" i="131"/>
  <c r="S56" i="131"/>
  <c r="R56" i="131"/>
  <c r="Q56" i="131"/>
  <c r="P56" i="131"/>
  <c r="O56" i="131"/>
  <c r="N56" i="131"/>
  <c r="L56" i="131"/>
  <c r="K56" i="131"/>
  <c r="J56" i="131"/>
  <c r="I56" i="131"/>
  <c r="F56" i="131"/>
  <c r="A56" i="131"/>
  <c r="T55" i="131"/>
  <c r="S55" i="131"/>
  <c r="R55" i="131"/>
  <c r="Q55" i="131"/>
  <c r="P55" i="131"/>
  <c r="O55" i="131"/>
  <c r="N55" i="131"/>
  <c r="L55" i="131"/>
  <c r="K55" i="131"/>
  <c r="J55" i="131"/>
  <c r="I55" i="131"/>
  <c r="F55" i="131"/>
  <c r="A55" i="131"/>
  <c r="T54" i="131"/>
  <c r="S54" i="131"/>
  <c r="R54" i="131"/>
  <c r="Q54" i="131"/>
  <c r="P54" i="131"/>
  <c r="O54" i="131"/>
  <c r="N54" i="131"/>
  <c r="L54" i="131"/>
  <c r="K54" i="131"/>
  <c r="J54" i="131"/>
  <c r="I54" i="131"/>
  <c r="F54" i="131"/>
  <c r="A54" i="131"/>
  <c r="T53" i="131"/>
  <c r="S53" i="131"/>
  <c r="R53" i="131"/>
  <c r="Q53" i="131"/>
  <c r="P53" i="131"/>
  <c r="O53" i="131"/>
  <c r="N53" i="131"/>
  <c r="L53" i="131"/>
  <c r="K53" i="131"/>
  <c r="J53" i="131"/>
  <c r="I53" i="131"/>
  <c r="F53" i="131"/>
  <c r="A53" i="131"/>
  <c r="T52" i="131"/>
  <c r="S52" i="131"/>
  <c r="R52" i="131"/>
  <c r="Q52" i="131"/>
  <c r="P52" i="131"/>
  <c r="O52" i="131"/>
  <c r="N52" i="131"/>
  <c r="L52" i="131"/>
  <c r="K52" i="131"/>
  <c r="J52" i="131"/>
  <c r="I52" i="131"/>
  <c r="F52" i="131"/>
  <c r="A52" i="131"/>
  <c r="T51" i="131"/>
  <c r="S51" i="131"/>
  <c r="R51" i="131"/>
  <c r="Q51" i="131"/>
  <c r="P51" i="131"/>
  <c r="O51" i="131"/>
  <c r="N51" i="131"/>
  <c r="L51" i="131"/>
  <c r="K51" i="131"/>
  <c r="J51" i="131"/>
  <c r="I51" i="131"/>
  <c r="F51" i="131"/>
  <c r="A51" i="131"/>
  <c r="T50" i="131"/>
  <c r="S50" i="131"/>
  <c r="R50" i="131"/>
  <c r="Q50" i="131"/>
  <c r="P50" i="131"/>
  <c r="O50" i="131"/>
  <c r="N50" i="131"/>
  <c r="L50" i="131"/>
  <c r="K50" i="131"/>
  <c r="J50" i="131"/>
  <c r="I50" i="131"/>
  <c r="F50" i="131"/>
  <c r="A50" i="131"/>
  <c r="T49" i="131"/>
  <c r="S49" i="131"/>
  <c r="R49" i="131"/>
  <c r="Q49" i="131"/>
  <c r="P49" i="131"/>
  <c r="O49" i="131"/>
  <c r="N49" i="131"/>
  <c r="L49" i="131"/>
  <c r="K49" i="131"/>
  <c r="J49" i="131"/>
  <c r="I49" i="131"/>
  <c r="F49" i="131"/>
  <c r="A49" i="131"/>
  <c r="T48" i="131"/>
  <c r="S48" i="131"/>
  <c r="R48" i="131"/>
  <c r="Q48" i="131"/>
  <c r="P48" i="131"/>
  <c r="O48" i="131"/>
  <c r="N48" i="131"/>
  <c r="L48" i="131"/>
  <c r="K48" i="131"/>
  <c r="J48" i="131"/>
  <c r="I48" i="131"/>
  <c r="F48" i="131"/>
  <c r="A48" i="131"/>
  <c r="T47" i="131"/>
  <c r="S47" i="131"/>
  <c r="R47" i="131"/>
  <c r="Q47" i="131"/>
  <c r="P47" i="131"/>
  <c r="O47" i="131"/>
  <c r="N47" i="131"/>
  <c r="L47" i="131"/>
  <c r="K47" i="131"/>
  <c r="J47" i="131"/>
  <c r="I47" i="131"/>
  <c r="F47" i="131"/>
  <c r="A47" i="131"/>
  <c r="T46" i="131"/>
  <c r="S46" i="131"/>
  <c r="R46" i="131"/>
  <c r="Q46" i="131"/>
  <c r="P46" i="131"/>
  <c r="O46" i="131"/>
  <c r="N46" i="131"/>
  <c r="L46" i="131"/>
  <c r="K46" i="131"/>
  <c r="J46" i="131"/>
  <c r="I46" i="131"/>
  <c r="F46" i="131"/>
  <c r="A46" i="131"/>
  <c r="T45" i="131"/>
  <c r="S45" i="131"/>
  <c r="R45" i="131"/>
  <c r="Q45" i="131"/>
  <c r="P45" i="131"/>
  <c r="O45" i="131"/>
  <c r="N45" i="131"/>
  <c r="L45" i="131"/>
  <c r="K45" i="131"/>
  <c r="J45" i="131"/>
  <c r="I45" i="131"/>
  <c r="F45" i="131"/>
  <c r="A45" i="131"/>
  <c r="T44" i="131"/>
  <c r="S44" i="131"/>
  <c r="R44" i="131"/>
  <c r="Q44" i="131"/>
  <c r="P44" i="131"/>
  <c r="O44" i="131"/>
  <c r="N44" i="131"/>
  <c r="L44" i="131"/>
  <c r="K44" i="131"/>
  <c r="J44" i="131"/>
  <c r="I44" i="131"/>
  <c r="F44" i="131"/>
  <c r="A44" i="131"/>
  <c r="T43" i="131"/>
  <c r="S43" i="131"/>
  <c r="R43" i="131"/>
  <c r="Q43" i="131"/>
  <c r="P43" i="131"/>
  <c r="O43" i="131"/>
  <c r="N43" i="131"/>
  <c r="L43" i="131"/>
  <c r="K43" i="131"/>
  <c r="J43" i="131"/>
  <c r="I43" i="131"/>
  <c r="F43" i="131"/>
  <c r="A43" i="131"/>
  <c r="T42" i="131"/>
  <c r="S42" i="131"/>
  <c r="R42" i="131"/>
  <c r="Q42" i="131"/>
  <c r="P42" i="131"/>
  <c r="O42" i="131"/>
  <c r="N42" i="131"/>
  <c r="L42" i="131"/>
  <c r="K42" i="131"/>
  <c r="J42" i="131"/>
  <c r="I42" i="131"/>
  <c r="F42" i="131"/>
  <c r="A42" i="131"/>
  <c r="T41" i="131"/>
  <c r="S41" i="131"/>
  <c r="R41" i="131"/>
  <c r="Q41" i="131"/>
  <c r="P41" i="131"/>
  <c r="O41" i="131"/>
  <c r="N41" i="131"/>
  <c r="L41" i="131"/>
  <c r="K41" i="131"/>
  <c r="J41" i="131"/>
  <c r="I41" i="131"/>
  <c r="F41" i="131"/>
  <c r="A41" i="131"/>
  <c r="T40" i="131"/>
  <c r="S40" i="131"/>
  <c r="R40" i="131"/>
  <c r="Q40" i="131"/>
  <c r="P40" i="131"/>
  <c r="O40" i="131"/>
  <c r="N40" i="131"/>
  <c r="L40" i="131"/>
  <c r="K40" i="131"/>
  <c r="J40" i="131"/>
  <c r="I40" i="131"/>
  <c r="F40" i="131"/>
  <c r="A40" i="131"/>
  <c r="T39" i="131"/>
  <c r="S39" i="131"/>
  <c r="R39" i="131"/>
  <c r="Q39" i="131"/>
  <c r="P39" i="131"/>
  <c r="O39" i="131"/>
  <c r="N39" i="131"/>
  <c r="L39" i="131"/>
  <c r="K39" i="131"/>
  <c r="J39" i="131"/>
  <c r="I39" i="131"/>
  <c r="F39" i="131"/>
  <c r="A39" i="131"/>
  <c r="T38" i="131"/>
  <c r="S38" i="131"/>
  <c r="R38" i="131"/>
  <c r="Q38" i="131"/>
  <c r="P38" i="131"/>
  <c r="O38" i="131"/>
  <c r="N38" i="131"/>
  <c r="L38" i="131"/>
  <c r="K38" i="131"/>
  <c r="J38" i="131"/>
  <c r="I38" i="131"/>
  <c r="F38" i="131"/>
  <c r="A38" i="131"/>
  <c r="T37" i="131"/>
  <c r="S37" i="131"/>
  <c r="R37" i="131"/>
  <c r="Q37" i="131"/>
  <c r="P37" i="131"/>
  <c r="O37" i="131"/>
  <c r="N37" i="131"/>
  <c r="L37" i="131"/>
  <c r="K37" i="131"/>
  <c r="J37" i="131"/>
  <c r="I37" i="131"/>
  <c r="F37" i="131"/>
  <c r="A37" i="131"/>
  <c r="T36" i="131"/>
  <c r="S36" i="131"/>
  <c r="R36" i="131"/>
  <c r="Q36" i="131"/>
  <c r="P36" i="131"/>
  <c r="O36" i="131"/>
  <c r="N36" i="131"/>
  <c r="L36" i="131"/>
  <c r="K36" i="131"/>
  <c r="J36" i="131"/>
  <c r="I36" i="131"/>
  <c r="F36" i="131"/>
  <c r="A36" i="131"/>
  <c r="T35" i="131"/>
  <c r="S35" i="131"/>
  <c r="R35" i="131"/>
  <c r="Q35" i="131"/>
  <c r="P35" i="131"/>
  <c r="O35" i="131"/>
  <c r="N35" i="131"/>
  <c r="L35" i="131"/>
  <c r="K35" i="131"/>
  <c r="J35" i="131"/>
  <c r="I35" i="131"/>
  <c r="F35" i="131"/>
  <c r="A35" i="131"/>
  <c r="T34" i="131"/>
  <c r="S34" i="131"/>
  <c r="R34" i="131"/>
  <c r="Q34" i="131"/>
  <c r="P34" i="131"/>
  <c r="O34" i="131"/>
  <c r="N34" i="131"/>
  <c r="L34" i="131"/>
  <c r="K34" i="131"/>
  <c r="J34" i="131"/>
  <c r="I34" i="131"/>
  <c r="F34" i="131"/>
  <c r="A34" i="131"/>
  <c r="T33" i="131"/>
  <c r="S33" i="131"/>
  <c r="R33" i="131"/>
  <c r="Q33" i="131"/>
  <c r="P33" i="131"/>
  <c r="O33" i="131"/>
  <c r="N33" i="131"/>
  <c r="L33" i="131"/>
  <c r="K33" i="131"/>
  <c r="J33" i="131"/>
  <c r="I33" i="131"/>
  <c r="F33" i="131"/>
  <c r="A33" i="131"/>
  <c r="T32" i="131"/>
  <c r="S32" i="131"/>
  <c r="R32" i="131"/>
  <c r="Q32" i="131"/>
  <c r="P32" i="131"/>
  <c r="O32" i="131"/>
  <c r="N32" i="131"/>
  <c r="L32" i="131"/>
  <c r="K32" i="131"/>
  <c r="J32" i="131"/>
  <c r="I32" i="131"/>
  <c r="F32" i="131"/>
  <c r="A32" i="131"/>
  <c r="T31" i="131"/>
  <c r="S31" i="131"/>
  <c r="R31" i="131"/>
  <c r="Q31" i="131"/>
  <c r="P31" i="131"/>
  <c r="O31" i="131"/>
  <c r="N31" i="131"/>
  <c r="L31" i="131"/>
  <c r="K31" i="131"/>
  <c r="J31" i="131"/>
  <c r="I31" i="131"/>
  <c r="F31" i="131"/>
  <c r="A31" i="131"/>
  <c r="T30" i="131"/>
  <c r="S30" i="131"/>
  <c r="R30" i="131"/>
  <c r="Q30" i="131"/>
  <c r="P30" i="131"/>
  <c r="O30" i="131"/>
  <c r="N30" i="131"/>
  <c r="L30" i="131"/>
  <c r="K30" i="131"/>
  <c r="J30" i="131"/>
  <c r="I30" i="131"/>
  <c r="F30" i="131"/>
  <c r="A30" i="131"/>
  <c r="T29" i="131"/>
  <c r="S29" i="131"/>
  <c r="R29" i="131"/>
  <c r="Q29" i="131"/>
  <c r="P29" i="131"/>
  <c r="O29" i="131"/>
  <c r="N29" i="131"/>
  <c r="L29" i="131"/>
  <c r="K29" i="131"/>
  <c r="J29" i="131"/>
  <c r="I29" i="131"/>
  <c r="F29" i="131"/>
  <c r="A29" i="131"/>
  <c r="T28" i="131"/>
  <c r="S28" i="131"/>
  <c r="R28" i="131"/>
  <c r="Q28" i="131"/>
  <c r="P28" i="131"/>
  <c r="O28" i="131"/>
  <c r="N28" i="131"/>
  <c r="L28" i="131"/>
  <c r="K28" i="131"/>
  <c r="J28" i="131"/>
  <c r="I28" i="131"/>
  <c r="F28" i="131"/>
  <c r="A28" i="131"/>
  <c r="T27" i="131"/>
  <c r="S27" i="131"/>
  <c r="R27" i="131"/>
  <c r="Q27" i="131"/>
  <c r="P27" i="131"/>
  <c r="O27" i="131"/>
  <c r="N27" i="131"/>
  <c r="L27" i="131"/>
  <c r="K27" i="131"/>
  <c r="J27" i="131"/>
  <c r="I27" i="131"/>
  <c r="F27" i="131"/>
  <c r="A27" i="131"/>
  <c r="T26" i="131"/>
  <c r="S26" i="131"/>
  <c r="R26" i="131"/>
  <c r="Q26" i="131"/>
  <c r="P26" i="131"/>
  <c r="O26" i="131"/>
  <c r="N26" i="131"/>
  <c r="L26" i="131"/>
  <c r="K26" i="131"/>
  <c r="J26" i="131"/>
  <c r="I26" i="131"/>
  <c r="F26" i="131"/>
  <c r="A26" i="131"/>
  <c r="T25" i="131"/>
  <c r="S25" i="131"/>
  <c r="R25" i="131"/>
  <c r="Q25" i="131"/>
  <c r="P25" i="131"/>
  <c r="O25" i="131"/>
  <c r="N25" i="131"/>
  <c r="L25" i="131"/>
  <c r="K25" i="131"/>
  <c r="J25" i="131"/>
  <c r="I25" i="131"/>
  <c r="F25" i="131"/>
  <c r="A25" i="131"/>
  <c r="T24" i="131"/>
  <c r="S24" i="131"/>
  <c r="R24" i="131"/>
  <c r="Q24" i="131"/>
  <c r="P24" i="131"/>
  <c r="O24" i="131"/>
  <c r="N24" i="131"/>
  <c r="L24" i="131"/>
  <c r="K24" i="131"/>
  <c r="J24" i="131"/>
  <c r="I24" i="131"/>
  <c r="F24" i="131"/>
  <c r="A24" i="131"/>
  <c r="T23" i="131"/>
  <c r="S23" i="131"/>
  <c r="R23" i="131"/>
  <c r="Q23" i="131"/>
  <c r="P23" i="131"/>
  <c r="O23" i="131"/>
  <c r="N23" i="131"/>
  <c r="L23" i="131"/>
  <c r="K23" i="131"/>
  <c r="J23" i="131"/>
  <c r="I23" i="131"/>
  <c r="F23" i="131"/>
  <c r="A23" i="131"/>
  <c r="T22" i="131"/>
  <c r="S22" i="131"/>
  <c r="R22" i="131"/>
  <c r="Q22" i="131"/>
  <c r="P22" i="131"/>
  <c r="O22" i="131"/>
  <c r="N22" i="131"/>
  <c r="L22" i="131"/>
  <c r="K22" i="131"/>
  <c r="J22" i="131"/>
  <c r="I22" i="131"/>
  <c r="F22" i="131"/>
  <c r="A22" i="131"/>
  <c r="T21" i="131"/>
  <c r="S21" i="131"/>
  <c r="R21" i="131"/>
  <c r="Q21" i="131"/>
  <c r="P21" i="131"/>
  <c r="O21" i="131"/>
  <c r="N21" i="131"/>
  <c r="L21" i="131"/>
  <c r="K21" i="131"/>
  <c r="J21" i="131"/>
  <c r="I21" i="131"/>
  <c r="F21" i="131"/>
  <c r="A21" i="131"/>
  <c r="T20" i="131"/>
  <c r="S20" i="131"/>
  <c r="R20" i="131"/>
  <c r="Q20" i="131"/>
  <c r="P20" i="131"/>
  <c r="O20" i="131"/>
  <c r="N20" i="131"/>
  <c r="L20" i="131"/>
  <c r="K20" i="131"/>
  <c r="J20" i="131"/>
  <c r="I20" i="131"/>
  <c r="F20" i="131"/>
  <c r="A20" i="131"/>
  <c r="T19" i="131"/>
  <c r="S19" i="131"/>
  <c r="R19" i="131"/>
  <c r="Q19" i="131"/>
  <c r="P19" i="131"/>
  <c r="O19" i="131"/>
  <c r="N19" i="131"/>
  <c r="L19" i="131"/>
  <c r="K19" i="131"/>
  <c r="J19" i="131"/>
  <c r="I19" i="131"/>
  <c r="F19" i="131"/>
  <c r="A19" i="131"/>
  <c r="T18" i="131"/>
  <c r="S18" i="131"/>
  <c r="R18" i="131"/>
  <c r="Q18" i="131"/>
  <c r="P18" i="131"/>
  <c r="O18" i="131"/>
  <c r="N18" i="131"/>
  <c r="L18" i="131"/>
  <c r="K18" i="131"/>
  <c r="J18" i="131"/>
  <c r="I18" i="131"/>
  <c r="F18" i="131"/>
  <c r="A18" i="131"/>
  <c r="T17" i="131"/>
  <c r="S17" i="131"/>
  <c r="R17" i="131"/>
  <c r="Q17" i="131"/>
  <c r="P17" i="131"/>
  <c r="O17" i="131"/>
  <c r="N17" i="131"/>
  <c r="L17" i="131"/>
  <c r="K17" i="131"/>
  <c r="J17" i="131"/>
  <c r="I17" i="131"/>
  <c r="F17" i="131"/>
  <c r="A17" i="131"/>
  <c r="T16" i="131"/>
  <c r="S16" i="131"/>
  <c r="R16" i="131"/>
  <c r="Q16" i="131"/>
  <c r="P16" i="131"/>
  <c r="O16" i="131"/>
  <c r="N16" i="131"/>
  <c r="L16" i="131"/>
  <c r="K16" i="131"/>
  <c r="J16" i="131"/>
  <c r="I16" i="131"/>
  <c r="F16" i="131"/>
  <c r="A16" i="131"/>
  <c r="T15" i="131"/>
  <c r="S15" i="131"/>
  <c r="R15" i="131"/>
  <c r="Q15" i="131"/>
  <c r="P15" i="131"/>
  <c r="O15" i="131"/>
  <c r="N15" i="131"/>
  <c r="L15" i="131"/>
  <c r="K15" i="131"/>
  <c r="J15" i="131"/>
  <c r="I15" i="131"/>
  <c r="F15" i="131"/>
  <c r="A15" i="131"/>
  <c r="T14" i="131"/>
  <c r="S14" i="131"/>
  <c r="R14" i="131"/>
  <c r="Q14" i="131"/>
  <c r="P14" i="131"/>
  <c r="O14" i="131"/>
  <c r="N14" i="131"/>
  <c r="L14" i="131"/>
  <c r="K14" i="131"/>
  <c r="J14" i="131"/>
  <c r="I14" i="131"/>
  <c r="F14" i="131"/>
  <c r="A14" i="131"/>
  <c r="T13" i="131"/>
  <c r="S13" i="131"/>
  <c r="R13" i="131"/>
  <c r="Q13" i="131"/>
  <c r="P13" i="131"/>
  <c r="O13" i="131"/>
  <c r="N13" i="131"/>
  <c r="L13" i="131"/>
  <c r="K13" i="131"/>
  <c r="J13" i="131"/>
  <c r="I13" i="131"/>
  <c r="F13" i="131"/>
  <c r="A13" i="131"/>
  <c r="T12" i="131"/>
  <c r="S12" i="131"/>
  <c r="R12" i="131"/>
  <c r="Q12" i="131"/>
  <c r="P12" i="131"/>
  <c r="O12" i="131"/>
  <c r="N12" i="131"/>
  <c r="L12" i="131"/>
  <c r="K12" i="131"/>
  <c r="J12" i="131"/>
  <c r="I12" i="131"/>
  <c r="F12" i="131"/>
  <c r="A12" i="131"/>
  <c r="T11" i="131"/>
  <c r="S11" i="131"/>
  <c r="R11" i="131"/>
  <c r="Q11" i="131"/>
  <c r="P11" i="131"/>
  <c r="O11" i="131"/>
  <c r="N11" i="131"/>
  <c r="L11" i="131"/>
  <c r="K11" i="131"/>
  <c r="J11" i="131"/>
  <c r="I11" i="131"/>
  <c r="F11" i="131"/>
  <c r="A11" i="131"/>
  <c r="T10" i="131"/>
  <c r="S10" i="131"/>
  <c r="R10" i="131"/>
  <c r="Q10" i="131"/>
  <c r="P10" i="131"/>
  <c r="O10" i="131"/>
  <c r="N10" i="131"/>
  <c r="L10" i="131"/>
  <c r="K10" i="131"/>
  <c r="J10" i="131"/>
  <c r="I10" i="131"/>
  <c r="F10" i="131"/>
  <c r="A10" i="131"/>
  <c r="T9" i="131"/>
  <c r="S9" i="131"/>
  <c r="R9" i="131"/>
  <c r="Q9" i="131"/>
  <c r="P9" i="131"/>
  <c r="O9" i="131"/>
  <c r="N9" i="131"/>
  <c r="L9" i="131"/>
  <c r="K9" i="131"/>
  <c r="J9" i="131"/>
  <c r="I9" i="131"/>
  <c r="F9" i="131"/>
  <c r="A9" i="131"/>
  <c r="T8" i="131"/>
  <c r="S8" i="131"/>
  <c r="R8" i="131"/>
  <c r="Q8" i="131"/>
  <c r="P8" i="131"/>
  <c r="O8" i="131"/>
  <c r="N8" i="131"/>
  <c r="L8" i="131"/>
  <c r="K8" i="131"/>
  <c r="J8" i="131"/>
  <c r="I8" i="131"/>
  <c r="F8" i="131"/>
  <c r="A8" i="131"/>
  <c r="T7" i="131"/>
  <c r="S7" i="131"/>
  <c r="R7" i="131"/>
  <c r="Q7" i="131"/>
  <c r="P7" i="131"/>
  <c r="O7" i="131"/>
  <c r="N7" i="131"/>
  <c r="L7" i="131"/>
  <c r="K7" i="131"/>
  <c r="J7" i="131"/>
  <c r="I7" i="131"/>
  <c r="F7" i="131"/>
  <c r="A7" i="131"/>
  <c r="T6" i="131"/>
  <c r="S6" i="131"/>
  <c r="R6" i="131"/>
  <c r="Q6" i="131"/>
  <c r="P6" i="131"/>
  <c r="O6" i="131"/>
  <c r="N6" i="131"/>
  <c r="L6" i="131"/>
  <c r="K6" i="131"/>
  <c r="J6" i="131"/>
  <c r="I6" i="131"/>
  <c r="F6" i="131"/>
  <c r="A6" i="131"/>
  <c r="T5" i="131"/>
  <c r="S5" i="131"/>
  <c r="R5" i="131"/>
  <c r="Q5" i="131"/>
  <c r="P5" i="131"/>
  <c r="O5" i="131"/>
  <c r="N5" i="131"/>
  <c r="L5" i="131"/>
  <c r="K5" i="131"/>
  <c r="J5" i="131"/>
  <c r="I5" i="131"/>
  <c r="F5" i="131"/>
  <c r="A5" i="131"/>
  <c r="T4" i="131"/>
  <c r="S4" i="131"/>
  <c r="R4" i="131"/>
  <c r="Q4" i="131"/>
  <c r="P4" i="131"/>
  <c r="O4" i="131"/>
  <c r="N4" i="131"/>
  <c r="L4" i="131"/>
  <c r="K4" i="131"/>
  <c r="J4" i="131"/>
  <c r="I4" i="131"/>
  <c r="F4" i="131"/>
  <c r="A4" i="131"/>
  <c r="T3" i="131"/>
  <c r="S3" i="131"/>
  <c r="R3" i="131"/>
  <c r="Q3" i="131"/>
  <c r="P3" i="131"/>
  <c r="O3" i="131"/>
  <c r="N3" i="131"/>
  <c r="L3" i="131"/>
  <c r="K3" i="131"/>
  <c r="J3" i="131"/>
  <c r="I3" i="131"/>
  <c r="F3" i="131"/>
  <c r="A3" i="131"/>
  <c r="T2" i="131"/>
  <c r="S2" i="131"/>
  <c r="R2" i="131"/>
  <c r="Q2" i="131"/>
  <c r="P2" i="131"/>
  <c r="O2" i="131"/>
  <c r="N2" i="131"/>
  <c r="L2" i="131"/>
  <c r="K2" i="131"/>
  <c r="J2" i="131"/>
  <c r="I2" i="131"/>
  <c r="F2" i="131"/>
  <c r="A2" i="131"/>
  <c r="B39" i="130"/>
  <c r="B36" i="130"/>
  <c r="B37" i="130"/>
  <c r="B38" i="130"/>
  <c r="B40" i="130"/>
  <c r="B41" i="130"/>
  <c r="B42" i="130"/>
  <c r="B43" i="130"/>
  <c r="C39" i="130"/>
  <c r="C42" i="130"/>
  <c r="F43" i="130"/>
  <c r="C38" i="130"/>
  <c r="C41" i="130"/>
  <c r="F42" i="130"/>
  <c r="C36" i="130"/>
  <c r="C37" i="130"/>
  <c r="C40" i="130"/>
  <c r="F41" i="130"/>
  <c r="F38" i="130"/>
  <c r="F37" i="130"/>
  <c r="F36" i="130"/>
  <c r="B24" i="130"/>
  <c r="C20" i="130"/>
  <c r="C23" i="130"/>
  <c r="C24" i="130"/>
  <c r="D24" i="130"/>
  <c r="D23" i="130"/>
  <c r="G23" i="130"/>
  <c r="H23" i="130"/>
  <c r="I23" i="130"/>
  <c r="J23" i="130"/>
  <c r="F23" i="130"/>
  <c r="I22" i="130"/>
  <c r="J22" i="130"/>
  <c r="F22" i="130"/>
  <c r="I21" i="130"/>
  <c r="J21" i="130"/>
  <c r="F21" i="130"/>
  <c r="D20" i="130"/>
  <c r="G20" i="130"/>
  <c r="H20" i="130"/>
  <c r="I20" i="130"/>
  <c r="J20" i="130"/>
  <c r="F20" i="130"/>
  <c r="I19" i="130"/>
  <c r="J19" i="130"/>
  <c r="F19" i="130"/>
  <c r="I18" i="130"/>
  <c r="J18" i="130"/>
  <c r="F18" i="130"/>
  <c r="I17" i="130"/>
  <c r="J17" i="130"/>
  <c r="F17" i="130"/>
  <c r="R12" i="130"/>
  <c r="M12" i="130"/>
  <c r="R11" i="130"/>
  <c r="M11" i="130"/>
  <c r="R10" i="130"/>
  <c r="M10" i="130"/>
  <c r="B10" i="130"/>
  <c r="R9" i="130"/>
  <c r="M9" i="130"/>
  <c r="R8" i="130"/>
  <c r="M8" i="130"/>
  <c r="R7" i="130"/>
  <c r="M7" i="130"/>
  <c r="R6" i="130"/>
  <c r="M6" i="130"/>
  <c r="R5" i="130"/>
  <c r="M5" i="130"/>
  <c r="R4" i="130"/>
  <c r="M4" i="130"/>
  <c r="R3" i="130"/>
  <c r="M3" i="130"/>
  <c r="T265" i="129"/>
  <c r="S265" i="129"/>
  <c r="R265" i="129"/>
  <c r="Q265" i="129"/>
  <c r="P265" i="129"/>
  <c r="O265" i="129"/>
  <c r="G265" i="129"/>
  <c r="C265" i="129"/>
  <c r="H265" i="129"/>
  <c r="B265" i="129"/>
  <c r="A2" i="128"/>
  <c r="A32" i="128"/>
  <c r="B22" i="128"/>
  <c r="B21" i="128"/>
  <c r="P3" i="128"/>
  <c r="O3" i="128"/>
  <c r="Q3" i="128"/>
  <c r="P4" i="128"/>
  <c r="O4" i="128"/>
  <c r="Q4" i="128"/>
  <c r="P5" i="128"/>
  <c r="O5" i="128"/>
  <c r="Q5" i="128"/>
  <c r="P6" i="128"/>
  <c r="O6" i="128"/>
  <c r="Q6" i="128"/>
  <c r="P7" i="128"/>
  <c r="O7" i="128"/>
  <c r="Q7" i="128"/>
  <c r="P8" i="128"/>
  <c r="O8" i="128"/>
  <c r="Q8" i="128"/>
  <c r="P9" i="128"/>
  <c r="O9" i="128"/>
  <c r="Q9" i="128"/>
  <c r="P10" i="128"/>
  <c r="O10" i="128"/>
  <c r="Q10" i="128"/>
  <c r="P11" i="128"/>
  <c r="O11" i="128"/>
  <c r="Q11" i="128"/>
  <c r="P12" i="128"/>
  <c r="O12" i="128"/>
  <c r="Q12" i="128"/>
  <c r="C21" i="128"/>
  <c r="D21" i="128"/>
  <c r="G21" i="128"/>
  <c r="G2" i="129"/>
  <c r="C2" i="129"/>
  <c r="H2" i="129"/>
  <c r="B2" i="129"/>
  <c r="G3" i="129"/>
  <c r="C3" i="129"/>
  <c r="H3" i="129"/>
  <c r="B3" i="129"/>
  <c r="G4" i="129"/>
  <c r="C4" i="129"/>
  <c r="H4" i="129"/>
  <c r="B4" i="129"/>
  <c r="G5" i="129"/>
  <c r="C5" i="129"/>
  <c r="H5" i="129"/>
  <c r="B5" i="129"/>
  <c r="G6" i="129"/>
  <c r="C6" i="129"/>
  <c r="H6" i="129"/>
  <c r="B6" i="129"/>
  <c r="G7" i="129"/>
  <c r="C7" i="129"/>
  <c r="H7" i="129"/>
  <c r="B7" i="129"/>
  <c r="G8" i="129"/>
  <c r="C8" i="129"/>
  <c r="H8" i="129"/>
  <c r="B8" i="129"/>
  <c r="G9" i="129"/>
  <c r="C9" i="129"/>
  <c r="H9" i="129"/>
  <c r="B9" i="129"/>
  <c r="G10" i="129"/>
  <c r="C10" i="129"/>
  <c r="H10" i="129"/>
  <c r="B10" i="129"/>
  <c r="G11" i="129"/>
  <c r="C11" i="129"/>
  <c r="H11" i="129"/>
  <c r="B11" i="129"/>
  <c r="G12" i="129"/>
  <c r="C12" i="129"/>
  <c r="H12" i="129"/>
  <c r="B12" i="129"/>
  <c r="G13" i="129"/>
  <c r="C13" i="129"/>
  <c r="H13" i="129"/>
  <c r="B13" i="129"/>
  <c r="G14" i="129"/>
  <c r="C14" i="129"/>
  <c r="H14" i="129"/>
  <c r="B14" i="129"/>
  <c r="G15" i="129"/>
  <c r="C15" i="129"/>
  <c r="H15" i="129"/>
  <c r="B15" i="129"/>
  <c r="G16" i="129"/>
  <c r="C16" i="129"/>
  <c r="H16" i="129"/>
  <c r="B16" i="129"/>
  <c r="G17" i="129"/>
  <c r="C17" i="129"/>
  <c r="H17" i="129"/>
  <c r="B17" i="129"/>
  <c r="G18" i="129"/>
  <c r="C18" i="129"/>
  <c r="H18" i="129"/>
  <c r="B18" i="129"/>
  <c r="G19" i="129"/>
  <c r="C19" i="129"/>
  <c r="H19" i="129"/>
  <c r="B19" i="129"/>
  <c r="G20" i="129"/>
  <c r="C20" i="129"/>
  <c r="H20" i="129"/>
  <c r="B20" i="129"/>
  <c r="G21" i="129"/>
  <c r="C21" i="129"/>
  <c r="H21" i="129"/>
  <c r="B21" i="129"/>
  <c r="G22" i="129"/>
  <c r="C22" i="129"/>
  <c r="H22" i="129"/>
  <c r="B22" i="129"/>
  <c r="G23" i="129"/>
  <c r="C23" i="129"/>
  <c r="H23" i="129"/>
  <c r="B23" i="129"/>
  <c r="G24" i="129"/>
  <c r="C24" i="129"/>
  <c r="H24" i="129"/>
  <c r="B24" i="129"/>
  <c r="G25" i="129"/>
  <c r="C25" i="129"/>
  <c r="H25" i="129"/>
  <c r="B25" i="129"/>
  <c r="G26" i="129"/>
  <c r="C26" i="129"/>
  <c r="H26" i="129"/>
  <c r="B26" i="129"/>
  <c r="G27" i="129"/>
  <c r="C27" i="129"/>
  <c r="H27" i="129"/>
  <c r="B27" i="129"/>
  <c r="G28" i="129"/>
  <c r="C28" i="129"/>
  <c r="H28" i="129"/>
  <c r="B28" i="129"/>
  <c r="G29" i="129"/>
  <c r="C29" i="129"/>
  <c r="H29" i="129"/>
  <c r="B29" i="129"/>
  <c r="G30" i="129"/>
  <c r="C30" i="129"/>
  <c r="H30" i="129"/>
  <c r="B30" i="129"/>
  <c r="G31" i="129"/>
  <c r="C31" i="129"/>
  <c r="H31" i="129"/>
  <c r="B31" i="129"/>
  <c r="G32" i="129"/>
  <c r="C32" i="129"/>
  <c r="H32" i="129"/>
  <c r="B32" i="129"/>
  <c r="G33" i="129"/>
  <c r="C33" i="129"/>
  <c r="H33" i="129"/>
  <c r="B33" i="129"/>
  <c r="G34" i="129"/>
  <c r="C34" i="129"/>
  <c r="H34" i="129"/>
  <c r="B34" i="129"/>
  <c r="G35" i="129"/>
  <c r="C35" i="129"/>
  <c r="H35" i="129"/>
  <c r="B35" i="129"/>
  <c r="G36" i="129"/>
  <c r="C36" i="129"/>
  <c r="H36" i="129"/>
  <c r="B36" i="129"/>
  <c r="G37" i="129"/>
  <c r="C37" i="129"/>
  <c r="H37" i="129"/>
  <c r="B37" i="129"/>
  <c r="G38" i="129"/>
  <c r="C38" i="129"/>
  <c r="H38" i="129"/>
  <c r="B38" i="129"/>
  <c r="G39" i="129"/>
  <c r="C39" i="129"/>
  <c r="H39" i="129"/>
  <c r="B39" i="129"/>
  <c r="G40" i="129"/>
  <c r="C40" i="129"/>
  <c r="H40" i="129"/>
  <c r="B40" i="129"/>
  <c r="G41" i="129"/>
  <c r="C41" i="129"/>
  <c r="H41" i="129"/>
  <c r="B41" i="129"/>
  <c r="G42" i="129"/>
  <c r="C42" i="129"/>
  <c r="H42" i="129"/>
  <c r="B42" i="129"/>
  <c r="G43" i="129"/>
  <c r="C43" i="129"/>
  <c r="H43" i="129"/>
  <c r="B43" i="129"/>
  <c r="G44" i="129"/>
  <c r="C44" i="129"/>
  <c r="H44" i="129"/>
  <c r="B44" i="129"/>
  <c r="G45" i="129"/>
  <c r="C45" i="129"/>
  <c r="H45" i="129"/>
  <c r="B45" i="129"/>
  <c r="G46" i="129"/>
  <c r="C46" i="129"/>
  <c r="H46" i="129"/>
  <c r="B46" i="129"/>
  <c r="G47" i="129"/>
  <c r="C47" i="129"/>
  <c r="H47" i="129"/>
  <c r="B47" i="129"/>
  <c r="G48" i="129"/>
  <c r="C48" i="129"/>
  <c r="H48" i="129"/>
  <c r="B48" i="129"/>
  <c r="G49" i="129"/>
  <c r="C49" i="129"/>
  <c r="H49" i="129"/>
  <c r="B49" i="129"/>
  <c r="G50" i="129"/>
  <c r="C50" i="129"/>
  <c r="H50" i="129"/>
  <c r="B50" i="129"/>
  <c r="G51" i="129"/>
  <c r="C51" i="129"/>
  <c r="H51" i="129"/>
  <c r="B51" i="129"/>
  <c r="G52" i="129"/>
  <c r="C52" i="129"/>
  <c r="H52" i="129"/>
  <c r="B52" i="129"/>
  <c r="G53" i="129"/>
  <c r="C53" i="129"/>
  <c r="H53" i="129"/>
  <c r="B53" i="129"/>
  <c r="G54" i="129"/>
  <c r="C54" i="129"/>
  <c r="H54" i="129"/>
  <c r="B54" i="129"/>
  <c r="G55" i="129"/>
  <c r="C55" i="129"/>
  <c r="H55" i="129"/>
  <c r="B55" i="129"/>
  <c r="G56" i="129"/>
  <c r="C56" i="129"/>
  <c r="H56" i="129"/>
  <c r="B56" i="129"/>
  <c r="G57" i="129"/>
  <c r="C57" i="129"/>
  <c r="H57" i="129"/>
  <c r="B57" i="129"/>
  <c r="G58" i="129"/>
  <c r="C58" i="129"/>
  <c r="H58" i="129"/>
  <c r="B58" i="129"/>
  <c r="G59" i="129"/>
  <c r="C59" i="129"/>
  <c r="H59" i="129"/>
  <c r="B59" i="129"/>
  <c r="G60" i="129"/>
  <c r="C60" i="129"/>
  <c r="H60" i="129"/>
  <c r="B60" i="129"/>
  <c r="G61" i="129"/>
  <c r="C61" i="129"/>
  <c r="H61" i="129"/>
  <c r="B61" i="129"/>
  <c r="G62" i="129"/>
  <c r="C62" i="129"/>
  <c r="H62" i="129"/>
  <c r="B62" i="129"/>
  <c r="G63" i="129"/>
  <c r="C63" i="129"/>
  <c r="H63" i="129"/>
  <c r="B63" i="129"/>
  <c r="G64" i="129"/>
  <c r="C64" i="129"/>
  <c r="H64" i="129"/>
  <c r="B64" i="129"/>
  <c r="G65" i="129"/>
  <c r="C65" i="129"/>
  <c r="H65" i="129"/>
  <c r="B65" i="129"/>
  <c r="G66" i="129"/>
  <c r="C66" i="129"/>
  <c r="H66" i="129"/>
  <c r="B66" i="129"/>
  <c r="G67" i="129"/>
  <c r="C67" i="129"/>
  <c r="H67" i="129"/>
  <c r="B67" i="129"/>
  <c r="G68" i="129"/>
  <c r="C68" i="129"/>
  <c r="H68" i="129"/>
  <c r="B68" i="129"/>
  <c r="G69" i="129"/>
  <c r="C69" i="129"/>
  <c r="H69" i="129"/>
  <c r="B69" i="129"/>
  <c r="G70" i="129"/>
  <c r="C70" i="129"/>
  <c r="H70" i="129"/>
  <c r="B70" i="129"/>
  <c r="G71" i="129"/>
  <c r="C71" i="129"/>
  <c r="H71" i="129"/>
  <c r="B71" i="129"/>
  <c r="G72" i="129"/>
  <c r="C72" i="129"/>
  <c r="H72" i="129"/>
  <c r="B72" i="129"/>
  <c r="G73" i="129"/>
  <c r="C73" i="129"/>
  <c r="H73" i="129"/>
  <c r="B73" i="129"/>
  <c r="G74" i="129"/>
  <c r="C74" i="129"/>
  <c r="H74" i="129"/>
  <c r="B74" i="129"/>
  <c r="G75" i="129"/>
  <c r="C75" i="129"/>
  <c r="H75" i="129"/>
  <c r="B75" i="129"/>
  <c r="G76" i="129"/>
  <c r="C76" i="129"/>
  <c r="H76" i="129"/>
  <c r="B76" i="129"/>
  <c r="G77" i="129"/>
  <c r="C77" i="129"/>
  <c r="H77" i="129"/>
  <c r="B77" i="129"/>
  <c r="G78" i="129"/>
  <c r="C78" i="129"/>
  <c r="H78" i="129"/>
  <c r="B78" i="129"/>
  <c r="G79" i="129"/>
  <c r="C79" i="129"/>
  <c r="H79" i="129"/>
  <c r="B79" i="129"/>
  <c r="G80" i="129"/>
  <c r="C80" i="129"/>
  <c r="H80" i="129"/>
  <c r="B80" i="129"/>
  <c r="G81" i="129"/>
  <c r="C81" i="129"/>
  <c r="H81" i="129"/>
  <c r="B81" i="129"/>
  <c r="G82" i="129"/>
  <c r="C82" i="129"/>
  <c r="H82" i="129"/>
  <c r="B82" i="129"/>
  <c r="G83" i="129"/>
  <c r="C83" i="129"/>
  <c r="H83" i="129"/>
  <c r="B83" i="129"/>
  <c r="G84" i="129"/>
  <c r="C84" i="129"/>
  <c r="H84" i="129"/>
  <c r="B84" i="129"/>
  <c r="G85" i="129"/>
  <c r="C85" i="129"/>
  <c r="H85" i="129"/>
  <c r="B85" i="129"/>
  <c r="G86" i="129"/>
  <c r="C86" i="129"/>
  <c r="H86" i="129"/>
  <c r="B86" i="129"/>
  <c r="G87" i="129"/>
  <c r="C87" i="129"/>
  <c r="H87" i="129"/>
  <c r="B87" i="129"/>
  <c r="G88" i="129"/>
  <c r="C88" i="129"/>
  <c r="H88" i="129"/>
  <c r="B88" i="129"/>
  <c r="G89" i="129"/>
  <c r="C89" i="129"/>
  <c r="H89" i="129"/>
  <c r="B89" i="129"/>
  <c r="G90" i="129"/>
  <c r="C90" i="129"/>
  <c r="H90" i="129"/>
  <c r="B90" i="129"/>
  <c r="G91" i="129"/>
  <c r="C91" i="129"/>
  <c r="H91" i="129"/>
  <c r="B91" i="129"/>
  <c r="G92" i="129"/>
  <c r="C92" i="129"/>
  <c r="H92" i="129"/>
  <c r="B92" i="129"/>
  <c r="G93" i="129"/>
  <c r="C93" i="129"/>
  <c r="H93" i="129"/>
  <c r="B93" i="129"/>
  <c r="G94" i="129"/>
  <c r="C94" i="129"/>
  <c r="H94" i="129"/>
  <c r="B94" i="129"/>
  <c r="G95" i="129"/>
  <c r="C95" i="129"/>
  <c r="H95" i="129"/>
  <c r="B95" i="129"/>
  <c r="G96" i="129"/>
  <c r="C96" i="129"/>
  <c r="H96" i="129"/>
  <c r="B96" i="129"/>
  <c r="G97" i="129"/>
  <c r="C97" i="129"/>
  <c r="H97" i="129"/>
  <c r="B97" i="129"/>
  <c r="G98" i="129"/>
  <c r="C98" i="129"/>
  <c r="H98" i="129"/>
  <c r="B98" i="129"/>
  <c r="G99" i="129"/>
  <c r="C99" i="129"/>
  <c r="H99" i="129"/>
  <c r="B99" i="129"/>
  <c r="G100" i="129"/>
  <c r="C100" i="129"/>
  <c r="H100" i="129"/>
  <c r="B100" i="129"/>
  <c r="G101" i="129"/>
  <c r="C101" i="129"/>
  <c r="H101" i="129"/>
  <c r="B101" i="129"/>
  <c r="G102" i="129"/>
  <c r="C102" i="129"/>
  <c r="H102" i="129"/>
  <c r="B102" i="129"/>
  <c r="G103" i="129"/>
  <c r="C103" i="129"/>
  <c r="H103" i="129"/>
  <c r="B103" i="129"/>
  <c r="G104" i="129"/>
  <c r="C104" i="129"/>
  <c r="H104" i="129"/>
  <c r="B104" i="129"/>
  <c r="G105" i="129"/>
  <c r="C105" i="129"/>
  <c r="H105" i="129"/>
  <c r="B105" i="129"/>
  <c r="G106" i="129"/>
  <c r="C106" i="129"/>
  <c r="H106" i="129"/>
  <c r="B106" i="129"/>
  <c r="G107" i="129"/>
  <c r="C107" i="129"/>
  <c r="H107" i="129"/>
  <c r="B107" i="129"/>
  <c r="G108" i="129"/>
  <c r="C108" i="129"/>
  <c r="H108" i="129"/>
  <c r="B108" i="129"/>
  <c r="G109" i="129"/>
  <c r="C109" i="129"/>
  <c r="H109" i="129"/>
  <c r="B109" i="129"/>
  <c r="G110" i="129"/>
  <c r="C110" i="129"/>
  <c r="H110" i="129"/>
  <c r="B110" i="129"/>
  <c r="G111" i="129"/>
  <c r="C111" i="129"/>
  <c r="H111" i="129"/>
  <c r="B111" i="129"/>
  <c r="G112" i="129"/>
  <c r="C112" i="129"/>
  <c r="H112" i="129"/>
  <c r="B112" i="129"/>
  <c r="G113" i="129"/>
  <c r="C113" i="129"/>
  <c r="H113" i="129"/>
  <c r="B113" i="129"/>
  <c r="G114" i="129"/>
  <c r="C114" i="129"/>
  <c r="H114" i="129"/>
  <c r="B114" i="129"/>
  <c r="G115" i="129"/>
  <c r="C115" i="129"/>
  <c r="H115" i="129"/>
  <c r="B115" i="129"/>
  <c r="G116" i="129"/>
  <c r="C116" i="129"/>
  <c r="H116" i="129"/>
  <c r="B116" i="129"/>
  <c r="G117" i="129"/>
  <c r="C117" i="129"/>
  <c r="H117" i="129"/>
  <c r="B117" i="129"/>
  <c r="G118" i="129"/>
  <c r="C118" i="129"/>
  <c r="H118" i="129"/>
  <c r="B118" i="129"/>
  <c r="G119" i="129"/>
  <c r="C119" i="129"/>
  <c r="H119" i="129"/>
  <c r="B119" i="129"/>
  <c r="G120" i="129"/>
  <c r="C120" i="129"/>
  <c r="H120" i="129"/>
  <c r="B120" i="129"/>
  <c r="G121" i="129"/>
  <c r="C121" i="129"/>
  <c r="H121" i="129"/>
  <c r="B121" i="129"/>
  <c r="G122" i="129"/>
  <c r="C122" i="129"/>
  <c r="H122" i="129"/>
  <c r="B122" i="129"/>
  <c r="G123" i="129"/>
  <c r="C123" i="129"/>
  <c r="H123" i="129"/>
  <c r="B123" i="129"/>
  <c r="G124" i="129"/>
  <c r="C124" i="129"/>
  <c r="H124" i="129"/>
  <c r="B124" i="129"/>
  <c r="G125" i="129"/>
  <c r="C125" i="129"/>
  <c r="H125" i="129"/>
  <c r="B125" i="129"/>
  <c r="G126" i="129"/>
  <c r="C126" i="129"/>
  <c r="H126" i="129"/>
  <c r="B126" i="129"/>
  <c r="G127" i="129"/>
  <c r="C127" i="129"/>
  <c r="H127" i="129"/>
  <c r="B127" i="129"/>
  <c r="G128" i="129"/>
  <c r="C128" i="129"/>
  <c r="H128" i="129"/>
  <c r="B128" i="129"/>
  <c r="G129" i="129"/>
  <c r="C129" i="129"/>
  <c r="H129" i="129"/>
  <c r="B129" i="129"/>
  <c r="G130" i="129"/>
  <c r="C130" i="129"/>
  <c r="H130" i="129"/>
  <c r="B130" i="129"/>
  <c r="G131" i="129"/>
  <c r="C131" i="129"/>
  <c r="H131" i="129"/>
  <c r="B131" i="129"/>
  <c r="G132" i="129"/>
  <c r="C132" i="129"/>
  <c r="H132" i="129"/>
  <c r="B132" i="129"/>
  <c r="G133" i="129"/>
  <c r="C133" i="129"/>
  <c r="H133" i="129"/>
  <c r="B133" i="129"/>
  <c r="G134" i="129"/>
  <c r="C134" i="129"/>
  <c r="H134" i="129"/>
  <c r="B134" i="129"/>
  <c r="G135" i="129"/>
  <c r="C135" i="129"/>
  <c r="H135" i="129"/>
  <c r="B135" i="129"/>
  <c r="G136" i="129"/>
  <c r="C136" i="129"/>
  <c r="H136" i="129"/>
  <c r="B136" i="129"/>
  <c r="G137" i="129"/>
  <c r="C137" i="129"/>
  <c r="H137" i="129"/>
  <c r="B137" i="129"/>
  <c r="G138" i="129"/>
  <c r="C138" i="129"/>
  <c r="H138" i="129"/>
  <c r="B138" i="129"/>
  <c r="G139" i="129"/>
  <c r="C139" i="129"/>
  <c r="H139" i="129"/>
  <c r="B139" i="129"/>
  <c r="G140" i="129"/>
  <c r="C140" i="129"/>
  <c r="H140" i="129"/>
  <c r="B140" i="129"/>
  <c r="G141" i="129"/>
  <c r="C141" i="129"/>
  <c r="H141" i="129"/>
  <c r="B141" i="129"/>
  <c r="G142" i="129"/>
  <c r="C142" i="129"/>
  <c r="H142" i="129"/>
  <c r="B142" i="129"/>
  <c r="G143" i="129"/>
  <c r="C143" i="129"/>
  <c r="H143" i="129"/>
  <c r="B143" i="129"/>
  <c r="G144" i="129"/>
  <c r="C144" i="129"/>
  <c r="H144" i="129"/>
  <c r="B144" i="129"/>
  <c r="G145" i="129"/>
  <c r="C145" i="129"/>
  <c r="H145" i="129"/>
  <c r="B145" i="129"/>
  <c r="G146" i="129"/>
  <c r="C146" i="129"/>
  <c r="H146" i="129"/>
  <c r="B146" i="129"/>
  <c r="G147" i="129"/>
  <c r="C147" i="129"/>
  <c r="H147" i="129"/>
  <c r="B147" i="129"/>
  <c r="G148" i="129"/>
  <c r="C148" i="129"/>
  <c r="H148" i="129"/>
  <c r="B148" i="129"/>
  <c r="G149" i="129"/>
  <c r="C149" i="129"/>
  <c r="H149" i="129"/>
  <c r="B149" i="129"/>
  <c r="G150" i="129"/>
  <c r="C150" i="129"/>
  <c r="H150" i="129"/>
  <c r="B150" i="129"/>
  <c r="G151" i="129"/>
  <c r="C151" i="129"/>
  <c r="H151" i="129"/>
  <c r="B151" i="129"/>
  <c r="G152" i="129"/>
  <c r="C152" i="129"/>
  <c r="H152" i="129"/>
  <c r="B152" i="129"/>
  <c r="G153" i="129"/>
  <c r="C153" i="129"/>
  <c r="H153" i="129"/>
  <c r="B153" i="129"/>
  <c r="G154" i="129"/>
  <c r="C154" i="129"/>
  <c r="H154" i="129"/>
  <c r="B154" i="129"/>
  <c r="G155" i="129"/>
  <c r="C155" i="129"/>
  <c r="H155" i="129"/>
  <c r="B155" i="129"/>
  <c r="G156" i="129"/>
  <c r="C156" i="129"/>
  <c r="H156" i="129"/>
  <c r="B156" i="129"/>
  <c r="G157" i="129"/>
  <c r="C157" i="129"/>
  <c r="H157" i="129"/>
  <c r="B157" i="129"/>
  <c r="G158" i="129"/>
  <c r="C158" i="129"/>
  <c r="H158" i="129"/>
  <c r="B158" i="129"/>
  <c r="G159" i="129"/>
  <c r="C159" i="129"/>
  <c r="H159" i="129"/>
  <c r="B159" i="129"/>
  <c r="G160" i="129"/>
  <c r="C160" i="129"/>
  <c r="H160" i="129"/>
  <c r="B160" i="129"/>
  <c r="G161" i="129"/>
  <c r="C161" i="129"/>
  <c r="H161" i="129"/>
  <c r="B161" i="129"/>
  <c r="G162" i="129"/>
  <c r="C162" i="129"/>
  <c r="H162" i="129"/>
  <c r="B162" i="129"/>
  <c r="G163" i="129"/>
  <c r="C163" i="129"/>
  <c r="H163" i="129"/>
  <c r="B163" i="129"/>
  <c r="G164" i="129"/>
  <c r="C164" i="129"/>
  <c r="H164" i="129"/>
  <c r="B164" i="129"/>
  <c r="G165" i="129"/>
  <c r="C165" i="129"/>
  <c r="H165" i="129"/>
  <c r="B165" i="129"/>
  <c r="G166" i="129"/>
  <c r="C166" i="129"/>
  <c r="H166" i="129"/>
  <c r="B166" i="129"/>
  <c r="G167" i="129"/>
  <c r="C167" i="129"/>
  <c r="H167" i="129"/>
  <c r="B167" i="129"/>
  <c r="G168" i="129"/>
  <c r="C168" i="129"/>
  <c r="H168" i="129"/>
  <c r="B168" i="129"/>
  <c r="C169" i="129"/>
  <c r="H169" i="129"/>
  <c r="B169" i="129"/>
  <c r="G170" i="129"/>
  <c r="C170" i="129"/>
  <c r="H170" i="129"/>
  <c r="B170" i="129"/>
  <c r="G171" i="129"/>
  <c r="C171" i="129"/>
  <c r="H171" i="129"/>
  <c r="B171" i="129"/>
  <c r="G172" i="129"/>
  <c r="C172" i="129"/>
  <c r="H172" i="129"/>
  <c r="B172" i="129"/>
  <c r="G173" i="129"/>
  <c r="C173" i="129"/>
  <c r="H173" i="129"/>
  <c r="B173" i="129"/>
  <c r="G174" i="129"/>
  <c r="C174" i="129"/>
  <c r="H174" i="129"/>
  <c r="B174" i="129"/>
  <c r="G175" i="129"/>
  <c r="C175" i="129"/>
  <c r="H175" i="129"/>
  <c r="B175" i="129"/>
  <c r="G176" i="129"/>
  <c r="C176" i="129"/>
  <c r="H176" i="129"/>
  <c r="B176" i="129"/>
  <c r="G177" i="129"/>
  <c r="C177" i="129"/>
  <c r="H177" i="129"/>
  <c r="B177" i="129"/>
  <c r="G178" i="129"/>
  <c r="C178" i="129"/>
  <c r="H178" i="129"/>
  <c r="B178" i="129"/>
  <c r="G179" i="129"/>
  <c r="C179" i="129"/>
  <c r="H179" i="129"/>
  <c r="B179" i="129"/>
  <c r="G180" i="129"/>
  <c r="C180" i="129"/>
  <c r="H180" i="129"/>
  <c r="B180" i="129"/>
  <c r="G181" i="129"/>
  <c r="C181" i="129"/>
  <c r="H181" i="129"/>
  <c r="B181" i="129"/>
  <c r="G182" i="129"/>
  <c r="C182" i="129"/>
  <c r="H182" i="129"/>
  <c r="B182" i="129"/>
  <c r="G183" i="129"/>
  <c r="C183" i="129"/>
  <c r="H183" i="129"/>
  <c r="B183" i="129"/>
  <c r="G184" i="129"/>
  <c r="C184" i="129"/>
  <c r="H184" i="129"/>
  <c r="B184" i="129"/>
  <c r="G185" i="129"/>
  <c r="C185" i="129"/>
  <c r="H185" i="129"/>
  <c r="B185" i="129"/>
  <c r="G186" i="129"/>
  <c r="C186" i="129"/>
  <c r="H186" i="129"/>
  <c r="B186" i="129"/>
  <c r="G187" i="129"/>
  <c r="C187" i="129"/>
  <c r="H187" i="129"/>
  <c r="B187" i="129"/>
  <c r="G188" i="129"/>
  <c r="C188" i="129"/>
  <c r="H188" i="129"/>
  <c r="B188" i="129"/>
  <c r="G189" i="129"/>
  <c r="C189" i="129"/>
  <c r="H189" i="129"/>
  <c r="B189" i="129"/>
  <c r="G190" i="129"/>
  <c r="C190" i="129"/>
  <c r="H190" i="129"/>
  <c r="B190" i="129"/>
  <c r="G191" i="129"/>
  <c r="C191" i="129"/>
  <c r="H191" i="129"/>
  <c r="B191" i="129"/>
  <c r="G192" i="129"/>
  <c r="C192" i="129"/>
  <c r="H192" i="129"/>
  <c r="B192" i="129"/>
  <c r="G193" i="129"/>
  <c r="C193" i="129"/>
  <c r="H193" i="129"/>
  <c r="B193" i="129"/>
  <c r="G194" i="129"/>
  <c r="C194" i="129"/>
  <c r="H194" i="129"/>
  <c r="B194" i="129"/>
  <c r="G195" i="129"/>
  <c r="C195" i="129"/>
  <c r="H195" i="129"/>
  <c r="B195" i="129"/>
  <c r="G196" i="129"/>
  <c r="C196" i="129"/>
  <c r="H196" i="129"/>
  <c r="B196" i="129"/>
  <c r="G197" i="129"/>
  <c r="C197" i="129"/>
  <c r="H197" i="129"/>
  <c r="B197" i="129"/>
  <c r="G198" i="129"/>
  <c r="C198" i="129"/>
  <c r="H198" i="129"/>
  <c r="B198" i="129"/>
  <c r="G199" i="129"/>
  <c r="C199" i="129"/>
  <c r="H199" i="129"/>
  <c r="B199" i="129"/>
  <c r="G200" i="129"/>
  <c r="C200" i="129"/>
  <c r="H200" i="129"/>
  <c r="B200" i="129"/>
  <c r="G201" i="129"/>
  <c r="C201" i="129"/>
  <c r="H201" i="129"/>
  <c r="B201" i="129"/>
  <c r="G202" i="129"/>
  <c r="C202" i="129"/>
  <c r="H202" i="129"/>
  <c r="B202" i="129"/>
  <c r="G203" i="129"/>
  <c r="C203" i="129"/>
  <c r="H203" i="129"/>
  <c r="B203" i="129"/>
  <c r="G204" i="129"/>
  <c r="C204" i="129"/>
  <c r="H204" i="129"/>
  <c r="B204" i="129"/>
  <c r="G205" i="129"/>
  <c r="C205" i="129"/>
  <c r="H205" i="129"/>
  <c r="B205" i="129"/>
  <c r="G206" i="129"/>
  <c r="C206" i="129"/>
  <c r="H206" i="129"/>
  <c r="B206" i="129"/>
  <c r="G207" i="129"/>
  <c r="C207" i="129"/>
  <c r="H207" i="129"/>
  <c r="B207" i="129"/>
  <c r="G208" i="129"/>
  <c r="C208" i="129"/>
  <c r="H208" i="129"/>
  <c r="B208" i="129"/>
  <c r="G209" i="129"/>
  <c r="C209" i="129"/>
  <c r="H209" i="129"/>
  <c r="B209" i="129"/>
  <c r="G210" i="129"/>
  <c r="C210" i="129"/>
  <c r="H210" i="129"/>
  <c r="B210" i="129"/>
  <c r="G211" i="129"/>
  <c r="C211" i="129"/>
  <c r="H211" i="129"/>
  <c r="B211" i="129"/>
  <c r="G212" i="129"/>
  <c r="C212" i="129"/>
  <c r="H212" i="129"/>
  <c r="B212" i="129"/>
  <c r="G213" i="129"/>
  <c r="C213" i="129"/>
  <c r="H213" i="129"/>
  <c r="B213" i="129"/>
  <c r="G214" i="129"/>
  <c r="C214" i="129"/>
  <c r="H214" i="129"/>
  <c r="B214" i="129"/>
  <c r="G215" i="129"/>
  <c r="C215" i="129"/>
  <c r="H215" i="129"/>
  <c r="B215" i="129"/>
  <c r="G216" i="129"/>
  <c r="C216" i="129"/>
  <c r="H216" i="129"/>
  <c r="B216" i="129"/>
  <c r="G217" i="129"/>
  <c r="C217" i="129"/>
  <c r="H217" i="129"/>
  <c r="B217" i="129"/>
  <c r="G218" i="129"/>
  <c r="C218" i="129"/>
  <c r="H218" i="129"/>
  <c r="B218" i="129"/>
  <c r="G219" i="129"/>
  <c r="C219" i="129"/>
  <c r="H219" i="129"/>
  <c r="B219" i="129"/>
  <c r="G220" i="129"/>
  <c r="C220" i="129"/>
  <c r="H220" i="129"/>
  <c r="B220" i="129"/>
  <c r="G221" i="129"/>
  <c r="C221" i="129"/>
  <c r="H221" i="129"/>
  <c r="B221" i="129"/>
  <c r="G222" i="129"/>
  <c r="C222" i="129"/>
  <c r="H222" i="129"/>
  <c r="B222" i="129"/>
  <c r="G223" i="129"/>
  <c r="C223" i="129"/>
  <c r="H223" i="129"/>
  <c r="B223" i="129"/>
  <c r="G224" i="129"/>
  <c r="C224" i="129"/>
  <c r="H224" i="129"/>
  <c r="B224" i="129"/>
  <c r="G225" i="129"/>
  <c r="C225" i="129"/>
  <c r="H225" i="129"/>
  <c r="B225" i="129"/>
  <c r="G226" i="129"/>
  <c r="C226" i="129"/>
  <c r="H226" i="129"/>
  <c r="B226" i="129"/>
  <c r="G227" i="129"/>
  <c r="C227" i="129"/>
  <c r="H227" i="129"/>
  <c r="B227" i="129"/>
  <c r="G228" i="129"/>
  <c r="C228" i="129"/>
  <c r="H228" i="129"/>
  <c r="B228" i="129"/>
  <c r="G229" i="129"/>
  <c r="C229" i="129"/>
  <c r="H229" i="129"/>
  <c r="B229" i="129"/>
  <c r="G230" i="129"/>
  <c r="C230" i="129"/>
  <c r="H230" i="129"/>
  <c r="B230" i="129"/>
  <c r="G231" i="129"/>
  <c r="C231" i="129"/>
  <c r="H231" i="129"/>
  <c r="B231" i="129"/>
  <c r="G232" i="129"/>
  <c r="C232" i="129"/>
  <c r="H232" i="129"/>
  <c r="B232" i="129"/>
  <c r="G233" i="129"/>
  <c r="C233" i="129"/>
  <c r="H233" i="129"/>
  <c r="B233" i="129"/>
  <c r="G234" i="129"/>
  <c r="C234" i="129"/>
  <c r="H234" i="129"/>
  <c r="B234" i="129"/>
  <c r="G235" i="129"/>
  <c r="C235" i="129"/>
  <c r="H235" i="129"/>
  <c r="B235" i="129"/>
  <c r="G236" i="129"/>
  <c r="C236" i="129"/>
  <c r="H236" i="129"/>
  <c r="B236" i="129"/>
  <c r="G237" i="129"/>
  <c r="C237" i="129"/>
  <c r="H237" i="129"/>
  <c r="B237" i="129"/>
  <c r="G238" i="129"/>
  <c r="C238" i="129"/>
  <c r="H238" i="129"/>
  <c r="B238" i="129"/>
  <c r="G239" i="129"/>
  <c r="C239" i="129"/>
  <c r="H239" i="129"/>
  <c r="B239" i="129"/>
  <c r="G240" i="129"/>
  <c r="C240" i="129"/>
  <c r="H240" i="129"/>
  <c r="B240" i="129"/>
  <c r="G241" i="129"/>
  <c r="C241" i="129"/>
  <c r="H241" i="129"/>
  <c r="B241" i="129"/>
  <c r="G242" i="129"/>
  <c r="C242" i="129"/>
  <c r="H242" i="129"/>
  <c r="B242" i="129"/>
  <c r="G243" i="129"/>
  <c r="C243" i="129"/>
  <c r="H243" i="129"/>
  <c r="B243" i="129"/>
  <c r="G244" i="129"/>
  <c r="C244" i="129"/>
  <c r="H244" i="129"/>
  <c r="B244" i="129"/>
  <c r="G245" i="129"/>
  <c r="C245" i="129"/>
  <c r="H245" i="129"/>
  <c r="B245" i="129"/>
  <c r="G246" i="129"/>
  <c r="C246" i="129"/>
  <c r="H246" i="129"/>
  <c r="B246" i="129"/>
  <c r="G247" i="129"/>
  <c r="C247" i="129"/>
  <c r="H247" i="129"/>
  <c r="B247" i="129"/>
  <c r="G248" i="129"/>
  <c r="C248" i="129"/>
  <c r="H248" i="129"/>
  <c r="B248" i="129"/>
  <c r="G249" i="129"/>
  <c r="C249" i="129"/>
  <c r="H249" i="129"/>
  <c r="B249" i="129"/>
  <c r="G250" i="129"/>
  <c r="C250" i="129"/>
  <c r="H250" i="129"/>
  <c r="B250" i="129"/>
  <c r="G251" i="129"/>
  <c r="C251" i="129"/>
  <c r="H251" i="129"/>
  <c r="B251" i="129"/>
  <c r="G252" i="129"/>
  <c r="C252" i="129"/>
  <c r="H252" i="129"/>
  <c r="B252" i="129"/>
  <c r="G253" i="129"/>
  <c r="C253" i="129"/>
  <c r="H253" i="129"/>
  <c r="B253" i="129"/>
  <c r="G254" i="129"/>
  <c r="C254" i="129"/>
  <c r="H254" i="129"/>
  <c r="B254" i="129"/>
  <c r="G255" i="129"/>
  <c r="C255" i="129"/>
  <c r="H255" i="129"/>
  <c r="B255" i="129"/>
  <c r="C256" i="129"/>
  <c r="H256" i="129"/>
  <c r="B256" i="129"/>
  <c r="G257" i="129"/>
  <c r="C257" i="129"/>
  <c r="H257" i="129"/>
  <c r="B257" i="129"/>
  <c r="G258" i="129"/>
  <c r="C258" i="129"/>
  <c r="H258" i="129"/>
  <c r="B258" i="129"/>
  <c r="G259" i="129"/>
  <c r="C259" i="129"/>
  <c r="H259" i="129"/>
  <c r="B259" i="129"/>
  <c r="G260" i="129"/>
  <c r="C260" i="129"/>
  <c r="H260" i="129"/>
  <c r="B260" i="129"/>
  <c r="G261" i="129"/>
  <c r="C261" i="129"/>
  <c r="H261" i="129"/>
  <c r="B261" i="129"/>
  <c r="G262" i="129"/>
  <c r="C262" i="129"/>
  <c r="H262" i="129"/>
  <c r="B262" i="129"/>
  <c r="G263" i="129"/>
  <c r="C263" i="129"/>
  <c r="H263" i="129"/>
  <c r="B263" i="129"/>
  <c r="G264" i="129"/>
  <c r="C264" i="129"/>
  <c r="H264" i="129"/>
  <c r="B264" i="129"/>
  <c r="H21" i="128"/>
  <c r="M265" i="129"/>
  <c r="B5" i="128"/>
  <c r="B17" i="128"/>
  <c r="C17" i="128"/>
  <c r="D17" i="128"/>
  <c r="G17" i="128"/>
  <c r="H17" i="128"/>
  <c r="M2" i="129"/>
  <c r="B19" i="128"/>
  <c r="B18" i="128"/>
  <c r="C18" i="128"/>
  <c r="D18" i="128"/>
  <c r="G18" i="128"/>
  <c r="H18" i="128"/>
  <c r="M3" i="129"/>
  <c r="M4" i="129"/>
  <c r="M5" i="129"/>
  <c r="M6" i="129"/>
  <c r="M7" i="129"/>
  <c r="M8" i="129"/>
  <c r="M9" i="129"/>
  <c r="M10" i="129"/>
  <c r="M11" i="129"/>
  <c r="M12" i="129"/>
  <c r="M13" i="129"/>
  <c r="M14" i="129"/>
  <c r="M15" i="129"/>
  <c r="M16" i="129"/>
  <c r="M17" i="129"/>
  <c r="M18" i="129"/>
  <c r="M19" i="129"/>
  <c r="M20" i="129"/>
  <c r="M21" i="129"/>
  <c r="M22" i="129"/>
  <c r="M23" i="129"/>
  <c r="M24" i="129"/>
  <c r="M25" i="129"/>
  <c r="M26" i="129"/>
  <c r="M27" i="129"/>
  <c r="M28" i="129"/>
  <c r="M29" i="129"/>
  <c r="M30" i="129"/>
  <c r="M31" i="129"/>
  <c r="M32" i="129"/>
  <c r="M33" i="129"/>
  <c r="M34" i="129"/>
  <c r="M35" i="129"/>
  <c r="M36" i="129"/>
  <c r="M37" i="129"/>
  <c r="M38" i="129"/>
  <c r="M39" i="129"/>
  <c r="M40" i="129"/>
  <c r="M41" i="129"/>
  <c r="M42" i="129"/>
  <c r="M43" i="129"/>
  <c r="M44" i="129"/>
  <c r="M45" i="129"/>
  <c r="M46" i="129"/>
  <c r="M47" i="129"/>
  <c r="M48" i="129"/>
  <c r="M49" i="129"/>
  <c r="M50" i="129"/>
  <c r="M51" i="129"/>
  <c r="M52" i="129"/>
  <c r="M53" i="129"/>
  <c r="M54" i="129"/>
  <c r="M55" i="129"/>
  <c r="M56" i="129"/>
  <c r="M57" i="129"/>
  <c r="M58" i="129"/>
  <c r="M59" i="129"/>
  <c r="M60" i="129"/>
  <c r="M61" i="129"/>
  <c r="M62" i="129"/>
  <c r="M63" i="129"/>
  <c r="M64" i="129"/>
  <c r="M65" i="129"/>
  <c r="M66" i="129"/>
  <c r="M67" i="129"/>
  <c r="M68" i="129"/>
  <c r="M69" i="129"/>
  <c r="M70" i="129"/>
  <c r="M71" i="129"/>
  <c r="M72" i="129"/>
  <c r="M73" i="129"/>
  <c r="M74" i="129"/>
  <c r="M75" i="129"/>
  <c r="M76" i="129"/>
  <c r="M77" i="129"/>
  <c r="M78" i="129"/>
  <c r="M79" i="129"/>
  <c r="M80" i="129"/>
  <c r="M81" i="129"/>
  <c r="M82" i="129"/>
  <c r="M83" i="129"/>
  <c r="M84" i="129"/>
  <c r="M85" i="129"/>
  <c r="M86" i="129"/>
  <c r="M87" i="129"/>
  <c r="M88" i="129"/>
  <c r="M89" i="129"/>
  <c r="M90" i="129"/>
  <c r="M91" i="129"/>
  <c r="M92" i="129"/>
  <c r="M93" i="129"/>
  <c r="M94" i="129"/>
  <c r="M95" i="129"/>
  <c r="M96" i="129"/>
  <c r="M97" i="129"/>
  <c r="M98" i="129"/>
  <c r="M99" i="129"/>
  <c r="M100" i="129"/>
  <c r="M101" i="129"/>
  <c r="M102" i="129"/>
  <c r="M103" i="129"/>
  <c r="M104" i="129"/>
  <c r="M105" i="129"/>
  <c r="M106" i="129"/>
  <c r="M107" i="129"/>
  <c r="M108" i="129"/>
  <c r="M109" i="129"/>
  <c r="M110" i="129"/>
  <c r="M111" i="129"/>
  <c r="M112" i="129"/>
  <c r="M113" i="129"/>
  <c r="M114" i="129"/>
  <c r="M115" i="129"/>
  <c r="M116" i="129"/>
  <c r="M117" i="129"/>
  <c r="M118" i="129"/>
  <c r="M119" i="129"/>
  <c r="M120" i="129"/>
  <c r="M121" i="129"/>
  <c r="M122" i="129"/>
  <c r="M123" i="129"/>
  <c r="M124" i="129"/>
  <c r="M125" i="129"/>
  <c r="M126" i="129"/>
  <c r="M127" i="129"/>
  <c r="M128" i="129"/>
  <c r="M129" i="129"/>
  <c r="M130" i="129"/>
  <c r="M131" i="129"/>
  <c r="M132" i="129"/>
  <c r="M133" i="129"/>
  <c r="M134" i="129"/>
  <c r="M135" i="129"/>
  <c r="M136" i="129"/>
  <c r="M137" i="129"/>
  <c r="C19" i="128"/>
  <c r="D19" i="128"/>
  <c r="G19" i="128"/>
  <c r="H19" i="128"/>
  <c r="M138" i="129"/>
  <c r="C22" i="128"/>
  <c r="D22" i="128"/>
  <c r="G22" i="128"/>
  <c r="H22" i="128"/>
  <c r="M139" i="129"/>
  <c r="M140" i="129"/>
  <c r="M141" i="129"/>
  <c r="M142" i="129"/>
  <c r="M143" i="129"/>
  <c r="M144" i="129"/>
  <c r="M145" i="129"/>
  <c r="M146" i="129"/>
  <c r="M147" i="129"/>
  <c r="M148" i="129"/>
  <c r="M149" i="129"/>
  <c r="M150" i="129"/>
  <c r="M151" i="129"/>
  <c r="M152" i="129"/>
  <c r="M153" i="129"/>
  <c r="M154" i="129"/>
  <c r="M155" i="129"/>
  <c r="M156" i="129"/>
  <c r="M157" i="129"/>
  <c r="M158" i="129"/>
  <c r="M159" i="129"/>
  <c r="M160" i="129"/>
  <c r="M161" i="129"/>
  <c r="M162" i="129"/>
  <c r="M163" i="129"/>
  <c r="M164" i="129"/>
  <c r="M165" i="129"/>
  <c r="M166" i="129"/>
  <c r="M167" i="129"/>
  <c r="M168" i="129"/>
  <c r="M169" i="129"/>
  <c r="M170" i="129"/>
  <c r="M171" i="129"/>
  <c r="M172" i="129"/>
  <c r="M173" i="129"/>
  <c r="M174" i="129"/>
  <c r="M175" i="129"/>
  <c r="M176" i="129"/>
  <c r="M177" i="129"/>
  <c r="M178" i="129"/>
  <c r="M179" i="129"/>
  <c r="M180" i="129"/>
  <c r="M181" i="129"/>
  <c r="M182" i="129"/>
  <c r="M183" i="129"/>
  <c r="M184" i="129"/>
  <c r="M185" i="129"/>
  <c r="M186" i="129"/>
  <c r="M187" i="129"/>
  <c r="M188" i="129"/>
  <c r="M189" i="129"/>
  <c r="M190" i="129"/>
  <c r="M191" i="129"/>
  <c r="M192" i="129"/>
  <c r="M193" i="129"/>
  <c r="M194" i="129"/>
  <c r="M195" i="129"/>
  <c r="M196" i="129"/>
  <c r="M197" i="129"/>
  <c r="M198" i="129"/>
  <c r="M199" i="129"/>
  <c r="M200" i="129"/>
  <c r="M201" i="129"/>
  <c r="M202" i="129"/>
  <c r="M203" i="129"/>
  <c r="M204" i="129"/>
  <c r="M205" i="129"/>
  <c r="M206" i="129"/>
  <c r="M207" i="129"/>
  <c r="M208" i="129"/>
  <c r="M209" i="129"/>
  <c r="M210" i="129"/>
  <c r="M211" i="129"/>
  <c r="M212" i="129"/>
  <c r="M213" i="129"/>
  <c r="M214" i="129"/>
  <c r="M215" i="129"/>
  <c r="M216" i="129"/>
  <c r="M217" i="129"/>
  <c r="M218" i="129"/>
  <c r="M219" i="129"/>
  <c r="M220" i="129"/>
  <c r="M221" i="129"/>
  <c r="M222" i="129"/>
  <c r="M223" i="129"/>
  <c r="M224" i="129"/>
  <c r="M225" i="129"/>
  <c r="M226" i="129"/>
  <c r="M227" i="129"/>
  <c r="M228" i="129"/>
  <c r="M229" i="129"/>
  <c r="M230" i="129"/>
  <c r="M231" i="129"/>
  <c r="M232" i="129"/>
  <c r="M233" i="129"/>
  <c r="M234" i="129"/>
  <c r="M235" i="129"/>
  <c r="M236" i="129"/>
  <c r="M237" i="129"/>
  <c r="M238" i="129"/>
  <c r="M239" i="129"/>
  <c r="M240" i="129"/>
  <c r="M241" i="129"/>
  <c r="M242" i="129"/>
  <c r="M243" i="129"/>
  <c r="M244" i="129"/>
  <c r="M245" i="129"/>
  <c r="M246" i="129"/>
  <c r="M247" i="129"/>
  <c r="M248" i="129"/>
  <c r="M249" i="129"/>
  <c r="M250" i="129"/>
  <c r="M251" i="129"/>
  <c r="M252" i="129"/>
  <c r="M253" i="129"/>
  <c r="M254" i="129"/>
  <c r="M255" i="129"/>
  <c r="M256" i="129"/>
  <c r="M257" i="129"/>
  <c r="M258" i="129"/>
  <c r="M259" i="129"/>
  <c r="M260" i="129"/>
  <c r="M261" i="129"/>
  <c r="M262" i="129"/>
  <c r="M263" i="129"/>
  <c r="M264" i="129"/>
  <c r="N265" i="129"/>
  <c r="L265" i="129"/>
  <c r="K265" i="129"/>
  <c r="J265" i="129"/>
  <c r="I265" i="129"/>
  <c r="F265" i="129"/>
  <c r="A265" i="129"/>
  <c r="T264" i="129"/>
  <c r="S264" i="129"/>
  <c r="R264" i="129"/>
  <c r="Q264" i="129"/>
  <c r="P264" i="129"/>
  <c r="O264" i="129"/>
  <c r="N264" i="129"/>
  <c r="L264" i="129"/>
  <c r="K264" i="129"/>
  <c r="J264" i="129"/>
  <c r="I264" i="129"/>
  <c r="F264" i="129"/>
  <c r="A264" i="129"/>
  <c r="T263" i="129"/>
  <c r="S263" i="129"/>
  <c r="R263" i="129"/>
  <c r="Q263" i="129"/>
  <c r="P263" i="129"/>
  <c r="O263" i="129"/>
  <c r="N263" i="129"/>
  <c r="L263" i="129"/>
  <c r="K263" i="129"/>
  <c r="J263" i="129"/>
  <c r="I263" i="129"/>
  <c r="F263" i="129"/>
  <c r="A263" i="129"/>
  <c r="T262" i="129"/>
  <c r="S262" i="129"/>
  <c r="R262" i="129"/>
  <c r="Q262" i="129"/>
  <c r="P262" i="129"/>
  <c r="O262" i="129"/>
  <c r="N262" i="129"/>
  <c r="L262" i="129"/>
  <c r="K262" i="129"/>
  <c r="J262" i="129"/>
  <c r="I262" i="129"/>
  <c r="F262" i="129"/>
  <c r="A262" i="129"/>
  <c r="T261" i="129"/>
  <c r="S261" i="129"/>
  <c r="R261" i="129"/>
  <c r="Q261" i="129"/>
  <c r="P261" i="129"/>
  <c r="O261" i="129"/>
  <c r="N261" i="129"/>
  <c r="L261" i="129"/>
  <c r="K261" i="129"/>
  <c r="J261" i="129"/>
  <c r="I261" i="129"/>
  <c r="F261" i="129"/>
  <c r="A261" i="129"/>
  <c r="T260" i="129"/>
  <c r="S260" i="129"/>
  <c r="R260" i="129"/>
  <c r="Q260" i="129"/>
  <c r="P260" i="129"/>
  <c r="O260" i="129"/>
  <c r="N260" i="129"/>
  <c r="L260" i="129"/>
  <c r="K260" i="129"/>
  <c r="J260" i="129"/>
  <c r="I260" i="129"/>
  <c r="F260" i="129"/>
  <c r="A260" i="129"/>
  <c r="T259" i="129"/>
  <c r="S259" i="129"/>
  <c r="R259" i="129"/>
  <c r="Q259" i="129"/>
  <c r="P259" i="129"/>
  <c r="O259" i="129"/>
  <c r="N259" i="129"/>
  <c r="L259" i="129"/>
  <c r="K259" i="129"/>
  <c r="J259" i="129"/>
  <c r="I259" i="129"/>
  <c r="F259" i="129"/>
  <c r="A259" i="129"/>
  <c r="T258" i="129"/>
  <c r="S258" i="129"/>
  <c r="R258" i="129"/>
  <c r="Q258" i="129"/>
  <c r="P258" i="129"/>
  <c r="O258" i="129"/>
  <c r="N258" i="129"/>
  <c r="L258" i="129"/>
  <c r="K258" i="129"/>
  <c r="J258" i="129"/>
  <c r="I258" i="129"/>
  <c r="F258" i="129"/>
  <c r="A258" i="129"/>
  <c r="T257" i="129"/>
  <c r="S257" i="129"/>
  <c r="R257" i="129"/>
  <c r="Q257" i="129"/>
  <c r="P257" i="129"/>
  <c r="O257" i="129"/>
  <c r="N257" i="129"/>
  <c r="L257" i="129"/>
  <c r="K257" i="129"/>
  <c r="J257" i="129"/>
  <c r="I257" i="129"/>
  <c r="F257" i="129"/>
  <c r="A257" i="129"/>
  <c r="T256" i="129"/>
  <c r="S256" i="129"/>
  <c r="R256" i="129"/>
  <c r="Q256" i="129"/>
  <c r="P256" i="129"/>
  <c r="O256" i="129"/>
  <c r="N256" i="129"/>
  <c r="L256" i="129"/>
  <c r="K256" i="129"/>
  <c r="J256" i="129"/>
  <c r="I256" i="129"/>
  <c r="F256" i="129"/>
  <c r="A256" i="129"/>
  <c r="T255" i="129"/>
  <c r="S255" i="129"/>
  <c r="R255" i="129"/>
  <c r="Q255" i="129"/>
  <c r="P255" i="129"/>
  <c r="O255" i="129"/>
  <c r="N255" i="129"/>
  <c r="L255" i="129"/>
  <c r="K255" i="129"/>
  <c r="J255" i="129"/>
  <c r="I255" i="129"/>
  <c r="F255" i="129"/>
  <c r="A255" i="129"/>
  <c r="T254" i="129"/>
  <c r="S254" i="129"/>
  <c r="R254" i="129"/>
  <c r="Q254" i="129"/>
  <c r="P254" i="129"/>
  <c r="O254" i="129"/>
  <c r="N254" i="129"/>
  <c r="L254" i="129"/>
  <c r="K254" i="129"/>
  <c r="J254" i="129"/>
  <c r="I254" i="129"/>
  <c r="F254" i="129"/>
  <c r="A254" i="129"/>
  <c r="T253" i="129"/>
  <c r="S253" i="129"/>
  <c r="R253" i="129"/>
  <c r="Q253" i="129"/>
  <c r="P253" i="129"/>
  <c r="O253" i="129"/>
  <c r="N253" i="129"/>
  <c r="L253" i="129"/>
  <c r="K253" i="129"/>
  <c r="J253" i="129"/>
  <c r="I253" i="129"/>
  <c r="F253" i="129"/>
  <c r="A253" i="129"/>
  <c r="T252" i="129"/>
  <c r="S252" i="129"/>
  <c r="R252" i="129"/>
  <c r="Q252" i="129"/>
  <c r="P252" i="129"/>
  <c r="O252" i="129"/>
  <c r="N252" i="129"/>
  <c r="L252" i="129"/>
  <c r="K252" i="129"/>
  <c r="J252" i="129"/>
  <c r="I252" i="129"/>
  <c r="F252" i="129"/>
  <c r="A252" i="129"/>
  <c r="T251" i="129"/>
  <c r="S251" i="129"/>
  <c r="R251" i="129"/>
  <c r="Q251" i="129"/>
  <c r="P251" i="129"/>
  <c r="O251" i="129"/>
  <c r="N251" i="129"/>
  <c r="L251" i="129"/>
  <c r="K251" i="129"/>
  <c r="J251" i="129"/>
  <c r="I251" i="129"/>
  <c r="F251" i="129"/>
  <c r="A251" i="129"/>
  <c r="T250" i="129"/>
  <c r="S250" i="129"/>
  <c r="R250" i="129"/>
  <c r="Q250" i="129"/>
  <c r="P250" i="129"/>
  <c r="O250" i="129"/>
  <c r="N250" i="129"/>
  <c r="L250" i="129"/>
  <c r="K250" i="129"/>
  <c r="J250" i="129"/>
  <c r="I250" i="129"/>
  <c r="F250" i="129"/>
  <c r="A250" i="129"/>
  <c r="T249" i="129"/>
  <c r="S249" i="129"/>
  <c r="R249" i="129"/>
  <c r="Q249" i="129"/>
  <c r="P249" i="129"/>
  <c r="O249" i="129"/>
  <c r="N249" i="129"/>
  <c r="L249" i="129"/>
  <c r="K249" i="129"/>
  <c r="J249" i="129"/>
  <c r="I249" i="129"/>
  <c r="F249" i="129"/>
  <c r="A249" i="129"/>
  <c r="T248" i="129"/>
  <c r="S248" i="129"/>
  <c r="R248" i="129"/>
  <c r="Q248" i="129"/>
  <c r="P248" i="129"/>
  <c r="O248" i="129"/>
  <c r="N248" i="129"/>
  <c r="L248" i="129"/>
  <c r="K248" i="129"/>
  <c r="J248" i="129"/>
  <c r="I248" i="129"/>
  <c r="F248" i="129"/>
  <c r="A248" i="129"/>
  <c r="T247" i="129"/>
  <c r="S247" i="129"/>
  <c r="R247" i="129"/>
  <c r="Q247" i="129"/>
  <c r="P247" i="129"/>
  <c r="O247" i="129"/>
  <c r="N247" i="129"/>
  <c r="L247" i="129"/>
  <c r="K247" i="129"/>
  <c r="J247" i="129"/>
  <c r="I247" i="129"/>
  <c r="F247" i="129"/>
  <c r="A247" i="129"/>
  <c r="T246" i="129"/>
  <c r="S246" i="129"/>
  <c r="R246" i="129"/>
  <c r="Q246" i="129"/>
  <c r="P246" i="129"/>
  <c r="O246" i="129"/>
  <c r="N246" i="129"/>
  <c r="L246" i="129"/>
  <c r="K246" i="129"/>
  <c r="J246" i="129"/>
  <c r="I246" i="129"/>
  <c r="F246" i="129"/>
  <c r="A246" i="129"/>
  <c r="T245" i="129"/>
  <c r="S245" i="129"/>
  <c r="R245" i="129"/>
  <c r="Q245" i="129"/>
  <c r="P245" i="129"/>
  <c r="O245" i="129"/>
  <c r="N245" i="129"/>
  <c r="L245" i="129"/>
  <c r="K245" i="129"/>
  <c r="J245" i="129"/>
  <c r="I245" i="129"/>
  <c r="F245" i="129"/>
  <c r="A245" i="129"/>
  <c r="T244" i="129"/>
  <c r="S244" i="129"/>
  <c r="R244" i="129"/>
  <c r="Q244" i="129"/>
  <c r="P244" i="129"/>
  <c r="O244" i="129"/>
  <c r="N244" i="129"/>
  <c r="L244" i="129"/>
  <c r="K244" i="129"/>
  <c r="J244" i="129"/>
  <c r="I244" i="129"/>
  <c r="F244" i="129"/>
  <c r="A244" i="129"/>
  <c r="T243" i="129"/>
  <c r="S243" i="129"/>
  <c r="R243" i="129"/>
  <c r="Q243" i="129"/>
  <c r="P243" i="129"/>
  <c r="O243" i="129"/>
  <c r="N243" i="129"/>
  <c r="L243" i="129"/>
  <c r="K243" i="129"/>
  <c r="J243" i="129"/>
  <c r="I243" i="129"/>
  <c r="F243" i="129"/>
  <c r="A243" i="129"/>
  <c r="T242" i="129"/>
  <c r="S242" i="129"/>
  <c r="R242" i="129"/>
  <c r="Q242" i="129"/>
  <c r="P242" i="129"/>
  <c r="O242" i="129"/>
  <c r="N242" i="129"/>
  <c r="L242" i="129"/>
  <c r="K242" i="129"/>
  <c r="J242" i="129"/>
  <c r="I242" i="129"/>
  <c r="F242" i="129"/>
  <c r="A242" i="129"/>
  <c r="T241" i="129"/>
  <c r="S241" i="129"/>
  <c r="R241" i="129"/>
  <c r="Q241" i="129"/>
  <c r="P241" i="129"/>
  <c r="O241" i="129"/>
  <c r="N241" i="129"/>
  <c r="L241" i="129"/>
  <c r="K241" i="129"/>
  <c r="J241" i="129"/>
  <c r="I241" i="129"/>
  <c r="F241" i="129"/>
  <c r="A241" i="129"/>
  <c r="T240" i="129"/>
  <c r="S240" i="129"/>
  <c r="R240" i="129"/>
  <c r="Q240" i="129"/>
  <c r="P240" i="129"/>
  <c r="O240" i="129"/>
  <c r="N240" i="129"/>
  <c r="L240" i="129"/>
  <c r="K240" i="129"/>
  <c r="J240" i="129"/>
  <c r="I240" i="129"/>
  <c r="F240" i="129"/>
  <c r="A240" i="129"/>
  <c r="T239" i="129"/>
  <c r="S239" i="129"/>
  <c r="R239" i="129"/>
  <c r="Q239" i="129"/>
  <c r="P239" i="129"/>
  <c r="O239" i="129"/>
  <c r="N239" i="129"/>
  <c r="L239" i="129"/>
  <c r="K239" i="129"/>
  <c r="J239" i="129"/>
  <c r="I239" i="129"/>
  <c r="F239" i="129"/>
  <c r="A239" i="129"/>
  <c r="T238" i="129"/>
  <c r="S238" i="129"/>
  <c r="R238" i="129"/>
  <c r="Q238" i="129"/>
  <c r="P238" i="129"/>
  <c r="O238" i="129"/>
  <c r="N238" i="129"/>
  <c r="L238" i="129"/>
  <c r="K238" i="129"/>
  <c r="J238" i="129"/>
  <c r="I238" i="129"/>
  <c r="F238" i="129"/>
  <c r="A238" i="129"/>
  <c r="T237" i="129"/>
  <c r="S237" i="129"/>
  <c r="R237" i="129"/>
  <c r="Q237" i="129"/>
  <c r="P237" i="129"/>
  <c r="O237" i="129"/>
  <c r="N237" i="129"/>
  <c r="L237" i="129"/>
  <c r="K237" i="129"/>
  <c r="J237" i="129"/>
  <c r="I237" i="129"/>
  <c r="F237" i="129"/>
  <c r="A237" i="129"/>
  <c r="T236" i="129"/>
  <c r="S236" i="129"/>
  <c r="R236" i="129"/>
  <c r="Q236" i="129"/>
  <c r="P236" i="129"/>
  <c r="O236" i="129"/>
  <c r="N236" i="129"/>
  <c r="L236" i="129"/>
  <c r="K236" i="129"/>
  <c r="J236" i="129"/>
  <c r="I236" i="129"/>
  <c r="F236" i="129"/>
  <c r="A236" i="129"/>
  <c r="T235" i="129"/>
  <c r="S235" i="129"/>
  <c r="R235" i="129"/>
  <c r="Q235" i="129"/>
  <c r="P235" i="129"/>
  <c r="O235" i="129"/>
  <c r="N235" i="129"/>
  <c r="L235" i="129"/>
  <c r="K235" i="129"/>
  <c r="J235" i="129"/>
  <c r="I235" i="129"/>
  <c r="F235" i="129"/>
  <c r="A235" i="129"/>
  <c r="T234" i="129"/>
  <c r="S234" i="129"/>
  <c r="R234" i="129"/>
  <c r="Q234" i="129"/>
  <c r="P234" i="129"/>
  <c r="O234" i="129"/>
  <c r="N234" i="129"/>
  <c r="L234" i="129"/>
  <c r="K234" i="129"/>
  <c r="J234" i="129"/>
  <c r="I234" i="129"/>
  <c r="F234" i="129"/>
  <c r="A234" i="129"/>
  <c r="T233" i="129"/>
  <c r="S233" i="129"/>
  <c r="R233" i="129"/>
  <c r="Q233" i="129"/>
  <c r="P233" i="129"/>
  <c r="O233" i="129"/>
  <c r="N233" i="129"/>
  <c r="L233" i="129"/>
  <c r="K233" i="129"/>
  <c r="J233" i="129"/>
  <c r="I233" i="129"/>
  <c r="F233" i="129"/>
  <c r="A233" i="129"/>
  <c r="T232" i="129"/>
  <c r="S232" i="129"/>
  <c r="R232" i="129"/>
  <c r="Q232" i="129"/>
  <c r="P232" i="129"/>
  <c r="O232" i="129"/>
  <c r="N232" i="129"/>
  <c r="L232" i="129"/>
  <c r="K232" i="129"/>
  <c r="J232" i="129"/>
  <c r="I232" i="129"/>
  <c r="F232" i="129"/>
  <c r="A232" i="129"/>
  <c r="T231" i="129"/>
  <c r="S231" i="129"/>
  <c r="R231" i="129"/>
  <c r="Q231" i="129"/>
  <c r="P231" i="129"/>
  <c r="O231" i="129"/>
  <c r="N231" i="129"/>
  <c r="L231" i="129"/>
  <c r="K231" i="129"/>
  <c r="J231" i="129"/>
  <c r="I231" i="129"/>
  <c r="F231" i="129"/>
  <c r="A231" i="129"/>
  <c r="T230" i="129"/>
  <c r="S230" i="129"/>
  <c r="R230" i="129"/>
  <c r="Q230" i="129"/>
  <c r="P230" i="129"/>
  <c r="O230" i="129"/>
  <c r="N230" i="129"/>
  <c r="L230" i="129"/>
  <c r="K230" i="129"/>
  <c r="J230" i="129"/>
  <c r="I230" i="129"/>
  <c r="F230" i="129"/>
  <c r="A230" i="129"/>
  <c r="T229" i="129"/>
  <c r="S229" i="129"/>
  <c r="R229" i="129"/>
  <c r="Q229" i="129"/>
  <c r="P229" i="129"/>
  <c r="O229" i="129"/>
  <c r="N229" i="129"/>
  <c r="L229" i="129"/>
  <c r="K229" i="129"/>
  <c r="J229" i="129"/>
  <c r="I229" i="129"/>
  <c r="F229" i="129"/>
  <c r="A229" i="129"/>
  <c r="T228" i="129"/>
  <c r="S228" i="129"/>
  <c r="R228" i="129"/>
  <c r="Q228" i="129"/>
  <c r="P228" i="129"/>
  <c r="O228" i="129"/>
  <c r="N228" i="129"/>
  <c r="L228" i="129"/>
  <c r="K228" i="129"/>
  <c r="J228" i="129"/>
  <c r="I228" i="129"/>
  <c r="F228" i="129"/>
  <c r="A228" i="129"/>
  <c r="T227" i="129"/>
  <c r="S227" i="129"/>
  <c r="R227" i="129"/>
  <c r="Q227" i="129"/>
  <c r="P227" i="129"/>
  <c r="O227" i="129"/>
  <c r="N227" i="129"/>
  <c r="L227" i="129"/>
  <c r="K227" i="129"/>
  <c r="J227" i="129"/>
  <c r="I227" i="129"/>
  <c r="F227" i="129"/>
  <c r="A227" i="129"/>
  <c r="T226" i="129"/>
  <c r="S226" i="129"/>
  <c r="R226" i="129"/>
  <c r="Q226" i="129"/>
  <c r="P226" i="129"/>
  <c r="O226" i="129"/>
  <c r="N226" i="129"/>
  <c r="L226" i="129"/>
  <c r="K226" i="129"/>
  <c r="J226" i="129"/>
  <c r="I226" i="129"/>
  <c r="F226" i="129"/>
  <c r="A226" i="129"/>
  <c r="T225" i="129"/>
  <c r="S225" i="129"/>
  <c r="R225" i="129"/>
  <c r="Q225" i="129"/>
  <c r="P225" i="129"/>
  <c r="O225" i="129"/>
  <c r="N225" i="129"/>
  <c r="L225" i="129"/>
  <c r="K225" i="129"/>
  <c r="J225" i="129"/>
  <c r="I225" i="129"/>
  <c r="F225" i="129"/>
  <c r="A225" i="129"/>
  <c r="T224" i="129"/>
  <c r="S224" i="129"/>
  <c r="R224" i="129"/>
  <c r="Q224" i="129"/>
  <c r="P224" i="129"/>
  <c r="O224" i="129"/>
  <c r="N224" i="129"/>
  <c r="L224" i="129"/>
  <c r="K224" i="129"/>
  <c r="J224" i="129"/>
  <c r="I224" i="129"/>
  <c r="F224" i="129"/>
  <c r="A224" i="129"/>
  <c r="T223" i="129"/>
  <c r="S223" i="129"/>
  <c r="R223" i="129"/>
  <c r="Q223" i="129"/>
  <c r="P223" i="129"/>
  <c r="O223" i="129"/>
  <c r="N223" i="129"/>
  <c r="L223" i="129"/>
  <c r="K223" i="129"/>
  <c r="J223" i="129"/>
  <c r="I223" i="129"/>
  <c r="F223" i="129"/>
  <c r="A223" i="129"/>
  <c r="T222" i="129"/>
  <c r="S222" i="129"/>
  <c r="R222" i="129"/>
  <c r="Q222" i="129"/>
  <c r="P222" i="129"/>
  <c r="O222" i="129"/>
  <c r="N222" i="129"/>
  <c r="L222" i="129"/>
  <c r="K222" i="129"/>
  <c r="J222" i="129"/>
  <c r="I222" i="129"/>
  <c r="F222" i="129"/>
  <c r="A222" i="129"/>
  <c r="T221" i="129"/>
  <c r="S221" i="129"/>
  <c r="R221" i="129"/>
  <c r="Q221" i="129"/>
  <c r="P221" i="129"/>
  <c r="O221" i="129"/>
  <c r="N221" i="129"/>
  <c r="L221" i="129"/>
  <c r="K221" i="129"/>
  <c r="J221" i="129"/>
  <c r="I221" i="129"/>
  <c r="F221" i="129"/>
  <c r="A221" i="129"/>
  <c r="T220" i="129"/>
  <c r="S220" i="129"/>
  <c r="R220" i="129"/>
  <c r="Q220" i="129"/>
  <c r="P220" i="129"/>
  <c r="O220" i="129"/>
  <c r="N220" i="129"/>
  <c r="L220" i="129"/>
  <c r="K220" i="129"/>
  <c r="J220" i="129"/>
  <c r="I220" i="129"/>
  <c r="F220" i="129"/>
  <c r="A220" i="129"/>
  <c r="T219" i="129"/>
  <c r="S219" i="129"/>
  <c r="R219" i="129"/>
  <c r="Q219" i="129"/>
  <c r="P219" i="129"/>
  <c r="O219" i="129"/>
  <c r="N219" i="129"/>
  <c r="L219" i="129"/>
  <c r="K219" i="129"/>
  <c r="J219" i="129"/>
  <c r="I219" i="129"/>
  <c r="F219" i="129"/>
  <c r="A219" i="129"/>
  <c r="T218" i="129"/>
  <c r="S218" i="129"/>
  <c r="R218" i="129"/>
  <c r="Q218" i="129"/>
  <c r="P218" i="129"/>
  <c r="O218" i="129"/>
  <c r="N218" i="129"/>
  <c r="L218" i="129"/>
  <c r="K218" i="129"/>
  <c r="J218" i="129"/>
  <c r="I218" i="129"/>
  <c r="F218" i="129"/>
  <c r="A218" i="129"/>
  <c r="T217" i="129"/>
  <c r="S217" i="129"/>
  <c r="R217" i="129"/>
  <c r="Q217" i="129"/>
  <c r="P217" i="129"/>
  <c r="O217" i="129"/>
  <c r="N217" i="129"/>
  <c r="L217" i="129"/>
  <c r="K217" i="129"/>
  <c r="J217" i="129"/>
  <c r="I217" i="129"/>
  <c r="F217" i="129"/>
  <c r="A217" i="129"/>
  <c r="T216" i="129"/>
  <c r="S216" i="129"/>
  <c r="R216" i="129"/>
  <c r="Q216" i="129"/>
  <c r="P216" i="129"/>
  <c r="O216" i="129"/>
  <c r="N216" i="129"/>
  <c r="L216" i="129"/>
  <c r="K216" i="129"/>
  <c r="J216" i="129"/>
  <c r="I216" i="129"/>
  <c r="F216" i="129"/>
  <c r="A216" i="129"/>
  <c r="T215" i="129"/>
  <c r="S215" i="129"/>
  <c r="R215" i="129"/>
  <c r="Q215" i="129"/>
  <c r="P215" i="129"/>
  <c r="O215" i="129"/>
  <c r="N215" i="129"/>
  <c r="L215" i="129"/>
  <c r="K215" i="129"/>
  <c r="J215" i="129"/>
  <c r="I215" i="129"/>
  <c r="F215" i="129"/>
  <c r="A215" i="129"/>
  <c r="T214" i="129"/>
  <c r="S214" i="129"/>
  <c r="R214" i="129"/>
  <c r="Q214" i="129"/>
  <c r="P214" i="129"/>
  <c r="O214" i="129"/>
  <c r="N214" i="129"/>
  <c r="L214" i="129"/>
  <c r="K214" i="129"/>
  <c r="J214" i="129"/>
  <c r="I214" i="129"/>
  <c r="F214" i="129"/>
  <c r="A214" i="129"/>
  <c r="T213" i="129"/>
  <c r="S213" i="129"/>
  <c r="R213" i="129"/>
  <c r="Q213" i="129"/>
  <c r="P213" i="129"/>
  <c r="O213" i="129"/>
  <c r="N213" i="129"/>
  <c r="L213" i="129"/>
  <c r="K213" i="129"/>
  <c r="J213" i="129"/>
  <c r="I213" i="129"/>
  <c r="F213" i="129"/>
  <c r="A213" i="129"/>
  <c r="T212" i="129"/>
  <c r="S212" i="129"/>
  <c r="R212" i="129"/>
  <c r="Q212" i="129"/>
  <c r="P212" i="129"/>
  <c r="O212" i="129"/>
  <c r="N212" i="129"/>
  <c r="L212" i="129"/>
  <c r="K212" i="129"/>
  <c r="J212" i="129"/>
  <c r="I212" i="129"/>
  <c r="F212" i="129"/>
  <c r="A212" i="129"/>
  <c r="T211" i="129"/>
  <c r="S211" i="129"/>
  <c r="R211" i="129"/>
  <c r="Q211" i="129"/>
  <c r="P211" i="129"/>
  <c r="O211" i="129"/>
  <c r="N211" i="129"/>
  <c r="L211" i="129"/>
  <c r="K211" i="129"/>
  <c r="J211" i="129"/>
  <c r="I211" i="129"/>
  <c r="F211" i="129"/>
  <c r="A211" i="129"/>
  <c r="T210" i="129"/>
  <c r="S210" i="129"/>
  <c r="R210" i="129"/>
  <c r="Q210" i="129"/>
  <c r="P210" i="129"/>
  <c r="O210" i="129"/>
  <c r="N210" i="129"/>
  <c r="L210" i="129"/>
  <c r="K210" i="129"/>
  <c r="J210" i="129"/>
  <c r="I210" i="129"/>
  <c r="F210" i="129"/>
  <c r="A210" i="129"/>
  <c r="T209" i="129"/>
  <c r="S209" i="129"/>
  <c r="R209" i="129"/>
  <c r="Q209" i="129"/>
  <c r="P209" i="129"/>
  <c r="O209" i="129"/>
  <c r="N209" i="129"/>
  <c r="L209" i="129"/>
  <c r="K209" i="129"/>
  <c r="J209" i="129"/>
  <c r="I209" i="129"/>
  <c r="F209" i="129"/>
  <c r="A209" i="129"/>
  <c r="T208" i="129"/>
  <c r="S208" i="129"/>
  <c r="R208" i="129"/>
  <c r="Q208" i="129"/>
  <c r="P208" i="129"/>
  <c r="O208" i="129"/>
  <c r="N208" i="129"/>
  <c r="L208" i="129"/>
  <c r="K208" i="129"/>
  <c r="J208" i="129"/>
  <c r="I208" i="129"/>
  <c r="F208" i="129"/>
  <c r="A208" i="129"/>
  <c r="T207" i="129"/>
  <c r="S207" i="129"/>
  <c r="R207" i="129"/>
  <c r="Q207" i="129"/>
  <c r="P207" i="129"/>
  <c r="O207" i="129"/>
  <c r="N207" i="129"/>
  <c r="L207" i="129"/>
  <c r="K207" i="129"/>
  <c r="J207" i="129"/>
  <c r="I207" i="129"/>
  <c r="F207" i="129"/>
  <c r="A207" i="129"/>
  <c r="T206" i="129"/>
  <c r="S206" i="129"/>
  <c r="R206" i="129"/>
  <c r="Q206" i="129"/>
  <c r="P206" i="129"/>
  <c r="O206" i="129"/>
  <c r="N206" i="129"/>
  <c r="L206" i="129"/>
  <c r="K206" i="129"/>
  <c r="J206" i="129"/>
  <c r="I206" i="129"/>
  <c r="F206" i="129"/>
  <c r="A206" i="129"/>
  <c r="T205" i="129"/>
  <c r="S205" i="129"/>
  <c r="R205" i="129"/>
  <c r="Q205" i="129"/>
  <c r="P205" i="129"/>
  <c r="O205" i="129"/>
  <c r="N205" i="129"/>
  <c r="L205" i="129"/>
  <c r="K205" i="129"/>
  <c r="J205" i="129"/>
  <c r="I205" i="129"/>
  <c r="F205" i="129"/>
  <c r="A205" i="129"/>
  <c r="T204" i="129"/>
  <c r="S204" i="129"/>
  <c r="R204" i="129"/>
  <c r="Q204" i="129"/>
  <c r="P204" i="129"/>
  <c r="O204" i="129"/>
  <c r="N204" i="129"/>
  <c r="L204" i="129"/>
  <c r="K204" i="129"/>
  <c r="J204" i="129"/>
  <c r="I204" i="129"/>
  <c r="F204" i="129"/>
  <c r="A204" i="129"/>
  <c r="T203" i="129"/>
  <c r="S203" i="129"/>
  <c r="R203" i="129"/>
  <c r="Q203" i="129"/>
  <c r="P203" i="129"/>
  <c r="O203" i="129"/>
  <c r="N203" i="129"/>
  <c r="L203" i="129"/>
  <c r="K203" i="129"/>
  <c r="J203" i="129"/>
  <c r="I203" i="129"/>
  <c r="F203" i="129"/>
  <c r="A203" i="129"/>
  <c r="T202" i="129"/>
  <c r="S202" i="129"/>
  <c r="R202" i="129"/>
  <c r="Q202" i="129"/>
  <c r="P202" i="129"/>
  <c r="O202" i="129"/>
  <c r="N202" i="129"/>
  <c r="L202" i="129"/>
  <c r="K202" i="129"/>
  <c r="J202" i="129"/>
  <c r="I202" i="129"/>
  <c r="F202" i="129"/>
  <c r="A202" i="129"/>
  <c r="T201" i="129"/>
  <c r="S201" i="129"/>
  <c r="R201" i="129"/>
  <c r="Q201" i="129"/>
  <c r="P201" i="129"/>
  <c r="O201" i="129"/>
  <c r="N201" i="129"/>
  <c r="L201" i="129"/>
  <c r="K201" i="129"/>
  <c r="J201" i="129"/>
  <c r="I201" i="129"/>
  <c r="F201" i="129"/>
  <c r="A201" i="129"/>
  <c r="T200" i="129"/>
  <c r="S200" i="129"/>
  <c r="R200" i="129"/>
  <c r="Q200" i="129"/>
  <c r="P200" i="129"/>
  <c r="O200" i="129"/>
  <c r="N200" i="129"/>
  <c r="L200" i="129"/>
  <c r="K200" i="129"/>
  <c r="J200" i="129"/>
  <c r="I200" i="129"/>
  <c r="F200" i="129"/>
  <c r="A200" i="129"/>
  <c r="T199" i="129"/>
  <c r="S199" i="129"/>
  <c r="R199" i="129"/>
  <c r="Q199" i="129"/>
  <c r="P199" i="129"/>
  <c r="O199" i="129"/>
  <c r="N199" i="129"/>
  <c r="L199" i="129"/>
  <c r="K199" i="129"/>
  <c r="J199" i="129"/>
  <c r="I199" i="129"/>
  <c r="F199" i="129"/>
  <c r="A199" i="129"/>
  <c r="T198" i="129"/>
  <c r="S198" i="129"/>
  <c r="R198" i="129"/>
  <c r="Q198" i="129"/>
  <c r="P198" i="129"/>
  <c r="O198" i="129"/>
  <c r="N198" i="129"/>
  <c r="L198" i="129"/>
  <c r="K198" i="129"/>
  <c r="J198" i="129"/>
  <c r="I198" i="129"/>
  <c r="F198" i="129"/>
  <c r="A198" i="129"/>
  <c r="T197" i="129"/>
  <c r="S197" i="129"/>
  <c r="R197" i="129"/>
  <c r="Q197" i="129"/>
  <c r="P197" i="129"/>
  <c r="O197" i="129"/>
  <c r="N197" i="129"/>
  <c r="L197" i="129"/>
  <c r="K197" i="129"/>
  <c r="J197" i="129"/>
  <c r="I197" i="129"/>
  <c r="F197" i="129"/>
  <c r="A197" i="129"/>
  <c r="T196" i="129"/>
  <c r="S196" i="129"/>
  <c r="R196" i="129"/>
  <c r="Q196" i="129"/>
  <c r="P196" i="129"/>
  <c r="O196" i="129"/>
  <c r="N196" i="129"/>
  <c r="L196" i="129"/>
  <c r="K196" i="129"/>
  <c r="J196" i="129"/>
  <c r="I196" i="129"/>
  <c r="F196" i="129"/>
  <c r="A196" i="129"/>
  <c r="T195" i="129"/>
  <c r="S195" i="129"/>
  <c r="R195" i="129"/>
  <c r="Q195" i="129"/>
  <c r="P195" i="129"/>
  <c r="O195" i="129"/>
  <c r="N195" i="129"/>
  <c r="L195" i="129"/>
  <c r="K195" i="129"/>
  <c r="J195" i="129"/>
  <c r="I195" i="129"/>
  <c r="F195" i="129"/>
  <c r="A195" i="129"/>
  <c r="T194" i="129"/>
  <c r="S194" i="129"/>
  <c r="R194" i="129"/>
  <c r="Q194" i="129"/>
  <c r="P194" i="129"/>
  <c r="O194" i="129"/>
  <c r="N194" i="129"/>
  <c r="L194" i="129"/>
  <c r="K194" i="129"/>
  <c r="J194" i="129"/>
  <c r="I194" i="129"/>
  <c r="F194" i="129"/>
  <c r="A194" i="129"/>
  <c r="T193" i="129"/>
  <c r="S193" i="129"/>
  <c r="R193" i="129"/>
  <c r="Q193" i="129"/>
  <c r="P193" i="129"/>
  <c r="O193" i="129"/>
  <c r="N193" i="129"/>
  <c r="L193" i="129"/>
  <c r="K193" i="129"/>
  <c r="J193" i="129"/>
  <c r="I193" i="129"/>
  <c r="F193" i="129"/>
  <c r="A193" i="129"/>
  <c r="T192" i="129"/>
  <c r="S192" i="129"/>
  <c r="R192" i="129"/>
  <c r="Q192" i="129"/>
  <c r="P192" i="129"/>
  <c r="O192" i="129"/>
  <c r="N192" i="129"/>
  <c r="L192" i="129"/>
  <c r="K192" i="129"/>
  <c r="J192" i="129"/>
  <c r="I192" i="129"/>
  <c r="F192" i="129"/>
  <c r="A192" i="129"/>
  <c r="T191" i="129"/>
  <c r="S191" i="129"/>
  <c r="R191" i="129"/>
  <c r="Q191" i="129"/>
  <c r="P191" i="129"/>
  <c r="O191" i="129"/>
  <c r="N191" i="129"/>
  <c r="L191" i="129"/>
  <c r="K191" i="129"/>
  <c r="J191" i="129"/>
  <c r="I191" i="129"/>
  <c r="F191" i="129"/>
  <c r="A191" i="129"/>
  <c r="T190" i="129"/>
  <c r="S190" i="129"/>
  <c r="R190" i="129"/>
  <c r="Q190" i="129"/>
  <c r="P190" i="129"/>
  <c r="O190" i="129"/>
  <c r="N190" i="129"/>
  <c r="L190" i="129"/>
  <c r="K190" i="129"/>
  <c r="J190" i="129"/>
  <c r="I190" i="129"/>
  <c r="F190" i="129"/>
  <c r="A190" i="129"/>
  <c r="T189" i="129"/>
  <c r="S189" i="129"/>
  <c r="R189" i="129"/>
  <c r="Q189" i="129"/>
  <c r="P189" i="129"/>
  <c r="O189" i="129"/>
  <c r="N189" i="129"/>
  <c r="L189" i="129"/>
  <c r="K189" i="129"/>
  <c r="J189" i="129"/>
  <c r="I189" i="129"/>
  <c r="F189" i="129"/>
  <c r="A189" i="129"/>
  <c r="T188" i="129"/>
  <c r="S188" i="129"/>
  <c r="R188" i="129"/>
  <c r="Q188" i="129"/>
  <c r="P188" i="129"/>
  <c r="O188" i="129"/>
  <c r="N188" i="129"/>
  <c r="L188" i="129"/>
  <c r="K188" i="129"/>
  <c r="J188" i="129"/>
  <c r="I188" i="129"/>
  <c r="F188" i="129"/>
  <c r="A188" i="129"/>
  <c r="T187" i="129"/>
  <c r="S187" i="129"/>
  <c r="R187" i="129"/>
  <c r="Q187" i="129"/>
  <c r="P187" i="129"/>
  <c r="O187" i="129"/>
  <c r="N187" i="129"/>
  <c r="L187" i="129"/>
  <c r="K187" i="129"/>
  <c r="J187" i="129"/>
  <c r="I187" i="129"/>
  <c r="F187" i="129"/>
  <c r="A187" i="129"/>
  <c r="T186" i="129"/>
  <c r="S186" i="129"/>
  <c r="R186" i="129"/>
  <c r="Q186" i="129"/>
  <c r="P186" i="129"/>
  <c r="O186" i="129"/>
  <c r="N186" i="129"/>
  <c r="L186" i="129"/>
  <c r="K186" i="129"/>
  <c r="J186" i="129"/>
  <c r="I186" i="129"/>
  <c r="F186" i="129"/>
  <c r="A186" i="129"/>
  <c r="T185" i="129"/>
  <c r="S185" i="129"/>
  <c r="R185" i="129"/>
  <c r="Q185" i="129"/>
  <c r="P185" i="129"/>
  <c r="O185" i="129"/>
  <c r="N185" i="129"/>
  <c r="L185" i="129"/>
  <c r="K185" i="129"/>
  <c r="J185" i="129"/>
  <c r="I185" i="129"/>
  <c r="F185" i="129"/>
  <c r="A185" i="129"/>
  <c r="T184" i="129"/>
  <c r="S184" i="129"/>
  <c r="R184" i="129"/>
  <c r="Q184" i="129"/>
  <c r="P184" i="129"/>
  <c r="O184" i="129"/>
  <c r="N184" i="129"/>
  <c r="L184" i="129"/>
  <c r="K184" i="129"/>
  <c r="J184" i="129"/>
  <c r="I184" i="129"/>
  <c r="F184" i="129"/>
  <c r="A184" i="129"/>
  <c r="T183" i="129"/>
  <c r="S183" i="129"/>
  <c r="R183" i="129"/>
  <c r="Q183" i="129"/>
  <c r="P183" i="129"/>
  <c r="O183" i="129"/>
  <c r="N183" i="129"/>
  <c r="L183" i="129"/>
  <c r="K183" i="129"/>
  <c r="J183" i="129"/>
  <c r="I183" i="129"/>
  <c r="F183" i="129"/>
  <c r="A183" i="129"/>
  <c r="T182" i="129"/>
  <c r="S182" i="129"/>
  <c r="R182" i="129"/>
  <c r="Q182" i="129"/>
  <c r="P182" i="129"/>
  <c r="O182" i="129"/>
  <c r="N182" i="129"/>
  <c r="L182" i="129"/>
  <c r="K182" i="129"/>
  <c r="J182" i="129"/>
  <c r="I182" i="129"/>
  <c r="F182" i="129"/>
  <c r="A182" i="129"/>
  <c r="T181" i="129"/>
  <c r="S181" i="129"/>
  <c r="R181" i="129"/>
  <c r="Q181" i="129"/>
  <c r="P181" i="129"/>
  <c r="O181" i="129"/>
  <c r="N181" i="129"/>
  <c r="L181" i="129"/>
  <c r="K181" i="129"/>
  <c r="J181" i="129"/>
  <c r="I181" i="129"/>
  <c r="F181" i="129"/>
  <c r="A181" i="129"/>
  <c r="T180" i="129"/>
  <c r="S180" i="129"/>
  <c r="R180" i="129"/>
  <c r="Q180" i="129"/>
  <c r="P180" i="129"/>
  <c r="O180" i="129"/>
  <c r="N180" i="129"/>
  <c r="L180" i="129"/>
  <c r="K180" i="129"/>
  <c r="J180" i="129"/>
  <c r="I180" i="129"/>
  <c r="F180" i="129"/>
  <c r="A180" i="129"/>
  <c r="T179" i="129"/>
  <c r="S179" i="129"/>
  <c r="R179" i="129"/>
  <c r="Q179" i="129"/>
  <c r="P179" i="129"/>
  <c r="O179" i="129"/>
  <c r="N179" i="129"/>
  <c r="L179" i="129"/>
  <c r="K179" i="129"/>
  <c r="J179" i="129"/>
  <c r="I179" i="129"/>
  <c r="F179" i="129"/>
  <c r="A179" i="129"/>
  <c r="T178" i="129"/>
  <c r="S178" i="129"/>
  <c r="R178" i="129"/>
  <c r="Q178" i="129"/>
  <c r="P178" i="129"/>
  <c r="O178" i="129"/>
  <c r="N178" i="129"/>
  <c r="L178" i="129"/>
  <c r="K178" i="129"/>
  <c r="J178" i="129"/>
  <c r="I178" i="129"/>
  <c r="F178" i="129"/>
  <c r="A178" i="129"/>
  <c r="T177" i="129"/>
  <c r="S177" i="129"/>
  <c r="R177" i="129"/>
  <c r="Q177" i="129"/>
  <c r="P177" i="129"/>
  <c r="O177" i="129"/>
  <c r="N177" i="129"/>
  <c r="L177" i="129"/>
  <c r="K177" i="129"/>
  <c r="J177" i="129"/>
  <c r="I177" i="129"/>
  <c r="F177" i="129"/>
  <c r="A177" i="129"/>
  <c r="T176" i="129"/>
  <c r="S176" i="129"/>
  <c r="R176" i="129"/>
  <c r="Q176" i="129"/>
  <c r="P176" i="129"/>
  <c r="O176" i="129"/>
  <c r="N176" i="129"/>
  <c r="L176" i="129"/>
  <c r="K176" i="129"/>
  <c r="J176" i="129"/>
  <c r="I176" i="129"/>
  <c r="F176" i="129"/>
  <c r="A176" i="129"/>
  <c r="T175" i="129"/>
  <c r="S175" i="129"/>
  <c r="R175" i="129"/>
  <c r="Q175" i="129"/>
  <c r="P175" i="129"/>
  <c r="O175" i="129"/>
  <c r="N175" i="129"/>
  <c r="L175" i="129"/>
  <c r="K175" i="129"/>
  <c r="J175" i="129"/>
  <c r="I175" i="129"/>
  <c r="F175" i="129"/>
  <c r="A175" i="129"/>
  <c r="T174" i="129"/>
  <c r="S174" i="129"/>
  <c r="R174" i="129"/>
  <c r="Q174" i="129"/>
  <c r="P174" i="129"/>
  <c r="O174" i="129"/>
  <c r="N174" i="129"/>
  <c r="L174" i="129"/>
  <c r="K174" i="129"/>
  <c r="J174" i="129"/>
  <c r="I174" i="129"/>
  <c r="F174" i="129"/>
  <c r="A174" i="129"/>
  <c r="T173" i="129"/>
  <c r="S173" i="129"/>
  <c r="R173" i="129"/>
  <c r="Q173" i="129"/>
  <c r="P173" i="129"/>
  <c r="O173" i="129"/>
  <c r="N173" i="129"/>
  <c r="L173" i="129"/>
  <c r="K173" i="129"/>
  <c r="J173" i="129"/>
  <c r="I173" i="129"/>
  <c r="F173" i="129"/>
  <c r="A173" i="129"/>
  <c r="T172" i="129"/>
  <c r="S172" i="129"/>
  <c r="R172" i="129"/>
  <c r="Q172" i="129"/>
  <c r="P172" i="129"/>
  <c r="O172" i="129"/>
  <c r="N172" i="129"/>
  <c r="L172" i="129"/>
  <c r="K172" i="129"/>
  <c r="J172" i="129"/>
  <c r="I172" i="129"/>
  <c r="F172" i="129"/>
  <c r="A172" i="129"/>
  <c r="T171" i="129"/>
  <c r="S171" i="129"/>
  <c r="R171" i="129"/>
  <c r="Q171" i="129"/>
  <c r="P171" i="129"/>
  <c r="O171" i="129"/>
  <c r="N171" i="129"/>
  <c r="L171" i="129"/>
  <c r="K171" i="129"/>
  <c r="J171" i="129"/>
  <c r="I171" i="129"/>
  <c r="F171" i="129"/>
  <c r="A171" i="129"/>
  <c r="T170" i="129"/>
  <c r="S170" i="129"/>
  <c r="R170" i="129"/>
  <c r="Q170" i="129"/>
  <c r="P170" i="129"/>
  <c r="O170" i="129"/>
  <c r="N170" i="129"/>
  <c r="L170" i="129"/>
  <c r="K170" i="129"/>
  <c r="J170" i="129"/>
  <c r="I170" i="129"/>
  <c r="F170" i="129"/>
  <c r="A170" i="129"/>
  <c r="T169" i="129"/>
  <c r="S169" i="129"/>
  <c r="R169" i="129"/>
  <c r="Q169" i="129"/>
  <c r="P169" i="129"/>
  <c r="O169" i="129"/>
  <c r="N169" i="129"/>
  <c r="L169" i="129"/>
  <c r="K169" i="129"/>
  <c r="J169" i="129"/>
  <c r="I169" i="129"/>
  <c r="F169" i="129"/>
  <c r="A169" i="129"/>
  <c r="T168" i="129"/>
  <c r="S168" i="129"/>
  <c r="R168" i="129"/>
  <c r="Q168" i="129"/>
  <c r="P168" i="129"/>
  <c r="O168" i="129"/>
  <c r="N168" i="129"/>
  <c r="L168" i="129"/>
  <c r="K168" i="129"/>
  <c r="J168" i="129"/>
  <c r="I168" i="129"/>
  <c r="F168" i="129"/>
  <c r="A168" i="129"/>
  <c r="T167" i="129"/>
  <c r="S167" i="129"/>
  <c r="R167" i="129"/>
  <c r="Q167" i="129"/>
  <c r="P167" i="129"/>
  <c r="O167" i="129"/>
  <c r="N167" i="129"/>
  <c r="L167" i="129"/>
  <c r="K167" i="129"/>
  <c r="J167" i="129"/>
  <c r="I167" i="129"/>
  <c r="F167" i="129"/>
  <c r="A167" i="129"/>
  <c r="T166" i="129"/>
  <c r="S166" i="129"/>
  <c r="R166" i="129"/>
  <c r="Q166" i="129"/>
  <c r="P166" i="129"/>
  <c r="O166" i="129"/>
  <c r="N166" i="129"/>
  <c r="L166" i="129"/>
  <c r="K166" i="129"/>
  <c r="J166" i="129"/>
  <c r="I166" i="129"/>
  <c r="F166" i="129"/>
  <c r="A166" i="129"/>
  <c r="T165" i="129"/>
  <c r="S165" i="129"/>
  <c r="R165" i="129"/>
  <c r="Q165" i="129"/>
  <c r="P165" i="129"/>
  <c r="O165" i="129"/>
  <c r="N165" i="129"/>
  <c r="L165" i="129"/>
  <c r="K165" i="129"/>
  <c r="J165" i="129"/>
  <c r="I165" i="129"/>
  <c r="F165" i="129"/>
  <c r="A165" i="129"/>
  <c r="T164" i="129"/>
  <c r="S164" i="129"/>
  <c r="R164" i="129"/>
  <c r="Q164" i="129"/>
  <c r="P164" i="129"/>
  <c r="O164" i="129"/>
  <c r="N164" i="129"/>
  <c r="L164" i="129"/>
  <c r="K164" i="129"/>
  <c r="J164" i="129"/>
  <c r="I164" i="129"/>
  <c r="F164" i="129"/>
  <c r="A164" i="129"/>
  <c r="T163" i="129"/>
  <c r="S163" i="129"/>
  <c r="R163" i="129"/>
  <c r="Q163" i="129"/>
  <c r="P163" i="129"/>
  <c r="O163" i="129"/>
  <c r="N163" i="129"/>
  <c r="L163" i="129"/>
  <c r="K163" i="129"/>
  <c r="J163" i="129"/>
  <c r="I163" i="129"/>
  <c r="F163" i="129"/>
  <c r="A163" i="129"/>
  <c r="T162" i="129"/>
  <c r="S162" i="129"/>
  <c r="R162" i="129"/>
  <c r="Q162" i="129"/>
  <c r="P162" i="129"/>
  <c r="O162" i="129"/>
  <c r="N162" i="129"/>
  <c r="L162" i="129"/>
  <c r="K162" i="129"/>
  <c r="J162" i="129"/>
  <c r="I162" i="129"/>
  <c r="F162" i="129"/>
  <c r="A162" i="129"/>
  <c r="T161" i="129"/>
  <c r="S161" i="129"/>
  <c r="R161" i="129"/>
  <c r="Q161" i="129"/>
  <c r="P161" i="129"/>
  <c r="O161" i="129"/>
  <c r="N161" i="129"/>
  <c r="L161" i="129"/>
  <c r="K161" i="129"/>
  <c r="J161" i="129"/>
  <c r="I161" i="129"/>
  <c r="F161" i="129"/>
  <c r="A161" i="129"/>
  <c r="T160" i="129"/>
  <c r="S160" i="129"/>
  <c r="R160" i="129"/>
  <c r="Q160" i="129"/>
  <c r="P160" i="129"/>
  <c r="O160" i="129"/>
  <c r="N160" i="129"/>
  <c r="L160" i="129"/>
  <c r="K160" i="129"/>
  <c r="J160" i="129"/>
  <c r="I160" i="129"/>
  <c r="F160" i="129"/>
  <c r="A160" i="129"/>
  <c r="T159" i="129"/>
  <c r="S159" i="129"/>
  <c r="R159" i="129"/>
  <c r="Q159" i="129"/>
  <c r="P159" i="129"/>
  <c r="O159" i="129"/>
  <c r="N159" i="129"/>
  <c r="L159" i="129"/>
  <c r="K159" i="129"/>
  <c r="J159" i="129"/>
  <c r="I159" i="129"/>
  <c r="F159" i="129"/>
  <c r="A159" i="129"/>
  <c r="T158" i="129"/>
  <c r="S158" i="129"/>
  <c r="R158" i="129"/>
  <c r="Q158" i="129"/>
  <c r="P158" i="129"/>
  <c r="O158" i="129"/>
  <c r="N158" i="129"/>
  <c r="L158" i="129"/>
  <c r="K158" i="129"/>
  <c r="J158" i="129"/>
  <c r="I158" i="129"/>
  <c r="F158" i="129"/>
  <c r="A158" i="129"/>
  <c r="T157" i="129"/>
  <c r="S157" i="129"/>
  <c r="R157" i="129"/>
  <c r="Q157" i="129"/>
  <c r="P157" i="129"/>
  <c r="O157" i="129"/>
  <c r="N157" i="129"/>
  <c r="L157" i="129"/>
  <c r="K157" i="129"/>
  <c r="J157" i="129"/>
  <c r="I157" i="129"/>
  <c r="F157" i="129"/>
  <c r="A157" i="129"/>
  <c r="T156" i="129"/>
  <c r="S156" i="129"/>
  <c r="R156" i="129"/>
  <c r="Q156" i="129"/>
  <c r="P156" i="129"/>
  <c r="O156" i="129"/>
  <c r="N156" i="129"/>
  <c r="L156" i="129"/>
  <c r="K156" i="129"/>
  <c r="J156" i="129"/>
  <c r="I156" i="129"/>
  <c r="F156" i="129"/>
  <c r="A156" i="129"/>
  <c r="T155" i="129"/>
  <c r="S155" i="129"/>
  <c r="R155" i="129"/>
  <c r="Q155" i="129"/>
  <c r="P155" i="129"/>
  <c r="O155" i="129"/>
  <c r="N155" i="129"/>
  <c r="L155" i="129"/>
  <c r="K155" i="129"/>
  <c r="J155" i="129"/>
  <c r="I155" i="129"/>
  <c r="F155" i="129"/>
  <c r="A155" i="129"/>
  <c r="T154" i="129"/>
  <c r="S154" i="129"/>
  <c r="R154" i="129"/>
  <c r="Q154" i="129"/>
  <c r="P154" i="129"/>
  <c r="O154" i="129"/>
  <c r="N154" i="129"/>
  <c r="L154" i="129"/>
  <c r="K154" i="129"/>
  <c r="J154" i="129"/>
  <c r="I154" i="129"/>
  <c r="F154" i="129"/>
  <c r="A154" i="129"/>
  <c r="T153" i="129"/>
  <c r="S153" i="129"/>
  <c r="R153" i="129"/>
  <c r="Q153" i="129"/>
  <c r="P153" i="129"/>
  <c r="O153" i="129"/>
  <c r="N153" i="129"/>
  <c r="L153" i="129"/>
  <c r="K153" i="129"/>
  <c r="J153" i="129"/>
  <c r="I153" i="129"/>
  <c r="F153" i="129"/>
  <c r="A153" i="129"/>
  <c r="T152" i="129"/>
  <c r="S152" i="129"/>
  <c r="R152" i="129"/>
  <c r="Q152" i="129"/>
  <c r="P152" i="129"/>
  <c r="O152" i="129"/>
  <c r="N152" i="129"/>
  <c r="L152" i="129"/>
  <c r="K152" i="129"/>
  <c r="J152" i="129"/>
  <c r="I152" i="129"/>
  <c r="F152" i="129"/>
  <c r="A152" i="129"/>
  <c r="T151" i="129"/>
  <c r="S151" i="129"/>
  <c r="R151" i="129"/>
  <c r="Q151" i="129"/>
  <c r="P151" i="129"/>
  <c r="O151" i="129"/>
  <c r="N151" i="129"/>
  <c r="L151" i="129"/>
  <c r="K151" i="129"/>
  <c r="J151" i="129"/>
  <c r="I151" i="129"/>
  <c r="F151" i="129"/>
  <c r="A151" i="129"/>
  <c r="T150" i="129"/>
  <c r="S150" i="129"/>
  <c r="R150" i="129"/>
  <c r="Q150" i="129"/>
  <c r="P150" i="129"/>
  <c r="O150" i="129"/>
  <c r="N150" i="129"/>
  <c r="L150" i="129"/>
  <c r="K150" i="129"/>
  <c r="J150" i="129"/>
  <c r="I150" i="129"/>
  <c r="F150" i="129"/>
  <c r="A150" i="129"/>
  <c r="T149" i="129"/>
  <c r="S149" i="129"/>
  <c r="R149" i="129"/>
  <c r="Q149" i="129"/>
  <c r="P149" i="129"/>
  <c r="O149" i="129"/>
  <c r="N149" i="129"/>
  <c r="L149" i="129"/>
  <c r="K149" i="129"/>
  <c r="J149" i="129"/>
  <c r="I149" i="129"/>
  <c r="F149" i="129"/>
  <c r="A149" i="129"/>
  <c r="T148" i="129"/>
  <c r="S148" i="129"/>
  <c r="R148" i="129"/>
  <c r="Q148" i="129"/>
  <c r="P148" i="129"/>
  <c r="O148" i="129"/>
  <c r="N148" i="129"/>
  <c r="L148" i="129"/>
  <c r="K148" i="129"/>
  <c r="J148" i="129"/>
  <c r="I148" i="129"/>
  <c r="F148" i="129"/>
  <c r="A148" i="129"/>
  <c r="T147" i="129"/>
  <c r="S147" i="129"/>
  <c r="R147" i="129"/>
  <c r="Q147" i="129"/>
  <c r="P147" i="129"/>
  <c r="O147" i="129"/>
  <c r="N147" i="129"/>
  <c r="L147" i="129"/>
  <c r="K147" i="129"/>
  <c r="J147" i="129"/>
  <c r="I147" i="129"/>
  <c r="F147" i="129"/>
  <c r="A147" i="129"/>
  <c r="T146" i="129"/>
  <c r="S146" i="129"/>
  <c r="R146" i="129"/>
  <c r="Q146" i="129"/>
  <c r="P146" i="129"/>
  <c r="O146" i="129"/>
  <c r="N146" i="129"/>
  <c r="L146" i="129"/>
  <c r="K146" i="129"/>
  <c r="J146" i="129"/>
  <c r="I146" i="129"/>
  <c r="F146" i="129"/>
  <c r="A146" i="129"/>
  <c r="T145" i="129"/>
  <c r="S145" i="129"/>
  <c r="R145" i="129"/>
  <c r="Q145" i="129"/>
  <c r="P145" i="129"/>
  <c r="O145" i="129"/>
  <c r="N145" i="129"/>
  <c r="L145" i="129"/>
  <c r="K145" i="129"/>
  <c r="J145" i="129"/>
  <c r="I145" i="129"/>
  <c r="F145" i="129"/>
  <c r="A145" i="129"/>
  <c r="T144" i="129"/>
  <c r="S144" i="129"/>
  <c r="R144" i="129"/>
  <c r="Q144" i="129"/>
  <c r="P144" i="129"/>
  <c r="O144" i="129"/>
  <c r="N144" i="129"/>
  <c r="L144" i="129"/>
  <c r="K144" i="129"/>
  <c r="J144" i="129"/>
  <c r="I144" i="129"/>
  <c r="F144" i="129"/>
  <c r="A144" i="129"/>
  <c r="T143" i="129"/>
  <c r="S143" i="129"/>
  <c r="R143" i="129"/>
  <c r="Q143" i="129"/>
  <c r="P143" i="129"/>
  <c r="O143" i="129"/>
  <c r="N143" i="129"/>
  <c r="L143" i="129"/>
  <c r="K143" i="129"/>
  <c r="J143" i="129"/>
  <c r="I143" i="129"/>
  <c r="F143" i="129"/>
  <c r="A143" i="129"/>
  <c r="T142" i="129"/>
  <c r="S142" i="129"/>
  <c r="R142" i="129"/>
  <c r="Q142" i="129"/>
  <c r="P142" i="129"/>
  <c r="O142" i="129"/>
  <c r="N142" i="129"/>
  <c r="L142" i="129"/>
  <c r="K142" i="129"/>
  <c r="J142" i="129"/>
  <c r="I142" i="129"/>
  <c r="F142" i="129"/>
  <c r="A142" i="129"/>
  <c r="T141" i="129"/>
  <c r="S141" i="129"/>
  <c r="R141" i="129"/>
  <c r="Q141" i="129"/>
  <c r="P141" i="129"/>
  <c r="O141" i="129"/>
  <c r="N141" i="129"/>
  <c r="L141" i="129"/>
  <c r="K141" i="129"/>
  <c r="J141" i="129"/>
  <c r="I141" i="129"/>
  <c r="F141" i="129"/>
  <c r="A141" i="129"/>
  <c r="T140" i="129"/>
  <c r="S140" i="129"/>
  <c r="R140" i="129"/>
  <c r="Q140" i="129"/>
  <c r="P140" i="129"/>
  <c r="O140" i="129"/>
  <c r="N140" i="129"/>
  <c r="L140" i="129"/>
  <c r="K140" i="129"/>
  <c r="J140" i="129"/>
  <c r="I140" i="129"/>
  <c r="F140" i="129"/>
  <c r="A140" i="129"/>
  <c r="T139" i="129"/>
  <c r="S139" i="129"/>
  <c r="R139" i="129"/>
  <c r="Q139" i="129"/>
  <c r="P139" i="129"/>
  <c r="O139" i="129"/>
  <c r="N139" i="129"/>
  <c r="L139" i="129"/>
  <c r="K139" i="129"/>
  <c r="J139" i="129"/>
  <c r="I139" i="129"/>
  <c r="F139" i="129"/>
  <c r="A139" i="129"/>
  <c r="T138" i="129"/>
  <c r="S138" i="129"/>
  <c r="R138" i="129"/>
  <c r="Q138" i="129"/>
  <c r="P138" i="129"/>
  <c r="O138" i="129"/>
  <c r="N138" i="129"/>
  <c r="L138" i="129"/>
  <c r="K138" i="129"/>
  <c r="J138" i="129"/>
  <c r="I138" i="129"/>
  <c r="F138" i="129"/>
  <c r="A138" i="129"/>
  <c r="T137" i="129"/>
  <c r="S137" i="129"/>
  <c r="R137" i="129"/>
  <c r="Q137" i="129"/>
  <c r="P137" i="129"/>
  <c r="O137" i="129"/>
  <c r="N137" i="129"/>
  <c r="L137" i="129"/>
  <c r="K137" i="129"/>
  <c r="J137" i="129"/>
  <c r="I137" i="129"/>
  <c r="F137" i="129"/>
  <c r="A137" i="129"/>
  <c r="T136" i="129"/>
  <c r="S136" i="129"/>
  <c r="R136" i="129"/>
  <c r="Q136" i="129"/>
  <c r="P136" i="129"/>
  <c r="O136" i="129"/>
  <c r="N136" i="129"/>
  <c r="L136" i="129"/>
  <c r="K136" i="129"/>
  <c r="J136" i="129"/>
  <c r="I136" i="129"/>
  <c r="F136" i="129"/>
  <c r="A136" i="129"/>
  <c r="T135" i="129"/>
  <c r="S135" i="129"/>
  <c r="R135" i="129"/>
  <c r="Q135" i="129"/>
  <c r="P135" i="129"/>
  <c r="O135" i="129"/>
  <c r="N135" i="129"/>
  <c r="L135" i="129"/>
  <c r="K135" i="129"/>
  <c r="J135" i="129"/>
  <c r="I135" i="129"/>
  <c r="F135" i="129"/>
  <c r="A135" i="129"/>
  <c r="T134" i="129"/>
  <c r="S134" i="129"/>
  <c r="R134" i="129"/>
  <c r="Q134" i="129"/>
  <c r="P134" i="129"/>
  <c r="O134" i="129"/>
  <c r="N134" i="129"/>
  <c r="L134" i="129"/>
  <c r="K134" i="129"/>
  <c r="J134" i="129"/>
  <c r="I134" i="129"/>
  <c r="F134" i="129"/>
  <c r="A134" i="129"/>
  <c r="T133" i="129"/>
  <c r="S133" i="129"/>
  <c r="R133" i="129"/>
  <c r="Q133" i="129"/>
  <c r="P133" i="129"/>
  <c r="O133" i="129"/>
  <c r="N133" i="129"/>
  <c r="L133" i="129"/>
  <c r="K133" i="129"/>
  <c r="J133" i="129"/>
  <c r="I133" i="129"/>
  <c r="F133" i="129"/>
  <c r="A133" i="129"/>
  <c r="T132" i="129"/>
  <c r="S132" i="129"/>
  <c r="R132" i="129"/>
  <c r="Q132" i="129"/>
  <c r="P132" i="129"/>
  <c r="O132" i="129"/>
  <c r="N132" i="129"/>
  <c r="L132" i="129"/>
  <c r="K132" i="129"/>
  <c r="J132" i="129"/>
  <c r="I132" i="129"/>
  <c r="F132" i="129"/>
  <c r="A132" i="129"/>
  <c r="T131" i="129"/>
  <c r="S131" i="129"/>
  <c r="R131" i="129"/>
  <c r="Q131" i="129"/>
  <c r="P131" i="129"/>
  <c r="O131" i="129"/>
  <c r="N131" i="129"/>
  <c r="L131" i="129"/>
  <c r="K131" i="129"/>
  <c r="J131" i="129"/>
  <c r="I131" i="129"/>
  <c r="F131" i="129"/>
  <c r="A131" i="129"/>
  <c r="T130" i="129"/>
  <c r="S130" i="129"/>
  <c r="R130" i="129"/>
  <c r="Q130" i="129"/>
  <c r="P130" i="129"/>
  <c r="O130" i="129"/>
  <c r="N130" i="129"/>
  <c r="L130" i="129"/>
  <c r="K130" i="129"/>
  <c r="J130" i="129"/>
  <c r="I130" i="129"/>
  <c r="F130" i="129"/>
  <c r="A130" i="129"/>
  <c r="T129" i="129"/>
  <c r="S129" i="129"/>
  <c r="R129" i="129"/>
  <c r="Q129" i="129"/>
  <c r="P129" i="129"/>
  <c r="O129" i="129"/>
  <c r="N129" i="129"/>
  <c r="L129" i="129"/>
  <c r="K129" i="129"/>
  <c r="J129" i="129"/>
  <c r="I129" i="129"/>
  <c r="F129" i="129"/>
  <c r="A129" i="129"/>
  <c r="T128" i="129"/>
  <c r="S128" i="129"/>
  <c r="R128" i="129"/>
  <c r="Q128" i="129"/>
  <c r="P128" i="129"/>
  <c r="O128" i="129"/>
  <c r="N128" i="129"/>
  <c r="L128" i="129"/>
  <c r="K128" i="129"/>
  <c r="J128" i="129"/>
  <c r="I128" i="129"/>
  <c r="F128" i="129"/>
  <c r="A128" i="129"/>
  <c r="T127" i="129"/>
  <c r="S127" i="129"/>
  <c r="R127" i="129"/>
  <c r="Q127" i="129"/>
  <c r="P127" i="129"/>
  <c r="O127" i="129"/>
  <c r="N127" i="129"/>
  <c r="L127" i="129"/>
  <c r="K127" i="129"/>
  <c r="J127" i="129"/>
  <c r="I127" i="129"/>
  <c r="F127" i="129"/>
  <c r="A127" i="129"/>
  <c r="T126" i="129"/>
  <c r="S126" i="129"/>
  <c r="R126" i="129"/>
  <c r="Q126" i="129"/>
  <c r="P126" i="129"/>
  <c r="O126" i="129"/>
  <c r="N126" i="129"/>
  <c r="L126" i="129"/>
  <c r="K126" i="129"/>
  <c r="J126" i="129"/>
  <c r="I126" i="129"/>
  <c r="F126" i="129"/>
  <c r="A126" i="129"/>
  <c r="T125" i="129"/>
  <c r="S125" i="129"/>
  <c r="R125" i="129"/>
  <c r="Q125" i="129"/>
  <c r="P125" i="129"/>
  <c r="O125" i="129"/>
  <c r="N125" i="129"/>
  <c r="L125" i="129"/>
  <c r="K125" i="129"/>
  <c r="J125" i="129"/>
  <c r="I125" i="129"/>
  <c r="F125" i="129"/>
  <c r="A125" i="129"/>
  <c r="T124" i="129"/>
  <c r="S124" i="129"/>
  <c r="R124" i="129"/>
  <c r="Q124" i="129"/>
  <c r="P124" i="129"/>
  <c r="O124" i="129"/>
  <c r="N124" i="129"/>
  <c r="L124" i="129"/>
  <c r="K124" i="129"/>
  <c r="J124" i="129"/>
  <c r="I124" i="129"/>
  <c r="F124" i="129"/>
  <c r="A124" i="129"/>
  <c r="T123" i="129"/>
  <c r="S123" i="129"/>
  <c r="R123" i="129"/>
  <c r="Q123" i="129"/>
  <c r="P123" i="129"/>
  <c r="O123" i="129"/>
  <c r="N123" i="129"/>
  <c r="L123" i="129"/>
  <c r="K123" i="129"/>
  <c r="J123" i="129"/>
  <c r="I123" i="129"/>
  <c r="F123" i="129"/>
  <c r="A123" i="129"/>
  <c r="T122" i="129"/>
  <c r="S122" i="129"/>
  <c r="R122" i="129"/>
  <c r="Q122" i="129"/>
  <c r="P122" i="129"/>
  <c r="O122" i="129"/>
  <c r="N122" i="129"/>
  <c r="L122" i="129"/>
  <c r="K122" i="129"/>
  <c r="J122" i="129"/>
  <c r="I122" i="129"/>
  <c r="F122" i="129"/>
  <c r="A122" i="129"/>
  <c r="T121" i="129"/>
  <c r="S121" i="129"/>
  <c r="R121" i="129"/>
  <c r="Q121" i="129"/>
  <c r="P121" i="129"/>
  <c r="O121" i="129"/>
  <c r="N121" i="129"/>
  <c r="L121" i="129"/>
  <c r="K121" i="129"/>
  <c r="J121" i="129"/>
  <c r="I121" i="129"/>
  <c r="F121" i="129"/>
  <c r="A121" i="129"/>
  <c r="T120" i="129"/>
  <c r="S120" i="129"/>
  <c r="R120" i="129"/>
  <c r="Q120" i="129"/>
  <c r="P120" i="129"/>
  <c r="O120" i="129"/>
  <c r="N120" i="129"/>
  <c r="L120" i="129"/>
  <c r="K120" i="129"/>
  <c r="J120" i="129"/>
  <c r="I120" i="129"/>
  <c r="F120" i="129"/>
  <c r="A120" i="129"/>
  <c r="T119" i="129"/>
  <c r="S119" i="129"/>
  <c r="R119" i="129"/>
  <c r="Q119" i="129"/>
  <c r="P119" i="129"/>
  <c r="O119" i="129"/>
  <c r="N119" i="129"/>
  <c r="L119" i="129"/>
  <c r="K119" i="129"/>
  <c r="J119" i="129"/>
  <c r="I119" i="129"/>
  <c r="F119" i="129"/>
  <c r="A119" i="129"/>
  <c r="T118" i="129"/>
  <c r="S118" i="129"/>
  <c r="R118" i="129"/>
  <c r="Q118" i="129"/>
  <c r="P118" i="129"/>
  <c r="O118" i="129"/>
  <c r="N118" i="129"/>
  <c r="L118" i="129"/>
  <c r="K118" i="129"/>
  <c r="J118" i="129"/>
  <c r="I118" i="129"/>
  <c r="F118" i="129"/>
  <c r="A118" i="129"/>
  <c r="T117" i="129"/>
  <c r="S117" i="129"/>
  <c r="R117" i="129"/>
  <c r="Q117" i="129"/>
  <c r="P117" i="129"/>
  <c r="O117" i="129"/>
  <c r="N117" i="129"/>
  <c r="L117" i="129"/>
  <c r="K117" i="129"/>
  <c r="J117" i="129"/>
  <c r="I117" i="129"/>
  <c r="F117" i="129"/>
  <c r="A117" i="129"/>
  <c r="T116" i="129"/>
  <c r="S116" i="129"/>
  <c r="R116" i="129"/>
  <c r="Q116" i="129"/>
  <c r="P116" i="129"/>
  <c r="O116" i="129"/>
  <c r="N116" i="129"/>
  <c r="L116" i="129"/>
  <c r="K116" i="129"/>
  <c r="J116" i="129"/>
  <c r="I116" i="129"/>
  <c r="F116" i="129"/>
  <c r="A116" i="129"/>
  <c r="T115" i="129"/>
  <c r="S115" i="129"/>
  <c r="R115" i="129"/>
  <c r="Q115" i="129"/>
  <c r="P115" i="129"/>
  <c r="O115" i="129"/>
  <c r="N115" i="129"/>
  <c r="L115" i="129"/>
  <c r="K115" i="129"/>
  <c r="J115" i="129"/>
  <c r="I115" i="129"/>
  <c r="F115" i="129"/>
  <c r="A115" i="129"/>
  <c r="T114" i="129"/>
  <c r="S114" i="129"/>
  <c r="R114" i="129"/>
  <c r="Q114" i="129"/>
  <c r="P114" i="129"/>
  <c r="O114" i="129"/>
  <c r="N114" i="129"/>
  <c r="L114" i="129"/>
  <c r="K114" i="129"/>
  <c r="J114" i="129"/>
  <c r="I114" i="129"/>
  <c r="F114" i="129"/>
  <c r="A114" i="129"/>
  <c r="T113" i="129"/>
  <c r="S113" i="129"/>
  <c r="R113" i="129"/>
  <c r="Q113" i="129"/>
  <c r="P113" i="129"/>
  <c r="O113" i="129"/>
  <c r="N113" i="129"/>
  <c r="L113" i="129"/>
  <c r="K113" i="129"/>
  <c r="J113" i="129"/>
  <c r="I113" i="129"/>
  <c r="F113" i="129"/>
  <c r="A113" i="129"/>
  <c r="T112" i="129"/>
  <c r="S112" i="129"/>
  <c r="R112" i="129"/>
  <c r="Q112" i="129"/>
  <c r="P112" i="129"/>
  <c r="O112" i="129"/>
  <c r="N112" i="129"/>
  <c r="L112" i="129"/>
  <c r="K112" i="129"/>
  <c r="J112" i="129"/>
  <c r="I112" i="129"/>
  <c r="F112" i="129"/>
  <c r="A112" i="129"/>
  <c r="T111" i="129"/>
  <c r="S111" i="129"/>
  <c r="R111" i="129"/>
  <c r="Q111" i="129"/>
  <c r="P111" i="129"/>
  <c r="O111" i="129"/>
  <c r="N111" i="129"/>
  <c r="L111" i="129"/>
  <c r="K111" i="129"/>
  <c r="J111" i="129"/>
  <c r="I111" i="129"/>
  <c r="F111" i="129"/>
  <c r="A111" i="129"/>
  <c r="T110" i="129"/>
  <c r="S110" i="129"/>
  <c r="R110" i="129"/>
  <c r="Q110" i="129"/>
  <c r="P110" i="129"/>
  <c r="O110" i="129"/>
  <c r="N110" i="129"/>
  <c r="L110" i="129"/>
  <c r="K110" i="129"/>
  <c r="J110" i="129"/>
  <c r="I110" i="129"/>
  <c r="F110" i="129"/>
  <c r="A110" i="129"/>
  <c r="T109" i="129"/>
  <c r="S109" i="129"/>
  <c r="R109" i="129"/>
  <c r="Q109" i="129"/>
  <c r="P109" i="129"/>
  <c r="O109" i="129"/>
  <c r="N109" i="129"/>
  <c r="L109" i="129"/>
  <c r="K109" i="129"/>
  <c r="J109" i="129"/>
  <c r="I109" i="129"/>
  <c r="F109" i="129"/>
  <c r="A109" i="129"/>
  <c r="T108" i="129"/>
  <c r="S108" i="129"/>
  <c r="R108" i="129"/>
  <c r="Q108" i="129"/>
  <c r="P108" i="129"/>
  <c r="O108" i="129"/>
  <c r="N108" i="129"/>
  <c r="L108" i="129"/>
  <c r="K108" i="129"/>
  <c r="J108" i="129"/>
  <c r="I108" i="129"/>
  <c r="F108" i="129"/>
  <c r="A108" i="129"/>
  <c r="T107" i="129"/>
  <c r="S107" i="129"/>
  <c r="R107" i="129"/>
  <c r="Q107" i="129"/>
  <c r="P107" i="129"/>
  <c r="O107" i="129"/>
  <c r="N107" i="129"/>
  <c r="L107" i="129"/>
  <c r="K107" i="129"/>
  <c r="J107" i="129"/>
  <c r="I107" i="129"/>
  <c r="F107" i="129"/>
  <c r="A107" i="129"/>
  <c r="T106" i="129"/>
  <c r="S106" i="129"/>
  <c r="R106" i="129"/>
  <c r="Q106" i="129"/>
  <c r="P106" i="129"/>
  <c r="O106" i="129"/>
  <c r="N106" i="129"/>
  <c r="L106" i="129"/>
  <c r="K106" i="129"/>
  <c r="J106" i="129"/>
  <c r="I106" i="129"/>
  <c r="F106" i="129"/>
  <c r="A106" i="129"/>
  <c r="T105" i="129"/>
  <c r="S105" i="129"/>
  <c r="R105" i="129"/>
  <c r="Q105" i="129"/>
  <c r="P105" i="129"/>
  <c r="O105" i="129"/>
  <c r="N105" i="129"/>
  <c r="L105" i="129"/>
  <c r="K105" i="129"/>
  <c r="J105" i="129"/>
  <c r="I105" i="129"/>
  <c r="F105" i="129"/>
  <c r="A105" i="129"/>
  <c r="T104" i="129"/>
  <c r="S104" i="129"/>
  <c r="R104" i="129"/>
  <c r="Q104" i="129"/>
  <c r="P104" i="129"/>
  <c r="O104" i="129"/>
  <c r="N104" i="129"/>
  <c r="L104" i="129"/>
  <c r="K104" i="129"/>
  <c r="J104" i="129"/>
  <c r="I104" i="129"/>
  <c r="F104" i="129"/>
  <c r="A104" i="129"/>
  <c r="T103" i="129"/>
  <c r="S103" i="129"/>
  <c r="R103" i="129"/>
  <c r="Q103" i="129"/>
  <c r="P103" i="129"/>
  <c r="O103" i="129"/>
  <c r="N103" i="129"/>
  <c r="L103" i="129"/>
  <c r="K103" i="129"/>
  <c r="J103" i="129"/>
  <c r="I103" i="129"/>
  <c r="F103" i="129"/>
  <c r="A103" i="129"/>
  <c r="T102" i="129"/>
  <c r="S102" i="129"/>
  <c r="R102" i="129"/>
  <c r="Q102" i="129"/>
  <c r="P102" i="129"/>
  <c r="O102" i="129"/>
  <c r="N102" i="129"/>
  <c r="L102" i="129"/>
  <c r="K102" i="129"/>
  <c r="J102" i="129"/>
  <c r="I102" i="129"/>
  <c r="F102" i="129"/>
  <c r="A102" i="129"/>
  <c r="T101" i="129"/>
  <c r="S101" i="129"/>
  <c r="R101" i="129"/>
  <c r="Q101" i="129"/>
  <c r="P101" i="129"/>
  <c r="O101" i="129"/>
  <c r="N101" i="129"/>
  <c r="L101" i="129"/>
  <c r="K101" i="129"/>
  <c r="J101" i="129"/>
  <c r="I101" i="129"/>
  <c r="F101" i="129"/>
  <c r="A101" i="129"/>
  <c r="T100" i="129"/>
  <c r="S100" i="129"/>
  <c r="R100" i="129"/>
  <c r="Q100" i="129"/>
  <c r="P100" i="129"/>
  <c r="O100" i="129"/>
  <c r="N100" i="129"/>
  <c r="L100" i="129"/>
  <c r="K100" i="129"/>
  <c r="J100" i="129"/>
  <c r="I100" i="129"/>
  <c r="F100" i="129"/>
  <c r="A100" i="129"/>
  <c r="T99" i="129"/>
  <c r="S99" i="129"/>
  <c r="R99" i="129"/>
  <c r="Q99" i="129"/>
  <c r="P99" i="129"/>
  <c r="O99" i="129"/>
  <c r="N99" i="129"/>
  <c r="L99" i="129"/>
  <c r="K99" i="129"/>
  <c r="J99" i="129"/>
  <c r="I99" i="129"/>
  <c r="F99" i="129"/>
  <c r="A99" i="129"/>
  <c r="T98" i="129"/>
  <c r="S98" i="129"/>
  <c r="R98" i="129"/>
  <c r="Q98" i="129"/>
  <c r="P98" i="129"/>
  <c r="O98" i="129"/>
  <c r="N98" i="129"/>
  <c r="L98" i="129"/>
  <c r="K98" i="129"/>
  <c r="J98" i="129"/>
  <c r="I98" i="129"/>
  <c r="F98" i="129"/>
  <c r="A98" i="129"/>
  <c r="T97" i="129"/>
  <c r="S97" i="129"/>
  <c r="R97" i="129"/>
  <c r="Q97" i="129"/>
  <c r="P97" i="129"/>
  <c r="O97" i="129"/>
  <c r="N97" i="129"/>
  <c r="L97" i="129"/>
  <c r="K97" i="129"/>
  <c r="J97" i="129"/>
  <c r="I97" i="129"/>
  <c r="F97" i="129"/>
  <c r="A97" i="129"/>
  <c r="T96" i="129"/>
  <c r="S96" i="129"/>
  <c r="R96" i="129"/>
  <c r="Q96" i="129"/>
  <c r="P96" i="129"/>
  <c r="O96" i="129"/>
  <c r="N96" i="129"/>
  <c r="L96" i="129"/>
  <c r="K96" i="129"/>
  <c r="J96" i="129"/>
  <c r="I96" i="129"/>
  <c r="F96" i="129"/>
  <c r="A96" i="129"/>
  <c r="T95" i="129"/>
  <c r="S95" i="129"/>
  <c r="R95" i="129"/>
  <c r="Q95" i="129"/>
  <c r="P95" i="129"/>
  <c r="O95" i="129"/>
  <c r="N95" i="129"/>
  <c r="L95" i="129"/>
  <c r="K95" i="129"/>
  <c r="J95" i="129"/>
  <c r="I95" i="129"/>
  <c r="F95" i="129"/>
  <c r="A95" i="129"/>
  <c r="T94" i="129"/>
  <c r="S94" i="129"/>
  <c r="R94" i="129"/>
  <c r="Q94" i="129"/>
  <c r="P94" i="129"/>
  <c r="O94" i="129"/>
  <c r="N94" i="129"/>
  <c r="L94" i="129"/>
  <c r="K94" i="129"/>
  <c r="J94" i="129"/>
  <c r="I94" i="129"/>
  <c r="F94" i="129"/>
  <c r="A94" i="129"/>
  <c r="T93" i="129"/>
  <c r="S93" i="129"/>
  <c r="R93" i="129"/>
  <c r="Q93" i="129"/>
  <c r="P93" i="129"/>
  <c r="O93" i="129"/>
  <c r="N93" i="129"/>
  <c r="L93" i="129"/>
  <c r="K93" i="129"/>
  <c r="J93" i="129"/>
  <c r="I93" i="129"/>
  <c r="F93" i="129"/>
  <c r="A93" i="129"/>
  <c r="T92" i="129"/>
  <c r="S92" i="129"/>
  <c r="R92" i="129"/>
  <c r="Q92" i="129"/>
  <c r="P92" i="129"/>
  <c r="O92" i="129"/>
  <c r="N92" i="129"/>
  <c r="L92" i="129"/>
  <c r="K92" i="129"/>
  <c r="J92" i="129"/>
  <c r="I92" i="129"/>
  <c r="F92" i="129"/>
  <c r="A92" i="129"/>
  <c r="T91" i="129"/>
  <c r="S91" i="129"/>
  <c r="R91" i="129"/>
  <c r="Q91" i="129"/>
  <c r="P91" i="129"/>
  <c r="O91" i="129"/>
  <c r="N91" i="129"/>
  <c r="L91" i="129"/>
  <c r="K91" i="129"/>
  <c r="J91" i="129"/>
  <c r="I91" i="129"/>
  <c r="F91" i="129"/>
  <c r="A91" i="129"/>
  <c r="T90" i="129"/>
  <c r="S90" i="129"/>
  <c r="R90" i="129"/>
  <c r="Q90" i="129"/>
  <c r="P90" i="129"/>
  <c r="O90" i="129"/>
  <c r="N90" i="129"/>
  <c r="L90" i="129"/>
  <c r="K90" i="129"/>
  <c r="J90" i="129"/>
  <c r="I90" i="129"/>
  <c r="F90" i="129"/>
  <c r="A90" i="129"/>
  <c r="T89" i="129"/>
  <c r="S89" i="129"/>
  <c r="R89" i="129"/>
  <c r="Q89" i="129"/>
  <c r="P89" i="129"/>
  <c r="O89" i="129"/>
  <c r="N89" i="129"/>
  <c r="L89" i="129"/>
  <c r="K89" i="129"/>
  <c r="J89" i="129"/>
  <c r="I89" i="129"/>
  <c r="F89" i="129"/>
  <c r="A89" i="129"/>
  <c r="T88" i="129"/>
  <c r="S88" i="129"/>
  <c r="R88" i="129"/>
  <c r="Q88" i="129"/>
  <c r="P88" i="129"/>
  <c r="O88" i="129"/>
  <c r="N88" i="129"/>
  <c r="L88" i="129"/>
  <c r="K88" i="129"/>
  <c r="J88" i="129"/>
  <c r="I88" i="129"/>
  <c r="F88" i="129"/>
  <c r="A88" i="129"/>
  <c r="T87" i="129"/>
  <c r="S87" i="129"/>
  <c r="R87" i="129"/>
  <c r="Q87" i="129"/>
  <c r="P87" i="129"/>
  <c r="O87" i="129"/>
  <c r="N87" i="129"/>
  <c r="L87" i="129"/>
  <c r="K87" i="129"/>
  <c r="J87" i="129"/>
  <c r="I87" i="129"/>
  <c r="F87" i="129"/>
  <c r="A87" i="129"/>
  <c r="T86" i="129"/>
  <c r="S86" i="129"/>
  <c r="R86" i="129"/>
  <c r="Q86" i="129"/>
  <c r="P86" i="129"/>
  <c r="O86" i="129"/>
  <c r="N86" i="129"/>
  <c r="L86" i="129"/>
  <c r="K86" i="129"/>
  <c r="J86" i="129"/>
  <c r="I86" i="129"/>
  <c r="F86" i="129"/>
  <c r="A86" i="129"/>
  <c r="T85" i="129"/>
  <c r="S85" i="129"/>
  <c r="R85" i="129"/>
  <c r="Q85" i="129"/>
  <c r="P85" i="129"/>
  <c r="O85" i="129"/>
  <c r="N85" i="129"/>
  <c r="L85" i="129"/>
  <c r="K85" i="129"/>
  <c r="J85" i="129"/>
  <c r="I85" i="129"/>
  <c r="F85" i="129"/>
  <c r="A85" i="129"/>
  <c r="T84" i="129"/>
  <c r="S84" i="129"/>
  <c r="R84" i="129"/>
  <c r="Q84" i="129"/>
  <c r="P84" i="129"/>
  <c r="O84" i="129"/>
  <c r="N84" i="129"/>
  <c r="L84" i="129"/>
  <c r="K84" i="129"/>
  <c r="J84" i="129"/>
  <c r="I84" i="129"/>
  <c r="F84" i="129"/>
  <c r="A84" i="129"/>
  <c r="T83" i="129"/>
  <c r="S83" i="129"/>
  <c r="R83" i="129"/>
  <c r="Q83" i="129"/>
  <c r="P83" i="129"/>
  <c r="O83" i="129"/>
  <c r="N83" i="129"/>
  <c r="L83" i="129"/>
  <c r="K83" i="129"/>
  <c r="J83" i="129"/>
  <c r="I83" i="129"/>
  <c r="F83" i="129"/>
  <c r="A83" i="129"/>
  <c r="T82" i="129"/>
  <c r="S82" i="129"/>
  <c r="R82" i="129"/>
  <c r="Q82" i="129"/>
  <c r="P82" i="129"/>
  <c r="O82" i="129"/>
  <c r="N82" i="129"/>
  <c r="L82" i="129"/>
  <c r="K82" i="129"/>
  <c r="J82" i="129"/>
  <c r="I82" i="129"/>
  <c r="F82" i="129"/>
  <c r="A82" i="129"/>
  <c r="T81" i="129"/>
  <c r="S81" i="129"/>
  <c r="R81" i="129"/>
  <c r="Q81" i="129"/>
  <c r="P81" i="129"/>
  <c r="O81" i="129"/>
  <c r="N81" i="129"/>
  <c r="L81" i="129"/>
  <c r="K81" i="129"/>
  <c r="J81" i="129"/>
  <c r="I81" i="129"/>
  <c r="F81" i="129"/>
  <c r="A81" i="129"/>
  <c r="T80" i="129"/>
  <c r="S80" i="129"/>
  <c r="R80" i="129"/>
  <c r="Q80" i="129"/>
  <c r="P80" i="129"/>
  <c r="O80" i="129"/>
  <c r="N80" i="129"/>
  <c r="L80" i="129"/>
  <c r="K80" i="129"/>
  <c r="J80" i="129"/>
  <c r="I80" i="129"/>
  <c r="F80" i="129"/>
  <c r="A80" i="129"/>
  <c r="T79" i="129"/>
  <c r="S79" i="129"/>
  <c r="R79" i="129"/>
  <c r="Q79" i="129"/>
  <c r="P79" i="129"/>
  <c r="O79" i="129"/>
  <c r="N79" i="129"/>
  <c r="L79" i="129"/>
  <c r="K79" i="129"/>
  <c r="J79" i="129"/>
  <c r="I79" i="129"/>
  <c r="F79" i="129"/>
  <c r="A79" i="129"/>
  <c r="T78" i="129"/>
  <c r="S78" i="129"/>
  <c r="R78" i="129"/>
  <c r="Q78" i="129"/>
  <c r="P78" i="129"/>
  <c r="O78" i="129"/>
  <c r="N78" i="129"/>
  <c r="L78" i="129"/>
  <c r="K78" i="129"/>
  <c r="J78" i="129"/>
  <c r="I78" i="129"/>
  <c r="F78" i="129"/>
  <c r="A78" i="129"/>
  <c r="T77" i="129"/>
  <c r="S77" i="129"/>
  <c r="R77" i="129"/>
  <c r="Q77" i="129"/>
  <c r="P77" i="129"/>
  <c r="O77" i="129"/>
  <c r="N77" i="129"/>
  <c r="L77" i="129"/>
  <c r="K77" i="129"/>
  <c r="J77" i="129"/>
  <c r="I77" i="129"/>
  <c r="F77" i="129"/>
  <c r="A77" i="129"/>
  <c r="T76" i="129"/>
  <c r="S76" i="129"/>
  <c r="R76" i="129"/>
  <c r="Q76" i="129"/>
  <c r="P76" i="129"/>
  <c r="O76" i="129"/>
  <c r="N76" i="129"/>
  <c r="L76" i="129"/>
  <c r="K76" i="129"/>
  <c r="J76" i="129"/>
  <c r="I76" i="129"/>
  <c r="F76" i="129"/>
  <c r="A76" i="129"/>
  <c r="T75" i="129"/>
  <c r="S75" i="129"/>
  <c r="R75" i="129"/>
  <c r="Q75" i="129"/>
  <c r="P75" i="129"/>
  <c r="O75" i="129"/>
  <c r="N75" i="129"/>
  <c r="L75" i="129"/>
  <c r="K75" i="129"/>
  <c r="J75" i="129"/>
  <c r="I75" i="129"/>
  <c r="F75" i="129"/>
  <c r="A75" i="129"/>
  <c r="T74" i="129"/>
  <c r="S74" i="129"/>
  <c r="R74" i="129"/>
  <c r="Q74" i="129"/>
  <c r="P74" i="129"/>
  <c r="O74" i="129"/>
  <c r="N74" i="129"/>
  <c r="L74" i="129"/>
  <c r="K74" i="129"/>
  <c r="J74" i="129"/>
  <c r="I74" i="129"/>
  <c r="F74" i="129"/>
  <c r="A74" i="129"/>
  <c r="T73" i="129"/>
  <c r="S73" i="129"/>
  <c r="R73" i="129"/>
  <c r="Q73" i="129"/>
  <c r="P73" i="129"/>
  <c r="O73" i="129"/>
  <c r="N73" i="129"/>
  <c r="L73" i="129"/>
  <c r="K73" i="129"/>
  <c r="J73" i="129"/>
  <c r="I73" i="129"/>
  <c r="F73" i="129"/>
  <c r="A73" i="129"/>
  <c r="T72" i="129"/>
  <c r="S72" i="129"/>
  <c r="R72" i="129"/>
  <c r="Q72" i="129"/>
  <c r="P72" i="129"/>
  <c r="O72" i="129"/>
  <c r="N72" i="129"/>
  <c r="L72" i="129"/>
  <c r="K72" i="129"/>
  <c r="J72" i="129"/>
  <c r="I72" i="129"/>
  <c r="F72" i="129"/>
  <c r="A72" i="129"/>
  <c r="T71" i="129"/>
  <c r="S71" i="129"/>
  <c r="R71" i="129"/>
  <c r="Q71" i="129"/>
  <c r="P71" i="129"/>
  <c r="O71" i="129"/>
  <c r="N71" i="129"/>
  <c r="L71" i="129"/>
  <c r="K71" i="129"/>
  <c r="J71" i="129"/>
  <c r="I71" i="129"/>
  <c r="F71" i="129"/>
  <c r="A71" i="129"/>
  <c r="T70" i="129"/>
  <c r="S70" i="129"/>
  <c r="R70" i="129"/>
  <c r="Q70" i="129"/>
  <c r="P70" i="129"/>
  <c r="O70" i="129"/>
  <c r="N70" i="129"/>
  <c r="L70" i="129"/>
  <c r="K70" i="129"/>
  <c r="J70" i="129"/>
  <c r="I70" i="129"/>
  <c r="F70" i="129"/>
  <c r="A70" i="129"/>
  <c r="T69" i="129"/>
  <c r="S69" i="129"/>
  <c r="R69" i="129"/>
  <c r="Q69" i="129"/>
  <c r="P69" i="129"/>
  <c r="O69" i="129"/>
  <c r="N69" i="129"/>
  <c r="L69" i="129"/>
  <c r="K69" i="129"/>
  <c r="J69" i="129"/>
  <c r="I69" i="129"/>
  <c r="F69" i="129"/>
  <c r="A69" i="129"/>
  <c r="T68" i="129"/>
  <c r="S68" i="129"/>
  <c r="R68" i="129"/>
  <c r="Q68" i="129"/>
  <c r="P68" i="129"/>
  <c r="O68" i="129"/>
  <c r="N68" i="129"/>
  <c r="L68" i="129"/>
  <c r="K68" i="129"/>
  <c r="J68" i="129"/>
  <c r="I68" i="129"/>
  <c r="F68" i="129"/>
  <c r="A68" i="129"/>
  <c r="T67" i="129"/>
  <c r="S67" i="129"/>
  <c r="R67" i="129"/>
  <c r="Q67" i="129"/>
  <c r="P67" i="129"/>
  <c r="O67" i="129"/>
  <c r="N67" i="129"/>
  <c r="L67" i="129"/>
  <c r="K67" i="129"/>
  <c r="J67" i="129"/>
  <c r="I67" i="129"/>
  <c r="F67" i="129"/>
  <c r="A67" i="129"/>
  <c r="T66" i="129"/>
  <c r="S66" i="129"/>
  <c r="R66" i="129"/>
  <c r="Q66" i="129"/>
  <c r="P66" i="129"/>
  <c r="O66" i="129"/>
  <c r="N66" i="129"/>
  <c r="L66" i="129"/>
  <c r="K66" i="129"/>
  <c r="J66" i="129"/>
  <c r="I66" i="129"/>
  <c r="F66" i="129"/>
  <c r="A66" i="129"/>
  <c r="T65" i="129"/>
  <c r="S65" i="129"/>
  <c r="R65" i="129"/>
  <c r="Q65" i="129"/>
  <c r="P65" i="129"/>
  <c r="O65" i="129"/>
  <c r="N65" i="129"/>
  <c r="L65" i="129"/>
  <c r="K65" i="129"/>
  <c r="J65" i="129"/>
  <c r="I65" i="129"/>
  <c r="F65" i="129"/>
  <c r="A65" i="129"/>
  <c r="T64" i="129"/>
  <c r="S64" i="129"/>
  <c r="R64" i="129"/>
  <c r="Q64" i="129"/>
  <c r="P64" i="129"/>
  <c r="O64" i="129"/>
  <c r="N64" i="129"/>
  <c r="L64" i="129"/>
  <c r="K64" i="129"/>
  <c r="J64" i="129"/>
  <c r="I64" i="129"/>
  <c r="F64" i="129"/>
  <c r="A64" i="129"/>
  <c r="T63" i="129"/>
  <c r="S63" i="129"/>
  <c r="R63" i="129"/>
  <c r="Q63" i="129"/>
  <c r="P63" i="129"/>
  <c r="O63" i="129"/>
  <c r="N63" i="129"/>
  <c r="L63" i="129"/>
  <c r="K63" i="129"/>
  <c r="J63" i="129"/>
  <c r="I63" i="129"/>
  <c r="F63" i="129"/>
  <c r="A63" i="129"/>
  <c r="T62" i="129"/>
  <c r="S62" i="129"/>
  <c r="R62" i="129"/>
  <c r="Q62" i="129"/>
  <c r="P62" i="129"/>
  <c r="O62" i="129"/>
  <c r="N62" i="129"/>
  <c r="L62" i="129"/>
  <c r="K62" i="129"/>
  <c r="J62" i="129"/>
  <c r="I62" i="129"/>
  <c r="F62" i="129"/>
  <c r="A62" i="129"/>
  <c r="T61" i="129"/>
  <c r="S61" i="129"/>
  <c r="R61" i="129"/>
  <c r="Q61" i="129"/>
  <c r="P61" i="129"/>
  <c r="O61" i="129"/>
  <c r="N61" i="129"/>
  <c r="L61" i="129"/>
  <c r="K61" i="129"/>
  <c r="J61" i="129"/>
  <c r="I61" i="129"/>
  <c r="F61" i="129"/>
  <c r="A61" i="129"/>
  <c r="T60" i="129"/>
  <c r="S60" i="129"/>
  <c r="R60" i="129"/>
  <c r="Q60" i="129"/>
  <c r="P60" i="129"/>
  <c r="O60" i="129"/>
  <c r="N60" i="129"/>
  <c r="L60" i="129"/>
  <c r="K60" i="129"/>
  <c r="J60" i="129"/>
  <c r="I60" i="129"/>
  <c r="F60" i="129"/>
  <c r="A60" i="129"/>
  <c r="T59" i="129"/>
  <c r="S59" i="129"/>
  <c r="R59" i="129"/>
  <c r="Q59" i="129"/>
  <c r="P59" i="129"/>
  <c r="O59" i="129"/>
  <c r="N59" i="129"/>
  <c r="L59" i="129"/>
  <c r="K59" i="129"/>
  <c r="J59" i="129"/>
  <c r="I59" i="129"/>
  <c r="F59" i="129"/>
  <c r="A59" i="129"/>
  <c r="T58" i="129"/>
  <c r="S58" i="129"/>
  <c r="R58" i="129"/>
  <c r="Q58" i="129"/>
  <c r="P58" i="129"/>
  <c r="O58" i="129"/>
  <c r="N58" i="129"/>
  <c r="L58" i="129"/>
  <c r="K58" i="129"/>
  <c r="J58" i="129"/>
  <c r="I58" i="129"/>
  <c r="F58" i="129"/>
  <c r="A58" i="129"/>
  <c r="T57" i="129"/>
  <c r="S57" i="129"/>
  <c r="R57" i="129"/>
  <c r="Q57" i="129"/>
  <c r="P57" i="129"/>
  <c r="O57" i="129"/>
  <c r="N57" i="129"/>
  <c r="L57" i="129"/>
  <c r="K57" i="129"/>
  <c r="J57" i="129"/>
  <c r="I57" i="129"/>
  <c r="F57" i="129"/>
  <c r="A57" i="129"/>
  <c r="T56" i="129"/>
  <c r="S56" i="129"/>
  <c r="R56" i="129"/>
  <c r="Q56" i="129"/>
  <c r="P56" i="129"/>
  <c r="O56" i="129"/>
  <c r="N56" i="129"/>
  <c r="L56" i="129"/>
  <c r="K56" i="129"/>
  <c r="J56" i="129"/>
  <c r="I56" i="129"/>
  <c r="F56" i="129"/>
  <c r="A56" i="129"/>
  <c r="T55" i="129"/>
  <c r="S55" i="129"/>
  <c r="R55" i="129"/>
  <c r="Q55" i="129"/>
  <c r="P55" i="129"/>
  <c r="O55" i="129"/>
  <c r="N55" i="129"/>
  <c r="L55" i="129"/>
  <c r="K55" i="129"/>
  <c r="J55" i="129"/>
  <c r="I55" i="129"/>
  <c r="F55" i="129"/>
  <c r="A55" i="129"/>
  <c r="T54" i="129"/>
  <c r="S54" i="129"/>
  <c r="R54" i="129"/>
  <c r="Q54" i="129"/>
  <c r="P54" i="129"/>
  <c r="O54" i="129"/>
  <c r="N54" i="129"/>
  <c r="L54" i="129"/>
  <c r="K54" i="129"/>
  <c r="J54" i="129"/>
  <c r="I54" i="129"/>
  <c r="F54" i="129"/>
  <c r="A54" i="129"/>
  <c r="T53" i="129"/>
  <c r="S53" i="129"/>
  <c r="R53" i="129"/>
  <c r="Q53" i="129"/>
  <c r="P53" i="129"/>
  <c r="O53" i="129"/>
  <c r="N53" i="129"/>
  <c r="L53" i="129"/>
  <c r="K53" i="129"/>
  <c r="J53" i="129"/>
  <c r="I53" i="129"/>
  <c r="F53" i="129"/>
  <c r="A53" i="129"/>
  <c r="T52" i="129"/>
  <c r="S52" i="129"/>
  <c r="R52" i="129"/>
  <c r="Q52" i="129"/>
  <c r="P52" i="129"/>
  <c r="O52" i="129"/>
  <c r="N52" i="129"/>
  <c r="L52" i="129"/>
  <c r="K52" i="129"/>
  <c r="J52" i="129"/>
  <c r="I52" i="129"/>
  <c r="F52" i="129"/>
  <c r="A52" i="129"/>
  <c r="T51" i="129"/>
  <c r="S51" i="129"/>
  <c r="R51" i="129"/>
  <c r="Q51" i="129"/>
  <c r="P51" i="129"/>
  <c r="O51" i="129"/>
  <c r="N51" i="129"/>
  <c r="L51" i="129"/>
  <c r="K51" i="129"/>
  <c r="J51" i="129"/>
  <c r="I51" i="129"/>
  <c r="F51" i="129"/>
  <c r="A51" i="129"/>
  <c r="T50" i="129"/>
  <c r="S50" i="129"/>
  <c r="R50" i="129"/>
  <c r="Q50" i="129"/>
  <c r="P50" i="129"/>
  <c r="O50" i="129"/>
  <c r="N50" i="129"/>
  <c r="L50" i="129"/>
  <c r="K50" i="129"/>
  <c r="J50" i="129"/>
  <c r="I50" i="129"/>
  <c r="F50" i="129"/>
  <c r="A50" i="129"/>
  <c r="T49" i="129"/>
  <c r="S49" i="129"/>
  <c r="R49" i="129"/>
  <c r="Q49" i="129"/>
  <c r="P49" i="129"/>
  <c r="O49" i="129"/>
  <c r="N49" i="129"/>
  <c r="L49" i="129"/>
  <c r="K49" i="129"/>
  <c r="J49" i="129"/>
  <c r="I49" i="129"/>
  <c r="F49" i="129"/>
  <c r="A49" i="129"/>
  <c r="T48" i="129"/>
  <c r="S48" i="129"/>
  <c r="R48" i="129"/>
  <c r="Q48" i="129"/>
  <c r="P48" i="129"/>
  <c r="O48" i="129"/>
  <c r="N48" i="129"/>
  <c r="L48" i="129"/>
  <c r="K48" i="129"/>
  <c r="J48" i="129"/>
  <c r="I48" i="129"/>
  <c r="F48" i="129"/>
  <c r="A48" i="129"/>
  <c r="T47" i="129"/>
  <c r="S47" i="129"/>
  <c r="R47" i="129"/>
  <c r="Q47" i="129"/>
  <c r="P47" i="129"/>
  <c r="O47" i="129"/>
  <c r="N47" i="129"/>
  <c r="L47" i="129"/>
  <c r="K47" i="129"/>
  <c r="J47" i="129"/>
  <c r="I47" i="129"/>
  <c r="F47" i="129"/>
  <c r="A47" i="129"/>
  <c r="T46" i="129"/>
  <c r="S46" i="129"/>
  <c r="R46" i="129"/>
  <c r="Q46" i="129"/>
  <c r="P46" i="129"/>
  <c r="O46" i="129"/>
  <c r="N46" i="129"/>
  <c r="L46" i="129"/>
  <c r="K46" i="129"/>
  <c r="J46" i="129"/>
  <c r="I46" i="129"/>
  <c r="F46" i="129"/>
  <c r="A46" i="129"/>
  <c r="T45" i="129"/>
  <c r="S45" i="129"/>
  <c r="R45" i="129"/>
  <c r="Q45" i="129"/>
  <c r="P45" i="129"/>
  <c r="O45" i="129"/>
  <c r="N45" i="129"/>
  <c r="L45" i="129"/>
  <c r="K45" i="129"/>
  <c r="J45" i="129"/>
  <c r="I45" i="129"/>
  <c r="F45" i="129"/>
  <c r="A45" i="129"/>
  <c r="T44" i="129"/>
  <c r="S44" i="129"/>
  <c r="R44" i="129"/>
  <c r="Q44" i="129"/>
  <c r="P44" i="129"/>
  <c r="O44" i="129"/>
  <c r="N44" i="129"/>
  <c r="L44" i="129"/>
  <c r="K44" i="129"/>
  <c r="J44" i="129"/>
  <c r="I44" i="129"/>
  <c r="F44" i="129"/>
  <c r="A44" i="129"/>
  <c r="T43" i="129"/>
  <c r="S43" i="129"/>
  <c r="R43" i="129"/>
  <c r="Q43" i="129"/>
  <c r="P43" i="129"/>
  <c r="O43" i="129"/>
  <c r="N43" i="129"/>
  <c r="L43" i="129"/>
  <c r="K43" i="129"/>
  <c r="J43" i="129"/>
  <c r="I43" i="129"/>
  <c r="F43" i="129"/>
  <c r="A43" i="129"/>
  <c r="T42" i="129"/>
  <c r="S42" i="129"/>
  <c r="R42" i="129"/>
  <c r="Q42" i="129"/>
  <c r="P42" i="129"/>
  <c r="O42" i="129"/>
  <c r="N42" i="129"/>
  <c r="L42" i="129"/>
  <c r="K42" i="129"/>
  <c r="J42" i="129"/>
  <c r="I42" i="129"/>
  <c r="F42" i="129"/>
  <c r="A42" i="129"/>
  <c r="T41" i="129"/>
  <c r="S41" i="129"/>
  <c r="R41" i="129"/>
  <c r="Q41" i="129"/>
  <c r="P41" i="129"/>
  <c r="O41" i="129"/>
  <c r="N41" i="129"/>
  <c r="L41" i="129"/>
  <c r="K41" i="129"/>
  <c r="J41" i="129"/>
  <c r="I41" i="129"/>
  <c r="F41" i="129"/>
  <c r="A41" i="129"/>
  <c r="T40" i="129"/>
  <c r="S40" i="129"/>
  <c r="R40" i="129"/>
  <c r="Q40" i="129"/>
  <c r="P40" i="129"/>
  <c r="O40" i="129"/>
  <c r="N40" i="129"/>
  <c r="L40" i="129"/>
  <c r="K40" i="129"/>
  <c r="J40" i="129"/>
  <c r="I40" i="129"/>
  <c r="F40" i="129"/>
  <c r="A40" i="129"/>
  <c r="T39" i="129"/>
  <c r="S39" i="129"/>
  <c r="R39" i="129"/>
  <c r="Q39" i="129"/>
  <c r="P39" i="129"/>
  <c r="O39" i="129"/>
  <c r="N39" i="129"/>
  <c r="L39" i="129"/>
  <c r="K39" i="129"/>
  <c r="J39" i="129"/>
  <c r="I39" i="129"/>
  <c r="F39" i="129"/>
  <c r="A39" i="129"/>
  <c r="T38" i="129"/>
  <c r="S38" i="129"/>
  <c r="R38" i="129"/>
  <c r="Q38" i="129"/>
  <c r="P38" i="129"/>
  <c r="O38" i="129"/>
  <c r="N38" i="129"/>
  <c r="L38" i="129"/>
  <c r="K38" i="129"/>
  <c r="J38" i="129"/>
  <c r="I38" i="129"/>
  <c r="F38" i="129"/>
  <c r="A38" i="129"/>
  <c r="T37" i="129"/>
  <c r="S37" i="129"/>
  <c r="R37" i="129"/>
  <c r="Q37" i="129"/>
  <c r="P37" i="129"/>
  <c r="O37" i="129"/>
  <c r="N37" i="129"/>
  <c r="L37" i="129"/>
  <c r="K37" i="129"/>
  <c r="J37" i="129"/>
  <c r="I37" i="129"/>
  <c r="F37" i="129"/>
  <c r="A37" i="129"/>
  <c r="T36" i="129"/>
  <c r="S36" i="129"/>
  <c r="R36" i="129"/>
  <c r="Q36" i="129"/>
  <c r="P36" i="129"/>
  <c r="O36" i="129"/>
  <c r="N36" i="129"/>
  <c r="L36" i="129"/>
  <c r="K36" i="129"/>
  <c r="J36" i="129"/>
  <c r="I36" i="129"/>
  <c r="F36" i="129"/>
  <c r="A36" i="129"/>
  <c r="T35" i="129"/>
  <c r="S35" i="129"/>
  <c r="R35" i="129"/>
  <c r="Q35" i="129"/>
  <c r="P35" i="129"/>
  <c r="O35" i="129"/>
  <c r="N35" i="129"/>
  <c r="L35" i="129"/>
  <c r="K35" i="129"/>
  <c r="J35" i="129"/>
  <c r="I35" i="129"/>
  <c r="F35" i="129"/>
  <c r="A35" i="129"/>
  <c r="T34" i="129"/>
  <c r="S34" i="129"/>
  <c r="R34" i="129"/>
  <c r="Q34" i="129"/>
  <c r="P34" i="129"/>
  <c r="O34" i="129"/>
  <c r="N34" i="129"/>
  <c r="L34" i="129"/>
  <c r="K34" i="129"/>
  <c r="J34" i="129"/>
  <c r="I34" i="129"/>
  <c r="F34" i="129"/>
  <c r="A34" i="129"/>
  <c r="T33" i="129"/>
  <c r="S33" i="129"/>
  <c r="R33" i="129"/>
  <c r="Q33" i="129"/>
  <c r="P33" i="129"/>
  <c r="O33" i="129"/>
  <c r="N33" i="129"/>
  <c r="L33" i="129"/>
  <c r="K33" i="129"/>
  <c r="J33" i="129"/>
  <c r="I33" i="129"/>
  <c r="F33" i="129"/>
  <c r="A33" i="129"/>
  <c r="T32" i="129"/>
  <c r="S32" i="129"/>
  <c r="R32" i="129"/>
  <c r="Q32" i="129"/>
  <c r="P32" i="129"/>
  <c r="O32" i="129"/>
  <c r="N32" i="129"/>
  <c r="L32" i="129"/>
  <c r="K32" i="129"/>
  <c r="J32" i="129"/>
  <c r="I32" i="129"/>
  <c r="F32" i="129"/>
  <c r="A32" i="129"/>
  <c r="T31" i="129"/>
  <c r="S31" i="129"/>
  <c r="R31" i="129"/>
  <c r="Q31" i="129"/>
  <c r="P31" i="129"/>
  <c r="O31" i="129"/>
  <c r="N31" i="129"/>
  <c r="L31" i="129"/>
  <c r="K31" i="129"/>
  <c r="J31" i="129"/>
  <c r="I31" i="129"/>
  <c r="F31" i="129"/>
  <c r="A31" i="129"/>
  <c r="T30" i="129"/>
  <c r="S30" i="129"/>
  <c r="R30" i="129"/>
  <c r="Q30" i="129"/>
  <c r="P30" i="129"/>
  <c r="O30" i="129"/>
  <c r="N30" i="129"/>
  <c r="L30" i="129"/>
  <c r="K30" i="129"/>
  <c r="J30" i="129"/>
  <c r="I30" i="129"/>
  <c r="F30" i="129"/>
  <c r="A30" i="129"/>
  <c r="T29" i="129"/>
  <c r="S29" i="129"/>
  <c r="R29" i="129"/>
  <c r="Q29" i="129"/>
  <c r="P29" i="129"/>
  <c r="O29" i="129"/>
  <c r="N29" i="129"/>
  <c r="L29" i="129"/>
  <c r="K29" i="129"/>
  <c r="J29" i="129"/>
  <c r="I29" i="129"/>
  <c r="F29" i="129"/>
  <c r="A29" i="129"/>
  <c r="T28" i="129"/>
  <c r="S28" i="129"/>
  <c r="R28" i="129"/>
  <c r="Q28" i="129"/>
  <c r="P28" i="129"/>
  <c r="O28" i="129"/>
  <c r="N28" i="129"/>
  <c r="L28" i="129"/>
  <c r="K28" i="129"/>
  <c r="J28" i="129"/>
  <c r="I28" i="129"/>
  <c r="F28" i="129"/>
  <c r="A28" i="129"/>
  <c r="T27" i="129"/>
  <c r="S27" i="129"/>
  <c r="R27" i="129"/>
  <c r="Q27" i="129"/>
  <c r="P27" i="129"/>
  <c r="O27" i="129"/>
  <c r="N27" i="129"/>
  <c r="L27" i="129"/>
  <c r="K27" i="129"/>
  <c r="J27" i="129"/>
  <c r="I27" i="129"/>
  <c r="F27" i="129"/>
  <c r="A27" i="129"/>
  <c r="T26" i="129"/>
  <c r="S26" i="129"/>
  <c r="R26" i="129"/>
  <c r="Q26" i="129"/>
  <c r="P26" i="129"/>
  <c r="O26" i="129"/>
  <c r="N26" i="129"/>
  <c r="L26" i="129"/>
  <c r="K26" i="129"/>
  <c r="J26" i="129"/>
  <c r="I26" i="129"/>
  <c r="F26" i="129"/>
  <c r="A26" i="129"/>
  <c r="T25" i="129"/>
  <c r="S25" i="129"/>
  <c r="R25" i="129"/>
  <c r="Q25" i="129"/>
  <c r="P25" i="129"/>
  <c r="O25" i="129"/>
  <c r="N25" i="129"/>
  <c r="L25" i="129"/>
  <c r="K25" i="129"/>
  <c r="J25" i="129"/>
  <c r="I25" i="129"/>
  <c r="F25" i="129"/>
  <c r="A25" i="129"/>
  <c r="T24" i="129"/>
  <c r="S24" i="129"/>
  <c r="R24" i="129"/>
  <c r="Q24" i="129"/>
  <c r="P24" i="129"/>
  <c r="O24" i="129"/>
  <c r="N24" i="129"/>
  <c r="L24" i="129"/>
  <c r="K24" i="129"/>
  <c r="J24" i="129"/>
  <c r="I24" i="129"/>
  <c r="F24" i="129"/>
  <c r="A24" i="129"/>
  <c r="T23" i="129"/>
  <c r="S23" i="129"/>
  <c r="R23" i="129"/>
  <c r="Q23" i="129"/>
  <c r="P23" i="129"/>
  <c r="O23" i="129"/>
  <c r="N23" i="129"/>
  <c r="L23" i="129"/>
  <c r="K23" i="129"/>
  <c r="J23" i="129"/>
  <c r="I23" i="129"/>
  <c r="F23" i="129"/>
  <c r="A23" i="129"/>
  <c r="T22" i="129"/>
  <c r="S22" i="129"/>
  <c r="R22" i="129"/>
  <c r="Q22" i="129"/>
  <c r="P22" i="129"/>
  <c r="O22" i="129"/>
  <c r="N22" i="129"/>
  <c r="L22" i="129"/>
  <c r="K22" i="129"/>
  <c r="J22" i="129"/>
  <c r="I22" i="129"/>
  <c r="F22" i="129"/>
  <c r="A22" i="129"/>
  <c r="T21" i="129"/>
  <c r="S21" i="129"/>
  <c r="R21" i="129"/>
  <c r="Q21" i="129"/>
  <c r="P21" i="129"/>
  <c r="O21" i="129"/>
  <c r="N21" i="129"/>
  <c r="L21" i="129"/>
  <c r="K21" i="129"/>
  <c r="J21" i="129"/>
  <c r="I21" i="129"/>
  <c r="F21" i="129"/>
  <c r="A21" i="129"/>
  <c r="T20" i="129"/>
  <c r="S20" i="129"/>
  <c r="R20" i="129"/>
  <c r="Q20" i="129"/>
  <c r="P20" i="129"/>
  <c r="O20" i="129"/>
  <c r="N20" i="129"/>
  <c r="L20" i="129"/>
  <c r="K20" i="129"/>
  <c r="J20" i="129"/>
  <c r="I20" i="129"/>
  <c r="F20" i="129"/>
  <c r="A20" i="129"/>
  <c r="T19" i="129"/>
  <c r="S19" i="129"/>
  <c r="R19" i="129"/>
  <c r="Q19" i="129"/>
  <c r="P19" i="129"/>
  <c r="O19" i="129"/>
  <c r="N19" i="129"/>
  <c r="L19" i="129"/>
  <c r="K19" i="129"/>
  <c r="J19" i="129"/>
  <c r="I19" i="129"/>
  <c r="F19" i="129"/>
  <c r="A19" i="129"/>
  <c r="T18" i="129"/>
  <c r="S18" i="129"/>
  <c r="R18" i="129"/>
  <c r="Q18" i="129"/>
  <c r="P18" i="129"/>
  <c r="O18" i="129"/>
  <c r="N18" i="129"/>
  <c r="L18" i="129"/>
  <c r="K18" i="129"/>
  <c r="J18" i="129"/>
  <c r="I18" i="129"/>
  <c r="F18" i="129"/>
  <c r="A18" i="129"/>
  <c r="T17" i="129"/>
  <c r="S17" i="129"/>
  <c r="R17" i="129"/>
  <c r="Q17" i="129"/>
  <c r="P17" i="129"/>
  <c r="O17" i="129"/>
  <c r="N17" i="129"/>
  <c r="L17" i="129"/>
  <c r="K17" i="129"/>
  <c r="J17" i="129"/>
  <c r="I17" i="129"/>
  <c r="F17" i="129"/>
  <c r="A17" i="129"/>
  <c r="T16" i="129"/>
  <c r="S16" i="129"/>
  <c r="R16" i="129"/>
  <c r="Q16" i="129"/>
  <c r="P16" i="129"/>
  <c r="O16" i="129"/>
  <c r="N16" i="129"/>
  <c r="L16" i="129"/>
  <c r="K16" i="129"/>
  <c r="J16" i="129"/>
  <c r="I16" i="129"/>
  <c r="F16" i="129"/>
  <c r="A16" i="129"/>
  <c r="T15" i="129"/>
  <c r="S15" i="129"/>
  <c r="R15" i="129"/>
  <c r="Q15" i="129"/>
  <c r="P15" i="129"/>
  <c r="O15" i="129"/>
  <c r="N15" i="129"/>
  <c r="L15" i="129"/>
  <c r="K15" i="129"/>
  <c r="J15" i="129"/>
  <c r="I15" i="129"/>
  <c r="F15" i="129"/>
  <c r="A15" i="129"/>
  <c r="T14" i="129"/>
  <c r="S14" i="129"/>
  <c r="R14" i="129"/>
  <c r="Q14" i="129"/>
  <c r="P14" i="129"/>
  <c r="O14" i="129"/>
  <c r="N14" i="129"/>
  <c r="L14" i="129"/>
  <c r="K14" i="129"/>
  <c r="J14" i="129"/>
  <c r="I14" i="129"/>
  <c r="F14" i="129"/>
  <c r="A14" i="129"/>
  <c r="T13" i="129"/>
  <c r="S13" i="129"/>
  <c r="R13" i="129"/>
  <c r="Q13" i="129"/>
  <c r="P13" i="129"/>
  <c r="O13" i="129"/>
  <c r="N13" i="129"/>
  <c r="L13" i="129"/>
  <c r="K13" i="129"/>
  <c r="J13" i="129"/>
  <c r="I13" i="129"/>
  <c r="F13" i="129"/>
  <c r="A13" i="129"/>
  <c r="T12" i="129"/>
  <c r="S12" i="129"/>
  <c r="R12" i="129"/>
  <c r="Q12" i="129"/>
  <c r="P12" i="129"/>
  <c r="O12" i="129"/>
  <c r="N12" i="129"/>
  <c r="L12" i="129"/>
  <c r="K12" i="129"/>
  <c r="J12" i="129"/>
  <c r="I12" i="129"/>
  <c r="F12" i="129"/>
  <c r="A12" i="129"/>
  <c r="T11" i="129"/>
  <c r="S11" i="129"/>
  <c r="R11" i="129"/>
  <c r="Q11" i="129"/>
  <c r="P11" i="129"/>
  <c r="O11" i="129"/>
  <c r="N11" i="129"/>
  <c r="L11" i="129"/>
  <c r="K11" i="129"/>
  <c r="J11" i="129"/>
  <c r="I11" i="129"/>
  <c r="F11" i="129"/>
  <c r="A11" i="129"/>
  <c r="T10" i="129"/>
  <c r="S10" i="129"/>
  <c r="R10" i="129"/>
  <c r="Q10" i="129"/>
  <c r="P10" i="129"/>
  <c r="O10" i="129"/>
  <c r="N10" i="129"/>
  <c r="L10" i="129"/>
  <c r="K10" i="129"/>
  <c r="J10" i="129"/>
  <c r="I10" i="129"/>
  <c r="F10" i="129"/>
  <c r="A10" i="129"/>
  <c r="T9" i="129"/>
  <c r="S9" i="129"/>
  <c r="R9" i="129"/>
  <c r="Q9" i="129"/>
  <c r="P9" i="129"/>
  <c r="O9" i="129"/>
  <c r="N9" i="129"/>
  <c r="L9" i="129"/>
  <c r="K9" i="129"/>
  <c r="J9" i="129"/>
  <c r="I9" i="129"/>
  <c r="F9" i="129"/>
  <c r="A9" i="129"/>
  <c r="T8" i="129"/>
  <c r="S8" i="129"/>
  <c r="R8" i="129"/>
  <c r="Q8" i="129"/>
  <c r="P8" i="129"/>
  <c r="O8" i="129"/>
  <c r="N8" i="129"/>
  <c r="L8" i="129"/>
  <c r="K8" i="129"/>
  <c r="J8" i="129"/>
  <c r="I8" i="129"/>
  <c r="F8" i="129"/>
  <c r="A8" i="129"/>
  <c r="T7" i="129"/>
  <c r="S7" i="129"/>
  <c r="R7" i="129"/>
  <c r="Q7" i="129"/>
  <c r="P7" i="129"/>
  <c r="O7" i="129"/>
  <c r="N7" i="129"/>
  <c r="L7" i="129"/>
  <c r="K7" i="129"/>
  <c r="J7" i="129"/>
  <c r="I7" i="129"/>
  <c r="F7" i="129"/>
  <c r="A7" i="129"/>
  <c r="T6" i="129"/>
  <c r="S6" i="129"/>
  <c r="R6" i="129"/>
  <c r="Q6" i="129"/>
  <c r="P6" i="129"/>
  <c r="O6" i="129"/>
  <c r="N6" i="129"/>
  <c r="L6" i="129"/>
  <c r="K6" i="129"/>
  <c r="J6" i="129"/>
  <c r="I6" i="129"/>
  <c r="F6" i="129"/>
  <c r="A6" i="129"/>
  <c r="T5" i="129"/>
  <c r="S5" i="129"/>
  <c r="R5" i="129"/>
  <c r="Q5" i="129"/>
  <c r="P5" i="129"/>
  <c r="O5" i="129"/>
  <c r="N5" i="129"/>
  <c r="L5" i="129"/>
  <c r="K5" i="129"/>
  <c r="J5" i="129"/>
  <c r="I5" i="129"/>
  <c r="F5" i="129"/>
  <c r="A5" i="129"/>
  <c r="T4" i="129"/>
  <c r="S4" i="129"/>
  <c r="R4" i="129"/>
  <c r="Q4" i="129"/>
  <c r="P4" i="129"/>
  <c r="O4" i="129"/>
  <c r="N4" i="129"/>
  <c r="L4" i="129"/>
  <c r="K4" i="129"/>
  <c r="J4" i="129"/>
  <c r="I4" i="129"/>
  <c r="F4" i="129"/>
  <c r="A4" i="129"/>
  <c r="T3" i="129"/>
  <c r="S3" i="129"/>
  <c r="R3" i="129"/>
  <c r="Q3" i="129"/>
  <c r="P3" i="129"/>
  <c r="O3" i="129"/>
  <c r="N3" i="129"/>
  <c r="L3" i="129"/>
  <c r="K3" i="129"/>
  <c r="J3" i="129"/>
  <c r="I3" i="129"/>
  <c r="F3" i="129"/>
  <c r="A3" i="129"/>
  <c r="T2" i="129"/>
  <c r="S2" i="129"/>
  <c r="R2" i="129"/>
  <c r="Q2" i="129"/>
  <c r="P2" i="129"/>
  <c r="O2" i="129"/>
  <c r="N2" i="129"/>
  <c r="L2" i="129"/>
  <c r="K2" i="129"/>
  <c r="J2" i="129"/>
  <c r="I2" i="129"/>
  <c r="F2" i="129"/>
  <c r="A2" i="129"/>
  <c r="B39" i="128"/>
  <c r="B36" i="128"/>
  <c r="B37" i="128"/>
  <c r="B38" i="128"/>
  <c r="B40" i="128"/>
  <c r="B41" i="128"/>
  <c r="B42" i="128"/>
  <c r="B43" i="128"/>
  <c r="C39" i="128"/>
  <c r="C42" i="128"/>
  <c r="F43" i="128"/>
  <c r="C38" i="128"/>
  <c r="C41" i="128"/>
  <c r="F42" i="128"/>
  <c r="C36" i="128"/>
  <c r="C37" i="128"/>
  <c r="C40" i="128"/>
  <c r="F41" i="128"/>
  <c r="F38" i="128"/>
  <c r="F37" i="128"/>
  <c r="F36" i="128"/>
  <c r="B24" i="128"/>
  <c r="C20" i="128"/>
  <c r="C23" i="128"/>
  <c r="C24" i="128"/>
  <c r="D24" i="128"/>
  <c r="D23" i="128"/>
  <c r="G23" i="128"/>
  <c r="H23" i="128"/>
  <c r="I23" i="128"/>
  <c r="J23" i="128"/>
  <c r="F23" i="128"/>
  <c r="I22" i="128"/>
  <c r="J22" i="128"/>
  <c r="F22" i="128"/>
  <c r="I21" i="128"/>
  <c r="J21" i="128"/>
  <c r="F21" i="128"/>
  <c r="D20" i="128"/>
  <c r="G20" i="128"/>
  <c r="H20" i="128"/>
  <c r="I20" i="128"/>
  <c r="J20" i="128"/>
  <c r="F20" i="128"/>
  <c r="I19" i="128"/>
  <c r="J19" i="128"/>
  <c r="F19" i="128"/>
  <c r="I18" i="128"/>
  <c r="J18" i="128"/>
  <c r="F18" i="128"/>
  <c r="I17" i="128"/>
  <c r="J17" i="128"/>
  <c r="F17" i="128"/>
  <c r="R12" i="128"/>
  <c r="M12" i="128"/>
  <c r="R11" i="128"/>
  <c r="M11" i="128"/>
  <c r="R10" i="128"/>
  <c r="M10" i="128"/>
  <c r="B10" i="128"/>
  <c r="R9" i="128"/>
  <c r="M9" i="128"/>
  <c r="R8" i="128"/>
  <c r="M8" i="128"/>
  <c r="R7" i="128"/>
  <c r="M7" i="128"/>
  <c r="R6" i="128"/>
  <c r="M6" i="128"/>
  <c r="R5" i="128"/>
  <c r="M5" i="128"/>
  <c r="R4" i="128"/>
  <c r="M4" i="128"/>
  <c r="R3" i="128"/>
  <c r="M3" i="128"/>
  <c r="T265" i="127"/>
  <c r="S265" i="127"/>
  <c r="R265" i="127"/>
  <c r="Q265" i="127"/>
  <c r="P265" i="127"/>
  <c r="O265" i="127"/>
  <c r="G265" i="127"/>
  <c r="C265" i="127"/>
  <c r="H265" i="127"/>
  <c r="B265" i="127"/>
  <c r="A2" i="126"/>
  <c r="B21" i="126"/>
  <c r="P3" i="126"/>
  <c r="O3" i="126"/>
  <c r="Q3" i="126"/>
  <c r="P4" i="126"/>
  <c r="O4" i="126"/>
  <c r="Q4" i="126"/>
  <c r="P5" i="126"/>
  <c r="O5" i="126"/>
  <c r="Q5" i="126"/>
  <c r="P6" i="126"/>
  <c r="O6" i="126"/>
  <c r="Q6" i="126"/>
  <c r="P7" i="126"/>
  <c r="O7" i="126"/>
  <c r="Q7" i="126"/>
  <c r="P8" i="126"/>
  <c r="O8" i="126"/>
  <c r="Q8" i="126"/>
  <c r="P9" i="126"/>
  <c r="O9" i="126"/>
  <c r="Q9" i="126"/>
  <c r="P10" i="126"/>
  <c r="O10" i="126"/>
  <c r="Q10" i="126"/>
  <c r="P11" i="126"/>
  <c r="O11" i="126"/>
  <c r="Q11" i="126"/>
  <c r="P12" i="126"/>
  <c r="O12" i="126"/>
  <c r="Q12" i="126"/>
  <c r="C21" i="126"/>
  <c r="D21" i="126"/>
  <c r="G21" i="126"/>
  <c r="G2" i="127"/>
  <c r="C2" i="127"/>
  <c r="H2" i="127"/>
  <c r="B2" i="127"/>
  <c r="G3" i="127"/>
  <c r="C3" i="127"/>
  <c r="H3" i="127"/>
  <c r="B3" i="127"/>
  <c r="G4" i="127"/>
  <c r="C4" i="127"/>
  <c r="H4" i="127"/>
  <c r="B4" i="127"/>
  <c r="G5" i="127"/>
  <c r="C5" i="127"/>
  <c r="H5" i="127"/>
  <c r="B5" i="127"/>
  <c r="G6" i="127"/>
  <c r="C6" i="127"/>
  <c r="H6" i="127"/>
  <c r="B6" i="127"/>
  <c r="G7" i="127"/>
  <c r="C7" i="127"/>
  <c r="H7" i="127"/>
  <c r="B7" i="127"/>
  <c r="G8" i="127"/>
  <c r="C8" i="127"/>
  <c r="H8" i="127"/>
  <c r="B8" i="127"/>
  <c r="G9" i="127"/>
  <c r="C9" i="127"/>
  <c r="H9" i="127"/>
  <c r="B9" i="127"/>
  <c r="G10" i="127"/>
  <c r="C10" i="127"/>
  <c r="H10" i="127"/>
  <c r="B10" i="127"/>
  <c r="G11" i="127"/>
  <c r="C11" i="127"/>
  <c r="H11" i="127"/>
  <c r="B11" i="127"/>
  <c r="G12" i="127"/>
  <c r="C12" i="127"/>
  <c r="H12" i="127"/>
  <c r="B12" i="127"/>
  <c r="G13" i="127"/>
  <c r="C13" i="127"/>
  <c r="H13" i="127"/>
  <c r="B13" i="127"/>
  <c r="G14" i="127"/>
  <c r="C14" i="127"/>
  <c r="H14" i="127"/>
  <c r="B14" i="127"/>
  <c r="G15" i="127"/>
  <c r="C15" i="127"/>
  <c r="H15" i="127"/>
  <c r="B15" i="127"/>
  <c r="G16" i="127"/>
  <c r="C16" i="127"/>
  <c r="H16" i="127"/>
  <c r="B16" i="127"/>
  <c r="G17" i="127"/>
  <c r="C17" i="127"/>
  <c r="H17" i="127"/>
  <c r="B17" i="127"/>
  <c r="G18" i="127"/>
  <c r="C18" i="127"/>
  <c r="H18" i="127"/>
  <c r="B18" i="127"/>
  <c r="G19" i="127"/>
  <c r="C19" i="127"/>
  <c r="H19" i="127"/>
  <c r="B19" i="127"/>
  <c r="G20" i="127"/>
  <c r="C20" i="127"/>
  <c r="H20" i="127"/>
  <c r="B20" i="127"/>
  <c r="G21" i="127"/>
  <c r="C21" i="127"/>
  <c r="H21" i="127"/>
  <c r="B21" i="127"/>
  <c r="G22" i="127"/>
  <c r="C22" i="127"/>
  <c r="H22" i="127"/>
  <c r="B22" i="127"/>
  <c r="G23" i="127"/>
  <c r="C23" i="127"/>
  <c r="H23" i="127"/>
  <c r="B23" i="127"/>
  <c r="G24" i="127"/>
  <c r="C24" i="127"/>
  <c r="H24" i="127"/>
  <c r="B24" i="127"/>
  <c r="G25" i="127"/>
  <c r="C25" i="127"/>
  <c r="H25" i="127"/>
  <c r="B25" i="127"/>
  <c r="G26" i="127"/>
  <c r="C26" i="127"/>
  <c r="H26" i="127"/>
  <c r="B26" i="127"/>
  <c r="G27" i="127"/>
  <c r="C27" i="127"/>
  <c r="H27" i="127"/>
  <c r="B27" i="127"/>
  <c r="G28" i="127"/>
  <c r="C28" i="127"/>
  <c r="H28" i="127"/>
  <c r="B28" i="127"/>
  <c r="G29" i="127"/>
  <c r="C29" i="127"/>
  <c r="H29" i="127"/>
  <c r="B29" i="127"/>
  <c r="G30" i="127"/>
  <c r="C30" i="127"/>
  <c r="H30" i="127"/>
  <c r="B30" i="127"/>
  <c r="G31" i="127"/>
  <c r="C31" i="127"/>
  <c r="H31" i="127"/>
  <c r="B31" i="127"/>
  <c r="G32" i="127"/>
  <c r="C32" i="127"/>
  <c r="H32" i="127"/>
  <c r="B32" i="127"/>
  <c r="G33" i="127"/>
  <c r="C33" i="127"/>
  <c r="H33" i="127"/>
  <c r="B33" i="127"/>
  <c r="G34" i="127"/>
  <c r="C34" i="127"/>
  <c r="H34" i="127"/>
  <c r="B34" i="127"/>
  <c r="G35" i="127"/>
  <c r="C35" i="127"/>
  <c r="H35" i="127"/>
  <c r="B35" i="127"/>
  <c r="G36" i="127"/>
  <c r="C36" i="127"/>
  <c r="H36" i="127"/>
  <c r="B36" i="127"/>
  <c r="G37" i="127"/>
  <c r="C37" i="127"/>
  <c r="H37" i="127"/>
  <c r="B37" i="127"/>
  <c r="G38" i="127"/>
  <c r="C38" i="127"/>
  <c r="H38" i="127"/>
  <c r="B38" i="127"/>
  <c r="G39" i="127"/>
  <c r="C39" i="127"/>
  <c r="H39" i="127"/>
  <c r="B39" i="127"/>
  <c r="G40" i="127"/>
  <c r="C40" i="127"/>
  <c r="H40" i="127"/>
  <c r="B40" i="127"/>
  <c r="G41" i="127"/>
  <c r="C41" i="127"/>
  <c r="H41" i="127"/>
  <c r="B41" i="127"/>
  <c r="G42" i="127"/>
  <c r="C42" i="127"/>
  <c r="H42" i="127"/>
  <c r="B42" i="127"/>
  <c r="G43" i="127"/>
  <c r="C43" i="127"/>
  <c r="H43" i="127"/>
  <c r="B43" i="127"/>
  <c r="G44" i="127"/>
  <c r="C44" i="127"/>
  <c r="H44" i="127"/>
  <c r="B44" i="127"/>
  <c r="G45" i="127"/>
  <c r="C45" i="127"/>
  <c r="H45" i="127"/>
  <c r="B45" i="127"/>
  <c r="G46" i="127"/>
  <c r="C46" i="127"/>
  <c r="H46" i="127"/>
  <c r="B46" i="127"/>
  <c r="G47" i="127"/>
  <c r="C47" i="127"/>
  <c r="H47" i="127"/>
  <c r="B47" i="127"/>
  <c r="G48" i="127"/>
  <c r="C48" i="127"/>
  <c r="H48" i="127"/>
  <c r="B48" i="127"/>
  <c r="G49" i="127"/>
  <c r="C49" i="127"/>
  <c r="H49" i="127"/>
  <c r="B49" i="127"/>
  <c r="G50" i="127"/>
  <c r="C50" i="127"/>
  <c r="H50" i="127"/>
  <c r="B50" i="127"/>
  <c r="G51" i="127"/>
  <c r="C51" i="127"/>
  <c r="H51" i="127"/>
  <c r="B51" i="127"/>
  <c r="G52" i="127"/>
  <c r="C52" i="127"/>
  <c r="H52" i="127"/>
  <c r="B52" i="127"/>
  <c r="G53" i="127"/>
  <c r="C53" i="127"/>
  <c r="H53" i="127"/>
  <c r="B53" i="127"/>
  <c r="G54" i="127"/>
  <c r="C54" i="127"/>
  <c r="H54" i="127"/>
  <c r="B54" i="127"/>
  <c r="G55" i="127"/>
  <c r="C55" i="127"/>
  <c r="H55" i="127"/>
  <c r="B55" i="127"/>
  <c r="G56" i="127"/>
  <c r="C56" i="127"/>
  <c r="H56" i="127"/>
  <c r="B56" i="127"/>
  <c r="G57" i="127"/>
  <c r="C57" i="127"/>
  <c r="H57" i="127"/>
  <c r="B57" i="127"/>
  <c r="G58" i="127"/>
  <c r="C58" i="127"/>
  <c r="H58" i="127"/>
  <c r="B58" i="127"/>
  <c r="G59" i="127"/>
  <c r="C59" i="127"/>
  <c r="H59" i="127"/>
  <c r="B59" i="127"/>
  <c r="G60" i="127"/>
  <c r="C60" i="127"/>
  <c r="H60" i="127"/>
  <c r="B60" i="127"/>
  <c r="G61" i="127"/>
  <c r="C61" i="127"/>
  <c r="H61" i="127"/>
  <c r="B61" i="127"/>
  <c r="G62" i="127"/>
  <c r="C62" i="127"/>
  <c r="H62" i="127"/>
  <c r="B62" i="127"/>
  <c r="G63" i="127"/>
  <c r="C63" i="127"/>
  <c r="H63" i="127"/>
  <c r="B63" i="127"/>
  <c r="G64" i="127"/>
  <c r="C64" i="127"/>
  <c r="H64" i="127"/>
  <c r="B64" i="127"/>
  <c r="G65" i="127"/>
  <c r="C65" i="127"/>
  <c r="H65" i="127"/>
  <c r="B65" i="127"/>
  <c r="G66" i="127"/>
  <c r="C66" i="127"/>
  <c r="H66" i="127"/>
  <c r="B66" i="127"/>
  <c r="G67" i="127"/>
  <c r="C67" i="127"/>
  <c r="H67" i="127"/>
  <c r="B67" i="127"/>
  <c r="G68" i="127"/>
  <c r="C68" i="127"/>
  <c r="H68" i="127"/>
  <c r="B68" i="127"/>
  <c r="G69" i="127"/>
  <c r="C69" i="127"/>
  <c r="H69" i="127"/>
  <c r="B69" i="127"/>
  <c r="G70" i="127"/>
  <c r="C70" i="127"/>
  <c r="H70" i="127"/>
  <c r="B70" i="127"/>
  <c r="G71" i="127"/>
  <c r="C71" i="127"/>
  <c r="H71" i="127"/>
  <c r="B71" i="127"/>
  <c r="G72" i="127"/>
  <c r="C72" i="127"/>
  <c r="H72" i="127"/>
  <c r="B72" i="127"/>
  <c r="G73" i="127"/>
  <c r="C73" i="127"/>
  <c r="H73" i="127"/>
  <c r="B73" i="127"/>
  <c r="G74" i="127"/>
  <c r="C74" i="127"/>
  <c r="H74" i="127"/>
  <c r="B74" i="127"/>
  <c r="G75" i="127"/>
  <c r="C75" i="127"/>
  <c r="H75" i="127"/>
  <c r="B75" i="127"/>
  <c r="G76" i="127"/>
  <c r="C76" i="127"/>
  <c r="H76" i="127"/>
  <c r="B76" i="127"/>
  <c r="G77" i="127"/>
  <c r="C77" i="127"/>
  <c r="H77" i="127"/>
  <c r="B77" i="127"/>
  <c r="G78" i="127"/>
  <c r="C78" i="127"/>
  <c r="H78" i="127"/>
  <c r="B78" i="127"/>
  <c r="G79" i="127"/>
  <c r="C79" i="127"/>
  <c r="H79" i="127"/>
  <c r="B79" i="127"/>
  <c r="G80" i="127"/>
  <c r="C80" i="127"/>
  <c r="H80" i="127"/>
  <c r="B80" i="127"/>
  <c r="G81" i="127"/>
  <c r="C81" i="127"/>
  <c r="H81" i="127"/>
  <c r="B81" i="127"/>
  <c r="G82" i="127"/>
  <c r="C82" i="127"/>
  <c r="H82" i="127"/>
  <c r="B82" i="127"/>
  <c r="G83" i="127"/>
  <c r="C83" i="127"/>
  <c r="H83" i="127"/>
  <c r="B83" i="127"/>
  <c r="G84" i="127"/>
  <c r="C84" i="127"/>
  <c r="H84" i="127"/>
  <c r="B84" i="127"/>
  <c r="G85" i="127"/>
  <c r="C85" i="127"/>
  <c r="H85" i="127"/>
  <c r="B85" i="127"/>
  <c r="G86" i="127"/>
  <c r="C86" i="127"/>
  <c r="H86" i="127"/>
  <c r="B86" i="127"/>
  <c r="G87" i="127"/>
  <c r="C87" i="127"/>
  <c r="H87" i="127"/>
  <c r="B87" i="127"/>
  <c r="G88" i="127"/>
  <c r="C88" i="127"/>
  <c r="H88" i="127"/>
  <c r="B88" i="127"/>
  <c r="G89" i="127"/>
  <c r="C89" i="127"/>
  <c r="H89" i="127"/>
  <c r="B89" i="127"/>
  <c r="G90" i="127"/>
  <c r="C90" i="127"/>
  <c r="H90" i="127"/>
  <c r="B90" i="127"/>
  <c r="G91" i="127"/>
  <c r="C91" i="127"/>
  <c r="H91" i="127"/>
  <c r="B91" i="127"/>
  <c r="G92" i="127"/>
  <c r="C92" i="127"/>
  <c r="H92" i="127"/>
  <c r="B92" i="127"/>
  <c r="G93" i="127"/>
  <c r="C93" i="127"/>
  <c r="H93" i="127"/>
  <c r="B93" i="127"/>
  <c r="G94" i="127"/>
  <c r="C94" i="127"/>
  <c r="H94" i="127"/>
  <c r="B94" i="127"/>
  <c r="G95" i="127"/>
  <c r="C95" i="127"/>
  <c r="H95" i="127"/>
  <c r="B95" i="127"/>
  <c r="G96" i="127"/>
  <c r="C96" i="127"/>
  <c r="H96" i="127"/>
  <c r="B96" i="127"/>
  <c r="G97" i="127"/>
  <c r="C97" i="127"/>
  <c r="H97" i="127"/>
  <c r="B97" i="127"/>
  <c r="G98" i="127"/>
  <c r="C98" i="127"/>
  <c r="H98" i="127"/>
  <c r="B98" i="127"/>
  <c r="G99" i="127"/>
  <c r="C99" i="127"/>
  <c r="H99" i="127"/>
  <c r="B99" i="127"/>
  <c r="G100" i="127"/>
  <c r="C100" i="127"/>
  <c r="H100" i="127"/>
  <c r="B100" i="127"/>
  <c r="G101" i="127"/>
  <c r="C101" i="127"/>
  <c r="H101" i="127"/>
  <c r="B101" i="127"/>
  <c r="G102" i="127"/>
  <c r="C102" i="127"/>
  <c r="H102" i="127"/>
  <c r="B102" i="127"/>
  <c r="G103" i="127"/>
  <c r="C103" i="127"/>
  <c r="H103" i="127"/>
  <c r="B103" i="127"/>
  <c r="G104" i="127"/>
  <c r="C104" i="127"/>
  <c r="H104" i="127"/>
  <c r="B104" i="127"/>
  <c r="G105" i="127"/>
  <c r="C105" i="127"/>
  <c r="H105" i="127"/>
  <c r="B105" i="127"/>
  <c r="G106" i="127"/>
  <c r="C106" i="127"/>
  <c r="H106" i="127"/>
  <c r="B106" i="127"/>
  <c r="G107" i="127"/>
  <c r="C107" i="127"/>
  <c r="H107" i="127"/>
  <c r="B107" i="127"/>
  <c r="G108" i="127"/>
  <c r="C108" i="127"/>
  <c r="H108" i="127"/>
  <c r="B108" i="127"/>
  <c r="G109" i="127"/>
  <c r="C109" i="127"/>
  <c r="H109" i="127"/>
  <c r="B109" i="127"/>
  <c r="G110" i="127"/>
  <c r="C110" i="127"/>
  <c r="H110" i="127"/>
  <c r="B110" i="127"/>
  <c r="G111" i="127"/>
  <c r="C111" i="127"/>
  <c r="H111" i="127"/>
  <c r="B111" i="127"/>
  <c r="G112" i="127"/>
  <c r="C112" i="127"/>
  <c r="H112" i="127"/>
  <c r="B112" i="127"/>
  <c r="G113" i="127"/>
  <c r="C113" i="127"/>
  <c r="H113" i="127"/>
  <c r="B113" i="127"/>
  <c r="G114" i="127"/>
  <c r="C114" i="127"/>
  <c r="H114" i="127"/>
  <c r="B114" i="127"/>
  <c r="G115" i="127"/>
  <c r="C115" i="127"/>
  <c r="H115" i="127"/>
  <c r="B115" i="127"/>
  <c r="G116" i="127"/>
  <c r="C116" i="127"/>
  <c r="H116" i="127"/>
  <c r="B116" i="127"/>
  <c r="G117" i="127"/>
  <c r="C117" i="127"/>
  <c r="H117" i="127"/>
  <c r="B117" i="127"/>
  <c r="G118" i="127"/>
  <c r="C118" i="127"/>
  <c r="H118" i="127"/>
  <c r="B118" i="127"/>
  <c r="G119" i="127"/>
  <c r="C119" i="127"/>
  <c r="H119" i="127"/>
  <c r="B119" i="127"/>
  <c r="G120" i="127"/>
  <c r="C120" i="127"/>
  <c r="H120" i="127"/>
  <c r="B120" i="127"/>
  <c r="G121" i="127"/>
  <c r="C121" i="127"/>
  <c r="H121" i="127"/>
  <c r="B121" i="127"/>
  <c r="G122" i="127"/>
  <c r="C122" i="127"/>
  <c r="H122" i="127"/>
  <c r="B122" i="127"/>
  <c r="G123" i="127"/>
  <c r="C123" i="127"/>
  <c r="H123" i="127"/>
  <c r="B123" i="127"/>
  <c r="G124" i="127"/>
  <c r="C124" i="127"/>
  <c r="H124" i="127"/>
  <c r="B124" i="127"/>
  <c r="G125" i="127"/>
  <c r="C125" i="127"/>
  <c r="H125" i="127"/>
  <c r="B125" i="127"/>
  <c r="G126" i="127"/>
  <c r="C126" i="127"/>
  <c r="H126" i="127"/>
  <c r="B126" i="127"/>
  <c r="G127" i="127"/>
  <c r="C127" i="127"/>
  <c r="H127" i="127"/>
  <c r="B127" i="127"/>
  <c r="G128" i="127"/>
  <c r="C128" i="127"/>
  <c r="H128" i="127"/>
  <c r="B128" i="127"/>
  <c r="G129" i="127"/>
  <c r="C129" i="127"/>
  <c r="H129" i="127"/>
  <c r="B129" i="127"/>
  <c r="G130" i="127"/>
  <c r="C130" i="127"/>
  <c r="H130" i="127"/>
  <c r="B130" i="127"/>
  <c r="G131" i="127"/>
  <c r="C131" i="127"/>
  <c r="H131" i="127"/>
  <c r="B131" i="127"/>
  <c r="G132" i="127"/>
  <c r="C132" i="127"/>
  <c r="H132" i="127"/>
  <c r="B132" i="127"/>
  <c r="G133" i="127"/>
  <c r="C133" i="127"/>
  <c r="H133" i="127"/>
  <c r="B133" i="127"/>
  <c r="G134" i="127"/>
  <c r="C134" i="127"/>
  <c r="H134" i="127"/>
  <c r="B134" i="127"/>
  <c r="G135" i="127"/>
  <c r="C135" i="127"/>
  <c r="H135" i="127"/>
  <c r="B135" i="127"/>
  <c r="G136" i="127"/>
  <c r="C136" i="127"/>
  <c r="H136" i="127"/>
  <c r="B136" i="127"/>
  <c r="G137" i="127"/>
  <c r="C137" i="127"/>
  <c r="H137" i="127"/>
  <c r="B137" i="127"/>
  <c r="G138" i="127"/>
  <c r="C138" i="127"/>
  <c r="H138" i="127"/>
  <c r="B138" i="127"/>
  <c r="G139" i="127"/>
  <c r="C139" i="127"/>
  <c r="H139" i="127"/>
  <c r="B139" i="127"/>
  <c r="G140" i="127"/>
  <c r="C140" i="127"/>
  <c r="H140" i="127"/>
  <c r="B140" i="127"/>
  <c r="G141" i="127"/>
  <c r="C141" i="127"/>
  <c r="H141" i="127"/>
  <c r="B141" i="127"/>
  <c r="G142" i="127"/>
  <c r="C142" i="127"/>
  <c r="H142" i="127"/>
  <c r="B142" i="127"/>
  <c r="G143" i="127"/>
  <c r="C143" i="127"/>
  <c r="H143" i="127"/>
  <c r="B143" i="127"/>
  <c r="G144" i="127"/>
  <c r="C144" i="127"/>
  <c r="H144" i="127"/>
  <c r="B144" i="127"/>
  <c r="G145" i="127"/>
  <c r="C145" i="127"/>
  <c r="H145" i="127"/>
  <c r="B145" i="127"/>
  <c r="G146" i="127"/>
  <c r="C146" i="127"/>
  <c r="H146" i="127"/>
  <c r="B146" i="127"/>
  <c r="G147" i="127"/>
  <c r="C147" i="127"/>
  <c r="H147" i="127"/>
  <c r="B147" i="127"/>
  <c r="G148" i="127"/>
  <c r="C148" i="127"/>
  <c r="H148" i="127"/>
  <c r="B148" i="127"/>
  <c r="G149" i="127"/>
  <c r="C149" i="127"/>
  <c r="H149" i="127"/>
  <c r="B149" i="127"/>
  <c r="G150" i="127"/>
  <c r="C150" i="127"/>
  <c r="H150" i="127"/>
  <c r="B150" i="127"/>
  <c r="G151" i="127"/>
  <c r="C151" i="127"/>
  <c r="H151" i="127"/>
  <c r="B151" i="127"/>
  <c r="G152" i="127"/>
  <c r="C152" i="127"/>
  <c r="H152" i="127"/>
  <c r="B152" i="127"/>
  <c r="G153" i="127"/>
  <c r="C153" i="127"/>
  <c r="H153" i="127"/>
  <c r="B153" i="127"/>
  <c r="G154" i="127"/>
  <c r="C154" i="127"/>
  <c r="H154" i="127"/>
  <c r="B154" i="127"/>
  <c r="G155" i="127"/>
  <c r="C155" i="127"/>
  <c r="H155" i="127"/>
  <c r="B155" i="127"/>
  <c r="C156" i="127"/>
  <c r="H156" i="127"/>
  <c r="B156" i="127"/>
  <c r="G157" i="127"/>
  <c r="C157" i="127"/>
  <c r="H157" i="127"/>
  <c r="B157" i="127"/>
  <c r="G158" i="127"/>
  <c r="C158" i="127"/>
  <c r="H158" i="127"/>
  <c r="B158" i="127"/>
  <c r="G159" i="127"/>
  <c r="C159" i="127"/>
  <c r="H159" i="127"/>
  <c r="B159" i="127"/>
  <c r="G160" i="127"/>
  <c r="C160" i="127"/>
  <c r="H160" i="127"/>
  <c r="B160" i="127"/>
  <c r="G161" i="127"/>
  <c r="C161" i="127"/>
  <c r="H161" i="127"/>
  <c r="B161" i="127"/>
  <c r="G162" i="127"/>
  <c r="C162" i="127"/>
  <c r="H162" i="127"/>
  <c r="B162" i="127"/>
  <c r="G163" i="127"/>
  <c r="C163" i="127"/>
  <c r="H163" i="127"/>
  <c r="B163" i="127"/>
  <c r="G164" i="127"/>
  <c r="C164" i="127"/>
  <c r="H164" i="127"/>
  <c r="B164" i="127"/>
  <c r="G165" i="127"/>
  <c r="C165" i="127"/>
  <c r="H165" i="127"/>
  <c r="B165" i="127"/>
  <c r="G166" i="127"/>
  <c r="C166" i="127"/>
  <c r="H166" i="127"/>
  <c r="B166" i="127"/>
  <c r="G167" i="127"/>
  <c r="C167" i="127"/>
  <c r="H167" i="127"/>
  <c r="B167" i="127"/>
  <c r="G168" i="127"/>
  <c r="C168" i="127"/>
  <c r="H168" i="127"/>
  <c r="B168" i="127"/>
  <c r="G169" i="127"/>
  <c r="C169" i="127"/>
  <c r="H169" i="127"/>
  <c r="B169" i="127"/>
  <c r="G170" i="127"/>
  <c r="C170" i="127"/>
  <c r="H170" i="127"/>
  <c r="B170" i="127"/>
  <c r="G171" i="127"/>
  <c r="C171" i="127"/>
  <c r="H171" i="127"/>
  <c r="B171" i="127"/>
  <c r="G172" i="127"/>
  <c r="C172" i="127"/>
  <c r="H172" i="127"/>
  <c r="B172" i="127"/>
  <c r="G173" i="127"/>
  <c r="C173" i="127"/>
  <c r="H173" i="127"/>
  <c r="B173" i="127"/>
  <c r="G174" i="127"/>
  <c r="C174" i="127"/>
  <c r="H174" i="127"/>
  <c r="B174" i="127"/>
  <c r="G175" i="127"/>
  <c r="C175" i="127"/>
  <c r="H175" i="127"/>
  <c r="B175" i="127"/>
  <c r="G176" i="127"/>
  <c r="C176" i="127"/>
  <c r="H176" i="127"/>
  <c r="B176" i="127"/>
  <c r="G177" i="127"/>
  <c r="C177" i="127"/>
  <c r="H177" i="127"/>
  <c r="B177" i="127"/>
  <c r="G178" i="127"/>
  <c r="C178" i="127"/>
  <c r="H178" i="127"/>
  <c r="B178" i="127"/>
  <c r="G179" i="127"/>
  <c r="C179" i="127"/>
  <c r="H179" i="127"/>
  <c r="B179" i="127"/>
  <c r="G180" i="127"/>
  <c r="C180" i="127"/>
  <c r="H180" i="127"/>
  <c r="B180" i="127"/>
  <c r="G181" i="127"/>
  <c r="C181" i="127"/>
  <c r="H181" i="127"/>
  <c r="B181" i="127"/>
  <c r="G182" i="127"/>
  <c r="C182" i="127"/>
  <c r="H182" i="127"/>
  <c r="B182" i="127"/>
  <c r="G183" i="127"/>
  <c r="C183" i="127"/>
  <c r="H183" i="127"/>
  <c r="B183" i="127"/>
  <c r="G184" i="127"/>
  <c r="C184" i="127"/>
  <c r="H184" i="127"/>
  <c r="B184" i="127"/>
  <c r="G185" i="127"/>
  <c r="C185" i="127"/>
  <c r="H185" i="127"/>
  <c r="B185" i="127"/>
  <c r="G186" i="127"/>
  <c r="C186" i="127"/>
  <c r="H186" i="127"/>
  <c r="B186" i="127"/>
  <c r="G187" i="127"/>
  <c r="C187" i="127"/>
  <c r="H187" i="127"/>
  <c r="B187" i="127"/>
  <c r="G188" i="127"/>
  <c r="C188" i="127"/>
  <c r="H188" i="127"/>
  <c r="B188" i="127"/>
  <c r="G189" i="127"/>
  <c r="C189" i="127"/>
  <c r="H189" i="127"/>
  <c r="B189" i="127"/>
  <c r="G190" i="127"/>
  <c r="C190" i="127"/>
  <c r="H190" i="127"/>
  <c r="B190" i="127"/>
  <c r="G191" i="127"/>
  <c r="C191" i="127"/>
  <c r="H191" i="127"/>
  <c r="B191" i="127"/>
  <c r="G192" i="127"/>
  <c r="C192" i="127"/>
  <c r="H192" i="127"/>
  <c r="B192" i="127"/>
  <c r="G193" i="127"/>
  <c r="C193" i="127"/>
  <c r="H193" i="127"/>
  <c r="B193" i="127"/>
  <c r="G194" i="127"/>
  <c r="C194" i="127"/>
  <c r="H194" i="127"/>
  <c r="B194" i="127"/>
  <c r="G195" i="127"/>
  <c r="C195" i="127"/>
  <c r="H195" i="127"/>
  <c r="B195" i="127"/>
  <c r="G196" i="127"/>
  <c r="C196" i="127"/>
  <c r="H196" i="127"/>
  <c r="B196" i="127"/>
  <c r="G197" i="127"/>
  <c r="C197" i="127"/>
  <c r="H197" i="127"/>
  <c r="B197" i="127"/>
  <c r="G198" i="127"/>
  <c r="C198" i="127"/>
  <c r="H198" i="127"/>
  <c r="B198" i="127"/>
  <c r="G199" i="127"/>
  <c r="C199" i="127"/>
  <c r="H199" i="127"/>
  <c r="B199" i="127"/>
  <c r="G200" i="127"/>
  <c r="C200" i="127"/>
  <c r="H200" i="127"/>
  <c r="B200" i="127"/>
  <c r="G201" i="127"/>
  <c r="C201" i="127"/>
  <c r="H201" i="127"/>
  <c r="B201" i="127"/>
  <c r="G202" i="127"/>
  <c r="C202" i="127"/>
  <c r="H202" i="127"/>
  <c r="B202" i="127"/>
  <c r="G203" i="127"/>
  <c r="C203" i="127"/>
  <c r="H203" i="127"/>
  <c r="B203" i="127"/>
  <c r="G204" i="127"/>
  <c r="C204" i="127"/>
  <c r="H204" i="127"/>
  <c r="B204" i="127"/>
  <c r="G205" i="127"/>
  <c r="C205" i="127"/>
  <c r="H205" i="127"/>
  <c r="B205" i="127"/>
  <c r="G206" i="127"/>
  <c r="C206" i="127"/>
  <c r="H206" i="127"/>
  <c r="B206" i="127"/>
  <c r="G207" i="127"/>
  <c r="C207" i="127"/>
  <c r="H207" i="127"/>
  <c r="B207" i="127"/>
  <c r="G208" i="127"/>
  <c r="C208" i="127"/>
  <c r="H208" i="127"/>
  <c r="B208" i="127"/>
  <c r="G209" i="127"/>
  <c r="C209" i="127"/>
  <c r="H209" i="127"/>
  <c r="B209" i="127"/>
  <c r="G210" i="127"/>
  <c r="C210" i="127"/>
  <c r="H210" i="127"/>
  <c r="B210" i="127"/>
  <c r="G211" i="127"/>
  <c r="C211" i="127"/>
  <c r="H211" i="127"/>
  <c r="B211" i="127"/>
  <c r="G212" i="127"/>
  <c r="C212" i="127"/>
  <c r="H212" i="127"/>
  <c r="B212" i="127"/>
  <c r="G213" i="127"/>
  <c r="C213" i="127"/>
  <c r="H213" i="127"/>
  <c r="B213" i="127"/>
  <c r="G214" i="127"/>
  <c r="C214" i="127"/>
  <c r="H214" i="127"/>
  <c r="B214" i="127"/>
  <c r="C215" i="127"/>
  <c r="H215" i="127"/>
  <c r="B215" i="127"/>
  <c r="G216" i="127"/>
  <c r="C216" i="127"/>
  <c r="H216" i="127"/>
  <c r="B216" i="127"/>
  <c r="G217" i="127"/>
  <c r="C217" i="127"/>
  <c r="H217" i="127"/>
  <c r="B217" i="127"/>
  <c r="G218" i="127"/>
  <c r="C218" i="127"/>
  <c r="H218" i="127"/>
  <c r="B218" i="127"/>
  <c r="G219" i="127"/>
  <c r="C219" i="127"/>
  <c r="H219" i="127"/>
  <c r="B219" i="127"/>
  <c r="G220" i="127"/>
  <c r="C220" i="127"/>
  <c r="H220" i="127"/>
  <c r="B220" i="127"/>
  <c r="G221" i="127"/>
  <c r="C221" i="127"/>
  <c r="H221" i="127"/>
  <c r="B221" i="127"/>
  <c r="G222" i="127"/>
  <c r="C222" i="127"/>
  <c r="H222" i="127"/>
  <c r="B222" i="127"/>
  <c r="G223" i="127"/>
  <c r="C223" i="127"/>
  <c r="H223" i="127"/>
  <c r="B223" i="127"/>
  <c r="G224" i="127"/>
  <c r="C224" i="127"/>
  <c r="H224" i="127"/>
  <c r="B224" i="127"/>
  <c r="G225" i="127"/>
  <c r="C225" i="127"/>
  <c r="H225" i="127"/>
  <c r="B225" i="127"/>
  <c r="G226" i="127"/>
  <c r="C226" i="127"/>
  <c r="H226" i="127"/>
  <c r="B226" i="127"/>
  <c r="G227" i="127"/>
  <c r="C227" i="127"/>
  <c r="H227" i="127"/>
  <c r="B227" i="127"/>
  <c r="G228" i="127"/>
  <c r="C228" i="127"/>
  <c r="H228" i="127"/>
  <c r="B228" i="127"/>
  <c r="G229" i="127"/>
  <c r="C229" i="127"/>
  <c r="H229" i="127"/>
  <c r="B229" i="127"/>
  <c r="G230" i="127"/>
  <c r="C230" i="127"/>
  <c r="H230" i="127"/>
  <c r="B230" i="127"/>
  <c r="G231" i="127"/>
  <c r="C231" i="127"/>
  <c r="H231" i="127"/>
  <c r="B231" i="127"/>
  <c r="G232" i="127"/>
  <c r="C232" i="127"/>
  <c r="H232" i="127"/>
  <c r="B232" i="127"/>
  <c r="G233" i="127"/>
  <c r="C233" i="127"/>
  <c r="H233" i="127"/>
  <c r="B233" i="127"/>
  <c r="G234" i="127"/>
  <c r="C234" i="127"/>
  <c r="H234" i="127"/>
  <c r="B234" i="127"/>
  <c r="G235" i="127"/>
  <c r="C235" i="127"/>
  <c r="H235" i="127"/>
  <c r="B235" i="127"/>
  <c r="G236" i="127"/>
  <c r="C236" i="127"/>
  <c r="H236" i="127"/>
  <c r="B236" i="127"/>
  <c r="G237" i="127"/>
  <c r="C237" i="127"/>
  <c r="H237" i="127"/>
  <c r="B237" i="127"/>
  <c r="G238" i="127"/>
  <c r="C238" i="127"/>
  <c r="H238" i="127"/>
  <c r="B238" i="127"/>
  <c r="G239" i="127"/>
  <c r="C239" i="127"/>
  <c r="H239" i="127"/>
  <c r="B239" i="127"/>
  <c r="G240" i="127"/>
  <c r="C240" i="127"/>
  <c r="H240" i="127"/>
  <c r="B240" i="127"/>
  <c r="G241" i="127"/>
  <c r="C241" i="127"/>
  <c r="H241" i="127"/>
  <c r="B241" i="127"/>
  <c r="G242" i="127"/>
  <c r="C242" i="127"/>
  <c r="H242" i="127"/>
  <c r="B242" i="127"/>
  <c r="G243" i="127"/>
  <c r="C243" i="127"/>
  <c r="H243" i="127"/>
  <c r="B243" i="127"/>
  <c r="G244" i="127"/>
  <c r="C244" i="127"/>
  <c r="H244" i="127"/>
  <c r="B244" i="127"/>
  <c r="G245" i="127"/>
  <c r="C245" i="127"/>
  <c r="H245" i="127"/>
  <c r="B245" i="127"/>
  <c r="G246" i="127"/>
  <c r="C246" i="127"/>
  <c r="H246" i="127"/>
  <c r="B246" i="127"/>
  <c r="G247" i="127"/>
  <c r="C247" i="127"/>
  <c r="H247" i="127"/>
  <c r="B247" i="127"/>
  <c r="G248" i="127"/>
  <c r="C248" i="127"/>
  <c r="H248" i="127"/>
  <c r="B248" i="127"/>
  <c r="G249" i="127"/>
  <c r="C249" i="127"/>
  <c r="H249" i="127"/>
  <c r="B249" i="127"/>
  <c r="G250" i="127"/>
  <c r="C250" i="127"/>
  <c r="H250" i="127"/>
  <c r="B250" i="127"/>
  <c r="G251" i="127"/>
  <c r="C251" i="127"/>
  <c r="H251" i="127"/>
  <c r="B251" i="127"/>
  <c r="G252" i="127"/>
  <c r="C252" i="127"/>
  <c r="H252" i="127"/>
  <c r="B252" i="127"/>
  <c r="G253" i="127"/>
  <c r="C253" i="127"/>
  <c r="H253" i="127"/>
  <c r="B253" i="127"/>
  <c r="G254" i="127"/>
  <c r="C254" i="127"/>
  <c r="H254" i="127"/>
  <c r="B254" i="127"/>
  <c r="G255" i="127"/>
  <c r="C255" i="127"/>
  <c r="H255" i="127"/>
  <c r="B255" i="127"/>
  <c r="G256" i="127"/>
  <c r="C256" i="127"/>
  <c r="H256" i="127"/>
  <c r="B256" i="127"/>
  <c r="G257" i="127"/>
  <c r="C257" i="127"/>
  <c r="H257" i="127"/>
  <c r="B257" i="127"/>
  <c r="G258" i="127"/>
  <c r="C258" i="127"/>
  <c r="H258" i="127"/>
  <c r="B258" i="127"/>
  <c r="G259" i="127"/>
  <c r="C259" i="127"/>
  <c r="H259" i="127"/>
  <c r="B259" i="127"/>
  <c r="G260" i="127"/>
  <c r="C260" i="127"/>
  <c r="H260" i="127"/>
  <c r="B260" i="127"/>
  <c r="G261" i="127"/>
  <c r="C261" i="127"/>
  <c r="H261" i="127"/>
  <c r="B261" i="127"/>
  <c r="G262" i="127"/>
  <c r="C262" i="127"/>
  <c r="H262" i="127"/>
  <c r="B262" i="127"/>
  <c r="G263" i="127"/>
  <c r="C263" i="127"/>
  <c r="H263" i="127"/>
  <c r="B263" i="127"/>
  <c r="G264" i="127"/>
  <c r="C264" i="127"/>
  <c r="H264" i="127"/>
  <c r="B264" i="127"/>
  <c r="H21" i="126"/>
  <c r="M265" i="127"/>
  <c r="B17" i="126"/>
  <c r="C17" i="126"/>
  <c r="D17" i="126"/>
  <c r="G17" i="126"/>
  <c r="H17" i="126"/>
  <c r="M2" i="127"/>
  <c r="B18" i="126"/>
  <c r="C18" i="126"/>
  <c r="D18" i="126"/>
  <c r="G18" i="126"/>
  <c r="H18" i="126"/>
  <c r="M3" i="127"/>
  <c r="M4" i="127"/>
  <c r="M5" i="127"/>
  <c r="M6" i="127"/>
  <c r="M7" i="127"/>
  <c r="M8" i="127"/>
  <c r="M9" i="127"/>
  <c r="M10" i="127"/>
  <c r="M11" i="127"/>
  <c r="M12" i="127"/>
  <c r="M13" i="127"/>
  <c r="M14" i="127"/>
  <c r="M15" i="127"/>
  <c r="M16" i="127"/>
  <c r="M17" i="127"/>
  <c r="M18" i="127"/>
  <c r="M19" i="127"/>
  <c r="M20" i="127"/>
  <c r="M21" i="127"/>
  <c r="M22" i="127"/>
  <c r="M23" i="127"/>
  <c r="M24" i="127"/>
  <c r="M25" i="127"/>
  <c r="M26" i="127"/>
  <c r="M27" i="127"/>
  <c r="M28" i="127"/>
  <c r="M29" i="127"/>
  <c r="M30" i="127"/>
  <c r="M31" i="127"/>
  <c r="M32" i="127"/>
  <c r="M33" i="127"/>
  <c r="M34" i="127"/>
  <c r="M35" i="127"/>
  <c r="M36" i="127"/>
  <c r="M37" i="127"/>
  <c r="M38" i="127"/>
  <c r="M39" i="127"/>
  <c r="M40" i="127"/>
  <c r="M41" i="127"/>
  <c r="M42" i="127"/>
  <c r="M43" i="127"/>
  <c r="M44" i="127"/>
  <c r="M45" i="127"/>
  <c r="M46" i="127"/>
  <c r="M47" i="127"/>
  <c r="M48" i="127"/>
  <c r="M49" i="127"/>
  <c r="M50" i="127"/>
  <c r="M51" i="127"/>
  <c r="M52" i="127"/>
  <c r="M53" i="127"/>
  <c r="M54" i="127"/>
  <c r="M55" i="127"/>
  <c r="M56" i="127"/>
  <c r="M57" i="127"/>
  <c r="M58" i="127"/>
  <c r="M59" i="127"/>
  <c r="M60" i="127"/>
  <c r="M61" i="127"/>
  <c r="M62" i="127"/>
  <c r="M63" i="127"/>
  <c r="M64" i="127"/>
  <c r="M65" i="127"/>
  <c r="M66" i="127"/>
  <c r="M67" i="127"/>
  <c r="M68" i="127"/>
  <c r="M69" i="127"/>
  <c r="M70" i="127"/>
  <c r="M71" i="127"/>
  <c r="M72" i="127"/>
  <c r="M73" i="127"/>
  <c r="M74" i="127"/>
  <c r="M75" i="127"/>
  <c r="M76" i="127"/>
  <c r="M77" i="127"/>
  <c r="M78" i="127"/>
  <c r="M79" i="127"/>
  <c r="M80" i="127"/>
  <c r="M81" i="127"/>
  <c r="M82" i="127"/>
  <c r="M83" i="127"/>
  <c r="M84" i="127"/>
  <c r="M85" i="127"/>
  <c r="M86" i="127"/>
  <c r="M87" i="127"/>
  <c r="M88" i="127"/>
  <c r="M89" i="127"/>
  <c r="M90" i="127"/>
  <c r="M91" i="127"/>
  <c r="M92" i="127"/>
  <c r="M93" i="127"/>
  <c r="M94" i="127"/>
  <c r="M95" i="127"/>
  <c r="M96" i="127"/>
  <c r="M97" i="127"/>
  <c r="M98" i="127"/>
  <c r="M99" i="127"/>
  <c r="M100" i="127"/>
  <c r="M101" i="127"/>
  <c r="M102" i="127"/>
  <c r="M103" i="127"/>
  <c r="M104" i="127"/>
  <c r="M105" i="127"/>
  <c r="M106" i="127"/>
  <c r="M107" i="127"/>
  <c r="M108" i="127"/>
  <c r="M109" i="127"/>
  <c r="M110" i="127"/>
  <c r="M111" i="127"/>
  <c r="M112" i="127"/>
  <c r="M113" i="127"/>
  <c r="M114" i="127"/>
  <c r="M115" i="127"/>
  <c r="M116" i="127"/>
  <c r="M117" i="127"/>
  <c r="M118" i="127"/>
  <c r="M119" i="127"/>
  <c r="M120" i="127"/>
  <c r="M121" i="127"/>
  <c r="M122" i="127"/>
  <c r="M123" i="127"/>
  <c r="M124" i="127"/>
  <c r="M125" i="127"/>
  <c r="M126" i="127"/>
  <c r="M127" i="127"/>
  <c r="M128" i="127"/>
  <c r="M129" i="127"/>
  <c r="M130" i="127"/>
  <c r="M131" i="127"/>
  <c r="M132" i="127"/>
  <c r="M133" i="127"/>
  <c r="M134" i="127"/>
  <c r="M135" i="127"/>
  <c r="M136" i="127"/>
  <c r="M137" i="127"/>
  <c r="C19" i="126"/>
  <c r="D19" i="126"/>
  <c r="G19" i="126"/>
  <c r="H19" i="126"/>
  <c r="M138" i="127"/>
  <c r="C22" i="126"/>
  <c r="D22" i="126"/>
  <c r="G22" i="126"/>
  <c r="H22" i="126"/>
  <c r="M139" i="127"/>
  <c r="M140" i="127"/>
  <c r="M141" i="127"/>
  <c r="M142" i="127"/>
  <c r="M143" i="127"/>
  <c r="M144" i="127"/>
  <c r="M145" i="127"/>
  <c r="M146" i="127"/>
  <c r="M147" i="127"/>
  <c r="M148" i="127"/>
  <c r="M149" i="127"/>
  <c r="M150" i="127"/>
  <c r="M151" i="127"/>
  <c r="M152" i="127"/>
  <c r="M153" i="127"/>
  <c r="M154" i="127"/>
  <c r="M155" i="127"/>
  <c r="M156" i="127"/>
  <c r="M157" i="127"/>
  <c r="M158" i="127"/>
  <c r="M159" i="127"/>
  <c r="M160" i="127"/>
  <c r="M161" i="127"/>
  <c r="M162" i="127"/>
  <c r="M163" i="127"/>
  <c r="M164" i="127"/>
  <c r="M165" i="127"/>
  <c r="M166" i="127"/>
  <c r="M167" i="127"/>
  <c r="M168" i="127"/>
  <c r="M169" i="127"/>
  <c r="M170" i="127"/>
  <c r="M171" i="127"/>
  <c r="M172" i="127"/>
  <c r="M173" i="127"/>
  <c r="M174" i="127"/>
  <c r="M175" i="127"/>
  <c r="M176" i="127"/>
  <c r="M177" i="127"/>
  <c r="M178" i="127"/>
  <c r="M179" i="127"/>
  <c r="M180" i="127"/>
  <c r="M181" i="127"/>
  <c r="M182" i="127"/>
  <c r="M183" i="127"/>
  <c r="M184" i="127"/>
  <c r="M185" i="127"/>
  <c r="M186" i="127"/>
  <c r="M187" i="127"/>
  <c r="M188" i="127"/>
  <c r="M189" i="127"/>
  <c r="M190" i="127"/>
  <c r="M191" i="127"/>
  <c r="M192" i="127"/>
  <c r="M193" i="127"/>
  <c r="M194" i="127"/>
  <c r="M195" i="127"/>
  <c r="M196" i="127"/>
  <c r="M197" i="127"/>
  <c r="M198" i="127"/>
  <c r="M199" i="127"/>
  <c r="M200" i="127"/>
  <c r="M201" i="127"/>
  <c r="M202" i="127"/>
  <c r="M203" i="127"/>
  <c r="M204" i="127"/>
  <c r="M205" i="127"/>
  <c r="M206" i="127"/>
  <c r="M207" i="127"/>
  <c r="M208" i="127"/>
  <c r="M209" i="127"/>
  <c r="M210" i="127"/>
  <c r="M211" i="127"/>
  <c r="M212" i="127"/>
  <c r="M213" i="127"/>
  <c r="M214" i="127"/>
  <c r="M215" i="127"/>
  <c r="M216" i="127"/>
  <c r="M217" i="127"/>
  <c r="M218" i="127"/>
  <c r="M219" i="127"/>
  <c r="M220" i="127"/>
  <c r="M221" i="127"/>
  <c r="M222" i="127"/>
  <c r="M223" i="127"/>
  <c r="M224" i="127"/>
  <c r="M225" i="127"/>
  <c r="M226" i="127"/>
  <c r="M227" i="127"/>
  <c r="M228" i="127"/>
  <c r="M229" i="127"/>
  <c r="M230" i="127"/>
  <c r="M231" i="127"/>
  <c r="M232" i="127"/>
  <c r="M233" i="127"/>
  <c r="M234" i="127"/>
  <c r="M235" i="127"/>
  <c r="M236" i="127"/>
  <c r="M237" i="127"/>
  <c r="M238" i="127"/>
  <c r="M239" i="127"/>
  <c r="M240" i="127"/>
  <c r="M241" i="127"/>
  <c r="M242" i="127"/>
  <c r="M243" i="127"/>
  <c r="M244" i="127"/>
  <c r="M245" i="127"/>
  <c r="M246" i="127"/>
  <c r="M247" i="127"/>
  <c r="M248" i="127"/>
  <c r="M249" i="127"/>
  <c r="M250" i="127"/>
  <c r="M251" i="127"/>
  <c r="M252" i="127"/>
  <c r="M253" i="127"/>
  <c r="M254" i="127"/>
  <c r="M255" i="127"/>
  <c r="M256" i="127"/>
  <c r="M257" i="127"/>
  <c r="M258" i="127"/>
  <c r="M259" i="127"/>
  <c r="M260" i="127"/>
  <c r="M261" i="127"/>
  <c r="M262" i="127"/>
  <c r="M263" i="127"/>
  <c r="M264" i="127"/>
  <c r="N265" i="127"/>
  <c r="L265" i="127"/>
  <c r="K265" i="127"/>
  <c r="J265" i="127"/>
  <c r="I265" i="127"/>
  <c r="F265" i="127"/>
  <c r="A265" i="127"/>
  <c r="T264" i="127"/>
  <c r="S264" i="127"/>
  <c r="R264" i="127"/>
  <c r="Q264" i="127"/>
  <c r="P264" i="127"/>
  <c r="O264" i="127"/>
  <c r="N264" i="127"/>
  <c r="L264" i="127"/>
  <c r="K264" i="127"/>
  <c r="J264" i="127"/>
  <c r="I264" i="127"/>
  <c r="F264" i="127"/>
  <c r="A264" i="127"/>
  <c r="T263" i="127"/>
  <c r="S263" i="127"/>
  <c r="R263" i="127"/>
  <c r="Q263" i="127"/>
  <c r="P263" i="127"/>
  <c r="O263" i="127"/>
  <c r="N263" i="127"/>
  <c r="L263" i="127"/>
  <c r="K263" i="127"/>
  <c r="J263" i="127"/>
  <c r="I263" i="127"/>
  <c r="F263" i="127"/>
  <c r="A263" i="127"/>
  <c r="T262" i="127"/>
  <c r="S262" i="127"/>
  <c r="R262" i="127"/>
  <c r="Q262" i="127"/>
  <c r="P262" i="127"/>
  <c r="O262" i="127"/>
  <c r="N262" i="127"/>
  <c r="L262" i="127"/>
  <c r="K262" i="127"/>
  <c r="J262" i="127"/>
  <c r="I262" i="127"/>
  <c r="F262" i="127"/>
  <c r="A262" i="127"/>
  <c r="T261" i="127"/>
  <c r="S261" i="127"/>
  <c r="R261" i="127"/>
  <c r="Q261" i="127"/>
  <c r="P261" i="127"/>
  <c r="O261" i="127"/>
  <c r="N261" i="127"/>
  <c r="L261" i="127"/>
  <c r="K261" i="127"/>
  <c r="J261" i="127"/>
  <c r="I261" i="127"/>
  <c r="F261" i="127"/>
  <c r="A261" i="127"/>
  <c r="T260" i="127"/>
  <c r="S260" i="127"/>
  <c r="R260" i="127"/>
  <c r="Q260" i="127"/>
  <c r="P260" i="127"/>
  <c r="O260" i="127"/>
  <c r="N260" i="127"/>
  <c r="L260" i="127"/>
  <c r="K260" i="127"/>
  <c r="J260" i="127"/>
  <c r="I260" i="127"/>
  <c r="F260" i="127"/>
  <c r="A260" i="127"/>
  <c r="T259" i="127"/>
  <c r="S259" i="127"/>
  <c r="R259" i="127"/>
  <c r="Q259" i="127"/>
  <c r="P259" i="127"/>
  <c r="O259" i="127"/>
  <c r="N259" i="127"/>
  <c r="L259" i="127"/>
  <c r="K259" i="127"/>
  <c r="J259" i="127"/>
  <c r="I259" i="127"/>
  <c r="F259" i="127"/>
  <c r="A259" i="127"/>
  <c r="T258" i="127"/>
  <c r="S258" i="127"/>
  <c r="R258" i="127"/>
  <c r="Q258" i="127"/>
  <c r="P258" i="127"/>
  <c r="O258" i="127"/>
  <c r="N258" i="127"/>
  <c r="L258" i="127"/>
  <c r="K258" i="127"/>
  <c r="J258" i="127"/>
  <c r="I258" i="127"/>
  <c r="F258" i="127"/>
  <c r="A258" i="127"/>
  <c r="T257" i="127"/>
  <c r="S257" i="127"/>
  <c r="R257" i="127"/>
  <c r="Q257" i="127"/>
  <c r="P257" i="127"/>
  <c r="O257" i="127"/>
  <c r="N257" i="127"/>
  <c r="L257" i="127"/>
  <c r="K257" i="127"/>
  <c r="J257" i="127"/>
  <c r="I257" i="127"/>
  <c r="F257" i="127"/>
  <c r="A257" i="127"/>
  <c r="T256" i="127"/>
  <c r="S256" i="127"/>
  <c r="R256" i="127"/>
  <c r="Q256" i="127"/>
  <c r="P256" i="127"/>
  <c r="O256" i="127"/>
  <c r="N256" i="127"/>
  <c r="L256" i="127"/>
  <c r="K256" i="127"/>
  <c r="J256" i="127"/>
  <c r="I256" i="127"/>
  <c r="F256" i="127"/>
  <c r="A256" i="127"/>
  <c r="T255" i="127"/>
  <c r="S255" i="127"/>
  <c r="R255" i="127"/>
  <c r="Q255" i="127"/>
  <c r="P255" i="127"/>
  <c r="O255" i="127"/>
  <c r="N255" i="127"/>
  <c r="L255" i="127"/>
  <c r="K255" i="127"/>
  <c r="J255" i="127"/>
  <c r="I255" i="127"/>
  <c r="F255" i="127"/>
  <c r="A255" i="127"/>
  <c r="T254" i="127"/>
  <c r="S254" i="127"/>
  <c r="R254" i="127"/>
  <c r="Q254" i="127"/>
  <c r="P254" i="127"/>
  <c r="O254" i="127"/>
  <c r="N254" i="127"/>
  <c r="L254" i="127"/>
  <c r="K254" i="127"/>
  <c r="J254" i="127"/>
  <c r="I254" i="127"/>
  <c r="F254" i="127"/>
  <c r="A254" i="127"/>
  <c r="T253" i="127"/>
  <c r="S253" i="127"/>
  <c r="R253" i="127"/>
  <c r="Q253" i="127"/>
  <c r="P253" i="127"/>
  <c r="O253" i="127"/>
  <c r="N253" i="127"/>
  <c r="L253" i="127"/>
  <c r="K253" i="127"/>
  <c r="J253" i="127"/>
  <c r="I253" i="127"/>
  <c r="F253" i="127"/>
  <c r="A253" i="127"/>
  <c r="T252" i="127"/>
  <c r="S252" i="127"/>
  <c r="R252" i="127"/>
  <c r="Q252" i="127"/>
  <c r="P252" i="127"/>
  <c r="O252" i="127"/>
  <c r="N252" i="127"/>
  <c r="L252" i="127"/>
  <c r="K252" i="127"/>
  <c r="J252" i="127"/>
  <c r="I252" i="127"/>
  <c r="F252" i="127"/>
  <c r="A252" i="127"/>
  <c r="T251" i="127"/>
  <c r="S251" i="127"/>
  <c r="R251" i="127"/>
  <c r="Q251" i="127"/>
  <c r="P251" i="127"/>
  <c r="O251" i="127"/>
  <c r="N251" i="127"/>
  <c r="L251" i="127"/>
  <c r="K251" i="127"/>
  <c r="J251" i="127"/>
  <c r="I251" i="127"/>
  <c r="F251" i="127"/>
  <c r="A251" i="127"/>
  <c r="T250" i="127"/>
  <c r="S250" i="127"/>
  <c r="R250" i="127"/>
  <c r="Q250" i="127"/>
  <c r="P250" i="127"/>
  <c r="O250" i="127"/>
  <c r="N250" i="127"/>
  <c r="L250" i="127"/>
  <c r="K250" i="127"/>
  <c r="J250" i="127"/>
  <c r="I250" i="127"/>
  <c r="F250" i="127"/>
  <c r="A250" i="127"/>
  <c r="T249" i="127"/>
  <c r="S249" i="127"/>
  <c r="R249" i="127"/>
  <c r="Q249" i="127"/>
  <c r="P249" i="127"/>
  <c r="O249" i="127"/>
  <c r="N249" i="127"/>
  <c r="L249" i="127"/>
  <c r="K249" i="127"/>
  <c r="J249" i="127"/>
  <c r="I249" i="127"/>
  <c r="F249" i="127"/>
  <c r="A249" i="127"/>
  <c r="T248" i="127"/>
  <c r="S248" i="127"/>
  <c r="R248" i="127"/>
  <c r="Q248" i="127"/>
  <c r="P248" i="127"/>
  <c r="O248" i="127"/>
  <c r="N248" i="127"/>
  <c r="L248" i="127"/>
  <c r="K248" i="127"/>
  <c r="J248" i="127"/>
  <c r="I248" i="127"/>
  <c r="F248" i="127"/>
  <c r="A248" i="127"/>
  <c r="T247" i="127"/>
  <c r="S247" i="127"/>
  <c r="R247" i="127"/>
  <c r="Q247" i="127"/>
  <c r="P247" i="127"/>
  <c r="O247" i="127"/>
  <c r="N247" i="127"/>
  <c r="L247" i="127"/>
  <c r="K247" i="127"/>
  <c r="J247" i="127"/>
  <c r="I247" i="127"/>
  <c r="F247" i="127"/>
  <c r="A247" i="127"/>
  <c r="T246" i="127"/>
  <c r="S246" i="127"/>
  <c r="R246" i="127"/>
  <c r="Q246" i="127"/>
  <c r="P246" i="127"/>
  <c r="O246" i="127"/>
  <c r="N246" i="127"/>
  <c r="L246" i="127"/>
  <c r="K246" i="127"/>
  <c r="J246" i="127"/>
  <c r="I246" i="127"/>
  <c r="F246" i="127"/>
  <c r="A246" i="127"/>
  <c r="T245" i="127"/>
  <c r="S245" i="127"/>
  <c r="R245" i="127"/>
  <c r="Q245" i="127"/>
  <c r="P245" i="127"/>
  <c r="O245" i="127"/>
  <c r="N245" i="127"/>
  <c r="L245" i="127"/>
  <c r="K245" i="127"/>
  <c r="J245" i="127"/>
  <c r="I245" i="127"/>
  <c r="F245" i="127"/>
  <c r="A245" i="127"/>
  <c r="T244" i="127"/>
  <c r="S244" i="127"/>
  <c r="R244" i="127"/>
  <c r="Q244" i="127"/>
  <c r="P244" i="127"/>
  <c r="O244" i="127"/>
  <c r="N244" i="127"/>
  <c r="L244" i="127"/>
  <c r="K244" i="127"/>
  <c r="J244" i="127"/>
  <c r="I244" i="127"/>
  <c r="F244" i="127"/>
  <c r="A244" i="127"/>
  <c r="T243" i="127"/>
  <c r="S243" i="127"/>
  <c r="R243" i="127"/>
  <c r="Q243" i="127"/>
  <c r="P243" i="127"/>
  <c r="O243" i="127"/>
  <c r="N243" i="127"/>
  <c r="L243" i="127"/>
  <c r="K243" i="127"/>
  <c r="J243" i="127"/>
  <c r="I243" i="127"/>
  <c r="F243" i="127"/>
  <c r="A243" i="127"/>
  <c r="T242" i="127"/>
  <c r="S242" i="127"/>
  <c r="R242" i="127"/>
  <c r="Q242" i="127"/>
  <c r="P242" i="127"/>
  <c r="O242" i="127"/>
  <c r="N242" i="127"/>
  <c r="L242" i="127"/>
  <c r="K242" i="127"/>
  <c r="J242" i="127"/>
  <c r="I242" i="127"/>
  <c r="F242" i="127"/>
  <c r="A242" i="127"/>
  <c r="T241" i="127"/>
  <c r="S241" i="127"/>
  <c r="R241" i="127"/>
  <c r="Q241" i="127"/>
  <c r="P241" i="127"/>
  <c r="O241" i="127"/>
  <c r="N241" i="127"/>
  <c r="L241" i="127"/>
  <c r="K241" i="127"/>
  <c r="J241" i="127"/>
  <c r="I241" i="127"/>
  <c r="F241" i="127"/>
  <c r="A241" i="127"/>
  <c r="T240" i="127"/>
  <c r="S240" i="127"/>
  <c r="R240" i="127"/>
  <c r="Q240" i="127"/>
  <c r="P240" i="127"/>
  <c r="O240" i="127"/>
  <c r="N240" i="127"/>
  <c r="L240" i="127"/>
  <c r="K240" i="127"/>
  <c r="J240" i="127"/>
  <c r="I240" i="127"/>
  <c r="F240" i="127"/>
  <c r="A240" i="127"/>
  <c r="T239" i="127"/>
  <c r="S239" i="127"/>
  <c r="R239" i="127"/>
  <c r="Q239" i="127"/>
  <c r="P239" i="127"/>
  <c r="O239" i="127"/>
  <c r="N239" i="127"/>
  <c r="L239" i="127"/>
  <c r="K239" i="127"/>
  <c r="J239" i="127"/>
  <c r="I239" i="127"/>
  <c r="F239" i="127"/>
  <c r="A239" i="127"/>
  <c r="T238" i="127"/>
  <c r="S238" i="127"/>
  <c r="R238" i="127"/>
  <c r="Q238" i="127"/>
  <c r="P238" i="127"/>
  <c r="O238" i="127"/>
  <c r="N238" i="127"/>
  <c r="L238" i="127"/>
  <c r="K238" i="127"/>
  <c r="J238" i="127"/>
  <c r="I238" i="127"/>
  <c r="F238" i="127"/>
  <c r="A238" i="127"/>
  <c r="T237" i="127"/>
  <c r="S237" i="127"/>
  <c r="R237" i="127"/>
  <c r="Q237" i="127"/>
  <c r="P237" i="127"/>
  <c r="O237" i="127"/>
  <c r="N237" i="127"/>
  <c r="L237" i="127"/>
  <c r="K237" i="127"/>
  <c r="J237" i="127"/>
  <c r="I237" i="127"/>
  <c r="F237" i="127"/>
  <c r="A237" i="127"/>
  <c r="T236" i="127"/>
  <c r="S236" i="127"/>
  <c r="R236" i="127"/>
  <c r="Q236" i="127"/>
  <c r="P236" i="127"/>
  <c r="O236" i="127"/>
  <c r="N236" i="127"/>
  <c r="L236" i="127"/>
  <c r="K236" i="127"/>
  <c r="J236" i="127"/>
  <c r="I236" i="127"/>
  <c r="F236" i="127"/>
  <c r="A236" i="127"/>
  <c r="T235" i="127"/>
  <c r="S235" i="127"/>
  <c r="R235" i="127"/>
  <c r="Q235" i="127"/>
  <c r="P235" i="127"/>
  <c r="O235" i="127"/>
  <c r="N235" i="127"/>
  <c r="L235" i="127"/>
  <c r="K235" i="127"/>
  <c r="J235" i="127"/>
  <c r="I235" i="127"/>
  <c r="F235" i="127"/>
  <c r="A235" i="127"/>
  <c r="T234" i="127"/>
  <c r="S234" i="127"/>
  <c r="R234" i="127"/>
  <c r="Q234" i="127"/>
  <c r="P234" i="127"/>
  <c r="O234" i="127"/>
  <c r="N234" i="127"/>
  <c r="L234" i="127"/>
  <c r="K234" i="127"/>
  <c r="J234" i="127"/>
  <c r="I234" i="127"/>
  <c r="F234" i="127"/>
  <c r="A234" i="127"/>
  <c r="T233" i="127"/>
  <c r="S233" i="127"/>
  <c r="R233" i="127"/>
  <c r="Q233" i="127"/>
  <c r="P233" i="127"/>
  <c r="O233" i="127"/>
  <c r="N233" i="127"/>
  <c r="L233" i="127"/>
  <c r="K233" i="127"/>
  <c r="J233" i="127"/>
  <c r="I233" i="127"/>
  <c r="F233" i="127"/>
  <c r="A233" i="127"/>
  <c r="T232" i="127"/>
  <c r="S232" i="127"/>
  <c r="R232" i="127"/>
  <c r="Q232" i="127"/>
  <c r="P232" i="127"/>
  <c r="O232" i="127"/>
  <c r="N232" i="127"/>
  <c r="L232" i="127"/>
  <c r="K232" i="127"/>
  <c r="J232" i="127"/>
  <c r="I232" i="127"/>
  <c r="F232" i="127"/>
  <c r="A232" i="127"/>
  <c r="T231" i="127"/>
  <c r="S231" i="127"/>
  <c r="R231" i="127"/>
  <c r="Q231" i="127"/>
  <c r="P231" i="127"/>
  <c r="O231" i="127"/>
  <c r="N231" i="127"/>
  <c r="L231" i="127"/>
  <c r="K231" i="127"/>
  <c r="J231" i="127"/>
  <c r="I231" i="127"/>
  <c r="F231" i="127"/>
  <c r="A231" i="127"/>
  <c r="T230" i="127"/>
  <c r="S230" i="127"/>
  <c r="R230" i="127"/>
  <c r="Q230" i="127"/>
  <c r="P230" i="127"/>
  <c r="O230" i="127"/>
  <c r="N230" i="127"/>
  <c r="L230" i="127"/>
  <c r="K230" i="127"/>
  <c r="J230" i="127"/>
  <c r="I230" i="127"/>
  <c r="F230" i="127"/>
  <c r="A230" i="127"/>
  <c r="T229" i="127"/>
  <c r="S229" i="127"/>
  <c r="R229" i="127"/>
  <c r="Q229" i="127"/>
  <c r="P229" i="127"/>
  <c r="O229" i="127"/>
  <c r="N229" i="127"/>
  <c r="L229" i="127"/>
  <c r="K229" i="127"/>
  <c r="J229" i="127"/>
  <c r="I229" i="127"/>
  <c r="F229" i="127"/>
  <c r="A229" i="127"/>
  <c r="T228" i="127"/>
  <c r="S228" i="127"/>
  <c r="R228" i="127"/>
  <c r="Q228" i="127"/>
  <c r="P228" i="127"/>
  <c r="O228" i="127"/>
  <c r="N228" i="127"/>
  <c r="L228" i="127"/>
  <c r="K228" i="127"/>
  <c r="J228" i="127"/>
  <c r="I228" i="127"/>
  <c r="F228" i="127"/>
  <c r="A228" i="127"/>
  <c r="T227" i="127"/>
  <c r="S227" i="127"/>
  <c r="R227" i="127"/>
  <c r="Q227" i="127"/>
  <c r="P227" i="127"/>
  <c r="O227" i="127"/>
  <c r="N227" i="127"/>
  <c r="L227" i="127"/>
  <c r="K227" i="127"/>
  <c r="J227" i="127"/>
  <c r="I227" i="127"/>
  <c r="F227" i="127"/>
  <c r="A227" i="127"/>
  <c r="T226" i="127"/>
  <c r="S226" i="127"/>
  <c r="R226" i="127"/>
  <c r="Q226" i="127"/>
  <c r="P226" i="127"/>
  <c r="O226" i="127"/>
  <c r="N226" i="127"/>
  <c r="L226" i="127"/>
  <c r="K226" i="127"/>
  <c r="J226" i="127"/>
  <c r="I226" i="127"/>
  <c r="F226" i="127"/>
  <c r="A226" i="127"/>
  <c r="T225" i="127"/>
  <c r="S225" i="127"/>
  <c r="R225" i="127"/>
  <c r="Q225" i="127"/>
  <c r="P225" i="127"/>
  <c r="O225" i="127"/>
  <c r="N225" i="127"/>
  <c r="L225" i="127"/>
  <c r="K225" i="127"/>
  <c r="J225" i="127"/>
  <c r="I225" i="127"/>
  <c r="F225" i="127"/>
  <c r="A225" i="127"/>
  <c r="T224" i="127"/>
  <c r="S224" i="127"/>
  <c r="R224" i="127"/>
  <c r="Q224" i="127"/>
  <c r="P224" i="127"/>
  <c r="O224" i="127"/>
  <c r="N224" i="127"/>
  <c r="L224" i="127"/>
  <c r="K224" i="127"/>
  <c r="J224" i="127"/>
  <c r="I224" i="127"/>
  <c r="F224" i="127"/>
  <c r="A224" i="127"/>
  <c r="T223" i="127"/>
  <c r="S223" i="127"/>
  <c r="R223" i="127"/>
  <c r="Q223" i="127"/>
  <c r="P223" i="127"/>
  <c r="O223" i="127"/>
  <c r="N223" i="127"/>
  <c r="L223" i="127"/>
  <c r="K223" i="127"/>
  <c r="J223" i="127"/>
  <c r="I223" i="127"/>
  <c r="F223" i="127"/>
  <c r="A223" i="127"/>
  <c r="T222" i="127"/>
  <c r="S222" i="127"/>
  <c r="R222" i="127"/>
  <c r="Q222" i="127"/>
  <c r="P222" i="127"/>
  <c r="O222" i="127"/>
  <c r="N222" i="127"/>
  <c r="L222" i="127"/>
  <c r="K222" i="127"/>
  <c r="J222" i="127"/>
  <c r="I222" i="127"/>
  <c r="F222" i="127"/>
  <c r="A222" i="127"/>
  <c r="T221" i="127"/>
  <c r="S221" i="127"/>
  <c r="R221" i="127"/>
  <c r="Q221" i="127"/>
  <c r="P221" i="127"/>
  <c r="O221" i="127"/>
  <c r="N221" i="127"/>
  <c r="L221" i="127"/>
  <c r="K221" i="127"/>
  <c r="J221" i="127"/>
  <c r="I221" i="127"/>
  <c r="F221" i="127"/>
  <c r="A221" i="127"/>
  <c r="T220" i="127"/>
  <c r="S220" i="127"/>
  <c r="R220" i="127"/>
  <c r="Q220" i="127"/>
  <c r="P220" i="127"/>
  <c r="O220" i="127"/>
  <c r="N220" i="127"/>
  <c r="L220" i="127"/>
  <c r="K220" i="127"/>
  <c r="J220" i="127"/>
  <c r="I220" i="127"/>
  <c r="F220" i="127"/>
  <c r="A220" i="127"/>
  <c r="T219" i="127"/>
  <c r="S219" i="127"/>
  <c r="R219" i="127"/>
  <c r="Q219" i="127"/>
  <c r="P219" i="127"/>
  <c r="O219" i="127"/>
  <c r="N219" i="127"/>
  <c r="L219" i="127"/>
  <c r="K219" i="127"/>
  <c r="J219" i="127"/>
  <c r="I219" i="127"/>
  <c r="F219" i="127"/>
  <c r="A219" i="127"/>
  <c r="T218" i="127"/>
  <c r="S218" i="127"/>
  <c r="R218" i="127"/>
  <c r="Q218" i="127"/>
  <c r="P218" i="127"/>
  <c r="O218" i="127"/>
  <c r="N218" i="127"/>
  <c r="L218" i="127"/>
  <c r="K218" i="127"/>
  <c r="J218" i="127"/>
  <c r="I218" i="127"/>
  <c r="F218" i="127"/>
  <c r="A218" i="127"/>
  <c r="T217" i="127"/>
  <c r="S217" i="127"/>
  <c r="R217" i="127"/>
  <c r="Q217" i="127"/>
  <c r="P217" i="127"/>
  <c r="O217" i="127"/>
  <c r="N217" i="127"/>
  <c r="L217" i="127"/>
  <c r="K217" i="127"/>
  <c r="J217" i="127"/>
  <c r="I217" i="127"/>
  <c r="F217" i="127"/>
  <c r="A217" i="127"/>
  <c r="T216" i="127"/>
  <c r="S216" i="127"/>
  <c r="R216" i="127"/>
  <c r="Q216" i="127"/>
  <c r="P216" i="127"/>
  <c r="O216" i="127"/>
  <c r="N216" i="127"/>
  <c r="L216" i="127"/>
  <c r="K216" i="127"/>
  <c r="J216" i="127"/>
  <c r="I216" i="127"/>
  <c r="F216" i="127"/>
  <c r="A216" i="127"/>
  <c r="T215" i="127"/>
  <c r="S215" i="127"/>
  <c r="R215" i="127"/>
  <c r="Q215" i="127"/>
  <c r="P215" i="127"/>
  <c r="O215" i="127"/>
  <c r="N215" i="127"/>
  <c r="L215" i="127"/>
  <c r="K215" i="127"/>
  <c r="J215" i="127"/>
  <c r="I215" i="127"/>
  <c r="F215" i="127"/>
  <c r="A215" i="127"/>
  <c r="T214" i="127"/>
  <c r="S214" i="127"/>
  <c r="R214" i="127"/>
  <c r="Q214" i="127"/>
  <c r="P214" i="127"/>
  <c r="O214" i="127"/>
  <c r="N214" i="127"/>
  <c r="L214" i="127"/>
  <c r="K214" i="127"/>
  <c r="J214" i="127"/>
  <c r="I214" i="127"/>
  <c r="F214" i="127"/>
  <c r="A214" i="127"/>
  <c r="T213" i="127"/>
  <c r="S213" i="127"/>
  <c r="R213" i="127"/>
  <c r="Q213" i="127"/>
  <c r="P213" i="127"/>
  <c r="O213" i="127"/>
  <c r="N213" i="127"/>
  <c r="L213" i="127"/>
  <c r="K213" i="127"/>
  <c r="J213" i="127"/>
  <c r="I213" i="127"/>
  <c r="F213" i="127"/>
  <c r="A213" i="127"/>
  <c r="T212" i="127"/>
  <c r="S212" i="127"/>
  <c r="R212" i="127"/>
  <c r="Q212" i="127"/>
  <c r="P212" i="127"/>
  <c r="O212" i="127"/>
  <c r="N212" i="127"/>
  <c r="L212" i="127"/>
  <c r="K212" i="127"/>
  <c r="J212" i="127"/>
  <c r="I212" i="127"/>
  <c r="F212" i="127"/>
  <c r="A212" i="127"/>
  <c r="T211" i="127"/>
  <c r="S211" i="127"/>
  <c r="R211" i="127"/>
  <c r="Q211" i="127"/>
  <c r="P211" i="127"/>
  <c r="O211" i="127"/>
  <c r="N211" i="127"/>
  <c r="L211" i="127"/>
  <c r="K211" i="127"/>
  <c r="J211" i="127"/>
  <c r="I211" i="127"/>
  <c r="F211" i="127"/>
  <c r="A211" i="127"/>
  <c r="T210" i="127"/>
  <c r="S210" i="127"/>
  <c r="R210" i="127"/>
  <c r="Q210" i="127"/>
  <c r="P210" i="127"/>
  <c r="O210" i="127"/>
  <c r="N210" i="127"/>
  <c r="L210" i="127"/>
  <c r="K210" i="127"/>
  <c r="J210" i="127"/>
  <c r="I210" i="127"/>
  <c r="F210" i="127"/>
  <c r="A210" i="127"/>
  <c r="T209" i="127"/>
  <c r="S209" i="127"/>
  <c r="R209" i="127"/>
  <c r="Q209" i="127"/>
  <c r="P209" i="127"/>
  <c r="O209" i="127"/>
  <c r="N209" i="127"/>
  <c r="L209" i="127"/>
  <c r="K209" i="127"/>
  <c r="J209" i="127"/>
  <c r="I209" i="127"/>
  <c r="F209" i="127"/>
  <c r="A209" i="127"/>
  <c r="T208" i="127"/>
  <c r="S208" i="127"/>
  <c r="R208" i="127"/>
  <c r="Q208" i="127"/>
  <c r="P208" i="127"/>
  <c r="O208" i="127"/>
  <c r="N208" i="127"/>
  <c r="L208" i="127"/>
  <c r="K208" i="127"/>
  <c r="J208" i="127"/>
  <c r="I208" i="127"/>
  <c r="F208" i="127"/>
  <c r="A208" i="127"/>
  <c r="T207" i="127"/>
  <c r="S207" i="127"/>
  <c r="R207" i="127"/>
  <c r="Q207" i="127"/>
  <c r="P207" i="127"/>
  <c r="O207" i="127"/>
  <c r="N207" i="127"/>
  <c r="L207" i="127"/>
  <c r="K207" i="127"/>
  <c r="J207" i="127"/>
  <c r="I207" i="127"/>
  <c r="F207" i="127"/>
  <c r="A207" i="127"/>
  <c r="T206" i="127"/>
  <c r="S206" i="127"/>
  <c r="R206" i="127"/>
  <c r="Q206" i="127"/>
  <c r="P206" i="127"/>
  <c r="O206" i="127"/>
  <c r="N206" i="127"/>
  <c r="L206" i="127"/>
  <c r="K206" i="127"/>
  <c r="J206" i="127"/>
  <c r="I206" i="127"/>
  <c r="F206" i="127"/>
  <c r="A206" i="127"/>
  <c r="T205" i="127"/>
  <c r="S205" i="127"/>
  <c r="R205" i="127"/>
  <c r="Q205" i="127"/>
  <c r="P205" i="127"/>
  <c r="O205" i="127"/>
  <c r="N205" i="127"/>
  <c r="L205" i="127"/>
  <c r="K205" i="127"/>
  <c r="J205" i="127"/>
  <c r="I205" i="127"/>
  <c r="F205" i="127"/>
  <c r="A205" i="127"/>
  <c r="T204" i="127"/>
  <c r="S204" i="127"/>
  <c r="R204" i="127"/>
  <c r="Q204" i="127"/>
  <c r="P204" i="127"/>
  <c r="O204" i="127"/>
  <c r="N204" i="127"/>
  <c r="L204" i="127"/>
  <c r="K204" i="127"/>
  <c r="J204" i="127"/>
  <c r="I204" i="127"/>
  <c r="F204" i="127"/>
  <c r="A204" i="127"/>
  <c r="T203" i="127"/>
  <c r="S203" i="127"/>
  <c r="R203" i="127"/>
  <c r="Q203" i="127"/>
  <c r="P203" i="127"/>
  <c r="O203" i="127"/>
  <c r="N203" i="127"/>
  <c r="L203" i="127"/>
  <c r="K203" i="127"/>
  <c r="J203" i="127"/>
  <c r="I203" i="127"/>
  <c r="F203" i="127"/>
  <c r="A203" i="127"/>
  <c r="T202" i="127"/>
  <c r="S202" i="127"/>
  <c r="R202" i="127"/>
  <c r="Q202" i="127"/>
  <c r="P202" i="127"/>
  <c r="O202" i="127"/>
  <c r="N202" i="127"/>
  <c r="L202" i="127"/>
  <c r="K202" i="127"/>
  <c r="J202" i="127"/>
  <c r="I202" i="127"/>
  <c r="F202" i="127"/>
  <c r="A202" i="127"/>
  <c r="T201" i="127"/>
  <c r="S201" i="127"/>
  <c r="R201" i="127"/>
  <c r="Q201" i="127"/>
  <c r="P201" i="127"/>
  <c r="O201" i="127"/>
  <c r="N201" i="127"/>
  <c r="L201" i="127"/>
  <c r="K201" i="127"/>
  <c r="J201" i="127"/>
  <c r="I201" i="127"/>
  <c r="F201" i="127"/>
  <c r="A201" i="127"/>
  <c r="T200" i="127"/>
  <c r="S200" i="127"/>
  <c r="R200" i="127"/>
  <c r="Q200" i="127"/>
  <c r="P200" i="127"/>
  <c r="O200" i="127"/>
  <c r="N200" i="127"/>
  <c r="L200" i="127"/>
  <c r="K200" i="127"/>
  <c r="J200" i="127"/>
  <c r="I200" i="127"/>
  <c r="F200" i="127"/>
  <c r="A200" i="127"/>
  <c r="T199" i="127"/>
  <c r="S199" i="127"/>
  <c r="R199" i="127"/>
  <c r="Q199" i="127"/>
  <c r="P199" i="127"/>
  <c r="O199" i="127"/>
  <c r="N199" i="127"/>
  <c r="L199" i="127"/>
  <c r="K199" i="127"/>
  <c r="J199" i="127"/>
  <c r="I199" i="127"/>
  <c r="F199" i="127"/>
  <c r="A199" i="127"/>
  <c r="T198" i="127"/>
  <c r="S198" i="127"/>
  <c r="R198" i="127"/>
  <c r="Q198" i="127"/>
  <c r="P198" i="127"/>
  <c r="O198" i="127"/>
  <c r="N198" i="127"/>
  <c r="L198" i="127"/>
  <c r="K198" i="127"/>
  <c r="J198" i="127"/>
  <c r="I198" i="127"/>
  <c r="F198" i="127"/>
  <c r="A198" i="127"/>
  <c r="T197" i="127"/>
  <c r="S197" i="127"/>
  <c r="R197" i="127"/>
  <c r="Q197" i="127"/>
  <c r="P197" i="127"/>
  <c r="O197" i="127"/>
  <c r="N197" i="127"/>
  <c r="L197" i="127"/>
  <c r="K197" i="127"/>
  <c r="J197" i="127"/>
  <c r="I197" i="127"/>
  <c r="F197" i="127"/>
  <c r="A197" i="127"/>
  <c r="T196" i="127"/>
  <c r="S196" i="127"/>
  <c r="R196" i="127"/>
  <c r="Q196" i="127"/>
  <c r="P196" i="127"/>
  <c r="O196" i="127"/>
  <c r="N196" i="127"/>
  <c r="L196" i="127"/>
  <c r="K196" i="127"/>
  <c r="J196" i="127"/>
  <c r="I196" i="127"/>
  <c r="F196" i="127"/>
  <c r="A196" i="127"/>
  <c r="T195" i="127"/>
  <c r="S195" i="127"/>
  <c r="R195" i="127"/>
  <c r="Q195" i="127"/>
  <c r="P195" i="127"/>
  <c r="O195" i="127"/>
  <c r="N195" i="127"/>
  <c r="L195" i="127"/>
  <c r="K195" i="127"/>
  <c r="J195" i="127"/>
  <c r="I195" i="127"/>
  <c r="F195" i="127"/>
  <c r="A195" i="127"/>
  <c r="T194" i="127"/>
  <c r="S194" i="127"/>
  <c r="R194" i="127"/>
  <c r="Q194" i="127"/>
  <c r="P194" i="127"/>
  <c r="O194" i="127"/>
  <c r="N194" i="127"/>
  <c r="L194" i="127"/>
  <c r="K194" i="127"/>
  <c r="J194" i="127"/>
  <c r="I194" i="127"/>
  <c r="F194" i="127"/>
  <c r="A194" i="127"/>
  <c r="T193" i="127"/>
  <c r="S193" i="127"/>
  <c r="R193" i="127"/>
  <c r="Q193" i="127"/>
  <c r="P193" i="127"/>
  <c r="O193" i="127"/>
  <c r="N193" i="127"/>
  <c r="L193" i="127"/>
  <c r="K193" i="127"/>
  <c r="J193" i="127"/>
  <c r="I193" i="127"/>
  <c r="F193" i="127"/>
  <c r="A193" i="127"/>
  <c r="T192" i="127"/>
  <c r="S192" i="127"/>
  <c r="R192" i="127"/>
  <c r="Q192" i="127"/>
  <c r="P192" i="127"/>
  <c r="O192" i="127"/>
  <c r="N192" i="127"/>
  <c r="L192" i="127"/>
  <c r="K192" i="127"/>
  <c r="J192" i="127"/>
  <c r="I192" i="127"/>
  <c r="F192" i="127"/>
  <c r="A192" i="127"/>
  <c r="T191" i="127"/>
  <c r="S191" i="127"/>
  <c r="R191" i="127"/>
  <c r="Q191" i="127"/>
  <c r="P191" i="127"/>
  <c r="O191" i="127"/>
  <c r="N191" i="127"/>
  <c r="L191" i="127"/>
  <c r="K191" i="127"/>
  <c r="J191" i="127"/>
  <c r="I191" i="127"/>
  <c r="F191" i="127"/>
  <c r="A191" i="127"/>
  <c r="T190" i="127"/>
  <c r="S190" i="127"/>
  <c r="R190" i="127"/>
  <c r="Q190" i="127"/>
  <c r="P190" i="127"/>
  <c r="O190" i="127"/>
  <c r="N190" i="127"/>
  <c r="L190" i="127"/>
  <c r="K190" i="127"/>
  <c r="J190" i="127"/>
  <c r="I190" i="127"/>
  <c r="F190" i="127"/>
  <c r="A190" i="127"/>
  <c r="T189" i="127"/>
  <c r="S189" i="127"/>
  <c r="R189" i="127"/>
  <c r="Q189" i="127"/>
  <c r="P189" i="127"/>
  <c r="O189" i="127"/>
  <c r="N189" i="127"/>
  <c r="L189" i="127"/>
  <c r="K189" i="127"/>
  <c r="J189" i="127"/>
  <c r="I189" i="127"/>
  <c r="F189" i="127"/>
  <c r="A189" i="127"/>
  <c r="T188" i="127"/>
  <c r="S188" i="127"/>
  <c r="R188" i="127"/>
  <c r="Q188" i="127"/>
  <c r="P188" i="127"/>
  <c r="O188" i="127"/>
  <c r="N188" i="127"/>
  <c r="L188" i="127"/>
  <c r="K188" i="127"/>
  <c r="J188" i="127"/>
  <c r="I188" i="127"/>
  <c r="F188" i="127"/>
  <c r="A188" i="127"/>
  <c r="T187" i="127"/>
  <c r="S187" i="127"/>
  <c r="R187" i="127"/>
  <c r="Q187" i="127"/>
  <c r="P187" i="127"/>
  <c r="O187" i="127"/>
  <c r="N187" i="127"/>
  <c r="L187" i="127"/>
  <c r="K187" i="127"/>
  <c r="J187" i="127"/>
  <c r="I187" i="127"/>
  <c r="F187" i="127"/>
  <c r="A187" i="127"/>
  <c r="T186" i="127"/>
  <c r="S186" i="127"/>
  <c r="R186" i="127"/>
  <c r="Q186" i="127"/>
  <c r="P186" i="127"/>
  <c r="O186" i="127"/>
  <c r="N186" i="127"/>
  <c r="L186" i="127"/>
  <c r="K186" i="127"/>
  <c r="J186" i="127"/>
  <c r="I186" i="127"/>
  <c r="F186" i="127"/>
  <c r="A186" i="127"/>
  <c r="T185" i="127"/>
  <c r="S185" i="127"/>
  <c r="R185" i="127"/>
  <c r="Q185" i="127"/>
  <c r="P185" i="127"/>
  <c r="O185" i="127"/>
  <c r="N185" i="127"/>
  <c r="L185" i="127"/>
  <c r="K185" i="127"/>
  <c r="J185" i="127"/>
  <c r="I185" i="127"/>
  <c r="F185" i="127"/>
  <c r="A185" i="127"/>
  <c r="T184" i="127"/>
  <c r="S184" i="127"/>
  <c r="R184" i="127"/>
  <c r="Q184" i="127"/>
  <c r="P184" i="127"/>
  <c r="O184" i="127"/>
  <c r="N184" i="127"/>
  <c r="L184" i="127"/>
  <c r="K184" i="127"/>
  <c r="J184" i="127"/>
  <c r="I184" i="127"/>
  <c r="F184" i="127"/>
  <c r="A184" i="127"/>
  <c r="T183" i="127"/>
  <c r="S183" i="127"/>
  <c r="R183" i="127"/>
  <c r="Q183" i="127"/>
  <c r="P183" i="127"/>
  <c r="O183" i="127"/>
  <c r="N183" i="127"/>
  <c r="L183" i="127"/>
  <c r="K183" i="127"/>
  <c r="J183" i="127"/>
  <c r="I183" i="127"/>
  <c r="F183" i="127"/>
  <c r="A183" i="127"/>
  <c r="T182" i="127"/>
  <c r="S182" i="127"/>
  <c r="R182" i="127"/>
  <c r="Q182" i="127"/>
  <c r="P182" i="127"/>
  <c r="O182" i="127"/>
  <c r="N182" i="127"/>
  <c r="L182" i="127"/>
  <c r="K182" i="127"/>
  <c r="J182" i="127"/>
  <c r="I182" i="127"/>
  <c r="F182" i="127"/>
  <c r="A182" i="127"/>
  <c r="T181" i="127"/>
  <c r="S181" i="127"/>
  <c r="R181" i="127"/>
  <c r="Q181" i="127"/>
  <c r="P181" i="127"/>
  <c r="O181" i="127"/>
  <c r="N181" i="127"/>
  <c r="L181" i="127"/>
  <c r="K181" i="127"/>
  <c r="J181" i="127"/>
  <c r="I181" i="127"/>
  <c r="F181" i="127"/>
  <c r="A181" i="127"/>
  <c r="T180" i="127"/>
  <c r="S180" i="127"/>
  <c r="R180" i="127"/>
  <c r="Q180" i="127"/>
  <c r="P180" i="127"/>
  <c r="O180" i="127"/>
  <c r="N180" i="127"/>
  <c r="L180" i="127"/>
  <c r="K180" i="127"/>
  <c r="J180" i="127"/>
  <c r="I180" i="127"/>
  <c r="F180" i="127"/>
  <c r="A180" i="127"/>
  <c r="T179" i="127"/>
  <c r="S179" i="127"/>
  <c r="R179" i="127"/>
  <c r="Q179" i="127"/>
  <c r="P179" i="127"/>
  <c r="O179" i="127"/>
  <c r="N179" i="127"/>
  <c r="L179" i="127"/>
  <c r="K179" i="127"/>
  <c r="J179" i="127"/>
  <c r="I179" i="127"/>
  <c r="F179" i="127"/>
  <c r="A179" i="127"/>
  <c r="T178" i="127"/>
  <c r="S178" i="127"/>
  <c r="R178" i="127"/>
  <c r="Q178" i="127"/>
  <c r="P178" i="127"/>
  <c r="O178" i="127"/>
  <c r="N178" i="127"/>
  <c r="L178" i="127"/>
  <c r="K178" i="127"/>
  <c r="J178" i="127"/>
  <c r="I178" i="127"/>
  <c r="F178" i="127"/>
  <c r="A178" i="127"/>
  <c r="T177" i="127"/>
  <c r="S177" i="127"/>
  <c r="R177" i="127"/>
  <c r="Q177" i="127"/>
  <c r="P177" i="127"/>
  <c r="O177" i="127"/>
  <c r="N177" i="127"/>
  <c r="L177" i="127"/>
  <c r="K177" i="127"/>
  <c r="J177" i="127"/>
  <c r="I177" i="127"/>
  <c r="F177" i="127"/>
  <c r="A177" i="127"/>
  <c r="T176" i="127"/>
  <c r="S176" i="127"/>
  <c r="R176" i="127"/>
  <c r="Q176" i="127"/>
  <c r="P176" i="127"/>
  <c r="O176" i="127"/>
  <c r="N176" i="127"/>
  <c r="L176" i="127"/>
  <c r="K176" i="127"/>
  <c r="J176" i="127"/>
  <c r="I176" i="127"/>
  <c r="F176" i="127"/>
  <c r="A176" i="127"/>
  <c r="T175" i="127"/>
  <c r="S175" i="127"/>
  <c r="R175" i="127"/>
  <c r="Q175" i="127"/>
  <c r="P175" i="127"/>
  <c r="O175" i="127"/>
  <c r="N175" i="127"/>
  <c r="L175" i="127"/>
  <c r="K175" i="127"/>
  <c r="J175" i="127"/>
  <c r="I175" i="127"/>
  <c r="F175" i="127"/>
  <c r="A175" i="127"/>
  <c r="T174" i="127"/>
  <c r="S174" i="127"/>
  <c r="R174" i="127"/>
  <c r="Q174" i="127"/>
  <c r="P174" i="127"/>
  <c r="O174" i="127"/>
  <c r="N174" i="127"/>
  <c r="L174" i="127"/>
  <c r="K174" i="127"/>
  <c r="J174" i="127"/>
  <c r="I174" i="127"/>
  <c r="F174" i="127"/>
  <c r="A174" i="127"/>
  <c r="T173" i="127"/>
  <c r="S173" i="127"/>
  <c r="R173" i="127"/>
  <c r="Q173" i="127"/>
  <c r="P173" i="127"/>
  <c r="O173" i="127"/>
  <c r="N173" i="127"/>
  <c r="L173" i="127"/>
  <c r="K173" i="127"/>
  <c r="J173" i="127"/>
  <c r="I173" i="127"/>
  <c r="F173" i="127"/>
  <c r="A173" i="127"/>
  <c r="T172" i="127"/>
  <c r="S172" i="127"/>
  <c r="R172" i="127"/>
  <c r="Q172" i="127"/>
  <c r="P172" i="127"/>
  <c r="O172" i="127"/>
  <c r="N172" i="127"/>
  <c r="L172" i="127"/>
  <c r="K172" i="127"/>
  <c r="J172" i="127"/>
  <c r="I172" i="127"/>
  <c r="F172" i="127"/>
  <c r="A172" i="127"/>
  <c r="T171" i="127"/>
  <c r="S171" i="127"/>
  <c r="R171" i="127"/>
  <c r="Q171" i="127"/>
  <c r="P171" i="127"/>
  <c r="O171" i="127"/>
  <c r="N171" i="127"/>
  <c r="L171" i="127"/>
  <c r="K171" i="127"/>
  <c r="J171" i="127"/>
  <c r="I171" i="127"/>
  <c r="F171" i="127"/>
  <c r="A171" i="127"/>
  <c r="T170" i="127"/>
  <c r="S170" i="127"/>
  <c r="R170" i="127"/>
  <c r="Q170" i="127"/>
  <c r="P170" i="127"/>
  <c r="O170" i="127"/>
  <c r="N170" i="127"/>
  <c r="L170" i="127"/>
  <c r="K170" i="127"/>
  <c r="J170" i="127"/>
  <c r="I170" i="127"/>
  <c r="F170" i="127"/>
  <c r="A170" i="127"/>
  <c r="T169" i="127"/>
  <c r="S169" i="127"/>
  <c r="R169" i="127"/>
  <c r="Q169" i="127"/>
  <c r="P169" i="127"/>
  <c r="O169" i="127"/>
  <c r="N169" i="127"/>
  <c r="L169" i="127"/>
  <c r="K169" i="127"/>
  <c r="J169" i="127"/>
  <c r="I169" i="127"/>
  <c r="F169" i="127"/>
  <c r="A169" i="127"/>
  <c r="T168" i="127"/>
  <c r="S168" i="127"/>
  <c r="R168" i="127"/>
  <c r="Q168" i="127"/>
  <c r="P168" i="127"/>
  <c r="O168" i="127"/>
  <c r="N168" i="127"/>
  <c r="L168" i="127"/>
  <c r="K168" i="127"/>
  <c r="J168" i="127"/>
  <c r="I168" i="127"/>
  <c r="F168" i="127"/>
  <c r="A168" i="127"/>
  <c r="T167" i="127"/>
  <c r="S167" i="127"/>
  <c r="R167" i="127"/>
  <c r="Q167" i="127"/>
  <c r="P167" i="127"/>
  <c r="O167" i="127"/>
  <c r="N167" i="127"/>
  <c r="L167" i="127"/>
  <c r="K167" i="127"/>
  <c r="J167" i="127"/>
  <c r="I167" i="127"/>
  <c r="F167" i="127"/>
  <c r="A167" i="127"/>
  <c r="T166" i="127"/>
  <c r="S166" i="127"/>
  <c r="R166" i="127"/>
  <c r="Q166" i="127"/>
  <c r="P166" i="127"/>
  <c r="O166" i="127"/>
  <c r="N166" i="127"/>
  <c r="L166" i="127"/>
  <c r="K166" i="127"/>
  <c r="J166" i="127"/>
  <c r="I166" i="127"/>
  <c r="F166" i="127"/>
  <c r="A166" i="127"/>
  <c r="T165" i="127"/>
  <c r="S165" i="127"/>
  <c r="R165" i="127"/>
  <c r="Q165" i="127"/>
  <c r="P165" i="127"/>
  <c r="O165" i="127"/>
  <c r="N165" i="127"/>
  <c r="L165" i="127"/>
  <c r="K165" i="127"/>
  <c r="J165" i="127"/>
  <c r="I165" i="127"/>
  <c r="F165" i="127"/>
  <c r="A165" i="127"/>
  <c r="T164" i="127"/>
  <c r="S164" i="127"/>
  <c r="R164" i="127"/>
  <c r="Q164" i="127"/>
  <c r="P164" i="127"/>
  <c r="O164" i="127"/>
  <c r="N164" i="127"/>
  <c r="L164" i="127"/>
  <c r="K164" i="127"/>
  <c r="J164" i="127"/>
  <c r="I164" i="127"/>
  <c r="F164" i="127"/>
  <c r="A164" i="127"/>
  <c r="T163" i="127"/>
  <c r="S163" i="127"/>
  <c r="R163" i="127"/>
  <c r="Q163" i="127"/>
  <c r="P163" i="127"/>
  <c r="O163" i="127"/>
  <c r="N163" i="127"/>
  <c r="L163" i="127"/>
  <c r="K163" i="127"/>
  <c r="J163" i="127"/>
  <c r="I163" i="127"/>
  <c r="F163" i="127"/>
  <c r="A163" i="127"/>
  <c r="T162" i="127"/>
  <c r="S162" i="127"/>
  <c r="R162" i="127"/>
  <c r="Q162" i="127"/>
  <c r="P162" i="127"/>
  <c r="O162" i="127"/>
  <c r="N162" i="127"/>
  <c r="L162" i="127"/>
  <c r="K162" i="127"/>
  <c r="J162" i="127"/>
  <c r="I162" i="127"/>
  <c r="F162" i="127"/>
  <c r="A162" i="127"/>
  <c r="T161" i="127"/>
  <c r="S161" i="127"/>
  <c r="R161" i="127"/>
  <c r="Q161" i="127"/>
  <c r="P161" i="127"/>
  <c r="O161" i="127"/>
  <c r="N161" i="127"/>
  <c r="L161" i="127"/>
  <c r="K161" i="127"/>
  <c r="J161" i="127"/>
  <c r="I161" i="127"/>
  <c r="F161" i="127"/>
  <c r="A161" i="127"/>
  <c r="T160" i="127"/>
  <c r="S160" i="127"/>
  <c r="R160" i="127"/>
  <c r="Q160" i="127"/>
  <c r="P160" i="127"/>
  <c r="O160" i="127"/>
  <c r="N160" i="127"/>
  <c r="L160" i="127"/>
  <c r="K160" i="127"/>
  <c r="J160" i="127"/>
  <c r="I160" i="127"/>
  <c r="F160" i="127"/>
  <c r="A160" i="127"/>
  <c r="T159" i="127"/>
  <c r="S159" i="127"/>
  <c r="R159" i="127"/>
  <c r="Q159" i="127"/>
  <c r="P159" i="127"/>
  <c r="O159" i="127"/>
  <c r="N159" i="127"/>
  <c r="L159" i="127"/>
  <c r="K159" i="127"/>
  <c r="J159" i="127"/>
  <c r="I159" i="127"/>
  <c r="F159" i="127"/>
  <c r="A159" i="127"/>
  <c r="T158" i="127"/>
  <c r="S158" i="127"/>
  <c r="R158" i="127"/>
  <c r="Q158" i="127"/>
  <c r="P158" i="127"/>
  <c r="O158" i="127"/>
  <c r="N158" i="127"/>
  <c r="L158" i="127"/>
  <c r="K158" i="127"/>
  <c r="J158" i="127"/>
  <c r="I158" i="127"/>
  <c r="F158" i="127"/>
  <c r="A158" i="127"/>
  <c r="T157" i="127"/>
  <c r="S157" i="127"/>
  <c r="R157" i="127"/>
  <c r="Q157" i="127"/>
  <c r="P157" i="127"/>
  <c r="O157" i="127"/>
  <c r="N157" i="127"/>
  <c r="L157" i="127"/>
  <c r="K157" i="127"/>
  <c r="J157" i="127"/>
  <c r="I157" i="127"/>
  <c r="F157" i="127"/>
  <c r="A157" i="127"/>
  <c r="T156" i="127"/>
  <c r="S156" i="127"/>
  <c r="R156" i="127"/>
  <c r="Q156" i="127"/>
  <c r="P156" i="127"/>
  <c r="O156" i="127"/>
  <c r="N156" i="127"/>
  <c r="L156" i="127"/>
  <c r="K156" i="127"/>
  <c r="J156" i="127"/>
  <c r="I156" i="127"/>
  <c r="F156" i="127"/>
  <c r="A156" i="127"/>
  <c r="T155" i="127"/>
  <c r="S155" i="127"/>
  <c r="R155" i="127"/>
  <c r="Q155" i="127"/>
  <c r="P155" i="127"/>
  <c r="O155" i="127"/>
  <c r="N155" i="127"/>
  <c r="L155" i="127"/>
  <c r="K155" i="127"/>
  <c r="J155" i="127"/>
  <c r="I155" i="127"/>
  <c r="F155" i="127"/>
  <c r="A155" i="127"/>
  <c r="T154" i="127"/>
  <c r="S154" i="127"/>
  <c r="R154" i="127"/>
  <c r="Q154" i="127"/>
  <c r="P154" i="127"/>
  <c r="O154" i="127"/>
  <c r="N154" i="127"/>
  <c r="L154" i="127"/>
  <c r="K154" i="127"/>
  <c r="J154" i="127"/>
  <c r="I154" i="127"/>
  <c r="F154" i="127"/>
  <c r="A154" i="127"/>
  <c r="T153" i="127"/>
  <c r="S153" i="127"/>
  <c r="R153" i="127"/>
  <c r="Q153" i="127"/>
  <c r="P153" i="127"/>
  <c r="O153" i="127"/>
  <c r="N153" i="127"/>
  <c r="L153" i="127"/>
  <c r="K153" i="127"/>
  <c r="J153" i="127"/>
  <c r="I153" i="127"/>
  <c r="F153" i="127"/>
  <c r="A153" i="127"/>
  <c r="T152" i="127"/>
  <c r="S152" i="127"/>
  <c r="R152" i="127"/>
  <c r="Q152" i="127"/>
  <c r="P152" i="127"/>
  <c r="O152" i="127"/>
  <c r="N152" i="127"/>
  <c r="L152" i="127"/>
  <c r="K152" i="127"/>
  <c r="J152" i="127"/>
  <c r="I152" i="127"/>
  <c r="F152" i="127"/>
  <c r="A152" i="127"/>
  <c r="T151" i="127"/>
  <c r="S151" i="127"/>
  <c r="R151" i="127"/>
  <c r="Q151" i="127"/>
  <c r="P151" i="127"/>
  <c r="O151" i="127"/>
  <c r="N151" i="127"/>
  <c r="L151" i="127"/>
  <c r="K151" i="127"/>
  <c r="J151" i="127"/>
  <c r="I151" i="127"/>
  <c r="F151" i="127"/>
  <c r="A151" i="127"/>
  <c r="T150" i="127"/>
  <c r="S150" i="127"/>
  <c r="R150" i="127"/>
  <c r="Q150" i="127"/>
  <c r="P150" i="127"/>
  <c r="O150" i="127"/>
  <c r="N150" i="127"/>
  <c r="L150" i="127"/>
  <c r="K150" i="127"/>
  <c r="J150" i="127"/>
  <c r="I150" i="127"/>
  <c r="F150" i="127"/>
  <c r="A150" i="127"/>
  <c r="T149" i="127"/>
  <c r="S149" i="127"/>
  <c r="R149" i="127"/>
  <c r="Q149" i="127"/>
  <c r="P149" i="127"/>
  <c r="O149" i="127"/>
  <c r="N149" i="127"/>
  <c r="L149" i="127"/>
  <c r="K149" i="127"/>
  <c r="J149" i="127"/>
  <c r="I149" i="127"/>
  <c r="F149" i="127"/>
  <c r="A149" i="127"/>
  <c r="T148" i="127"/>
  <c r="S148" i="127"/>
  <c r="R148" i="127"/>
  <c r="Q148" i="127"/>
  <c r="P148" i="127"/>
  <c r="O148" i="127"/>
  <c r="N148" i="127"/>
  <c r="L148" i="127"/>
  <c r="K148" i="127"/>
  <c r="J148" i="127"/>
  <c r="I148" i="127"/>
  <c r="F148" i="127"/>
  <c r="A148" i="127"/>
  <c r="T147" i="127"/>
  <c r="S147" i="127"/>
  <c r="R147" i="127"/>
  <c r="Q147" i="127"/>
  <c r="P147" i="127"/>
  <c r="O147" i="127"/>
  <c r="N147" i="127"/>
  <c r="L147" i="127"/>
  <c r="K147" i="127"/>
  <c r="J147" i="127"/>
  <c r="I147" i="127"/>
  <c r="F147" i="127"/>
  <c r="A147" i="127"/>
  <c r="T146" i="127"/>
  <c r="S146" i="127"/>
  <c r="R146" i="127"/>
  <c r="Q146" i="127"/>
  <c r="P146" i="127"/>
  <c r="O146" i="127"/>
  <c r="N146" i="127"/>
  <c r="L146" i="127"/>
  <c r="K146" i="127"/>
  <c r="J146" i="127"/>
  <c r="I146" i="127"/>
  <c r="F146" i="127"/>
  <c r="A146" i="127"/>
  <c r="T145" i="127"/>
  <c r="S145" i="127"/>
  <c r="R145" i="127"/>
  <c r="Q145" i="127"/>
  <c r="P145" i="127"/>
  <c r="O145" i="127"/>
  <c r="N145" i="127"/>
  <c r="L145" i="127"/>
  <c r="K145" i="127"/>
  <c r="J145" i="127"/>
  <c r="I145" i="127"/>
  <c r="F145" i="127"/>
  <c r="A145" i="127"/>
  <c r="T144" i="127"/>
  <c r="S144" i="127"/>
  <c r="R144" i="127"/>
  <c r="Q144" i="127"/>
  <c r="P144" i="127"/>
  <c r="O144" i="127"/>
  <c r="N144" i="127"/>
  <c r="L144" i="127"/>
  <c r="K144" i="127"/>
  <c r="J144" i="127"/>
  <c r="I144" i="127"/>
  <c r="F144" i="127"/>
  <c r="A144" i="127"/>
  <c r="T143" i="127"/>
  <c r="S143" i="127"/>
  <c r="R143" i="127"/>
  <c r="Q143" i="127"/>
  <c r="P143" i="127"/>
  <c r="O143" i="127"/>
  <c r="N143" i="127"/>
  <c r="L143" i="127"/>
  <c r="K143" i="127"/>
  <c r="J143" i="127"/>
  <c r="I143" i="127"/>
  <c r="F143" i="127"/>
  <c r="A143" i="127"/>
  <c r="T142" i="127"/>
  <c r="S142" i="127"/>
  <c r="R142" i="127"/>
  <c r="Q142" i="127"/>
  <c r="P142" i="127"/>
  <c r="O142" i="127"/>
  <c r="N142" i="127"/>
  <c r="L142" i="127"/>
  <c r="K142" i="127"/>
  <c r="J142" i="127"/>
  <c r="I142" i="127"/>
  <c r="F142" i="127"/>
  <c r="A142" i="127"/>
  <c r="T141" i="127"/>
  <c r="S141" i="127"/>
  <c r="R141" i="127"/>
  <c r="Q141" i="127"/>
  <c r="P141" i="127"/>
  <c r="O141" i="127"/>
  <c r="N141" i="127"/>
  <c r="L141" i="127"/>
  <c r="K141" i="127"/>
  <c r="J141" i="127"/>
  <c r="I141" i="127"/>
  <c r="F141" i="127"/>
  <c r="A141" i="127"/>
  <c r="T140" i="127"/>
  <c r="S140" i="127"/>
  <c r="R140" i="127"/>
  <c r="Q140" i="127"/>
  <c r="P140" i="127"/>
  <c r="O140" i="127"/>
  <c r="N140" i="127"/>
  <c r="L140" i="127"/>
  <c r="K140" i="127"/>
  <c r="J140" i="127"/>
  <c r="I140" i="127"/>
  <c r="F140" i="127"/>
  <c r="A140" i="127"/>
  <c r="T139" i="127"/>
  <c r="S139" i="127"/>
  <c r="R139" i="127"/>
  <c r="Q139" i="127"/>
  <c r="P139" i="127"/>
  <c r="O139" i="127"/>
  <c r="N139" i="127"/>
  <c r="L139" i="127"/>
  <c r="K139" i="127"/>
  <c r="J139" i="127"/>
  <c r="I139" i="127"/>
  <c r="F139" i="127"/>
  <c r="A139" i="127"/>
  <c r="T138" i="127"/>
  <c r="S138" i="127"/>
  <c r="R138" i="127"/>
  <c r="Q138" i="127"/>
  <c r="P138" i="127"/>
  <c r="O138" i="127"/>
  <c r="N138" i="127"/>
  <c r="L138" i="127"/>
  <c r="K138" i="127"/>
  <c r="J138" i="127"/>
  <c r="I138" i="127"/>
  <c r="F138" i="127"/>
  <c r="A138" i="127"/>
  <c r="T137" i="127"/>
  <c r="S137" i="127"/>
  <c r="R137" i="127"/>
  <c r="Q137" i="127"/>
  <c r="P137" i="127"/>
  <c r="O137" i="127"/>
  <c r="N137" i="127"/>
  <c r="L137" i="127"/>
  <c r="K137" i="127"/>
  <c r="J137" i="127"/>
  <c r="I137" i="127"/>
  <c r="F137" i="127"/>
  <c r="A137" i="127"/>
  <c r="T136" i="127"/>
  <c r="S136" i="127"/>
  <c r="R136" i="127"/>
  <c r="Q136" i="127"/>
  <c r="P136" i="127"/>
  <c r="O136" i="127"/>
  <c r="N136" i="127"/>
  <c r="L136" i="127"/>
  <c r="K136" i="127"/>
  <c r="J136" i="127"/>
  <c r="I136" i="127"/>
  <c r="F136" i="127"/>
  <c r="A136" i="127"/>
  <c r="T135" i="127"/>
  <c r="S135" i="127"/>
  <c r="R135" i="127"/>
  <c r="Q135" i="127"/>
  <c r="P135" i="127"/>
  <c r="O135" i="127"/>
  <c r="N135" i="127"/>
  <c r="L135" i="127"/>
  <c r="K135" i="127"/>
  <c r="J135" i="127"/>
  <c r="I135" i="127"/>
  <c r="F135" i="127"/>
  <c r="A135" i="127"/>
  <c r="T134" i="127"/>
  <c r="S134" i="127"/>
  <c r="R134" i="127"/>
  <c r="Q134" i="127"/>
  <c r="P134" i="127"/>
  <c r="O134" i="127"/>
  <c r="N134" i="127"/>
  <c r="L134" i="127"/>
  <c r="K134" i="127"/>
  <c r="J134" i="127"/>
  <c r="I134" i="127"/>
  <c r="F134" i="127"/>
  <c r="A134" i="127"/>
  <c r="T133" i="127"/>
  <c r="S133" i="127"/>
  <c r="R133" i="127"/>
  <c r="Q133" i="127"/>
  <c r="P133" i="127"/>
  <c r="O133" i="127"/>
  <c r="N133" i="127"/>
  <c r="L133" i="127"/>
  <c r="K133" i="127"/>
  <c r="J133" i="127"/>
  <c r="I133" i="127"/>
  <c r="F133" i="127"/>
  <c r="A133" i="127"/>
  <c r="T132" i="127"/>
  <c r="S132" i="127"/>
  <c r="R132" i="127"/>
  <c r="Q132" i="127"/>
  <c r="P132" i="127"/>
  <c r="O132" i="127"/>
  <c r="N132" i="127"/>
  <c r="L132" i="127"/>
  <c r="K132" i="127"/>
  <c r="J132" i="127"/>
  <c r="I132" i="127"/>
  <c r="F132" i="127"/>
  <c r="A132" i="127"/>
  <c r="T131" i="127"/>
  <c r="S131" i="127"/>
  <c r="R131" i="127"/>
  <c r="Q131" i="127"/>
  <c r="P131" i="127"/>
  <c r="O131" i="127"/>
  <c r="N131" i="127"/>
  <c r="L131" i="127"/>
  <c r="K131" i="127"/>
  <c r="J131" i="127"/>
  <c r="I131" i="127"/>
  <c r="F131" i="127"/>
  <c r="A131" i="127"/>
  <c r="T130" i="127"/>
  <c r="S130" i="127"/>
  <c r="R130" i="127"/>
  <c r="Q130" i="127"/>
  <c r="P130" i="127"/>
  <c r="O130" i="127"/>
  <c r="N130" i="127"/>
  <c r="L130" i="127"/>
  <c r="K130" i="127"/>
  <c r="J130" i="127"/>
  <c r="I130" i="127"/>
  <c r="F130" i="127"/>
  <c r="A130" i="127"/>
  <c r="T129" i="127"/>
  <c r="S129" i="127"/>
  <c r="R129" i="127"/>
  <c r="Q129" i="127"/>
  <c r="P129" i="127"/>
  <c r="O129" i="127"/>
  <c r="N129" i="127"/>
  <c r="L129" i="127"/>
  <c r="K129" i="127"/>
  <c r="J129" i="127"/>
  <c r="I129" i="127"/>
  <c r="F129" i="127"/>
  <c r="A129" i="127"/>
  <c r="T128" i="127"/>
  <c r="S128" i="127"/>
  <c r="R128" i="127"/>
  <c r="Q128" i="127"/>
  <c r="P128" i="127"/>
  <c r="O128" i="127"/>
  <c r="N128" i="127"/>
  <c r="L128" i="127"/>
  <c r="K128" i="127"/>
  <c r="J128" i="127"/>
  <c r="I128" i="127"/>
  <c r="F128" i="127"/>
  <c r="A128" i="127"/>
  <c r="T127" i="127"/>
  <c r="S127" i="127"/>
  <c r="R127" i="127"/>
  <c r="Q127" i="127"/>
  <c r="P127" i="127"/>
  <c r="O127" i="127"/>
  <c r="N127" i="127"/>
  <c r="L127" i="127"/>
  <c r="K127" i="127"/>
  <c r="J127" i="127"/>
  <c r="I127" i="127"/>
  <c r="F127" i="127"/>
  <c r="A127" i="127"/>
  <c r="T126" i="127"/>
  <c r="S126" i="127"/>
  <c r="R126" i="127"/>
  <c r="Q126" i="127"/>
  <c r="P126" i="127"/>
  <c r="O126" i="127"/>
  <c r="N126" i="127"/>
  <c r="L126" i="127"/>
  <c r="K126" i="127"/>
  <c r="J126" i="127"/>
  <c r="I126" i="127"/>
  <c r="F126" i="127"/>
  <c r="A126" i="127"/>
  <c r="T125" i="127"/>
  <c r="S125" i="127"/>
  <c r="R125" i="127"/>
  <c r="Q125" i="127"/>
  <c r="P125" i="127"/>
  <c r="O125" i="127"/>
  <c r="N125" i="127"/>
  <c r="L125" i="127"/>
  <c r="K125" i="127"/>
  <c r="J125" i="127"/>
  <c r="I125" i="127"/>
  <c r="F125" i="127"/>
  <c r="A125" i="127"/>
  <c r="T124" i="127"/>
  <c r="S124" i="127"/>
  <c r="R124" i="127"/>
  <c r="Q124" i="127"/>
  <c r="P124" i="127"/>
  <c r="O124" i="127"/>
  <c r="N124" i="127"/>
  <c r="L124" i="127"/>
  <c r="K124" i="127"/>
  <c r="J124" i="127"/>
  <c r="I124" i="127"/>
  <c r="F124" i="127"/>
  <c r="A124" i="127"/>
  <c r="T123" i="127"/>
  <c r="S123" i="127"/>
  <c r="R123" i="127"/>
  <c r="Q123" i="127"/>
  <c r="P123" i="127"/>
  <c r="O123" i="127"/>
  <c r="N123" i="127"/>
  <c r="L123" i="127"/>
  <c r="K123" i="127"/>
  <c r="J123" i="127"/>
  <c r="I123" i="127"/>
  <c r="F123" i="127"/>
  <c r="A123" i="127"/>
  <c r="T122" i="127"/>
  <c r="S122" i="127"/>
  <c r="R122" i="127"/>
  <c r="Q122" i="127"/>
  <c r="P122" i="127"/>
  <c r="O122" i="127"/>
  <c r="N122" i="127"/>
  <c r="L122" i="127"/>
  <c r="K122" i="127"/>
  <c r="J122" i="127"/>
  <c r="I122" i="127"/>
  <c r="F122" i="127"/>
  <c r="A122" i="127"/>
  <c r="T121" i="127"/>
  <c r="S121" i="127"/>
  <c r="R121" i="127"/>
  <c r="Q121" i="127"/>
  <c r="P121" i="127"/>
  <c r="O121" i="127"/>
  <c r="N121" i="127"/>
  <c r="L121" i="127"/>
  <c r="K121" i="127"/>
  <c r="J121" i="127"/>
  <c r="I121" i="127"/>
  <c r="F121" i="127"/>
  <c r="A121" i="127"/>
  <c r="T120" i="127"/>
  <c r="S120" i="127"/>
  <c r="R120" i="127"/>
  <c r="Q120" i="127"/>
  <c r="P120" i="127"/>
  <c r="O120" i="127"/>
  <c r="N120" i="127"/>
  <c r="L120" i="127"/>
  <c r="K120" i="127"/>
  <c r="J120" i="127"/>
  <c r="I120" i="127"/>
  <c r="F120" i="127"/>
  <c r="A120" i="127"/>
  <c r="T119" i="127"/>
  <c r="S119" i="127"/>
  <c r="R119" i="127"/>
  <c r="Q119" i="127"/>
  <c r="P119" i="127"/>
  <c r="O119" i="127"/>
  <c r="N119" i="127"/>
  <c r="L119" i="127"/>
  <c r="K119" i="127"/>
  <c r="J119" i="127"/>
  <c r="I119" i="127"/>
  <c r="F119" i="127"/>
  <c r="A119" i="127"/>
  <c r="T118" i="127"/>
  <c r="S118" i="127"/>
  <c r="R118" i="127"/>
  <c r="Q118" i="127"/>
  <c r="P118" i="127"/>
  <c r="O118" i="127"/>
  <c r="N118" i="127"/>
  <c r="L118" i="127"/>
  <c r="K118" i="127"/>
  <c r="J118" i="127"/>
  <c r="I118" i="127"/>
  <c r="F118" i="127"/>
  <c r="A118" i="127"/>
  <c r="T117" i="127"/>
  <c r="S117" i="127"/>
  <c r="R117" i="127"/>
  <c r="Q117" i="127"/>
  <c r="P117" i="127"/>
  <c r="O117" i="127"/>
  <c r="N117" i="127"/>
  <c r="L117" i="127"/>
  <c r="K117" i="127"/>
  <c r="J117" i="127"/>
  <c r="I117" i="127"/>
  <c r="F117" i="127"/>
  <c r="A117" i="127"/>
  <c r="T116" i="127"/>
  <c r="S116" i="127"/>
  <c r="R116" i="127"/>
  <c r="Q116" i="127"/>
  <c r="P116" i="127"/>
  <c r="O116" i="127"/>
  <c r="N116" i="127"/>
  <c r="L116" i="127"/>
  <c r="K116" i="127"/>
  <c r="J116" i="127"/>
  <c r="I116" i="127"/>
  <c r="F116" i="127"/>
  <c r="A116" i="127"/>
  <c r="T115" i="127"/>
  <c r="S115" i="127"/>
  <c r="R115" i="127"/>
  <c r="Q115" i="127"/>
  <c r="P115" i="127"/>
  <c r="O115" i="127"/>
  <c r="N115" i="127"/>
  <c r="L115" i="127"/>
  <c r="K115" i="127"/>
  <c r="J115" i="127"/>
  <c r="I115" i="127"/>
  <c r="F115" i="127"/>
  <c r="A115" i="127"/>
  <c r="T114" i="127"/>
  <c r="S114" i="127"/>
  <c r="R114" i="127"/>
  <c r="Q114" i="127"/>
  <c r="P114" i="127"/>
  <c r="O114" i="127"/>
  <c r="N114" i="127"/>
  <c r="L114" i="127"/>
  <c r="K114" i="127"/>
  <c r="J114" i="127"/>
  <c r="I114" i="127"/>
  <c r="F114" i="127"/>
  <c r="A114" i="127"/>
  <c r="T113" i="127"/>
  <c r="S113" i="127"/>
  <c r="R113" i="127"/>
  <c r="Q113" i="127"/>
  <c r="P113" i="127"/>
  <c r="O113" i="127"/>
  <c r="N113" i="127"/>
  <c r="L113" i="127"/>
  <c r="K113" i="127"/>
  <c r="J113" i="127"/>
  <c r="I113" i="127"/>
  <c r="F113" i="127"/>
  <c r="A113" i="127"/>
  <c r="T112" i="127"/>
  <c r="S112" i="127"/>
  <c r="R112" i="127"/>
  <c r="Q112" i="127"/>
  <c r="P112" i="127"/>
  <c r="O112" i="127"/>
  <c r="N112" i="127"/>
  <c r="L112" i="127"/>
  <c r="K112" i="127"/>
  <c r="J112" i="127"/>
  <c r="I112" i="127"/>
  <c r="F112" i="127"/>
  <c r="A112" i="127"/>
  <c r="T111" i="127"/>
  <c r="S111" i="127"/>
  <c r="R111" i="127"/>
  <c r="Q111" i="127"/>
  <c r="P111" i="127"/>
  <c r="O111" i="127"/>
  <c r="N111" i="127"/>
  <c r="L111" i="127"/>
  <c r="K111" i="127"/>
  <c r="J111" i="127"/>
  <c r="I111" i="127"/>
  <c r="F111" i="127"/>
  <c r="A111" i="127"/>
  <c r="T110" i="127"/>
  <c r="S110" i="127"/>
  <c r="R110" i="127"/>
  <c r="Q110" i="127"/>
  <c r="P110" i="127"/>
  <c r="O110" i="127"/>
  <c r="N110" i="127"/>
  <c r="L110" i="127"/>
  <c r="K110" i="127"/>
  <c r="J110" i="127"/>
  <c r="I110" i="127"/>
  <c r="F110" i="127"/>
  <c r="A110" i="127"/>
  <c r="T109" i="127"/>
  <c r="S109" i="127"/>
  <c r="R109" i="127"/>
  <c r="Q109" i="127"/>
  <c r="P109" i="127"/>
  <c r="O109" i="127"/>
  <c r="N109" i="127"/>
  <c r="L109" i="127"/>
  <c r="K109" i="127"/>
  <c r="J109" i="127"/>
  <c r="I109" i="127"/>
  <c r="F109" i="127"/>
  <c r="A109" i="127"/>
  <c r="T108" i="127"/>
  <c r="S108" i="127"/>
  <c r="R108" i="127"/>
  <c r="Q108" i="127"/>
  <c r="P108" i="127"/>
  <c r="O108" i="127"/>
  <c r="N108" i="127"/>
  <c r="L108" i="127"/>
  <c r="K108" i="127"/>
  <c r="J108" i="127"/>
  <c r="I108" i="127"/>
  <c r="F108" i="127"/>
  <c r="A108" i="127"/>
  <c r="T107" i="127"/>
  <c r="S107" i="127"/>
  <c r="R107" i="127"/>
  <c r="Q107" i="127"/>
  <c r="P107" i="127"/>
  <c r="O107" i="127"/>
  <c r="N107" i="127"/>
  <c r="L107" i="127"/>
  <c r="K107" i="127"/>
  <c r="J107" i="127"/>
  <c r="I107" i="127"/>
  <c r="F107" i="127"/>
  <c r="A107" i="127"/>
  <c r="T106" i="127"/>
  <c r="S106" i="127"/>
  <c r="R106" i="127"/>
  <c r="Q106" i="127"/>
  <c r="P106" i="127"/>
  <c r="O106" i="127"/>
  <c r="N106" i="127"/>
  <c r="L106" i="127"/>
  <c r="K106" i="127"/>
  <c r="J106" i="127"/>
  <c r="I106" i="127"/>
  <c r="F106" i="127"/>
  <c r="A106" i="127"/>
  <c r="T105" i="127"/>
  <c r="S105" i="127"/>
  <c r="R105" i="127"/>
  <c r="Q105" i="127"/>
  <c r="P105" i="127"/>
  <c r="O105" i="127"/>
  <c r="N105" i="127"/>
  <c r="L105" i="127"/>
  <c r="K105" i="127"/>
  <c r="J105" i="127"/>
  <c r="I105" i="127"/>
  <c r="F105" i="127"/>
  <c r="A105" i="127"/>
  <c r="T104" i="127"/>
  <c r="S104" i="127"/>
  <c r="R104" i="127"/>
  <c r="Q104" i="127"/>
  <c r="P104" i="127"/>
  <c r="O104" i="127"/>
  <c r="N104" i="127"/>
  <c r="L104" i="127"/>
  <c r="K104" i="127"/>
  <c r="J104" i="127"/>
  <c r="I104" i="127"/>
  <c r="F104" i="127"/>
  <c r="A104" i="127"/>
  <c r="T103" i="127"/>
  <c r="S103" i="127"/>
  <c r="R103" i="127"/>
  <c r="Q103" i="127"/>
  <c r="P103" i="127"/>
  <c r="O103" i="127"/>
  <c r="N103" i="127"/>
  <c r="L103" i="127"/>
  <c r="K103" i="127"/>
  <c r="J103" i="127"/>
  <c r="I103" i="127"/>
  <c r="F103" i="127"/>
  <c r="A103" i="127"/>
  <c r="T102" i="127"/>
  <c r="S102" i="127"/>
  <c r="R102" i="127"/>
  <c r="Q102" i="127"/>
  <c r="P102" i="127"/>
  <c r="O102" i="127"/>
  <c r="N102" i="127"/>
  <c r="L102" i="127"/>
  <c r="K102" i="127"/>
  <c r="J102" i="127"/>
  <c r="I102" i="127"/>
  <c r="F102" i="127"/>
  <c r="A102" i="127"/>
  <c r="T101" i="127"/>
  <c r="S101" i="127"/>
  <c r="R101" i="127"/>
  <c r="Q101" i="127"/>
  <c r="P101" i="127"/>
  <c r="O101" i="127"/>
  <c r="N101" i="127"/>
  <c r="L101" i="127"/>
  <c r="K101" i="127"/>
  <c r="J101" i="127"/>
  <c r="I101" i="127"/>
  <c r="F101" i="127"/>
  <c r="A101" i="127"/>
  <c r="T100" i="127"/>
  <c r="S100" i="127"/>
  <c r="R100" i="127"/>
  <c r="Q100" i="127"/>
  <c r="P100" i="127"/>
  <c r="O100" i="127"/>
  <c r="N100" i="127"/>
  <c r="L100" i="127"/>
  <c r="K100" i="127"/>
  <c r="J100" i="127"/>
  <c r="I100" i="127"/>
  <c r="F100" i="127"/>
  <c r="A100" i="127"/>
  <c r="T99" i="127"/>
  <c r="S99" i="127"/>
  <c r="R99" i="127"/>
  <c r="Q99" i="127"/>
  <c r="P99" i="127"/>
  <c r="O99" i="127"/>
  <c r="N99" i="127"/>
  <c r="L99" i="127"/>
  <c r="K99" i="127"/>
  <c r="J99" i="127"/>
  <c r="I99" i="127"/>
  <c r="F99" i="127"/>
  <c r="A99" i="127"/>
  <c r="T98" i="127"/>
  <c r="S98" i="127"/>
  <c r="R98" i="127"/>
  <c r="Q98" i="127"/>
  <c r="P98" i="127"/>
  <c r="O98" i="127"/>
  <c r="N98" i="127"/>
  <c r="L98" i="127"/>
  <c r="K98" i="127"/>
  <c r="J98" i="127"/>
  <c r="I98" i="127"/>
  <c r="F98" i="127"/>
  <c r="A98" i="127"/>
  <c r="T97" i="127"/>
  <c r="S97" i="127"/>
  <c r="R97" i="127"/>
  <c r="Q97" i="127"/>
  <c r="P97" i="127"/>
  <c r="O97" i="127"/>
  <c r="N97" i="127"/>
  <c r="L97" i="127"/>
  <c r="K97" i="127"/>
  <c r="J97" i="127"/>
  <c r="I97" i="127"/>
  <c r="F97" i="127"/>
  <c r="A97" i="127"/>
  <c r="T96" i="127"/>
  <c r="S96" i="127"/>
  <c r="R96" i="127"/>
  <c r="Q96" i="127"/>
  <c r="P96" i="127"/>
  <c r="O96" i="127"/>
  <c r="N96" i="127"/>
  <c r="L96" i="127"/>
  <c r="K96" i="127"/>
  <c r="J96" i="127"/>
  <c r="I96" i="127"/>
  <c r="F96" i="127"/>
  <c r="A96" i="127"/>
  <c r="T95" i="127"/>
  <c r="S95" i="127"/>
  <c r="R95" i="127"/>
  <c r="Q95" i="127"/>
  <c r="P95" i="127"/>
  <c r="O95" i="127"/>
  <c r="N95" i="127"/>
  <c r="L95" i="127"/>
  <c r="K95" i="127"/>
  <c r="J95" i="127"/>
  <c r="I95" i="127"/>
  <c r="F95" i="127"/>
  <c r="A95" i="127"/>
  <c r="T94" i="127"/>
  <c r="S94" i="127"/>
  <c r="R94" i="127"/>
  <c r="Q94" i="127"/>
  <c r="P94" i="127"/>
  <c r="O94" i="127"/>
  <c r="N94" i="127"/>
  <c r="L94" i="127"/>
  <c r="K94" i="127"/>
  <c r="J94" i="127"/>
  <c r="I94" i="127"/>
  <c r="F94" i="127"/>
  <c r="A94" i="127"/>
  <c r="T93" i="127"/>
  <c r="S93" i="127"/>
  <c r="R93" i="127"/>
  <c r="Q93" i="127"/>
  <c r="P93" i="127"/>
  <c r="O93" i="127"/>
  <c r="N93" i="127"/>
  <c r="L93" i="127"/>
  <c r="K93" i="127"/>
  <c r="J93" i="127"/>
  <c r="I93" i="127"/>
  <c r="F93" i="127"/>
  <c r="A93" i="127"/>
  <c r="T92" i="127"/>
  <c r="S92" i="127"/>
  <c r="R92" i="127"/>
  <c r="Q92" i="127"/>
  <c r="P92" i="127"/>
  <c r="O92" i="127"/>
  <c r="N92" i="127"/>
  <c r="L92" i="127"/>
  <c r="K92" i="127"/>
  <c r="J92" i="127"/>
  <c r="I92" i="127"/>
  <c r="F92" i="127"/>
  <c r="A92" i="127"/>
  <c r="T91" i="127"/>
  <c r="S91" i="127"/>
  <c r="R91" i="127"/>
  <c r="Q91" i="127"/>
  <c r="P91" i="127"/>
  <c r="O91" i="127"/>
  <c r="N91" i="127"/>
  <c r="L91" i="127"/>
  <c r="K91" i="127"/>
  <c r="J91" i="127"/>
  <c r="I91" i="127"/>
  <c r="F91" i="127"/>
  <c r="A91" i="127"/>
  <c r="T90" i="127"/>
  <c r="S90" i="127"/>
  <c r="R90" i="127"/>
  <c r="Q90" i="127"/>
  <c r="P90" i="127"/>
  <c r="O90" i="127"/>
  <c r="N90" i="127"/>
  <c r="L90" i="127"/>
  <c r="K90" i="127"/>
  <c r="J90" i="127"/>
  <c r="I90" i="127"/>
  <c r="F90" i="127"/>
  <c r="A90" i="127"/>
  <c r="T89" i="127"/>
  <c r="S89" i="127"/>
  <c r="R89" i="127"/>
  <c r="Q89" i="127"/>
  <c r="P89" i="127"/>
  <c r="O89" i="127"/>
  <c r="N89" i="127"/>
  <c r="L89" i="127"/>
  <c r="K89" i="127"/>
  <c r="J89" i="127"/>
  <c r="I89" i="127"/>
  <c r="F89" i="127"/>
  <c r="A89" i="127"/>
  <c r="T88" i="127"/>
  <c r="S88" i="127"/>
  <c r="R88" i="127"/>
  <c r="Q88" i="127"/>
  <c r="P88" i="127"/>
  <c r="O88" i="127"/>
  <c r="N88" i="127"/>
  <c r="L88" i="127"/>
  <c r="K88" i="127"/>
  <c r="J88" i="127"/>
  <c r="I88" i="127"/>
  <c r="F88" i="127"/>
  <c r="A88" i="127"/>
  <c r="T87" i="127"/>
  <c r="S87" i="127"/>
  <c r="R87" i="127"/>
  <c r="Q87" i="127"/>
  <c r="P87" i="127"/>
  <c r="O87" i="127"/>
  <c r="N87" i="127"/>
  <c r="L87" i="127"/>
  <c r="K87" i="127"/>
  <c r="J87" i="127"/>
  <c r="I87" i="127"/>
  <c r="F87" i="127"/>
  <c r="A87" i="127"/>
  <c r="T86" i="127"/>
  <c r="S86" i="127"/>
  <c r="R86" i="127"/>
  <c r="Q86" i="127"/>
  <c r="P86" i="127"/>
  <c r="O86" i="127"/>
  <c r="N86" i="127"/>
  <c r="L86" i="127"/>
  <c r="K86" i="127"/>
  <c r="J86" i="127"/>
  <c r="I86" i="127"/>
  <c r="F86" i="127"/>
  <c r="A86" i="127"/>
  <c r="T85" i="127"/>
  <c r="S85" i="127"/>
  <c r="R85" i="127"/>
  <c r="Q85" i="127"/>
  <c r="P85" i="127"/>
  <c r="O85" i="127"/>
  <c r="N85" i="127"/>
  <c r="L85" i="127"/>
  <c r="K85" i="127"/>
  <c r="J85" i="127"/>
  <c r="I85" i="127"/>
  <c r="F85" i="127"/>
  <c r="A85" i="127"/>
  <c r="T84" i="127"/>
  <c r="S84" i="127"/>
  <c r="R84" i="127"/>
  <c r="Q84" i="127"/>
  <c r="P84" i="127"/>
  <c r="O84" i="127"/>
  <c r="N84" i="127"/>
  <c r="L84" i="127"/>
  <c r="K84" i="127"/>
  <c r="J84" i="127"/>
  <c r="I84" i="127"/>
  <c r="F84" i="127"/>
  <c r="A84" i="127"/>
  <c r="T83" i="127"/>
  <c r="S83" i="127"/>
  <c r="R83" i="127"/>
  <c r="Q83" i="127"/>
  <c r="P83" i="127"/>
  <c r="O83" i="127"/>
  <c r="N83" i="127"/>
  <c r="L83" i="127"/>
  <c r="K83" i="127"/>
  <c r="J83" i="127"/>
  <c r="I83" i="127"/>
  <c r="F83" i="127"/>
  <c r="A83" i="127"/>
  <c r="T82" i="127"/>
  <c r="S82" i="127"/>
  <c r="R82" i="127"/>
  <c r="Q82" i="127"/>
  <c r="P82" i="127"/>
  <c r="O82" i="127"/>
  <c r="N82" i="127"/>
  <c r="L82" i="127"/>
  <c r="K82" i="127"/>
  <c r="J82" i="127"/>
  <c r="I82" i="127"/>
  <c r="F82" i="127"/>
  <c r="A82" i="127"/>
  <c r="T81" i="127"/>
  <c r="S81" i="127"/>
  <c r="R81" i="127"/>
  <c r="Q81" i="127"/>
  <c r="P81" i="127"/>
  <c r="O81" i="127"/>
  <c r="N81" i="127"/>
  <c r="L81" i="127"/>
  <c r="K81" i="127"/>
  <c r="J81" i="127"/>
  <c r="I81" i="127"/>
  <c r="F81" i="127"/>
  <c r="A81" i="127"/>
  <c r="T80" i="127"/>
  <c r="S80" i="127"/>
  <c r="R80" i="127"/>
  <c r="Q80" i="127"/>
  <c r="P80" i="127"/>
  <c r="O80" i="127"/>
  <c r="N80" i="127"/>
  <c r="L80" i="127"/>
  <c r="K80" i="127"/>
  <c r="J80" i="127"/>
  <c r="I80" i="127"/>
  <c r="F80" i="127"/>
  <c r="A80" i="127"/>
  <c r="T79" i="127"/>
  <c r="S79" i="127"/>
  <c r="R79" i="127"/>
  <c r="Q79" i="127"/>
  <c r="P79" i="127"/>
  <c r="O79" i="127"/>
  <c r="N79" i="127"/>
  <c r="L79" i="127"/>
  <c r="K79" i="127"/>
  <c r="J79" i="127"/>
  <c r="I79" i="127"/>
  <c r="F79" i="127"/>
  <c r="A79" i="127"/>
  <c r="T78" i="127"/>
  <c r="S78" i="127"/>
  <c r="R78" i="127"/>
  <c r="Q78" i="127"/>
  <c r="P78" i="127"/>
  <c r="O78" i="127"/>
  <c r="N78" i="127"/>
  <c r="L78" i="127"/>
  <c r="K78" i="127"/>
  <c r="J78" i="127"/>
  <c r="I78" i="127"/>
  <c r="F78" i="127"/>
  <c r="A78" i="127"/>
  <c r="T77" i="127"/>
  <c r="S77" i="127"/>
  <c r="R77" i="127"/>
  <c r="Q77" i="127"/>
  <c r="P77" i="127"/>
  <c r="O77" i="127"/>
  <c r="N77" i="127"/>
  <c r="L77" i="127"/>
  <c r="K77" i="127"/>
  <c r="J77" i="127"/>
  <c r="I77" i="127"/>
  <c r="F77" i="127"/>
  <c r="A77" i="127"/>
  <c r="T76" i="127"/>
  <c r="S76" i="127"/>
  <c r="R76" i="127"/>
  <c r="Q76" i="127"/>
  <c r="P76" i="127"/>
  <c r="O76" i="127"/>
  <c r="N76" i="127"/>
  <c r="L76" i="127"/>
  <c r="K76" i="127"/>
  <c r="J76" i="127"/>
  <c r="I76" i="127"/>
  <c r="F76" i="127"/>
  <c r="A76" i="127"/>
  <c r="T75" i="127"/>
  <c r="S75" i="127"/>
  <c r="R75" i="127"/>
  <c r="Q75" i="127"/>
  <c r="P75" i="127"/>
  <c r="O75" i="127"/>
  <c r="N75" i="127"/>
  <c r="L75" i="127"/>
  <c r="K75" i="127"/>
  <c r="J75" i="127"/>
  <c r="I75" i="127"/>
  <c r="F75" i="127"/>
  <c r="A75" i="127"/>
  <c r="T74" i="127"/>
  <c r="S74" i="127"/>
  <c r="R74" i="127"/>
  <c r="Q74" i="127"/>
  <c r="P74" i="127"/>
  <c r="O74" i="127"/>
  <c r="N74" i="127"/>
  <c r="L74" i="127"/>
  <c r="K74" i="127"/>
  <c r="J74" i="127"/>
  <c r="I74" i="127"/>
  <c r="F74" i="127"/>
  <c r="A74" i="127"/>
  <c r="T73" i="127"/>
  <c r="S73" i="127"/>
  <c r="R73" i="127"/>
  <c r="Q73" i="127"/>
  <c r="P73" i="127"/>
  <c r="O73" i="127"/>
  <c r="N73" i="127"/>
  <c r="L73" i="127"/>
  <c r="K73" i="127"/>
  <c r="J73" i="127"/>
  <c r="I73" i="127"/>
  <c r="F73" i="127"/>
  <c r="A73" i="127"/>
  <c r="T72" i="127"/>
  <c r="S72" i="127"/>
  <c r="R72" i="127"/>
  <c r="Q72" i="127"/>
  <c r="P72" i="127"/>
  <c r="O72" i="127"/>
  <c r="N72" i="127"/>
  <c r="L72" i="127"/>
  <c r="K72" i="127"/>
  <c r="J72" i="127"/>
  <c r="I72" i="127"/>
  <c r="F72" i="127"/>
  <c r="A72" i="127"/>
  <c r="T71" i="127"/>
  <c r="S71" i="127"/>
  <c r="R71" i="127"/>
  <c r="Q71" i="127"/>
  <c r="P71" i="127"/>
  <c r="O71" i="127"/>
  <c r="N71" i="127"/>
  <c r="L71" i="127"/>
  <c r="K71" i="127"/>
  <c r="J71" i="127"/>
  <c r="I71" i="127"/>
  <c r="F71" i="127"/>
  <c r="A71" i="127"/>
  <c r="T70" i="127"/>
  <c r="S70" i="127"/>
  <c r="R70" i="127"/>
  <c r="Q70" i="127"/>
  <c r="P70" i="127"/>
  <c r="O70" i="127"/>
  <c r="N70" i="127"/>
  <c r="L70" i="127"/>
  <c r="K70" i="127"/>
  <c r="J70" i="127"/>
  <c r="I70" i="127"/>
  <c r="F70" i="127"/>
  <c r="A70" i="127"/>
  <c r="T69" i="127"/>
  <c r="S69" i="127"/>
  <c r="R69" i="127"/>
  <c r="Q69" i="127"/>
  <c r="P69" i="127"/>
  <c r="O69" i="127"/>
  <c r="N69" i="127"/>
  <c r="L69" i="127"/>
  <c r="K69" i="127"/>
  <c r="J69" i="127"/>
  <c r="I69" i="127"/>
  <c r="F69" i="127"/>
  <c r="A69" i="127"/>
  <c r="T68" i="127"/>
  <c r="S68" i="127"/>
  <c r="R68" i="127"/>
  <c r="Q68" i="127"/>
  <c r="P68" i="127"/>
  <c r="O68" i="127"/>
  <c r="N68" i="127"/>
  <c r="L68" i="127"/>
  <c r="K68" i="127"/>
  <c r="J68" i="127"/>
  <c r="I68" i="127"/>
  <c r="F68" i="127"/>
  <c r="A68" i="127"/>
  <c r="T67" i="127"/>
  <c r="S67" i="127"/>
  <c r="R67" i="127"/>
  <c r="Q67" i="127"/>
  <c r="P67" i="127"/>
  <c r="O67" i="127"/>
  <c r="N67" i="127"/>
  <c r="L67" i="127"/>
  <c r="K67" i="127"/>
  <c r="J67" i="127"/>
  <c r="I67" i="127"/>
  <c r="F67" i="127"/>
  <c r="A67" i="127"/>
  <c r="T66" i="127"/>
  <c r="S66" i="127"/>
  <c r="R66" i="127"/>
  <c r="Q66" i="127"/>
  <c r="P66" i="127"/>
  <c r="O66" i="127"/>
  <c r="N66" i="127"/>
  <c r="L66" i="127"/>
  <c r="K66" i="127"/>
  <c r="J66" i="127"/>
  <c r="I66" i="127"/>
  <c r="F66" i="127"/>
  <c r="A66" i="127"/>
  <c r="T65" i="127"/>
  <c r="S65" i="127"/>
  <c r="R65" i="127"/>
  <c r="Q65" i="127"/>
  <c r="P65" i="127"/>
  <c r="O65" i="127"/>
  <c r="N65" i="127"/>
  <c r="L65" i="127"/>
  <c r="K65" i="127"/>
  <c r="J65" i="127"/>
  <c r="I65" i="127"/>
  <c r="F65" i="127"/>
  <c r="A65" i="127"/>
  <c r="T64" i="127"/>
  <c r="S64" i="127"/>
  <c r="R64" i="127"/>
  <c r="Q64" i="127"/>
  <c r="P64" i="127"/>
  <c r="O64" i="127"/>
  <c r="N64" i="127"/>
  <c r="L64" i="127"/>
  <c r="K64" i="127"/>
  <c r="J64" i="127"/>
  <c r="I64" i="127"/>
  <c r="F64" i="127"/>
  <c r="A64" i="127"/>
  <c r="T63" i="127"/>
  <c r="S63" i="127"/>
  <c r="R63" i="127"/>
  <c r="Q63" i="127"/>
  <c r="P63" i="127"/>
  <c r="O63" i="127"/>
  <c r="N63" i="127"/>
  <c r="L63" i="127"/>
  <c r="K63" i="127"/>
  <c r="J63" i="127"/>
  <c r="I63" i="127"/>
  <c r="F63" i="127"/>
  <c r="A63" i="127"/>
  <c r="T62" i="127"/>
  <c r="S62" i="127"/>
  <c r="R62" i="127"/>
  <c r="Q62" i="127"/>
  <c r="P62" i="127"/>
  <c r="O62" i="127"/>
  <c r="N62" i="127"/>
  <c r="L62" i="127"/>
  <c r="K62" i="127"/>
  <c r="J62" i="127"/>
  <c r="I62" i="127"/>
  <c r="F62" i="127"/>
  <c r="A62" i="127"/>
  <c r="T61" i="127"/>
  <c r="S61" i="127"/>
  <c r="R61" i="127"/>
  <c r="Q61" i="127"/>
  <c r="P61" i="127"/>
  <c r="O61" i="127"/>
  <c r="N61" i="127"/>
  <c r="L61" i="127"/>
  <c r="K61" i="127"/>
  <c r="J61" i="127"/>
  <c r="I61" i="127"/>
  <c r="F61" i="127"/>
  <c r="A61" i="127"/>
  <c r="T60" i="127"/>
  <c r="S60" i="127"/>
  <c r="R60" i="127"/>
  <c r="Q60" i="127"/>
  <c r="P60" i="127"/>
  <c r="O60" i="127"/>
  <c r="N60" i="127"/>
  <c r="L60" i="127"/>
  <c r="K60" i="127"/>
  <c r="J60" i="127"/>
  <c r="I60" i="127"/>
  <c r="F60" i="127"/>
  <c r="A60" i="127"/>
  <c r="T59" i="127"/>
  <c r="S59" i="127"/>
  <c r="R59" i="127"/>
  <c r="Q59" i="127"/>
  <c r="P59" i="127"/>
  <c r="O59" i="127"/>
  <c r="N59" i="127"/>
  <c r="L59" i="127"/>
  <c r="K59" i="127"/>
  <c r="J59" i="127"/>
  <c r="I59" i="127"/>
  <c r="F59" i="127"/>
  <c r="A59" i="127"/>
  <c r="T58" i="127"/>
  <c r="S58" i="127"/>
  <c r="R58" i="127"/>
  <c r="Q58" i="127"/>
  <c r="P58" i="127"/>
  <c r="O58" i="127"/>
  <c r="N58" i="127"/>
  <c r="L58" i="127"/>
  <c r="K58" i="127"/>
  <c r="J58" i="127"/>
  <c r="I58" i="127"/>
  <c r="F58" i="127"/>
  <c r="A58" i="127"/>
  <c r="T57" i="127"/>
  <c r="S57" i="127"/>
  <c r="R57" i="127"/>
  <c r="Q57" i="127"/>
  <c r="P57" i="127"/>
  <c r="O57" i="127"/>
  <c r="N57" i="127"/>
  <c r="L57" i="127"/>
  <c r="K57" i="127"/>
  <c r="J57" i="127"/>
  <c r="I57" i="127"/>
  <c r="F57" i="127"/>
  <c r="A57" i="127"/>
  <c r="T56" i="127"/>
  <c r="S56" i="127"/>
  <c r="R56" i="127"/>
  <c r="Q56" i="127"/>
  <c r="P56" i="127"/>
  <c r="O56" i="127"/>
  <c r="N56" i="127"/>
  <c r="L56" i="127"/>
  <c r="K56" i="127"/>
  <c r="J56" i="127"/>
  <c r="I56" i="127"/>
  <c r="F56" i="127"/>
  <c r="A56" i="127"/>
  <c r="T55" i="127"/>
  <c r="S55" i="127"/>
  <c r="R55" i="127"/>
  <c r="Q55" i="127"/>
  <c r="P55" i="127"/>
  <c r="O55" i="127"/>
  <c r="N55" i="127"/>
  <c r="L55" i="127"/>
  <c r="K55" i="127"/>
  <c r="J55" i="127"/>
  <c r="I55" i="127"/>
  <c r="F55" i="127"/>
  <c r="A55" i="127"/>
  <c r="T54" i="127"/>
  <c r="S54" i="127"/>
  <c r="R54" i="127"/>
  <c r="Q54" i="127"/>
  <c r="P54" i="127"/>
  <c r="O54" i="127"/>
  <c r="N54" i="127"/>
  <c r="L54" i="127"/>
  <c r="K54" i="127"/>
  <c r="J54" i="127"/>
  <c r="I54" i="127"/>
  <c r="F54" i="127"/>
  <c r="A54" i="127"/>
  <c r="T53" i="127"/>
  <c r="S53" i="127"/>
  <c r="R53" i="127"/>
  <c r="Q53" i="127"/>
  <c r="P53" i="127"/>
  <c r="O53" i="127"/>
  <c r="N53" i="127"/>
  <c r="L53" i="127"/>
  <c r="K53" i="127"/>
  <c r="J53" i="127"/>
  <c r="I53" i="127"/>
  <c r="F53" i="127"/>
  <c r="A53" i="127"/>
  <c r="T52" i="127"/>
  <c r="S52" i="127"/>
  <c r="R52" i="127"/>
  <c r="Q52" i="127"/>
  <c r="P52" i="127"/>
  <c r="O52" i="127"/>
  <c r="N52" i="127"/>
  <c r="L52" i="127"/>
  <c r="K52" i="127"/>
  <c r="J52" i="127"/>
  <c r="I52" i="127"/>
  <c r="F52" i="127"/>
  <c r="A52" i="127"/>
  <c r="T51" i="127"/>
  <c r="S51" i="127"/>
  <c r="R51" i="127"/>
  <c r="Q51" i="127"/>
  <c r="P51" i="127"/>
  <c r="O51" i="127"/>
  <c r="N51" i="127"/>
  <c r="L51" i="127"/>
  <c r="K51" i="127"/>
  <c r="J51" i="127"/>
  <c r="I51" i="127"/>
  <c r="F51" i="127"/>
  <c r="A51" i="127"/>
  <c r="T50" i="127"/>
  <c r="S50" i="127"/>
  <c r="R50" i="127"/>
  <c r="Q50" i="127"/>
  <c r="P50" i="127"/>
  <c r="O50" i="127"/>
  <c r="N50" i="127"/>
  <c r="L50" i="127"/>
  <c r="K50" i="127"/>
  <c r="J50" i="127"/>
  <c r="I50" i="127"/>
  <c r="F50" i="127"/>
  <c r="A50" i="127"/>
  <c r="T49" i="127"/>
  <c r="S49" i="127"/>
  <c r="R49" i="127"/>
  <c r="Q49" i="127"/>
  <c r="P49" i="127"/>
  <c r="O49" i="127"/>
  <c r="N49" i="127"/>
  <c r="L49" i="127"/>
  <c r="K49" i="127"/>
  <c r="J49" i="127"/>
  <c r="I49" i="127"/>
  <c r="F49" i="127"/>
  <c r="A49" i="127"/>
  <c r="T48" i="127"/>
  <c r="S48" i="127"/>
  <c r="R48" i="127"/>
  <c r="Q48" i="127"/>
  <c r="P48" i="127"/>
  <c r="O48" i="127"/>
  <c r="N48" i="127"/>
  <c r="L48" i="127"/>
  <c r="K48" i="127"/>
  <c r="J48" i="127"/>
  <c r="I48" i="127"/>
  <c r="F48" i="127"/>
  <c r="A48" i="127"/>
  <c r="T47" i="127"/>
  <c r="S47" i="127"/>
  <c r="R47" i="127"/>
  <c r="Q47" i="127"/>
  <c r="P47" i="127"/>
  <c r="O47" i="127"/>
  <c r="N47" i="127"/>
  <c r="L47" i="127"/>
  <c r="K47" i="127"/>
  <c r="J47" i="127"/>
  <c r="I47" i="127"/>
  <c r="F47" i="127"/>
  <c r="A47" i="127"/>
  <c r="T46" i="127"/>
  <c r="S46" i="127"/>
  <c r="R46" i="127"/>
  <c r="Q46" i="127"/>
  <c r="P46" i="127"/>
  <c r="O46" i="127"/>
  <c r="N46" i="127"/>
  <c r="L46" i="127"/>
  <c r="K46" i="127"/>
  <c r="J46" i="127"/>
  <c r="I46" i="127"/>
  <c r="F46" i="127"/>
  <c r="A46" i="127"/>
  <c r="T45" i="127"/>
  <c r="S45" i="127"/>
  <c r="R45" i="127"/>
  <c r="Q45" i="127"/>
  <c r="P45" i="127"/>
  <c r="O45" i="127"/>
  <c r="N45" i="127"/>
  <c r="L45" i="127"/>
  <c r="K45" i="127"/>
  <c r="J45" i="127"/>
  <c r="I45" i="127"/>
  <c r="F45" i="127"/>
  <c r="A45" i="127"/>
  <c r="T44" i="127"/>
  <c r="S44" i="127"/>
  <c r="R44" i="127"/>
  <c r="Q44" i="127"/>
  <c r="P44" i="127"/>
  <c r="O44" i="127"/>
  <c r="N44" i="127"/>
  <c r="L44" i="127"/>
  <c r="K44" i="127"/>
  <c r="J44" i="127"/>
  <c r="I44" i="127"/>
  <c r="F44" i="127"/>
  <c r="A44" i="127"/>
  <c r="T43" i="127"/>
  <c r="S43" i="127"/>
  <c r="R43" i="127"/>
  <c r="Q43" i="127"/>
  <c r="P43" i="127"/>
  <c r="O43" i="127"/>
  <c r="N43" i="127"/>
  <c r="L43" i="127"/>
  <c r="K43" i="127"/>
  <c r="J43" i="127"/>
  <c r="I43" i="127"/>
  <c r="F43" i="127"/>
  <c r="A43" i="127"/>
  <c r="T42" i="127"/>
  <c r="S42" i="127"/>
  <c r="R42" i="127"/>
  <c r="Q42" i="127"/>
  <c r="P42" i="127"/>
  <c r="O42" i="127"/>
  <c r="N42" i="127"/>
  <c r="L42" i="127"/>
  <c r="K42" i="127"/>
  <c r="J42" i="127"/>
  <c r="I42" i="127"/>
  <c r="F42" i="127"/>
  <c r="A42" i="127"/>
  <c r="T41" i="127"/>
  <c r="S41" i="127"/>
  <c r="R41" i="127"/>
  <c r="Q41" i="127"/>
  <c r="P41" i="127"/>
  <c r="O41" i="127"/>
  <c r="N41" i="127"/>
  <c r="L41" i="127"/>
  <c r="K41" i="127"/>
  <c r="J41" i="127"/>
  <c r="I41" i="127"/>
  <c r="F41" i="127"/>
  <c r="A41" i="127"/>
  <c r="T40" i="127"/>
  <c r="S40" i="127"/>
  <c r="R40" i="127"/>
  <c r="Q40" i="127"/>
  <c r="P40" i="127"/>
  <c r="O40" i="127"/>
  <c r="N40" i="127"/>
  <c r="L40" i="127"/>
  <c r="K40" i="127"/>
  <c r="J40" i="127"/>
  <c r="I40" i="127"/>
  <c r="F40" i="127"/>
  <c r="A40" i="127"/>
  <c r="T39" i="127"/>
  <c r="S39" i="127"/>
  <c r="R39" i="127"/>
  <c r="Q39" i="127"/>
  <c r="P39" i="127"/>
  <c r="O39" i="127"/>
  <c r="N39" i="127"/>
  <c r="L39" i="127"/>
  <c r="K39" i="127"/>
  <c r="J39" i="127"/>
  <c r="I39" i="127"/>
  <c r="F39" i="127"/>
  <c r="A39" i="127"/>
  <c r="T38" i="127"/>
  <c r="S38" i="127"/>
  <c r="R38" i="127"/>
  <c r="Q38" i="127"/>
  <c r="P38" i="127"/>
  <c r="O38" i="127"/>
  <c r="N38" i="127"/>
  <c r="L38" i="127"/>
  <c r="K38" i="127"/>
  <c r="J38" i="127"/>
  <c r="I38" i="127"/>
  <c r="F38" i="127"/>
  <c r="A38" i="127"/>
  <c r="T37" i="127"/>
  <c r="S37" i="127"/>
  <c r="R37" i="127"/>
  <c r="Q37" i="127"/>
  <c r="P37" i="127"/>
  <c r="O37" i="127"/>
  <c r="N37" i="127"/>
  <c r="L37" i="127"/>
  <c r="K37" i="127"/>
  <c r="J37" i="127"/>
  <c r="I37" i="127"/>
  <c r="F37" i="127"/>
  <c r="A37" i="127"/>
  <c r="T36" i="127"/>
  <c r="S36" i="127"/>
  <c r="R36" i="127"/>
  <c r="Q36" i="127"/>
  <c r="P36" i="127"/>
  <c r="O36" i="127"/>
  <c r="N36" i="127"/>
  <c r="L36" i="127"/>
  <c r="K36" i="127"/>
  <c r="J36" i="127"/>
  <c r="I36" i="127"/>
  <c r="F36" i="127"/>
  <c r="A36" i="127"/>
  <c r="T35" i="127"/>
  <c r="S35" i="127"/>
  <c r="R35" i="127"/>
  <c r="Q35" i="127"/>
  <c r="P35" i="127"/>
  <c r="O35" i="127"/>
  <c r="N35" i="127"/>
  <c r="L35" i="127"/>
  <c r="K35" i="127"/>
  <c r="J35" i="127"/>
  <c r="I35" i="127"/>
  <c r="F35" i="127"/>
  <c r="A35" i="127"/>
  <c r="T34" i="127"/>
  <c r="S34" i="127"/>
  <c r="R34" i="127"/>
  <c r="Q34" i="127"/>
  <c r="P34" i="127"/>
  <c r="O34" i="127"/>
  <c r="N34" i="127"/>
  <c r="L34" i="127"/>
  <c r="K34" i="127"/>
  <c r="J34" i="127"/>
  <c r="I34" i="127"/>
  <c r="F34" i="127"/>
  <c r="A34" i="127"/>
  <c r="T33" i="127"/>
  <c r="S33" i="127"/>
  <c r="R33" i="127"/>
  <c r="Q33" i="127"/>
  <c r="P33" i="127"/>
  <c r="O33" i="127"/>
  <c r="N33" i="127"/>
  <c r="L33" i="127"/>
  <c r="K33" i="127"/>
  <c r="J33" i="127"/>
  <c r="I33" i="127"/>
  <c r="F33" i="127"/>
  <c r="A33" i="127"/>
  <c r="T32" i="127"/>
  <c r="S32" i="127"/>
  <c r="R32" i="127"/>
  <c r="Q32" i="127"/>
  <c r="P32" i="127"/>
  <c r="O32" i="127"/>
  <c r="N32" i="127"/>
  <c r="L32" i="127"/>
  <c r="K32" i="127"/>
  <c r="J32" i="127"/>
  <c r="I32" i="127"/>
  <c r="F32" i="127"/>
  <c r="A32" i="127"/>
  <c r="T31" i="127"/>
  <c r="S31" i="127"/>
  <c r="R31" i="127"/>
  <c r="Q31" i="127"/>
  <c r="P31" i="127"/>
  <c r="O31" i="127"/>
  <c r="N31" i="127"/>
  <c r="L31" i="127"/>
  <c r="K31" i="127"/>
  <c r="J31" i="127"/>
  <c r="I31" i="127"/>
  <c r="F31" i="127"/>
  <c r="A31" i="127"/>
  <c r="T30" i="127"/>
  <c r="S30" i="127"/>
  <c r="R30" i="127"/>
  <c r="Q30" i="127"/>
  <c r="P30" i="127"/>
  <c r="O30" i="127"/>
  <c r="N30" i="127"/>
  <c r="L30" i="127"/>
  <c r="K30" i="127"/>
  <c r="J30" i="127"/>
  <c r="I30" i="127"/>
  <c r="F30" i="127"/>
  <c r="A30" i="127"/>
  <c r="T29" i="127"/>
  <c r="S29" i="127"/>
  <c r="R29" i="127"/>
  <c r="Q29" i="127"/>
  <c r="P29" i="127"/>
  <c r="O29" i="127"/>
  <c r="N29" i="127"/>
  <c r="L29" i="127"/>
  <c r="K29" i="127"/>
  <c r="J29" i="127"/>
  <c r="I29" i="127"/>
  <c r="F29" i="127"/>
  <c r="A29" i="127"/>
  <c r="T28" i="127"/>
  <c r="S28" i="127"/>
  <c r="R28" i="127"/>
  <c r="Q28" i="127"/>
  <c r="P28" i="127"/>
  <c r="O28" i="127"/>
  <c r="N28" i="127"/>
  <c r="L28" i="127"/>
  <c r="K28" i="127"/>
  <c r="J28" i="127"/>
  <c r="I28" i="127"/>
  <c r="F28" i="127"/>
  <c r="A28" i="127"/>
  <c r="T27" i="127"/>
  <c r="S27" i="127"/>
  <c r="R27" i="127"/>
  <c r="Q27" i="127"/>
  <c r="P27" i="127"/>
  <c r="O27" i="127"/>
  <c r="N27" i="127"/>
  <c r="L27" i="127"/>
  <c r="K27" i="127"/>
  <c r="J27" i="127"/>
  <c r="I27" i="127"/>
  <c r="F27" i="127"/>
  <c r="A27" i="127"/>
  <c r="T26" i="127"/>
  <c r="S26" i="127"/>
  <c r="R26" i="127"/>
  <c r="Q26" i="127"/>
  <c r="P26" i="127"/>
  <c r="O26" i="127"/>
  <c r="N26" i="127"/>
  <c r="L26" i="127"/>
  <c r="K26" i="127"/>
  <c r="J26" i="127"/>
  <c r="I26" i="127"/>
  <c r="F26" i="127"/>
  <c r="A26" i="127"/>
  <c r="T25" i="127"/>
  <c r="S25" i="127"/>
  <c r="R25" i="127"/>
  <c r="Q25" i="127"/>
  <c r="P25" i="127"/>
  <c r="O25" i="127"/>
  <c r="N25" i="127"/>
  <c r="L25" i="127"/>
  <c r="K25" i="127"/>
  <c r="J25" i="127"/>
  <c r="I25" i="127"/>
  <c r="F25" i="127"/>
  <c r="A25" i="127"/>
  <c r="T24" i="127"/>
  <c r="S24" i="127"/>
  <c r="R24" i="127"/>
  <c r="Q24" i="127"/>
  <c r="P24" i="127"/>
  <c r="O24" i="127"/>
  <c r="N24" i="127"/>
  <c r="L24" i="127"/>
  <c r="K24" i="127"/>
  <c r="J24" i="127"/>
  <c r="I24" i="127"/>
  <c r="F24" i="127"/>
  <c r="A24" i="127"/>
  <c r="T23" i="127"/>
  <c r="S23" i="127"/>
  <c r="R23" i="127"/>
  <c r="Q23" i="127"/>
  <c r="P23" i="127"/>
  <c r="O23" i="127"/>
  <c r="N23" i="127"/>
  <c r="L23" i="127"/>
  <c r="K23" i="127"/>
  <c r="J23" i="127"/>
  <c r="I23" i="127"/>
  <c r="F23" i="127"/>
  <c r="A23" i="127"/>
  <c r="T22" i="127"/>
  <c r="S22" i="127"/>
  <c r="R22" i="127"/>
  <c r="Q22" i="127"/>
  <c r="P22" i="127"/>
  <c r="O22" i="127"/>
  <c r="N22" i="127"/>
  <c r="L22" i="127"/>
  <c r="K22" i="127"/>
  <c r="J22" i="127"/>
  <c r="I22" i="127"/>
  <c r="F22" i="127"/>
  <c r="A22" i="127"/>
  <c r="T21" i="127"/>
  <c r="S21" i="127"/>
  <c r="R21" i="127"/>
  <c r="Q21" i="127"/>
  <c r="P21" i="127"/>
  <c r="O21" i="127"/>
  <c r="N21" i="127"/>
  <c r="L21" i="127"/>
  <c r="K21" i="127"/>
  <c r="J21" i="127"/>
  <c r="I21" i="127"/>
  <c r="F21" i="127"/>
  <c r="A21" i="127"/>
  <c r="T20" i="127"/>
  <c r="S20" i="127"/>
  <c r="R20" i="127"/>
  <c r="Q20" i="127"/>
  <c r="P20" i="127"/>
  <c r="O20" i="127"/>
  <c r="N20" i="127"/>
  <c r="L20" i="127"/>
  <c r="K20" i="127"/>
  <c r="J20" i="127"/>
  <c r="I20" i="127"/>
  <c r="F20" i="127"/>
  <c r="A20" i="127"/>
  <c r="T19" i="127"/>
  <c r="S19" i="127"/>
  <c r="R19" i="127"/>
  <c r="Q19" i="127"/>
  <c r="P19" i="127"/>
  <c r="O19" i="127"/>
  <c r="N19" i="127"/>
  <c r="L19" i="127"/>
  <c r="K19" i="127"/>
  <c r="J19" i="127"/>
  <c r="I19" i="127"/>
  <c r="F19" i="127"/>
  <c r="A19" i="127"/>
  <c r="T18" i="127"/>
  <c r="S18" i="127"/>
  <c r="R18" i="127"/>
  <c r="Q18" i="127"/>
  <c r="P18" i="127"/>
  <c r="O18" i="127"/>
  <c r="N18" i="127"/>
  <c r="L18" i="127"/>
  <c r="K18" i="127"/>
  <c r="J18" i="127"/>
  <c r="I18" i="127"/>
  <c r="F18" i="127"/>
  <c r="A18" i="127"/>
  <c r="T17" i="127"/>
  <c r="S17" i="127"/>
  <c r="R17" i="127"/>
  <c r="Q17" i="127"/>
  <c r="P17" i="127"/>
  <c r="O17" i="127"/>
  <c r="N17" i="127"/>
  <c r="L17" i="127"/>
  <c r="K17" i="127"/>
  <c r="J17" i="127"/>
  <c r="I17" i="127"/>
  <c r="F17" i="127"/>
  <c r="A17" i="127"/>
  <c r="T16" i="127"/>
  <c r="S16" i="127"/>
  <c r="R16" i="127"/>
  <c r="Q16" i="127"/>
  <c r="P16" i="127"/>
  <c r="O16" i="127"/>
  <c r="N16" i="127"/>
  <c r="L16" i="127"/>
  <c r="K16" i="127"/>
  <c r="J16" i="127"/>
  <c r="I16" i="127"/>
  <c r="F16" i="127"/>
  <c r="A16" i="127"/>
  <c r="T15" i="127"/>
  <c r="S15" i="127"/>
  <c r="R15" i="127"/>
  <c r="Q15" i="127"/>
  <c r="P15" i="127"/>
  <c r="O15" i="127"/>
  <c r="N15" i="127"/>
  <c r="L15" i="127"/>
  <c r="K15" i="127"/>
  <c r="J15" i="127"/>
  <c r="I15" i="127"/>
  <c r="F15" i="127"/>
  <c r="A15" i="127"/>
  <c r="T14" i="127"/>
  <c r="S14" i="127"/>
  <c r="R14" i="127"/>
  <c r="Q14" i="127"/>
  <c r="P14" i="127"/>
  <c r="O14" i="127"/>
  <c r="N14" i="127"/>
  <c r="L14" i="127"/>
  <c r="K14" i="127"/>
  <c r="J14" i="127"/>
  <c r="I14" i="127"/>
  <c r="F14" i="127"/>
  <c r="A14" i="127"/>
  <c r="T13" i="127"/>
  <c r="S13" i="127"/>
  <c r="R13" i="127"/>
  <c r="Q13" i="127"/>
  <c r="P13" i="127"/>
  <c r="O13" i="127"/>
  <c r="N13" i="127"/>
  <c r="L13" i="127"/>
  <c r="K13" i="127"/>
  <c r="J13" i="127"/>
  <c r="I13" i="127"/>
  <c r="F13" i="127"/>
  <c r="A13" i="127"/>
  <c r="T12" i="127"/>
  <c r="S12" i="127"/>
  <c r="R12" i="127"/>
  <c r="Q12" i="127"/>
  <c r="P12" i="127"/>
  <c r="O12" i="127"/>
  <c r="N12" i="127"/>
  <c r="L12" i="127"/>
  <c r="K12" i="127"/>
  <c r="J12" i="127"/>
  <c r="I12" i="127"/>
  <c r="F12" i="127"/>
  <c r="A12" i="127"/>
  <c r="T11" i="127"/>
  <c r="S11" i="127"/>
  <c r="R11" i="127"/>
  <c r="Q11" i="127"/>
  <c r="P11" i="127"/>
  <c r="O11" i="127"/>
  <c r="N11" i="127"/>
  <c r="L11" i="127"/>
  <c r="K11" i="127"/>
  <c r="J11" i="127"/>
  <c r="I11" i="127"/>
  <c r="F11" i="127"/>
  <c r="A11" i="127"/>
  <c r="T10" i="127"/>
  <c r="S10" i="127"/>
  <c r="R10" i="127"/>
  <c r="Q10" i="127"/>
  <c r="P10" i="127"/>
  <c r="O10" i="127"/>
  <c r="N10" i="127"/>
  <c r="L10" i="127"/>
  <c r="K10" i="127"/>
  <c r="J10" i="127"/>
  <c r="I10" i="127"/>
  <c r="F10" i="127"/>
  <c r="A10" i="127"/>
  <c r="T9" i="127"/>
  <c r="S9" i="127"/>
  <c r="R9" i="127"/>
  <c r="Q9" i="127"/>
  <c r="P9" i="127"/>
  <c r="O9" i="127"/>
  <c r="N9" i="127"/>
  <c r="L9" i="127"/>
  <c r="K9" i="127"/>
  <c r="J9" i="127"/>
  <c r="I9" i="127"/>
  <c r="F9" i="127"/>
  <c r="A9" i="127"/>
  <c r="T8" i="127"/>
  <c r="S8" i="127"/>
  <c r="R8" i="127"/>
  <c r="Q8" i="127"/>
  <c r="P8" i="127"/>
  <c r="O8" i="127"/>
  <c r="N8" i="127"/>
  <c r="L8" i="127"/>
  <c r="K8" i="127"/>
  <c r="J8" i="127"/>
  <c r="I8" i="127"/>
  <c r="F8" i="127"/>
  <c r="A8" i="127"/>
  <c r="T7" i="127"/>
  <c r="S7" i="127"/>
  <c r="R7" i="127"/>
  <c r="Q7" i="127"/>
  <c r="P7" i="127"/>
  <c r="O7" i="127"/>
  <c r="N7" i="127"/>
  <c r="L7" i="127"/>
  <c r="K7" i="127"/>
  <c r="J7" i="127"/>
  <c r="I7" i="127"/>
  <c r="F7" i="127"/>
  <c r="A7" i="127"/>
  <c r="T6" i="127"/>
  <c r="S6" i="127"/>
  <c r="R6" i="127"/>
  <c r="Q6" i="127"/>
  <c r="P6" i="127"/>
  <c r="O6" i="127"/>
  <c r="N6" i="127"/>
  <c r="L6" i="127"/>
  <c r="K6" i="127"/>
  <c r="J6" i="127"/>
  <c r="I6" i="127"/>
  <c r="F6" i="127"/>
  <c r="A6" i="127"/>
  <c r="T5" i="127"/>
  <c r="S5" i="127"/>
  <c r="R5" i="127"/>
  <c r="Q5" i="127"/>
  <c r="P5" i="127"/>
  <c r="O5" i="127"/>
  <c r="N5" i="127"/>
  <c r="L5" i="127"/>
  <c r="K5" i="127"/>
  <c r="J5" i="127"/>
  <c r="I5" i="127"/>
  <c r="F5" i="127"/>
  <c r="A5" i="127"/>
  <c r="T4" i="127"/>
  <c r="S4" i="127"/>
  <c r="R4" i="127"/>
  <c r="Q4" i="127"/>
  <c r="P4" i="127"/>
  <c r="O4" i="127"/>
  <c r="N4" i="127"/>
  <c r="L4" i="127"/>
  <c r="K4" i="127"/>
  <c r="J4" i="127"/>
  <c r="I4" i="127"/>
  <c r="F4" i="127"/>
  <c r="A4" i="127"/>
  <c r="T3" i="127"/>
  <c r="S3" i="127"/>
  <c r="R3" i="127"/>
  <c r="Q3" i="127"/>
  <c r="P3" i="127"/>
  <c r="O3" i="127"/>
  <c r="N3" i="127"/>
  <c r="L3" i="127"/>
  <c r="K3" i="127"/>
  <c r="J3" i="127"/>
  <c r="I3" i="127"/>
  <c r="F3" i="127"/>
  <c r="A3" i="127"/>
  <c r="T2" i="127"/>
  <c r="S2" i="127"/>
  <c r="R2" i="127"/>
  <c r="Q2" i="127"/>
  <c r="P2" i="127"/>
  <c r="O2" i="127"/>
  <c r="N2" i="127"/>
  <c r="L2" i="127"/>
  <c r="K2" i="127"/>
  <c r="J2" i="127"/>
  <c r="I2" i="127"/>
  <c r="F2" i="127"/>
  <c r="A2" i="127"/>
  <c r="B39" i="126"/>
  <c r="B36" i="126"/>
  <c r="B37" i="126"/>
  <c r="B38" i="126"/>
  <c r="B40" i="126"/>
  <c r="B41" i="126"/>
  <c r="B42" i="126"/>
  <c r="B43" i="126"/>
  <c r="C39" i="126"/>
  <c r="C42" i="126"/>
  <c r="F43" i="126"/>
  <c r="C38" i="126"/>
  <c r="C41" i="126"/>
  <c r="F42" i="126"/>
  <c r="C36" i="126"/>
  <c r="C37" i="126"/>
  <c r="C40" i="126"/>
  <c r="F41" i="126"/>
  <c r="F38" i="126"/>
  <c r="F37" i="126"/>
  <c r="F36" i="126"/>
  <c r="B24" i="126"/>
  <c r="C20" i="126"/>
  <c r="C23" i="126"/>
  <c r="C24" i="126"/>
  <c r="D24" i="126"/>
  <c r="D23" i="126"/>
  <c r="G23" i="126"/>
  <c r="H23" i="126"/>
  <c r="I23" i="126"/>
  <c r="J23" i="126"/>
  <c r="F23" i="126"/>
  <c r="I22" i="126"/>
  <c r="J22" i="126"/>
  <c r="F22" i="126"/>
  <c r="I21" i="126"/>
  <c r="J21" i="126"/>
  <c r="F21" i="126"/>
  <c r="D20" i="126"/>
  <c r="G20" i="126"/>
  <c r="H20" i="126"/>
  <c r="I20" i="126"/>
  <c r="J20" i="126"/>
  <c r="F20" i="126"/>
  <c r="I19" i="126"/>
  <c r="J19" i="126"/>
  <c r="F19" i="126"/>
  <c r="I18" i="126"/>
  <c r="J18" i="126"/>
  <c r="F18" i="126"/>
  <c r="I17" i="126"/>
  <c r="J17" i="126"/>
  <c r="F17" i="126"/>
  <c r="R12" i="126"/>
  <c r="M12" i="126"/>
  <c r="R11" i="126"/>
  <c r="M11" i="126"/>
  <c r="R10" i="126"/>
  <c r="M10" i="126"/>
  <c r="B10" i="126"/>
  <c r="R9" i="126"/>
  <c r="M9" i="126"/>
  <c r="R8" i="126"/>
  <c r="M8" i="126"/>
  <c r="R7" i="126"/>
  <c r="M7" i="126"/>
  <c r="R6" i="126"/>
  <c r="M6" i="126"/>
  <c r="R5" i="126"/>
  <c r="M5" i="126"/>
  <c r="R4" i="126"/>
  <c r="M4" i="126"/>
  <c r="R3" i="126"/>
  <c r="M3" i="126"/>
  <c r="T265" i="125"/>
  <c r="S265" i="125"/>
  <c r="R265" i="125"/>
  <c r="Q265" i="125"/>
  <c r="P265" i="125"/>
  <c r="O265" i="125"/>
  <c r="G265" i="125"/>
  <c r="C265" i="125"/>
  <c r="H265" i="125"/>
  <c r="B265" i="125"/>
  <c r="A2" i="124"/>
  <c r="A32" i="124"/>
  <c r="B22" i="124"/>
  <c r="B21" i="124"/>
  <c r="P3" i="124"/>
  <c r="O3" i="124"/>
  <c r="Q3" i="124"/>
  <c r="P4" i="124"/>
  <c r="O4" i="124"/>
  <c r="Q4" i="124"/>
  <c r="P5" i="124"/>
  <c r="O5" i="124"/>
  <c r="Q5" i="124"/>
  <c r="P6" i="124"/>
  <c r="O6" i="124"/>
  <c r="Q6" i="124"/>
  <c r="P7" i="124"/>
  <c r="O7" i="124"/>
  <c r="Q7" i="124"/>
  <c r="P8" i="124"/>
  <c r="O8" i="124"/>
  <c r="Q8" i="124"/>
  <c r="P9" i="124"/>
  <c r="O9" i="124"/>
  <c r="Q9" i="124"/>
  <c r="P10" i="124"/>
  <c r="O10" i="124"/>
  <c r="Q10" i="124"/>
  <c r="P11" i="124"/>
  <c r="O11" i="124"/>
  <c r="Q11" i="124"/>
  <c r="P12" i="124"/>
  <c r="O12" i="124"/>
  <c r="Q12" i="124"/>
  <c r="C21" i="124"/>
  <c r="D21" i="124"/>
  <c r="G21" i="124"/>
  <c r="G2" i="125"/>
  <c r="C2" i="125"/>
  <c r="H2" i="125"/>
  <c r="B2" i="125"/>
  <c r="G3" i="125"/>
  <c r="C3" i="125"/>
  <c r="H3" i="125"/>
  <c r="B3" i="125"/>
  <c r="G4" i="125"/>
  <c r="C4" i="125"/>
  <c r="H4" i="125"/>
  <c r="B4" i="125"/>
  <c r="G5" i="125"/>
  <c r="C5" i="125"/>
  <c r="H5" i="125"/>
  <c r="B5" i="125"/>
  <c r="G6" i="125"/>
  <c r="C6" i="125"/>
  <c r="H6" i="125"/>
  <c r="B6" i="125"/>
  <c r="G7" i="125"/>
  <c r="C7" i="125"/>
  <c r="H7" i="125"/>
  <c r="B7" i="125"/>
  <c r="G8" i="125"/>
  <c r="C8" i="125"/>
  <c r="H8" i="125"/>
  <c r="B8" i="125"/>
  <c r="G9" i="125"/>
  <c r="C9" i="125"/>
  <c r="H9" i="125"/>
  <c r="B9" i="125"/>
  <c r="G10" i="125"/>
  <c r="C10" i="125"/>
  <c r="H10" i="125"/>
  <c r="B10" i="125"/>
  <c r="G11" i="125"/>
  <c r="C11" i="125"/>
  <c r="H11" i="125"/>
  <c r="B11" i="125"/>
  <c r="G12" i="125"/>
  <c r="C12" i="125"/>
  <c r="H12" i="125"/>
  <c r="B12" i="125"/>
  <c r="G13" i="125"/>
  <c r="C13" i="125"/>
  <c r="H13" i="125"/>
  <c r="B13" i="125"/>
  <c r="G14" i="125"/>
  <c r="C14" i="125"/>
  <c r="H14" i="125"/>
  <c r="B14" i="125"/>
  <c r="G15" i="125"/>
  <c r="C15" i="125"/>
  <c r="H15" i="125"/>
  <c r="B15" i="125"/>
  <c r="G16" i="125"/>
  <c r="C16" i="125"/>
  <c r="H16" i="125"/>
  <c r="B16" i="125"/>
  <c r="G17" i="125"/>
  <c r="C17" i="125"/>
  <c r="H17" i="125"/>
  <c r="B17" i="125"/>
  <c r="G18" i="125"/>
  <c r="C18" i="125"/>
  <c r="H18" i="125"/>
  <c r="B18" i="125"/>
  <c r="G19" i="125"/>
  <c r="C19" i="125"/>
  <c r="H19" i="125"/>
  <c r="B19" i="125"/>
  <c r="G20" i="125"/>
  <c r="C20" i="125"/>
  <c r="H20" i="125"/>
  <c r="B20" i="125"/>
  <c r="G21" i="125"/>
  <c r="C21" i="125"/>
  <c r="H21" i="125"/>
  <c r="B21" i="125"/>
  <c r="G22" i="125"/>
  <c r="C22" i="125"/>
  <c r="H22" i="125"/>
  <c r="B22" i="125"/>
  <c r="G23" i="125"/>
  <c r="C23" i="125"/>
  <c r="H23" i="125"/>
  <c r="B23" i="125"/>
  <c r="G24" i="125"/>
  <c r="C24" i="125"/>
  <c r="H24" i="125"/>
  <c r="B24" i="125"/>
  <c r="G25" i="125"/>
  <c r="C25" i="125"/>
  <c r="H25" i="125"/>
  <c r="B25" i="125"/>
  <c r="G26" i="125"/>
  <c r="C26" i="125"/>
  <c r="H26" i="125"/>
  <c r="B26" i="125"/>
  <c r="G27" i="125"/>
  <c r="C27" i="125"/>
  <c r="H27" i="125"/>
  <c r="B27" i="125"/>
  <c r="G28" i="125"/>
  <c r="C28" i="125"/>
  <c r="H28" i="125"/>
  <c r="B28" i="125"/>
  <c r="G29" i="125"/>
  <c r="C29" i="125"/>
  <c r="H29" i="125"/>
  <c r="B29" i="125"/>
  <c r="G30" i="125"/>
  <c r="C30" i="125"/>
  <c r="H30" i="125"/>
  <c r="B30" i="125"/>
  <c r="G31" i="125"/>
  <c r="C31" i="125"/>
  <c r="H31" i="125"/>
  <c r="B31" i="125"/>
  <c r="G32" i="125"/>
  <c r="C32" i="125"/>
  <c r="H32" i="125"/>
  <c r="B32" i="125"/>
  <c r="G33" i="125"/>
  <c r="C33" i="125"/>
  <c r="H33" i="125"/>
  <c r="B33" i="125"/>
  <c r="G34" i="125"/>
  <c r="C34" i="125"/>
  <c r="H34" i="125"/>
  <c r="B34" i="125"/>
  <c r="G35" i="125"/>
  <c r="C35" i="125"/>
  <c r="H35" i="125"/>
  <c r="B35" i="125"/>
  <c r="G36" i="125"/>
  <c r="C36" i="125"/>
  <c r="H36" i="125"/>
  <c r="B36" i="125"/>
  <c r="G37" i="125"/>
  <c r="C37" i="125"/>
  <c r="H37" i="125"/>
  <c r="B37" i="125"/>
  <c r="G38" i="125"/>
  <c r="C38" i="125"/>
  <c r="H38" i="125"/>
  <c r="B38" i="125"/>
  <c r="G39" i="125"/>
  <c r="C39" i="125"/>
  <c r="H39" i="125"/>
  <c r="B39" i="125"/>
  <c r="G40" i="125"/>
  <c r="C40" i="125"/>
  <c r="H40" i="125"/>
  <c r="B40" i="125"/>
  <c r="G41" i="125"/>
  <c r="C41" i="125"/>
  <c r="H41" i="125"/>
  <c r="B41" i="125"/>
  <c r="G42" i="125"/>
  <c r="C42" i="125"/>
  <c r="H42" i="125"/>
  <c r="B42" i="125"/>
  <c r="G43" i="125"/>
  <c r="C43" i="125"/>
  <c r="H43" i="125"/>
  <c r="B43" i="125"/>
  <c r="G44" i="125"/>
  <c r="C44" i="125"/>
  <c r="H44" i="125"/>
  <c r="B44" i="125"/>
  <c r="G45" i="125"/>
  <c r="C45" i="125"/>
  <c r="H45" i="125"/>
  <c r="B45" i="125"/>
  <c r="G46" i="125"/>
  <c r="C46" i="125"/>
  <c r="H46" i="125"/>
  <c r="B46" i="125"/>
  <c r="G47" i="125"/>
  <c r="C47" i="125"/>
  <c r="H47" i="125"/>
  <c r="B47" i="125"/>
  <c r="G48" i="125"/>
  <c r="C48" i="125"/>
  <c r="H48" i="125"/>
  <c r="B48" i="125"/>
  <c r="G49" i="125"/>
  <c r="C49" i="125"/>
  <c r="H49" i="125"/>
  <c r="B49" i="125"/>
  <c r="G50" i="125"/>
  <c r="C50" i="125"/>
  <c r="H50" i="125"/>
  <c r="B50" i="125"/>
  <c r="G51" i="125"/>
  <c r="C51" i="125"/>
  <c r="H51" i="125"/>
  <c r="B51" i="125"/>
  <c r="G52" i="125"/>
  <c r="C52" i="125"/>
  <c r="H52" i="125"/>
  <c r="B52" i="125"/>
  <c r="G53" i="125"/>
  <c r="C53" i="125"/>
  <c r="H53" i="125"/>
  <c r="B53" i="125"/>
  <c r="G54" i="125"/>
  <c r="C54" i="125"/>
  <c r="H54" i="125"/>
  <c r="B54" i="125"/>
  <c r="G55" i="125"/>
  <c r="C55" i="125"/>
  <c r="H55" i="125"/>
  <c r="B55" i="125"/>
  <c r="G56" i="125"/>
  <c r="C56" i="125"/>
  <c r="H56" i="125"/>
  <c r="B56" i="125"/>
  <c r="G57" i="125"/>
  <c r="C57" i="125"/>
  <c r="H57" i="125"/>
  <c r="B57" i="125"/>
  <c r="G58" i="125"/>
  <c r="C58" i="125"/>
  <c r="H58" i="125"/>
  <c r="B58" i="125"/>
  <c r="G59" i="125"/>
  <c r="C59" i="125"/>
  <c r="H59" i="125"/>
  <c r="B59" i="125"/>
  <c r="G60" i="125"/>
  <c r="C60" i="125"/>
  <c r="H60" i="125"/>
  <c r="B60" i="125"/>
  <c r="G61" i="125"/>
  <c r="C61" i="125"/>
  <c r="H61" i="125"/>
  <c r="B61" i="125"/>
  <c r="G62" i="125"/>
  <c r="C62" i="125"/>
  <c r="H62" i="125"/>
  <c r="B62" i="125"/>
  <c r="G63" i="125"/>
  <c r="C63" i="125"/>
  <c r="H63" i="125"/>
  <c r="B63" i="125"/>
  <c r="G64" i="125"/>
  <c r="C64" i="125"/>
  <c r="H64" i="125"/>
  <c r="B64" i="125"/>
  <c r="G65" i="125"/>
  <c r="C65" i="125"/>
  <c r="H65" i="125"/>
  <c r="B65" i="125"/>
  <c r="G66" i="125"/>
  <c r="C66" i="125"/>
  <c r="H66" i="125"/>
  <c r="B66" i="125"/>
  <c r="G67" i="125"/>
  <c r="C67" i="125"/>
  <c r="H67" i="125"/>
  <c r="B67" i="125"/>
  <c r="G68" i="125"/>
  <c r="C68" i="125"/>
  <c r="H68" i="125"/>
  <c r="B68" i="125"/>
  <c r="G69" i="125"/>
  <c r="C69" i="125"/>
  <c r="H69" i="125"/>
  <c r="B69" i="125"/>
  <c r="G70" i="125"/>
  <c r="C70" i="125"/>
  <c r="H70" i="125"/>
  <c r="B70" i="125"/>
  <c r="G71" i="125"/>
  <c r="C71" i="125"/>
  <c r="H71" i="125"/>
  <c r="B71" i="125"/>
  <c r="G72" i="125"/>
  <c r="C72" i="125"/>
  <c r="H72" i="125"/>
  <c r="B72" i="125"/>
  <c r="G73" i="125"/>
  <c r="C73" i="125"/>
  <c r="H73" i="125"/>
  <c r="B73" i="125"/>
  <c r="G74" i="125"/>
  <c r="C74" i="125"/>
  <c r="H74" i="125"/>
  <c r="B74" i="125"/>
  <c r="G75" i="125"/>
  <c r="C75" i="125"/>
  <c r="H75" i="125"/>
  <c r="B75" i="125"/>
  <c r="G76" i="125"/>
  <c r="C76" i="125"/>
  <c r="H76" i="125"/>
  <c r="B76" i="125"/>
  <c r="G77" i="125"/>
  <c r="C77" i="125"/>
  <c r="H77" i="125"/>
  <c r="B77" i="125"/>
  <c r="G78" i="125"/>
  <c r="C78" i="125"/>
  <c r="H78" i="125"/>
  <c r="B78" i="125"/>
  <c r="G79" i="125"/>
  <c r="C79" i="125"/>
  <c r="H79" i="125"/>
  <c r="B79" i="125"/>
  <c r="G80" i="125"/>
  <c r="C80" i="125"/>
  <c r="H80" i="125"/>
  <c r="B80" i="125"/>
  <c r="G81" i="125"/>
  <c r="C81" i="125"/>
  <c r="H81" i="125"/>
  <c r="B81" i="125"/>
  <c r="G82" i="125"/>
  <c r="C82" i="125"/>
  <c r="H82" i="125"/>
  <c r="B82" i="125"/>
  <c r="G83" i="125"/>
  <c r="C83" i="125"/>
  <c r="H83" i="125"/>
  <c r="B83" i="125"/>
  <c r="G84" i="125"/>
  <c r="C84" i="125"/>
  <c r="H84" i="125"/>
  <c r="B84" i="125"/>
  <c r="G85" i="125"/>
  <c r="C85" i="125"/>
  <c r="H85" i="125"/>
  <c r="B85" i="125"/>
  <c r="G86" i="125"/>
  <c r="C86" i="125"/>
  <c r="H86" i="125"/>
  <c r="B86" i="125"/>
  <c r="G87" i="125"/>
  <c r="C87" i="125"/>
  <c r="H87" i="125"/>
  <c r="B87" i="125"/>
  <c r="G88" i="125"/>
  <c r="C88" i="125"/>
  <c r="H88" i="125"/>
  <c r="B88" i="125"/>
  <c r="G89" i="125"/>
  <c r="C89" i="125"/>
  <c r="H89" i="125"/>
  <c r="B89" i="125"/>
  <c r="G90" i="125"/>
  <c r="C90" i="125"/>
  <c r="H90" i="125"/>
  <c r="B90" i="125"/>
  <c r="G91" i="125"/>
  <c r="C91" i="125"/>
  <c r="H91" i="125"/>
  <c r="B91" i="125"/>
  <c r="G92" i="125"/>
  <c r="C92" i="125"/>
  <c r="H92" i="125"/>
  <c r="B92" i="125"/>
  <c r="G93" i="125"/>
  <c r="C93" i="125"/>
  <c r="H93" i="125"/>
  <c r="B93" i="125"/>
  <c r="G94" i="125"/>
  <c r="C94" i="125"/>
  <c r="H94" i="125"/>
  <c r="B94" i="125"/>
  <c r="G95" i="125"/>
  <c r="C95" i="125"/>
  <c r="H95" i="125"/>
  <c r="B95" i="125"/>
  <c r="G96" i="125"/>
  <c r="C96" i="125"/>
  <c r="H96" i="125"/>
  <c r="B96" i="125"/>
  <c r="G97" i="125"/>
  <c r="C97" i="125"/>
  <c r="H97" i="125"/>
  <c r="B97" i="125"/>
  <c r="G98" i="125"/>
  <c r="C98" i="125"/>
  <c r="H98" i="125"/>
  <c r="B98" i="125"/>
  <c r="G99" i="125"/>
  <c r="C99" i="125"/>
  <c r="H99" i="125"/>
  <c r="B99" i="125"/>
  <c r="G100" i="125"/>
  <c r="C100" i="125"/>
  <c r="H100" i="125"/>
  <c r="B100" i="125"/>
  <c r="G101" i="125"/>
  <c r="C101" i="125"/>
  <c r="H101" i="125"/>
  <c r="B101" i="125"/>
  <c r="G102" i="125"/>
  <c r="C102" i="125"/>
  <c r="H102" i="125"/>
  <c r="B102" i="125"/>
  <c r="G103" i="125"/>
  <c r="C103" i="125"/>
  <c r="H103" i="125"/>
  <c r="B103" i="125"/>
  <c r="G104" i="125"/>
  <c r="C104" i="125"/>
  <c r="H104" i="125"/>
  <c r="B104" i="125"/>
  <c r="G105" i="125"/>
  <c r="C105" i="125"/>
  <c r="H105" i="125"/>
  <c r="B105" i="125"/>
  <c r="G106" i="125"/>
  <c r="C106" i="125"/>
  <c r="H106" i="125"/>
  <c r="B106" i="125"/>
  <c r="G107" i="125"/>
  <c r="C107" i="125"/>
  <c r="H107" i="125"/>
  <c r="B107" i="125"/>
  <c r="G108" i="125"/>
  <c r="C108" i="125"/>
  <c r="H108" i="125"/>
  <c r="B108" i="125"/>
  <c r="G109" i="125"/>
  <c r="C109" i="125"/>
  <c r="H109" i="125"/>
  <c r="B109" i="125"/>
  <c r="G110" i="125"/>
  <c r="C110" i="125"/>
  <c r="H110" i="125"/>
  <c r="B110" i="125"/>
  <c r="G111" i="125"/>
  <c r="C111" i="125"/>
  <c r="H111" i="125"/>
  <c r="B111" i="125"/>
  <c r="G112" i="125"/>
  <c r="C112" i="125"/>
  <c r="H112" i="125"/>
  <c r="B112" i="125"/>
  <c r="G113" i="125"/>
  <c r="C113" i="125"/>
  <c r="H113" i="125"/>
  <c r="B113" i="125"/>
  <c r="G114" i="125"/>
  <c r="C114" i="125"/>
  <c r="H114" i="125"/>
  <c r="B114" i="125"/>
  <c r="G115" i="125"/>
  <c r="C115" i="125"/>
  <c r="H115" i="125"/>
  <c r="B115" i="125"/>
  <c r="G116" i="125"/>
  <c r="C116" i="125"/>
  <c r="H116" i="125"/>
  <c r="B116" i="125"/>
  <c r="G117" i="125"/>
  <c r="C117" i="125"/>
  <c r="H117" i="125"/>
  <c r="B117" i="125"/>
  <c r="G118" i="125"/>
  <c r="C118" i="125"/>
  <c r="H118" i="125"/>
  <c r="B118" i="125"/>
  <c r="G119" i="125"/>
  <c r="C119" i="125"/>
  <c r="H119" i="125"/>
  <c r="B119" i="125"/>
  <c r="G120" i="125"/>
  <c r="C120" i="125"/>
  <c r="H120" i="125"/>
  <c r="B120" i="125"/>
  <c r="G121" i="125"/>
  <c r="C121" i="125"/>
  <c r="H121" i="125"/>
  <c r="B121" i="125"/>
  <c r="G122" i="125"/>
  <c r="C122" i="125"/>
  <c r="H122" i="125"/>
  <c r="B122" i="125"/>
  <c r="G123" i="125"/>
  <c r="C123" i="125"/>
  <c r="H123" i="125"/>
  <c r="B123" i="125"/>
  <c r="G124" i="125"/>
  <c r="C124" i="125"/>
  <c r="H124" i="125"/>
  <c r="B124" i="125"/>
  <c r="G125" i="125"/>
  <c r="C125" i="125"/>
  <c r="H125" i="125"/>
  <c r="B125" i="125"/>
  <c r="G126" i="125"/>
  <c r="C126" i="125"/>
  <c r="H126" i="125"/>
  <c r="B126" i="125"/>
  <c r="G127" i="125"/>
  <c r="C127" i="125"/>
  <c r="H127" i="125"/>
  <c r="B127" i="125"/>
  <c r="G128" i="125"/>
  <c r="C128" i="125"/>
  <c r="H128" i="125"/>
  <c r="B128" i="125"/>
  <c r="G129" i="125"/>
  <c r="C129" i="125"/>
  <c r="H129" i="125"/>
  <c r="B129" i="125"/>
  <c r="G130" i="125"/>
  <c r="C130" i="125"/>
  <c r="H130" i="125"/>
  <c r="B130" i="125"/>
  <c r="G131" i="125"/>
  <c r="C131" i="125"/>
  <c r="H131" i="125"/>
  <c r="B131" i="125"/>
  <c r="G132" i="125"/>
  <c r="C132" i="125"/>
  <c r="H132" i="125"/>
  <c r="B132" i="125"/>
  <c r="G133" i="125"/>
  <c r="C133" i="125"/>
  <c r="H133" i="125"/>
  <c r="B133" i="125"/>
  <c r="G134" i="125"/>
  <c r="C134" i="125"/>
  <c r="H134" i="125"/>
  <c r="B134" i="125"/>
  <c r="G135" i="125"/>
  <c r="C135" i="125"/>
  <c r="H135" i="125"/>
  <c r="B135" i="125"/>
  <c r="G136" i="125"/>
  <c r="C136" i="125"/>
  <c r="H136" i="125"/>
  <c r="B136" i="125"/>
  <c r="G137" i="125"/>
  <c r="C137" i="125"/>
  <c r="H137" i="125"/>
  <c r="B137" i="125"/>
  <c r="G138" i="125"/>
  <c r="C138" i="125"/>
  <c r="H138" i="125"/>
  <c r="B138" i="125"/>
  <c r="G139" i="125"/>
  <c r="C139" i="125"/>
  <c r="H139" i="125"/>
  <c r="B139" i="125"/>
  <c r="G140" i="125"/>
  <c r="C140" i="125"/>
  <c r="H140" i="125"/>
  <c r="B140" i="125"/>
  <c r="G141" i="125"/>
  <c r="C141" i="125"/>
  <c r="H141" i="125"/>
  <c r="B141" i="125"/>
  <c r="G142" i="125"/>
  <c r="C142" i="125"/>
  <c r="H142" i="125"/>
  <c r="B142" i="125"/>
  <c r="G143" i="125"/>
  <c r="C143" i="125"/>
  <c r="H143" i="125"/>
  <c r="B143" i="125"/>
  <c r="G144" i="125"/>
  <c r="C144" i="125"/>
  <c r="H144" i="125"/>
  <c r="B144" i="125"/>
  <c r="G145" i="125"/>
  <c r="C145" i="125"/>
  <c r="H145" i="125"/>
  <c r="B145" i="125"/>
  <c r="G146" i="125"/>
  <c r="C146" i="125"/>
  <c r="H146" i="125"/>
  <c r="B146" i="125"/>
  <c r="G147" i="125"/>
  <c r="C147" i="125"/>
  <c r="H147" i="125"/>
  <c r="B147" i="125"/>
  <c r="G148" i="125"/>
  <c r="C148" i="125"/>
  <c r="H148" i="125"/>
  <c r="B148" i="125"/>
  <c r="G149" i="125"/>
  <c r="C149" i="125"/>
  <c r="H149" i="125"/>
  <c r="B149" i="125"/>
  <c r="G150" i="125"/>
  <c r="C150" i="125"/>
  <c r="H150" i="125"/>
  <c r="B150" i="125"/>
  <c r="G151" i="125"/>
  <c r="C151" i="125"/>
  <c r="H151" i="125"/>
  <c r="B151" i="125"/>
  <c r="G152" i="125"/>
  <c r="C152" i="125"/>
  <c r="H152" i="125"/>
  <c r="B152" i="125"/>
  <c r="G153" i="125"/>
  <c r="C153" i="125"/>
  <c r="H153" i="125"/>
  <c r="B153" i="125"/>
  <c r="G154" i="125"/>
  <c r="C154" i="125"/>
  <c r="H154" i="125"/>
  <c r="B154" i="125"/>
  <c r="G155" i="125"/>
  <c r="C155" i="125"/>
  <c r="H155" i="125"/>
  <c r="B155" i="125"/>
  <c r="G156" i="125"/>
  <c r="C156" i="125"/>
  <c r="H156" i="125"/>
  <c r="B156" i="125"/>
  <c r="G157" i="125"/>
  <c r="C157" i="125"/>
  <c r="H157" i="125"/>
  <c r="B157" i="125"/>
  <c r="G158" i="125"/>
  <c r="C158" i="125"/>
  <c r="H158" i="125"/>
  <c r="B158" i="125"/>
  <c r="G159" i="125"/>
  <c r="C159" i="125"/>
  <c r="H159" i="125"/>
  <c r="B159" i="125"/>
  <c r="G160" i="125"/>
  <c r="C160" i="125"/>
  <c r="H160" i="125"/>
  <c r="B160" i="125"/>
  <c r="G161" i="125"/>
  <c r="C161" i="125"/>
  <c r="H161" i="125"/>
  <c r="B161" i="125"/>
  <c r="G162" i="125"/>
  <c r="C162" i="125"/>
  <c r="H162" i="125"/>
  <c r="B162" i="125"/>
  <c r="G163" i="125"/>
  <c r="C163" i="125"/>
  <c r="H163" i="125"/>
  <c r="B163" i="125"/>
  <c r="G164" i="125"/>
  <c r="C164" i="125"/>
  <c r="H164" i="125"/>
  <c r="B164" i="125"/>
  <c r="G165" i="125"/>
  <c r="C165" i="125"/>
  <c r="H165" i="125"/>
  <c r="B165" i="125"/>
  <c r="G166" i="125"/>
  <c r="C166" i="125"/>
  <c r="H166" i="125"/>
  <c r="B166" i="125"/>
  <c r="G167" i="125"/>
  <c r="C167" i="125"/>
  <c r="H167" i="125"/>
  <c r="B167" i="125"/>
  <c r="G168" i="125"/>
  <c r="C168" i="125"/>
  <c r="H168" i="125"/>
  <c r="B168" i="125"/>
  <c r="G169" i="125"/>
  <c r="C169" i="125"/>
  <c r="H169" i="125"/>
  <c r="B169" i="125"/>
  <c r="G170" i="125"/>
  <c r="C170" i="125"/>
  <c r="H170" i="125"/>
  <c r="B170" i="125"/>
  <c r="G171" i="125"/>
  <c r="C171" i="125"/>
  <c r="H171" i="125"/>
  <c r="B171" i="125"/>
  <c r="G172" i="125"/>
  <c r="C172" i="125"/>
  <c r="H172" i="125"/>
  <c r="B172" i="125"/>
  <c r="G173" i="125"/>
  <c r="C173" i="125"/>
  <c r="H173" i="125"/>
  <c r="B173" i="125"/>
  <c r="G174" i="125"/>
  <c r="C174" i="125"/>
  <c r="H174" i="125"/>
  <c r="B174" i="125"/>
  <c r="G175" i="125"/>
  <c r="C175" i="125"/>
  <c r="H175" i="125"/>
  <c r="B175" i="125"/>
  <c r="G176" i="125"/>
  <c r="C176" i="125"/>
  <c r="H176" i="125"/>
  <c r="B176" i="125"/>
  <c r="C177" i="125"/>
  <c r="H177" i="125"/>
  <c r="B177" i="125"/>
  <c r="G178" i="125"/>
  <c r="C178" i="125"/>
  <c r="H178" i="125"/>
  <c r="B178" i="125"/>
  <c r="G179" i="125"/>
  <c r="C179" i="125"/>
  <c r="H179" i="125"/>
  <c r="B179" i="125"/>
  <c r="G180" i="125"/>
  <c r="C180" i="125"/>
  <c r="H180" i="125"/>
  <c r="B180" i="125"/>
  <c r="G181" i="125"/>
  <c r="C181" i="125"/>
  <c r="H181" i="125"/>
  <c r="B181" i="125"/>
  <c r="G182" i="125"/>
  <c r="C182" i="125"/>
  <c r="H182" i="125"/>
  <c r="B182" i="125"/>
  <c r="G183" i="125"/>
  <c r="C183" i="125"/>
  <c r="H183" i="125"/>
  <c r="B183" i="125"/>
  <c r="G184" i="125"/>
  <c r="C184" i="125"/>
  <c r="H184" i="125"/>
  <c r="B184" i="125"/>
  <c r="G185" i="125"/>
  <c r="C185" i="125"/>
  <c r="H185" i="125"/>
  <c r="B185" i="125"/>
  <c r="G186" i="125"/>
  <c r="C186" i="125"/>
  <c r="H186" i="125"/>
  <c r="B186" i="125"/>
  <c r="G187" i="125"/>
  <c r="C187" i="125"/>
  <c r="H187" i="125"/>
  <c r="B187" i="125"/>
  <c r="G188" i="125"/>
  <c r="C188" i="125"/>
  <c r="H188" i="125"/>
  <c r="B188" i="125"/>
  <c r="G189" i="125"/>
  <c r="C189" i="125"/>
  <c r="H189" i="125"/>
  <c r="B189" i="125"/>
  <c r="G190" i="125"/>
  <c r="C190" i="125"/>
  <c r="H190" i="125"/>
  <c r="B190" i="125"/>
  <c r="G191" i="125"/>
  <c r="C191" i="125"/>
  <c r="H191" i="125"/>
  <c r="B191" i="125"/>
  <c r="G192" i="125"/>
  <c r="C192" i="125"/>
  <c r="H192" i="125"/>
  <c r="B192" i="125"/>
  <c r="G193" i="125"/>
  <c r="C193" i="125"/>
  <c r="H193" i="125"/>
  <c r="B193" i="125"/>
  <c r="G194" i="125"/>
  <c r="C194" i="125"/>
  <c r="H194" i="125"/>
  <c r="B194" i="125"/>
  <c r="G195" i="125"/>
  <c r="C195" i="125"/>
  <c r="H195" i="125"/>
  <c r="B195" i="125"/>
  <c r="C196" i="125"/>
  <c r="H196" i="125"/>
  <c r="B196" i="125"/>
  <c r="G197" i="125"/>
  <c r="C197" i="125"/>
  <c r="H197" i="125"/>
  <c r="B197" i="125"/>
  <c r="G198" i="125"/>
  <c r="C198" i="125"/>
  <c r="H198" i="125"/>
  <c r="B198" i="125"/>
  <c r="G199" i="125"/>
  <c r="C199" i="125"/>
  <c r="H199" i="125"/>
  <c r="B199" i="125"/>
  <c r="G200" i="125"/>
  <c r="C200" i="125"/>
  <c r="H200" i="125"/>
  <c r="B200" i="125"/>
  <c r="G201" i="125"/>
  <c r="C201" i="125"/>
  <c r="H201" i="125"/>
  <c r="B201" i="125"/>
  <c r="C202" i="125"/>
  <c r="H202" i="125"/>
  <c r="B202" i="125"/>
  <c r="G203" i="125"/>
  <c r="C203" i="125"/>
  <c r="H203" i="125"/>
  <c r="B203" i="125"/>
  <c r="G204" i="125"/>
  <c r="C204" i="125"/>
  <c r="H204" i="125"/>
  <c r="B204" i="125"/>
  <c r="G205" i="125"/>
  <c r="C205" i="125"/>
  <c r="H205" i="125"/>
  <c r="B205" i="125"/>
  <c r="G206" i="125"/>
  <c r="C206" i="125"/>
  <c r="H206" i="125"/>
  <c r="B206" i="125"/>
  <c r="G207" i="125"/>
  <c r="C207" i="125"/>
  <c r="H207" i="125"/>
  <c r="B207" i="125"/>
  <c r="G208" i="125"/>
  <c r="C208" i="125"/>
  <c r="H208" i="125"/>
  <c r="B208" i="125"/>
  <c r="G209" i="125"/>
  <c r="C209" i="125"/>
  <c r="H209" i="125"/>
  <c r="B209" i="125"/>
  <c r="G210" i="125"/>
  <c r="C210" i="125"/>
  <c r="H210" i="125"/>
  <c r="B210" i="125"/>
  <c r="G211" i="125"/>
  <c r="C211" i="125"/>
  <c r="H211" i="125"/>
  <c r="B211" i="125"/>
  <c r="G212" i="125"/>
  <c r="C212" i="125"/>
  <c r="H212" i="125"/>
  <c r="B212" i="125"/>
  <c r="G213" i="125"/>
  <c r="C213" i="125"/>
  <c r="H213" i="125"/>
  <c r="B213" i="125"/>
  <c r="C214" i="125"/>
  <c r="H214" i="125"/>
  <c r="B214" i="125"/>
  <c r="G215" i="125"/>
  <c r="C215" i="125"/>
  <c r="H215" i="125"/>
  <c r="B215" i="125"/>
  <c r="G216" i="125"/>
  <c r="C216" i="125"/>
  <c r="H216" i="125"/>
  <c r="B216" i="125"/>
  <c r="G217" i="125"/>
  <c r="C217" i="125"/>
  <c r="H217" i="125"/>
  <c r="B217" i="125"/>
  <c r="G218" i="125"/>
  <c r="C218" i="125"/>
  <c r="H218" i="125"/>
  <c r="B218" i="125"/>
  <c r="G219" i="125"/>
  <c r="C219" i="125"/>
  <c r="H219" i="125"/>
  <c r="B219" i="125"/>
  <c r="G220" i="125"/>
  <c r="C220" i="125"/>
  <c r="H220" i="125"/>
  <c r="B220" i="125"/>
  <c r="G221" i="125"/>
  <c r="C221" i="125"/>
  <c r="H221" i="125"/>
  <c r="B221" i="125"/>
  <c r="G222" i="125"/>
  <c r="C222" i="125"/>
  <c r="H222" i="125"/>
  <c r="B222" i="125"/>
  <c r="G223" i="125"/>
  <c r="C223" i="125"/>
  <c r="H223" i="125"/>
  <c r="B223" i="125"/>
  <c r="G224" i="125"/>
  <c r="C224" i="125"/>
  <c r="H224" i="125"/>
  <c r="B224" i="125"/>
  <c r="G225" i="125"/>
  <c r="C225" i="125"/>
  <c r="H225" i="125"/>
  <c r="B225" i="125"/>
  <c r="G226" i="125"/>
  <c r="C226" i="125"/>
  <c r="H226" i="125"/>
  <c r="B226" i="125"/>
  <c r="G227" i="125"/>
  <c r="C227" i="125"/>
  <c r="H227" i="125"/>
  <c r="B227" i="125"/>
  <c r="G228" i="125"/>
  <c r="C228" i="125"/>
  <c r="H228" i="125"/>
  <c r="B228" i="125"/>
  <c r="G229" i="125"/>
  <c r="C229" i="125"/>
  <c r="H229" i="125"/>
  <c r="B229" i="125"/>
  <c r="G230" i="125"/>
  <c r="C230" i="125"/>
  <c r="H230" i="125"/>
  <c r="B230" i="125"/>
  <c r="G231" i="125"/>
  <c r="C231" i="125"/>
  <c r="H231" i="125"/>
  <c r="B231" i="125"/>
  <c r="G232" i="125"/>
  <c r="C232" i="125"/>
  <c r="H232" i="125"/>
  <c r="B232" i="125"/>
  <c r="G233" i="125"/>
  <c r="C233" i="125"/>
  <c r="H233" i="125"/>
  <c r="B233" i="125"/>
  <c r="G234" i="125"/>
  <c r="C234" i="125"/>
  <c r="H234" i="125"/>
  <c r="B234" i="125"/>
  <c r="G235" i="125"/>
  <c r="C235" i="125"/>
  <c r="H235" i="125"/>
  <c r="B235" i="125"/>
  <c r="G236" i="125"/>
  <c r="C236" i="125"/>
  <c r="H236" i="125"/>
  <c r="B236" i="125"/>
  <c r="G237" i="125"/>
  <c r="C237" i="125"/>
  <c r="H237" i="125"/>
  <c r="B237" i="125"/>
  <c r="G238" i="125"/>
  <c r="C238" i="125"/>
  <c r="H238" i="125"/>
  <c r="B238" i="125"/>
  <c r="G239" i="125"/>
  <c r="C239" i="125"/>
  <c r="H239" i="125"/>
  <c r="B239" i="125"/>
  <c r="G240" i="125"/>
  <c r="C240" i="125"/>
  <c r="H240" i="125"/>
  <c r="B240" i="125"/>
  <c r="G241" i="125"/>
  <c r="C241" i="125"/>
  <c r="H241" i="125"/>
  <c r="B241" i="125"/>
  <c r="G242" i="125"/>
  <c r="C242" i="125"/>
  <c r="H242" i="125"/>
  <c r="B242" i="125"/>
  <c r="G243" i="125"/>
  <c r="C243" i="125"/>
  <c r="H243" i="125"/>
  <c r="B243" i="125"/>
  <c r="G244" i="125"/>
  <c r="C244" i="125"/>
  <c r="H244" i="125"/>
  <c r="B244" i="125"/>
  <c r="G245" i="125"/>
  <c r="C245" i="125"/>
  <c r="H245" i="125"/>
  <c r="B245" i="125"/>
  <c r="G246" i="125"/>
  <c r="C246" i="125"/>
  <c r="H246" i="125"/>
  <c r="B246" i="125"/>
  <c r="G247" i="125"/>
  <c r="C247" i="125"/>
  <c r="H247" i="125"/>
  <c r="B247" i="125"/>
  <c r="G248" i="125"/>
  <c r="C248" i="125"/>
  <c r="H248" i="125"/>
  <c r="B248" i="125"/>
  <c r="G249" i="125"/>
  <c r="C249" i="125"/>
  <c r="H249" i="125"/>
  <c r="B249" i="125"/>
  <c r="G250" i="125"/>
  <c r="C250" i="125"/>
  <c r="H250" i="125"/>
  <c r="B250" i="125"/>
  <c r="G251" i="125"/>
  <c r="C251" i="125"/>
  <c r="H251" i="125"/>
  <c r="B251" i="125"/>
  <c r="G252" i="125"/>
  <c r="C252" i="125"/>
  <c r="H252" i="125"/>
  <c r="B252" i="125"/>
  <c r="G253" i="125"/>
  <c r="C253" i="125"/>
  <c r="H253" i="125"/>
  <c r="B253" i="125"/>
  <c r="G254" i="125"/>
  <c r="C254" i="125"/>
  <c r="H254" i="125"/>
  <c r="B254" i="125"/>
  <c r="G255" i="125"/>
  <c r="C255" i="125"/>
  <c r="H255" i="125"/>
  <c r="B255" i="125"/>
  <c r="G256" i="125"/>
  <c r="C256" i="125"/>
  <c r="H256" i="125"/>
  <c r="B256" i="125"/>
  <c r="G257" i="125"/>
  <c r="C257" i="125"/>
  <c r="H257" i="125"/>
  <c r="B257" i="125"/>
  <c r="G258" i="125"/>
  <c r="C258" i="125"/>
  <c r="H258" i="125"/>
  <c r="B258" i="125"/>
  <c r="G259" i="125"/>
  <c r="C259" i="125"/>
  <c r="H259" i="125"/>
  <c r="B259" i="125"/>
  <c r="G260" i="125"/>
  <c r="C260" i="125"/>
  <c r="H260" i="125"/>
  <c r="B260" i="125"/>
  <c r="G261" i="125"/>
  <c r="C261" i="125"/>
  <c r="H261" i="125"/>
  <c r="B261" i="125"/>
  <c r="G262" i="125"/>
  <c r="C262" i="125"/>
  <c r="H262" i="125"/>
  <c r="B262" i="125"/>
  <c r="G263" i="125"/>
  <c r="C263" i="125"/>
  <c r="H263" i="125"/>
  <c r="B263" i="125"/>
  <c r="G264" i="125"/>
  <c r="C264" i="125"/>
  <c r="H264" i="125"/>
  <c r="B264" i="125"/>
  <c r="H21" i="124"/>
  <c r="M265" i="125"/>
  <c r="B5" i="124"/>
  <c r="B17" i="124"/>
  <c r="C17" i="124"/>
  <c r="D17" i="124"/>
  <c r="G17" i="124"/>
  <c r="H17" i="124"/>
  <c r="M2" i="125"/>
  <c r="B19" i="124"/>
  <c r="B18" i="124"/>
  <c r="C18" i="124"/>
  <c r="D18" i="124"/>
  <c r="G18" i="124"/>
  <c r="H18" i="124"/>
  <c r="M3" i="125"/>
  <c r="M4" i="125"/>
  <c r="M5" i="125"/>
  <c r="M6" i="125"/>
  <c r="M7" i="125"/>
  <c r="M8" i="125"/>
  <c r="M9" i="125"/>
  <c r="M10" i="125"/>
  <c r="M11" i="125"/>
  <c r="M12" i="125"/>
  <c r="M13" i="125"/>
  <c r="M14" i="125"/>
  <c r="M15" i="125"/>
  <c r="M16" i="125"/>
  <c r="M17" i="125"/>
  <c r="M18" i="125"/>
  <c r="M19" i="125"/>
  <c r="M20" i="125"/>
  <c r="M21" i="125"/>
  <c r="M22" i="125"/>
  <c r="M23" i="125"/>
  <c r="M24" i="125"/>
  <c r="M25" i="125"/>
  <c r="M26" i="125"/>
  <c r="M27" i="125"/>
  <c r="M28" i="125"/>
  <c r="M29" i="125"/>
  <c r="M30" i="125"/>
  <c r="M31" i="125"/>
  <c r="M32" i="125"/>
  <c r="M33" i="125"/>
  <c r="M34" i="125"/>
  <c r="M35" i="125"/>
  <c r="M36" i="125"/>
  <c r="M37" i="125"/>
  <c r="M38" i="125"/>
  <c r="M39" i="125"/>
  <c r="M40" i="125"/>
  <c r="M41" i="125"/>
  <c r="M42" i="125"/>
  <c r="M43" i="125"/>
  <c r="M44" i="125"/>
  <c r="M45" i="125"/>
  <c r="M46" i="125"/>
  <c r="M47" i="125"/>
  <c r="M48" i="125"/>
  <c r="M49" i="125"/>
  <c r="M50" i="125"/>
  <c r="M51" i="125"/>
  <c r="M52" i="125"/>
  <c r="M53" i="125"/>
  <c r="M54" i="125"/>
  <c r="M55" i="125"/>
  <c r="M56" i="125"/>
  <c r="M57" i="125"/>
  <c r="M58" i="125"/>
  <c r="M59" i="125"/>
  <c r="M60" i="125"/>
  <c r="M61" i="125"/>
  <c r="M62" i="125"/>
  <c r="M63" i="125"/>
  <c r="M64" i="125"/>
  <c r="M65" i="125"/>
  <c r="M66" i="125"/>
  <c r="M67" i="125"/>
  <c r="M68" i="125"/>
  <c r="M69" i="125"/>
  <c r="M70" i="125"/>
  <c r="M71" i="125"/>
  <c r="M72" i="125"/>
  <c r="M73" i="125"/>
  <c r="M74" i="125"/>
  <c r="M75" i="125"/>
  <c r="M76" i="125"/>
  <c r="M77" i="125"/>
  <c r="M78" i="125"/>
  <c r="M79" i="125"/>
  <c r="M80" i="125"/>
  <c r="M81" i="125"/>
  <c r="M82" i="125"/>
  <c r="M83" i="125"/>
  <c r="M84" i="125"/>
  <c r="M85" i="125"/>
  <c r="M86" i="125"/>
  <c r="M87" i="125"/>
  <c r="M88" i="125"/>
  <c r="M89" i="125"/>
  <c r="M90" i="125"/>
  <c r="M91" i="125"/>
  <c r="M92" i="125"/>
  <c r="M93" i="125"/>
  <c r="M94" i="125"/>
  <c r="M95" i="125"/>
  <c r="M96" i="125"/>
  <c r="M97" i="125"/>
  <c r="M98" i="125"/>
  <c r="M99" i="125"/>
  <c r="M100" i="125"/>
  <c r="M101" i="125"/>
  <c r="M102" i="125"/>
  <c r="M103" i="125"/>
  <c r="M104" i="125"/>
  <c r="M105" i="125"/>
  <c r="M106" i="125"/>
  <c r="M107" i="125"/>
  <c r="M108" i="125"/>
  <c r="M109" i="125"/>
  <c r="M110" i="125"/>
  <c r="M111" i="125"/>
  <c r="M112" i="125"/>
  <c r="M113" i="125"/>
  <c r="M114" i="125"/>
  <c r="M115" i="125"/>
  <c r="M116" i="125"/>
  <c r="M117" i="125"/>
  <c r="M118" i="125"/>
  <c r="M119" i="125"/>
  <c r="M120" i="125"/>
  <c r="M121" i="125"/>
  <c r="M122" i="125"/>
  <c r="M123" i="125"/>
  <c r="M124" i="125"/>
  <c r="M125" i="125"/>
  <c r="M126" i="125"/>
  <c r="M127" i="125"/>
  <c r="M128" i="125"/>
  <c r="M129" i="125"/>
  <c r="M130" i="125"/>
  <c r="M131" i="125"/>
  <c r="M132" i="125"/>
  <c r="M133" i="125"/>
  <c r="M134" i="125"/>
  <c r="M135" i="125"/>
  <c r="M136" i="125"/>
  <c r="M137" i="125"/>
  <c r="C19" i="124"/>
  <c r="D19" i="124"/>
  <c r="G19" i="124"/>
  <c r="H19" i="124"/>
  <c r="M138" i="125"/>
  <c r="C22" i="124"/>
  <c r="D22" i="124"/>
  <c r="G22" i="124"/>
  <c r="H22" i="124"/>
  <c r="M139" i="125"/>
  <c r="M140" i="125"/>
  <c r="M141" i="125"/>
  <c r="M142" i="125"/>
  <c r="M143" i="125"/>
  <c r="M144" i="125"/>
  <c r="M145" i="125"/>
  <c r="M146" i="125"/>
  <c r="M147" i="125"/>
  <c r="M148" i="125"/>
  <c r="M149" i="125"/>
  <c r="M150" i="125"/>
  <c r="M151" i="125"/>
  <c r="M152" i="125"/>
  <c r="M153" i="125"/>
  <c r="M154" i="125"/>
  <c r="M155" i="125"/>
  <c r="M156" i="125"/>
  <c r="M157" i="125"/>
  <c r="M158" i="125"/>
  <c r="M159" i="125"/>
  <c r="M160" i="125"/>
  <c r="M161" i="125"/>
  <c r="M162" i="125"/>
  <c r="M163" i="125"/>
  <c r="M164" i="125"/>
  <c r="M165" i="125"/>
  <c r="M166" i="125"/>
  <c r="M167" i="125"/>
  <c r="M168" i="125"/>
  <c r="M169" i="125"/>
  <c r="M170" i="125"/>
  <c r="M171" i="125"/>
  <c r="M172" i="125"/>
  <c r="M173" i="125"/>
  <c r="M174" i="125"/>
  <c r="M175" i="125"/>
  <c r="M176" i="125"/>
  <c r="M177" i="125"/>
  <c r="M178" i="125"/>
  <c r="M179" i="125"/>
  <c r="M180" i="125"/>
  <c r="M181" i="125"/>
  <c r="M182" i="125"/>
  <c r="M183" i="125"/>
  <c r="M184" i="125"/>
  <c r="M185" i="125"/>
  <c r="M186" i="125"/>
  <c r="M187" i="125"/>
  <c r="M188" i="125"/>
  <c r="M189" i="125"/>
  <c r="M190" i="125"/>
  <c r="M191" i="125"/>
  <c r="M192" i="125"/>
  <c r="M193" i="125"/>
  <c r="M194" i="125"/>
  <c r="M195" i="125"/>
  <c r="M196" i="125"/>
  <c r="M197" i="125"/>
  <c r="M198" i="125"/>
  <c r="M199" i="125"/>
  <c r="M200" i="125"/>
  <c r="M201" i="125"/>
  <c r="M202" i="125"/>
  <c r="M203" i="125"/>
  <c r="M204" i="125"/>
  <c r="M205" i="125"/>
  <c r="M206" i="125"/>
  <c r="M207" i="125"/>
  <c r="M208" i="125"/>
  <c r="M209" i="125"/>
  <c r="M210" i="125"/>
  <c r="M211" i="125"/>
  <c r="M212" i="125"/>
  <c r="M213" i="125"/>
  <c r="M214" i="125"/>
  <c r="M215" i="125"/>
  <c r="M216" i="125"/>
  <c r="M217" i="125"/>
  <c r="M218" i="125"/>
  <c r="M219" i="125"/>
  <c r="M220" i="125"/>
  <c r="M221" i="125"/>
  <c r="M222" i="125"/>
  <c r="M223" i="125"/>
  <c r="M224" i="125"/>
  <c r="M225" i="125"/>
  <c r="M226" i="125"/>
  <c r="M227" i="125"/>
  <c r="M228" i="125"/>
  <c r="M229" i="125"/>
  <c r="M230" i="125"/>
  <c r="M231" i="125"/>
  <c r="M232" i="125"/>
  <c r="M233" i="125"/>
  <c r="M234" i="125"/>
  <c r="M235" i="125"/>
  <c r="M236" i="125"/>
  <c r="M237" i="125"/>
  <c r="M238" i="125"/>
  <c r="M239" i="125"/>
  <c r="M240" i="125"/>
  <c r="M241" i="125"/>
  <c r="M242" i="125"/>
  <c r="M243" i="125"/>
  <c r="M244" i="125"/>
  <c r="M245" i="125"/>
  <c r="M246" i="125"/>
  <c r="M247" i="125"/>
  <c r="M248" i="125"/>
  <c r="M249" i="125"/>
  <c r="M250" i="125"/>
  <c r="M251" i="125"/>
  <c r="M252" i="125"/>
  <c r="M253" i="125"/>
  <c r="M254" i="125"/>
  <c r="M255" i="125"/>
  <c r="M256" i="125"/>
  <c r="M257" i="125"/>
  <c r="M258" i="125"/>
  <c r="M259" i="125"/>
  <c r="M260" i="125"/>
  <c r="M261" i="125"/>
  <c r="M262" i="125"/>
  <c r="M263" i="125"/>
  <c r="M264" i="125"/>
  <c r="N265" i="125"/>
  <c r="L265" i="125"/>
  <c r="K265" i="125"/>
  <c r="J265" i="125"/>
  <c r="I265" i="125"/>
  <c r="F265" i="125"/>
  <c r="A265" i="125"/>
  <c r="T264" i="125"/>
  <c r="S264" i="125"/>
  <c r="R264" i="125"/>
  <c r="Q264" i="125"/>
  <c r="P264" i="125"/>
  <c r="O264" i="125"/>
  <c r="N264" i="125"/>
  <c r="L264" i="125"/>
  <c r="K264" i="125"/>
  <c r="J264" i="125"/>
  <c r="I264" i="125"/>
  <c r="F264" i="125"/>
  <c r="A264" i="125"/>
  <c r="T263" i="125"/>
  <c r="S263" i="125"/>
  <c r="R263" i="125"/>
  <c r="Q263" i="125"/>
  <c r="P263" i="125"/>
  <c r="O263" i="125"/>
  <c r="N263" i="125"/>
  <c r="L263" i="125"/>
  <c r="K263" i="125"/>
  <c r="J263" i="125"/>
  <c r="I263" i="125"/>
  <c r="F263" i="125"/>
  <c r="A263" i="125"/>
  <c r="T262" i="125"/>
  <c r="S262" i="125"/>
  <c r="R262" i="125"/>
  <c r="Q262" i="125"/>
  <c r="P262" i="125"/>
  <c r="O262" i="125"/>
  <c r="N262" i="125"/>
  <c r="L262" i="125"/>
  <c r="K262" i="125"/>
  <c r="J262" i="125"/>
  <c r="I262" i="125"/>
  <c r="F262" i="125"/>
  <c r="A262" i="125"/>
  <c r="T261" i="125"/>
  <c r="S261" i="125"/>
  <c r="R261" i="125"/>
  <c r="Q261" i="125"/>
  <c r="P261" i="125"/>
  <c r="O261" i="125"/>
  <c r="N261" i="125"/>
  <c r="L261" i="125"/>
  <c r="K261" i="125"/>
  <c r="J261" i="125"/>
  <c r="I261" i="125"/>
  <c r="F261" i="125"/>
  <c r="A261" i="125"/>
  <c r="T260" i="125"/>
  <c r="S260" i="125"/>
  <c r="R260" i="125"/>
  <c r="Q260" i="125"/>
  <c r="P260" i="125"/>
  <c r="O260" i="125"/>
  <c r="N260" i="125"/>
  <c r="L260" i="125"/>
  <c r="K260" i="125"/>
  <c r="J260" i="125"/>
  <c r="I260" i="125"/>
  <c r="F260" i="125"/>
  <c r="A260" i="125"/>
  <c r="T259" i="125"/>
  <c r="S259" i="125"/>
  <c r="R259" i="125"/>
  <c r="Q259" i="125"/>
  <c r="P259" i="125"/>
  <c r="O259" i="125"/>
  <c r="N259" i="125"/>
  <c r="L259" i="125"/>
  <c r="K259" i="125"/>
  <c r="J259" i="125"/>
  <c r="I259" i="125"/>
  <c r="F259" i="125"/>
  <c r="A259" i="125"/>
  <c r="T258" i="125"/>
  <c r="S258" i="125"/>
  <c r="R258" i="125"/>
  <c r="Q258" i="125"/>
  <c r="P258" i="125"/>
  <c r="O258" i="125"/>
  <c r="N258" i="125"/>
  <c r="L258" i="125"/>
  <c r="K258" i="125"/>
  <c r="J258" i="125"/>
  <c r="I258" i="125"/>
  <c r="F258" i="125"/>
  <c r="A258" i="125"/>
  <c r="T257" i="125"/>
  <c r="S257" i="125"/>
  <c r="R257" i="125"/>
  <c r="Q257" i="125"/>
  <c r="P257" i="125"/>
  <c r="O257" i="125"/>
  <c r="N257" i="125"/>
  <c r="L257" i="125"/>
  <c r="K257" i="125"/>
  <c r="J257" i="125"/>
  <c r="I257" i="125"/>
  <c r="F257" i="125"/>
  <c r="A257" i="125"/>
  <c r="T256" i="125"/>
  <c r="S256" i="125"/>
  <c r="R256" i="125"/>
  <c r="Q256" i="125"/>
  <c r="P256" i="125"/>
  <c r="O256" i="125"/>
  <c r="N256" i="125"/>
  <c r="L256" i="125"/>
  <c r="K256" i="125"/>
  <c r="J256" i="125"/>
  <c r="I256" i="125"/>
  <c r="F256" i="125"/>
  <c r="A256" i="125"/>
  <c r="T255" i="125"/>
  <c r="S255" i="125"/>
  <c r="R255" i="125"/>
  <c r="Q255" i="125"/>
  <c r="P255" i="125"/>
  <c r="O255" i="125"/>
  <c r="N255" i="125"/>
  <c r="L255" i="125"/>
  <c r="K255" i="125"/>
  <c r="J255" i="125"/>
  <c r="I255" i="125"/>
  <c r="F255" i="125"/>
  <c r="A255" i="125"/>
  <c r="T254" i="125"/>
  <c r="S254" i="125"/>
  <c r="R254" i="125"/>
  <c r="Q254" i="125"/>
  <c r="P254" i="125"/>
  <c r="O254" i="125"/>
  <c r="N254" i="125"/>
  <c r="L254" i="125"/>
  <c r="K254" i="125"/>
  <c r="J254" i="125"/>
  <c r="I254" i="125"/>
  <c r="F254" i="125"/>
  <c r="A254" i="125"/>
  <c r="T253" i="125"/>
  <c r="S253" i="125"/>
  <c r="R253" i="125"/>
  <c r="Q253" i="125"/>
  <c r="P253" i="125"/>
  <c r="O253" i="125"/>
  <c r="N253" i="125"/>
  <c r="L253" i="125"/>
  <c r="K253" i="125"/>
  <c r="J253" i="125"/>
  <c r="I253" i="125"/>
  <c r="F253" i="125"/>
  <c r="A253" i="125"/>
  <c r="T252" i="125"/>
  <c r="S252" i="125"/>
  <c r="R252" i="125"/>
  <c r="Q252" i="125"/>
  <c r="P252" i="125"/>
  <c r="O252" i="125"/>
  <c r="N252" i="125"/>
  <c r="L252" i="125"/>
  <c r="K252" i="125"/>
  <c r="J252" i="125"/>
  <c r="I252" i="125"/>
  <c r="F252" i="125"/>
  <c r="A252" i="125"/>
  <c r="T251" i="125"/>
  <c r="S251" i="125"/>
  <c r="R251" i="125"/>
  <c r="Q251" i="125"/>
  <c r="P251" i="125"/>
  <c r="O251" i="125"/>
  <c r="N251" i="125"/>
  <c r="L251" i="125"/>
  <c r="K251" i="125"/>
  <c r="J251" i="125"/>
  <c r="I251" i="125"/>
  <c r="F251" i="125"/>
  <c r="A251" i="125"/>
  <c r="T250" i="125"/>
  <c r="S250" i="125"/>
  <c r="R250" i="125"/>
  <c r="Q250" i="125"/>
  <c r="P250" i="125"/>
  <c r="O250" i="125"/>
  <c r="N250" i="125"/>
  <c r="L250" i="125"/>
  <c r="K250" i="125"/>
  <c r="J250" i="125"/>
  <c r="I250" i="125"/>
  <c r="F250" i="125"/>
  <c r="A250" i="125"/>
  <c r="T249" i="125"/>
  <c r="S249" i="125"/>
  <c r="R249" i="125"/>
  <c r="Q249" i="125"/>
  <c r="P249" i="125"/>
  <c r="O249" i="125"/>
  <c r="N249" i="125"/>
  <c r="L249" i="125"/>
  <c r="K249" i="125"/>
  <c r="J249" i="125"/>
  <c r="I249" i="125"/>
  <c r="F249" i="125"/>
  <c r="A249" i="125"/>
  <c r="T248" i="125"/>
  <c r="S248" i="125"/>
  <c r="R248" i="125"/>
  <c r="Q248" i="125"/>
  <c r="P248" i="125"/>
  <c r="O248" i="125"/>
  <c r="N248" i="125"/>
  <c r="L248" i="125"/>
  <c r="K248" i="125"/>
  <c r="J248" i="125"/>
  <c r="I248" i="125"/>
  <c r="F248" i="125"/>
  <c r="A248" i="125"/>
  <c r="T247" i="125"/>
  <c r="S247" i="125"/>
  <c r="R247" i="125"/>
  <c r="Q247" i="125"/>
  <c r="P247" i="125"/>
  <c r="O247" i="125"/>
  <c r="N247" i="125"/>
  <c r="L247" i="125"/>
  <c r="K247" i="125"/>
  <c r="J247" i="125"/>
  <c r="I247" i="125"/>
  <c r="F247" i="125"/>
  <c r="A247" i="125"/>
  <c r="T246" i="125"/>
  <c r="S246" i="125"/>
  <c r="R246" i="125"/>
  <c r="Q246" i="125"/>
  <c r="P246" i="125"/>
  <c r="O246" i="125"/>
  <c r="N246" i="125"/>
  <c r="L246" i="125"/>
  <c r="K246" i="125"/>
  <c r="J246" i="125"/>
  <c r="I246" i="125"/>
  <c r="F246" i="125"/>
  <c r="A246" i="125"/>
  <c r="T245" i="125"/>
  <c r="S245" i="125"/>
  <c r="R245" i="125"/>
  <c r="Q245" i="125"/>
  <c r="P245" i="125"/>
  <c r="O245" i="125"/>
  <c r="N245" i="125"/>
  <c r="L245" i="125"/>
  <c r="K245" i="125"/>
  <c r="J245" i="125"/>
  <c r="I245" i="125"/>
  <c r="F245" i="125"/>
  <c r="A245" i="125"/>
  <c r="T244" i="125"/>
  <c r="S244" i="125"/>
  <c r="R244" i="125"/>
  <c r="Q244" i="125"/>
  <c r="P244" i="125"/>
  <c r="O244" i="125"/>
  <c r="N244" i="125"/>
  <c r="L244" i="125"/>
  <c r="K244" i="125"/>
  <c r="J244" i="125"/>
  <c r="I244" i="125"/>
  <c r="F244" i="125"/>
  <c r="A244" i="125"/>
  <c r="T243" i="125"/>
  <c r="S243" i="125"/>
  <c r="R243" i="125"/>
  <c r="Q243" i="125"/>
  <c r="P243" i="125"/>
  <c r="O243" i="125"/>
  <c r="N243" i="125"/>
  <c r="L243" i="125"/>
  <c r="K243" i="125"/>
  <c r="J243" i="125"/>
  <c r="I243" i="125"/>
  <c r="F243" i="125"/>
  <c r="A243" i="125"/>
  <c r="T242" i="125"/>
  <c r="S242" i="125"/>
  <c r="R242" i="125"/>
  <c r="Q242" i="125"/>
  <c r="P242" i="125"/>
  <c r="O242" i="125"/>
  <c r="N242" i="125"/>
  <c r="L242" i="125"/>
  <c r="K242" i="125"/>
  <c r="J242" i="125"/>
  <c r="I242" i="125"/>
  <c r="F242" i="125"/>
  <c r="A242" i="125"/>
  <c r="T241" i="125"/>
  <c r="S241" i="125"/>
  <c r="R241" i="125"/>
  <c r="Q241" i="125"/>
  <c r="P241" i="125"/>
  <c r="O241" i="125"/>
  <c r="N241" i="125"/>
  <c r="L241" i="125"/>
  <c r="K241" i="125"/>
  <c r="J241" i="125"/>
  <c r="I241" i="125"/>
  <c r="F241" i="125"/>
  <c r="A241" i="125"/>
  <c r="T240" i="125"/>
  <c r="S240" i="125"/>
  <c r="R240" i="125"/>
  <c r="Q240" i="125"/>
  <c r="P240" i="125"/>
  <c r="O240" i="125"/>
  <c r="N240" i="125"/>
  <c r="L240" i="125"/>
  <c r="K240" i="125"/>
  <c r="J240" i="125"/>
  <c r="I240" i="125"/>
  <c r="F240" i="125"/>
  <c r="A240" i="125"/>
  <c r="T239" i="125"/>
  <c r="S239" i="125"/>
  <c r="R239" i="125"/>
  <c r="Q239" i="125"/>
  <c r="P239" i="125"/>
  <c r="O239" i="125"/>
  <c r="N239" i="125"/>
  <c r="L239" i="125"/>
  <c r="K239" i="125"/>
  <c r="J239" i="125"/>
  <c r="I239" i="125"/>
  <c r="F239" i="125"/>
  <c r="A239" i="125"/>
  <c r="T238" i="125"/>
  <c r="S238" i="125"/>
  <c r="R238" i="125"/>
  <c r="Q238" i="125"/>
  <c r="P238" i="125"/>
  <c r="O238" i="125"/>
  <c r="N238" i="125"/>
  <c r="L238" i="125"/>
  <c r="K238" i="125"/>
  <c r="J238" i="125"/>
  <c r="I238" i="125"/>
  <c r="F238" i="125"/>
  <c r="A238" i="125"/>
  <c r="T237" i="125"/>
  <c r="S237" i="125"/>
  <c r="R237" i="125"/>
  <c r="Q237" i="125"/>
  <c r="P237" i="125"/>
  <c r="O237" i="125"/>
  <c r="N237" i="125"/>
  <c r="L237" i="125"/>
  <c r="K237" i="125"/>
  <c r="J237" i="125"/>
  <c r="I237" i="125"/>
  <c r="F237" i="125"/>
  <c r="A237" i="125"/>
  <c r="T236" i="125"/>
  <c r="S236" i="125"/>
  <c r="R236" i="125"/>
  <c r="Q236" i="125"/>
  <c r="P236" i="125"/>
  <c r="O236" i="125"/>
  <c r="N236" i="125"/>
  <c r="L236" i="125"/>
  <c r="K236" i="125"/>
  <c r="J236" i="125"/>
  <c r="I236" i="125"/>
  <c r="F236" i="125"/>
  <c r="A236" i="125"/>
  <c r="T235" i="125"/>
  <c r="S235" i="125"/>
  <c r="R235" i="125"/>
  <c r="Q235" i="125"/>
  <c r="P235" i="125"/>
  <c r="O235" i="125"/>
  <c r="N235" i="125"/>
  <c r="L235" i="125"/>
  <c r="K235" i="125"/>
  <c r="J235" i="125"/>
  <c r="I235" i="125"/>
  <c r="F235" i="125"/>
  <c r="A235" i="125"/>
  <c r="T234" i="125"/>
  <c r="S234" i="125"/>
  <c r="R234" i="125"/>
  <c r="Q234" i="125"/>
  <c r="P234" i="125"/>
  <c r="O234" i="125"/>
  <c r="N234" i="125"/>
  <c r="L234" i="125"/>
  <c r="K234" i="125"/>
  <c r="J234" i="125"/>
  <c r="I234" i="125"/>
  <c r="F234" i="125"/>
  <c r="A234" i="125"/>
  <c r="T233" i="125"/>
  <c r="S233" i="125"/>
  <c r="R233" i="125"/>
  <c r="Q233" i="125"/>
  <c r="P233" i="125"/>
  <c r="O233" i="125"/>
  <c r="N233" i="125"/>
  <c r="L233" i="125"/>
  <c r="K233" i="125"/>
  <c r="J233" i="125"/>
  <c r="I233" i="125"/>
  <c r="F233" i="125"/>
  <c r="A233" i="125"/>
  <c r="T232" i="125"/>
  <c r="S232" i="125"/>
  <c r="R232" i="125"/>
  <c r="Q232" i="125"/>
  <c r="P232" i="125"/>
  <c r="O232" i="125"/>
  <c r="N232" i="125"/>
  <c r="L232" i="125"/>
  <c r="K232" i="125"/>
  <c r="J232" i="125"/>
  <c r="I232" i="125"/>
  <c r="F232" i="125"/>
  <c r="A232" i="125"/>
  <c r="T231" i="125"/>
  <c r="S231" i="125"/>
  <c r="R231" i="125"/>
  <c r="Q231" i="125"/>
  <c r="P231" i="125"/>
  <c r="O231" i="125"/>
  <c r="N231" i="125"/>
  <c r="L231" i="125"/>
  <c r="K231" i="125"/>
  <c r="J231" i="125"/>
  <c r="I231" i="125"/>
  <c r="F231" i="125"/>
  <c r="A231" i="125"/>
  <c r="T230" i="125"/>
  <c r="S230" i="125"/>
  <c r="R230" i="125"/>
  <c r="Q230" i="125"/>
  <c r="P230" i="125"/>
  <c r="O230" i="125"/>
  <c r="N230" i="125"/>
  <c r="L230" i="125"/>
  <c r="K230" i="125"/>
  <c r="J230" i="125"/>
  <c r="I230" i="125"/>
  <c r="F230" i="125"/>
  <c r="A230" i="125"/>
  <c r="T229" i="125"/>
  <c r="S229" i="125"/>
  <c r="R229" i="125"/>
  <c r="Q229" i="125"/>
  <c r="P229" i="125"/>
  <c r="O229" i="125"/>
  <c r="N229" i="125"/>
  <c r="L229" i="125"/>
  <c r="K229" i="125"/>
  <c r="J229" i="125"/>
  <c r="I229" i="125"/>
  <c r="F229" i="125"/>
  <c r="A229" i="125"/>
  <c r="T228" i="125"/>
  <c r="S228" i="125"/>
  <c r="R228" i="125"/>
  <c r="Q228" i="125"/>
  <c r="P228" i="125"/>
  <c r="O228" i="125"/>
  <c r="N228" i="125"/>
  <c r="L228" i="125"/>
  <c r="K228" i="125"/>
  <c r="J228" i="125"/>
  <c r="I228" i="125"/>
  <c r="F228" i="125"/>
  <c r="A228" i="125"/>
  <c r="T227" i="125"/>
  <c r="S227" i="125"/>
  <c r="R227" i="125"/>
  <c r="Q227" i="125"/>
  <c r="P227" i="125"/>
  <c r="O227" i="125"/>
  <c r="N227" i="125"/>
  <c r="L227" i="125"/>
  <c r="K227" i="125"/>
  <c r="J227" i="125"/>
  <c r="I227" i="125"/>
  <c r="F227" i="125"/>
  <c r="A227" i="125"/>
  <c r="T226" i="125"/>
  <c r="S226" i="125"/>
  <c r="R226" i="125"/>
  <c r="Q226" i="125"/>
  <c r="P226" i="125"/>
  <c r="O226" i="125"/>
  <c r="N226" i="125"/>
  <c r="L226" i="125"/>
  <c r="K226" i="125"/>
  <c r="J226" i="125"/>
  <c r="I226" i="125"/>
  <c r="F226" i="125"/>
  <c r="A226" i="125"/>
  <c r="T225" i="125"/>
  <c r="S225" i="125"/>
  <c r="R225" i="125"/>
  <c r="Q225" i="125"/>
  <c r="P225" i="125"/>
  <c r="O225" i="125"/>
  <c r="N225" i="125"/>
  <c r="L225" i="125"/>
  <c r="K225" i="125"/>
  <c r="J225" i="125"/>
  <c r="I225" i="125"/>
  <c r="F225" i="125"/>
  <c r="A225" i="125"/>
  <c r="T224" i="125"/>
  <c r="S224" i="125"/>
  <c r="R224" i="125"/>
  <c r="Q224" i="125"/>
  <c r="P224" i="125"/>
  <c r="O224" i="125"/>
  <c r="N224" i="125"/>
  <c r="L224" i="125"/>
  <c r="K224" i="125"/>
  <c r="J224" i="125"/>
  <c r="I224" i="125"/>
  <c r="F224" i="125"/>
  <c r="A224" i="125"/>
  <c r="T223" i="125"/>
  <c r="S223" i="125"/>
  <c r="R223" i="125"/>
  <c r="Q223" i="125"/>
  <c r="P223" i="125"/>
  <c r="O223" i="125"/>
  <c r="N223" i="125"/>
  <c r="L223" i="125"/>
  <c r="K223" i="125"/>
  <c r="J223" i="125"/>
  <c r="I223" i="125"/>
  <c r="F223" i="125"/>
  <c r="A223" i="125"/>
  <c r="T222" i="125"/>
  <c r="S222" i="125"/>
  <c r="R222" i="125"/>
  <c r="Q222" i="125"/>
  <c r="P222" i="125"/>
  <c r="O222" i="125"/>
  <c r="N222" i="125"/>
  <c r="L222" i="125"/>
  <c r="K222" i="125"/>
  <c r="J222" i="125"/>
  <c r="I222" i="125"/>
  <c r="F222" i="125"/>
  <c r="A222" i="125"/>
  <c r="T221" i="125"/>
  <c r="S221" i="125"/>
  <c r="R221" i="125"/>
  <c r="Q221" i="125"/>
  <c r="P221" i="125"/>
  <c r="O221" i="125"/>
  <c r="N221" i="125"/>
  <c r="L221" i="125"/>
  <c r="K221" i="125"/>
  <c r="J221" i="125"/>
  <c r="I221" i="125"/>
  <c r="F221" i="125"/>
  <c r="A221" i="125"/>
  <c r="T220" i="125"/>
  <c r="S220" i="125"/>
  <c r="R220" i="125"/>
  <c r="Q220" i="125"/>
  <c r="P220" i="125"/>
  <c r="O220" i="125"/>
  <c r="N220" i="125"/>
  <c r="L220" i="125"/>
  <c r="K220" i="125"/>
  <c r="J220" i="125"/>
  <c r="I220" i="125"/>
  <c r="F220" i="125"/>
  <c r="A220" i="125"/>
  <c r="T219" i="125"/>
  <c r="S219" i="125"/>
  <c r="R219" i="125"/>
  <c r="Q219" i="125"/>
  <c r="P219" i="125"/>
  <c r="O219" i="125"/>
  <c r="N219" i="125"/>
  <c r="L219" i="125"/>
  <c r="K219" i="125"/>
  <c r="J219" i="125"/>
  <c r="I219" i="125"/>
  <c r="F219" i="125"/>
  <c r="A219" i="125"/>
  <c r="T218" i="125"/>
  <c r="S218" i="125"/>
  <c r="R218" i="125"/>
  <c r="Q218" i="125"/>
  <c r="P218" i="125"/>
  <c r="O218" i="125"/>
  <c r="N218" i="125"/>
  <c r="L218" i="125"/>
  <c r="K218" i="125"/>
  <c r="J218" i="125"/>
  <c r="I218" i="125"/>
  <c r="F218" i="125"/>
  <c r="A218" i="125"/>
  <c r="T217" i="125"/>
  <c r="S217" i="125"/>
  <c r="R217" i="125"/>
  <c r="Q217" i="125"/>
  <c r="P217" i="125"/>
  <c r="O217" i="125"/>
  <c r="N217" i="125"/>
  <c r="L217" i="125"/>
  <c r="K217" i="125"/>
  <c r="J217" i="125"/>
  <c r="I217" i="125"/>
  <c r="F217" i="125"/>
  <c r="A217" i="125"/>
  <c r="T216" i="125"/>
  <c r="S216" i="125"/>
  <c r="R216" i="125"/>
  <c r="Q216" i="125"/>
  <c r="P216" i="125"/>
  <c r="O216" i="125"/>
  <c r="N216" i="125"/>
  <c r="L216" i="125"/>
  <c r="K216" i="125"/>
  <c r="J216" i="125"/>
  <c r="I216" i="125"/>
  <c r="F216" i="125"/>
  <c r="A216" i="125"/>
  <c r="T215" i="125"/>
  <c r="S215" i="125"/>
  <c r="R215" i="125"/>
  <c r="Q215" i="125"/>
  <c r="P215" i="125"/>
  <c r="O215" i="125"/>
  <c r="N215" i="125"/>
  <c r="L215" i="125"/>
  <c r="K215" i="125"/>
  <c r="J215" i="125"/>
  <c r="I215" i="125"/>
  <c r="F215" i="125"/>
  <c r="A215" i="125"/>
  <c r="T214" i="125"/>
  <c r="S214" i="125"/>
  <c r="R214" i="125"/>
  <c r="Q214" i="125"/>
  <c r="P214" i="125"/>
  <c r="O214" i="125"/>
  <c r="N214" i="125"/>
  <c r="L214" i="125"/>
  <c r="K214" i="125"/>
  <c r="J214" i="125"/>
  <c r="I214" i="125"/>
  <c r="F214" i="125"/>
  <c r="A214" i="125"/>
  <c r="T213" i="125"/>
  <c r="S213" i="125"/>
  <c r="R213" i="125"/>
  <c r="Q213" i="125"/>
  <c r="P213" i="125"/>
  <c r="O213" i="125"/>
  <c r="N213" i="125"/>
  <c r="L213" i="125"/>
  <c r="K213" i="125"/>
  <c r="J213" i="125"/>
  <c r="I213" i="125"/>
  <c r="F213" i="125"/>
  <c r="A213" i="125"/>
  <c r="T212" i="125"/>
  <c r="S212" i="125"/>
  <c r="R212" i="125"/>
  <c r="Q212" i="125"/>
  <c r="P212" i="125"/>
  <c r="O212" i="125"/>
  <c r="N212" i="125"/>
  <c r="L212" i="125"/>
  <c r="K212" i="125"/>
  <c r="J212" i="125"/>
  <c r="I212" i="125"/>
  <c r="F212" i="125"/>
  <c r="A212" i="125"/>
  <c r="T211" i="125"/>
  <c r="S211" i="125"/>
  <c r="R211" i="125"/>
  <c r="Q211" i="125"/>
  <c r="P211" i="125"/>
  <c r="O211" i="125"/>
  <c r="N211" i="125"/>
  <c r="L211" i="125"/>
  <c r="K211" i="125"/>
  <c r="J211" i="125"/>
  <c r="I211" i="125"/>
  <c r="F211" i="125"/>
  <c r="A211" i="125"/>
  <c r="T210" i="125"/>
  <c r="S210" i="125"/>
  <c r="R210" i="125"/>
  <c r="Q210" i="125"/>
  <c r="P210" i="125"/>
  <c r="O210" i="125"/>
  <c r="N210" i="125"/>
  <c r="L210" i="125"/>
  <c r="K210" i="125"/>
  <c r="J210" i="125"/>
  <c r="I210" i="125"/>
  <c r="F210" i="125"/>
  <c r="A210" i="125"/>
  <c r="T209" i="125"/>
  <c r="S209" i="125"/>
  <c r="R209" i="125"/>
  <c r="Q209" i="125"/>
  <c r="P209" i="125"/>
  <c r="O209" i="125"/>
  <c r="N209" i="125"/>
  <c r="L209" i="125"/>
  <c r="K209" i="125"/>
  <c r="J209" i="125"/>
  <c r="I209" i="125"/>
  <c r="F209" i="125"/>
  <c r="A209" i="125"/>
  <c r="T208" i="125"/>
  <c r="S208" i="125"/>
  <c r="R208" i="125"/>
  <c r="Q208" i="125"/>
  <c r="P208" i="125"/>
  <c r="O208" i="125"/>
  <c r="N208" i="125"/>
  <c r="L208" i="125"/>
  <c r="K208" i="125"/>
  <c r="J208" i="125"/>
  <c r="I208" i="125"/>
  <c r="F208" i="125"/>
  <c r="A208" i="125"/>
  <c r="T207" i="125"/>
  <c r="S207" i="125"/>
  <c r="R207" i="125"/>
  <c r="Q207" i="125"/>
  <c r="P207" i="125"/>
  <c r="O207" i="125"/>
  <c r="N207" i="125"/>
  <c r="L207" i="125"/>
  <c r="K207" i="125"/>
  <c r="J207" i="125"/>
  <c r="I207" i="125"/>
  <c r="F207" i="125"/>
  <c r="A207" i="125"/>
  <c r="T206" i="125"/>
  <c r="S206" i="125"/>
  <c r="R206" i="125"/>
  <c r="Q206" i="125"/>
  <c r="P206" i="125"/>
  <c r="O206" i="125"/>
  <c r="N206" i="125"/>
  <c r="L206" i="125"/>
  <c r="K206" i="125"/>
  <c r="J206" i="125"/>
  <c r="I206" i="125"/>
  <c r="F206" i="125"/>
  <c r="A206" i="125"/>
  <c r="T205" i="125"/>
  <c r="S205" i="125"/>
  <c r="R205" i="125"/>
  <c r="Q205" i="125"/>
  <c r="P205" i="125"/>
  <c r="O205" i="125"/>
  <c r="N205" i="125"/>
  <c r="L205" i="125"/>
  <c r="K205" i="125"/>
  <c r="J205" i="125"/>
  <c r="I205" i="125"/>
  <c r="F205" i="125"/>
  <c r="A205" i="125"/>
  <c r="T204" i="125"/>
  <c r="S204" i="125"/>
  <c r="R204" i="125"/>
  <c r="Q204" i="125"/>
  <c r="P204" i="125"/>
  <c r="O204" i="125"/>
  <c r="N204" i="125"/>
  <c r="L204" i="125"/>
  <c r="K204" i="125"/>
  <c r="J204" i="125"/>
  <c r="I204" i="125"/>
  <c r="F204" i="125"/>
  <c r="A204" i="125"/>
  <c r="T203" i="125"/>
  <c r="S203" i="125"/>
  <c r="R203" i="125"/>
  <c r="Q203" i="125"/>
  <c r="P203" i="125"/>
  <c r="O203" i="125"/>
  <c r="N203" i="125"/>
  <c r="L203" i="125"/>
  <c r="K203" i="125"/>
  <c r="J203" i="125"/>
  <c r="I203" i="125"/>
  <c r="F203" i="125"/>
  <c r="A203" i="125"/>
  <c r="T202" i="125"/>
  <c r="S202" i="125"/>
  <c r="R202" i="125"/>
  <c r="Q202" i="125"/>
  <c r="P202" i="125"/>
  <c r="O202" i="125"/>
  <c r="N202" i="125"/>
  <c r="L202" i="125"/>
  <c r="K202" i="125"/>
  <c r="J202" i="125"/>
  <c r="I202" i="125"/>
  <c r="F202" i="125"/>
  <c r="A202" i="125"/>
  <c r="T201" i="125"/>
  <c r="S201" i="125"/>
  <c r="R201" i="125"/>
  <c r="Q201" i="125"/>
  <c r="P201" i="125"/>
  <c r="O201" i="125"/>
  <c r="N201" i="125"/>
  <c r="L201" i="125"/>
  <c r="K201" i="125"/>
  <c r="J201" i="125"/>
  <c r="I201" i="125"/>
  <c r="F201" i="125"/>
  <c r="A201" i="125"/>
  <c r="T200" i="125"/>
  <c r="S200" i="125"/>
  <c r="R200" i="125"/>
  <c r="Q200" i="125"/>
  <c r="P200" i="125"/>
  <c r="O200" i="125"/>
  <c r="N200" i="125"/>
  <c r="L200" i="125"/>
  <c r="K200" i="125"/>
  <c r="J200" i="125"/>
  <c r="I200" i="125"/>
  <c r="F200" i="125"/>
  <c r="A200" i="125"/>
  <c r="T199" i="125"/>
  <c r="S199" i="125"/>
  <c r="R199" i="125"/>
  <c r="Q199" i="125"/>
  <c r="P199" i="125"/>
  <c r="O199" i="125"/>
  <c r="N199" i="125"/>
  <c r="L199" i="125"/>
  <c r="K199" i="125"/>
  <c r="J199" i="125"/>
  <c r="I199" i="125"/>
  <c r="F199" i="125"/>
  <c r="A199" i="125"/>
  <c r="T198" i="125"/>
  <c r="S198" i="125"/>
  <c r="R198" i="125"/>
  <c r="Q198" i="125"/>
  <c r="P198" i="125"/>
  <c r="O198" i="125"/>
  <c r="N198" i="125"/>
  <c r="L198" i="125"/>
  <c r="K198" i="125"/>
  <c r="J198" i="125"/>
  <c r="I198" i="125"/>
  <c r="F198" i="125"/>
  <c r="A198" i="125"/>
  <c r="T197" i="125"/>
  <c r="S197" i="125"/>
  <c r="R197" i="125"/>
  <c r="Q197" i="125"/>
  <c r="P197" i="125"/>
  <c r="O197" i="125"/>
  <c r="N197" i="125"/>
  <c r="L197" i="125"/>
  <c r="K197" i="125"/>
  <c r="J197" i="125"/>
  <c r="I197" i="125"/>
  <c r="F197" i="125"/>
  <c r="A197" i="125"/>
  <c r="T196" i="125"/>
  <c r="S196" i="125"/>
  <c r="R196" i="125"/>
  <c r="Q196" i="125"/>
  <c r="P196" i="125"/>
  <c r="O196" i="125"/>
  <c r="N196" i="125"/>
  <c r="L196" i="125"/>
  <c r="K196" i="125"/>
  <c r="J196" i="125"/>
  <c r="I196" i="125"/>
  <c r="F196" i="125"/>
  <c r="A196" i="125"/>
  <c r="T195" i="125"/>
  <c r="S195" i="125"/>
  <c r="R195" i="125"/>
  <c r="Q195" i="125"/>
  <c r="P195" i="125"/>
  <c r="O195" i="125"/>
  <c r="N195" i="125"/>
  <c r="L195" i="125"/>
  <c r="K195" i="125"/>
  <c r="J195" i="125"/>
  <c r="I195" i="125"/>
  <c r="F195" i="125"/>
  <c r="A195" i="125"/>
  <c r="T194" i="125"/>
  <c r="S194" i="125"/>
  <c r="R194" i="125"/>
  <c r="Q194" i="125"/>
  <c r="P194" i="125"/>
  <c r="O194" i="125"/>
  <c r="N194" i="125"/>
  <c r="L194" i="125"/>
  <c r="K194" i="125"/>
  <c r="J194" i="125"/>
  <c r="I194" i="125"/>
  <c r="F194" i="125"/>
  <c r="A194" i="125"/>
  <c r="T193" i="125"/>
  <c r="S193" i="125"/>
  <c r="R193" i="125"/>
  <c r="Q193" i="125"/>
  <c r="P193" i="125"/>
  <c r="O193" i="125"/>
  <c r="N193" i="125"/>
  <c r="L193" i="125"/>
  <c r="K193" i="125"/>
  <c r="J193" i="125"/>
  <c r="I193" i="125"/>
  <c r="F193" i="125"/>
  <c r="A193" i="125"/>
  <c r="T192" i="125"/>
  <c r="S192" i="125"/>
  <c r="R192" i="125"/>
  <c r="Q192" i="125"/>
  <c r="P192" i="125"/>
  <c r="O192" i="125"/>
  <c r="N192" i="125"/>
  <c r="L192" i="125"/>
  <c r="K192" i="125"/>
  <c r="J192" i="125"/>
  <c r="I192" i="125"/>
  <c r="F192" i="125"/>
  <c r="A192" i="125"/>
  <c r="T191" i="125"/>
  <c r="S191" i="125"/>
  <c r="R191" i="125"/>
  <c r="Q191" i="125"/>
  <c r="P191" i="125"/>
  <c r="O191" i="125"/>
  <c r="N191" i="125"/>
  <c r="L191" i="125"/>
  <c r="K191" i="125"/>
  <c r="J191" i="125"/>
  <c r="I191" i="125"/>
  <c r="F191" i="125"/>
  <c r="A191" i="125"/>
  <c r="T190" i="125"/>
  <c r="S190" i="125"/>
  <c r="R190" i="125"/>
  <c r="Q190" i="125"/>
  <c r="P190" i="125"/>
  <c r="O190" i="125"/>
  <c r="N190" i="125"/>
  <c r="L190" i="125"/>
  <c r="K190" i="125"/>
  <c r="J190" i="125"/>
  <c r="I190" i="125"/>
  <c r="F190" i="125"/>
  <c r="A190" i="125"/>
  <c r="T189" i="125"/>
  <c r="S189" i="125"/>
  <c r="R189" i="125"/>
  <c r="Q189" i="125"/>
  <c r="P189" i="125"/>
  <c r="O189" i="125"/>
  <c r="N189" i="125"/>
  <c r="L189" i="125"/>
  <c r="K189" i="125"/>
  <c r="J189" i="125"/>
  <c r="I189" i="125"/>
  <c r="F189" i="125"/>
  <c r="A189" i="125"/>
  <c r="T188" i="125"/>
  <c r="S188" i="125"/>
  <c r="R188" i="125"/>
  <c r="Q188" i="125"/>
  <c r="P188" i="125"/>
  <c r="O188" i="125"/>
  <c r="N188" i="125"/>
  <c r="L188" i="125"/>
  <c r="K188" i="125"/>
  <c r="J188" i="125"/>
  <c r="I188" i="125"/>
  <c r="F188" i="125"/>
  <c r="A188" i="125"/>
  <c r="T187" i="125"/>
  <c r="S187" i="125"/>
  <c r="R187" i="125"/>
  <c r="Q187" i="125"/>
  <c r="P187" i="125"/>
  <c r="O187" i="125"/>
  <c r="N187" i="125"/>
  <c r="L187" i="125"/>
  <c r="K187" i="125"/>
  <c r="J187" i="125"/>
  <c r="I187" i="125"/>
  <c r="F187" i="125"/>
  <c r="A187" i="125"/>
  <c r="T186" i="125"/>
  <c r="S186" i="125"/>
  <c r="R186" i="125"/>
  <c r="Q186" i="125"/>
  <c r="P186" i="125"/>
  <c r="O186" i="125"/>
  <c r="N186" i="125"/>
  <c r="L186" i="125"/>
  <c r="K186" i="125"/>
  <c r="J186" i="125"/>
  <c r="I186" i="125"/>
  <c r="F186" i="125"/>
  <c r="A186" i="125"/>
  <c r="T185" i="125"/>
  <c r="S185" i="125"/>
  <c r="R185" i="125"/>
  <c r="Q185" i="125"/>
  <c r="P185" i="125"/>
  <c r="O185" i="125"/>
  <c r="N185" i="125"/>
  <c r="L185" i="125"/>
  <c r="K185" i="125"/>
  <c r="J185" i="125"/>
  <c r="I185" i="125"/>
  <c r="F185" i="125"/>
  <c r="A185" i="125"/>
  <c r="T184" i="125"/>
  <c r="S184" i="125"/>
  <c r="R184" i="125"/>
  <c r="Q184" i="125"/>
  <c r="P184" i="125"/>
  <c r="O184" i="125"/>
  <c r="N184" i="125"/>
  <c r="L184" i="125"/>
  <c r="K184" i="125"/>
  <c r="J184" i="125"/>
  <c r="I184" i="125"/>
  <c r="F184" i="125"/>
  <c r="A184" i="125"/>
  <c r="T183" i="125"/>
  <c r="S183" i="125"/>
  <c r="R183" i="125"/>
  <c r="Q183" i="125"/>
  <c r="P183" i="125"/>
  <c r="O183" i="125"/>
  <c r="N183" i="125"/>
  <c r="L183" i="125"/>
  <c r="K183" i="125"/>
  <c r="J183" i="125"/>
  <c r="I183" i="125"/>
  <c r="F183" i="125"/>
  <c r="A183" i="125"/>
  <c r="T182" i="125"/>
  <c r="S182" i="125"/>
  <c r="R182" i="125"/>
  <c r="Q182" i="125"/>
  <c r="P182" i="125"/>
  <c r="O182" i="125"/>
  <c r="N182" i="125"/>
  <c r="L182" i="125"/>
  <c r="K182" i="125"/>
  <c r="J182" i="125"/>
  <c r="I182" i="125"/>
  <c r="F182" i="125"/>
  <c r="A182" i="125"/>
  <c r="T181" i="125"/>
  <c r="S181" i="125"/>
  <c r="R181" i="125"/>
  <c r="Q181" i="125"/>
  <c r="P181" i="125"/>
  <c r="O181" i="125"/>
  <c r="N181" i="125"/>
  <c r="L181" i="125"/>
  <c r="K181" i="125"/>
  <c r="J181" i="125"/>
  <c r="I181" i="125"/>
  <c r="F181" i="125"/>
  <c r="A181" i="125"/>
  <c r="T180" i="125"/>
  <c r="S180" i="125"/>
  <c r="R180" i="125"/>
  <c r="Q180" i="125"/>
  <c r="P180" i="125"/>
  <c r="O180" i="125"/>
  <c r="N180" i="125"/>
  <c r="L180" i="125"/>
  <c r="K180" i="125"/>
  <c r="J180" i="125"/>
  <c r="I180" i="125"/>
  <c r="F180" i="125"/>
  <c r="A180" i="125"/>
  <c r="T179" i="125"/>
  <c r="S179" i="125"/>
  <c r="R179" i="125"/>
  <c r="Q179" i="125"/>
  <c r="P179" i="125"/>
  <c r="O179" i="125"/>
  <c r="N179" i="125"/>
  <c r="L179" i="125"/>
  <c r="K179" i="125"/>
  <c r="J179" i="125"/>
  <c r="I179" i="125"/>
  <c r="F179" i="125"/>
  <c r="A179" i="125"/>
  <c r="T178" i="125"/>
  <c r="S178" i="125"/>
  <c r="R178" i="125"/>
  <c r="Q178" i="125"/>
  <c r="P178" i="125"/>
  <c r="O178" i="125"/>
  <c r="N178" i="125"/>
  <c r="L178" i="125"/>
  <c r="K178" i="125"/>
  <c r="J178" i="125"/>
  <c r="I178" i="125"/>
  <c r="F178" i="125"/>
  <c r="A178" i="125"/>
  <c r="T177" i="125"/>
  <c r="S177" i="125"/>
  <c r="R177" i="125"/>
  <c r="Q177" i="125"/>
  <c r="P177" i="125"/>
  <c r="O177" i="125"/>
  <c r="N177" i="125"/>
  <c r="L177" i="125"/>
  <c r="K177" i="125"/>
  <c r="J177" i="125"/>
  <c r="I177" i="125"/>
  <c r="F177" i="125"/>
  <c r="A177" i="125"/>
  <c r="T176" i="125"/>
  <c r="S176" i="125"/>
  <c r="R176" i="125"/>
  <c r="Q176" i="125"/>
  <c r="P176" i="125"/>
  <c r="O176" i="125"/>
  <c r="N176" i="125"/>
  <c r="L176" i="125"/>
  <c r="K176" i="125"/>
  <c r="J176" i="125"/>
  <c r="I176" i="125"/>
  <c r="F176" i="125"/>
  <c r="A176" i="125"/>
  <c r="T175" i="125"/>
  <c r="S175" i="125"/>
  <c r="R175" i="125"/>
  <c r="Q175" i="125"/>
  <c r="P175" i="125"/>
  <c r="O175" i="125"/>
  <c r="N175" i="125"/>
  <c r="L175" i="125"/>
  <c r="K175" i="125"/>
  <c r="J175" i="125"/>
  <c r="I175" i="125"/>
  <c r="F175" i="125"/>
  <c r="A175" i="125"/>
  <c r="T174" i="125"/>
  <c r="S174" i="125"/>
  <c r="R174" i="125"/>
  <c r="Q174" i="125"/>
  <c r="P174" i="125"/>
  <c r="O174" i="125"/>
  <c r="N174" i="125"/>
  <c r="L174" i="125"/>
  <c r="K174" i="125"/>
  <c r="J174" i="125"/>
  <c r="I174" i="125"/>
  <c r="F174" i="125"/>
  <c r="A174" i="125"/>
  <c r="T173" i="125"/>
  <c r="S173" i="125"/>
  <c r="R173" i="125"/>
  <c r="Q173" i="125"/>
  <c r="P173" i="125"/>
  <c r="O173" i="125"/>
  <c r="N173" i="125"/>
  <c r="L173" i="125"/>
  <c r="K173" i="125"/>
  <c r="J173" i="125"/>
  <c r="I173" i="125"/>
  <c r="F173" i="125"/>
  <c r="A173" i="125"/>
  <c r="T172" i="125"/>
  <c r="S172" i="125"/>
  <c r="R172" i="125"/>
  <c r="Q172" i="125"/>
  <c r="P172" i="125"/>
  <c r="O172" i="125"/>
  <c r="N172" i="125"/>
  <c r="L172" i="125"/>
  <c r="K172" i="125"/>
  <c r="J172" i="125"/>
  <c r="I172" i="125"/>
  <c r="F172" i="125"/>
  <c r="A172" i="125"/>
  <c r="T171" i="125"/>
  <c r="S171" i="125"/>
  <c r="R171" i="125"/>
  <c r="Q171" i="125"/>
  <c r="P171" i="125"/>
  <c r="O171" i="125"/>
  <c r="N171" i="125"/>
  <c r="L171" i="125"/>
  <c r="K171" i="125"/>
  <c r="J171" i="125"/>
  <c r="I171" i="125"/>
  <c r="F171" i="125"/>
  <c r="A171" i="125"/>
  <c r="T170" i="125"/>
  <c r="S170" i="125"/>
  <c r="R170" i="125"/>
  <c r="Q170" i="125"/>
  <c r="P170" i="125"/>
  <c r="O170" i="125"/>
  <c r="N170" i="125"/>
  <c r="L170" i="125"/>
  <c r="K170" i="125"/>
  <c r="J170" i="125"/>
  <c r="I170" i="125"/>
  <c r="F170" i="125"/>
  <c r="A170" i="125"/>
  <c r="T169" i="125"/>
  <c r="S169" i="125"/>
  <c r="R169" i="125"/>
  <c r="Q169" i="125"/>
  <c r="P169" i="125"/>
  <c r="O169" i="125"/>
  <c r="N169" i="125"/>
  <c r="L169" i="125"/>
  <c r="K169" i="125"/>
  <c r="J169" i="125"/>
  <c r="I169" i="125"/>
  <c r="F169" i="125"/>
  <c r="A169" i="125"/>
  <c r="T168" i="125"/>
  <c r="S168" i="125"/>
  <c r="R168" i="125"/>
  <c r="Q168" i="125"/>
  <c r="P168" i="125"/>
  <c r="O168" i="125"/>
  <c r="N168" i="125"/>
  <c r="L168" i="125"/>
  <c r="K168" i="125"/>
  <c r="J168" i="125"/>
  <c r="I168" i="125"/>
  <c r="F168" i="125"/>
  <c r="A168" i="125"/>
  <c r="T167" i="125"/>
  <c r="S167" i="125"/>
  <c r="R167" i="125"/>
  <c r="Q167" i="125"/>
  <c r="P167" i="125"/>
  <c r="O167" i="125"/>
  <c r="N167" i="125"/>
  <c r="L167" i="125"/>
  <c r="K167" i="125"/>
  <c r="J167" i="125"/>
  <c r="I167" i="125"/>
  <c r="F167" i="125"/>
  <c r="A167" i="125"/>
  <c r="T166" i="125"/>
  <c r="S166" i="125"/>
  <c r="R166" i="125"/>
  <c r="Q166" i="125"/>
  <c r="P166" i="125"/>
  <c r="O166" i="125"/>
  <c r="N166" i="125"/>
  <c r="L166" i="125"/>
  <c r="K166" i="125"/>
  <c r="J166" i="125"/>
  <c r="I166" i="125"/>
  <c r="F166" i="125"/>
  <c r="A166" i="125"/>
  <c r="T165" i="125"/>
  <c r="S165" i="125"/>
  <c r="R165" i="125"/>
  <c r="Q165" i="125"/>
  <c r="P165" i="125"/>
  <c r="O165" i="125"/>
  <c r="N165" i="125"/>
  <c r="L165" i="125"/>
  <c r="K165" i="125"/>
  <c r="J165" i="125"/>
  <c r="I165" i="125"/>
  <c r="F165" i="125"/>
  <c r="A165" i="125"/>
  <c r="T164" i="125"/>
  <c r="S164" i="125"/>
  <c r="R164" i="125"/>
  <c r="Q164" i="125"/>
  <c r="P164" i="125"/>
  <c r="O164" i="125"/>
  <c r="N164" i="125"/>
  <c r="L164" i="125"/>
  <c r="K164" i="125"/>
  <c r="J164" i="125"/>
  <c r="I164" i="125"/>
  <c r="F164" i="125"/>
  <c r="A164" i="125"/>
  <c r="T163" i="125"/>
  <c r="S163" i="125"/>
  <c r="R163" i="125"/>
  <c r="Q163" i="125"/>
  <c r="P163" i="125"/>
  <c r="O163" i="125"/>
  <c r="N163" i="125"/>
  <c r="L163" i="125"/>
  <c r="K163" i="125"/>
  <c r="J163" i="125"/>
  <c r="I163" i="125"/>
  <c r="F163" i="125"/>
  <c r="A163" i="125"/>
  <c r="T162" i="125"/>
  <c r="S162" i="125"/>
  <c r="R162" i="125"/>
  <c r="Q162" i="125"/>
  <c r="P162" i="125"/>
  <c r="O162" i="125"/>
  <c r="N162" i="125"/>
  <c r="L162" i="125"/>
  <c r="K162" i="125"/>
  <c r="J162" i="125"/>
  <c r="I162" i="125"/>
  <c r="F162" i="125"/>
  <c r="A162" i="125"/>
  <c r="T161" i="125"/>
  <c r="S161" i="125"/>
  <c r="R161" i="125"/>
  <c r="Q161" i="125"/>
  <c r="P161" i="125"/>
  <c r="O161" i="125"/>
  <c r="N161" i="125"/>
  <c r="L161" i="125"/>
  <c r="K161" i="125"/>
  <c r="J161" i="125"/>
  <c r="I161" i="125"/>
  <c r="F161" i="125"/>
  <c r="A161" i="125"/>
  <c r="T160" i="125"/>
  <c r="S160" i="125"/>
  <c r="R160" i="125"/>
  <c r="Q160" i="125"/>
  <c r="P160" i="125"/>
  <c r="O160" i="125"/>
  <c r="N160" i="125"/>
  <c r="L160" i="125"/>
  <c r="K160" i="125"/>
  <c r="J160" i="125"/>
  <c r="I160" i="125"/>
  <c r="F160" i="125"/>
  <c r="A160" i="125"/>
  <c r="T159" i="125"/>
  <c r="S159" i="125"/>
  <c r="R159" i="125"/>
  <c r="Q159" i="125"/>
  <c r="P159" i="125"/>
  <c r="O159" i="125"/>
  <c r="N159" i="125"/>
  <c r="L159" i="125"/>
  <c r="K159" i="125"/>
  <c r="J159" i="125"/>
  <c r="I159" i="125"/>
  <c r="F159" i="125"/>
  <c r="A159" i="125"/>
  <c r="T158" i="125"/>
  <c r="S158" i="125"/>
  <c r="R158" i="125"/>
  <c r="Q158" i="125"/>
  <c r="P158" i="125"/>
  <c r="O158" i="125"/>
  <c r="N158" i="125"/>
  <c r="L158" i="125"/>
  <c r="K158" i="125"/>
  <c r="J158" i="125"/>
  <c r="I158" i="125"/>
  <c r="F158" i="125"/>
  <c r="A158" i="125"/>
  <c r="T157" i="125"/>
  <c r="S157" i="125"/>
  <c r="R157" i="125"/>
  <c r="Q157" i="125"/>
  <c r="P157" i="125"/>
  <c r="O157" i="125"/>
  <c r="N157" i="125"/>
  <c r="L157" i="125"/>
  <c r="K157" i="125"/>
  <c r="J157" i="125"/>
  <c r="I157" i="125"/>
  <c r="F157" i="125"/>
  <c r="A157" i="125"/>
  <c r="T156" i="125"/>
  <c r="S156" i="125"/>
  <c r="R156" i="125"/>
  <c r="Q156" i="125"/>
  <c r="P156" i="125"/>
  <c r="O156" i="125"/>
  <c r="N156" i="125"/>
  <c r="L156" i="125"/>
  <c r="K156" i="125"/>
  <c r="J156" i="125"/>
  <c r="I156" i="125"/>
  <c r="F156" i="125"/>
  <c r="A156" i="125"/>
  <c r="T155" i="125"/>
  <c r="S155" i="125"/>
  <c r="R155" i="125"/>
  <c r="Q155" i="125"/>
  <c r="P155" i="125"/>
  <c r="O155" i="125"/>
  <c r="N155" i="125"/>
  <c r="L155" i="125"/>
  <c r="K155" i="125"/>
  <c r="J155" i="125"/>
  <c r="I155" i="125"/>
  <c r="F155" i="125"/>
  <c r="A155" i="125"/>
  <c r="T154" i="125"/>
  <c r="S154" i="125"/>
  <c r="R154" i="125"/>
  <c r="Q154" i="125"/>
  <c r="P154" i="125"/>
  <c r="O154" i="125"/>
  <c r="N154" i="125"/>
  <c r="L154" i="125"/>
  <c r="K154" i="125"/>
  <c r="J154" i="125"/>
  <c r="I154" i="125"/>
  <c r="F154" i="125"/>
  <c r="A154" i="125"/>
  <c r="T153" i="125"/>
  <c r="S153" i="125"/>
  <c r="R153" i="125"/>
  <c r="Q153" i="125"/>
  <c r="P153" i="125"/>
  <c r="O153" i="125"/>
  <c r="N153" i="125"/>
  <c r="L153" i="125"/>
  <c r="K153" i="125"/>
  <c r="J153" i="125"/>
  <c r="I153" i="125"/>
  <c r="F153" i="125"/>
  <c r="A153" i="125"/>
  <c r="T152" i="125"/>
  <c r="S152" i="125"/>
  <c r="R152" i="125"/>
  <c r="Q152" i="125"/>
  <c r="P152" i="125"/>
  <c r="O152" i="125"/>
  <c r="N152" i="125"/>
  <c r="L152" i="125"/>
  <c r="K152" i="125"/>
  <c r="J152" i="125"/>
  <c r="I152" i="125"/>
  <c r="F152" i="125"/>
  <c r="A152" i="125"/>
  <c r="T151" i="125"/>
  <c r="S151" i="125"/>
  <c r="R151" i="125"/>
  <c r="Q151" i="125"/>
  <c r="P151" i="125"/>
  <c r="O151" i="125"/>
  <c r="N151" i="125"/>
  <c r="L151" i="125"/>
  <c r="K151" i="125"/>
  <c r="J151" i="125"/>
  <c r="I151" i="125"/>
  <c r="F151" i="125"/>
  <c r="A151" i="125"/>
  <c r="T150" i="125"/>
  <c r="S150" i="125"/>
  <c r="R150" i="125"/>
  <c r="Q150" i="125"/>
  <c r="P150" i="125"/>
  <c r="O150" i="125"/>
  <c r="N150" i="125"/>
  <c r="L150" i="125"/>
  <c r="K150" i="125"/>
  <c r="J150" i="125"/>
  <c r="I150" i="125"/>
  <c r="F150" i="125"/>
  <c r="A150" i="125"/>
  <c r="T149" i="125"/>
  <c r="S149" i="125"/>
  <c r="R149" i="125"/>
  <c r="Q149" i="125"/>
  <c r="P149" i="125"/>
  <c r="O149" i="125"/>
  <c r="N149" i="125"/>
  <c r="L149" i="125"/>
  <c r="K149" i="125"/>
  <c r="J149" i="125"/>
  <c r="I149" i="125"/>
  <c r="F149" i="125"/>
  <c r="A149" i="125"/>
  <c r="T148" i="125"/>
  <c r="S148" i="125"/>
  <c r="R148" i="125"/>
  <c r="Q148" i="125"/>
  <c r="P148" i="125"/>
  <c r="O148" i="125"/>
  <c r="N148" i="125"/>
  <c r="L148" i="125"/>
  <c r="K148" i="125"/>
  <c r="J148" i="125"/>
  <c r="I148" i="125"/>
  <c r="F148" i="125"/>
  <c r="A148" i="125"/>
  <c r="T147" i="125"/>
  <c r="S147" i="125"/>
  <c r="R147" i="125"/>
  <c r="Q147" i="125"/>
  <c r="P147" i="125"/>
  <c r="O147" i="125"/>
  <c r="N147" i="125"/>
  <c r="L147" i="125"/>
  <c r="K147" i="125"/>
  <c r="J147" i="125"/>
  <c r="I147" i="125"/>
  <c r="F147" i="125"/>
  <c r="A147" i="125"/>
  <c r="T146" i="125"/>
  <c r="S146" i="125"/>
  <c r="R146" i="125"/>
  <c r="Q146" i="125"/>
  <c r="P146" i="125"/>
  <c r="O146" i="125"/>
  <c r="N146" i="125"/>
  <c r="L146" i="125"/>
  <c r="K146" i="125"/>
  <c r="J146" i="125"/>
  <c r="I146" i="125"/>
  <c r="F146" i="125"/>
  <c r="A146" i="125"/>
  <c r="T145" i="125"/>
  <c r="S145" i="125"/>
  <c r="R145" i="125"/>
  <c r="Q145" i="125"/>
  <c r="P145" i="125"/>
  <c r="O145" i="125"/>
  <c r="N145" i="125"/>
  <c r="L145" i="125"/>
  <c r="K145" i="125"/>
  <c r="J145" i="125"/>
  <c r="I145" i="125"/>
  <c r="F145" i="125"/>
  <c r="A145" i="125"/>
  <c r="T144" i="125"/>
  <c r="S144" i="125"/>
  <c r="R144" i="125"/>
  <c r="Q144" i="125"/>
  <c r="P144" i="125"/>
  <c r="O144" i="125"/>
  <c r="N144" i="125"/>
  <c r="L144" i="125"/>
  <c r="K144" i="125"/>
  <c r="J144" i="125"/>
  <c r="I144" i="125"/>
  <c r="F144" i="125"/>
  <c r="A144" i="125"/>
  <c r="T143" i="125"/>
  <c r="S143" i="125"/>
  <c r="R143" i="125"/>
  <c r="Q143" i="125"/>
  <c r="P143" i="125"/>
  <c r="O143" i="125"/>
  <c r="N143" i="125"/>
  <c r="L143" i="125"/>
  <c r="K143" i="125"/>
  <c r="J143" i="125"/>
  <c r="I143" i="125"/>
  <c r="F143" i="125"/>
  <c r="A143" i="125"/>
  <c r="T142" i="125"/>
  <c r="S142" i="125"/>
  <c r="R142" i="125"/>
  <c r="Q142" i="125"/>
  <c r="P142" i="125"/>
  <c r="O142" i="125"/>
  <c r="N142" i="125"/>
  <c r="L142" i="125"/>
  <c r="K142" i="125"/>
  <c r="J142" i="125"/>
  <c r="I142" i="125"/>
  <c r="F142" i="125"/>
  <c r="A142" i="125"/>
  <c r="T141" i="125"/>
  <c r="S141" i="125"/>
  <c r="R141" i="125"/>
  <c r="Q141" i="125"/>
  <c r="P141" i="125"/>
  <c r="O141" i="125"/>
  <c r="N141" i="125"/>
  <c r="L141" i="125"/>
  <c r="K141" i="125"/>
  <c r="J141" i="125"/>
  <c r="I141" i="125"/>
  <c r="F141" i="125"/>
  <c r="A141" i="125"/>
  <c r="T140" i="125"/>
  <c r="S140" i="125"/>
  <c r="R140" i="125"/>
  <c r="Q140" i="125"/>
  <c r="P140" i="125"/>
  <c r="O140" i="125"/>
  <c r="N140" i="125"/>
  <c r="L140" i="125"/>
  <c r="K140" i="125"/>
  <c r="J140" i="125"/>
  <c r="I140" i="125"/>
  <c r="F140" i="125"/>
  <c r="A140" i="125"/>
  <c r="T139" i="125"/>
  <c r="S139" i="125"/>
  <c r="R139" i="125"/>
  <c r="Q139" i="125"/>
  <c r="P139" i="125"/>
  <c r="O139" i="125"/>
  <c r="N139" i="125"/>
  <c r="L139" i="125"/>
  <c r="K139" i="125"/>
  <c r="J139" i="125"/>
  <c r="I139" i="125"/>
  <c r="F139" i="125"/>
  <c r="A139" i="125"/>
  <c r="T138" i="125"/>
  <c r="S138" i="125"/>
  <c r="R138" i="125"/>
  <c r="Q138" i="125"/>
  <c r="P138" i="125"/>
  <c r="O138" i="125"/>
  <c r="N138" i="125"/>
  <c r="L138" i="125"/>
  <c r="K138" i="125"/>
  <c r="J138" i="125"/>
  <c r="I138" i="125"/>
  <c r="F138" i="125"/>
  <c r="A138" i="125"/>
  <c r="T137" i="125"/>
  <c r="S137" i="125"/>
  <c r="R137" i="125"/>
  <c r="Q137" i="125"/>
  <c r="P137" i="125"/>
  <c r="O137" i="125"/>
  <c r="N137" i="125"/>
  <c r="L137" i="125"/>
  <c r="K137" i="125"/>
  <c r="J137" i="125"/>
  <c r="I137" i="125"/>
  <c r="F137" i="125"/>
  <c r="A137" i="125"/>
  <c r="T136" i="125"/>
  <c r="S136" i="125"/>
  <c r="R136" i="125"/>
  <c r="Q136" i="125"/>
  <c r="P136" i="125"/>
  <c r="O136" i="125"/>
  <c r="N136" i="125"/>
  <c r="L136" i="125"/>
  <c r="K136" i="125"/>
  <c r="J136" i="125"/>
  <c r="I136" i="125"/>
  <c r="F136" i="125"/>
  <c r="A136" i="125"/>
  <c r="T135" i="125"/>
  <c r="S135" i="125"/>
  <c r="R135" i="125"/>
  <c r="Q135" i="125"/>
  <c r="P135" i="125"/>
  <c r="O135" i="125"/>
  <c r="N135" i="125"/>
  <c r="L135" i="125"/>
  <c r="K135" i="125"/>
  <c r="J135" i="125"/>
  <c r="I135" i="125"/>
  <c r="F135" i="125"/>
  <c r="A135" i="125"/>
  <c r="T134" i="125"/>
  <c r="S134" i="125"/>
  <c r="R134" i="125"/>
  <c r="Q134" i="125"/>
  <c r="P134" i="125"/>
  <c r="O134" i="125"/>
  <c r="N134" i="125"/>
  <c r="L134" i="125"/>
  <c r="K134" i="125"/>
  <c r="J134" i="125"/>
  <c r="I134" i="125"/>
  <c r="F134" i="125"/>
  <c r="A134" i="125"/>
  <c r="T133" i="125"/>
  <c r="S133" i="125"/>
  <c r="R133" i="125"/>
  <c r="Q133" i="125"/>
  <c r="P133" i="125"/>
  <c r="O133" i="125"/>
  <c r="N133" i="125"/>
  <c r="L133" i="125"/>
  <c r="K133" i="125"/>
  <c r="J133" i="125"/>
  <c r="I133" i="125"/>
  <c r="F133" i="125"/>
  <c r="A133" i="125"/>
  <c r="T132" i="125"/>
  <c r="S132" i="125"/>
  <c r="R132" i="125"/>
  <c r="Q132" i="125"/>
  <c r="P132" i="125"/>
  <c r="O132" i="125"/>
  <c r="N132" i="125"/>
  <c r="L132" i="125"/>
  <c r="K132" i="125"/>
  <c r="J132" i="125"/>
  <c r="I132" i="125"/>
  <c r="F132" i="125"/>
  <c r="A132" i="125"/>
  <c r="T131" i="125"/>
  <c r="S131" i="125"/>
  <c r="R131" i="125"/>
  <c r="Q131" i="125"/>
  <c r="P131" i="125"/>
  <c r="O131" i="125"/>
  <c r="N131" i="125"/>
  <c r="L131" i="125"/>
  <c r="K131" i="125"/>
  <c r="J131" i="125"/>
  <c r="I131" i="125"/>
  <c r="F131" i="125"/>
  <c r="A131" i="125"/>
  <c r="T130" i="125"/>
  <c r="S130" i="125"/>
  <c r="R130" i="125"/>
  <c r="Q130" i="125"/>
  <c r="P130" i="125"/>
  <c r="O130" i="125"/>
  <c r="N130" i="125"/>
  <c r="L130" i="125"/>
  <c r="K130" i="125"/>
  <c r="J130" i="125"/>
  <c r="I130" i="125"/>
  <c r="F130" i="125"/>
  <c r="A130" i="125"/>
  <c r="T129" i="125"/>
  <c r="S129" i="125"/>
  <c r="R129" i="125"/>
  <c r="Q129" i="125"/>
  <c r="P129" i="125"/>
  <c r="O129" i="125"/>
  <c r="N129" i="125"/>
  <c r="L129" i="125"/>
  <c r="K129" i="125"/>
  <c r="J129" i="125"/>
  <c r="I129" i="125"/>
  <c r="F129" i="125"/>
  <c r="A129" i="125"/>
  <c r="T128" i="125"/>
  <c r="S128" i="125"/>
  <c r="R128" i="125"/>
  <c r="Q128" i="125"/>
  <c r="P128" i="125"/>
  <c r="O128" i="125"/>
  <c r="N128" i="125"/>
  <c r="L128" i="125"/>
  <c r="K128" i="125"/>
  <c r="J128" i="125"/>
  <c r="I128" i="125"/>
  <c r="F128" i="125"/>
  <c r="A128" i="125"/>
  <c r="T127" i="125"/>
  <c r="S127" i="125"/>
  <c r="R127" i="125"/>
  <c r="Q127" i="125"/>
  <c r="P127" i="125"/>
  <c r="O127" i="125"/>
  <c r="N127" i="125"/>
  <c r="L127" i="125"/>
  <c r="K127" i="125"/>
  <c r="J127" i="125"/>
  <c r="I127" i="125"/>
  <c r="F127" i="125"/>
  <c r="A127" i="125"/>
  <c r="T126" i="125"/>
  <c r="S126" i="125"/>
  <c r="R126" i="125"/>
  <c r="Q126" i="125"/>
  <c r="P126" i="125"/>
  <c r="O126" i="125"/>
  <c r="N126" i="125"/>
  <c r="L126" i="125"/>
  <c r="K126" i="125"/>
  <c r="J126" i="125"/>
  <c r="I126" i="125"/>
  <c r="F126" i="125"/>
  <c r="A126" i="125"/>
  <c r="T125" i="125"/>
  <c r="S125" i="125"/>
  <c r="R125" i="125"/>
  <c r="Q125" i="125"/>
  <c r="P125" i="125"/>
  <c r="O125" i="125"/>
  <c r="N125" i="125"/>
  <c r="L125" i="125"/>
  <c r="K125" i="125"/>
  <c r="J125" i="125"/>
  <c r="I125" i="125"/>
  <c r="F125" i="125"/>
  <c r="A125" i="125"/>
  <c r="T124" i="125"/>
  <c r="S124" i="125"/>
  <c r="R124" i="125"/>
  <c r="Q124" i="125"/>
  <c r="P124" i="125"/>
  <c r="O124" i="125"/>
  <c r="N124" i="125"/>
  <c r="L124" i="125"/>
  <c r="K124" i="125"/>
  <c r="J124" i="125"/>
  <c r="I124" i="125"/>
  <c r="F124" i="125"/>
  <c r="A124" i="125"/>
  <c r="T123" i="125"/>
  <c r="S123" i="125"/>
  <c r="R123" i="125"/>
  <c r="Q123" i="125"/>
  <c r="P123" i="125"/>
  <c r="O123" i="125"/>
  <c r="N123" i="125"/>
  <c r="L123" i="125"/>
  <c r="K123" i="125"/>
  <c r="J123" i="125"/>
  <c r="I123" i="125"/>
  <c r="F123" i="125"/>
  <c r="A123" i="125"/>
  <c r="T122" i="125"/>
  <c r="S122" i="125"/>
  <c r="R122" i="125"/>
  <c r="Q122" i="125"/>
  <c r="P122" i="125"/>
  <c r="O122" i="125"/>
  <c r="N122" i="125"/>
  <c r="L122" i="125"/>
  <c r="K122" i="125"/>
  <c r="J122" i="125"/>
  <c r="I122" i="125"/>
  <c r="F122" i="125"/>
  <c r="A122" i="125"/>
  <c r="T121" i="125"/>
  <c r="S121" i="125"/>
  <c r="R121" i="125"/>
  <c r="Q121" i="125"/>
  <c r="P121" i="125"/>
  <c r="O121" i="125"/>
  <c r="N121" i="125"/>
  <c r="L121" i="125"/>
  <c r="K121" i="125"/>
  <c r="J121" i="125"/>
  <c r="I121" i="125"/>
  <c r="F121" i="125"/>
  <c r="A121" i="125"/>
  <c r="T120" i="125"/>
  <c r="S120" i="125"/>
  <c r="R120" i="125"/>
  <c r="Q120" i="125"/>
  <c r="P120" i="125"/>
  <c r="O120" i="125"/>
  <c r="N120" i="125"/>
  <c r="L120" i="125"/>
  <c r="K120" i="125"/>
  <c r="J120" i="125"/>
  <c r="I120" i="125"/>
  <c r="F120" i="125"/>
  <c r="A120" i="125"/>
  <c r="T119" i="125"/>
  <c r="S119" i="125"/>
  <c r="R119" i="125"/>
  <c r="Q119" i="125"/>
  <c r="P119" i="125"/>
  <c r="O119" i="125"/>
  <c r="N119" i="125"/>
  <c r="L119" i="125"/>
  <c r="K119" i="125"/>
  <c r="J119" i="125"/>
  <c r="I119" i="125"/>
  <c r="F119" i="125"/>
  <c r="A119" i="125"/>
  <c r="T118" i="125"/>
  <c r="S118" i="125"/>
  <c r="R118" i="125"/>
  <c r="Q118" i="125"/>
  <c r="P118" i="125"/>
  <c r="O118" i="125"/>
  <c r="N118" i="125"/>
  <c r="L118" i="125"/>
  <c r="K118" i="125"/>
  <c r="J118" i="125"/>
  <c r="I118" i="125"/>
  <c r="F118" i="125"/>
  <c r="A118" i="125"/>
  <c r="T117" i="125"/>
  <c r="S117" i="125"/>
  <c r="R117" i="125"/>
  <c r="Q117" i="125"/>
  <c r="P117" i="125"/>
  <c r="O117" i="125"/>
  <c r="N117" i="125"/>
  <c r="L117" i="125"/>
  <c r="K117" i="125"/>
  <c r="J117" i="125"/>
  <c r="I117" i="125"/>
  <c r="F117" i="125"/>
  <c r="A117" i="125"/>
  <c r="T116" i="125"/>
  <c r="S116" i="125"/>
  <c r="R116" i="125"/>
  <c r="Q116" i="125"/>
  <c r="P116" i="125"/>
  <c r="O116" i="125"/>
  <c r="N116" i="125"/>
  <c r="L116" i="125"/>
  <c r="K116" i="125"/>
  <c r="J116" i="125"/>
  <c r="I116" i="125"/>
  <c r="F116" i="125"/>
  <c r="A116" i="125"/>
  <c r="T115" i="125"/>
  <c r="S115" i="125"/>
  <c r="R115" i="125"/>
  <c r="Q115" i="125"/>
  <c r="P115" i="125"/>
  <c r="O115" i="125"/>
  <c r="N115" i="125"/>
  <c r="L115" i="125"/>
  <c r="K115" i="125"/>
  <c r="J115" i="125"/>
  <c r="I115" i="125"/>
  <c r="F115" i="125"/>
  <c r="A115" i="125"/>
  <c r="T114" i="125"/>
  <c r="S114" i="125"/>
  <c r="R114" i="125"/>
  <c r="Q114" i="125"/>
  <c r="P114" i="125"/>
  <c r="O114" i="125"/>
  <c r="N114" i="125"/>
  <c r="L114" i="125"/>
  <c r="K114" i="125"/>
  <c r="J114" i="125"/>
  <c r="I114" i="125"/>
  <c r="F114" i="125"/>
  <c r="A114" i="125"/>
  <c r="T113" i="125"/>
  <c r="S113" i="125"/>
  <c r="R113" i="125"/>
  <c r="Q113" i="125"/>
  <c r="P113" i="125"/>
  <c r="O113" i="125"/>
  <c r="N113" i="125"/>
  <c r="L113" i="125"/>
  <c r="K113" i="125"/>
  <c r="J113" i="125"/>
  <c r="I113" i="125"/>
  <c r="F113" i="125"/>
  <c r="A113" i="125"/>
  <c r="T112" i="125"/>
  <c r="S112" i="125"/>
  <c r="R112" i="125"/>
  <c r="Q112" i="125"/>
  <c r="P112" i="125"/>
  <c r="O112" i="125"/>
  <c r="N112" i="125"/>
  <c r="L112" i="125"/>
  <c r="K112" i="125"/>
  <c r="J112" i="125"/>
  <c r="I112" i="125"/>
  <c r="F112" i="125"/>
  <c r="A112" i="125"/>
  <c r="T111" i="125"/>
  <c r="S111" i="125"/>
  <c r="R111" i="125"/>
  <c r="Q111" i="125"/>
  <c r="P111" i="125"/>
  <c r="O111" i="125"/>
  <c r="N111" i="125"/>
  <c r="L111" i="125"/>
  <c r="K111" i="125"/>
  <c r="J111" i="125"/>
  <c r="I111" i="125"/>
  <c r="F111" i="125"/>
  <c r="A111" i="125"/>
  <c r="T110" i="125"/>
  <c r="S110" i="125"/>
  <c r="R110" i="125"/>
  <c r="Q110" i="125"/>
  <c r="P110" i="125"/>
  <c r="O110" i="125"/>
  <c r="N110" i="125"/>
  <c r="L110" i="125"/>
  <c r="K110" i="125"/>
  <c r="J110" i="125"/>
  <c r="I110" i="125"/>
  <c r="F110" i="125"/>
  <c r="A110" i="125"/>
  <c r="T109" i="125"/>
  <c r="S109" i="125"/>
  <c r="R109" i="125"/>
  <c r="Q109" i="125"/>
  <c r="P109" i="125"/>
  <c r="O109" i="125"/>
  <c r="N109" i="125"/>
  <c r="L109" i="125"/>
  <c r="K109" i="125"/>
  <c r="J109" i="125"/>
  <c r="I109" i="125"/>
  <c r="F109" i="125"/>
  <c r="A109" i="125"/>
  <c r="T108" i="125"/>
  <c r="S108" i="125"/>
  <c r="R108" i="125"/>
  <c r="Q108" i="125"/>
  <c r="P108" i="125"/>
  <c r="O108" i="125"/>
  <c r="N108" i="125"/>
  <c r="L108" i="125"/>
  <c r="K108" i="125"/>
  <c r="J108" i="125"/>
  <c r="I108" i="125"/>
  <c r="F108" i="125"/>
  <c r="A108" i="125"/>
  <c r="T107" i="125"/>
  <c r="S107" i="125"/>
  <c r="R107" i="125"/>
  <c r="Q107" i="125"/>
  <c r="P107" i="125"/>
  <c r="O107" i="125"/>
  <c r="N107" i="125"/>
  <c r="L107" i="125"/>
  <c r="K107" i="125"/>
  <c r="J107" i="125"/>
  <c r="I107" i="125"/>
  <c r="F107" i="125"/>
  <c r="A107" i="125"/>
  <c r="T106" i="125"/>
  <c r="S106" i="125"/>
  <c r="R106" i="125"/>
  <c r="Q106" i="125"/>
  <c r="P106" i="125"/>
  <c r="O106" i="125"/>
  <c r="N106" i="125"/>
  <c r="L106" i="125"/>
  <c r="K106" i="125"/>
  <c r="J106" i="125"/>
  <c r="I106" i="125"/>
  <c r="F106" i="125"/>
  <c r="A106" i="125"/>
  <c r="T105" i="125"/>
  <c r="S105" i="125"/>
  <c r="R105" i="125"/>
  <c r="Q105" i="125"/>
  <c r="P105" i="125"/>
  <c r="O105" i="125"/>
  <c r="N105" i="125"/>
  <c r="L105" i="125"/>
  <c r="K105" i="125"/>
  <c r="J105" i="125"/>
  <c r="I105" i="125"/>
  <c r="F105" i="125"/>
  <c r="A105" i="125"/>
  <c r="T104" i="125"/>
  <c r="S104" i="125"/>
  <c r="R104" i="125"/>
  <c r="Q104" i="125"/>
  <c r="P104" i="125"/>
  <c r="O104" i="125"/>
  <c r="N104" i="125"/>
  <c r="L104" i="125"/>
  <c r="K104" i="125"/>
  <c r="J104" i="125"/>
  <c r="I104" i="125"/>
  <c r="F104" i="125"/>
  <c r="A104" i="125"/>
  <c r="T103" i="125"/>
  <c r="S103" i="125"/>
  <c r="R103" i="125"/>
  <c r="Q103" i="125"/>
  <c r="P103" i="125"/>
  <c r="O103" i="125"/>
  <c r="N103" i="125"/>
  <c r="L103" i="125"/>
  <c r="K103" i="125"/>
  <c r="J103" i="125"/>
  <c r="I103" i="125"/>
  <c r="F103" i="125"/>
  <c r="A103" i="125"/>
  <c r="T102" i="125"/>
  <c r="S102" i="125"/>
  <c r="R102" i="125"/>
  <c r="Q102" i="125"/>
  <c r="P102" i="125"/>
  <c r="O102" i="125"/>
  <c r="N102" i="125"/>
  <c r="L102" i="125"/>
  <c r="K102" i="125"/>
  <c r="J102" i="125"/>
  <c r="I102" i="125"/>
  <c r="F102" i="125"/>
  <c r="A102" i="125"/>
  <c r="T101" i="125"/>
  <c r="S101" i="125"/>
  <c r="R101" i="125"/>
  <c r="Q101" i="125"/>
  <c r="P101" i="125"/>
  <c r="O101" i="125"/>
  <c r="N101" i="125"/>
  <c r="L101" i="125"/>
  <c r="K101" i="125"/>
  <c r="J101" i="125"/>
  <c r="I101" i="125"/>
  <c r="F101" i="125"/>
  <c r="A101" i="125"/>
  <c r="T100" i="125"/>
  <c r="S100" i="125"/>
  <c r="R100" i="125"/>
  <c r="Q100" i="125"/>
  <c r="P100" i="125"/>
  <c r="O100" i="125"/>
  <c r="N100" i="125"/>
  <c r="L100" i="125"/>
  <c r="K100" i="125"/>
  <c r="J100" i="125"/>
  <c r="I100" i="125"/>
  <c r="F100" i="125"/>
  <c r="A100" i="125"/>
  <c r="T99" i="125"/>
  <c r="S99" i="125"/>
  <c r="R99" i="125"/>
  <c r="Q99" i="125"/>
  <c r="P99" i="125"/>
  <c r="O99" i="125"/>
  <c r="N99" i="125"/>
  <c r="L99" i="125"/>
  <c r="K99" i="125"/>
  <c r="J99" i="125"/>
  <c r="I99" i="125"/>
  <c r="F99" i="125"/>
  <c r="A99" i="125"/>
  <c r="T98" i="125"/>
  <c r="S98" i="125"/>
  <c r="R98" i="125"/>
  <c r="Q98" i="125"/>
  <c r="P98" i="125"/>
  <c r="O98" i="125"/>
  <c r="N98" i="125"/>
  <c r="L98" i="125"/>
  <c r="K98" i="125"/>
  <c r="J98" i="125"/>
  <c r="I98" i="125"/>
  <c r="F98" i="125"/>
  <c r="A98" i="125"/>
  <c r="T97" i="125"/>
  <c r="S97" i="125"/>
  <c r="R97" i="125"/>
  <c r="Q97" i="125"/>
  <c r="P97" i="125"/>
  <c r="O97" i="125"/>
  <c r="N97" i="125"/>
  <c r="L97" i="125"/>
  <c r="K97" i="125"/>
  <c r="J97" i="125"/>
  <c r="I97" i="125"/>
  <c r="F97" i="125"/>
  <c r="A97" i="125"/>
  <c r="T96" i="125"/>
  <c r="S96" i="125"/>
  <c r="R96" i="125"/>
  <c r="Q96" i="125"/>
  <c r="P96" i="125"/>
  <c r="O96" i="125"/>
  <c r="N96" i="125"/>
  <c r="L96" i="125"/>
  <c r="K96" i="125"/>
  <c r="J96" i="125"/>
  <c r="I96" i="125"/>
  <c r="F96" i="125"/>
  <c r="A96" i="125"/>
  <c r="T95" i="125"/>
  <c r="S95" i="125"/>
  <c r="R95" i="125"/>
  <c r="Q95" i="125"/>
  <c r="P95" i="125"/>
  <c r="O95" i="125"/>
  <c r="N95" i="125"/>
  <c r="L95" i="125"/>
  <c r="K95" i="125"/>
  <c r="J95" i="125"/>
  <c r="I95" i="125"/>
  <c r="F95" i="125"/>
  <c r="A95" i="125"/>
  <c r="T94" i="125"/>
  <c r="S94" i="125"/>
  <c r="R94" i="125"/>
  <c r="Q94" i="125"/>
  <c r="P94" i="125"/>
  <c r="O94" i="125"/>
  <c r="N94" i="125"/>
  <c r="L94" i="125"/>
  <c r="K94" i="125"/>
  <c r="J94" i="125"/>
  <c r="I94" i="125"/>
  <c r="F94" i="125"/>
  <c r="A94" i="125"/>
  <c r="T93" i="125"/>
  <c r="S93" i="125"/>
  <c r="R93" i="125"/>
  <c r="Q93" i="125"/>
  <c r="P93" i="125"/>
  <c r="O93" i="125"/>
  <c r="N93" i="125"/>
  <c r="L93" i="125"/>
  <c r="K93" i="125"/>
  <c r="J93" i="125"/>
  <c r="I93" i="125"/>
  <c r="F93" i="125"/>
  <c r="A93" i="125"/>
  <c r="T92" i="125"/>
  <c r="S92" i="125"/>
  <c r="R92" i="125"/>
  <c r="Q92" i="125"/>
  <c r="P92" i="125"/>
  <c r="O92" i="125"/>
  <c r="N92" i="125"/>
  <c r="L92" i="125"/>
  <c r="K92" i="125"/>
  <c r="J92" i="125"/>
  <c r="I92" i="125"/>
  <c r="F92" i="125"/>
  <c r="A92" i="125"/>
  <c r="T91" i="125"/>
  <c r="S91" i="125"/>
  <c r="R91" i="125"/>
  <c r="Q91" i="125"/>
  <c r="P91" i="125"/>
  <c r="O91" i="125"/>
  <c r="N91" i="125"/>
  <c r="L91" i="125"/>
  <c r="K91" i="125"/>
  <c r="J91" i="125"/>
  <c r="I91" i="125"/>
  <c r="F91" i="125"/>
  <c r="A91" i="125"/>
  <c r="T90" i="125"/>
  <c r="S90" i="125"/>
  <c r="R90" i="125"/>
  <c r="Q90" i="125"/>
  <c r="P90" i="125"/>
  <c r="O90" i="125"/>
  <c r="N90" i="125"/>
  <c r="L90" i="125"/>
  <c r="K90" i="125"/>
  <c r="J90" i="125"/>
  <c r="I90" i="125"/>
  <c r="F90" i="125"/>
  <c r="A90" i="125"/>
  <c r="T89" i="125"/>
  <c r="S89" i="125"/>
  <c r="R89" i="125"/>
  <c r="Q89" i="125"/>
  <c r="P89" i="125"/>
  <c r="O89" i="125"/>
  <c r="N89" i="125"/>
  <c r="L89" i="125"/>
  <c r="K89" i="125"/>
  <c r="J89" i="125"/>
  <c r="I89" i="125"/>
  <c r="F89" i="125"/>
  <c r="A89" i="125"/>
  <c r="T88" i="125"/>
  <c r="S88" i="125"/>
  <c r="R88" i="125"/>
  <c r="Q88" i="125"/>
  <c r="P88" i="125"/>
  <c r="O88" i="125"/>
  <c r="N88" i="125"/>
  <c r="L88" i="125"/>
  <c r="K88" i="125"/>
  <c r="J88" i="125"/>
  <c r="I88" i="125"/>
  <c r="F88" i="125"/>
  <c r="A88" i="125"/>
  <c r="T87" i="125"/>
  <c r="S87" i="125"/>
  <c r="R87" i="125"/>
  <c r="Q87" i="125"/>
  <c r="P87" i="125"/>
  <c r="O87" i="125"/>
  <c r="N87" i="125"/>
  <c r="L87" i="125"/>
  <c r="K87" i="125"/>
  <c r="J87" i="125"/>
  <c r="I87" i="125"/>
  <c r="F87" i="125"/>
  <c r="A87" i="125"/>
  <c r="T86" i="125"/>
  <c r="S86" i="125"/>
  <c r="R86" i="125"/>
  <c r="Q86" i="125"/>
  <c r="P86" i="125"/>
  <c r="O86" i="125"/>
  <c r="N86" i="125"/>
  <c r="L86" i="125"/>
  <c r="K86" i="125"/>
  <c r="J86" i="125"/>
  <c r="I86" i="125"/>
  <c r="F86" i="125"/>
  <c r="A86" i="125"/>
  <c r="T85" i="125"/>
  <c r="S85" i="125"/>
  <c r="R85" i="125"/>
  <c r="Q85" i="125"/>
  <c r="P85" i="125"/>
  <c r="O85" i="125"/>
  <c r="N85" i="125"/>
  <c r="L85" i="125"/>
  <c r="K85" i="125"/>
  <c r="J85" i="125"/>
  <c r="I85" i="125"/>
  <c r="F85" i="125"/>
  <c r="A85" i="125"/>
  <c r="T84" i="125"/>
  <c r="S84" i="125"/>
  <c r="R84" i="125"/>
  <c r="Q84" i="125"/>
  <c r="P84" i="125"/>
  <c r="O84" i="125"/>
  <c r="N84" i="125"/>
  <c r="L84" i="125"/>
  <c r="K84" i="125"/>
  <c r="J84" i="125"/>
  <c r="I84" i="125"/>
  <c r="F84" i="125"/>
  <c r="A84" i="125"/>
  <c r="T83" i="125"/>
  <c r="S83" i="125"/>
  <c r="R83" i="125"/>
  <c r="Q83" i="125"/>
  <c r="P83" i="125"/>
  <c r="O83" i="125"/>
  <c r="N83" i="125"/>
  <c r="L83" i="125"/>
  <c r="K83" i="125"/>
  <c r="J83" i="125"/>
  <c r="I83" i="125"/>
  <c r="F83" i="125"/>
  <c r="A83" i="125"/>
  <c r="T82" i="125"/>
  <c r="S82" i="125"/>
  <c r="R82" i="125"/>
  <c r="Q82" i="125"/>
  <c r="P82" i="125"/>
  <c r="O82" i="125"/>
  <c r="N82" i="125"/>
  <c r="L82" i="125"/>
  <c r="K82" i="125"/>
  <c r="J82" i="125"/>
  <c r="I82" i="125"/>
  <c r="F82" i="125"/>
  <c r="A82" i="125"/>
  <c r="T81" i="125"/>
  <c r="S81" i="125"/>
  <c r="R81" i="125"/>
  <c r="Q81" i="125"/>
  <c r="P81" i="125"/>
  <c r="O81" i="125"/>
  <c r="N81" i="125"/>
  <c r="L81" i="125"/>
  <c r="K81" i="125"/>
  <c r="J81" i="125"/>
  <c r="I81" i="125"/>
  <c r="F81" i="125"/>
  <c r="A81" i="125"/>
  <c r="T80" i="125"/>
  <c r="S80" i="125"/>
  <c r="R80" i="125"/>
  <c r="Q80" i="125"/>
  <c r="P80" i="125"/>
  <c r="O80" i="125"/>
  <c r="N80" i="125"/>
  <c r="L80" i="125"/>
  <c r="K80" i="125"/>
  <c r="J80" i="125"/>
  <c r="I80" i="125"/>
  <c r="F80" i="125"/>
  <c r="A80" i="125"/>
  <c r="T79" i="125"/>
  <c r="S79" i="125"/>
  <c r="R79" i="125"/>
  <c r="Q79" i="125"/>
  <c r="P79" i="125"/>
  <c r="O79" i="125"/>
  <c r="N79" i="125"/>
  <c r="L79" i="125"/>
  <c r="K79" i="125"/>
  <c r="J79" i="125"/>
  <c r="I79" i="125"/>
  <c r="F79" i="125"/>
  <c r="A79" i="125"/>
  <c r="T78" i="125"/>
  <c r="S78" i="125"/>
  <c r="R78" i="125"/>
  <c r="Q78" i="125"/>
  <c r="P78" i="125"/>
  <c r="O78" i="125"/>
  <c r="N78" i="125"/>
  <c r="L78" i="125"/>
  <c r="K78" i="125"/>
  <c r="J78" i="125"/>
  <c r="I78" i="125"/>
  <c r="F78" i="125"/>
  <c r="A78" i="125"/>
  <c r="T77" i="125"/>
  <c r="S77" i="125"/>
  <c r="R77" i="125"/>
  <c r="Q77" i="125"/>
  <c r="P77" i="125"/>
  <c r="O77" i="125"/>
  <c r="N77" i="125"/>
  <c r="L77" i="125"/>
  <c r="K77" i="125"/>
  <c r="J77" i="125"/>
  <c r="I77" i="125"/>
  <c r="F77" i="125"/>
  <c r="A77" i="125"/>
  <c r="T76" i="125"/>
  <c r="S76" i="125"/>
  <c r="R76" i="125"/>
  <c r="Q76" i="125"/>
  <c r="P76" i="125"/>
  <c r="O76" i="125"/>
  <c r="N76" i="125"/>
  <c r="L76" i="125"/>
  <c r="K76" i="125"/>
  <c r="J76" i="125"/>
  <c r="I76" i="125"/>
  <c r="F76" i="125"/>
  <c r="A76" i="125"/>
  <c r="T75" i="125"/>
  <c r="S75" i="125"/>
  <c r="R75" i="125"/>
  <c r="Q75" i="125"/>
  <c r="P75" i="125"/>
  <c r="O75" i="125"/>
  <c r="N75" i="125"/>
  <c r="L75" i="125"/>
  <c r="K75" i="125"/>
  <c r="J75" i="125"/>
  <c r="I75" i="125"/>
  <c r="F75" i="125"/>
  <c r="A75" i="125"/>
  <c r="T74" i="125"/>
  <c r="S74" i="125"/>
  <c r="R74" i="125"/>
  <c r="Q74" i="125"/>
  <c r="P74" i="125"/>
  <c r="O74" i="125"/>
  <c r="N74" i="125"/>
  <c r="L74" i="125"/>
  <c r="K74" i="125"/>
  <c r="J74" i="125"/>
  <c r="I74" i="125"/>
  <c r="F74" i="125"/>
  <c r="A74" i="125"/>
  <c r="T73" i="125"/>
  <c r="S73" i="125"/>
  <c r="R73" i="125"/>
  <c r="Q73" i="125"/>
  <c r="P73" i="125"/>
  <c r="O73" i="125"/>
  <c r="N73" i="125"/>
  <c r="L73" i="125"/>
  <c r="K73" i="125"/>
  <c r="J73" i="125"/>
  <c r="I73" i="125"/>
  <c r="F73" i="125"/>
  <c r="A73" i="125"/>
  <c r="T72" i="125"/>
  <c r="S72" i="125"/>
  <c r="R72" i="125"/>
  <c r="Q72" i="125"/>
  <c r="P72" i="125"/>
  <c r="O72" i="125"/>
  <c r="N72" i="125"/>
  <c r="L72" i="125"/>
  <c r="K72" i="125"/>
  <c r="J72" i="125"/>
  <c r="I72" i="125"/>
  <c r="F72" i="125"/>
  <c r="A72" i="125"/>
  <c r="T71" i="125"/>
  <c r="S71" i="125"/>
  <c r="R71" i="125"/>
  <c r="Q71" i="125"/>
  <c r="P71" i="125"/>
  <c r="O71" i="125"/>
  <c r="N71" i="125"/>
  <c r="L71" i="125"/>
  <c r="K71" i="125"/>
  <c r="J71" i="125"/>
  <c r="I71" i="125"/>
  <c r="F71" i="125"/>
  <c r="A71" i="125"/>
  <c r="T70" i="125"/>
  <c r="S70" i="125"/>
  <c r="R70" i="125"/>
  <c r="Q70" i="125"/>
  <c r="P70" i="125"/>
  <c r="O70" i="125"/>
  <c r="N70" i="125"/>
  <c r="L70" i="125"/>
  <c r="K70" i="125"/>
  <c r="J70" i="125"/>
  <c r="I70" i="125"/>
  <c r="F70" i="125"/>
  <c r="A70" i="125"/>
  <c r="T69" i="125"/>
  <c r="S69" i="125"/>
  <c r="R69" i="125"/>
  <c r="Q69" i="125"/>
  <c r="P69" i="125"/>
  <c r="O69" i="125"/>
  <c r="N69" i="125"/>
  <c r="L69" i="125"/>
  <c r="K69" i="125"/>
  <c r="J69" i="125"/>
  <c r="I69" i="125"/>
  <c r="F69" i="125"/>
  <c r="A69" i="125"/>
  <c r="T68" i="125"/>
  <c r="S68" i="125"/>
  <c r="R68" i="125"/>
  <c r="Q68" i="125"/>
  <c r="P68" i="125"/>
  <c r="O68" i="125"/>
  <c r="N68" i="125"/>
  <c r="L68" i="125"/>
  <c r="K68" i="125"/>
  <c r="J68" i="125"/>
  <c r="I68" i="125"/>
  <c r="F68" i="125"/>
  <c r="A68" i="125"/>
  <c r="T67" i="125"/>
  <c r="S67" i="125"/>
  <c r="R67" i="125"/>
  <c r="Q67" i="125"/>
  <c r="P67" i="125"/>
  <c r="O67" i="125"/>
  <c r="N67" i="125"/>
  <c r="L67" i="125"/>
  <c r="K67" i="125"/>
  <c r="J67" i="125"/>
  <c r="I67" i="125"/>
  <c r="F67" i="125"/>
  <c r="A67" i="125"/>
  <c r="T66" i="125"/>
  <c r="S66" i="125"/>
  <c r="R66" i="125"/>
  <c r="Q66" i="125"/>
  <c r="P66" i="125"/>
  <c r="O66" i="125"/>
  <c r="N66" i="125"/>
  <c r="L66" i="125"/>
  <c r="K66" i="125"/>
  <c r="J66" i="125"/>
  <c r="I66" i="125"/>
  <c r="F66" i="125"/>
  <c r="A66" i="125"/>
  <c r="T65" i="125"/>
  <c r="S65" i="125"/>
  <c r="R65" i="125"/>
  <c r="Q65" i="125"/>
  <c r="P65" i="125"/>
  <c r="O65" i="125"/>
  <c r="N65" i="125"/>
  <c r="L65" i="125"/>
  <c r="K65" i="125"/>
  <c r="J65" i="125"/>
  <c r="I65" i="125"/>
  <c r="F65" i="125"/>
  <c r="A65" i="125"/>
  <c r="T64" i="125"/>
  <c r="S64" i="125"/>
  <c r="R64" i="125"/>
  <c r="Q64" i="125"/>
  <c r="P64" i="125"/>
  <c r="O64" i="125"/>
  <c r="N64" i="125"/>
  <c r="L64" i="125"/>
  <c r="K64" i="125"/>
  <c r="J64" i="125"/>
  <c r="I64" i="125"/>
  <c r="F64" i="125"/>
  <c r="A64" i="125"/>
  <c r="T63" i="125"/>
  <c r="S63" i="125"/>
  <c r="R63" i="125"/>
  <c r="Q63" i="125"/>
  <c r="P63" i="125"/>
  <c r="O63" i="125"/>
  <c r="N63" i="125"/>
  <c r="L63" i="125"/>
  <c r="K63" i="125"/>
  <c r="J63" i="125"/>
  <c r="I63" i="125"/>
  <c r="F63" i="125"/>
  <c r="A63" i="125"/>
  <c r="T62" i="125"/>
  <c r="S62" i="125"/>
  <c r="R62" i="125"/>
  <c r="Q62" i="125"/>
  <c r="P62" i="125"/>
  <c r="O62" i="125"/>
  <c r="N62" i="125"/>
  <c r="L62" i="125"/>
  <c r="K62" i="125"/>
  <c r="J62" i="125"/>
  <c r="I62" i="125"/>
  <c r="F62" i="125"/>
  <c r="A62" i="125"/>
  <c r="T61" i="125"/>
  <c r="S61" i="125"/>
  <c r="R61" i="125"/>
  <c r="Q61" i="125"/>
  <c r="P61" i="125"/>
  <c r="O61" i="125"/>
  <c r="N61" i="125"/>
  <c r="L61" i="125"/>
  <c r="K61" i="125"/>
  <c r="J61" i="125"/>
  <c r="I61" i="125"/>
  <c r="F61" i="125"/>
  <c r="A61" i="125"/>
  <c r="T60" i="125"/>
  <c r="S60" i="125"/>
  <c r="R60" i="125"/>
  <c r="Q60" i="125"/>
  <c r="P60" i="125"/>
  <c r="O60" i="125"/>
  <c r="N60" i="125"/>
  <c r="L60" i="125"/>
  <c r="K60" i="125"/>
  <c r="J60" i="125"/>
  <c r="I60" i="125"/>
  <c r="F60" i="125"/>
  <c r="A60" i="125"/>
  <c r="T59" i="125"/>
  <c r="S59" i="125"/>
  <c r="R59" i="125"/>
  <c r="Q59" i="125"/>
  <c r="P59" i="125"/>
  <c r="O59" i="125"/>
  <c r="N59" i="125"/>
  <c r="L59" i="125"/>
  <c r="K59" i="125"/>
  <c r="J59" i="125"/>
  <c r="I59" i="125"/>
  <c r="F59" i="125"/>
  <c r="A59" i="125"/>
  <c r="T58" i="125"/>
  <c r="S58" i="125"/>
  <c r="R58" i="125"/>
  <c r="Q58" i="125"/>
  <c r="P58" i="125"/>
  <c r="O58" i="125"/>
  <c r="N58" i="125"/>
  <c r="L58" i="125"/>
  <c r="K58" i="125"/>
  <c r="J58" i="125"/>
  <c r="I58" i="125"/>
  <c r="F58" i="125"/>
  <c r="A58" i="125"/>
  <c r="T57" i="125"/>
  <c r="S57" i="125"/>
  <c r="R57" i="125"/>
  <c r="Q57" i="125"/>
  <c r="P57" i="125"/>
  <c r="O57" i="125"/>
  <c r="N57" i="125"/>
  <c r="L57" i="125"/>
  <c r="K57" i="125"/>
  <c r="J57" i="125"/>
  <c r="I57" i="125"/>
  <c r="F57" i="125"/>
  <c r="A57" i="125"/>
  <c r="T56" i="125"/>
  <c r="S56" i="125"/>
  <c r="R56" i="125"/>
  <c r="Q56" i="125"/>
  <c r="P56" i="125"/>
  <c r="O56" i="125"/>
  <c r="N56" i="125"/>
  <c r="L56" i="125"/>
  <c r="K56" i="125"/>
  <c r="J56" i="125"/>
  <c r="I56" i="125"/>
  <c r="F56" i="125"/>
  <c r="A56" i="125"/>
  <c r="T55" i="125"/>
  <c r="S55" i="125"/>
  <c r="R55" i="125"/>
  <c r="Q55" i="125"/>
  <c r="P55" i="125"/>
  <c r="O55" i="125"/>
  <c r="N55" i="125"/>
  <c r="L55" i="125"/>
  <c r="K55" i="125"/>
  <c r="J55" i="125"/>
  <c r="I55" i="125"/>
  <c r="F55" i="125"/>
  <c r="A55" i="125"/>
  <c r="T54" i="125"/>
  <c r="S54" i="125"/>
  <c r="R54" i="125"/>
  <c r="Q54" i="125"/>
  <c r="P54" i="125"/>
  <c r="O54" i="125"/>
  <c r="N54" i="125"/>
  <c r="L54" i="125"/>
  <c r="K54" i="125"/>
  <c r="J54" i="125"/>
  <c r="I54" i="125"/>
  <c r="F54" i="125"/>
  <c r="A54" i="125"/>
  <c r="T53" i="125"/>
  <c r="S53" i="125"/>
  <c r="R53" i="125"/>
  <c r="Q53" i="125"/>
  <c r="P53" i="125"/>
  <c r="O53" i="125"/>
  <c r="N53" i="125"/>
  <c r="L53" i="125"/>
  <c r="K53" i="125"/>
  <c r="J53" i="125"/>
  <c r="I53" i="125"/>
  <c r="F53" i="125"/>
  <c r="A53" i="125"/>
  <c r="T52" i="125"/>
  <c r="S52" i="125"/>
  <c r="R52" i="125"/>
  <c r="Q52" i="125"/>
  <c r="P52" i="125"/>
  <c r="O52" i="125"/>
  <c r="N52" i="125"/>
  <c r="L52" i="125"/>
  <c r="K52" i="125"/>
  <c r="J52" i="125"/>
  <c r="I52" i="125"/>
  <c r="F52" i="125"/>
  <c r="A52" i="125"/>
  <c r="T51" i="125"/>
  <c r="S51" i="125"/>
  <c r="R51" i="125"/>
  <c r="Q51" i="125"/>
  <c r="P51" i="125"/>
  <c r="O51" i="125"/>
  <c r="N51" i="125"/>
  <c r="L51" i="125"/>
  <c r="K51" i="125"/>
  <c r="J51" i="125"/>
  <c r="I51" i="125"/>
  <c r="F51" i="125"/>
  <c r="A51" i="125"/>
  <c r="T50" i="125"/>
  <c r="S50" i="125"/>
  <c r="R50" i="125"/>
  <c r="Q50" i="125"/>
  <c r="P50" i="125"/>
  <c r="O50" i="125"/>
  <c r="N50" i="125"/>
  <c r="L50" i="125"/>
  <c r="K50" i="125"/>
  <c r="J50" i="125"/>
  <c r="I50" i="125"/>
  <c r="F50" i="125"/>
  <c r="A50" i="125"/>
  <c r="T49" i="125"/>
  <c r="S49" i="125"/>
  <c r="R49" i="125"/>
  <c r="Q49" i="125"/>
  <c r="P49" i="125"/>
  <c r="O49" i="125"/>
  <c r="N49" i="125"/>
  <c r="L49" i="125"/>
  <c r="K49" i="125"/>
  <c r="J49" i="125"/>
  <c r="I49" i="125"/>
  <c r="F49" i="125"/>
  <c r="A49" i="125"/>
  <c r="T48" i="125"/>
  <c r="S48" i="125"/>
  <c r="R48" i="125"/>
  <c r="Q48" i="125"/>
  <c r="P48" i="125"/>
  <c r="O48" i="125"/>
  <c r="N48" i="125"/>
  <c r="L48" i="125"/>
  <c r="K48" i="125"/>
  <c r="J48" i="125"/>
  <c r="I48" i="125"/>
  <c r="F48" i="125"/>
  <c r="A48" i="125"/>
  <c r="T47" i="125"/>
  <c r="S47" i="125"/>
  <c r="R47" i="125"/>
  <c r="Q47" i="125"/>
  <c r="P47" i="125"/>
  <c r="O47" i="125"/>
  <c r="N47" i="125"/>
  <c r="L47" i="125"/>
  <c r="K47" i="125"/>
  <c r="J47" i="125"/>
  <c r="I47" i="125"/>
  <c r="F47" i="125"/>
  <c r="A47" i="125"/>
  <c r="T46" i="125"/>
  <c r="S46" i="125"/>
  <c r="R46" i="125"/>
  <c r="Q46" i="125"/>
  <c r="P46" i="125"/>
  <c r="O46" i="125"/>
  <c r="N46" i="125"/>
  <c r="L46" i="125"/>
  <c r="K46" i="125"/>
  <c r="J46" i="125"/>
  <c r="I46" i="125"/>
  <c r="F46" i="125"/>
  <c r="A46" i="125"/>
  <c r="T45" i="125"/>
  <c r="S45" i="125"/>
  <c r="R45" i="125"/>
  <c r="Q45" i="125"/>
  <c r="P45" i="125"/>
  <c r="O45" i="125"/>
  <c r="N45" i="125"/>
  <c r="L45" i="125"/>
  <c r="K45" i="125"/>
  <c r="J45" i="125"/>
  <c r="I45" i="125"/>
  <c r="F45" i="125"/>
  <c r="A45" i="125"/>
  <c r="T44" i="125"/>
  <c r="S44" i="125"/>
  <c r="R44" i="125"/>
  <c r="Q44" i="125"/>
  <c r="P44" i="125"/>
  <c r="O44" i="125"/>
  <c r="N44" i="125"/>
  <c r="L44" i="125"/>
  <c r="K44" i="125"/>
  <c r="J44" i="125"/>
  <c r="I44" i="125"/>
  <c r="F44" i="125"/>
  <c r="A44" i="125"/>
  <c r="T43" i="125"/>
  <c r="S43" i="125"/>
  <c r="R43" i="125"/>
  <c r="Q43" i="125"/>
  <c r="P43" i="125"/>
  <c r="O43" i="125"/>
  <c r="N43" i="125"/>
  <c r="L43" i="125"/>
  <c r="K43" i="125"/>
  <c r="J43" i="125"/>
  <c r="I43" i="125"/>
  <c r="F43" i="125"/>
  <c r="A43" i="125"/>
  <c r="T42" i="125"/>
  <c r="S42" i="125"/>
  <c r="R42" i="125"/>
  <c r="Q42" i="125"/>
  <c r="P42" i="125"/>
  <c r="O42" i="125"/>
  <c r="N42" i="125"/>
  <c r="L42" i="125"/>
  <c r="K42" i="125"/>
  <c r="J42" i="125"/>
  <c r="I42" i="125"/>
  <c r="F42" i="125"/>
  <c r="A42" i="125"/>
  <c r="T41" i="125"/>
  <c r="S41" i="125"/>
  <c r="R41" i="125"/>
  <c r="Q41" i="125"/>
  <c r="P41" i="125"/>
  <c r="O41" i="125"/>
  <c r="N41" i="125"/>
  <c r="L41" i="125"/>
  <c r="K41" i="125"/>
  <c r="J41" i="125"/>
  <c r="I41" i="125"/>
  <c r="F41" i="125"/>
  <c r="A41" i="125"/>
  <c r="T40" i="125"/>
  <c r="S40" i="125"/>
  <c r="R40" i="125"/>
  <c r="Q40" i="125"/>
  <c r="P40" i="125"/>
  <c r="O40" i="125"/>
  <c r="N40" i="125"/>
  <c r="L40" i="125"/>
  <c r="K40" i="125"/>
  <c r="J40" i="125"/>
  <c r="I40" i="125"/>
  <c r="F40" i="125"/>
  <c r="A40" i="125"/>
  <c r="T39" i="125"/>
  <c r="S39" i="125"/>
  <c r="R39" i="125"/>
  <c r="Q39" i="125"/>
  <c r="P39" i="125"/>
  <c r="O39" i="125"/>
  <c r="N39" i="125"/>
  <c r="L39" i="125"/>
  <c r="K39" i="125"/>
  <c r="J39" i="125"/>
  <c r="I39" i="125"/>
  <c r="F39" i="125"/>
  <c r="A39" i="125"/>
  <c r="T38" i="125"/>
  <c r="S38" i="125"/>
  <c r="R38" i="125"/>
  <c r="Q38" i="125"/>
  <c r="P38" i="125"/>
  <c r="O38" i="125"/>
  <c r="N38" i="125"/>
  <c r="L38" i="125"/>
  <c r="K38" i="125"/>
  <c r="J38" i="125"/>
  <c r="I38" i="125"/>
  <c r="F38" i="125"/>
  <c r="A38" i="125"/>
  <c r="T37" i="125"/>
  <c r="S37" i="125"/>
  <c r="R37" i="125"/>
  <c r="Q37" i="125"/>
  <c r="P37" i="125"/>
  <c r="O37" i="125"/>
  <c r="N37" i="125"/>
  <c r="L37" i="125"/>
  <c r="K37" i="125"/>
  <c r="J37" i="125"/>
  <c r="I37" i="125"/>
  <c r="F37" i="125"/>
  <c r="A37" i="125"/>
  <c r="T36" i="125"/>
  <c r="S36" i="125"/>
  <c r="R36" i="125"/>
  <c r="Q36" i="125"/>
  <c r="P36" i="125"/>
  <c r="O36" i="125"/>
  <c r="N36" i="125"/>
  <c r="L36" i="125"/>
  <c r="K36" i="125"/>
  <c r="J36" i="125"/>
  <c r="I36" i="125"/>
  <c r="F36" i="125"/>
  <c r="A36" i="125"/>
  <c r="T35" i="125"/>
  <c r="S35" i="125"/>
  <c r="R35" i="125"/>
  <c r="Q35" i="125"/>
  <c r="P35" i="125"/>
  <c r="O35" i="125"/>
  <c r="N35" i="125"/>
  <c r="L35" i="125"/>
  <c r="K35" i="125"/>
  <c r="J35" i="125"/>
  <c r="I35" i="125"/>
  <c r="F35" i="125"/>
  <c r="A35" i="125"/>
  <c r="T34" i="125"/>
  <c r="S34" i="125"/>
  <c r="R34" i="125"/>
  <c r="Q34" i="125"/>
  <c r="P34" i="125"/>
  <c r="O34" i="125"/>
  <c r="N34" i="125"/>
  <c r="L34" i="125"/>
  <c r="K34" i="125"/>
  <c r="J34" i="125"/>
  <c r="I34" i="125"/>
  <c r="F34" i="125"/>
  <c r="A34" i="125"/>
  <c r="T33" i="125"/>
  <c r="S33" i="125"/>
  <c r="R33" i="125"/>
  <c r="Q33" i="125"/>
  <c r="P33" i="125"/>
  <c r="O33" i="125"/>
  <c r="N33" i="125"/>
  <c r="L33" i="125"/>
  <c r="K33" i="125"/>
  <c r="J33" i="125"/>
  <c r="I33" i="125"/>
  <c r="F33" i="125"/>
  <c r="A33" i="125"/>
  <c r="T32" i="125"/>
  <c r="S32" i="125"/>
  <c r="R32" i="125"/>
  <c r="Q32" i="125"/>
  <c r="P32" i="125"/>
  <c r="O32" i="125"/>
  <c r="N32" i="125"/>
  <c r="L32" i="125"/>
  <c r="K32" i="125"/>
  <c r="J32" i="125"/>
  <c r="I32" i="125"/>
  <c r="F32" i="125"/>
  <c r="A32" i="125"/>
  <c r="T31" i="125"/>
  <c r="S31" i="125"/>
  <c r="R31" i="125"/>
  <c r="Q31" i="125"/>
  <c r="P31" i="125"/>
  <c r="O31" i="125"/>
  <c r="N31" i="125"/>
  <c r="L31" i="125"/>
  <c r="K31" i="125"/>
  <c r="J31" i="125"/>
  <c r="I31" i="125"/>
  <c r="F31" i="125"/>
  <c r="A31" i="125"/>
  <c r="T30" i="125"/>
  <c r="S30" i="125"/>
  <c r="R30" i="125"/>
  <c r="Q30" i="125"/>
  <c r="P30" i="125"/>
  <c r="O30" i="125"/>
  <c r="N30" i="125"/>
  <c r="L30" i="125"/>
  <c r="K30" i="125"/>
  <c r="J30" i="125"/>
  <c r="I30" i="125"/>
  <c r="F30" i="125"/>
  <c r="A30" i="125"/>
  <c r="T29" i="125"/>
  <c r="S29" i="125"/>
  <c r="R29" i="125"/>
  <c r="Q29" i="125"/>
  <c r="P29" i="125"/>
  <c r="O29" i="125"/>
  <c r="N29" i="125"/>
  <c r="L29" i="125"/>
  <c r="K29" i="125"/>
  <c r="J29" i="125"/>
  <c r="I29" i="125"/>
  <c r="F29" i="125"/>
  <c r="A29" i="125"/>
  <c r="T28" i="125"/>
  <c r="S28" i="125"/>
  <c r="R28" i="125"/>
  <c r="Q28" i="125"/>
  <c r="P28" i="125"/>
  <c r="O28" i="125"/>
  <c r="N28" i="125"/>
  <c r="L28" i="125"/>
  <c r="K28" i="125"/>
  <c r="J28" i="125"/>
  <c r="I28" i="125"/>
  <c r="F28" i="125"/>
  <c r="A28" i="125"/>
  <c r="T27" i="125"/>
  <c r="S27" i="125"/>
  <c r="R27" i="125"/>
  <c r="Q27" i="125"/>
  <c r="P27" i="125"/>
  <c r="O27" i="125"/>
  <c r="N27" i="125"/>
  <c r="L27" i="125"/>
  <c r="K27" i="125"/>
  <c r="J27" i="125"/>
  <c r="I27" i="125"/>
  <c r="F27" i="125"/>
  <c r="A27" i="125"/>
  <c r="T26" i="125"/>
  <c r="S26" i="125"/>
  <c r="R26" i="125"/>
  <c r="Q26" i="125"/>
  <c r="P26" i="125"/>
  <c r="O26" i="125"/>
  <c r="N26" i="125"/>
  <c r="L26" i="125"/>
  <c r="K26" i="125"/>
  <c r="J26" i="125"/>
  <c r="I26" i="125"/>
  <c r="F26" i="125"/>
  <c r="A26" i="125"/>
  <c r="T25" i="125"/>
  <c r="S25" i="125"/>
  <c r="R25" i="125"/>
  <c r="Q25" i="125"/>
  <c r="P25" i="125"/>
  <c r="O25" i="125"/>
  <c r="N25" i="125"/>
  <c r="L25" i="125"/>
  <c r="K25" i="125"/>
  <c r="J25" i="125"/>
  <c r="I25" i="125"/>
  <c r="F25" i="125"/>
  <c r="A25" i="125"/>
  <c r="T24" i="125"/>
  <c r="S24" i="125"/>
  <c r="R24" i="125"/>
  <c r="Q24" i="125"/>
  <c r="P24" i="125"/>
  <c r="O24" i="125"/>
  <c r="N24" i="125"/>
  <c r="L24" i="125"/>
  <c r="K24" i="125"/>
  <c r="J24" i="125"/>
  <c r="I24" i="125"/>
  <c r="F24" i="125"/>
  <c r="A24" i="125"/>
  <c r="T23" i="125"/>
  <c r="S23" i="125"/>
  <c r="R23" i="125"/>
  <c r="Q23" i="125"/>
  <c r="P23" i="125"/>
  <c r="O23" i="125"/>
  <c r="N23" i="125"/>
  <c r="L23" i="125"/>
  <c r="K23" i="125"/>
  <c r="J23" i="125"/>
  <c r="I23" i="125"/>
  <c r="F23" i="125"/>
  <c r="A23" i="125"/>
  <c r="T22" i="125"/>
  <c r="S22" i="125"/>
  <c r="R22" i="125"/>
  <c r="Q22" i="125"/>
  <c r="P22" i="125"/>
  <c r="O22" i="125"/>
  <c r="N22" i="125"/>
  <c r="L22" i="125"/>
  <c r="K22" i="125"/>
  <c r="J22" i="125"/>
  <c r="I22" i="125"/>
  <c r="F22" i="125"/>
  <c r="A22" i="125"/>
  <c r="T21" i="125"/>
  <c r="S21" i="125"/>
  <c r="R21" i="125"/>
  <c r="Q21" i="125"/>
  <c r="P21" i="125"/>
  <c r="O21" i="125"/>
  <c r="N21" i="125"/>
  <c r="L21" i="125"/>
  <c r="K21" i="125"/>
  <c r="J21" i="125"/>
  <c r="I21" i="125"/>
  <c r="F21" i="125"/>
  <c r="A21" i="125"/>
  <c r="T20" i="125"/>
  <c r="S20" i="125"/>
  <c r="R20" i="125"/>
  <c r="Q20" i="125"/>
  <c r="P20" i="125"/>
  <c r="O20" i="125"/>
  <c r="N20" i="125"/>
  <c r="L20" i="125"/>
  <c r="K20" i="125"/>
  <c r="J20" i="125"/>
  <c r="I20" i="125"/>
  <c r="F20" i="125"/>
  <c r="A20" i="125"/>
  <c r="T19" i="125"/>
  <c r="S19" i="125"/>
  <c r="R19" i="125"/>
  <c r="Q19" i="125"/>
  <c r="P19" i="125"/>
  <c r="O19" i="125"/>
  <c r="N19" i="125"/>
  <c r="L19" i="125"/>
  <c r="K19" i="125"/>
  <c r="J19" i="125"/>
  <c r="I19" i="125"/>
  <c r="F19" i="125"/>
  <c r="A19" i="125"/>
  <c r="T18" i="125"/>
  <c r="S18" i="125"/>
  <c r="R18" i="125"/>
  <c r="Q18" i="125"/>
  <c r="P18" i="125"/>
  <c r="O18" i="125"/>
  <c r="N18" i="125"/>
  <c r="L18" i="125"/>
  <c r="K18" i="125"/>
  <c r="J18" i="125"/>
  <c r="I18" i="125"/>
  <c r="F18" i="125"/>
  <c r="A18" i="125"/>
  <c r="T17" i="125"/>
  <c r="S17" i="125"/>
  <c r="R17" i="125"/>
  <c r="Q17" i="125"/>
  <c r="P17" i="125"/>
  <c r="O17" i="125"/>
  <c r="N17" i="125"/>
  <c r="L17" i="125"/>
  <c r="K17" i="125"/>
  <c r="J17" i="125"/>
  <c r="I17" i="125"/>
  <c r="F17" i="125"/>
  <c r="A17" i="125"/>
  <c r="T16" i="125"/>
  <c r="S16" i="125"/>
  <c r="R16" i="125"/>
  <c r="Q16" i="125"/>
  <c r="P16" i="125"/>
  <c r="O16" i="125"/>
  <c r="N16" i="125"/>
  <c r="L16" i="125"/>
  <c r="K16" i="125"/>
  <c r="J16" i="125"/>
  <c r="I16" i="125"/>
  <c r="F16" i="125"/>
  <c r="A16" i="125"/>
  <c r="T15" i="125"/>
  <c r="S15" i="125"/>
  <c r="R15" i="125"/>
  <c r="Q15" i="125"/>
  <c r="P15" i="125"/>
  <c r="O15" i="125"/>
  <c r="N15" i="125"/>
  <c r="L15" i="125"/>
  <c r="K15" i="125"/>
  <c r="J15" i="125"/>
  <c r="I15" i="125"/>
  <c r="F15" i="125"/>
  <c r="A15" i="125"/>
  <c r="T14" i="125"/>
  <c r="S14" i="125"/>
  <c r="R14" i="125"/>
  <c r="Q14" i="125"/>
  <c r="P14" i="125"/>
  <c r="O14" i="125"/>
  <c r="N14" i="125"/>
  <c r="L14" i="125"/>
  <c r="K14" i="125"/>
  <c r="J14" i="125"/>
  <c r="I14" i="125"/>
  <c r="F14" i="125"/>
  <c r="A14" i="125"/>
  <c r="T13" i="125"/>
  <c r="S13" i="125"/>
  <c r="R13" i="125"/>
  <c r="Q13" i="125"/>
  <c r="P13" i="125"/>
  <c r="O13" i="125"/>
  <c r="N13" i="125"/>
  <c r="L13" i="125"/>
  <c r="K13" i="125"/>
  <c r="J13" i="125"/>
  <c r="I13" i="125"/>
  <c r="F13" i="125"/>
  <c r="A13" i="125"/>
  <c r="T12" i="125"/>
  <c r="S12" i="125"/>
  <c r="R12" i="125"/>
  <c r="Q12" i="125"/>
  <c r="P12" i="125"/>
  <c r="O12" i="125"/>
  <c r="N12" i="125"/>
  <c r="L12" i="125"/>
  <c r="K12" i="125"/>
  <c r="J12" i="125"/>
  <c r="I12" i="125"/>
  <c r="F12" i="125"/>
  <c r="A12" i="125"/>
  <c r="T11" i="125"/>
  <c r="S11" i="125"/>
  <c r="R11" i="125"/>
  <c r="Q11" i="125"/>
  <c r="P11" i="125"/>
  <c r="O11" i="125"/>
  <c r="N11" i="125"/>
  <c r="L11" i="125"/>
  <c r="K11" i="125"/>
  <c r="J11" i="125"/>
  <c r="I11" i="125"/>
  <c r="F11" i="125"/>
  <c r="A11" i="125"/>
  <c r="T10" i="125"/>
  <c r="S10" i="125"/>
  <c r="R10" i="125"/>
  <c r="Q10" i="125"/>
  <c r="P10" i="125"/>
  <c r="O10" i="125"/>
  <c r="N10" i="125"/>
  <c r="L10" i="125"/>
  <c r="K10" i="125"/>
  <c r="J10" i="125"/>
  <c r="I10" i="125"/>
  <c r="F10" i="125"/>
  <c r="A10" i="125"/>
  <c r="T9" i="125"/>
  <c r="S9" i="125"/>
  <c r="R9" i="125"/>
  <c r="Q9" i="125"/>
  <c r="P9" i="125"/>
  <c r="O9" i="125"/>
  <c r="N9" i="125"/>
  <c r="L9" i="125"/>
  <c r="K9" i="125"/>
  <c r="J9" i="125"/>
  <c r="I9" i="125"/>
  <c r="F9" i="125"/>
  <c r="A9" i="125"/>
  <c r="T8" i="125"/>
  <c r="S8" i="125"/>
  <c r="R8" i="125"/>
  <c r="Q8" i="125"/>
  <c r="P8" i="125"/>
  <c r="O8" i="125"/>
  <c r="N8" i="125"/>
  <c r="L8" i="125"/>
  <c r="K8" i="125"/>
  <c r="J8" i="125"/>
  <c r="I8" i="125"/>
  <c r="F8" i="125"/>
  <c r="A8" i="125"/>
  <c r="T7" i="125"/>
  <c r="S7" i="125"/>
  <c r="R7" i="125"/>
  <c r="Q7" i="125"/>
  <c r="P7" i="125"/>
  <c r="O7" i="125"/>
  <c r="N7" i="125"/>
  <c r="L7" i="125"/>
  <c r="K7" i="125"/>
  <c r="J7" i="125"/>
  <c r="I7" i="125"/>
  <c r="F7" i="125"/>
  <c r="A7" i="125"/>
  <c r="T6" i="125"/>
  <c r="S6" i="125"/>
  <c r="R6" i="125"/>
  <c r="Q6" i="125"/>
  <c r="P6" i="125"/>
  <c r="O6" i="125"/>
  <c r="N6" i="125"/>
  <c r="L6" i="125"/>
  <c r="K6" i="125"/>
  <c r="J6" i="125"/>
  <c r="I6" i="125"/>
  <c r="F6" i="125"/>
  <c r="A6" i="125"/>
  <c r="T5" i="125"/>
  <c r="S5" i="125"/>
  <c r="R5" i="125"/>
  <c r="Q5" i="125"/>
  <c r="P5" i="125"/>
  <c r="O5" i="125"/>
  <c r="N5" i="125"/>
  <c r="L5" i="125"/>
  <c r="K5" i="125"/>
  <c r="J5" i="125"/>
  <c r="I5" i="125"/>
  <c r="F5" i="125"/>
  <c r="A5" i="125"/>
  <c r="T4" i="125"/>
  <c r="S4" i="125"/>
  <c r="R4" i="125"/>
  <c r="Q4" i="125"/>
  <c r="P4" i="125"/>
  <c r="O4" i="125"/>
  <c r="N4" i="125"/>
  <c r="L4" i="125"/>
  <c r="K4" i="125"/>
  <c r="J4" i="125"/>
  <c r="I4" i="125"/>
  <c r="F4" i="125"/>
  <c r="A4" i="125"/>
  <c r="T3" i="125"/>
  <c r="S3" i="125"/>
  <c r="R3" i="125"/>
  <c r="Q3" i="125"/>
  <c r="P3" i="125"/>
  <c r="O3" i="125"/>
  <c r="N3" i="125"/>
  <c r="L3" i="125"/>
  <c r="K3" i="125"/>
  <c r="J3" i="125"/>
  <c r="I3" i="125"/>
  <c r="F3" i="125"/>
  <c r="A3" i="125"/>
  <c r="T2" i="125"/>
  <c r="S2" i="125"/>
  <c r="R2" i="125"/>
  <c r="Q2" i="125"/>
  <c r="P2" i="125"/>
  <c r="O2" i="125"/>
  <c r="N2" i="125"/>
  <c r="L2" i="125"/>
  <c r="K2" i="125"/>
  <c r="J2" i="125"/>
  <c r="I2" i="125"/>
  <c r="F2" i="125"/>
  <c r="A2" i="125"/>
  <c r="B39" i="124"/>
  <c r="B36" i="124"/>
  <c r="B37" i="124"/>
  <c r="B38" i="124"/>
  <c r="B40" i="124"/>
  <c r="B41" i="124"/>
  <c r="B42" i="124"/>
  <c r="B43" i="124"/>
  <c r="C39" i="124"/>
  <c r="C42" i="124"/>
  <c r="F43" i="124"/>
  <c r="C38" i="124"/>
  <c r="C41" i="124"/>
  <c r="F42" i="124"/>
  <c r="C36" i="124"/>
  <c r="C37" i="124"/>
  <c r="C40" i="124"/>
  <c r="F41" i="124"/>
  <c r="F38" i="124"/>
  <c r="F37" i="124"/>
  <c r="F36" i="124"/>
  <c r="B24" i="124"/>
  <c r="C20" i="124"/>
  <c r="C23" i="124"/>
  <c r="C24" i="124"/>
  <c r="D24" i="124"/>
  <c r="D23" i="124"/>
  <c r="G23" i="124"/>
  <c r="H23" i="124"/>
  <c r="I23" i="124"/>
  <c r="J23" i="124"/>
  <c r="F23" i="124"/>
  <c r="I22" i="124"/>
  <c r="J22" i="124"/>
  <c r="F22" i="124"/>
  <c r="I21" i="124"/>
  <c r="J21" i="124"/>
  <c r="F21" i="124"/>
  <c r="D20" i="124"/>
  <c r="G20" i="124"/>
  <c r="H20" i="124"/>
  <c r="I20" i="124"/>
  <c r="J20" i="124"/>
  <c r="F20" i="124"/>
  <c r="I19" i="124"/>
  <c r="J19" i="124"/>
  <c r="F19" i="124"/>
  <c r="I18" i="124"/>
  <c r="J18" i="124"/>
  <c r="F18" i="124"/>
  <c r="I17" i="124"/>
  <c r="J17" i="124"/>
  <c r="F17" i="124"/>
  <c r="R12" i="124"/>
  <c r="M12" i="124"/>
  <c r="R11" i="124"/>
  <c r="M11" i="124"/>
  <c r="R10" i="124"/>
  <c r="M10" i="124"/>
  <c r="B10" i="124"/>
  <c r="R9" i="124"/>
  <c r="M9" i="124"/>
  <c r="R8" i="124"/>
  <c r="M8" i="124"/>
  <c r="R7" i="124"/>
  <c r="M7" i="124"/>
  <c r="R6" i="124"/>
  <c r="M6" i="124"/>
  <c r="R5" i="124"/>
  <c r="M5" i="124"/>
  <c r="R4" i="124"/>
  <c r="M4" i="124"/>
  <c r="R3" i="124"/>
  <c r="M3" i="124"/>
  <c r="A2" i="120"/>
  <c r="G139" i="121"/>
  <c r="C139" i="121"/>
  <c r="H139" i="121"/>
  <c r="B139" i="121"/>
  <c r="P3" i="120"/>
  <c r="O3" i="120"/>
  <c r="Q3" i="120"/>
  <c r="P4" i="120"/>
  <c r="O4" i="120"/>
  <c r="Q4" i="120"/>
  <c r="P5" i="120"/>
  <c r="O5" i="120"/>
  <c r="Q5" i="120"/>
  <c r="P6" i="120"/>
  <c r="O6" i="120"/>
  <c r="Q6" i="120"/>
  <c r="P7" i="120"/>
  <c r="O7" i="120"/>
  <c r="Q7" i="120"/>
  <c r="P8" i="120"/>
  <c r="O8" i="120"/>
  <c r="Q8" i="120"/>
  <c r="P9" i="120"/>
  <c r="O9" i="120"/>
  <c r="Q9" i="120"/>
  <c r="P10" i="120"/>
  <c r="O10" i="120"/>
  <c r="Q10" i="120"/>
  <c r="P11" i="120"/>
  <c r="O11" i="120"/>
  <c r="Q11" i="120"/>
  <c r="P12" i="120"/>
  <c r="O12" i="120"/>
  <c r="Q12" i="120"/>
  <c r="C22" i="120"/>
  <c r="D22" i="120"/>
  <c r="G22" i="120"/>
  <c r="G2" i="121"/>
  <c r="C2" i="121"/>
  <c r="H2" i="121"/>
  <c r="B2" i="121"/>
  <c r="G3" i="121"/>
  <c r="C3" i="121"/>
  <c r="H3" i="121"/>
  <c r="B3" i="121"/>
  <c r="G4" i="121"/>
  <c r="C4" i="121"/>
  <c r="H4" i="121"/>
  <c r="B4" i="121"/>
  <c r="G5" i="121"/>
  <c r="C5" i="121"/>
  <c r="H5" i="121"/>
  <c r="B5" i="121"/>
  <c r="G6" i="121"/>
  <c r="C6" i="121"/>
  <c r="H6" i="121"/>
  <c r="B6" i="121"/>
  <c r="G7" i="121"/>
  <c r="C7" i="121"/>
  <c r="H7" i="121"/>
  <c r="B7" i="121"/>
  <c r="G8" i="121"/>
  <c r="C8" i="121"/>
  <c r="H8" i="121"/>
  <c r="B8" i="121"/>
  <c r="G9" i="121"/>
  <c r="C9" i="121"/>
  <c r="H9" i="121"/>
  <c r="B9" i="121"/>
  <c r="G10" i="121"/>
  <c r="C10" i="121"/>
  <c r="H10" i="121"/>
  <c r="B10" i="121"/>
  <c r="G11" i="121"/>
  <c r="C11" i="121"/>
  <c r="H11" i="121"/>
  <c r="B11" i="121"/>
  <c r="G12" i="121"/>
  <c r="C12" i="121"/>
  <c r="H12" i="121"/>
  <c r="B12" i="121"/>
  <c r="G13" i="121"/>
  <c r="C13" i="121"/>
  <c r="H13" i="121"/>
  <c r="B13" i="121"/>
  <c r="G14" i="121"/>
  <c r="C14" i="121"/>
  <c r="H14" i="121"/>
  <c r="B14" i="121"/>
  <c r="G15" i="121"/>
  <c r="C15" i="121"/>
  <c r="H15" i="121"/>
  <c r="B15" i="121"/>
  <c r="G16" i="121"/>
  <c r="C16" i="121"/>
  <c r="H16" i="121"/>
  <c r="B16" i="121"/>
  <c r="G17" i="121"/>
  <c r="C17" i="121"/>
  <c r="H17" i="121"/>
  <c r="B17" i="121"/>
  <c r="G18" i="121"/>
  <c r="C18" i="121"/>
  <c r="H18" i="121"/>
  <c r="B18" i="121"/>
  <c r="G19" i="121"/>
  <c r="C19" i="121"/>
  <c r="H19" i="121"/>
  <c r="B19" i="121"/>
  <c r="G20" i="121"/>
  <c r="C20" i="121"/>
  <c r="H20" i="121"/>
  <c r="B20" i="121"/>
  <c r="G21" i="121"/>
  <c r="C21" i="121"/>
  <c r="H21" i="121"/>
  <c r="B21" i="121"/>
  <c r="G22" i="121"/>
  <c r="C22" i="121"/>
  <c r="H22" i="121"/>
  <c r="B22" i="121"/>
  <c r="G23" i="121"/>
  <c r="C23" i="121"/>
  <c r="H23" i="121"/>
  <c r="B23" i="121"/>
  <c r="G24" i="121"/>
  <c r="C24" i="121"/>
  <c r="H24" i="121"/>
  <c r="B24" i="121"/>
  <c r="G25" i="121"/>
  <c r="C25" i="121"/>
  <c r="H25" i="121"/>
  <c r="B25" i="121"/>
  <c r="G26" i="121"/>
  <c r="C26" i="121"/>
  <c r="H26" i="121"/>
  <c r="B26" i="121"/>
  <c r="G27" i="121"/>
  <c r="C27" i="121"/>
  <c r="H27" i="121"/>
  <c r="B27" i="121"/>
  <c r="G28" i="121"/>
  <c r="C28" i="121"/>
  <c r="H28" i="121"/>
  <c r="B28" i="121"/>
  <c r="G29" i="121"/>
  <c r="C29" i="121"/>
  <c r="H29" i="121"/>
  <c r="B29" i="121"/>
  <c r="G30" i="121"/>
  <c r="C30" i="121"/>
  <c r="H30" i="121"/>
  <c r="B30" i="121"/>
  <c r="G31" i="121"/>
  <c r="C31" i="121"/>
  <c r="H31" i="121"/>
  <c r="B31" i="121"/>
  <c r="G32" i="121"/>
  <c r="C32" i="121"/>
  <c r="H32" i="121"/>
  <c r="B32" i="121"/>
  <c r="G33" i="121"/>
  <c r="C33" i="121"/>
  <c r="H33" i="121"/>
  <c r="B33" i="121"/>
  <c r="G34" i="121"/>
  <c r="C34" i="121"/>
  <c r="H34" i="121"/>
  <c r="B34" i="121"/>
  <c r="G35" i="121"/>
  <c r="C35" i="121"/>
  <c r="H35" i="121"/>
  <c r="B35" i="121"/>
  <c r="G36" i="121"/>
  <c r="C36" i="121"/>
  <c r="H36" i="121"/>
  <c r="B36" i="121"/>
  <c r="G37" i="121"/>
  <c r="C37" i="121"/>
  <c r="H37" i="121"/>
  <c r="B37" i="121"/>
  <c r="G38" i="121"/>
  <c r="C38" i="121"/>
  <c r="H38" i="121"/>
  <c r="B38" i="121"/>
  <c r="G39" i="121"/>
  <c r="C39" i="121"/>
  <c r="H39" i="121"/>
  <c r="B39" i="121"/>
  <c r="G40" i="121"/>
  <c r="C40" i="121"/>
  <c r="H40" i="121"/>
  <c r="B40" i="121"/>
  <c r="G41" i="121"/>
  <c r="C41" i="121"/>
  <c r="H41" i="121"/>
  <c r="B41" i="121"/>
  <c r="G42" i="121"/>
  <c r="C42" i="121"/>
  <c r="H42" i="121"/>
  <c r="B42" i="121"/>
  <c r="G43" i="121"/>
  <c r="C43" i="121"/>
  <c r="H43" i="121"/>
  <c r="B43" i="121"/>
  <c r="G44" i="121"/>
  <c r="C44" i="121"/>
  <c r="H44" i="121"/>
  <c r="B44" i="121"/>
  <c r="G45" i="121"/>
  <c r="C45" i="121"/>
  <c r="H45" i="121"/>
  <c r="B45" i="121"/>
  <c r="G46" i="121"/>
  <c r="C46" i="121"/>
  <c r="H46" i="121"/>
  <c r="B46" i="121"/>
  <c r="G47" i="121"/>
  <c r="C47" i="121"/>
  <c r="H47" i="121"/>
  <c r="B47" i="121"/>
  <c r="G48" i="121"/>
  <c r="C48" i="121"/>
  <c r="H48" i="121"/>
  <c r="B48" i="121"/>
  <c r="G49" i="121"/>
  <c r="C49" i="121"/>
  <c r="H49" i="121"/>
  <c r="B49" i="121"/>
  <c r="G50" i="121"/>
  <c r="C50" i="121"/>
  <c r="H50" i="121"/>
  <c r="B50" i="121"/>
  <c r="G51" i="121"/>
  <c r="C51" i="121"/>
  <c r="H51" i="121"/>
  <c r="B51" i="121"/>
  <c r="G52" i="121"/>
  <c r="C52" i="121"/>
  <c r="H52" i="121"/>
  <c r="B52" i="121"/>
  <c r="G53" i="121"/>
  <c r="C53" i="121"/>
  <c r="H53" i="121"/>
  <c r="B53" i="121"/>
  <c r="G54" i="121"/>
  <c r="C54" i="121"/>
  <c r="H54" i="121"/>
  <c r="B54" i="121"/>
  <c r="G55" i="121"/>
  <c r="C55" i="121"/>
  <c r="H55" i="121"/>
  <c r="B55" i="121"/>
  <c r="G56" i="121"/>
  <c r="C56" i="121"/>
  <c r="H56" i="121"/>
  <c r="B56" i="121"/>
  <c r="G57" i="121"/>
  <c r="C57" i="121"/>
  <c r="H57" i="121"/>
  <c r="B57" i="121"/>
  <c r="G58" i="121"/>
  <c r="C58" i="121"/>
  <c r="H58" i="121"/>
  <c r="B58" i="121"/>
  <c r="G59" i="121"/>
  <c r="C59" i="121"/>
  <c r="H59" i="121"/>
  <c r="B59" i="121"/>
  <c r="G60" i="121"/>
  <c r="C60" i="121"/>
  <c r="H60" i="121"/>
  <c r="B60" i="121"/>
  <c r="G61" i="121"/>
  <c r="C61" i="121"/>
  <c r="H61" i="121"/>
  <c r="B61" i="121"/>
  <c r="G62" i="121"/>
  <c r="C62" i="121"/>
  <c r="H62" i="121"/>
  <c r="B62" i="121"/>
  <c r="G63" i="121"/>
  <c r="C63" i="121"/>
  <c r="H63" i="121"/>
  <c r="B63" i="121"/>
  <c r="G64" i="121"/>
  <c r="C64" i="121"/>
  <c r="H64" i="121"/>
  <c r="B64" i="121"/>
  <c r="G65" i="121"/>
  <c r="C65" i="121"/>
  <c r="H65" i="121"/>
  <c r="B65" i="121"/>
  <c r="G66" i="121"/>
  <c r="C66" i="121"/>
  <c r="H66" i="121"/>
  <c r="B66" i="121"/>
  <c r="G67" i="121"/>
  <c r="C67" i="121"/>
  <c r="H67" i="121"/>
  <c r="B67" i="121"/>
  <c r="G68" i="121"/>
  <c r="C68" i="121"/>
  <c r="H68" i="121"/>
  <c r="B68" i="121"/>
  <c r="G69" i="121"/>
  <c r="C69" i="121"/>
  <c r="H69" i="121"/>
  <c r="B69" i="121"/>
  <c r="G70" i="121"/>
  <c r="C70" i="121"/>
  <c r="H70" i="121"/>
  <c r="B70" i="121"/>
  <c r="G71" i="121"/>
  <c r="C71" i="121"/>
  <c r="H71" i="121"/>
  <c r="B71" i="121"/>
  <c r="G72" i="121"/>
  <c r="C72" i="121"/>
  <c r="H72" i="121"/>
  <c r="B72" i="121"/>
  <c r="G73" i="121"/>
  <c r="C73" i="121"/>
  <c r="H73" i="121"/>
  <c r="B73" i="121"/>
  <c r="G74" i="121"/>
  <c r="C74" i="121"/>
  <c r="H74" i="121"/>
  <c r="B74" i="121"/>
  <c r="G75" i="121"/>
  <c r="C75" i="121"/>
  <c r="H75" i="121"/>
  <c r="B75" i="121"/>
  <c r="G76" i="121"/>
  <c r="C76" i="121"/>
  <c r="H76" i="121"/>
  <c r="B76" i="121"/>
  <c r="G77" i="121"/>
  <c r="C77" i="121"/>
  <c r="H77" i="121"/>
  <c r="B77" i="121"/>
  <c r="G78" i="121"/>
  <c r="C78" i="121"/>
  <c r="H78" i="121"/>
  <c r="B78" i="121"/>
  <c r="G79" i="121"/>
  <c r="C79" i="121"/>
  <c r="H79" i="121"/>
  <c r="B79" i="121"/>
  <c r="G80" i="121"/>
  <c r="C80" i="121"/>
  <c r="H80" i="121"/>
  <c r="B80" i="121"/>
  <c r="G81" i="121"/>
  <c r="C81" i="121"/>
  <c r="H81" i="121"/>
  <c r="B81" i="121"/>
  <c r="G82" i="121"/>
  <c r="C82" i="121"/>
  <c r="H82" i="121"/>
  <c r="B82" i="121"/>
  <c r="G83" i="121"/>
  <c r="C83" i="121"/>
  <c r="H83" i="121"/>
  <c r="B83" i="121"/>
  <c r="G84" i="121"/>
  <c r="C84" i="121"/>
  <c r="H84" i="121"/>
  <c r="B84" i="121"/>
  <c r="G85" i="121"/>
  <c r="C85" i="121"/>
  <c r="H85" i="121"/>
  <c r="B85" i="121"/>
  <c r="G86" i="121"/>
  <c r="C86" i="121"/>
  <c r="H86" i="121"/>
  <c r="B86" i="121"/>
  <c r="G87" i="121"/>
  <c r="C87" i="121"/>
  <c r="H87" i="121"/>
  <c r="B87" i="121"/>
  <c r="G88" i="121"/>
  <c r="C88" i="121"/>
  <c r="H88" i="121"/>
  <c r="B88" i="121"/>
  <c r="G89" i="121"/>
  <c r="C89" i="121"/>
  <c r="H89" i="121"/>
  <c r="B89" i="121"/>
  <c r="G90" i="121"/>
  <c r="C90" i="121"/>
  <c r="H90" i="121"/>
  <c r="B90" i="121"/>
  <c r="G91" i="121"/>
  <c r="C91" i="121"/>
  <c r="H91" i="121"/>
  <c r="B91" i="121"/>
  <c r="G92" i="121"/>
  <c r="C92" i="121"/>
  <c r="H92" i="121"/>
  <c r="B92" i="121"/>
  <c r="G93" i="121"/>
  <c r="C93" i="121"/>
  <c r="H93" i="121"/>
  <c r="B93" i="121"/>
  <c r="G94" i="121"/>
  <c r="C94" i="121"/>
  <c r="H94" i="121"/>
  <c r="B94" i="121"/>
  <c r="G95" i="121"/>
  <c r="C95" i="121"/>
  <c r="H95" i="121"/>
  <c r="B95" i="121"/>
  <c r="G96" i="121"/>
  <c r="C96" i="121"/>
  <c r="H96" i="121"/>
  <c r="B96" i="121"/>
  <c r="G97" i="121"/>
  <c r="C97" i="121"/>
  <c r="H97" i="121"/>
  <c r="B97" i="121"/>
  <c r="G98" i="121"/>
  <c r="C98" i="121"/>
  <c r="H98" i="121"/>
  <c r="B98" i="121"/>
  <c r="G99" i="121"/>
  <c r="C99" i="121"/>
  <c r="H99" i="121"/>
  <c r="B99" i="121"/>
  <c r="G100" i="121"/>
  <c r="C100" i="121"/>
  <c r="H100" i="121"/>
  <c r="B100" i="121"/>
  <c r="G101" i="121"/>
  <c r="C101" i="121"/>
  <c r="H101" i="121"/>
  <c r="B101" i="121"/>
  <c r="G102" i="121"/>
  <c r="C102" i="121"/>
  <c r="H102" i="121"/>
  <c r="B102" i="121"/>
  <c r="G103" i="121"/>
  <c r="C103" i="121"/>
  <c r="H103" i="121"/>
  <c r="B103" i="121"/>
  <c r="G104" i="121"/>
  <c r="C104" i="121"/>
  <c r="H104" i="121"/>
  <c r="B104" i="121"/>
  <c r="G105" i="121"/>
  <c r="C105" i="121"/>
  <c r="H105" i="121"/>
  <c r="B105" i="121"/>
  <c r="G106" i="121"/>
  <c r="C106" i="121"/>
  <c r="H106" i="121"/>
  <c r="B106" i="121"/>
  <c r="G107" i="121"/>
  <c r="C107" i="121"/>
  <c r="H107" i="121"/>
  <c r="B107" i="121"/>
  <c r="G108" i="121"/>
  <c r="C108" i="121"/>
  <c r="H108" i="121"/>
  <c r="B108" i="121"/>
  <c r="G109" i="121"/>
  <c r="C109" i="121"/>
  <c r="H109" i="121"/>
  <c r="B109" i="121"/>
  <c r="G110" i="121"/>
  <c r="C110" i="121"/>
  <c r="H110" i="121"/>
  <c r="B110" i="121"/>
  <c r="G111" i="121"/>
  <c r="C111" i="121"/>
  <c r="H111" i="121"/>
  <c r="B111" i="121"/>
  <c r="G112" i="121"/>
  <c r="C112" i="121"/>
  <c r="H112" i="121"/>
  <c r="B112" i="121"/>
  <c r="G113" i="121"/>
  <c r="C113" i="121"/>
  <c r="H113" i="121"/>
  <c r="B113" i="121"/>
  <c r="G114" i="121"/>
  <c r="C114" i="121"/>
  <c r="H114" i="121"/>
  <c r="B114" i="121"/>
  <c r="G115" i="121"/>
  <c r="C115" i="121"/>
  <c r="H115" i="121"/>
  <c r="B115" i="121"/>
  <c r="G116" i="121"/>
  <c r="C116" i="121"/>
  <c r="H116" i="121"/>
  <c r="B116" i="121"/>
  <c r="G117" i="121"/>
  <c r="C117" i="121"/>
  <c r="H117" i="121"/>
  <c r="B117" i="121"/>
  <c r="G118" i="121"/>
  <c r="C118" i="121"/>
  <c r="H118" i="121"/>
  <c r="B118" i="121"/>
  <c r="G119" i="121"/>
  <c r="C119" i="121"/>
  <c r="H119" i="121"/>
  <c r="B119" i="121"/>
  <c r="G120" i="121"/>
  <c r="C120" i="121"/>
  <c r="H120" i="121"/>
  <c r="B120" i="121"/>
  <c r="G121" i="121"/>
  <c r="C121" i="121"/>
  <c r="H121" i="121"/>
  <c r="B121" i="121"/>
  <c r="G122" i="121"/>
  <c r="C122" i="121"/>
  <c r="H122" i="121"/>
  <c r="B122" i="121"/>
  <c r="G123" i="121"/>
  <c r="C123" i="121"/>
  <c r="H123" i="121"/>
  <c r="B123" i="121"/>
  <c r="G124" i="121"/>
  <c r="C124" i="121"/>
  <c r="H124" i="121"/>
  <c r="B124" i="121"/>
  <c r="G125" i="121"/>
  <c r="C125" i="121"/>
  <c r="H125" i="121"/>
  <c r="B125" i="121"/>
  <c r="G126" i="121"/>
  <c r="C126" i="121"/>
  <c r="H126" i="121"/>
  <c r="B126" i="121"/>
  <c r="G127" i="121"/>
  <c r="C127" i="121"/>
  <c r="H127" i="121"/>
  <c r="B127" i="121"/>
  <c r="G128" i="121"/>
  <c r="C128" i="121"/>
  <c r="H128" i="121"/>
  <c r="B128" i="121"/>
  <c r="G129" i="121"/>
  <c r="C129" i="121"/>
  <c r="H129" i="121"/>
  <c r="B129" i="121"/>
  <c r="G130" i="121"/>
  <c r="C130" i="121"/>
  <c r="H130" i="121"/>
  <c r="B130" i="121"/>
  <c r="G131" i="121"/>
  <c r="C131" i="121"/>
  <c r="H131" i="121"/>
  <c r="B131" i="121"/>
  <c r="G132" i="121"/>
  <c r="C132" i="121"/>
  <c r="H132" i="121"/>
  <c r="B132" i="121"/>
  <c r="G133" i="121"/>
  <c r="C133" i="121"/>
  <c r="H133" i="121"/>
  <c r="B133" i="121"/>
  <c r="G134" i="121"/>
  <c r="C134" i="121"/>
  <c r="H134" i="121"/>
  <c r="B134" i="121"/>
  <c r="G135" i="121"/>
  <c r="C135" i="121"/>
  <c r="H135" i="121"/>
  <c r="B135" i="121"/>
  <c r="G136" i="121"/>
  <c r="C136" i="121"/>
  <c r="H136" i="121"/>
  <c r="B136" i="121"/>
  <c r="G137" i="121"/>
  <c r="C137" i="121"/>
  <c r="H137" i="121"/>
  <c r="B137" i="121"/>
  <c r="G138" i="121"/>
  <c r="C138" i="121"/>
  <c r="H138" i="121"/>
  <c r="B138" i="121"/>
  <c r="G140" i="121"/>
  <c r="C140" i="121"/>
  <c r="H140" i="121"/>
  <c r="B140" i="121"/>
  <c r="G141" i="121"/>
  <c r="C141" i="121"/>
  <c r="H141" i="121"/>
  <c r="B141" i="121"/>
  <c r="G142" i="121"/>
  <c r="C142" i="121"/>
  <c r="H142" i="121"/>
  <c r="B142" i="121"/>
  <c r="G143" i="121"/>
  <c r="C143" i="121"/>
  <c r="H143" i="121"/>
  <c r="B143" i="121"/>
  <c r="G144" i="121"/>
  <c r="C144" i="121"/>
  <c r="H144" i="121"/>
  <c r="B144" i="121"/>
  <c r="G145" i="121"/>
  <c r="C145" i="121"/>
  <c r="H145" i="121"/>
  <c r="B145" i="121"/>
  <c r="G146" i="121"/>
  <c r="C146" i="121"/>
  <c r="H146" i="121"/>
  <c r="B146" i="121"/>
  <c r="G147" i="121"/>
  <c r="C147" i="121"/>
  <c r="H147" i="121"/>
  <c r="B147" i="121"/>
  <c r="G148" i="121"/>
  <c r="C148" i="121"/>
  <c r="H148" i="121"/>
  <c r="B148" i="121"/>
  <c r="G149" i="121"/>
  <c r="C149" i="121"/>
  <c r="H149" i="121"/>
  <c r="B149" i="121"/>
  <c r="G150" i="121"/>
  <c r="C150" i="121"/>
  <c r="H150" i="121"/>
  <c r="B150" i="121"/>
  <c r="G151" i="121"/>
  <c r="C151" i="121"/>
  <c r="H151" i="121"/>
  <c r="B151" i="121"/>
  <c r="G152" i="121"/>
  <c r="C152" i="121"/>
  <c r="H152" i="121"/>
  <c r="B152" i="121"/>
  <c r="G153" i="121"/>
  <c r="C153" i="121"/>
  <c r="H153" i="121"/>
  <c r="B153" i="121"/>
  <c r="G154" i="121"/>
  <c r="C154" i="121"/>
  <c r="H154" i="121"/>
  <c r="B154" i="121"/>
  <c r="G155" i="121"/>
  <c r="C155" i="121"/>
  <c r="H155" i="121"/>
  <c r="B155" i="121"/>
  <c r="G156" i="121"/>
  <c r="C156" i="121"/>
  <c r="H156" i="121"/>
  <c r="B156" i="121"/>
  <c r="G157" i="121"/>
  <c r="C157" i="121"/>
  <c r="H157" i="121"/>
  <c r="B157" i="121"/>
  <c r="G158" i="121"/>
  <c r="C158" i="121"/>
  <c r="H158" i="121"/>
  <c r="B158" i="121"/>
  <c r="G159" i="121"/>
  <c r="C159" i="121"/>
  <c r="H159" i="121"/>
  <c r="B159" i="121"/>
  <c r="G160" i="121"/>
  <c r="C160" i="121"/>
  <c r="H160" i="121"/>
  <c r="B160" i="121"/>
  <c r="G161" i="121"/>
  <c r="C161" i="121"/>
  <c r="H161" i="121"/>
  <c r="B161" i="121"/>
  <c r="G162" i="121"/>
  <c r="C162" i="121"/>
  <c r="H162" i="121"/>
  <c r="B162" i="121"/>
  <c r="G163" i="121"/>
  <c r="C163" i="121"/>
  <c r="H163" i="121"/>
  <c r="B163" i="121"/>
  <c r="G164" i="121"/>
  <c r="C164" i="121"/>
  <c r="H164" i="121"/>
  <c r="B164" i="121"/>
  <c r="G165" i="121"/>
  <c r="C165" i="121"/>
  <c r="H165" i="121"/>
  <c r="B165" i="121"/>
  <c r="G166" i="121"/>
  <c r="C166" i="121"/>
  <c r="H166" i="121"/>
  <c r="B166" i="121"/>
  <c r="G167" i="121"/>
  <c r="C167" i="121"/>
  <c r="H167" i="121"/>
  <c r="B167" i="121"/>
  <c r="G168" i="121"/>
  <c r="C168" i="121"/>
  <c r="H168" i="121"/>
  <c r="B168" i="121"/>
  <c r="G169" i="121"/>
  <c r="C169" i="121"/>
  <c r="H169" i="121"/>
  <c r="B169" i="121"/>
  <c r="G170" i="121"/>
  <c r="C170" i="121"/>
  <c r="H170" i="121"/>
  <c r="B170" i="121"/>
  <c r="G171" i="121"/>
  <c r="C171" i="121"/>
  <c r="H171" i="121"/>
  <c r="B171" i="121"/>
  <c r="G172" i="121"/>
  <c r="C172" i="121"/>
  <c r="H172" i="121"/>
  <c r="B172" i="121"/>
  <c r="G173" i="121"/>
  <c r="C173" i="121"/>
  <c r="H173" i="121"/>
  <c r="B173" i="121"/>
  <c r="G174" i="121"/>
  <c r="C174" i="121"/>
  <c r="H174" i="121"/>
  <c r="B174" i="121"/>
  <c r="G175" i="121"/>
  <c r="C175" i="121"/>
  <c r="H175" i="121"/>
  <c r="B175" i="121"/>
  <c r="G176" i="121"/>
  <c r="C176" i="121"/>
  <c r="H176" i="121"/>
  <c r="B176" i="121"/>
  <c r="G177" i="121"/>
  <c r="C177" i="121"/>
  <c r="H177" i="121"/>
  <c r="B177" i="121"/>
  <c r="G178" i="121"/>
  <c r="C178" i="121"/>
  <c r="H178" i="121"/>
  <c r="B178" i="121"/>
  <c r="G179" i="121"/>
  <c r="C179" i="121"/>
  <c r="H179" i="121"/>
  <c r="B179" i="121"/>
  <c r="G180" i="121"/>
  <c r="C180" i="121"/>
  <c r="H180" i="121"/>
  <c r="B180" i="121"/>
  <c r="G181" i="121"/>
  <c r="C181" i="121"/>
  <c r="H181" i="121"/>
  <c r="B181" i="121"/>
  <c r="G182" i="121"/>
  <c r="C182" i="121"/>
  <c r="H182" i="121"/>
  <c r="B182" i="121"/>
  <c r="G183" i="121"/>
  <c r="C183" i="121"/>
  <c r="H183" i="121"/>
  <c r="B183" i="121"/>
  <c r="G184" i="121"/>
  <c r="C184" i="121"/>
  <c r="H184" i="121"/>
  <c r="B184" i="121"/>
  <c r="G185" i="121"/>
  <c r="C185" i="121"/>
  <c r="H185" i="121"/>
  <c r="B185" i="121"/>
  <c r="G186" i="121"/>
  <c r="C186" i="121"/>
  <c r="H186" i="121"/>
  <c r="B186" i="121"/>
  <c r="G187" i="121"/>
  <c r="C187" i="121"/>
  <c r="H187" i="121"/>
  <c r="B187" i="121"/>
  <c r="G188" i="121"/>
  <c r="C188" i="121"/>
  <c r="H188" i="121"/>
  <c r="B188" i="121"/>
  <c r="C189" i="121"/>
  <c r="H189" i="121"/>
  <c r="B189" i="121"/>
  <c r="G190" i="121"/>
  <c r="C190" i="121"/>
  <c r="H190" i="121"/>
  <c r="B190" i="121"/>
  <c r="G191" i="121"/>
  <c r="C191" i="121"/>
  <c r="H191" i="121"/>
  <c r="B191" i="121"/>
  <c r="G192" i="121"/>
  <c r="C192" i="121"/>
  <c r="H192" i="121"/>
  <c r="B192" i="121"/>
  <c r="G193" i="121"/>
  <c r="C193" i="121"/>
  <c r="H193" i="121"/>
  <c r="B193" i="121"/>
  <c r="G194" i="121"/>
  <c r="C194" i="121"/>
  <c r="H194" i="121"/>
  <c r="B194" i="121"/>
  <c r="G195" i="121"/>
  <c r="C195" i="121"/>
  <c r="H195" i="121"/>
  <c r="B195" i="121"/>
  <c r="G196" i="121"/>
  <c r="C196" i="121"/>
  <c r="H196" i="121"/>
  <c r="B196" i="121"/>
  <c r="G197" i="121"/>
  <c r="C197" i="121"/>
  <c r="H197" i="121"/>
  <c r="B197" i="121"/>
  <c r="G198" i="121"/>
  <c r="C198" i="121"/>
  <c r="H198" i="121"/>
  <c r="B198" i="121"/>
  <c r="G199" i="121"/>
  <c r="C199" i="121"/>
  <c r="H199" i="121"/>
  <c r="B199" i="121"/>
  <c r="G200" i="121"/>
  <c r="C200" i="121"/>
  <c r="H200" i="121"/>
  <c r="B200" i="121"/>
  <c r="G201" i="121"/>
  <c r="C201" i="121"/>
  <c r="H201" i="121"/>
  <c r="B201" i="121"/>
  <c r="G202" i="121"/>
  <c r="C202" i="121"/>
  <c r="H202" i="121"/>
  <c r="B202" i="121"/>
  <c r="G203" i="121"/>
  <c r="C203" i="121"/>
  <c r="H203" i="121"/>
  <c r="B203" i="121"/>
  <c r="G204" i="121"/>
  <c r="C204" i="121"/>
  <c r="H204" i="121"/>
  <c r="B204" i="121"/>
  <c r="G205" i="121"/>
  <c r="C205" i="121"/>
  <c r="H205" i="121"/>
  <c r="B205" i="121"/>
  <c r="G206" i="121"/>
  <c r="C206" i="121"/>
  <c r="H206" i="121"/>
  <c r="B206" i="121"/>
  <c r="G207" i="121"/>
  <c r="C207" i="121"/>
  <c r="H207" i="121"/>
  <c r="B207" i="121"/>
  <c r="G208" i="121"/>
  <c r="C208" i="121"/>
  <c r="H208" i="121"/>
  <c r="B208" i="121"/>
  <c r="G209" i="121"/>
  <c r="C209" i="121"/>
  <c r="H209" i="121"/>
  <c r="B209" i="121"/>
  <c r="G210" i="121"/>
  <c r="C210" i="121"/>
  <c r="H210" i="121"/>
  <c r="B210" i="121"/>
  <c r="G211" i="121"/>
  <c r="C211" i="121"/>
  <c r="H211" i="121"/>
  <c r="B211" i="121"/>
  <c r="G212" i="121"/>
  <c r="C212" i="121"/>
  <c r="H212" i="121"/>
  <c r="B212" i="121"/>
  <c r="G213" i="121"/>
  <c r="C213" i="121"/>
  <c r="H213" i="121"/>
  <c r="B213" i="121"/>
  <c r="G214" i="121"/>
  <c r="C214" i="121"/>
  <c r="H214" i="121"/>
  <c r="B214" i="121"/>
  <c r="C215" i="121"/>
  <c r="H215" i="121"/>
  <c r="B215" i="121"/>
  <c r="G216" i="121"/>
  <c r="C216" i="121"/>
  <c r="H216" i="121"/>
  <c r="B216" i="121"/>
  <c r="G217" i="121"/>
  <c r="C217" i="121"/>
  <c r="H217" i="121"/>
  <c r="B217" i="121"/>
  <c r="G218" i="121"/>
  <c r="C218" i="121"/>
  <c r="H218" i="121"/>
  <c r="B218" i="121"/>
  <c r="G219" i="121"/>
  <c r="C219" i="121"/>
  <c r="H219" i="121"/>
  <c r="B219" i="121"/>
  <c r="G220" i="121"/>
  <c r="C220" i="121"/>
  <c r="H220" i="121"/>
  <c r="B220" i="121"/>
  <c r="G221" i="121"/>
  <c r="C221" i="121"/>
  <c r="H221" i="121"/>
  <c r="B221" i="121"/>
  <c r="G222" i="121"/>
  <c r="C222" i="121"/>
  <c r="H222" i="121"/>
  <c r="B222" i="121"/>
  <c r="G223" i="121"/>
  <c r="C223" i="121"/>
  <c r="H223" i="121"/>
  <c r="B223" i="121"/>
  <c r="G224" i="121"/>
  <c r="C224" i="121"/>
  <c r="H224" i="121"/>
  <c r="B224" i="121"/>
  <c r="G225" i="121"/>
  <c r="C225" i="121"/>
  <c r="H225" i="121"/>
  <c r="B225" i="121"/>
  <c r="G226" i="121"/>
  <c r="C226" i="121"/>
  <c r="H226" i="121"/>
  <c r="B226" i="121"/>
  <c r="G227" i="121"/>
  <c r="C227" i="121"/>
  <c r="H227" i="121"/>
  <c r="B227" i="121"/>
  <c r="G228" i="121"/>
  <c r="C228" i="121"/>
  <c r="H228" i="121"/>
  <c r="B228" i="121"/>
  <c r="G229" i="121"/>
  <c r="C229" i="121"/>
  <c r="H229" i="121"/>
  <c r="B229" i="121"/>
  <c r="G230" i="121"/>
  <c r="C230" i="121"/>
  <c r="H230" i="121"/>
  <c r="B230" i="121"/>
  <c r="G231" i="121"/>
  <c r="C231" i="121"/>
  <c r="H231" i="121"/>
  <c r="B231" i="121"/>
  <c r="G232" i="121"/>
  <c r="C232" i="121"/>
  <c r="H232" i="121"/>
  <c r="B232" i="121"/>
  <c r="G233" i="121"/>
  <c r="C233" i="121"/>
  <c r="H233" i="121"/>
  <c r="B233" i="121"/>
  <c r="G234" i="121"/>
  <c r="C234" i="121"/>
  <c r="H234" i="121"/>
  <c r="B234" i="121"/>
  <c r="G235" i="121"/>
  <c r="C235" i="121"/>
  <c r="H235" i="121"/>
  <c r="B235" i="121"/>
  <c r="C236" i="121"/>
  <c r="H236" i="121"/>
  <c r="B236" i="121"/>
  <c r="G237" i="121"/>
  <c r="C237" i="121"/>
  <c r="H237" i="121"/>
  <c r="B237" i="121"/>
  <c r="G238" i="121"/>
  <c r="C238" i="121"/>
  <c r="H238" i="121"/>
  <c r="B238" i="121"/>
  <c r="G239" i="121"/>
  <c r="C239" i="121"/>
  <c r="H239" i="121"/>
  <c r="B239" i="121"/>
  <c r="G240" i="121"/>
  <c r="C240" i="121"/>
  <c r="H240" i="121"/>
  <c r="B240" i="121"/>
  <c r="G241" i="121"/>
  <c r="C241" i="121"/>
  <c r="H241" i="121"/>
  <c r="B241" i="121"/>
  <c r="G242" i="121"/>
  <c r="C242" i="121"/>
  <c r="H242" i="121"/>
  <c r="B242" i="121"/>
  <c r="G243" i="121"/>
  <c r="C243" i="121"/>
  <c r="H243" i="121"/>
  <c r="B243" i="121"/>
  <c r="G244" i="121"/>
  <c r="C244" i="121"/>
  <c r="H244" i="121"/>
  <c r="B244" i="121"/>
  <c r="G245" i="121"/>
  <c r="C245" i="121"/>
  <c r="H245" i="121"/>
  <c r="B245" i="121"/>
  <c r="G246" i="121"/>
  <c r="C246" i="121"/>
  <c r="H246" i="121"/>
  <c r="B246" i="121"/>
  <c r="G247" i="121"/>
  <c r="C247" i="121"/>
  <c r="H247" i="121"/>
  <c r="B247" i="121"/>
  <c r="G248" i="121"/>
  <c r="C248" i="121"/>
  <c r="H248" i="121"/>
  <c r="B248" i="121"/>
  <c r="G249" i="121"/>
  <c r="C249" i="121"/>
  <c r="H249" i="121"/>
  <c r="B249" i="121"/>
  <c r="G250" i="121"/>
  <c r="C250" i="121"/>
  <c r="H250" i="121"/>
  <c r="B250" i="121"/>
  <c r="G251" i="121"/>
  <c r="C251" i="121"/>
  <c r="H251" i="121"/>
  <c r="B251" i="121"/>
  <c r="G252" i="121"/>
  <c r="C252" i="121"/>
  <c r="H252" i="121"/>
  <c r="B252" i="121"/>
  <c r="G253" i="121"/>
  <c r="C253" i="121"/>
  <c r="H253" i="121"/>
  <c r="B253" i="121"/>
  <c r="G254" i="121"/>
  <c r="C254" i="121"/>
  <c r="H254" i="121"/>
  <c r="B254" i="121"/>
  <c r="G255" i="121"/>
  <c r="C255" i="121"/>
  <c r="H255" i="121"/>
  <c r="B255" i="121"/>
  <c r="G256" i="121"/>
  <c r="C256" i="121"/>
  <c r="H256" i="121"/>
  <c r="B256" i="121"/>
  <c r="G257" i="121"/>
  <c r="C257" i="121"/>
  <c r="H257" i="121"/>
  <c r="B257" i="121"/>
  <c r="G258" i="121"/>
  <c r="C258" i="121"/>
  <c r="H258" i="121"/>
  <c r="B258" i="121"/>
  <c r="G259" i="121"/>
  <c r="C259" i="121"/>
  <c r="H259" i="121"/>
  <c r="B259" i="121"/>
  <c r="G260" i="121"/>
  <c r="C260" i="121"/>
  <c r="H260" i="121"/>
  <c r="B260" i="121"/>
  <c r="G261" i="121"/>
  <c r="C261" i="121"/>
  <c r="H261" i="121"/>
  <c r="B261" i="121"/>
  <c r="G262" i="121"/>
  <c r="C262" i="121"/>
  <c r="H262" i="121"/>
  <c r="B262" i="121"/>
  <c r="G263" i="121"/>
  <c r="C263" i="121"/>
  <c r="H263" i="121"/>
  <c r="B263" i="121"/>
  <c r="G264" i="121"/>
  <c r="C264" i="121"/>
  <c r="H264" i="121"/>
  <c r="B264" i="121"/>
  <c r="G265" i="121"/>
  <c r="C265" i="121"/>
  <c r="H265" i="121"/>
  <c r="B265" i="121"/>
  <c r="H22" i="120"/>
  <c r="M139" i="121"/>
  <c r="M141" i="121"/>
  <c r="M143" i="121"/>
  <c r="M145" i="121"/>
  <c r="C17" i="120"/>
  <c r="D17" i="120"/>
  <c r="G17" i="120"/>
  <c r="H17" i="120"/>
  <c r="M2" i="121"/>
  <c r="C18" i="120"/>
  <c r="D18" i="120"/>
  <c r="G18" i="120"/>
  <c r="H18" i="120"/>
  <c r="M3" i="121"/>
  <c r="M4" i="121"/>
  <c r="M5" i="121"/>
  <c r="M6" i="121"/>
  <c r="M7" i="121"/>
  <c r="M8" i="121"/>
  <c r="M9" i="121"/>
  <c r="M10" i="121"/>
  <c r="M11" i="121"/>
  <c r="M12" i="121"/>
  <c r="M13" i="121"/>
  <c r="M14" i="121"/>
  <c r="M15" i="121"/>
  <c r="M16" i="121"/>
  <c r="M17" i="121"/>
  <c r="M18" i="121"/>
  <c r="M19" i="121"/>
  <c r="M20" i="121"/>
  <c r="M21" i="121"/>
  <c r="M22" i="121"/>
  <c r="M23" i="121"/>
  <c r="M24" i="121"/>
  <c r="M25" i="121"/>
  <c r="M26" i="121"/>
  <c r="M27" i="121"/>
  <c r="M28" i="121"/>
  <c r="M29" i="121"/>
  <c r="M30" i="121"/>
  <c r="M31" i="121"/>
  <c r="M32" i="121"/>
  <c r="M33" i="121"/>
  <c r="M34" i="121"/>
  <c r="M35" i="121"/>
  <c r="M36" i="121"/>
  <c r="M37" i="121"/>
  <c r="M38" i="121"/>
  <c r="M39" i="121"/>
  <c r="M40" i="121"/>
  <c r="M41" i="121"/>
  <c r="M42" i="121"/>
  <c r="M43" i="121"/>
  <c r="C21" i="120"/>
  <c r="D21" i="120"/>
  <c r="G21" i="120"/>
  <c r="H21" i="120"/>
  <c r="M44" i="121"/>
  <c r="M45" i="121"/>
  <c r="M46" i="121"/>
  <c r="M47" i="121"/>
  <c r="M48" i="121"/>
  <c r="M49" i="121"/>
  <c r="M50" i="121"/>
  <c r="M51" i="121"/>
  <c r="M52" i="121"/>
  <c r="M53" i="121"/>
  <c r="M54" i="121"/>
  <c r="M55" i="121"/>
  <c r="M56" i="121"/>
  <c r="M57" i="121"/>
  <c r="M58" i="121"/>
  <c r="M59" i="121"/>
  <c r="M60" i="121"/>
  <c r="M61" i="121"/>
  <c r="M62" i="121"/>
  <c r="M63" i="121"/>
  <c r="M64" i="121"/>
  <c r="M65" i="121"/>
  <c r="M66" i="121"/>
  <c r="M67" i="121"/>
  <c r="M68" i="121"/>
  <c r="M69" i="121"/>
  <c r="M70" i="121"/>
  <c r="M71" i="121"/>
  <c r="M72" i="121"/>
  <c r="M73" i="121"/>
  <c r="M74" i="121"/>
  <c r="M75" i="121"/>
  <c r="M76" i="121"/>
  <c r="M77" i="121"/>
  <c r="M78" i="121"/>
  <c r="M79" i="121"/>
  <c r="M80" i="121"/>
  <c r="M81" i="121"/>
  <c r="M82" i="121"/>
  <c r="M83" i="121"/>
  <c r="M84" i="121"/>
  <c r="M85" i="121"/>
  <c r="M86" i="121"/>
  <c r="M87" i="121"/>
  <c r="M88" i="121"/>
  <c r="M89" i="121"/>
  <c r="M90" i="121"/>
  <c r="M91" i="121"/>
  <c r="M92" i="121"/>
  <c r="M93" i="121"/>
  <c r="M94" i="121"/>
  <c r="M95" i="121"/>
  <c r="M96" i="121"/>
  <c r="M97" i="121"/>
  <c r="M98" i="121"/>
  <c r="M99" i="121"/>
  <c r="M100" i="121"/>
  <c r="M101" i="121"/>
  <c r="M102" i="121"/>
  <c r="M103" i="121"/>
  <c r="M104" i="121"/>
  <c r="M105" i="121"/>
  <c r="M106" i="121"/>
  <c r="M107" i="121"/>
  <c r="M108" i="121"/>
  <c r="M109" i="121"/>
  <c r="M110" i="121"/>
  <c r="M111" i="121"/>
  <c r="M112" i="121"/>
  <c r="M113" i="121"/>
  <c r="M114" i="121"/>
  <c r="M115" i="121"/>
  <c r="M116" i="121"/>
  <c r="M117" i="121"/>
  <c r="M118" i="121"/>
  <c r="M119" i="121"/>
  <c r="M120" i="121"/>
  <c r="M121" i="121"/>
  <c r="M122" i="121"/>
  <c r="M123" i="121"/>
  <c r="M124" i="121"/>
  <c r="M125" i="121"/>
  <c r="M126" i="121"/>
  <c r="M127" i="121"/>
  <c r="M128" i="121"/>
  <c r="M129" i="121"/>
  <c r="M130" i="121"/>
  <c r="M131" i="121"/>
  <c r="M132" i="121"/>
  <c r="M133" i="121"/>
  <c r="M134" i="121"/>
  <c r="M135" i="121"/>
  <c r="M136" i="121"/>
  <c r="M137" i="121"/>
  <c r="C19" i="120"/>
  <c r="D19" i="120"/>
  <c r="G19" i="120"/>
  <c r="H19" i="120"/>
  <c r="M138" i="121"/>
  <c r="M140" i="121"/>
  <c r="M142" i="121"/>
  <c r="M144" i="121"/>
  <c r="M146" i="121"/>
  <c r="M147" i="121"/>
  <c r="M148" i="121"/>
  <c r="M149" i="121"/>
  <c r="M150" i="121"/>
  <c r="M151" i="121"/>
  <c r="M152" i="121"/>
  <c r="M153" i="121"/>
  <c r="M154" i="121"/>
  <c r="M155" i="121"/>
  <c r="M156" i="121"/>
  <c r="M157" i="121"/>
  <c r="M158" i="121"/>
  <c r="M159" i="121"/>
  <c r="M160" i="121"/>
  <c r="M161" i="121"/>
  <c r="M162" i="121"/>
  <c r="M163" i="121"/>
  <c r="M164" i="121"/>
  <c r="M165" i="121"/>
  <c r="M166" i="121"/>
  <c r="M167" i="121"/>
  <c r="M168" i="121"/>
  <c r="M169" i="121"/>
  <c r="M170" i="121"/>
  <c r="M171" i="121"/>
  <c r="M172" i="121"/>
  <c r="M173" i="121"/>
  <c r="M174" i="121"/>
  <c r="M175" i="121"/>
  <c r="M176" i="121"/>
  <c r="M177" i="121"/>
  <c r="M178" i="121"/>
  <c r="M179" i="121"/>
  <c r="M180" i="121"/>
  <c r="M181" i="121"/>
  <c r="M182" i="121"/>
  <c r="M183" i="121"/>
  <c r="M184" i="121"/>
  <c r="M185" i="121"/>
  <c r="M186" i="121"/>
  <c r="M187" i="121"/>
  <c r="M188" i="121"/>
  <c r="M189" i="121"/>
  <c r="M190" i="121"/>
  <c r="M191" i="121"/>
  <c r="M192" i="121"/>
  <c r="M193" i="121"/>
  <c r="M194" i="121"/>
  <c r="M195" i="121"/>
  <c r="M196" i="121"/>
  <c r="M197" i="121"/>
  <c r="M198" i="121"/>
  <c r="M199" i="121"/>
  <c r="M200" i="121"/>
  <c r="M201" i="121"/>
  <c r="M202" i="121"/>
  <c r="M203" i="121"/>
  <c r="M204" i="121"/>
  <c r="M205" i="121"/>
  <c r="M206" i="121"/>
  <c r="M207" i="121"/>
  <c r="M208" i="121"/>
  <c r="M209" i="121"/>
  <c r="M210" i="121"/>
  <c r="M211" i="121"/>
  <c r="M212" i="121"/>
  <c r="M213" i="121"/>
  <c r="M214" i="121"/>
  <c r="M215" i="121"/>
  <c r="M216" i="121"/>
  <c r="M217" i="121"/>
  <c r="M218" i="121"/>
  <c r="M219" i="121"/>
  <c r="M220" i="121"/>
  <c r="M221" i="121"/>
  <c r="M222" i="121"/>
  <c r="M223" i="121"/>
  <c r="M224" i="121"/>
  <c r="M225" i="121"/>
  <c r="M226" i="121"/>
  <c r="M227" i="121"/>
  <c r="M228" i="121"/>
  <c r="M229" i="121"/>
  <c r="M230" i="121"/>
  <c r="M231" i="121"/>
  <c r="M232" i="121"/>
  <c r="M233" i="121"/>
  <c r="M234" i="121"/>
  <c r="M235" i="121"/>
  <c r="M236" i="121"/>
  <c r="M237" i="121"/>
  <c r="M238" i="121"/>
  <c r="M239" i="121"/>
  <c r="M240" i="121"/>
  <c r="M241" i="121"/>
  <c r="M242" i="121"/>
  <c r="M243" i="121"/>
  <c r="M244" i="121"/>
  <c r="M245" i="121"/>
  <c r="M246" i="121"/>
  <c r="M247" i="121"/>
  <c r="M248" i="121"/>
  <c r="M249" i="121"/>
  <c r="M250" i="121"/>
  <c r="M251" i="121"/>
  <c r="M252" i="121"/>
  <c r="M253" i="121"/>
  <c r="M254" i="121"/>
  <c r="M255" i="121"/>
  <c r="M256" i="121"/>
  <c r="M257" i="121"/>
  <c r="M258" i="121"/>
  <c r="M259" i="121"/>
  <c r="M260" i="121"/>
  <c r="M261" i="121"/>
  <c r="M262" i="121"/>
  <c r="M263" i="121"/>
  <c r="M264" i="121"/>
  <c r="M265" i="121"/>
  <c r="A2" i="106"/>
  <c r="T265" i="121"/>
  <c r="S265" i="121"/>
  <c r="R265" i="121"/>
  <c r="Q265" i="121"/>
  <c r="P265" i="121"/>
  <c r="O265" i="121"/>
  <c r="A32" i="120"/>
  <c r="B22" i="120"/>
  <c r="B21" i="120"/>
  <c r="B5" i="120"/>
  <c r="B17" i="120"/>
  <c r="B19" i="120"/>
  <c r="B18" i="120"/>
  <c r="N265" i="121"/>
  <c r="L265" i="121"/>
  <c r="K265" i="121"/>
  <c r="J265" i="121"/>
  <c r="I265" i="121"/>
  <c r="F265" i="121"/>
  <c r="A265" i="121"/>
  <c r="T264" i="121"/>
  <c r="S264" i="121"/>
  <c r="R264" i="121"/>
  <c r="Q264" i="121"/>
  <c r="P264" i="121"/>
  <c r="O264" i="121"/>
  <c r="N264" i="121"/>
  <c r="L264" i="121"/>
  <c r="K264" i="121"/>
  <c r="J264" i="121"/>
  <c r="I264" i="121"/>
  <c r="F264" i="121"/>
  <c r="A264" i="121"/>
  <c r="T263" i="121"/>
  <c r="S263" i="121"/>
  <c r="R263" i="121"/>
  <c r="Q263" i="121"/>
  <c r="P263" i="121"/>
  <c r="O263" i="121"/>
  <c r="N263" i="121"/>
  <c r="L263" i="121"/>
  <c r="K263" i="121"/>
  <c r="J263" i="121"/>
  <c r="I263" i="121"/>
  <c r="F263" i="121"/>
  <c r="A263" i="121"/>
  <c r="T262" i="121"/>
  <c r="S262" i="121"/>
  <c r="R262" i="121"/>
  <c r="Q262" i="121"/>
  <c r="P262" i="121"/>
  <c r="O262" i="121"/>
  <c r="N262" i="121"/>
  <c r="L262" i="121"/>
  <c r="K262" i="121"/>
  <c r="J262" i="121"/>
  <c r="I262" i="121"/>
  <c r="F262" i="121"/>
  <c r="A262" i="121"/>
  <c r="T261" i="121"/>
  <c r="S261" i="121"/>
  <c r="R261" i="121"/>
  <c r="Q261" i="121"/>
  <c r="P261" i="121"/>
  <c r="O261" i="121"/>
  <c r="N261" i="121"/>
  <c r="L261" i="121"/>
  <c r="K261" i="121"/>
  <c r="J261" i="121"/>
  <c r="I261" i="121"/>
  <c r="F261" i="121"/>
  <c r="A261" i="121"/>
  <c r="T260" i="121"/>
  <c r="S260" i="121"/>
  <c r="R260" i="121"/>
  <c r="Q260" i="121"/>
  <c r="P260" i="121"/>
  <c r="O260" i="121"/>
  <c r="N260" i="121"/>
  <c r="L260" i="121"/>
  <c r="K260" i="121"/>
  <c r="J260" i="121"/>
  <c r="I260" i="121"/>
  <c r="F260" i="121"/>
  <c r="A260" i="121"/>
  <c r="T259" i="121"/>
  <c r="S259" i="121"/>
  <c r="R259" i="121"/>
  <c r="Q259" i="121"/>
  <c r="P259" i="121"/>
  <c r="O259" i="121"/>
  <c r="N259" i="121"/>
  <c r="L259" i="121"/>
  <c r="K259" i="121"/>
  <c r="J259" i="121"/>
  <c r="I259" i="121"/>
  <c r="F259" i="121"/>
  <c r="A259" i="121"/>
  <c r="T258" i="121"/>
  <c r="S258" i="121"/>
  <c r="R258" i="121"/>
  <c r="Q258" i="121"/>
  <c r="P258" i="121"/>
  <c r="O258" i="121"/>
  <c r="N258" i="121"/>
  <c r="L258" i="121"/>
  <c r="K258" i="121"/>
  <c r="J258" i="121"/>
  <c r="I258" i="121"/>
  <c r="F258" i="121"/>
  <c r="A258" i="121"/>
  <c r="T257" i="121"/>
  <c r="S257" i="121"/>
  <c r="R257" i="121"/>
  <c r="Q257" i="121"/>
  <c r="P257" i="121"/>
  <c r="O257" i="121"/>
  <c r="N257" i="121"/>
  <c r="L257" i="121"/>
  <c r="K257" i="121"/>
  <c r="J257" i="121"/>
  <c r="I257" i="121"/>
  <c r="F257" i="121"/>
  <c r="A257" i="121"/>
  <c r="T256" i="121"/>
  <c r="S256" i="121"/>
  <c r="R256" i="121"/>
  <c r="Q256" i="121"/>
  <c r="P256" i="121"/>
  <c r="O256" i="121"/>
  <c r="N256" i="121"/>
  <c r="L256" i="121"/>
  <c r="K256" i="121"/>
  <c r="J256" i="121"/>
  <c r="I256" i="121"/>
  <c r="F256" i="121"/>
  <c r="A256" i="121"/>
  <c r="T255" i="121"/>
  <c r="S255" i="121"/>
  <c r="R255" i="121"/>
  <c r="Q255" i="121"/>
  <c r="P255" i="121"/>
  <c r="O255" i="121"/>
  <c r="N255" i="121"/>
  <c r="L255" i="121"/>
  <c r="K255" i="121"/>
  <c r="J255" i="121"/>
  <c r="I255" i="121"/>
  <c r="F255" i="121"/>
  <c r="A255" i="121"/>
  <c r="T254" i="121"/>
  <c r="S254" i="121"/>
  <c r="R254" i="121"/>
  <c r="Q254" i="121"/>
  <c r="P254" i="121"/>
  <c r="O254" i="121"/>
  <c r="N254" i="121"/>
  <c r="L254" i="121"/>
  <c r="K254" i="121"/>
  <c r="J254" i="121"/>
  <c r="I254" i="121"/>
  <c r="F254" i="121"/>
  <c r="A254" i="121"/>
  <c r="T253" i="121"/>
  <c r="S253" i="121"/>
  <c r="R253" i="121"/>
  <c r="Q253" i="121"/>
  <c r="P253" i="121"/>
  <c r="O253" i="121"/>
  <c r="N253" i="121"/>
  <c r="L253" i="121"/>
  <c r="K253" i="121"/>
  <c r="J253" i="121"/>
  <c r="I253" i="121"/>
  <c r="F253" i="121"/>
  <c r="A253" i="121"/>
  <c r="T252" i="121"/>
  <c r="S252" i="121"/>
  <c r="R252" i="121"/>
  <c r="Q252" i="121"/>
  <c r="P252" i="121"/>
  <c r="O252" i="121"/>
  <c r="N252" i="121"/>
  <c r="L252" i="121"/>
  <c r="K252" i="121"/>
  <c r="J252" i="121"/>
  <c r="I252" i="121"/>
  <c r="F252" i="121"/>
  <c r="A252" i="121"/>
  <c r="T251" i="121"/>
  <c r="S251" i="121"/>
  <c r="R251" i="121"/>
  <c r="Q251" i="121"/>
  <c r="P251" i="121"/>
  <c r="O251" i="121"/>
  <c r="N251" i="121"/>
  <c r="L251" i="121"/>
  <c r="K251" i="121"/>
  <c r="J251" i="121"/>
  <c r="I251" i="121"/>
  <c r="F251" i="121"/>
  <c r="A251" i="121"/>
  <c r="T250" i="121"/>
  <c r="S250" i="121"/>
  <c r="R250" i="121"/>
  <c r="Q250" i="121"/>
  <c r="P250" i="121"/>
  <c r="O250" i="121"/>
  <c r="N250" i="121"/>
  <c r="L250" i="121"/>
  <c r="K250" i="121"/>
  <c r="J250" i="121"/>
  <c r="I250" i="121"/>
  <c r="F250" i="121"/>
  <c r="A250" i="121"/>
  <c r="T249" i="121"/>
  <c r="S249" i="121"/>
  <c r="R249" i="121"/>
  <c r="Q249" i="121"/>
  <c r="P249" i="121"/>
  <c r="O249" i="121"/>
  <c r="N249" i="121"/>
  <c r="L249" i="121"/>
  <c r="K249" i="121"/>
  <c r="J249" i="121"/>
  <c r="I249" i="121"/>
  <c r="F249" i="121"/>
  <c r="A249" i="121"/>
  <c r="T248" i="121"/>
  <c r="S248" i="121"/>
  <c r="R248" i="121"/>
  <c r="Q248" i="121"/>
  <c r="P248" i="121"/>
  <c r="O248" i="121"/>
  <c r="N248" i="121"/>
  <c r="L248" i="121"/>
  <c r="K248" i="121"/>
  <c r="J248" i="121"/>
  <c r="I248" i="121"/>
  <c r="F248" i="121"/>
  <c r="A248" i="121"/>
  <c r="T247" i="121"/>
  <c r="S247" i="121"/>
  <c r="R247" i="121"/>
  <c r="Q247" i="121"/>
  <c r="P247" i="121"/>
  <c r="O247" i="121"/>
  <c r="N247" i="121"/>
  <c r="L247" i="121"/>
  <c r="K247" i="121"/>
  <c r="J247" i="121"/>
  <c r="I247" i="121"/>
  <c r="F247" i="121"/>
  <c r="A247" i="121"/>
  <c r="T246" i="121"/>
  <c r="S246" i="121"/>
  <c r="R246" i="121"/>
  <c r="Q246" i="121"/>
  <c r="P246" i="121"/>
  <c r="O246" i="121"/>
  <c r="N246" i="121"/>
  <c r="L246" i="121"/>
  <c r="K246" i="121"/>
  <c r="J246" i="121"/>
  <c r="I246" i="121"/>
  <c r="F246" i="121"/>
  <c r="A246" i="121"/>
  <c r="T245" i="121"/>
  <c r="S245" i="121"/>
  <c r="R245" i="121"/>
  <c r="Q245" i="121"/>
  <c r="P245" i="121"/>
  <c r="O245" i="121"/>
  <c r="N245" i="121"/>
  <c r="L245" i="121"/>
  <c r="K245" i="121"/>
  <c r="J245" i="121"/>
  <c r="I245" i="121"/>
  <c r="F245" i="121"/>
  <c r="A245" i="121"/>
  <c r="T244" i="121"/>
  <c r="S244" i="121"/>
  <c r="R244" i="121"/>
  <c r="Q244" i="121"/>
  <c r="P244" i="121"/>
  <c r="O244" i="121"/>
  <c r="N244" i="121"/>
  <c r="L244" i="121"/>
  <c r="K244" i="121"/>
  <c r="J244" i="121"/>
  <c r="I244" i="121"/>
  <c r="F244" i="121"/>
  <c r="A244" i="121"/>
  <c r="T243" i="121"/>
  <c r="S243" i="121"/>
  <c r="R243" i="121"/>
  <c r="Q243" i="121"/>
  <c r="P243" i="121"/>
  <c r="O243" i="121"/>
  <c r="N243" i="121"/>
  <c r="L243" i="121"/>
  <c r="K243" i="121"/>
  <c r="J243" i="121"/>
  <c r="I243" i="121"/>
  <c r="F243" i="121"/>
  <c r="A243" i="121"/>
  <c r="T242" i="121"/>
  <c r="S242" i="121"/>
  <c r="R242" i="121"/>
  <c r="Q242" i="121"/>
  <c r="P242" i="121"/>
  <c r="O242" i="121"/>
  <c r="N242" i="121"/>
  <c r="L242" i="121"/>
  <c r="K242" i="121"/>
  <c r="J242" i="121"/>
  <c r="I242" i="121"/>
  <c r="F242" i="121"/>
  <c r="A242" i="121"/>
  <c r="T241" i="121"/>
  <c r="S241" i="121"/>
  <c r="R241" i="121"/>
  <c r="Q241" i="121"/>
  <c r="P241" i="121"/>
  <c r="O241" i="121"/>
  <c r="N241" i="121"/>
  <c r="L241" i="121"/>
  <c r="K241" i="121"/>
  <c r="J241" i="121"/>
  <c r="I241" i="121"/>
  <c r="F241" i="121"/>
  <c r="A241" i="121"/>
  <c r="T240" i="121"/>
  <c r="S240" i="121"/>
  <c r="R240" i="121"/>
  <c r="Q240" i="121"/>
  <c r="P240" i="121"/>
  <c r="O240" i="121"/>
  <c r="N240" i="121"/>
  <c r="L240" i="121"/>
  <c r="K240" i="121"/>
  <c r="J240" i="121"/>
  <c r="I240" i="121"/>
  <c r="F240" i="121"/>
  <c r="A240" i="121"/>
  <c r="T239" i="121"/>
  <c r="S239" i="121"/>
  <c r="R239" i="121"/>
  <c r="Q239" i="121"/>
  <c r="P239" i="121"/>
  <c r="O239" i="121"/>
  <c r="N239" i="121"/>
  <c r="L239" i="121"/>
  <c r="K239" i="121"/>
  <c r="J239" i="121"/>
  <c r="I239" i="121"/>
  <c r="F239" i="121"/>
  <c r="A239" i="121"/>
  <c r="T238" i="121"/>
  <c r="S238" i="121"/>
  <c r="R238" i="121"/>
  <c r="Q238" i="121"/>
  <c r="P238" i="121"/>
  <c r="O238" i="121"/>
  <c r="N238" i="121"/>
  <c r="L238" i="121"/>
  <c r="K238" i="121"/>
  <c r="J238" i="121"/>
  <c r="I238" i="121"/>
  <c r="F238" i="121"/>
  <c r="A238" i="121"/>
  <c r="T237" i="121"/>
  <c r="S237" i="121"/>
  <c r="R237" i="121"/>
  <c r="Q237" i="121"/>
  <c r="P237" i="121"/>
  <c r="O237" i="121"/>
  <c r="N237" i="121"/>
  <c r="L237" i="121"/>
  <c r="K237" i="121"/>
  <c r="J237" i="121"/>
  <c r="I237" i="121"/>
  <c r="F237" i="121"/>
  <c r="A237" i="121"/>
  <c r="T236" i="121"/>
  <c r="S236" i="121"/>
  <c r="R236" i="121"/>
  <c r="Q236" i="121"/>
  <c r="P236" i="121"/>
  <c r="O236" i="121"/>
  <c r="N236" i="121"/>
  <c r="L236" i="121"/>
  <c r="K236" i="121"/>
  <c r="J236" i="121"/>
  <c r="I236" i="121"/>
  <c r="F236" i="121"/>
  <c r="A236" i="121"/>
  <c r="T235" i="121"/>
  <c r="S235" i="121"/>
  <c r="R235" i="121"/>
  <c r="Q235" i="121"/>
  <c r="P235" i="121"/>
  <c r="O235" i="121"/>
  <c r="N235" i="121"/>
  <c r="L235" i="121"/>
  <c r="K235" i="121"/>
  <c r="J235" i="121"/>
  <c r="I235" i="121"/>
  <c r="F235" i="121"/>
  <c r="A235" i="121"/>
  <c r="T234" i="121"/>
  <c r="S234" i="121"/>
  <c r="R234" i="121"/>
  <c r="Q234" i="121"/>
  <c r="P234" i="121"/>
  <c r="O234" i="121"/>
  <c r="N234" i="121"/>
  <c r="L234" i="121"/>
  <c r="K234" i="121"/>
  <c r="J234" i="121"/>
  <c r="I234" i="121"/>
  <c r="F234" i="121"/>
  <c r="A234" i="121"/>
  <c r="T233" i="121"/>
  <c r="S233" i="121"/>
  <c r="R233" i="121"/>
  <c r="Q233" i="121"/>
  <c r="P233" i="121"/>
  <c r="O233" i="121"/>
  <c r="N233" i="121"/>
  <c r="L233" i="121"/>
  <c r="K233" i="121"/>
  <c r="J233" i="121"/>
  <c r="I233" i="121"/>
  <c r="F233" i="121"/>
  <c r="A233" i="121"/>
  <c r="T232" i="121"/>
  <c r="S232" i="121"/>
  <c r="R232" i="121"/>
  <c r="Q232" i="121"/>
  <c r="P232" i="121"/>
  <c r="O232" i="121"/>
  <c r="N232" i="121"/>
  <c r="L232" i="121"/>
  <c r="K232" i="121"/>
  <c r="J232" i="121"/>
  <c r="I232" i="121"/>
  <c r="F232" i="121"/>
  <c r="A232" i="121"/>
  <c r="T231" i="121"/>
  <c r="S231" i="121"/>
  <c r="R231" i="121"/>
  <c r="Q231" i="121"/>
  <c r="P231" i="121"/>
  <c r="O231" i="121"/>
  <c r="N231" i="121"/>
  <c r="L231" i="121"/>
  <c r="K231" i="121"/>
  <c r="J231" i="121"/>
  <c r="I231" i="121"/>
  <c r="F231" i="121"/>
  <c r="A231" i="121"/>
  <c r="T230" i="121"/>
  <c r="S230" i="121"/>
  <c r="R230" i="121"/>
  <c r="Q230" i="121"/>
  <c r="P230" i="121"/>
  <c r="O230" i="121"/>
  <c r="N230" i="121"/>
  <c r="L230" i="121"/>
  <c r="K230" i="121"/>
  <c r="J230" i="121"/>
  <c r="I230" i="121"/>
  <c r="F230" i="121"/>
  <c r="A230" i="121"/>
  <c r="T229" i="121"/>
  <c r="S229" i="121"/>
  <c r="R229" i="121"/>
  <c r="Q229" i="121"/>
  <c r="P229" i="121"/>
  <c r="O229" i="121"/>
  <c r="N229" i="121"/>
  <c r="L229" i="121"/>
  <c r="K229" i="121"/>
  <c r="J229" i="121"/>
  <c r="I229" i="121"/>
  <c r="F229" i="121"/>
  <c r="A229" i="121"/>
  <c r="T228" i="121"/>
  <c r="S228" i="121"/>
  <c r="R228" i="121"/>
  <c r="Q228" i="121"/>
  <c r="P228" i="121"/>
  <c r="O228" i="121"/>
  <c r="N228" i="121"/>
  <c r="L228" i="121"/>
  <c r="K228" i="121"/>
  <c r="J228" i="121"/>
  <c r="I228" i="121"/>
  <c r="F228" i="121"/>
  <c r="A228" i="121"/>
  <c r="T227" i="121"/>
  <c r="S227" i="121"/>
  <c r="R227" i="121"/>
  <c r="Q227" i="121"/>
  <c r="P227" i="121"/>
  <c r="O227" i="121"/>
  <c r="N227" i="121"/>
  <c r="L227" i="121"/>
  <c r="K227" i="121"/>
  <c r="J227" i="121"/>
  <c r="I227" i="121"/>
  <c r="F227" i="121"/>
  <c r="A227" i="121"/>
  <c r="T226" i="121"/>
  <c r="S226" i="121"/>
  <c r="R226" i="121"/>
  <c r="Q226" i="121"/>
  <c r="P226" i="121"/>
  <c r="O226" i="121"/>
  <c r="N226" i="121"/>
  <c r="L226" i="121"/>
  <c r="K226" i="121"/>
  <c r="J226" i="121"/>
  <c r="I226" i="121"/>
  <c r="F226" i="121"/>
  <c r="A226" i="121"/>
  <c r="T225" i="121"/>
  <c r="S225" i="121"/>
  <c r="R225" i="121"/>
  <c r="Q225" i="121"/>
  <c r="P225" i="121"/>
  <c r="O225" i="121"/>
  <c r="N225" i="121"/>
  <c r="L225" i="121"/>
  <c r="K225" i="121"/>
  <c r="J225" i="121"/>
  <c r="I225" i="121"/>
  <c r="F225" i="121"/>
  <c r="A225" i="121"/>
  <c r="T224" i="121"/>
  <c r="S224" i="121"/>
  <c r="R224" i="121"/>
  <c r="Q224" i="121"/>
  <c r="P224" i="121"/>
  <c r="O224" i="121"/>
  <c r="N224" i="121"/>
  <c r="L224" i="121"/>
  <c r="K224" i="121"/>
  <c r="J224" i="121"/>
  <c r="I224" i="121"/>
  <c r="F224" i="121"/>
  <c r="A224" i="121"/>
  <c r="T223" i="121"/>
  <c r="S223" i="121"/>
  <c r="R223" i="121"/>
  <c r="Q223" i="121"/>
  <c r="P223" i="121"/>
  <c r="O223" i="121"/>
  <c r="N223" i="121"/>
  <c r="L223" i="121"/>
  <c r="K223" i="121"/>
  <c r="J223" i="121"/>
  <c r="I223" i="121"/>
  <c r="F223" i="121"/>
  <c r="A223" i="121"/>
  <c r="T222" i="121"/>
  <c r="S222" i="121"/>
  <c r="R222" i="121"/>
  <c r="Q222" i="121"/>
  <c r="P222" i="121"/>
  <c r="O222" i="121"/>
  <c r="N222" i="121"/>
  <c r="L222" i="121"/>
  <c r="K222" i="121"/>
  <c r="J222" i="121"/>
  <c r="I222" i="121"/>
  <c r="F222" i="121"/>
  <c r="A222" i="121"/>
  <c r="T221" i="121"/>
  <c r="S221" i="121"/>
  <c r="R221" i="121"/>
  <c r="Q221" i="121"/>
  <c r="P221" i="121"/>
  <c r="O221" i="121"/>
  <c r="N221" i="121"/>
  <c r="L221" i="121"/>
  <c r="K221" i="121"/>
  <c r="J221" i="121"/>
  <c r="I221" i="121"/>
  <c r="F221" i="121"/>
  <c r="A221" i="121"/>
  <c r="T220" i="121"/>
  <c r="S220" i="121"/>
  <c r="R220" i="121"/>
  <c r="Q220" i="121"/>
  <c r="P220" i="121"/>
  <c r="O220" i="121"/>
  <c r="N220" i="121"/>
  <c r="L220" i="121"/>
  <c r="K220" i="121"/>
  <c r="J220" i="121"/>
  <c r="I220" i="121"/>
  <c r="F220" i="121"/>
  <c r="A220" i="121"/>
  <c r="T219" i="121"/>
  <c r="S219" i="121"/>
  <c r="R219" i="121"/>
  <c r="Q219" i="121"/>
  <c r="P219" i="121"/>
  <c r="O219" i="121"/>
  <c r="N219" i="121"/>
  <c r="L219" i="121"/>
  <c r="K219" i="121"/>
  <c r="J219" i="121"/>
  <c r="I219" i="121"/>
  <c r="F219" i="121"/>
  <c r="A219" i="121"/>
  <c r="T218" i="121"/>
  <c r="S218" i="121"/>
  <c r="R218" i="121"/>
  <c r="Q218" i="121"/>
  <c r="P218" i="121"/>
  <c r="O218" i="121"/>
  <c r="N218" i="121"/>
  <c r="L218" i="121"/>
  <c r="K218" i="121"/>
  <c r="J218" i="121"/>
  <c r="I218" i="121"/>
  <c r="F218" i="121"/>
  <c r="A218" i="121"/>
  <c r="T217" i="121"/>
  <c r="S217" i="121"/>
  <c r="R217" i="121"/>
  <c r="Q217" i="121"/>
  <c r="P217" i="121"/>
  <c r="O217" i="121"/>
  <c r="N217" i="121"/>
  <c r="L217" i="121"/>
  <c r="K217" i="121"/>
  <c r="J217" i="121"/>
  <c r="I217" i="121"/>
  <c r="F217" i="121"/>
  <c r="A217" i="121"/>
  <c r="T216" i="121"/>
  <c r="S216" i="121"/>
  <c r="R216" i="121"/>
  <c r="Q216" i="121"/>
  <c r="P216" i="121"/>
  <c r="O216" i="121"/>
  <c r="N216" i="121"/>
  <c r="L216" i="121"/>
  <c r="K216" i="121"/>
  <c r="J216" i="121"/>
  <c r="I216" i="121"/>
  <c r="F216" i="121"/>
  <c r="A216" i="121"/>
  <c r="T215" i="121"/>
  <c r="S215" i="121"/>
  <c r="R215" i="121"/>
  <c r="Q215" i="121"/>
  <c r="P215" i="121"/>
  <c r="O215" i="121"/>
  <c r="N215" i="121"/>
  <c r="L215" i="121"/>
  <c r="K215" i="121"/>
  <c r="J215" i="121"/>
  <c r="I215" i="121"/>
  <c r="F215" i="121"/>
  <c r="A215" i="121"/>
  <c r="T214" i="121"/>
  <c r="S214" i="121"/>
  <c r="R214" i="121"/>
  <c r="Q214" i="121"/>
  <c r="P214" i="121"/>
  <c r="O214" i="121"/>
  <c r="N214" i="121"/>
  <c r="L214" i="121"/>
  <c r="K214" i="121"/>
  <c r="J214" i="121"/>
  <c r="I214" i="121"/>
  <c r="F214" i="121"/>
  <c r="A214" i="121"/>
  <c r="T213" i="121"/>
  <c r="S213" i="121"/>
  <c r="R213" i="121"/>
  <c r="Q213" i="121"/>
  <c r="P213" i="121"/>
  <c r="O213" i="121"/>
  <c r="N213" i="121"/>
  <c r="L213" i="121"/>
  <c r="K213" i="121"/>
  <c r="J213" i="121"/>
  <c r="I213" i="121"/>
  <c r="F213" i="121"/>
  <c r="A213" i="121"/>
  <c r="T212" i="121"/>
  <c r="S212" i="121"/>
  <c r="R212" i="121"/>
  <c r="Q212" i="121"/>
  <c r="P212" i="121"/>
  <c r="O212" i="121"/>
  <c r="N212" i="121"/>
  <c r="L212" i="121"/>
  <c r="K212" i="121"/>
  <c r="J212" i="121"/>
  <c r="I212" i="121"/>
  <c r="F212" i="121"/>
  <c r="A212" i="121"/>
  <c r="T211" i="121"/>
  <c r="S211" i="121"/>
  <c r="R211" i="121"/>
  <c r="Q211" i="121"/>
  <c r="P211" i="121"/>
  <c r="O211" i="121"/>
  <c r="N211" i="121"/>
  <c r="L211" i="121"/>
  <c r="K211" i="121"/>
  <c r="J211" i="121"/>
  <c r="I211" i="121"/>
  <c r="F211" i="121"/>
  <c r="A211" i="121"/>
  <c r="T210" i="121"/>
  <c r="S210" i="121"/>
  <c r="R210" i="121"/>
  <c r="Q210" i="121"/>
  <c r="P210" i="121"/>
  <c r="O210" i="121"/>
  <c r="N210" i="121"/>
  <c r="L210" i="121"/>
  <c r="K210" i="121"/>
  <c r="J210" i="121"/>
  <c r="I210" i="121"/>
  <c r="F210" i="121"/>
  <c r="A210" i="121"/>
  <c r="T209" i="121"/>
  <c r="S209" i="121"/>
  <c r="R209" i="121"/>
  <c r="Q209" i="121"/>
  <c r="P209" i="121"/>
  <c r="O209" i="121"/>
  <c r="N209" i="121"/>
  <c r="L209" i="121"/>
  <c r="K209" i="121"/>
  <c r="J209" i="121"/>
  <c r="I209" i="121"/>
  <c r="F209" i="121"/>
  <c r="A209" i="121"/>
  <c r="T208" i="121"/>
  <c r="S208" i="121"/>
  <c r="R208" i="121"/>
  <c r="Q208" i="121"/>
  <c r="P208" i="121"/>
  <c r="O208" i="121"/>
  <c r="N208" i="121"/>
  <c r="L208" i="121"/>
  <c r="K208" i="121"/>
  <c r="J208" i="121"/>
  <c r="I208" i="121"/>
  <c r="F208" i="121"/>
  <c r="A208" i="121"/>
  <c r="T207" i="121"/>
  <c r="S207" i="121"/>
  <c r="R207" i="121"/>
  <c r="Q207" i="121"/>
  <c r="P207" i="121"/>
  <c r="O207" i="121"/>
  <c r="N207" i="121"/>
  <c r="L207" i="121"/>
  <c r="K207" i="121"/>
  <c r="J207" i="121"/>
  <c r="I207" i="121"/>
  <c r="F207" i="121"/>
  <c r="A207" i="121"/>
  <c r="T206" i="121"/>
  <c r="S206" i="121"/>
  <c r="R206" i="121"/>
  <c r="Q206" i="121"/>
  <c r="P206" i="121"/>
  <c r="O206" i="121"/>
  <c r="N206" i="121"/>
  <c r="L206" i="121"/>
  <c r="K206" i="121"/>
  <c r="J206" i="121"/>
  <c r="I206" i="121"/>
  <c r="F206" i="121"/>
  <c r="A206" i="121"/>
  <c r="T205" i="121"/>
  <c r="S205" i="121"/>
  <c r="R205" i="121"/>
  <c r="Q205" i="121"/>
  <c r="P205" i="121"/>
  <c r="O205" i="121"/>
  <c r="N205" i="121"/>
  <c r="L205" i="121"/>
  <c r="K205" i="121"/>
  <c r="J205" i="121"/>
  <c r="I205" i="121"/>
  <c r="F205" i="121"/>
  <c r="A205" i="121"/>
  <c r="T204" i="121"/>
  <c r="S204" i="121"/>
  <c r="R204" i="121"/>
  <c r="Q204" i="121"/>
  <c r="P204" i="121"/>
  <c r="O204" i="121"/>
  <c r="N204" i="121"/>
  <c r="L204" i="121"/>
  <c r="K204" i="121"/>
  <c r="J204" i="121"/>
  <c r="I204" i="121"/>
  <c r="F204" i="121"/>
  <c r="A204" i="121"/>
  <c r="T203" i="121"/>
  <c r="S203" i="121"/>
  <c r="R203" i="121"/>
  <c r="Q203" i="121"/>
  <c r="P203" i="121"/>
  <c r="O203" i="121"/>
  <c r="N203" i="121"/>
  <c r="L203" i="121"/>
  <c r="K203" i="121"/>
  <c r="J203" i="121"/>
  <c r="I203" i="121"/>
  <c r="F203" i="121"/>
  <c r="A203" i="121"/>
  <c r="T202" i="121"/>
  <c r="S202" i="121"/>
  <c r="R202" i="121"/>
  <c r="Q202" i="121"/>
  <c r="P202" i="121"/>
  <c r="O202" i="121"/>
  <c r="N202" i="121"/>
  <c r="L202" i="121"/>
  <c r="K202" i="121"/>
  <c r="J202" i="121"/>
  <c r="I202" i="121"/>
  <c r="F202" i="121"/>
  <c r="A202" i="121"/>
  <c r="T201" i="121"/>
  <c r="S201" i="121"/>
  <c r="R201" i="121"/>
  <c r="Q201" i="121"/>
  <c r="P201" i="121"/>
  <c r="O201" i="121"/>
  <c r="N201" i="121"/>
  <c r="L201" i="121"/>
  <c r="K201" i="121"/>
  <c r="J201" i="121"/>
  <c r="I201" i="121"/>
  <c r="F201" i="121"/>
  <c r="A201" i="121"/>
  <c r="T200" i="121"/>
  <c r="S200" i="121"/>
  <c r="R200" i="121"/>
  <c r="Q200" i="121"/>
  <c r="P200" i="121"/>
  <c r="O200" i="121"/>
  <c r="N200" i="121"/>
  <c r="L200" i="121"/>
  <c r="K200" i="121"/>
  <c r="J200" i="121"/>
  <c r="I200" i="121"/>
  <c r="F200" i="121"/>
  <c r="A200" i="121"/>
  <c r="T199" i="121"/>
  <c r="S199" i="121"/>
  <c r="R199" i="121"/>
  <c r="Q199" i="121"/>
  <c r="P199" i="121"/>
  <c r="O199" i="121"/>
  <c r="N199" i="121"/>
  <c r="L199" i="121"/>
  <c r="K199" i="121"/>
  <c r="J199" i="121"/>
  <c r="I199" i="121"/>
  <c r="F199" i="121"/>
  <c r="A199" i="121"/>
  <c r="T198" i="121"/>
  <c r="S198" i="121"/>
  <c r="R198" i="121"/>
  <c r="Q198" i="121"/>
  <c r="P198" i="121"/>
  <c r="O198" i="121"/>
  <c r="N198" i="121"/>
  <c r="L198" i="121"/>
  <c r="K198" i="121"/>
  <c r="J198" i="121"/>
  <c r="I198" i="121"/>
  <c r="F198" i="121"/>
  <c r="A198" i="121"/>
  <c r="T197" i="121"/>
  <c r="S197" i="121"/>
  <c r="R197" i="121"/>
  <c r="Q197" i="121"/>
  <c r="P197" i="121"/>
  <c r="O197" i="121"/>
  <c r="N197" i="121"/>
  <c r="L197" i="121"/>
  <c r="K197" i="121"/>
  <c r="J197" i="121"/>
  <c r="I197" i="121"/>
  <c r="F197" i="121"/>
  <c r="A197" i="121"/>
  <c r="T196" i="121"/>
  <c r="S196" i="121"/>
  <c r="R196" i="121"/>
  <c r="Q196" i="121"/>
  <c r="P196" i="121"/>
  <c r="O196" i="121"/>
  <c r="N196" i="121"/>
  <c r="L196" i="121"/>
  <c r="K196" i="121"/>
  <c r="J196" i="121"/>
  <c r="I196" i="121"/>
  <c r="F196" i="121"/>
  <c r="A196" i="121"/>
  <c r="T195" i="121"/>
  <c r="S195" i="121"/>
  <c r="R195" i="121"/>
  <c r="Q195" i="121"/>
  <c r="P195" i="121"/>
  <c r="O195" i="121"/>
  <c r="N195" i="121"/>
  <c r="L195" i="121"/>
  <c r="K195" i="121"/>
  <c r="J195" i="121"/>
  <c r="I195" i="121"/>
  <c r="F195" i="121"/>
  <c r="A195" i="121"/>
  <c r="T194" i="121"/>
  <c r="S194" i="121"/>
  <c r="R194" i="121"/>
  <c r="Q194" i="121"/>
  <c r="P194" i="121"/>
  <c r="O194" i="121"/>
  <c r="N194" i="121"/>
  <c r="L194" i="121"/>
  <c r="K194" i="121"/>
  <c r="J194" i="121"/>
  <c r="I194" i="121"/>
  <c r="F194" i="121"/>
  <c r="A194" i="121"/>
  <c r="T193" i="121"/>
  <c r="S193" i="121"/>
  <c r="R193" i="121"/>
  <c r="Q193" i="121"/>
  <c r="P193" i="121"/>
  <c r="O193" i="121"/>
  <c r="N193" i="121"/>
  <c r="L193" i="121"/>
  <c r="K193" i="121"/>
  <c r="J193" i="121"/>
  <c r="I193" i="121"/>
  <c r="F193" i="121"/>
  <c r="A193" i="121"/>
  <c r="T192" i="121"/>
  <c r="S192" i="121"/>
  <c r="R192" i="121"/>
  <c r="Q192" i="121"/>
  <c r="P192" i="121"/>
  <c r="O192" i="121"/>
  <c r="N192" i="121"/>
  <c r="L192" i="121"/>
  <c r="K192" i="121"/>
  <c r="J192" i="121"/>
  <c r="I192" i="121"/>
  <c r="F192" i="121"/>
  <c r="A192" i="121"/>
  <c r="T191" i="121"/>
  <c r="S191" i="121"/>
  <c r="R191" i="121"/>
  <c r="Q191" i="121"/>
  <c r="P191" i="121"/>
  <c r="O191" i="121"/>
  <c r="N191" i="121"/>
  <c r="L191" i="121"/>
  <c r="K191" i="121"/>
  <c r="J191" i="121"/>
  <c r="I191" i="121"/>
  <c r="F191" i="121"/>
  <c r="A191" i="121"/>
  <c r="T190" i="121"/>
  <c r="S190" i="121"/>
  <c r="R190" i="121"/>
  <c r="Q190" i="121"/>
  <c r="P190" i="121"/>
  <c r="O190" i="121"/>
  <c r="N190" i="121"/>
  <c r="L190" i="121"/>
  <c r="K190" i="121"/>
  <c r="J190" i="121"/>
  <c r="I190" i="121"/>
  <c r="F190" i="121"/>
  <c r="A190" i="121"/>
  <c r="T189" i="121"/>
  <c r="S189" i="121"/>
  <c r="R189" i="121"/>
  <c r="Q189" i="121"/>
  <c r="P189" i="121"/>
  <c r="O189" i="121"/>
  <c r="N189" i="121"/>
  <c r="L189" i="121"/>
  <c r="K189" i="121"/>
  <c r="J189" i="121"/>
  <c r="I189" i="121"/>
  <c r="F189" i="121"/>
  <c r="A189" i="121"/>
  <c r="T188" i="121"/>
  <c r="S188" i="121"/>
  <c r="R188" i="121"/>
  <c r="Q188" i="121"/>
  <c r="P188" i="121"/>
  <c r="O188" i="121"/>
  <c r="N188" i="121"/>
  <c r="L188" i="121"/>
  <c r="K188" i="121"/>
  <c r="J188" i="121"/>
  <c r="I188" i="121"/>
  <c r="F188" i="121"/>
  <c r="A188" i="121"/>
  <c r="T187" i="121"/>
  <c r="S187" i="121"/>
  <c r="R187" i="121"/>
  <c r="Q187" i="121"/>
  <c r="P187" i="121"/>
  <c r="O187" i="121"/>
  <c r="N187" i="121"/>
  <c r="L187" i="121"/>
  <c r="K187" i="121"/>
  <c r="J187" i="121"/>
  <c r="I187" i="121"/>
  <c r="F187" i="121"/>
  <c r="A187" i="121"/>
  <c r="T186" i="121"/>
  <c r="S186" i="121"/>
  <c r="R186" i="121"/>
  <c r="Q186" i="121"/>
  <c r="P186" i="121"/>
  <c r="O186" i="121"/>
  <c r="N186" i="121"/>
  <c r="L186" i="121"/>
  <c r="K186" i="121"/>
  <c r="J186" i="121"/>
  <c r="I186" i="121"/>
  <c r="F186" i="121"/>
  <c r="A186" i="121"/>
  <c r="T185" i="121"/>
  <c r="S185" i="121"/>
  <c r="R185" i="121"/>
  <c r="Q185" i="121"/>
  <c r="P185" i="121"/>
  <c r="O185" i="121"/>
  <c r="N185" i="121"/>
  <c r="L185" i="121"/>
  <c r="K185" i="121"/>
  <c r="J185" i="121"/>
  <c r="I185" i="121"/>
  <c r="F185" i="121"/>
  <c r="A185" i="121"/>
  <c r="T184" i="121"/>
  <c r="S184" i="121"/>
  <c r="R184" i="121"/>
  <c r="Q184" i="121"/>
  <c r="P184" i="121"/>
  <c r="O184" i="121"/>
  <c r="N184" i="121"/>
  <c r="L184" i="121"/>
  <c r="K184" i="121"/>
  <c r="J184" i="121"/>
  <c r="I184" i="121"/>
  <c r="F184" i="121"/>
  <c r="A184" i="121"/>
  <c r="T183" i="121"/>
  <c r="S183" i="121"/>
  <c r="R183" i="121"/>
  <c r="Q183" i="121"/>
  <c r="P183" i="121"/>
  <c r="O183" i="121"/>
  <c r="N183" i="121"/>
  <c r="L183" i="121"/>
  <c r="K183" i="121"/>
  <c r="J183" i="121"/>
  <c r="I183" i="121"/>
  <c r="F183" i="121"/>
  <c r="A183" i="121"/>
  <c r="T182" i="121"/>
  <c r="S182" i="121"/>
  <c r="R182" i="121"/>
  <c r="Q182" i="121"/>
  <c r="P182" i="121"/>
  <c r="O182" i="121"/>
  <c r="N182" i="121"/>
  <c r="L182" i="121"/>
  <c r="K182" i="121"/>
  <c r="J182" i="121"/>
  <c r="I182" i="121"/>
  <c r="F182" i="121"/>
  <c r="A182" i="121"/>
  <c r="T181" i="121"/>
  <c r="S181" i="121"/>
  <c r="R181" i="121"/>
  <c r="Q181" i="121"/>
  <c r="P181" i="121"/>
  <c r="O181" i="121"/>
  <c r="N181" i="121"/>
  <c r="L181" i="121"/>
  <c r="K181" i="121"/>
  <c r="J181" i="121"/>
  <c r="I181" i="121"/>
  <c r="F181" i="121"/>
  <c r="A181" i="121"/>
  <c r="T180" i="121"/>
  <c r="S180" i="121"/>
  <c r="R180" i="121"/>
  <c r="Q180" i="121"/>
  <c r="P180" i="121"/>
  <c r="O180" i="121"/>
  <c r="N180" i="121"/>
  <c r="L180" i="121"/>
  <c r="K180" i="121"/>
  <c r="J180" i="121"/>
  <c r="I180" i="121"/>
  <c r="F180" i="121"/>
  <c r="A180" i="121"/>
  <c r="T179" i="121"/>
  <c r="S179" i="121"/>
  <c r="R179" i="121"/>
  <c r="Q179" i="121"/>
  <c r="P179" i="121"/>
  <c r="O179" i="121"/>
  <c r="N179" i="121"/>
  <c r="L179" i="121"/>
  <c r="K179" i="121"/>
  <c r="J179" i="121"/>
  <c r="I179" i="121"/>
  <c r="F179" i="121"/>
  <c r="A179" i="121"/>
  <c r="T178" i="121"/>
  <c r="S178" i="121"/>
  <c r="R178" i="121"/>
  <c r="Q178" i="121"/>
  <c r="P178" i="121"/>
  <c r="O178" i="121"/>
  <c r="N178" i="121"/>
  <c r="L178" i="121"/>
  <c r="K178" i="121"/>
  <c r="J178" i="121"/>
  <c r="I178" i="121"/>
  <c r="F178" i="121"/>
  <c r="A178" i="121"/>
  <c r="T177" i="121"/>
  <c r="S177" i="121"/>
  <c r="R177" i="121"/>
  <c r="Q177" i="121"/>
  <c r="P177" i="121"/>
  <c r="O177" i="121"/>
  <c r="N177" i="121"/>
  <c r="L177" i="121"/>
  <c r="K177" i="121"/>
  <c r="J177" i="121"/>
  <c r="I177" i="121"/>
  <c r="F177" i="121"/>
  <c r="A177" i="121"/>
  <c r="T176" i="121"/>
  <c r="S176" i="121"/>
  <c r="R176" i="121"/>
  <c r="Q176" i="121"/>
  <c r="P176" i="121"/>
  <c r="O176" i="121"/>
  <c r="N176" i="121"/>
  <c r="L176" i="121"/>
  <c r="K176" i="121"/>
  <c r="J176" i="121"/>
  <c r="I176" i="121"/>
  <c r="F176" i="121"/>
  <c r="A176" i="121"/>
  <c r="T175" i="121"/>
  <c r="S175" i="121"/>
  <c r="R175" i="121"/>
  <c r="Q175" i="121"/>
  <c r="P175" i="121"/>
  <c r="O175" i="121"/>
  <c r="N175" i="121"/>
  <c r="L175" i="121"/>
  <c r="K175" i="121"/>
  <c r="J175" i="121"/>
  <c r="I175" i="121"/>
  <c r="F175" i="121"/>
  <c r="A175" i="121"/>
  <c r="T174" i="121"/>
  <c r="S174" i="121"/>
  <c r="R174" i="121"/>
  <c r="Q174" i="121"/>
  <c r="P174" i="121"/>
  <c r="O174" i="121"/>
  <c r="N174" i="121"/>
  <c r="L174" i="121"/>
  <c r="K174" i="121"/>
  <c r="J174" i="121"/>
  <c r="I174" i="121"/>
  <c r="F174" i="121"/>
  <c r="A174" i="121"/>
  <c r="T173" i="121"/>
  <c r="S173" i="121"/>
  <c r="R173" i="121"/>
  <c r="Q173" i="121"/>
  <c r="P173" i="121"/>
  <c r="O173" i="121"/>
  <c r="N173" i="121"/>
  <c r="L173" i="121"/>
  <c r="K173" i="121"/>
  <c r="J173" i="121"/>
  <c r="I173" i="121"/>
  <c r="F173" i="121"/>
  <c r="A173" i="121"/>
  <c r="T172" i="121"/>
  <c r="S172" i="121"/>
  <c r="R172" i="121"/>
  <c r="Q172" i="121"/>
  <c r="P172" i="121"/>
  <c r="O172" i="121"/>
  <c r="N172" i="121"/>
  <c r="L172" i="121"/>
  <c r="K172" i="121"/>
  <c r="J172" i="121"/>
  <c r="I172" i="121"/>
  <c r="F172" i="121"/>
  <c r="A172" i="121"/>
  <c r="T171" i="121"/>
  <c r="S171" i="121"/>
  <c r="R171" i="121"/>
  <c r="Q171" i="121"/>
  <c r="P171" i="121"/>
  <c r="O171" i="121"/>
  <c r="N171" i="121"/>
  <c r="L171" i="121"/>
  <c r="K171" i="121"/>
  <c r="J171" i="121"/>
  <c r="I171" i="121"/>
  <c r="F171" i="121"/>
  <c r="A171" i="121"/>
  <c r="T170" i="121"/>
  <c r="S170" i="121"/>
  <c r="R170" i="121"/>
  <c r="Q170" i="121"/>
  <c r="P170" i="121"/>
  <c r="O170" i="121"/>
  <c r="N170" i="121"/>
  <c r="L170" i="121"/>
  <c r="K170" i="121"/>
  <c r="J170" i="121"/>
  <c r="I170" i="121"/>
  <c r="F170" i="121"/>
  <c r="A170" i="121"/>
  <c r="T169" i="121"/>
  <c r="S169" i="121"/>
  <c r="R169" i="121"/>
  <c r="Q169" i="121"/>
  <c r="P169" i="121"/>
  <c r="O169" i="121"/>
  <c r="N169" i="121"/>
  <c r="L169" i="121"/>
  <c r="K169" i="121"/>
  <c r="J169" i="121"/>
  <c r="I169" i="121"/>
  <c r="F169" i="121"/>
  <c r="A169" i="121"/>
  <c r="T168" i="121"/>
  <c r="S168" i="121"/>
  <c r="R168" i="121"/>
  <c r="Q168" i="121"/>
  <c r="P168" i="121"/>
  <c r="O168" i="121"/>
  <c r="N168" i="121"/>
  <c r="L168" i="121"/>
  <c r="K168" i="121"/>
  <c r="J168" i="121"/>
  <c r="I168" i="121"/>
  <c r="F168" i="121"/>
  <c r="A168" i="121"/>
  <c r="T167" i="121"/>
  <c r="S167" i="121"/>
  <c r="R167" i="121"/>
  <c r="Q167" i="121"/>
  <c r="P167" i="121"/>
  <c r="O167" i="121"/>
  <c r="N167" i="121"/>
  <c r="L167" i="121"/>
  <c r="K167" i="121"/>
  <c r="J167" i="121"/>
  <c r="I167" i="121"/>
  <c r="F167" i="121"/>
  <c r="A167" i="121"/>
  <c r="T166" i="121"/>
  <c r="S166" i="121"/>
  <c r="R166" i="121"/>
  <c r="Q166" i="121"/>
  <c r="P166" i="121"/>
  <c r="O166" i="121"/>
  <c r="N166" i="121"/>
  <c r="L166" i="121"/>
  <c r="K166" i="121"/>
  <c r="J166" i="121"/>
  <c r="I166" i="121"/>
  <c r="F166" i="121"/>
  <c r="A166" i="121"/>
  <c r="T165" i="121"/>
  <c r="S165" i="121"/>
  <c r="R165" i="121"/>
  <c r="Q165" i="121"/>
  <c r="P165" i="121"/>
  <c r="O165" i="121"/>
  <c r="N165" i="121"/>
  <c r="L165" i="121"/>
  <c r="K165" i="121"/>
  <c r="J165" i="121"/>
  <c r="I165" i="121"/>
  <c r="F165" i="121"/>
  <c r="A165" i="121"/>
  <c r="T164" i="121"/>
  <c r="S164" i="121"/>
  <c r="R164" i="121"/>
  <c r="Q164" i="121"/>
  <c r="P164" i="121"/>
  <c r="O164" i="121"/>
  <c r="N164" i="121"/>
  <c r="L164" i="121"/>
  <c r="K164" i="121"/>
  <c r="J164" i="121"/>
  <c r="I164" i="121"/>
  <c r="F164" i="121"/>
  <c r="A164" i="121"/>
  <c r="T163" i="121"/>
  <c r="S163" i="121"/>
  <c r="R163" i="121"/>
  <c r="Q163" i="121"/>
  <c r="P163" i="121"/>
  <c r="O163" i="121"/>
  <c r="N163" i="121"/>
  <c r="L163" i="121"/>
  <c r="K163" i="121"/>
  <c r="J163" i="121"/>
  <c r="I163" i="121"/>
  <c r="F163" i="121"/>
  <c r="A163" i="121"/>
  <c r="T162" i="121"/>
  <c r="S162" i="121"/>
  <c r="R162" i="121"/>
  <c r="Q162" i="121"/>
  <c r="P162" i="121"/>
  <c r="O162" i="121"/>
  <c r="N162" i="121"/>
  <c r="L162" i="121"/>
  <c r="K162" i="121"/>
  <c r="J162" i="121"/>
  <c r="I162" i="121"/>
  <c r="F162" i="121"/>
  <c r="A162" i="121"/>
  <c r="T161" i="121"/>
  <c r="S161" i="121"/>
  <c r="R161" i="121"/>
  <c r="Q161" i="121"/>
  <c r="P161" i="121"/>
  <c r="O161" i="121"/>
  <c r="N161" i="121"/>
  <c r="L161" i="121"/>
  <c r="K161" i="121"/>
  <c r="J161" i="121"/>
  <c r="I161" i="121"/>
  <c r="F161" i="121"/>
  <c r="A161" i="121"/>
  <c r="T160" i="121"/>
  <c r="S160" i="121"/>
  <c r="R160" i="121"/>
  <c r="Q160" i="121"/>
  <c r="P160" i="121"/>
  <c r="O160" i="121"/>
  <c r="N160" i="121"/>
  <c r="L160" i="121"/>
  <c r="K160" i="121"/>
  <c r="J160" i="121"/>
  <c r="I160" i="121"/>
  <c r="F160" i="121"/>
  <c r="A160" i="121"/>
  <c r="T159" i="121"/>
  <c r="S159" i="121"/>
  <c r="R159" i="121"/>
  <c r="Q159" i="121"/>
  <c r="P159" i="121"/>
  <c r="O159" i="121"/>
  <c r="N159" i="121"/>
  <c r="L159" i="121"/>
  <c r="K159" i="121"/>
  <c r="J159" i="121"/>
  <c r="I159" i="121"/>
  <c r="F159" i="121"/>
  <c r="A159" i="121"/>
  <c r="T158" i="121"/>
  <c r="S158" i="121"/>
  <c r="R158" i="121"/>
  <c r="Q158" i="121"/>
  <c r="P158" i="121"/>
  <c r="O158" i="121"/>
  <c r="N158" i="121"/>
  <c r="L158" i="121"/>
  <c r="K158" i="121"/>
  <c r="J158" i="121"/>
  <c r="I158" i="121"/>
  <c r="F158" i="121"/>
  <c r="A158" i="121"/>
  <c r="T157" i="121"/>
  <c r="S157" i="121"/>
  <c r="R157" i="121"/>
  <c r="Q157" i="121"/>
  <c r="P157" i="121"/>
  <c r="O157" i="121"/>
  <c r="N157" i="121"/>
  <c r="L157" i="121"/>
  <c r="K157" i="121"/>
  <c r="J157" i="121"/>
  <c r="I157" i="121"/>
  <c r="F157" i="121"/>
  <c r="A157" i="121"/>
  <c r="T156" i="121"/>
  <c r="S156" i="121"/>
  <c r="R156" i="121"/>
  <c r="Q156" i="121"/>
  <c r="P156" i="121"/>
  <c r="O156" i="121"/>
  <c r="N156" i="121"/>
  <c r="L156" i="121"/>
  <c r="K156" i="121"/>
  <c r="J156" i="121"/>
  <c r="I156" i="121"/>
  <c r="F156" i="121"/>
  <c r="A156" i="121"/>
  <c r="T155" i="121"/>
  <c r="S155" i="121"/>
  <c r="R155" i="121"/>
  <c r="Q155" i="121"/>
  <c r="P155" i="121"/>
  <c r="O155" i="121"/>
  <c r="N155" i="121"/>
  <c r="L155" i="121"/>
  <c r="K155" i="121"/>
  <c r="J155" i="121"/>
  <c r="I155" i="121"/>
  <c r="F155" i="121"/>
  <c r="A155" i="121"/>
  <c r="T154" i="121"/>
  <c r="S154" i="121"/>
  <c r="R154" i="121"/>
  <c r="Q154" i="121"/>
  <c r="P154" i="121"/>
  <c r="O154" i="121"/>
  <c r="N154" i="121"/>
  <c r="L154" i="121"/>
  <c r="K154" i="121"/>
  <c r="J154" i="121"/>
  <c r="I154" i="121"/>
  <c r="F154" i="121"/>
  <c r="A154" i="121"/>
  <c r="T153" i="121"/>
  <c r="S153" i="121"/>
  <c r="R153" i="121"/>
  <c r="Q153" i="121"/>
  <c r="P153" i="121"/>
  <c r="O153" i="121"/>
  <c r="N153" i="121"/>
  <c r="L153" i="121"/>
  <c r="K153" i="121"/>
  <c r="J153" i="121"/>
  <c r="I153" i="121"/>
  <c r="F153" i="121"/>
  <c r="A153" i="121"/>
  <c r="T152" i="121"/>
  <c r="S152" i="121"/>
  <c r="R152" i="121"/>
  <c r="Q152" i="121"/>
  <c r="P152" i="121"/>
  <c r="O152" i="121"/>
  <c r="N152" i="121"/>
  <c r="L152" i="121"/>
  <c r="K152" i="121"/>
  <c r="J152" i="121"/>
  <c r="I152" i="121"/>
  <c r="F152" i="121"/>
  <c r="A152" i="121"/>
  <c r="T151" i="121"/>
  <c r="S151" i="121"/>
  <c r="R151" i="121"/>
  <c r="Q151" i="121"/>
  <c r="P151" i="121"/>
  <c r="O151" i="121"/>
  <c r="N151" i="121"/>
  <c r="L151" i="121"/>
  <c r="K151" i="121"/>
  <c r="J151" i="121"/>
  <c r="I151" i="121"/>
  <c r="F151" i="121"/>
  <c r="A151" i="121"/>
  <c r="T150" i="121"/>
  <c r="S150" i="121"/>
  <c r="R150" i="121"/>
  <c r="Q150" i="121"/>
  <c r="P150" i="121"/>
  <c r="O150" i="121"/>
  <c r="N150" i="121"/>
  <c r="L150" i="121"/>
  <c r="K150" i="121"/>
  <c r="J150" i="121"/>
  <c r="I150" i="121"/>
  <c r="F150" i="121"/>
  <c r="A150" i="121"/>
  <c r="T149" i="121"/>
  <c r="S149" i="121"/>
  <c r="R149" i="121"/>
  <c r="Q149" i="121"/>
  <c r="P149" i="121"/>
  <c r="O149" i="121"/>
  <c r="N149" i="121"/>
  <c r="L149" i="121"/>
  <c r="K149" i="121"/>
  <c r="J149" i="121"/>
  <c r="I149" i="121"/>
  <c r="F149" i="121"/>
  <c r="A149" i="121"/>
  <c r="T148" i="121"/>
  <c r="S148" i="121"/>
  <c r="R148" i="121"/>
  <c r="Q148" i="121"/>
  <c r="P148" i="121"/>
  <c r="O148" i="121"/>
  <c r="N148" i="121"/>
  <c r="L148" i="121"/>
  <c r="K148" i="121"/>
  <c r="J148" i="121"/>
  <c r="I148" i="121"/>
  <c r="F148" i="121"/>
  <c r="A148" i="121"/>
  <c r="T147" i="121"/>
  <c r="S147" i="121"/>
  <c r="R147" i="121"/>
  <c r="Q147" i="121"/>
  <c r="P147" i="121"/>
  <c r="O147" i="121"/>
  <c r="N147" i="121"/>
  <c r="L147" i="121"/>
  <c r="K147" i="121"/>
  <c r="J147" i="121"/>
  <c r="I147" i="121"/>
  <c r="F147" i="121"/>
  <c r="A147" i="121"/>
  <c r="T146" i="121"/>
  <c r="S146" i="121"/>
  <c r="R146" i="121"/>
  <c r="Q146" i="121"/>
  <c r="P146" i="121"/>
  <c r="O146" i="121"/>
  <c r="N146" i="121"/>
  <c r="L146" i="121"/>
  <c r="K146" i="121"/>
  <c r="J146" i="121"/>
  <c r="I146" i="121"/>
  <c r="F146" i="121"/>
  <c r="A146" i="121"/>
  <c r="T145" i="121"/>
  <c r="S145" i="121"/>
  <c r="R145" i="121"/>
  <c r="Q145" i="121"/>
  <c r="P145" i="121"/>
  <c r="O145" i="121"/>
  <c r="N145" i="121"/>
  <c r="L145" i="121"/>
  <c r="K145" i="121"/>
  <c r="J145" i="121"/>
  <c r="I145" i="121"/>
  <c r="F145" i="121"/>
  <c r="A145" i="121"/>
  <c r="T144" i="121"/>
  <c r="S144" i="121"/>
  <c r="R144" i="121"/>
  <c r="Q144" i="121"/>
  <c r="P144" i="121"/>
  <c r="O144" i="121"/>
  <c r="N144" i="121"/>
  <c r="L144" i="121"/>
  <c r="K144" i="121"/>
  <c r="J144" i="121"/>
  <c r="I144" i="121"/>
  <c r="F144" i="121"/>
  <c r="A144" i="121"/>
  <c r="T143" i="121"/>
  <c r="S143" i="121"/>
  <c r="R143" i="121"/>
  <c r="Q143" i="121"/>
  <c r="P143" i="121"/>
  <c r="O143" i="121"/>
  <c r="N143" i="121"/>
  <c r="L143" i="121"/>
  <c r="K143" i="121"/>
  <c r="J143" i="121"/>
  <c r="I143" i="121"/>
  <c r="F143" i="121"/>
  <c r="A143" i="121"/>
  <c r="T142" i="121"/>
  <c r="S142" i="121"/>
  <c r="R142" i="121"/>
  <c r="Q142" i="121"/>
  <c r="P142" i="121"/>
  <c r="O142" i="121"/>
  <c r="N142" i="121"/>
  <c r="L142" i="121"/>
  <c r="K142" i="121"/>
  <c r="J142" i="121"/>
  <c r="I142" i="121"/>
  <c r="F142" i="121"/>
  <c r="A142" i="121"/>
  <c r="T141" i="121"/>
  <c r="S141" i="121"/>
  <c r="R141" i="121"/>
  <c r="Q141" i="121"/>
  <c r="P141" i="121"/>
  <c r="O141" i="121"/>
  <c r="N141" i="121"/>
  <c r="L141" i="121"/>
  <c r="K141" i="121"/>
  <c r="J141" i="121"/>
  <c r="I141" i="121"/>
  <c r="F141" i="121"/>
  <c r="A141" i="121"/>
  <c r="T140" i="121"/>
  <c r="S140" i="121"/>
  <c r="R140" i="121"/>
  <c r="Q140" i="121"/>
  <c r="P140" i="121"/>
  <c r="O140" i="121"/>
  <c r="N140" i="121"/>
  <c r="L140" i="121"/>
  <c r="K140" i="121"/>
  <c r="J140" i="121"/>
  <c r="I140" i="121"/>
  <c r="F140" i="121"/>
  <c r="A140" i="121"/>
  <c r="T139" i="121"/>
  <c r="S139" i="121"/>
  <c r="R139" i="121"/>
  <c r="Q139" i="121"/>
  <c r="P139" i="121"/>
  <c r="O139" i="121"/>
  <c r="N139" i="121"/>
  <c r="L139" i="121"/>
  <c r="K139" i="121"/>
  <c r="J139" i="121"/>
  <c r="I139" i="121"/>
  <c r="F139" i="121"/>
  <c r="A139" i="121"/>
  <c r="T138" i="121"/>
  <c r="S138" i="121"/>
  <c r="R138" i="121"/>
  <c r="Q138" i="121"/>
  <c r="P138" i="121"/>
  <c r="O138" i="121"/>
  <c r="N138" i="121"/>
  <c r="L138" i="121"/>
  <c r="K138" i="121"/>
  <c r="J138" i="121"/>
  <c r="I138" i="121"/>
  <c r="F138" i="121"/>
  <c r="A138" i="121"/>
  <c r="T137" i="121"/>
  <c r="S137" i="121"/>
  <c r="R137" i="121"/>
  <c r="Q137" i="121"/>
  <c r="P137" i="121"/>
  <c r="O137" i="121"/>
  <c r="N137" i="121"/>
  <c r="L137" i="121"/>
  <c r="K137" i="121"/>
  <c r="J137" i="121"/>
  <c r="I137" i="121"/>
  <c r="F137" i="121"/>
  <c r="A137" i="121"/>
  <c r="T136" i="121"/>
  <c r="S136" i="121"/>
  <c r="R136" i="121"/>
  <c r="Q136" i="121"/>
  <c r="P136" i="121"/>
  <c r="O136" i="121"/>
  <c r="N136" i="121"/>
  <c r="L136" i="121"/>
  <c r="K136" i="121"/>
  <c r="J136" i="121"/>
  <c r="I136" i="121"/>
  <c r="F136" i="121"/>
  <c r="A136" i="121"/>
  <c r="T135" i="121"/>
  <c r="S135" i="121"/>
  <c r="R135" i="121"/>
  <c r="Q135" i="121"/>
  <c r="P135" i="121"/>
  <c r="O135" i="121"/>
  <c r="N135" i="121"/>
  <c r="L135" i="121"/>
  <c r="K135" i="121"/>
  <c r="J135" i="121"/>
  <c r="I135" i="121"/>
  <c r="F135" i="121"/>
  <c r="A135" i="121"/>
  <c r="T134" i="121"/>
  <c r="S134" i="121"/>
  <c r="R134" i="121"/>
  <c r="Q134" i="121"/>
  <c r="P134" i="121"/>
  <c r="O134" i="121"/>
  <c r="N134" i="121"/>
  <c r="L134" i="121"/>
  <c r="K134" i="121"/>
  <c r="J134" i="121"/>
  <c r="I134" i="121"/>
  <c r="F134" i="121"/>
  <c r="A134" i="121"/>
  <c r="T133" i="121"/>
  <c r="S133" i="121"/>
  <c r="R133" i="121"/>
  <c r="Q133" i="121"/>
  <c r="P133" i="121"/>
  <c r="O133" i="121"/>
  <c r="N133" i="121"/>
  <c r="L133" i="121"/>
  <c r="K133" i="121"/>
  <c r="J133" i="121"/>
  <c r="I133" i="121"/>
  <c r="F133" i="121"/>
  <c r="A133" i="121"/>
  <c r="T132" i="121"/>
  <c r="S132" i="121"/>
  <c r="R132" i="121"/>
  <c r="Q132" i="121"/>
  <c r="P132" i="121"/>
  <c r="O132" i="121"/>
  <c r="N132" i="121"/>
  <c r="L132" i="121"/>
  <c r="K132" i="121"/>
  <c r="J132" i="121"/>
  <c r="I132" i="121"/>
  <c r="F132" i="121"/>
  <c r="A132" i="121"/>
  <c r="T131" i="121"/>
  <c r="S131" i="121"/>
  <c r="R131" i="121"/>
  <c r="Q131" i="121"/>
  <c r="P131" i="121"/>
  <c r="O131" i="121"/>
  <c r="N131" i="121"/>
  <c r="L131" i="121"/>
  <c r="K131" i="121"/>
  <c r="J131" i="121"/>
  <c r="I131" i="121"/>
  <c r="F131" i="121"/>
  <c r="A131" i="121"/>
  <c r="T130" i="121"/>
  <c r="S130" i="121"/>
  <c r="R130" i="121"/>
  <c r="Q130" i="121"/>
  <c r="P130" i="121"/>
  <c r="O130" i="121"/>
  <c r="N130" i="121"/>
  <c r="L130" i="121"/>
  <c r="K130" i="121"/>
  <c r="J130" i="121"/>
  <c r="I130" i="121"/>
  <c r="F130" i="121"/>
  <c r="A130" i="121"/>
  <c r="T129" i="121"/>
  <c r="S129" i="121"/>
  <c r="R129" i="121"/>
  <c r="Q129" i="121"/>
  <c r="P129" i="121"/>
  <c r="O129" i="121"/>
  <c r="N129" i="121"/>
  <c r="L129" i="121"/>
  <c r="K129" i="121"/>
  <c r="J129" i="121"/>
  <c r="I129" i="121"/>
  <c r="F129" i="121"/>
  <c r="A129" i="121"/>
  <c r="T128" i="121"/>
  <c r="S128" i="121"/>
  <c r="R128" i="121"/>
  <c r="Q128" i="121"/>
  <c r="P128" i="121"/>
  <c r="O128" i="121"/>
  <c r="N128" i="121"/>
  <c r="L128" i="121"/>
  <c r="K128" i="121"/>
  <c r="J128" i="121"/>
  <c r="I128" i="121"/>
  <c r="F128" i="121"/>
  <c r="A128" i="121"/>
  <c r="T127" i="121"/>
  <c r="S127" i="121"/>
  <c r="R127" i="121"/>
  <c r="Q127" i="121"/>
  <c r="P127" i="121"/>
  <c r="O127" i="121"/>
  <c r="N127" i="121"/>
  <c r="L127" i="121"/>
  <c r="K127" i="121"/>
  <c r="J127" i="121"/>
  <c r="I127" i="121"/>
  <c r="F127" i="121"/>
  <c r="A127" i="121"/>
  <c r="T126" i="121"/>
  <c r="S126" i="121"/>
  <c r="R126" i="121"/>
  <c r="Q126" i="121"/>
  <c r="P126" i="121"/>
  <c r="O126" i="121"/>
  <c r="N126" i="121"/>
  <c r="L126" i="121"/>
  <c r="K126" i="121"/>
  <c r="J126" i="121"/>
  <c r="I126" i="121"/>
  <c r="F126" i="121"/>
  <c r="A126" i="121"/>
  <c r="T125" i="121"/>
  <c r="S125" i="121"/>
  <c r="R125" i="121"/>
  <c r="Q125" i="121"/>
  <c r="P125" i="121"/>
  <c r="O125" i="121"/>
  <c r="N125" i="121"/>
  <c r="L125" i="121"/>
  <c r="K125" i="121"/>
  <c r="J125" i="121"/>
  <c r="I125" i="121"/>
  <c r="F125" i="121"/>
  <c r="A125" i="121"/>
  <c r="T124" i="121"/>
  <c r="S124" i="121"/>
  <c r="R124" i="121"/>
  <c r="Q124" i="121"/>
  <c r="P124" i="121"/>
  <c r="O124" i="121"/>
  <c r="N124" i="121"/>
  <c r="L124" i="121"/>
  <c r="K124" i="121"/>
  <c r="J124" i="121"/>
  <c r="I124" i="121"/>
  <c r="F124" i="121"/>
  <c r="A124" i="121"/>
  <c r="T123" i="121"/>
  <c r="S123" i="121"/>
  <c r="R123" i="121"/>
  <c r="Q123" i="121"/>
  <c r="P123" i="121"/>
  <c r="O123" i="121"/>
  <c r="N123" i="121"/>
  <c r="L123" i="121"/>
  <c r="K123" i="121"/>
  <c r="J123" i="121"/>
  <c r="I123" i="121"/>
  <c r="F123" i="121"/>
  <c r="A123" i="121"/>
  <c r="T122" i="121"/>
  <c r="S122" i="121"/>
  <c r="R122" i="121"/>
  <c r="Q122" i="121"/>
  <c r="P122" i="121"/>
  <c r="O122" i="121"/>
  <c r="N122" i="121"/>
  <c r="L122" i="121"/>
  <c r="K122" i="121"/>
  <c r="J122" i="121"/>
  <c r="I122" i="121"/>
  <c r="F122" i="121"/>
  <c r="A122" i="121"/>
  <c r="T121" i="121"/>
  <c r="S121" i="121"/>
  <c r="R121" i="121"/>
  <c r="Q121" i="121"/>
  <c r="P121" i="121"/>
  <c r="O121" i="121"/>
  <c r="N121" i="121"/>
  <c r="L121" i="121"/>
  <c r="K121" i="121"/>
  <c r="J121" i="121"/>
  <c r="I121" i="121"/>
  <c r="F121" i="121"/>
  <c r="A121" i="121"/>
  <c r="T120" i="121"/>
  <c r="S120" i="121"/>
  <c r="R120" i="121"/>
  <c r="Q120" i="121"/>
  <c r="P120" i="121"/>
  <c r="O120" i="121"/>
  <c r="N120" i="121"/>
  <c r="L120" i="121"/>
  <c r="K120" i="121"/>
  <c r="J120" i="121"/>
  <c r="I120" i="121"/>
  <c r="F120" i="121"/>
  <c r="A120" i="121"/>
  <c r="T119" i="121"/>
  <c r="S119" i="121"/>
  <c r="R119" i="121"/>
  <c r="Q119" i="121"/>
  <c r="P119" i="121"/>
  <c r="O119" i="121"/>
  <c r="N119" i="121"/>
  <c r="L119" i="121"/>
  <c r="K119" i="121"/>
  <c r="J119" i="121"/>
  <c r="I119" i="121"/>
  <c r="F119" i="121"/>
  <c r="A119" i="121"/>
  <c r="T118" i="121"/>
  <c r="S118" i="121"/>
  <c r="R118" i="121"/>
  <c r="Q118" i="121"/>
  <c r="P118" i="121"/>
  <c r="O118" i="121"/>
  <c r="N118" i="121"/>
  <c r="L118" i="121"/>
  <c r="K118" i="121"/>
  <c r="J118" i="121"/>
  <c r="I118" i="121"/>
  <c r="F118" i="121"/>
  <c r="A118" i="121"/>
  <c r="T117" i="121"/>
  <c r="S117" i="121"/>
  <c r="R117" i="121"/>
  <c r="Q117" i="121"/>
  <c r="P117" i="121"/>
  <c r="O117" i="121"/>
  <c r="N117" i="121"/>
  <c r="L117" i="121"/>
  <c r="K117" i="121"/>
  <c r="J117" i="121"/>
  <c r="I117" i="121"/>
  <c r="F117" i="121"/>
  <c r="A117" i="121"/>
  <c r="T116" i="121"/>
  <c r="S116" i="121"/>
  <c r="R116" i="121"/>
  <c r="Q116" i="121"/>
  <c r="P116" i="121"/>
  <c r="O116" i="121"/>
  <c r="N116" i="121"/>
  <c r="L116" i="121"/>
  <c r="K116" i="121"/>
  <c r="J116" i="121"/>
  <c r="I116" i="121"/>
  <c r="F116" i="121"/>
  <c r="A116" i="121"/>
  <c r="T115" i="121"/>
  <c r="S115" i="121"/>
  <c r="R115" i="121"/>
  <c r="Q115" i="121"/>
  <c r="P115" i="121"/>
  <c r="O115" i="121"/>
  <c r="N115" i="121"/>
  <c r="L115" i="121"/>
  <c r="K115" i="121"/>
  <c r="J115" i="121"/>
  <c r="I115" i="121"/>
  <c r="F115" i="121"/>
  <c r="A115" i="121"/>
  <c r="T114" i="121"/>
  <c r="S114" i="121"/>
  <c r="R114" i="121"/>
  <c r="Q114" i="121"/>
  <c r="P114" i="121"/>
  <c r="O114" i="121"/>
  <c r="N114" i="121"/>
  <c r="L114" i="121"/>
  <c r="K114" i="121"/>
  <c r="J114" i="121"/>
  <c r="I114" i="121"/>
  <c r="F114" i="121"/>
  <c r="A114" i="121"/>
  <c r="T113" i="121"/>
  <c r="S113" i="121"/>
  <c r="R113" i="121"/>
  <c r="Q113" i="121"/>
  <c r="P113" i="121"/>
  <c r="O113" i="121"/>
  <c r="N113" i="121"/>
  <c r="L113" i="121"/>
  <c r="K113" i="121"/>
  <c r="J113" i="121"/>
  <c r="I113" i="121"/>
  <c r="F113" i="121"/>
  <c r="A113" i="121"/>
  <c r="T112" i="121"/>
  <c r="S112" i="121"/>
  <c r="R112" i="121"/>
  <c r="Q112" i="121"/>
  <c r="P112" i="121"/>
  <c r="O112" i="121"/>
  <c r="N112" i="121"/>
  <c r="L112" i="121"/>
  <c r="K112" i="121"/>
  <c r="J112" i="121"/>
  <c r="I112" i="121"/>
  <c r="F112" i="121"/>
  <c r="A112" i="121"/>
  <c r="T111" i="121"/>
  <c r="S111" i="121"/>
  <c r="R111" i="121"/>
  <c r="Q111" i="121"/>
  <c r="P111" i="121"/>
  <c r="O111" i="121"/>
  <c r="N111" i="121"/>
  <c r="L111" i="121"/>
  <c r="K111" i="121"/>
  <c r="J111" i="121"/>
  <c r="I111" i="121"/>
  <c r="F111" i="121"/>
  <c r="A111" i="121"/>
  <c r="T110" i="121"/>
  <c r="S110" i="121"/>
  <c r="R110" i="121"/>
  <c r="Q110" i="121"/>
  <c r="P110" i="121"/>
  <c r="O110" i="121"/>
  <c r="N110" i="121"/>
  <c r="L110" i="121"/>
  <c r="K110" i="121"/>
  <c r="J110" i="121"/>
  <c r="I110" i="121"/>
  <c r="F110" i="121"/>
  <c r="A110" i="121"/>
  <c r="T109" i="121"/>
  <c r="S109" i="121"/>
  <c r="R109" i="121"/>
  <c r="Q109" i="121"/>
  <c r="P109" i="121"/>
  <c r="O109" i="121"/>
  <c r="N109" i="121"/>
  <c r="L109" i="121"/>
  <c r="K109" i="121"/>
  <c r="J109" i="121"/>
  <c r="I109" i="121"/>
  <c r="F109" i="121"/>
  <c r="A109" i="121"/>
  <c r="T108" i="121"/>
  <c r="S108" i="121"/>
  <c r="R108" i="121"/>
  <c r="Q108" i="121"/>
  <c r="P108" i="121"/>
  <c r="O108" i="121"/>
  <c r="N108" i="121"/>
  <c r="L108" i="121"/>
  <c r="K108" i="121"/>
  <c r="J108" i="121"/>
  <c r="I108" i="121"/>
  <c r="F108" i="121"/>
  <c r="A108" i="121"/>
  <c r="T107" i="121"/>
  <c r="S107" i="121"/>
  <c r="R107" i="121"/>
  <c r="Q107" i="121"/>
  <c r="P107" i="121"/>
  <c r="O107" i="121"/>
  <c r="N107" i="121"/>
  <c r="L107" i="121"/>
  <c r="K107" i="121"/>
  <c r="J107" i="121"/>
  <c r="I107" i="121"/>
  <c r="F107" i="121"/>
  <c r="A107" i="121"/>
  <c r="T106" i="121"/>
  <c r="S106" i="121"/>
  <c r="R106" i="121"/>
  <c r="Q106" i="121"/>
  <c r="P106" i="121"/>
  <c r="O106" i="121"/>
  <c r="N106" i="121"/>
  <c r="L106" i="121"/>
  <c r="K106" i="121"/>
  <c r="J106" i="121"/>
  <c r="I106" i="121"/>
  <c r="F106" i="121"/>
  <c r="A106" i="121"/>
  <c r="T105" i="121"/>
  <c r="S105" i="121"/>
  <c r="R105" i="121"/>
  <c r="Q105" i="121"/>
  <c r="P105" i="121"/>
  <c r="O105" i="121"/>
  <c r="N105" i="121"/>
  <c r="L105" i="121"/>
  <c r="K105" i="121"/>
  <c r="J105" i="121"/>
  <c r="I105" i="121"/>
  <c r="F105" i="121"/>
  <c r="A105" i="121"/>
  <c r="T104" i="121"/>
  <c r="S104" i="121"/>
  <c r="R104" i="121"/>
  <c r="Q104" i="121"/>
  <c r="P104" i="121"/>
  <c r="O104" i="121"/>
  <c r="N104" i="121"/>
  <c r="L104" i="121"/>
  <c r="K104" i="121"/>
  <c r="J104" i="121"/>
  <c r="I104" i="121"/>
  <c r="F104" i="121"/>
  <c r="A104" i="121"/>
  <c r="T103" i="121"/>
  <c r="S103" i="121"/>
  <c r="R103" i="121"/>
  <c r="Q103" i="121"/>
  <c r="P103" i="121"/>
  <c r="O103" i="121"/>
  <c r="N103" i="121"/>
  <c r="L103" i="121"/>
  <c r="K103" i="121"/>
  <c r="J103" i="121"/>
  <c r="I103" i="121"/>
  <c r="F103" i="121"/>
  <c r="A103" i="121"/>
  <c r="T102" i="121"/>
  <c r="S102" i="121"/>
  <c r="R102" i="121"/>
  <c r="Q102" i="121"/>
  <c r="P102" i="121"/>
  <c r="O102" i="121"/>
  <c r="N102" i="121"/>
  <c r="L102" i="121"/>
  <c r="K102" i="121"/>
  <c r="J102" i="121"/>
  <c r="I102" i="121"/>
  <c r="F102" i="121"/>
  <c r="A102" i="121"/>
  <c r="T101" i="121"/>
  <c r="S101" i="121"/>
  <c r="R101" i="121"/>
  <c r="Q101" i="121"/>
  <c r="P101" i="121"/>
  <c r="O101" i="121"/>
  <c r="N101" i="121"/>
  <c r="L101" i="121"/>
  <c r="K101" i="121"/>
  <c r="J101" i="121"/>
  <c r="I101" i="121"/>
  <c r="F101" i="121"/>
  <c r="A101" i="121"/>
  <c r="T100" i="121"/>
  <c r="S100" i="121"/>
  <c r="R100" i="121"/>
  <c r="Q100" i="121"/>
  <c r="P100" i="121"/>
  <c r="O100" i="121"/>
  <c r="N100" i="121"/>
  <c r="L100" i="121"/>
  <c r="K100" i="121"/>
  <c r="J100" i="121"/>
  <c r="I100" i="121"/>
  <c r="F100" i="121"/>
  <c r="A100" i="121"/>
  <c r="T99" i="121"/>
  <c r="S99" i="121"/>
  <c r="R99" i="121"/>
  <c r="Q99" i="121"/>
  <c r="P99" i="121"/>
  <c r="O99" i="121"/>
  <c r="N99" i="121"/>
  <c r="L99" i="121"/>
  <c r="K99" i="121"/>
  <c r="J99" i="121"/>
  <c r="I99" i="121"/>
  <c r="F99" i="121"/>
  <c r="A99" i="121"/>
  <c r="T98" i="121"/>
  <c r="S98" i="121"/>
  <c r="R98" i="121"/>
  <c r="Q98" i="121"/>
  <c r="P98" i="121"/>
  <c r="O98" i="121"/>
  <c r="N98" i="121"/>
  <c r="L98" i="121"/>
  <c r="K98" i="121"/>
  <c r="J98" i="121"/>
  <c r="I98" i="121"/>
  <c r="F98" i="121"/>
  <c r="A98" i="121"/>
  <c r="T97" i="121"/>
  <c r="S97" i="121"/>
  <c r="R97" i="121"/>
  <c r="Q97" i="121"/>
  <c r="P97" i="121"/>
  <c r="O97" i="121"/>
  <c r="N97" i="121"/>
  <c r="L97" i="121"/>
  <c r="K97" i="121"/>
  <c r="J97" i="121"/>
  <c r="I97" i="121"/>
  <c r="F97" i="121"/>
  <c r="A97" i="121"/>
  <c r="T96" i="121"/>
  <c r="S96" i="121"/>
  <c r="R96" i="121"/>
  <c r="Q96" i="121"/>
  <c r="P96" i="121"/>
  <c r="O96" i="121"/>
  <c r="N96" i="121"/>
  <c r="L96" i="121"/>
  <c r="K96" i="121"/>
  <c r="J96" i="121"/>
  <c r="I96" i="121"/>
  <c r="F96" i="121"/>
  <c r="A96" i="121"/>
  <c r="T95" i="121"/>
  <c r="S95" i="121"/>
  <c r="R95" i="121"/>
  <c r="Q95" i="121"/>
  <c r="P95" i="121"/>
  <c r="O95" i="121"/>
  <c r="N95" i="121"/>
  <c r="L95" i="121"/>
  <c r="K95" i="121"/>
  <c r="J95" i="121"/>
  <c r="I95" i="121"/>
  <c r="F95" i="121"/>
  <c r="A95" i="121"/>
  <c r="T94" i="121"/>
  <c r="S94" i="121"/>
  <c r="R94" i="121"/>
  <c r="Q94" i="121"/>
  <c r="P94" i="121"/>
  <c r="O94" i="121"/>
  <c r="N94" i="121"/>
  <c r="L94" i="121"/>
  <c r="K94" i="121"/>
  <c r="J94" i="121"/>
  <c r="I94" i="121"/>
  <c r="F94" i="121"/>
  <c r="A94" i="121"/>
  <c r="T93" i="121"/>
  <c r="S93" i="121"/>
  <c r="R93" i="121"/>
  <c r="Q93" i="121"/>
  <c r="P93" i="121"/>
  <c r="O93" i="121"/>
  <c r="N93" i="121"/>
  <c r="L93" i="121"/>
  <c r="K93" i="121"/>
  <c r="J93" i="121"/>
  <c r="I93" i="121"/>
  <c r="F93" i="121"/>
  <c r="A93" i="121"/>
  <c r="T92" i="121"/>
  <c r="S92" i="121"/>
  <c r="R92" i="121"/>
  <c r="Q92" i="121"/>
  <c r="P92" i="121"/>
  <c r="O92" i="121"/>
  <c r="N92" i="121"/>
  <c r="L92" i="121"/>
  <c r="K92" i="121"/>
  <c r="J92" i="121"/>
  <c r="I92" i="121"/>
  <c r="F92" i="121"/>
  <c r="A92" i="121"/>
  <c r="T91" i="121"/>
  <c r="S91" i="121"/>
  <c r="R91" i="121"/>
  <c r="Q91" i="121"/>
  <c r="P91" i="121"/>
  <c r="O91" i="121"/>
  <c r="N91" i="121"/>
  <c r="L91" i="121"/>
  <c r="K91" i="121"/>
  <c r="J91" i="121"/>
  <c r="I91" i="121"/>
  <c r="F91" i="121"/>
  <c r="A91" i="121"/>
  <c r="T90" i="121"/>
  <c r="S90" i="121"/>
  <c r="R90" i="121"/>
  <c r="Q90" i="121"/>
  <c r="P90" i="121"/>
  <c r="O90" i="121"/>
  <c r="N90" i="121"/>
  <c r="L90" i="121"/>
  <c r="K90" i="121"/>
  <c r="J90" i="121"/>
  <c r="I90" i="121"/>
  <c r="F90" i="121"/>
  <c r="A90" i="121"/>
  <c r="T89" i="121"/>
  <c r="S89" i="121"/>
  <c r="R89" i="121"/>
  <c r="Q89" i="121"/>
  <c r="P89" i="121"/>
  <c r="O89" i="121"/>
  <c r="N89" i="121"/>
  <c r="L89" i="121"/>
  <c r="K89" i="121"/>
  <c r="J89" i="121"/>
  <c r="I89" i="121"/>
  <c r="F89" i="121"/>
  <c r="A89" i="121"/>
  <c r="T88" i="121"/>
  <c r="S88" i="121"/>
  <c r="R88" i="121"/>
  <c r="Q88" i="121"/>
  <c r="P88" i="121"/>
  <c r="O88" i="121"/>
  <c r="N88" i="121"/>
  <c r="L88" i="121"/>
  <c r="K88" i="121"/>
  <c r="J88" i="121"/>
  <c r="I88" i="121"/>
  <c r="F88" i="121"/>
  <c r="A88" i="121"/>
  <c r="T87" i="121"/>
  <c r="S87" i="121"/>
  <c r="R87" i="121"/>
  <c r="Q87" i="121"/>
  <c r="P87" i="121"/>
  <c r="O87" i="121"/>
  <c r="N87" i="121"/>
  <c r="L87" i="121"/>
  <c r="K87" i="121"/>
  <c r="J87" i="121"/>
  <c r="I87" i="121"/>
  <c r="F87" i="121"/>
  <c r="A87" i="121"/>
  <c r="T86" i="121"/>
  <c r="S86" i="121"/>
  <c r="R86" i="121"/>
  <c r="Q86" i="121"/>
  <c r="P86" i="121"/>
  <c r="O86" i="121"/>
  <c r="N86" i="121"/>
  <c r="L86" i="121"/>
  <c r="K86" i="121"/>
  <c r="J86" i="121"/>
  <c r="I86" i="121"/>
  <c r="F86" i="121"/>
  <c r="A86" i="121"/>
  <c r="T85" i="121"/>
  <c r="S85" i="121"/>
  <c r="R85" i="121"/>
  <c r="Q85" i="121"/>
  <c r="P85" i="121"/>
  <c r="O85" i="121"/>
  <c r="N85" i="121"/>
  <c r="L85" i="121"/>
  <c r="K85" i="121"/>
  <c r="J85" i="121"/>
  <c r="I85" i="121"/>
  <c r="F85" i="121"/>
  <c r="A85" i="121"/>
  <c r="T84" i="121"/>
  <c r="S84" i="121"/>
  <c r="R84" i="121"/>
  <c r="Q84" i="121"/>
  <c r="P84" i="121"/>
  <c r="O84" i="121"/>
  <c r="N84" i="121"/>
  <c r="L84" i="121"/>
  <c r="K84" i="121"/>
  <c r="J84" i="121"/>
  <c r="I84" i="121"/>
  <c r="F84" i="121"/>
  <c r="A84" i="121"/>
  <c r="T83" i="121"/>
  <c r="S83" i="121"/>
  <c r="R83" i="121"/>
  <c r="Q83" i="121"/>
  <c r="P83" i="121"/>
  <c r="O83" i="121"/>
  <c r="N83" i="121"/>
  <c r="L83" i="121"/>
  <c r="K83" i="121"/>
  <c r="J83" i="121"/>
  <c r="I83" i="121"/>
  <c r="F83" i="121"/>
  <c r="A83" i="121"/>
  <c r="T82" i="121"/>
  <c r="S82" i="121"/>
  <c r="R82" i="121"/>
  <c r="Q82" i="121"/>
  <c r="P82" i="121"/>
  <c r="O82" i="121"/>
  <c r="N82" i="121"/>
  <c r="L82" i="121"/>
  <c r="K82" i="121"/>
  <c r="J82" i="121"/>
  <c r="I82" i="121"/>
  <c r="F82" i="121"/>
  <c r="A82" i="121"/>
  <c r="T81" i="121"/>
  <c r="S81" i="121"/>
  <c r="R81" i="121"/>
  <c r="Q81" i="121"/>
  <c r="P81" i="121"/>
  <c r="O81" i="121"/>
  <c r="N81" i="121"/>
  <c r="L81" i="121"/>
  <c r="K81" i="121"/>
  <c r="J81" i="121"/>
  <c r="I81" i="121"/>
  <c r="F81" i="121"/>
  <c r="A81" i="121"/>
  <c r="T80" i="121"/>
  <c r="S80" i="121"/>
  <c r="R80" i="121"/>
  <c r="Q80" i="121"/>
  <c r="P80" i="121"/>
  <c r="O80" i="121"/>
  <c r="N80" i="121"/>
  <c r="L80" i="121"/>
  <c r="K80" i="121"/>
  <c r="J80" i="121"/>
  <c r="I80" i="121"/>
  <c r="F80" i="121"/>
  <c r="A80" i="121"/>
  <c r="T79" i="121"/>
  <c r="S79" i="121"/>
  <c r="R79" i="121"/>
  <c r="Q79" i="121"/>
  <c r="P79" i="121"/>
  <c r="O79" i="121"/>
  <c r="N79" i="121"/>
  <c r="L79" i="121"/>
  <c r="K79" i="121"/>
  <c r="J79" i="121"/>
  <c r="I79" i="121"/>
  <c r="F79" i="121"/>
  <c r="A79" i="121"/>
  <c r="T78" i="121"/>
  <c r="S78" i="121"/>
  <c r="R78" i="121"/>
  <c r="Q78" i="121"/>
  <c r="P78" i="121"/>
  <c r="O78" i="121"/>
  <c r="N78" i="121"/>
  <c r="L78" i="121"/>
  <c r="K78" i="121"/>
  <c r="J78" i="121"/>
  <c r="I78" i="121"/>
  <c r="F78" i="121"/>
  <c r="A78" i="121"/>
  <c r="T77" i="121"/>
  <c r="S77" i="121"/>
  <c r="R77" i="121"/>
  <c r="Q77" i="121"/>
  <c r="P77" i="121"/>
  <c r="O77" i="121"/>
  <c r="N77" i="121"/>
  <c r="L77" i="121"/>
  <c r="K77" i="121"/>
  <c r="J77" i="121"/>
  <c r="I77" i="121"/>
  <c r="F77" i="121"/>
  <c r="A77" i="121"/>
  <c r="T76" i="121"/>
  <c r="S76" i="121"/>
  <c r="R76" i="121"/>
  <c r="Q76" i="121"/>
  <c r="P76" i="121"/>
  <c r="O76" i="121"/>
  <c r="N76" i="121"/>
  <c r="L76" i="121"/>
  <c r="K76" i="121"/>
  <c r="J76" i="121"/>
  <c r="I76" i="121"/>
  <c r="F76" i="121"/>
  <c r="A76" i="121"/>
  <c r="T75" i="121"/>
  <c r="S75" i="121"/>
  <c r="R75" i="121"/>
  <c r="Q75" i="121"/>
  <c r="P75" i="121"/>
  <c r="O75" i="121"/>
  <c r="N75" i="121"/>
  <c r="L75" i="121"/>
  <c r="K75" i="121"/>
  <c r="J75" i="121"/>
  <c r="I75" i="121"/>
  <c r="F75" i="121"/>
  <c r="A75" i="121"/>
  <c r="T74" i="121"/>
  <c r="S74" i="121"/>
  <c r="R74" i="121"/>
  <c r="Q74" i="121"/>
  <c r="P74" i="121"/>
  <c r="O74" i="121"/>
  <c r="N74" i="121"/>
  <c r="L74" i="121"/>
  <c r="K74" i="121"/>
  <c r="J74" i="121"/>
  <c r="I74" i="121"/>
  <c r="F74" i="121"/>
  <c r="A74" i="121"/>
  <c r="T73" i="121"/>
  <c r="S73" i="121"/>
  <c r="R73" i="121"/>
  <c r="Q73" i="121"/>
  <c r="P73" i="121"/>
  <c r="O73" i="121"/>
  <c r="N73" i="121"/>
  <c r="L73" i="121"/>
  <c r="K73" i="121"/>
  <c r="J73" i="121"/>
  <c r="I73" i="121"/>
  <c r="F73" i="121"/>
  <c r="A73" i="121"/>
  <c r="T72" i="121"/>
  <c r="S72" i="121"/>
  <c r="R72" i="121"/>
  <c r="Q72" i="121"/>
  <c r="P72" i="121"/>
  <c r="O72" i="121"/>
  <c r="N72" i="121"/>
  <c r="L72" i="121"/>
  <c r="K72" i="121"/>
  <c r="J72" i="121"/>
  <c r="I72" i="121"/>
  <c r="F72" i="121"/>
  <c r="A72" i="121"/>
  <c r="T71" i="121"/>
  <c r="S71" i="121"/>
  <c r="R71" i="121"/>
  <c r="Q71" i="121"/>
  <c r="P71" i="121"/>
  <c r="O71" i="121"/>
  <c r="N71" i="121"/>
  <c r="L71" i="121"/>
  <c r="K71" i="121"/>
  <c r="J71" i="121"/>
  <c r="I71" i="121"/>
  <c r="F71" i="121"/>
  <c r="A71" i="121"/>
  <c r="T70" i="121"/>
  <c r="S70" i="121"/>
  <c r="R70" i="121"/>
  <c r="Q70" i="121"/>
  <c r="P70" i="121"/>
  <c r="O70" i="121"/>
  <c r="N70" i="121"/>
  <c r="L70" i="121"/>
  <c r="K70" i="121"/>
  <c r="J70" i="121"/>
  <c r="I70" i="121"/>
  <c r="F70" i="121"/>
  <c r="A70" i="121"/>
  <c r="T69" i="121"/>
  <c r="S69" i="121"/>
  <c r="R69" i="121"/>
  <c r="Q69" i="121"/>
  <c r="P69" i="121"/>
  <c r="O69" i="121"/>
  <c r="N69" i="121"/>
  <c r="L69" i="121"/>
  <c r="K69" i="121"/>
  <c r="J69" i="121"/>
  <c r="I69" i="121"/>
  <c r="F69" i="121"/>
  <c r="A69" i="121"/>
  <c r="T68" i="121"/>
  <c r="S68" i="121"/>
  <c r="R68" i="121"/>
  <c r="Q68" i="121"/>
  <c r="P68" i="121"/>
  <c r="O68" i="121"/>
  <c r="N68" i="121"/>
  <c r="L68" i="121"/>
  <c r="K68" i="121"/>
  <c r="J68" i="121"/>
  <c r="I68" i="121"/>
  <c r="F68" i="121"/>
  <c r="A68" i="121"/>
  <c r="T67" i="121"/>
  <c r="S67" i="121"/>
  <c r="R67" i="121"/>
  <c r="Q67" i="121"/>
  <c r="P67" i="121"/>
  <c r="O67" i="121"/>
  <c r="N67" i="121"/>
  <c r="L67" i="121"/>
  <c r="K67" i="121"/>
  <c r="J67" i="121"/>
  <c r="I67" i="121"/>
  <c r="F67" i="121"/>
  <c r="A67" i="121"/>
  <c r="T66" i="121"/>
  <c r="S66" i="121"/>
  <c r="R66" i="121"/>
  <c r="Q66" i="121"/>
  <c r="P66" i="121"/>
  <c r="O66" i="121"/>
  <c r="N66" i="121"/>
  <c r="L66" i="121"/>
  <c r="K66" i="121"/>
  <c r="J66" i="121"/>
  <c r="I66" i="121"/>
  <c r="F66" i="121"/>
  <c r="A66" i="121"/>
  <c r="T65" i="121"/>
  <c r="S65" i="121"/>
  <c r="R65" i="121"/>
  <c r="Q65" i="121"/>
  <c r="P65" i="121"/>
  <c r="O65" i="121"/>
  <c r="N65" i="121"/>
  <c r="L65" i="121"/>
  <c r="K65" i="121"/>
  <c r="J65" i="121"/>
  <c r="I65" i="121"/>
  <c r="F65" i="121"/>
  <c r="A65" i="121"/>
  <c r="T64" i="121"/>
  <c r="S64" i="121"/>
  <c r="R64" i="121"/>
  <c r="Q64" i="121"/>
  <c r="P64" i="121"/>
  <c r="O64" i="121"/>
  <c r="N64" i="121"/>
  <c r="L64" i="121"/>
  <c r="K64" i="121"/>
  <c r="J64" i="121"/>
  <c r="I64" i="121"/>
  <c r="F64" i="121"/>
  <c r="A64" i="121"/>
  <c r="T63" i="121"/>
  <c r="S63" i="121"/>
  <c r="R63" i="121"/>
  <c r="Q63" i="121"/>
  <c r="P63" i="121"/>
  <c r="O63" i="121"/>
  <c r="N63" i="121"/>
  <c r="L63" i="121"/>
  <c r="K63" i="121"/>
  <c r="J63" i="121"/>
  <c r="I63" i="121"/>
  <c r="F63" i="121"/>
  <c r="A63" i="121"/>
  <c r="T62" i="121"/>
  <c r="S62" i="121"/>
  <c r="R62" i="121"/>
  <c r="Q62" i="121"/>
  <c r="P62" i="121"/>
  <c r="O62" i="121"/>
  <c r="N62" i="121"/>
  <c r="L62" i="121"/>
  <c r="K62" i="121"/>
  <c r="J62" i="121"/>
  <c r="I62" i="121"/>
  <c r="F62" i="121"/>
  <c r="A62" i="121"/>
  <c r="T61" i="121"/>
  <c r="S61" i="121"/>
  <c r="R61" i="121"/>
  <c r="Q61" i="121"/>
  <c r="P61" i="121"/>
  <c r="O61" i="121"/>
  <c r="N61" i="121"/>
  <c r="L61" i="121"/>
  <c r="K61" i="121"/>
  <c r="J61" i="121"/>
  <c r="I61" i="121"/>
  <c r="F61" i="121"/>
  <c r="A61" i="121"/>
  <c r="T60" i="121"/>
  <c r="S60" i="121"/>
  <c r="R60" i="121"/>
  <c r="Q60" i="121"/>
  <c r="P60" i="121"/>
  <c r="O60" i="121"/>
  <c r="N60" i="121"/>
  <c r="L60" i="121"/>
  <c r="K60" i="121"/>
  <c r="J60" i="121"/>
  <c r="I60" i="121"/>
  <c r="F60" i="121"/>
  <c r="A60" i="121"/>
  <c r="T59" i="121"/>
  <c r="S59" i="121"/>
  <c r="R59" i="121"/>
  <c r="Q59" i="121"/>
  <c r="P59" i="121"/>
  <c r="O59" i="121"/>
  <c r="N59" i="121"/>
  <c r="L59" i="121"/>
  <c r="K59" i="121"/>
  <c r="J59" i="121"/>
  <c r="I59" i="121"/>
  <c r="F59" i="121"/>
  <c r="A59" i="121"/>
  <c r="T58" i="121"/>
  <c r="S58" i="121"/>
  <c r="R58" i="121"/>
  <c r="Q58" i="121"/>
  <c r="P58" i="121"/>
  <c r="O58" i="121"/>
  <c r="N58" i="121"/>
  <c r="L58" i="121"/>
  <c r="K58" i="121"/>
  <c r="J58" i="121"/>
  <c r="I58" i="121"/>
  <c r="F58" i="121"/>
  <c r="A58" i="121"/>
  <c r="T57" i="121"/>
  <c r="S57" i="121"/>
  <c r="R57" i="121"/>
  <c r="Q57" i="121"/>
  <c r="P57" i="121"/>
  <c r="O57" i="121"/>
  <c r="N57" i="121"/>
  <c r="L57" i="121"/>
  <c r="K57" i="121"/>
  <c r="J57" i="121"/>
  <c r="I57" i="121"/>
  <c r="F57" i="121"/>
  <c r="A57" i="121"/>
  <c r="T56" i="121"/>
  <c r="S56" i="121"/>
  <c r="R56" i="121"/>
  <c r="Q56" i="121"/>
  <c r="P56" i="121"/>
  <c r="O56" i="121"/>
  <c r="N56" i="121"/>
  <c r="L56" i="121"/>
  <c r="K56" i="121"/>
  <c r="J56" i="121"/>
  <c r="I56" i="121"/>
  <c r="F56" i="121"/>
  <c r="A56" i="121"/>
  <c r="T55" i="121"/>
  <c r="S55" i="121"/>
  <c r="R55" i="121"/>
  <c r="Q55" i="121"/>
  <c r="P55" i="121"/>
  <c r="O55" i="121"/>
  <c r="N55" i="121"/>
  <c r="L55" i="121"/>
  <c r="K55" i="121"/>
  <c r="J55" i="121"/>
  <c r="I55" i="121"/>
  <c r="F55" i="121"/>
  <c r="A55" i="121"/>
  <c r="T54" i="121"/>
  <c r="S54" i="121"/>
  <c r="R54" i="121"/>
  <c r="Q54" i="121"/>
  <c r="P54" i="121"/>
  <c r="O54" i="121"/>
  <c r="N54" i="121"/>
  <c r="L54" i="121"/>
  <c r="K54" i="121"/>
  <c r="J54" i="121"/>
  <c r="I54" i="121"/>
  <c r="F54" i="121"/>
  <c r="A54" i="121"/>
  <c r="T53" i="121"/>
  <c r="S53" i="121"/>
  <c r="R53" i="121"/>
  <c r="Q53" i="121"/>
  <c r="P53" i="121"/>
  <c r="O53" i="121"/>
  <c r="N53" i="121"/>
  <c r="L53" i="121"/>
  <c r="K53" i="121"/>
  <c r="J53" i="121"/>
  <c r="I53" i="121"/>
  <c r="F53" i="121"/>
  <c r="A53" i="121"/>
  <c r="T52" i="121"/>
  <c r="S52" i="121"/>
  <c r="R52" i="121"/>
  <c r="Q52" i="121"/>
  <c r="P52" i="121"/>
  <c r="O52" i="121"/>
  <c r="N52" i="121"/>
  <c r="L52" i="121"/>
  <c r="K52" i="121"/>
  <c r="J52" i="121"/>
  <c r="I52" i="121"/>
  <c r="F52" i="121"/>
  <c r="A52" i="121"/>
  <c r="T51" i="121"/>
  <c r="S51" i="121"/>
  <c r="R51" i="121"/>
  <c r="Q51" i="121"/>
  <c r="P51" i="121"/>
  <c r="O51" i="121"/>
  <c r="N51" i="121"/>
  <c r="L51" i="121"/>
  <c r="K51" i="121"/>
  <c r="J51" i="121"/>
  <c r="I51" i="121"/>
  <c r="F51" i="121"/>
  <c r="A51" i="121"/>
  <c r="T50" i="121"/>
  <c r="S50" i="121"/>
  <c r="R50" i="121"/>
  <c r="Q50" i="121"/>
  <c r="P50" i="121"/>
  <c r="O50" i="121"/>
  <c r="N50" i="121"/>
  <c r="L50" i="121"/>
  <c r="K50" i="121"/>
  <c r="J50" i="121"/>
  <c r="I50" i="121"/>
  <c r="F50" i="121"/>
  <c r="A50" i="121"/>
  <c r="T49" i="121"/>
  <c r="S49" i="121"/>
  <c r="R49" i="121"/>
  <c r="Q49" i="121"/>
  <c r="P49" i="121"/>
  <c r="O49" i="121"/>
  <c r="N49" i="121"/>
  <c r="L49" i="121"/>
  <c r="K49" i="121"/>
  <c r="J49" i="121"/>
  <c r="I49" i="121"/>
  <c r="F49" i="121"/>
  <c r="A49" i="121"/>
  <c r="T48" i="121"/>
  <c r="S48" i="121"/>
  <c r="R48" i="121"/>
  <c r="Q48" i="121"/>
  <c r="P48" i="121"/>
  <c r="O48" i="121"/>
  <c r="N48" i="121"/>
  <c r="L48" i="121"/>
  <c r="K48" i="121"/>
  <c r="J48" i="121"/>
  <c r="I48" i="121"/>
  <c r="F48" i="121"/>
  <c r="A48" i="121"/>
  <c r="T47" i="121"/>
  <c r="S47" i="121"/>
  <c r="R47" i="121"/>
  <c r="Q47" i="121"/>
  <c r="P47" i="121"/>
  <c r="O47" i="121"/>
  <c r="N47" i="121"/>
  <c r="L47" i="121"/>
  <c r="K47" i="121"/>
  <c r="J47" i="121"/>
  <c r="I47" i="121"/>
  <c r="F47" i="121"/>
  <c r="A47" i="121"/>
  <c r="T46" i="121"/>
  <c r="S46" i="121"/>
  <c r="R46" i="121"/>
  <c r="Q46" i="121"/>
  <c r="P46" i="121"/>
  <c r="O46" i="121"/>
  <c r="N46" i="121"/>
  <c r="L46" i="121"/>
  <c r="K46" i="121"/>
  <c r="J46" i="121"/>
  <c r="I46" i="121"/>
  <c r="F46" i="121"/>
  <c r="A46" i="121"/>
  <c r="T45" i="121"/>
  <c r="S45" i="121"/>
  <c r="R45" i="121"/>
  <c r="Q45" i="121"/>
  <c r="P45" i="121"/>
  <c r="O45" i="121"/>
  <c r="N45" i="121"/>
  <c r="L45" i="121"/>
  <c r="K45" i="121"/>
  <c r="J45" i="121"/>
  <c r="I45" i="121"/>
  <c r="F45" i="121"/>
  <c r="A45" i="121"/>
  <c r="T44" i="121"/>
  <c r="S44" i="121"/>
  <c r="R44" i="121"/>
  <c r="Q44" i="121"/>
  <c r="P44" i="121"/>
  <c r="O44" i="121"/>
  <c r="N44" i="121"/>
  <c r="L44" i="121"/>
  <c r="K44" i="121"/>
  <c r="J44" i="121"/>
  <c r="I44" i="121"/>
  <c r="F44" i="121"/>
  <c r="A44" i="121"/>
  <c r="T43" i="121"/>
  <c r="S43" i="121"/>
  <c r="R43" i="121"/>
  <c r="Q43" i="121"/>
  <c r="P43" i="121"/>
  <c r="O43" i="121"/>
  <c r="N43" i="121"/>
  <c r="L43" i="121"/>
  <c r="K43" i="121"/>
  <c r="J43" i="121"/>
  <c r="I43" i="121"/>
  <c r="F43" i="121"/>
  <c r="A43" i="121"/>
  <c r="T42" i="121"/>
  <c r="S42" i="121"/>
  <c r="R42" i="121"/>
  <c r="Q42" i="121"/>
  <c r="P42" i="121"/>
  <c r="O42" i="121"/>
  <c r="N42" i="121"/>
  <c r="L42" i="121"/>
  <c r="K42" i="121"/>
  <c r="J42" i="121"/>
  <c r="I42" i="121"/>
  <c r="F42" i="121"/>
  <c r="A42" i="121"/>
  <c r="T41" i="121"/>
  <c r="S41" i="121"/>
  <c r="R41" i="121"/>
  <c r="Q41" i="121"/>
  <c r="P41" i="121"/>
  <c r="O41" i="121"/>
  <c r="N41" i="121"/>
  <c r="L41" i="121"/>
  <c r="K41" i="121"/>
  <c r="J41" i="121"/>
  <c r="I41" i="121"/>
  <c r="F41" i="121"/>
  <c r="A41" i="121"/>
  <c r="T40" i="121"/>
  <c r="S40" i="121"/>
  <c r="R40" i="121"/>
  <c r="Q40" i="121"/>
  <c r="P40" i="121"/>
  <c r="O40" i="121"/>
  <c r="N40" i="121"/>
  <c r="L40" i="121"/>
  <c r="K40" i="121"/>
  <c r="J40" i="121"/>
  <c r="I40" i="121"/>
  <c r="F40" i="121"/>
  <c r="A40" i="121"/>
  <c r="T39" i="121"/>
  <c r="S39" i="121"/>
  <c r="R39" i="121"/>
  <c r="Q39" i="121"/>
  <c r="P39" i="121"/>
  <c r="O39" i="121"/>
  <c r="N39" i="121"/>
  <c r="L39" i="121"/>
  <c r="K39" i="121"/>
  <c r="J39" i="121"/>
  <c r="I39" i="121"/>
  <c r="F39" i="121"/>
  <c r="A39" i="121"/>
  <c r="T38" i="121"/>
  <c r="S38" i="121"/>
  <c r="R38" i="121"/>
  <c r="Q38" i="121"/>
  <c r="P38" i="121"/>
  <c r="O38" i="121"/>
  <c r="N38" i="121"/>
  <c r="L38" i="121"/>
  <c r="K38" i="121"/>
  <c r="J38" i="121"/>
  <c r="I38" i="121"/>
  <c r="F38" i="121"/>
  <c r="A38" i="121"/>
  <c r="T37" i="121"/>
  <c r="S37" i="121"/>
  <c r="R37" i="121"/>
  <c r="Q37" i="121"/>
  <c r="P37" i="121"/>
  <c r="O37" i="121"/>
  <c r="N37" i="121"/>
  <c r="L37" i="121"/>
  <c r="K37" i="121"/>
  <c r="J37" i="121"/>
  <c r="I37" i="121"/>
  <c r="F37" i="121"/>
  <c r="A37" i="121"/>
  <c r="T36" i="121"/>
  <c r="S36" i="121"/>
  <c r="R36" i="121"/>
  <c r="Q36" i="121"/>
  <c r="P36" i="121"/>
  <c r="O36" i="121"/>
  <c r="N36" i="121"/>
  <c r="L36" i="121"/>
  <c r="K36" i="121"/>
  <c r="J36" i="121"/>
  <c r="I36" i="121"/>
  <c r="F36" i="121"/>
  <c r="A36" i="121"/>
  <c r="T35" i="121"/>
  <c r="S35" i="121"/>
  <c r="R35" i="121"/>
  <c r="Q35" i="121"/>
  <c r="P35" i="121"/>
  <c r="O35" i="121"/>
  <c r="N35" i="121"/>
  <c r="L35" i="121"/>
  <c r="K35" i="121"/>
  <c r="J35" i="121"/>
  <c r="I35" i="121"/>
  <c r="F35" i="121"/>
  <c r="A35" i="121"/>
  <c r="T34" i="121"/>
  <c r="S34" i="121"/>
  <c r="R34" i="121"/>
  <c r="Q34" i="121"/>
  <c r="P34" i="121"/>
  <c r="O34" i="121"/>
  <c r="N34" i="121"/>
  <c r="L34" i="121"/>
  <c r="K34" i="121"/>
  <c r="J34" i="121"/>
  <c r="I34" i="121"/>
  <c r="F34" i="121"/>
  <c r="A34" i="121"/>
  <c r="T33" i="121"/>
  <c r="S33" i="121"/>
  <c r="R33" i="121"/>
  <c r="Q33" i="121"/>
  <c r="P33" i="121"/>
  <c r="O33" i="121"/>
  <c r="N33" i="121"/>
  <c r="L33" i="121"/>
  <c r="K33" i="121"/>
  <c r="J33" i="121"/>
  <c r="I33" i="121"/>
  <c r="F33" i="121"/>
  <c r="A33" i="121"/>
  <c r="T32" i="121"/>
  <c r="S32" i="121"/>
  <c r="R32" i="121"/>
  <c r="Q32" i="121"/>
  <c r="P32" i="121"/>
  <c r="O32" i="121"/>
  <c r="N32" i="121"/>
  <c r="L32" i="121"/>
  <c r="K32" i="121"/>
  <c r="J32" i="121"/>
  <c r="I32" i="121"/>
  <c r="F32" i="121"/>
  <c r="A32" i="121"/>
  <c r="T31" i="121"/>
  <c r="S31" i="121"/>
  <c r="R31" i="121"/>
  <c r="Q31" i="121"/>
  <c r="P31" i="121"/>
  <c r="O31" i="121"/>
  <c r="N31" i="121"/>
  <c r="L31" i="121"/>
  <c r="K31" i="121"/>
  <c r="J31" i="121"/>
  <c r="I31" i="121"/>
  <c r="F31" i="121"/>
  <c r="A31" i="121"/>
  <c r="T30" i="121"/>
  <c r="S30" i="121"/>
  <c r="R30" i="121"/>
  <c r="Q30" i="121"/>
  <c r="P30" i="121"/>
  <c r="O30" i="121"/>
  <c r="N30" i="121"/>
  <c r="L30" i="121"/>
  <c r="K30" i="121"/>
  <c r="J30" i="121"/>
  <c r="I30" i="121"/>
  <c r="F30" i="121"/>
  <c r="A30" i="121"/>
  <c r="T29" i="121"/>
  <c r="S29" i="121"/>
  <c r="R29" i="121"/>
  <c r="Q29" i="121"/>
  <c r="P29" i="121"/>
  <c r="O29" i="121"/>
  <c r="N29" i="121"/>
  <c r="L29" i="121"/>
  <c r="K29" i="121"/>
  <c r="J29" i="121"/>
  <c r="I29" i="121"/>
  <c r="F29" i="121"/>
  <c r="A29" i="121"/>
  <c r="T28" i="121"/>
  <c r="S28" i="121"/>
  <c r="R28" i="121"/>
  <c r="Q28" i="121"/>
  <c r="P28" i="121"/>
  <c r="O28" i="121"/>
  <c r="N28" i="121"/>
  <c r="L28" i="121"/>
  <c r="K28" i="121"/>
  <c r="J28" i="121"/>
  <c r="I28" i="121"/>
  <c r="F28" i="121"/>
  <c r="A28" i="121"/>
  <c r="T27" i="121"/>
  <c r="S27" i="121"/>
  <c r="R27" i="121"/>
  <c r="Q27" i="121"/>
  <c r="P27" i="121"/>
  <c r="O27" i="121"/>
  <c r="N27" i="121"/>
  <c r="L27" i="121"/>
  <c r="K27" i="121"/>
  <c r="J27" i="121"/>
  <c r="I27" i="121"/>
  <c r="F27" i="121"/>
  <c r="A27" i="121"/>
  <c r="T26" i="121"/>
  <c r="S26" i="121"/>
  <c r="R26" i="121"/>
  <c r="Q26" i="121"/>
  <c r="P26" i="121"/>
  <c r="O26" i="121"/>
  <c r="N26" i="121"/>
  <c r="L26" i="121"/>
  <c r="K26" i="121"/>
  <c r="J26" i="121"/>
  <c r="I26" i="121"/>
  <c r="F26" i="121"/>
  <c r="A26" i="121"/>
  <c r="T25" i="121"/>
  <c r="S25" i="121"/>
  <c r="R25" i="121"/>
  <c r="Q25" i="121"/>
  <c r="P25" i="121"/>
  <c r="O25" i="121"/>
  <c r="N25" i="121"/>
  <c r="L25" i="121"/>
  <c r="K25" i="121"/>
  <c r="J25" i="121"/>
  <c r="I25" i="121"/>
  <c r="F25" i="121"/>
  <c r="A25" i="121"/>
  <c r="T24" i="121"/>
  <c r="S24" i="121"/>
  <c r="R24" i="121"/>
  <c r="Q24" i="121"/>
  <c r="P24" i="121"/>
  <c r="O24" i="121"/>
  <c r="N24" i="121"/>
  <c r="L24" i="121"/>
  <c r="K24" i="121"/>
  <c r="J24" i="121"/>
  <c r="I24" i="121"/>
  <c r="F24" i="121"/>
  <c r="A24" i="121"/>
  <c r="T23" i="121"/>
  <c r="S23" i="121"/>
  <c r="R23" i="121"/>
  <c r="Q23" i="121"/>
  <c r="P23" i="121"/>
  <c r="O23" i="121"/>
  <c r="N23" i="121"/>
  <c r="L23" i="121"/>
  <c r="K23" i="121"/>
  <c r="J23" i="121"/>
  <c r="I23" i="121"/>
  <c r="F23" i="121"/>
  <c r="A23" i="121"/>
  <c r="T22" i="121"/>
  <c r="S22" i="121"/>
  <c r="R22" i="121"/>
  <c r="Q22" i="121"/>
  <c r="P22" i="121"/>
  <c r="O22" i="121"/>
  <c r="N22" i="121"/>
  <c r="L22" i="121"/>
  <c r="K22" i="121"/>
  <c r="J22" i="121"/>
  <c r="I22" i="121"/>
  <c r="F22" i="121"/>
  <c r="A22" i="121"/>
  <c r="T21" i="121"/>
  <c r="S21" i="121"/>
  <c r="R21" i="121"/>
  <c r="Q21" i="121"/>
  <c r="P21" i="121"/>
  <c r="O21" i="121"/>
  <c r="N21" i="121"/>
  <c r="L21" i="121"/>
  <c r="K21" i="121"/>
  <c r="J21" i="121"/>
  <c r="I21" i="121"/>
  <c r="F21" i="121"/>
  <c r="A21" i="121"/>
  <c r="T20" i="121"/>
  <c r="S20" i="121"/>
  <c r="R20" i="121"/>
  <c r="Q20" i="121"/>
  <c r="P20" i="121"/>
  <c r="O20" i="121"/>
  <c r="N20" i="121"/>
  <c r="L20" i="121"/>
  <c r="K20" i="121"/>
  <c r="J20" i="121"/>
  <c r="I20" i="121"/>
  <c r="F20" i="121"/>
  <c r="A20" i="121"/>
  <c r="T19" i="121"/>
  <c r="S19" i="121"/>
  <c r="R19" i="121"/>
  <c r="Q19" i="121"/>
  <c r="P19" i="121"/>
  <c r="O19" i="121"/>
  <c r="N19" i="121"/>
  <c r="L19" i="121"/>
  <c r="K19" i="121"/>
  <c r="J19" i="121"/>
  <c r="I19" i="121"/>
  <c r="F19" i="121"/>
  <c r="A19" i="121"/>
  <c r="T18" i="121"/>
  <c r="S18" i="121"/>
  <c r="R18" i="121"/>
  <c r="Q18" i="121"/>
  <c r="P18" i="121"/>
  <c r="O18" i="121"/>
  <c r="N18" i="121"/>
  <c r="L18" i="121"/>
  <c r="K18" i="121"/>
  <c r="J18" i="121"/>
  <c r="I18" i="121"/>
  <c r="F18" i="121"/>
  <c r="A18" i="121"/>
  <c r="T17" i="121"/>
  <c r="S17" i="121"/>
  <c r="R17" i="121"/>
  <c r="Q17" i="121"/>
  <c r="P17" i="121"/>
  <c r="O17" i="121"/>
  <c r="N17" i="121"/>
  <c r="L17" i="121"/>
  <c r="K17" i="121"/>
  <c r="J17" i="121"/>
  <c r="I17" i="121"/>
  <c r="F17" i="121"/>
  <c r="A17" i="121"/>
  <c r="T16" i="121"/>
  <c r="S16" i="121"/>
  <c r="R16" i="121"/>
  <c r="Q16" i="121"/>
  <c r="P16" i="121"/>
  <c r="O16" i="121"/>
  <c r="N16" i="121"/>
  <c r="L16" i="121"/>
  <c r="K16" i="121"/>
  <c r="J16" i="121"/>
  <c r="I16" i="121"/>
  <c r="F16" i="121"/>
  <c r="A16" i="121"/>
  <c r="T15" i="121"/>
  <c r="S15" i="121"/>
  <c r="R15" i="121"/>
  <c r="Q15" i="121"/>
  <c r="P15" i="121"/>
  <c r="O15" i="121"/>
  <c r="N15" i="121"/>
  <c r="L15" i="121"/>
  <c r="K15" i="121"/>
  <c r="J15" i="121"/>
  <c r="I15" i="121"/>
  <c r="F15" i="121"/>
  <c r="A15" i="121"/>
  <c r="T14" i="121"/>
  <c r="S14" i="121"/>
  <c r="R14" i="121"/>
  <c r="Q14" i="121"/>
  <c r="P14" i="121"/>
  <c r="O14" i="121"/>
  <c r="N14" i="121"/>
  <c r="L14" i="121"/>
  <c r="K14" i="121"/>
  <c r="J14" i="121"/>
  <c r="I14" i="121"/>
  <c r="F14" i="121"/>
  <c r="A14" i="121"/>
  <c r="T13" i="121"/>
  <c r="S13" i="121"/>
  <c r="R13" i="121"/>
  <c r="Q13" i="121"/>
  <c r="P13" i="121"/>
  <c r="O13" i="121"/>
  <c r="N13" i="121"/>
  <c r="L13" i="121"/>
  <c r="K13" i="121"/>
  <c r="J13" i="121"/>
  <c r="I13" i="121"/>
  <c r="F13" i="121"/>
  <c r="A13" i="121"/>
  <c r="T12" i="121"/>
  <c r="S12" i="121"/>
  <c r="R12" i="121"/>
  <c r="Q12" i="121"/>
  <c r="P12" i="121"/>
  <c r="O12" i="121"/>
  <c r="N12" i="121"/>
  <c r="L12" i="121"/>
  <c r="K12" i="121"/>
  <c r="J12" i="121"/>
  <c r="I12" i="121"/>
  <c r="F12" i="121"/>
  <c r="A12" i="121"/>
  <c r="T11" i="121"/>
  <c r="S11" i="121"/>
  <c r="R11" i="121"/>
  <c r="Q11" i="121"/>
  <c r="P11" i="121"/>
  <c r="O11" i="121"/>
  <c r="N11" i="121"/>
  <c r="L11" i="121"/>
  <c r="K11" i="121"/>
  <c r="J11" i="121"/>
  <c r="I11" i="121"/>
  <c r="F11" i="121"/>
  <c r="A11" i="121"/>
  <c r="T10" i="121"/>
  <c r="S10" i="121"/>
  <c r="R10" i="121"/>
  <c r="Q10" i="121"/>
  <c r="P10" i="121"/>
  <c r="O10" i="121"/>
  <c r="N10" i="121"/>
  <c r="L10" i="121"/>
  <c r="K10" i="121"/>
  <c r="J10" i="121"/>
  <c r="I10" i="121"/>
  <c r="F10" i="121"/>
  <c r="A10" i="121"/>
  <c r="T9" i="121"/>
  <c r="S9" i="121"/>
  <c r="R9" i="121"/>
  <c r="Q9" i="121"/>
  <c r="P9" i="121"/>
  <c r="O9" i="121"/>
  <c r="N9" i="121"/>
  <c r="L9" i="121"/>
  <c r="K9" i="121"/>
  <c r="J9" i="121"/>
  <c r="I9" i="121"/>
  <c r="F9" i="121"/>
  <c r="A9" i="121"/>
  <c r="T8" i="121"/>
  <c r="S8" i="121"/>
  <c r="R8" i="121"/>
  <c r="Q8" i="121"/>
  <c r="P8" i="121"/>
  <c r="O8" i="121"/>
  <c r="N8" i="121"/>
  <c r="L8" i="121"/>
  <c r="K8" i="121"/>
  <c r="J8" i="121"/>
  <c r="I8" i="121"/>
  <c r="F8" i="121"/>
  <c r="A8" i="121"/>
  <c r="T7" i="121"/>
  <c r="S7" i="121"/>
  <c r="R7" i="121"/>
  <c r="Q7" i="121"/>
  <c r="P7" i="121"/>
  <c r="O7" i="121"/>
  <c r="N7" i="121"/>
  <c r="L7" i="121"/>
  <c r="K7" i="121"/>
  <c r="J7" i="121"/>
  <c r="I7" i="121"/>
  <c r="F7" i="121"/>
  <c r="A7" i="121"/>
  <c r="T6" i="121"/>
  <c r="S6" i="121"/>
  <c r="R6" i="121"/>
  <c r="Q6" i="121"/>
  <c r="P6" i="121"/>
  <c r="O6" i="121"/>
  <c r="N6" i="121"/>
  <c r="L6" i="121"/>
  <c r="K6" i="121"/>
  <c r="J6" i="121"/>
  <c r="I6" i="121"/>
  <c r="F6" i="121"/>
  <c r="A6" i="121"/>
  <c r="T5" i="121"/>
  <c r="S5" i="121"/>
  <c r="R5" i="121"/>
  <c r="Q5" i="121"/>
  <c r="P5" i="121"/>
  <c r="O5" i="121"/>
  <c r="N5" i="121"/>
  <c r="L5" i="121"/>
  <c r="K5" i="121"/>
  <c r="J5" i="121"/>
  <c r="I5" i="121"/>
  <c r="F5" i="121"/>
  <c r="A5" i="121"/>
  <c r="T4" i="121"/>
  <c r="S4" i="121"/>
  <c r="R4" i="121"/>
  <c r="Q4" i="121"/>
  <c r="P4" i="121"/>
  <c r="O4" i="121"/>
  <c r="N4" i="121"/>
  <c r="L4" i="121"/>
  <c r="K4" i="121"/>
  <c r="J4" i="121"/>
  <c r="I4" i="121"/>
  <c r="F4" i="121"/>
  <c r="A4" i="121"/>
  <c r="T3" i="121"/>
  <c r="S3" i="121"/>
  <c r="R3" i="121"/>
  <c r="Q3" i="121"/>
  <c r="P3" i="121"/>
  <c r="O3" i="121"/>
  <c r="N3" i="121"/>
  <c r="L3" i="121"/>
  <c r="K3" i="121"/>
  <c r="J3" i="121"/>
  <c r="I3" i="121"/>
  <c r="F3" i="121"/>
  <c r="A3" i="121"/>
  <c r="T2" i="121"/>
  <c r="S2" i="121"/>
  <c r="R2" i="121"/>
  <c r="Q2" i="121"/>
  <c r="P2" i="121"/>
  <c r="O2" i="121"/>
  <c r="N2" i="121"/>
  <c r="L2" i="121"/>
  <c r="K2" i="121"/>
  <c r="J2" i="121"/>
  <c r="I2" i="121"/>
  <c r="F2" i="121"/>
  <c r="A2" i="121"/>
  <c r="B39" i="120"/>
  <c r="B36" i="120"/>
  <c r="B37" i="120"/>
  <c r="B38" i="120"/>
  <c r="B40" i="120"/>
  <c r="B41" i="120"/>
  <c r="B42" i="120"/>
  <c r="B43" i="120"/>
  <c r="C39" i="120"/>
  <c r="C42" i="120"/>
  <c r="F43" i="120"/>
  <c r="C38" i="120"/>
  <c r="C41" i="120"/>
  <c r="F42" i="120"/>
  <c r="C36" i="120"/>
  <c r="C37" i="120"/>
  <c r="C40" i="120"/>
  <c r="F41" i="120"/>
  <c r="F38" i="120"/>
  <c r="F37" i="120"/>
  <c r="F36" i="120"/>
  <c r="B24" i="120"/>
  <c r="C20" i="120"/>
  <c r="C23" i="120"/>
  <c r="C24" i="120"/>
  <c r="D24" i="120"/>
  <c r="D23" i="120"/>
  <c r="G23" i="120"/>
  <c r="H23" i="120"/>
  <c r="I23" i="120"/>
  <c r="J23" i="120"/>
  <c r="F23" i="120"/>
  <c r="I22" i="120"/>
  <c r="J22" i="120"/>
  <c r="F22" i="120"/>
  <c r="I21" i="120"/>
  <c r="J21" i="120"/>
  <c r="F21" i="120"/>
  <c r="D20" i="120"/>
  <c r="G20" i="120"/>
  <c r="H20" i="120"/>
  <c r="I20" i="120"/>
  <c r="J20" i="120"/>
  <c r="F20" i="120"/>
  <c r="I19" i="120"/>
  <c r="J19" i="120"/>
  <c r="F19" i="120"/>
  <c r="I18" i="120"/>
  <c r="J18" i="120"/>
  <c r="F18" i="120"/>
  <c r="I17" i="120"/>
  <c r="J17" i="120"/>
  <c r="F17" i="120"/>
  <c r="R12" i="120"/>
  <c r="M12" i="120"/>
  <c r="R11" i="120"/>
  <c r="M11" i="120"/>
  <c r="R10" i="120"/>
  <c r="M10" i="120"/>
  <c r="B10" i="120"/>
  <c r="R9" i="120"/>
  <c r="M9" i="120"/>
  <c r="R8" i="120"/>
  <c r="M8" i="120"/>
  <c r="R7" i="120"/>
  <c r="M7" i="120"/>
  <c r="R6" i="120"/>
  <c r="M6" i="120"/>
  <c r="R5" i="120"/>
  <c r="M5" i="120"/>
  <c r="R4" i="120"/>
  <c r="M4" i="120"/>
  <c r="R3" i="120"/>
  <c r="M3" i="120"/>
  <c r="B22" i="106"/>
  <c r="B19" i="106"/>
  <c r="A32" i="106"/>
  <c r="B5" i="106"/>
  <c r="A256" i="82"/>
  <c r="G256" i="82"/>
  <c r="C256" i="82"/>
  <c r="H256" i="82"/>
  <c r="B256" i="82"/>
  <c r="A257" i="82"/>
  <c r="G257" i="82"/>
  <c r="C257" i="82"/>
  <c r="H257" i="82"/>
  <c r="B257" i="82"/>
  <c r="A258" i="82"/>
  <c r="G258" i="82"/>
  <c r="C258" i="82"/>
  <c r="H258" i="82"/>
  <c r="B258" i="82"/>
  <c r="A259" i="82"/>
  <c r="G259" i="82"/>
  <c r="C259" i="82"/>
  <c r="H259" i="82"/>
  <c r="B259" i="82"/>
  <c r="A260" i="82"/>
  <c r="G260" i="82"/>
  <c r="C260" i="82"/>
  <c r="H260" i="82"/>
  <c r="B260" i="82"/>
  <c r="A261" i="82"/>
  <c r="G261" i="82"/>
  <c r="C261" i="82"/>
  <c r="H261" i="82"/>
  <c r="B261" i="82"/>
  <c r="A262" i="82"/>
  <c r="G262" i="82"/>
  <c r="C262" i="82"/>
  <c r="H262" i="82"/>
  <c r="B262" i="82"/>
  <c r="A263" i="82"/>
  <c r="G263" i="82"/>
  <c r="C263" i="82"/>
  <c r="H263" i="82"/>
  <c r="B263" i="82"/>
  <c r="A264" i="82"/>
  <c r="G264" i="82"/>
  <c r="C264" i="82"/>
  <c r="H264" i="82"/>
  <c r="B264" i="82"/>
  <c r="A265" i="82"/>
  <c r="G265" i="82"/>
  <c r="C265" i="82"/>
  <c r="H265" i="82"/>
  <c r="B265" i="82"/>
  <c r="F256" i="82"/>
  <c r="I256" i="82"/>
  <c r="J256" i="82"/>
  <c r="K256" i="82"/>
  <c r="L256" i="82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H149" i="82"/>
  <c r="B149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C213" i="82"/>
  <c r="H213" i="82"/>
  <c r="B213" i="82"/>
  <c r="G214" i="82"/>
  <c r="C214" i="82"/>
  <c r="H214" i="82"/>
  <c r="B214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G246" i="82"/>
  <c r="C246" i="82"/>
  <c r="H246" i="82"/>
  <c r="B246" i="82"/>
  <c r="G247" i="82"/>
  <c r="C247" i="82"/>
  <c r="H247" i="82"/>
  <c r="B247" i="82"/>
  <c r="G248" i="82"/>
  <c r="C248" i="82"/>
  <c r="H248" i="82"/>
  <c r="B248" i="82"/>
  <c r="G249" i="82"/>
  <c r="C249" i="82"/>
  <c r="H249" i="82"/>
  <c r="B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C19" i="106"/>
  <c r="D19" i="106"/>
  <c r="G19" i="106"/>
  <c r="H19" i="106"/>
  <c r="R3" i="106"/>
  <c r="M256" i="82"/>
  <c r="B17" i="106"/>
  <c r="C17" i="106"/>
  <c r="D17" i="106"/>
  <c r="G17" i="106"/>
  <c r="H17" i="106"/>
  <c r="M2" i="82"/>
  <c r="B18" i="106"/>
  <c r="C18" i="106"/>
  <c r="D18" i="106"/>
  <c r="G18" i="106"/>
  <c r="H18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B21" i="106"/>
  <c r="C21" i="106"/>
  <c r="D21" i="106"/>
  <c r="G21" i="106"/>
  <c r="H21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C22" i="106"/>
  <c r="D22" i="106"/>
  <c r="G22" i="106"/>
  <c r="H22" i="106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C20" i="106"/>
  <c r="D20" i="106"/>
  <c r="G20" i="106"/>
  <c r="H20" i="106"/>
  <c r="C23" i="106"/>
  <c r="D23" i="106"/>
  <c r="G23" i="106"/>
  <c r="H23" i="106"/>
  <c r="M246" i="82"/>
  <c r="M247" i="82"/>
  <c r="M248" i="82"/>
  <c r="M249" i="82"/>
  <c r="M250" i="82"/>
  <c r="M251" i="82"/>
  <c r="M252" i="82"/>
  <c r="M253" i="82"/>
  <c r="M254" i="82"/>
  <c r="M255" i="82"/>
  <c r="R4" i="106"/>
  <c r="M257" i="82"/>
  <c r="R5" i="106"/>
  <c r="M258" i="82"/>
  <c r="R6" i="106"/>
  <c r="M259" i="82"/>
  <c r="R7" i="106"/>
  <c r="M260" i="82"/>
  <c r="R8" i="106"/>
  <c r="M261" i="82"/>
  <c r="R9" i="106"/>
  <c r="M262" i="82"/>
  <c r="R10" i="106"/>
  <c r="M263" i="82"/>
  <c r="R11" i="106"/>
  <c r="M264" i="82"/>
  <c r="R12" i="106"/>
  <c r="M265" i="82"/>
  <c r="N256" i="82"/>
  <c r="O256" i="82"/>
  <c r="P256" i="82"/>
  <c r="Q256" i="82"/>
  <c r="R256" i="82"/>
  <c r="S256" i="82"/>
  <c r="T256" i="82"/>
  <c r="F257" i="82"/>
  <c r="I257" i="82"/>
  <c r="J257" i="82"/>
  <c r="K257" i="82"/>
  <c r="L257" i="82"/>
  <c r="N257" i="82"/>
  <c r="O257" i="82"/>
  <c r="P257" i="82"/>
  <c r="Q257" i="82"/>
  <c r="R257" i="82"/>
  <c r="S257" i="82"/>
  <c r="T257" i="82"/>
  <c r="F258" i="82"/>
  <c r="I258" i="82"/>
  <c r="J258" i="82"/>
  <c r="K258" i="82"/>
  <c r="L258" i="82"/>
  <c r="N258" i="82"/>
  <c r="O258" i="82"/>
  <c r="P258" i="82"/>
  <c r="Q258" i="82"/>
  <c r="R258" i="82"/>
  <c r="S258" i="82"/>
  <c r="T258" i="82"/>
  <c r="F259" i="82"/>
  <c r="I259" i="82"/>
  <c r="J259" i="82"/>
  <c r="K259" i="82"/>
  <c r="L259" i="82"/>
  <c r="N259" i="82"/>
  <c r="O259" i="82"/>
  <c r="P259" i="82"/>
  <c r="Q259" i="82"/>
  <c r="R259" i="82"/>
  <c r="S259" i="82"/>
  <c r="T259" i="82"/>
  <c r="F260" i="82"/>
  <c r="I260" i="82"/>
  <c r="J260" i="82"/>
  <c r="K260" i="82"/>
  <c r="L260" i="82"/>
  <c r="N260" i="82"/>
  <c r="O260" i="82"/>
  <c r="P260" i="82"/>
  <c r="Q260" i="82"/>
  <c r="R260" i="82"/>
  <c r="S260" i="82"/>
  <c r="T260" i="82"/>
  <c r="F261" i="82"/>
  <c r="I261" i="82"/>
  <c r="J261" i="82"/>
  <c r="K261" i="82"/>
  <c r="L261" i="82"/>
  <c r="N261" i="82"/>
  <c r="O261" i="82"/>
  <c r="P261" i="82"/>
  <c r="Q261" i="82"/>
  <c r="R261" i="82"/>
  <c r="S261" i="82"/>
  <c r="T261" i="82"/>
  <c r="F262" i="82"/>
  <c r="I262" i="82"/>
  <c r="J262" i="82"/>
  <c r="K262" i="82"/>
  <c r="L262" i="82"/>
  <c r="N262" i="82"/>
  <c r="O262" i="82"/>
  <c r="P262" i="82"/>
  <c r="Q262" i="82"/>
  <c r="R262" i="82"/>
  <c r="S262" i="82"/>
  <c r="T262" i="82"/>
  <c r="F263" i="82"/>
  <c r="I263" i="82"/>
  <c r="J263" i="82"/>
  <c r="K263" i="82"/>
  <c r="L263" i="82"/>
  <c r="N263" i="82"/>
  <c r="O263" i="82"/>
  <c r="P263" i="82"/>
  <c r="Q263" i="82"/>
  <c r="R263" i="82"/>
  <c r="S263" i="82"/>
  <c r="T263" i="82"/>
  <c r="F264" i="82"/>
  <c r="I264" i="82"/>
  <c r="J264" i="82"/>
  <c r="K264" i="82"/>
  <c r="L264" i="82"/>
  <c r="N264" i="82"/>
  <c r="O264" i="82"/>
  <c r="P264" i="82"/>
  <c r="Q264" i="82"/>
  <c r="R264" i="82"/>
  <c r="S264" i="82"/>
  <c r="T264" i="82"/>
  <c r="F265" i="82"/>
  <c r="I265" i="82"/>
  <c r="J265" i="82"/>
  <c r="K265" i="82"/>
  <c r="L265" i="82"/>
  <c r="N265" i="82"/>
  <c r="O265" i="82"/>
  <c r="P265" i="82"/>
  <c r="Q265" i="82"/>
  <c r="R265" i="82"/>
  <c r="S265" i="82"/>
  <c r="T265" i="82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C2" i="103"/>
  <c r="C3" i="103"/>
  <c r="M4" i="106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C36" i="106"/>
  <c r="C37" i="106"/>
  <c r="C40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11" i="103"/>
  <c r="E10" i="103"/>
  <c r="E9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<sst xmlns="http://schemas.openxmlformats.org/spreadsheetml/2006/main" count="708" uniqueCount="147">
  <si>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</si>
  <si>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</si>
  <si>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</si>
  <si>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</si>
  <si>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</si>
  <si>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</si>
  <si>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</si>
  <si>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</si>
  <si>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</si>
  <si>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</si>
  <si>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</si>
  <si>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</si>
  <si>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</si>
  <si>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</si>
  <si>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</si>
  <si>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</si>
  <si>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</si>
  <si>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</si>
  <si>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</si>
  <si>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</si>
  <si>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</si>
  <si>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</si>
  <si>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</si>
  <si>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</si>
  <si>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</si>
  <si>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</si>
  <si>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</si>
  <si>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</si>
  <si>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</si>
  <si>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</si>
  <si>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</si>
  <si>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</si>
  <si>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</si>
  <si>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</si>
  <si>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</si>
  <si>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</si>
  <si>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</si>
  <si>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</si>
  <si>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</si>
  <si>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</si>
  <si>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</si>
  <si>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</si>
  <si>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</si>
  <si>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</si>
  <si>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</si>
  <si>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</si>
  <si>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</si>
  <si>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</si>
  <si>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</si>
  <si>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</si>
  <si>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</si>
  <si>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</si>
  <si>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</si>
  <si>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</si>
  <si>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name</t>
    <phoneticPr fontId="16"/>
  </si>
  <si>
    <t>バグ設定ユニット数</t>
    <rPh sb="2" eb="9">
      <t>セッテイy</t>
    </rPh>
    <phoneticPr fontId="16"/>
  </si>
  <si>
    <t>単発ガチャ</t>
    <rPh sb="0" eb="5">
      <t>タンパt</t>
    </rPh>
    <phoneticPr fontId="16"/>
  </si>
  <si>
    <t>unit_level</t>
    <phoneticPr fontId="16"/>
  </si>
  <si>
    <t>フェス限定キャラ数</t>
    <rPh sb="3" eb="8">
      <t>ゲン</t>
    </rPh>
    <rPh sb="8" eb="9">
      <t>シュt</t>
    </rPh>
    <phoneticPr fontId="16"/>
  </si>
  <si>
    <t>１０連ガチャ</t>
    <rPh sb="2" eb="6">
      <t>レン</t>
    </rPh>
    <phoneticPr fontId="16"/>
  </si>
  <si>
    <t>確定枠</t>
    <rPh sb="0" eb="3">
      <t>カクテ</t>
    </rPh>
    <phoneticPr fontId="16"/>
  </si>
  <si>
    <t>今回のガチャID</t>
    <rPh sb="0" eb="3">
      <t>コンカ</t>
    </rPh>
    <phoneticPr fontId="16"/>
  </si>
  <si>
    <t>other</t>
    <phoneticPr fontId="16"/>
  </si>
  <si>
    <t>総ユニット数</t>
    <rPh sb="0" eb="1">
      <t>ソウ</t>
    </rPh>
    <rPh sb="5" eb="6">
      <t>ス</t>
    </rPh>
    <phoneticPr fontId="16"/>
  </si>
  <si>
    <t>総ユニット数</t>
    <rPh sb="0" eb="6">
      <t>ソウユニッt</t>
    </rPh>
    <phoneticPr fontId="16"/>
  </si>
  <si>
    <t>レベル設定ユニット数</t>
    <rPh sb="3" eb="10">
      <t>セッテイy</t>
    </rPh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</si>
  <si>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</si>
  <si>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</si>
  <si>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</si>
  <si>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</si>
  <si>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</si>
  <si>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</si>
  <si>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</si>
  <si>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</si>
  <si>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</si>
  <si>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</si>
  <si>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基準確率</t>
    <rPh sb="0" eb="2">
      <t>キジュン</t>
    </rPh>
    <rPh sb="2" eb="4">
      <t>ヒョウジュンカクリツ</t>
    </rPh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</si>
  <si>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</si>
  <si>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</si>
  <si>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</si>
  <si>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</si>
  <si>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</si>
  <si>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</si>
  <si>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</si>
  <si>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</si>
  <si>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</si>
  <si>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</si>
  <si>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</si>
  <si>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</si>
  <si>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</si>
  <si>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</si>
  <si>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</si>
  <si>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</si>
  <si>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</si>
  <si>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</si>
  <si>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</si>
  <si>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</si>
  <si>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</si>
  <si>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</si>
  <si>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</si>
  <si>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</si>
  <si>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</si>
  <si>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</si>
  <si>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</si>
  <si>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</si>
  <si>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</si>
  <si>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</si>
  <si>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</si>
  <si>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</si>
  <si>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</si>
  <si>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</si>
  <si>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</si>
  <si>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</si>
  <si>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</si>
  <si>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</si>
  <si>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</si>
  <si>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</si>
  <si>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</si>
  <si>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</si>
  <si>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</si>
  <si>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</si>
  <si>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W.N.S</t>
    <phoneticPr fontId="16"/>
  </si>
  <si>
    <t>SS</t>
    <phoneticPr fontId="16"/>
  </si>
  <si>
    <t>SSS</t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</si>
  <si>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</si>
  <si>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</si>
  <si>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</si>
  <si>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</si>
  <si>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</si>
  <si>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</si>
  <si>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</si>
  <si>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</si>
  <si>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</si>
  <si>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</si>
  <si>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</si>
  <si>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</si>
  <si>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</si>
  <si>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tables_321101</t>
    <phoneticPr fontId="16"/>
  </si>
  <si>
    <t>tables_321102</t>
    <phoneticPr fontId="16"/>
  </si>
  <si>
    <t>tables_321103</t>
    <phoneticPr fontId="16"/>
  </si>
  <si>
    <t>tables_settle_321103</t>
    <phoneticPr fontId="16"/>
  </si>
  <si>
    <r>
      <t>gacha_</t>
    </r>
    <r>
      <rPr>
        <sz val="12"/>
        <color theme="1"/>
        <rFont val="ＭＳ Ｐゴシック"/>
        <family val="2"/>
        <charset val="128"/>
        <scheme val="minor"/>
      </rPr>
      <t>settle</t>
    </r>
    <r>
      <rPr>
        <sz val="12"/>
        <color theme="1"/>
        <rFont val="ＭＳ Ｐゴシック"/>
        <family val="2"/>
        <charset val="128"/>
        <scheme val="minor"/>
      </rPr>
      <t>_tables_</t>
    </r>
    <phoneticPr fontId="16"/>
  </si>
  <si>
    <t>tables_321104</t>
    <phoneticPr fontId="16"/>
  </si>
  <si>
    <t>tables_321105</t>
    <phoneticPr fontId="16"/>
  </si>
  <si>
    <t>tables_settle_321105</t>
    <phoneticPr fontId="16"/>
  </si>
  <si>
    <t>old</t>
    <phoneticPr fontId="16"/>
  </si>
  <si>
    <t>skip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</si>
</sst>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88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92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0" fillId="4" borderId="1" xfId="0" applyFill="1" applyBorder="1"/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8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6" fillId="0" borderId="1" xfId="3036" applyFont="1" applyBorder="1"/>
    <xf numFmtId="0" fontId="48" fillId="26" borderId="1" xfId="0" applyFont="1" applyFill="1" applyBorder="1" applyAlignment="1">
      <alignment vertical="center"/>
    </xf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2" borderId="1" xfId="0" applyFont="1" applyFill="1" applyBorder="1" applyAlignment="1">
      <alignment horizontal="left" vertical="center"/>
    </xf>
    <xf numFmtId="0" fontId="21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2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7" borderId="1" xfId="0" applyFont="1" applyFill="1" applyBorder="1" applyAlignment="1">
      <alignment horizontal="right" vertical="center"/>
    </xf>
    <xf numFmtId="0" fontId="3" fillId="0" borderId="1" xfId="2978" applyFont="1" applyBorder="1"/>
    <xf numFmtId="10" fontId="0" fillId="0" borderId="12" xfId="0" applyNumberFormat="1" applyBorder="1"/>
    <xf numFmtId="0" fontId="2" fillId="0" borderId="1" xfId="3036" applyFont="1" applyBorder="1"/>
    <xf numFmtId="178" fontId="0" fillId="0" borderId="1" xfId="0" applyNumberFormat="1" applyBorder="1"/>
    <xf numFmtId="0" fontId="2" fillId="4" borderId="1" xfId="2978" applyFont="1" applyFill="1" applyBorder="1"/>
    <xf numFmtId="0" fontId="2" fillId="0" borderId="1" xfId="2978" applyFont="1" applyBorder="1"/>
    <xf numFmtId="0" fontId="1" fillId="0" borderId="1" xfId="3036" applyFont="1" applyBorder="1"/>
  </cellXfs>
  <cellStyles count="368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ハイパーリンク" xfId="3676" builtinId="8" hidden="1"/>
    <cellStyle name="ハイパーリンク" xfId="3678" builtinId="8" hidden="1"/>
    <cellStyle name="ハイパーリンク" xfId="3680" builtinId="8" hidden="1"/>
    <cellStyle name="ハイパーリンク" xfId="3682" builtinId="8" hidden="1"/>
    <cellStyle name="ハイパーリンク" xfId="3684" builtinId="8" hidden="1"/>
    <cellStyle name="ハイパーリンク" xfId="368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表示済みのハイパーリンク" xfId="3677" builtinId="9" hidden="1"/>
    <cellStyle name="表示済みのハイパーリンク" xfId="3679" builtinId="9" hidden="1"/>
    <cellStyle name="表示済みのハイパーリンク" xfId="3681" builtinId="9" hidden="1"/>
    <cellStyle name="表示済みのハイパーリンク" xfId="3683" builtinId="9" hidden="1"/>
    <cellStyle name="表示済みのハイパーリンク" xfId="3685" builtinId="9" hidden="1"/>
    <cellStyle name="表示済みのハイパーリンク" xfId="368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未定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未定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未定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5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unknown</v>
          </cell>
        </row>
        <row r="849">
          <cell r="F84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95</v>
      </c>
    </row>
    <row r="2" spans="1:1">
      <c r="A2" t="s">
        <v>96</v>
      </c>
    </row>
    <row r="3" spans="1:1">
      <c r="A3" t="s">
        <v>97</v>
      </c>
    </row>
    <row r="4" spans="1:1">
      <c r="A4" t="s">
        <v>98</v>
      </c>
    </row>
  </sheetData>
  <phoneticPr fontId="1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>
      <selection activeCell="A6" sqref="A6:A8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91" t="s">
        <v>66</v>
      </c>
      <c r="B2" s="85" t="s">
        <v>136</v>
      </c>
      <c r="C2" s="68" t="str">
        <f t="shared" ref="C2:C8" si="0">RIGHT(F2,6)</f>
        <v>321101</v>
      </c>
      <c r="D2" s="20" t="s">
        <v>46</v>
      </c>
      <c r="E2" s="18" t="str">
        <f t="shared" ref="E2:E11" si="1">B2&amp;C2&amp;D2</f>
        <v>gacha_select_tables_321101.tmp</v>
      </c>
      <c r="F2" s="89" t="s">
        <v>137</v>
      </c>
      <c r="G2" s="67" t="s">
        <v>102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91" t="s">
        <v>66</v>
      </c>
      <c r="B3" s="85" t="s">
        <v>136</v>
      </c>
      <c r="C3" s="68" t="str">
        <f t="shared" si="0"/>
        <v>321102</v>
      </c>
      <c r="D3" s="20" t="s">
        <v>46</v>
      </c>
      <c r="E3" s="18" t="str">
        <f t="shared" si="1"/>
        <v>gacha_select_tables_321102.tmp</v>
      </c>
      <c r="F3" s="89" t="s">
        <v>138</v>
      </c>
      <c r="G3" s="67" t="s">
        <v>102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87" t="s">
        <v>145</v>
      </c>
      <c r="B4" s="85" t="s">
        <v>136</v>
      </c>
      <c r="C4" s="68" t="str">
        <f t="shared" si="0"/>
        <v>321103</v>
      </c>
      <c r="D4" s="20" t="s">
        <v>46</v>
      </c>
      <c r="E4" s="18" t="str">
        <f t="shared" ref="E4" si="2">B4&amp;C4&amp;D4</f>
        <v>gacha_select_tables_321103.tmp</v>
      </c>
      <c r="F4" s="89" t="s">
        <v>139</v>
      </c>
      <c r="G4" s="67" t="s">
        <v>102</v>
      </c>
      <c r="H4" s="23" t="s">
        <v>0</v>
      </c>
      <c r="I4" s="23" t="s">
        <v>3</v>
      </c>
      <c r="J4" s="23" t="s">
        <v>4</v>
      </c>
      <c r="K4" s="23" t="s">
        <v>5</v>
      </c>
      <c r="L4" s="23" t="s">
        <v>6</v>
      </c>
      <c r="M4" s="23" t="s">
        <v>7</v>
      </c>
      <c r="N4" s="23" t="s">
        <v>8</v>
      </c>
      <c r="O4" s="23" t="s">
        <v>9</v>
      </c>
    </row>
    <row r="5" spans="1:21">
      <c r="A5" s="87" t="s">
        <v>145</v>
      </c>
      <c r="B5" s="90" t="s">
        <v>141</v>
      </c>
      <c r="C5" s="68" t="str">
        <f t="shared" si="0"/>
        <v>321103</v>
      </c>
      <c r="D5" s="20" t="s">
        <v>46</v>
      </c>
      <c r="E5" s="18" t="str">
        <f t="shared" ref="E5:E7" si="3">B5&amp;C5&amp;D5</f>
        <v>gacha_settle_tables_321103.tmp</v>
      </c>
      <c r="F5" s="89" t="s">
        <v>140</v>
      </c>
      <c r="G5" s="67" t="s">
        <v>102</v>
      </c>
      <c r="H5" s="23" t="s">
        <v>0</v>
      </c>
      <c r="I5" s="23" t="s">
        <v>3</v>
      </c>
      <c r="J5" s="23" t="s">
        <v>4</v>
      </c>
      <c r="K5" s="23" t="s">
        <v>5</v>
      </c>
      <c r="L5" s="23" t="s">
        <v>6</v>
      </c>
      <c r="M5" s="23" t="s">
        <v>7</v>
      </c>
      <c r="N5" s="23" t="s">
        <v>8</v>
      </c>
      <c r="O5" s="23" t="s">
        <v>9</v>
      </c>
    </row>
    <row r="6" spans="1:21">
      <c r="A6" s="91" t="s">
        <v>146</v>
      </c>
      <c r="B6" s="85" t="s">
        <v>136</v>
      </c>
      <c r="C6" s="68" t="str">
        <f t="shared" si="0"/>
        <v>321104</v>
      </c>
      <c r="D6" s="20" t="s">
        <v>46</v>
      </c>
      <c r="E6" s="18" t="str">
        <f t="shared" si="3"/>
        <v>gacha_select_tables_321104.tmp</v>
      </c>
      <c r="F6" s="89" t="s">
        <v>142</v>
      </c>
      <c r="G6" s="67" t="s">
        <v>102</v>
      </c>
      <c r="H6" s="23" t="s">
        <v>0</v>
      </c>
      <c r="I6" s="23" t="s">
        <v>3</v>
      </c>
      <c r="J6" s="23" t="s">
        <v>4</v>
      </c>
      <c r="K6" s="23" t="s">
        <v>5</v>
      </c>
      <c r="L6" s="23" t="s">
        <v>6</v>
      </c>
      <c r="M6" s="23" t="s">
        <v>7</v>
      </c>
      <c r="N6" s="23" t="s">
        <v>8</v>
      </c>
      <c r="O6" s="23" t="s">
        <v>9</v>
      </c>
    </row>
    <row r="7" spans="1:21">
      <c r="A7" s="91" t="s">
        <v>146</v>
      </c>
      <c r="B7" s="85" t="s">
        <v>136</v>
      </c>
      <c r="C7" s="68" t="str">
        <f t="shared" si="0"/>
        <v>321105</v>
      </c>
      <c r="D7" s="20" t="s">
        <v>46</v>
      </c>
      <c r="E7" s="18" t="str">
        <f t="shared" si="3"/>
        <v>gacha_select_tables_321105.tmp</v>
      </c>
      <c r="F7" s="89" t="s">
        <v>143</v>
      </c>
      <c r="G7" s="67" t="s">
        <v>102</v>
      </c>
      <c r="H7" s="23" t="s">
        <v>0</v>
      </c>
      <c r="I7" s="23" t="s">
        <v>3</v>
      </c>
      <c r="J7" s="23" t="s">
        <v>4</v>
      </c>
      <c r="K7" s="23" t="s">
        <v>5</v>
      </c>
      <c r="L7" s="23" t="s">
        <v>6</v>
      </c>
      <c r="M7" s="23" t="s">
        <v>7</v>
      </c>
      <c r="N7" s="23" t="s">
        <v>8</v>
      </c>
      <c r="O7" s="23" t="s">
        <v>9</v>
      </c>
    </row>
    <row r="8" spans="1:21">
      <c r="A8" s="91" t="s">
        <v>146</v>
      </c>
      <c r="B8" s="90" t="s">
        <v>141</v>
      </c>
      <c r="C8" s="68" t="str">
        <f t="shared" si="0"/>
        <v>321105</v>
      </c>
      <c r="D8" s="20" t="s">
        <v>46</v>
      </c>
      <c r="E8" s="18" t="str">
        <f t="shared" ref="E8" si="4">B8&amp;C8&amp;D8</f>
        <v>gacha_settle_tables_321105.tmp</v>
      </c>
      <c r="F8" s="89" t="s">
        <v>144</v>
      </c>
      <c r="G8" s="67" t="s">
        <v>102</v>
      </c>
      <c r="H8" s="23" t="s">
        <v>0</v>
      </c>
      <c r="I8" s="23" t="s">
        <v>3</v>
      </c>
      <c r="J8" s="23" t="s">
        <v>4</v>
      </c>
      <c r="K8" s="23" t="s">
        <v>5</v>
      </c>
      <c r="L8" s="23" t="s">
        <v>6</v>
      </c>
      <c r="M8" s="23" t="s">
        <v>7</v>
      </c>
      <c r="N8" s="23" t="s">
        <v>8</v>
      </c>
      <c r="O8" s="23" t="s">
        <v>9</v>
      </c>
    </row>
    <row r="9" spans="1:21">
      <c r="A9" s="44" t="s">
        <v>66</v>
      </c>
      <c r="B9" s="28" t="s">
        <v>51</v>
      </c>
      <c r="C9" s="46" t="s">
        <v>71</v>
      </c>
      <c r="D9" s="20" t="s">
        <v>47</v>
      </c>
      <c r="E9" s="18" t="str">
        <f t="shared" si="1"/>
        <v>gacha_bonus_tables_hogehoge.tmp</v>
      </c>
      <c r="F9" s="20" t="s">
        <v>48</v>
      </c>
      <c r="G9" s="22" t="s">
        <v>11</v>
      </c>
      <c r="H9" s="24" t="s">
        <v>14</v>
      </c>
      <c r="I9" s="22" t="s">
        <v>12</v>
      </c>
      <c r="J9" s="21"/>
      <c r="K9" s="21"/>
      <c r="L9" s="21"/>
      <c r="M9" s="21"/>
      <c r="N9" s="21"/>
      <c r="O9" s="21"/>
    </row>
    <row r="10" spans="1:21">
      <c r="A10" s="44" t="s">
        <v>66</v>
      </c>
      <c r="B10" s="20" t="s">
        <v>49</v>
      </c>
      <c r="C10" s="46" t="s">
        <v>71</v>
      </c>
      <c r="D10" s="20" t="s">
        <v>47</v>
      </c>
      <c r="E10" s="18" t="str">
        <f t="shared" si="1"/>
        <v>gifts_tmp_hogehoge.tmp</v>
      </c>
      <c r="F10" s="20" t="s">
        <v>48</v>
      </c>
      <c r="G10" s="24" t="s">
        <v>22</v>
      </c>
      <c r="H10" s="25" t="s">
        <v>30</v>
      </c>
      <c r="I10" s="24" t="s">
        <v>23</v>
      </c>
      <c r="J10" s="24" t="s">
        <v>24</v>
      </c>
      <c r="K10" s="24" t="s">
        <v>24</v>
      </c>
      <c r="L10" s="24" t="s">
        <v>25</v>
      </c>
      <c r="M10" s="24" t="s">
        <v>25</v>
      </c>
      <c r="N10" s="24" t="s">
        <v>25</v>
      </c>
      <c r="O10" s="69" t="s">
        <v>7</v>
      </c>
      <c r="P10" s="69" t="s">
        <v>9</v>
      </c>
      <c r="Q10" s="69" t="s">
        <v>6</v>
      </c>
      <c r="R10" s="69" t="s">
        <v>103</v>
      </c>
      <c r="S10" s="69" t="s">
        <v>8</v>
      </c>
      <c r="T10" s="69" t="s">
        <v>104</v>
      </c>
      <c r="U10" s="69" t="s">
        <v>5</v>
      </c>
    </row>
    <row r="11" spans="1:21">
      <c r="A11" s="44" t="s">
        <v>66</v>
      </c>
      <c r="B11" s="20" t="s">
        <v>50</v>
      </c>
      <c r="C11" s="46" t="s">
        <v>71</v>
      </c>
      <c r="D11" s="20" t="s">
        <v>47</v>
      </c>
      <c r="E11" s="18" t="str">
        <f t="shared" si="1"/>
        <v>gifts_i18n_hogehoge.tmp</v>
      </c>
      <c r="F11" s="20" t="s">
        <v>48</v>
      </c>
      <c r="G11" s="24" t="s">
        <v>13</v>
      </c>
      <c r="H11" s="26" t="s">
        <v>26</v>
      </c>
      <c r="I11" s="26" t="s">
        <v>27</v>
      </c>
      <c r="J11" s="26" t="s">
        <v>28</v>
      </c>
      <c r="K11" s="26" t="s">
        <v>29</v>
      </c>
      <c r="L11" s="27"/>
      <c r="M11" s="24"/>
      <c r="N11" s="24"/>
      <c r="O11" s="20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workbookViewId="0">
      <selection activeCell="E17" sqref="E17:E23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321101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0.5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0.45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0.05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0.99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48">
        <v>0.01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0.5</v>
      </c>
      <c r="C17" s="65">
        <f t="shared" ref="C17:C23" si="3">SUMIF(Q:Q,A17,N:N)</f>
        <v>0</v>
      </c>
      <c r="D17" s="58">
        <f t="shared" ref="D17:D24" si="4">B17-C17</f>
        <v>0.5</v>
      </c>
      <c r="E17">
        <v>76</v>
      </c>
      <c r="F17" s="60">
        <f t="shared" ref="F17:F23" si="5">IFERROR(D17/E17,0)</f>
        <v>6.5789473684210523E-3</v>
      </c>
      <c r="G17">
        <f t="shared" ref="G17:G23" si="6">A$32*D17</f>
        <v>7448000</v>
      </c>
      <c r="H17">
        <f t="shared" ref="H17:H23" si="7">IFERROR(ROUND(G17/E17,5),0)</f>
        <v>98000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0.441</v>
      </c>
      <c r="C18" s="65">
        <f t="shared" si="3"/>
        <v>0</v>
      </c>
      <c r="D18" s="58">
        <f t="shared" si="4"/>
        <v>0.441</v>
      </c>
      <c r="E18">
        <v>76</v>
      </c>
      <c r="F18" s="60">
        <f t="shared" si="5"/>
        <v>5.8026315789473683E-3</v>
      </c>
      <c r="G18">
        <f t="shared" si="6"/>
        <v>6569136</v>
      </c>
      <c r="H18">
        <f t="shared" si="7"/>
        <v>86436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f>B11*0.9</f>
        <v>9.0000000000000011E-3</v>
      </c>
      <c r="C19" s="65">
        <f t="shared" si="3"/>
        <v>0</v>
      </c>
      <c r="D19" s="58">
        <f t="shared" si="4"/>
        <v>9.0000000000000011E-3</v>
      </c>
      <c r="E19">
        <v>28</v>
      </c>
      <c r="F19" s="60">
        <f t="shared" si="5"/>
        <v>3.2142857142857147E-4</v>
      </c>
      <c r="G19">
        <f t="shared" si="6"/>
        <v>134064.00000000003</v>
      </c>
      <c r="H19">
        <f t="shared" si="7"/>
        <v>4788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ref="D20:D23" si="10">B20-C20</f>
        <v>0</v>
      </c>
      <c r="E20"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4.9000000000000002E-2</v>
      </c>
      <c r="C21" s="65">
        <f t="shared" si="3"/>
        <v>0</v>
      </c>
      <c r="D21" s="58">
        <f t="shared" si="10"/>
        <v>4.9000000000000002E-2</v>
      </c>
      <c r="E21">
        <v>56</v>
      </c>
      <c r="F21" s="60">
        <f t="shared" si="5"/>
        <v>8.7500000000000002E-4</v>
      </c>
      <c r="G21">
        <f t="shared" si="6"/>
        <v>729904</v>
      </c>
      <c r="H21">
        <f t="shared" si="7"/>
        <v>13034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f>B11*0.1</f>
        <v>1E-3</v>
      </c>
      <c r="C22" s="65">
        <f t="shared" si="3"/>
        <v>0</v>
      </c>
      <c r="D22" s="58">
        <f t="shared" si="10"/>
        <v>1E-3</v>
      </c>
      <c r="E22">
        <v>28</v>
      </c>
      <c r="F22" s="60">
        <f t="shared" si="5"/>
        <v>3.5714285714285717E-5</v>
      </c>
      <c r="G22">
        <f t="shared" si="6"/>
        <v>14896</v>
      </c>
      <c r="H22">
        <f t="shared" si="7"/>
        <v>532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10"/>
        <v>0</v>
      </c>
      <c r="E23"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28*56*76*125</f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SUMIF(tables_321101!B:B,input_321101!A36,tables_321101!M:M)</f>
        <v>7448000</v>
      </c>
      <c r="C36" s="72">
        <f t="shared" ref="C36:C42" ca="1" si="11">B36/B$43</f>
        <v>0.49727433840079566</v>
      </c>
      <c r="E36">
        <v>3</v>
      </c>
      <c r="F36" s="73">
        <f ca="1">C36</f>
        <v>0.49727433840079566</v>
      </c>
    </row>
    <row r="37" spans="1:6">
      <c r="A37" s="47" t="s">
        <v>126</v>
      </c>
      <c r="B37">
        <f ca="1">SUMIF(tables_321101!B:B,input_321101!A37,tables_321101!M:M)</f>
        <v>6655572</v>
      </c>
      <c r="C37" s="72">
        <f t="shared" ca="1" si="11"/>
        <v>0.44436696602831099</v>
      </c>
      <c r="E37">
        <v>4</v>
      </c>
      <c r="F37" s="73">
        <f ca="1">SUM(C37:C39)</f>
        <v>0.45299822775912479</v>
      </c>
    </row>
    <row r="38" spans="1:6">
      <c r="A38" s="47" t="s">
        <v>132</v>
      </c>
      <c r="B38">
        <f ca="1">SUMIF(tables_321101!B:B,input_321101!A38,tables_321101!M:M)</f>
        <v>129276</v>
      </c>
      <c r="C38" s="72">
        <f t="shared" ca="1" si="11"/>
        <v>8.63126173081381E-3</v>
      </c>
      <c r="E38">
        <v>5</v>
      </c>
      <c r="F38" s="73">
        <f ca="1">SUM(C40:C42)</f>
        <v>4.9727433840079563E-2</v>
      </c>
    </row>
    <row r="39" spans="1:6">
      <c r="A39" s="47" t="s">
        <v>133</v>
      </c>
      <c r="B39">
        <f>SUMIF(tables_321101!B:B,input_321101!A39,tables_321101!M:M)</f>
        <v>0</v>
      </c>
      <c r="C39" s="72">
        <f t="shared" ca="1" si="11"/>
        <v>0</v>
      </c>
    </row>
    <row r="40" spans="1:6">
      <c r="A40" s="47" t="s">
        <v>127</v>
      </c>
      <c r="B40">
        <f ca="1">SUMIF(tables_321101!B:B,input_321101!A40,tables_321101!M:M)</f>
        <v>729904</v>
      </c>
      <c r="C40" s="72">
        <f t="shared" ca="1" si="11"/>
        <v>4.8732885163277971E-2</v>
      </c>
      <c r="E40" t="s">
        <v>120</v>
      </c>
    </row>
    <row r="41" spans="1:6">
      <c r="A41" s="47" t="s">
        <v>134</v>
      </c>
      <c r="B41">
        <f ca="1">SUMIF(tables_321101!B:B,input_321101!A41,tables_321101!M:M)</f>
        <v>14896</v>
      </c>
      <c r="C41" s="72">
        <f t="shared" ca="1" si="11"/>
        <v>9.9454867680159138E-4</v>
      </c>
      <c r="E41" t="s">
        <v>121</v>
      </c>
      <c r="F41" s="73">
        <f ca="1">C36+C37+C40</f>
        <v>0.99037418959238466</v>
      </c>
    </row>
    <row r="42" spans="1:6">
      <c r="A42" s="47" t="s">
        <v>135</v>
      </c>
      <c r="B42">
        <f>SUMIF(tables_321101!B:B,input_321101!A42,tables_321101!M:M)</f>
        <v>0</v>
      </c>
      <c r="C42" s="72">
        <f t="shared" ca="1" si="11"/>
        <v>0</v>
      </c>
      <c r="E42" t="s">
        <v>122</v>
      </c>
      <c r="F42" s="73">
        <f ca="1">C38+C41</f>
        <v>9.6258104076154018E-3</v>
      </c>
    </row>
    <row r="43" spans="1:6">
      <c r="A43" s="55" t="s">
        <v>74</v>
      </c>
      <c r="B43">
        <f ca="1">SUM(B36:B42)</f>
        <v>14977648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25" activePane="bottomLeft" state="frozen"/>
      <selection activeCell="F33" sqref="F33"/>
      <selection pane="bottomLeft" activeCell="G240" sqref="G240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92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input_321101!A$2</f>
        <v>321101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IFERROR(VLOOKUP(E2,input_321101!L:R,7,FALSE),VLOOKUP(tables_321101!B2,input_321101!A:H,8,FALSE))</f>
        <v>98000</v>
      </c>
      <c r="N2" s="63">
        <f t="shared" ref="N2:N65" ca="1" si="0">M2/SUM(M:M)</f>
        <v>6.5430834000104691E-3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input_321101!A$2</f>
        <v>321101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IFERROR(VLOOKUP(E3,input_321101!L:R,7,FALSE),VLOOKUP(tables_321101!B3,input_321101!A:H,8,FALSE))</f>
        <v>86436</v>
      </c>
      <c r="N3" s="63">
        <f t="shared" ca="1" si="0"/>
        <v>5.7709995588092339E-3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input_321101!A$2</f>
        <v>321101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IFERROR(VLOOKUP(E4,input_321101!L:R,7,FALSE),VLOOKUP(tables_321101!B4,input_321101!A:H,8,FALSE))</f>
        <v>98000</v>
      </c>
      <c r="N4" s="63">
        <f t="shared" ca="1" si="0"/>
        <v>6.5430834000104691E-3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input_321101!A$2</f>
        <v>321101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IFERROR(VLOOKUP(E5,input_321101!L:R,7,FALSE),VLOOKUP(tables_321101!B5,input_321101!A:H,8,FALSE))</f>
        <v>86436</v>
      </c>
      <c r="N5" s="63">
        <f t="shared" ca="1" si="0"/>
        <v>5.7709995588092339E-3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input_321101!A$2</f>
        <v>321101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IFERROR(VLOOKUP(E6,input_321101!L:R,7,FALSE),VLOOKUP(tables_321101!B6,input_321101!A:H,8,FALSE))</f>
        <v>98000</v>
      </c>
      <c r="N6" s="63">
        <f t="shared" ca="1" si="0"/>
        <v>6.5430834000104691E-3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input_321101!A$2</f>
        <v>321101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IFERROR(VLOOKUP(E7,input_321101!L:R,7,FALSE),VLOOKUP(tables_321101!B7,input_321101!A:H,8,FALSE))</f>
        <v>86436</v>
      </c>
      <c r="N7" s="63">
        <f t="shared" ca="1" si="0"/>
        <v>5.7709995588092339E-3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input_321101!A$2</f>
        <v>321101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IFERROR(VLOOKUP(E8,input_321101!L:R,7,FALSE),VLOOKUP(tables_321101!B8,input_321101!A:H,8,FALSE))</f>
        <v>98000</v>
      </c>
      <c r="N8" s="63">
        <f t="shared" ca="1" si="0"/>
        <v>6.5430834000104691E-3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input_321101!A$2</f>
        <v>321101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IFERROR(VLOOKUP(E9,input_321101!L:R,7,FALSE),VLOOKUP(tables_321101!B9,input_321101!A:H,8,FALSE))</f>
        <v>86436</v>
      </c>
      <c r="N9" s="63">
        <f t="shared" ca="1" si="0"/>
        <v>5.7709995588092339E-3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input_321101!A$2</f>
        <v>321101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IFERROR(VLOOKUP(E10,input_321101!L:R,7,FALSE),VLOOKUP(tables_321101!B10,input_321101!A:H,8,FALSE))</f>
        <v>98000</v>
      </c>
      <c r="N10" s="63">
        <f t="shared" ca="1" si="0"/>
        <v>6.5430834000104691E-3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input_321101!A$2</f>
        <v>321101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IFERROR(VLOOKUP(E11,input_321101!L:R,7,FALSE),VLOOKUP(tables_321101!B11,input_321101!A:H,8,FALSE))</f>
        <v>86436</v>
      </c>
      <c r="N11" s="63">
        <f t="shared" ca="1" si="0"/>
        <v>5.7709995588092339E-3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input_321101!A$2</f>
        <v>321101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IFERROR(VLOOKUP(E12,input_321101!L:R,7,FALSE),VLOOKUP(tables_321101!B12,input_321101!A:H,8,FALSE))</f>
        <v>98000</v>
      </c>
      <c r="N12" s="63">
        <f t="shared" ca="1" si="0"/>
        <v>6.5430834000104691E-3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input_321101!A$2</f>
        <v>321101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IFERROR(VLOOKUP(E13,input_321101!L:R,7,FALSE),VLOOKUP(tables_321101!B13,input_321101!A:H,8,FALSE))</f>
        <v>86436</v>
      </c>
      <c r="N13" s="63">
        <f t="shared" ca="1" si="0"/>
        <v>5.7709995588092339E-3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input_321101!A$2</f>
        <v>321101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IFERROR(VLOOKUP(E14,input_321101!L:R,7,FALSE),VLOOKUP(tables_321101!B14,input_321101!A:H,8,FALSE))</f>
        <v>98000</v>
      </c>
      <c r="N14" s="63">
        <f t="shared" ca="1" si="0"/>
        <v>6.5430834000104691E-3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input_321101!A$2</f>
        <v>321101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IFERROR(VLOOKUP(E15,input_321101!L:R,7,FALSE),VLOOKUP(tables_321101!B15,input_321101!A:H,8,FALSE))</f>
        <v>86436</v>
      </c>
      <c r="N15" s="63">
        <f t="shared" ca="1" si="0"/>
        <v>5.7709995588092339E-3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input_321101!A$2</f>
        <v>321101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IFERROR(VLOOKUP(E16,input_321101!L:R,7,FALSE),VLOOKUP(tables_321101!B16,input_321101!A:H,8,FALSE))</f>
        <v>98000</v>
      </c>
      <c r="N16" s="63">
        <f t="shared" ca="1" si="0"/>
        <v>6.5430834000104691E-3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input_321101!A$2</f>
        <v>321101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IFERROR(VLOOKUP(E17,input_321101!L:R,7,FALSE),VLOOKUP(tables_321101!B17,input_321101!A:H,8,FALSE))</f>
        <v>86436</v>
      </c>
      <c r="N17" s="63">
        <f t="shared" ca="1" si="0"/>
        <v>5.7709995588092339E-3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input_321101!A$2</f>
        <v>321101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IFERROR(VLOOKUP(E18,input_321101!L:R,7,FALSE),VLOOKUP(tables_321101!B18,input_321101!A:H,8,FALSE))</f>
        <v>98000</v>
      </c>
      <c r="N18" s="63">
        <f t="shared" ca="1" si="0"/>
        <v>6.5430834000104691E-3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input_321101!A$2</f>
        <v>321101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IFERROR(VLOOKUP(E19,input_321101!L:R,7,FALSE),VLOOKUP(tables_321101!B19,input_321101!A:H,8,FALSE))</f>
        <v>86436</v>
      </c>
      <c r="N19" s="63">
        <f t="shared" ca="1" si="0"/>
        <v>5.7709995588092339E-3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input_321101!A$2</f>
        <v>321101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IFERROR(VLOOKUP(E20,input_321101!L:R,7,FALSE),VLOOKUP(tables_321101!B20,input_321101!A:H,8,FALSE))</f>
        <v>98000</v>
      </c>
      <c r="N20" s="63">
        <f t="shared" ca="1" si="0"/>
        <v>6.5430834000104691E-3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input_321101!A$2</f>
        <v>321101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IFERROR(VLOOKUP(E21,input_321101!L:R,7,FALSE),VLOOKUP(tables_321101!B21,input_321101!A:H,8,FALSE))</f>
        <v>86436</v>
      </c>
      <c r="N21" s="63">
        <f t="shared" ca="1" si="0"/>
        <v>5.7709995588092339E-3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input_321101!A$2</f>
        <v>321101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IFERROR(VLOOKUP(E22,input_321101!L:R,7,FALSE),VLOOKUP(tables_321101!B22,input_321101!A:H,8,FALSE))</f>
        <v>98000</v>
      </c>
      <c r="N22" s="63">
        <f t="shared" ca="1" si="0"/>
        <v>6.5430834000104691E-3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input_321101!A$2</f>
        <v>321101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IFERROR(VLOOKUP(E23,input_321101!L:R,7,FALSE),VLOOKUP(tables_321101!B23,input_321101!A:H,8,FALSE))</f>
        <v>86436</v>
      </c>
      <c r="N23" s="63">
        <f t="shared" ca="1" si="0"/>
        <v>5.7709995588092339E-3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input_321101!A$2</f>
        <v>321101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IFERROR(VLOOKUP(E24,input_321101!L:R,7,FALSE),VLOOKUP(tables_321101!B24,input_321101!A:H,8,FALSE))</f>
        <v>98000</v>
      </c>
      <c r="N24" s="63">
        <f t="shared" ca="1" si="0"/>
        <v>6.5430834000104691E-3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input_321101!A$2</f>
        <v>321101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IFERROR(VLOOKUP(E25,input_321101!L:R,7,FALSE),VLOOKUP(tables_321101!B25,input_321101!A:H,8,FALSE))</f>
        <v>86436</v>
      </c>
      <c r="N25" s="63">
        <f t="shared" ca="1" si="0"/>
        <v>5.7709995588092339E-3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input_321101!A$2</f>
        <v>321101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IFERROR(VLOOKUP(E26,input_321101!L:R,7,FALSE),VLOOKUP(tables_321101!B26,input_321101!A:H,8,FALSE))</f>
        <v>98000</v>
      </c>
      <c r="N26" s="63">
        <f t="shared" ca="1" si="0"/>
        <v>6.5430834000104691E-3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input_321101!A$2</f>
        <v>321101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IFERROR(VLOOKUP(E27,input_321101!L:R,7,FALSE),VLOOKUP(tables_321101!B27,input_321101!A:H,8,FALSE))</f>
        <v>86436</v>
      </c>
      <c r="N27" s="63">
        <f t="shared" ca="1" si="0"/>
        <v>5.7709995588092339E-3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input_321101!A$2</f>
        <v>321101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IFERROR(VLOOKUP(E28,input_321101!L:R,7,FALSE),VLOOKUP(tables_321101!B28,input_321101!A:H,8,FALSE))</f>
        <v>98000</v>
      </c>
      <c r="N28" s="63">
        <f t="shared" ca="1" si="0"/>
        <v>6.5430834000104691E-3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input_321101!A$2</f>
        <v>321101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IFERROR(VLOOKUP(E29,input_321101!L:R,7,FALSE),VLOOKUP(tables_321101!B29,input_321101!A:H,8,FALSE))</f>
        <v>86436</v>
      </c>
      <c r="N29" s="63">
        <f t="shared" ca="1" si="0"/>
        <v>5.7709995588092339E-3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input_321101!A$2</f>
        <v>321101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IFERROR(VLOOKUP(E30,input_321101!L:R,7,FALSE),VLOOKUP(tables_321101!B30,input_321101!A:H,8,FALSE))</f>
        <v>98000</v>
      </c>
      <c r="N30" s="63">
        <f t="shared" ca="1" si="0"/>
        <v>6.5430834000104691E-3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input_321101!A$2</f>
        <v>321101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IFERROR(VLOOKUP(E31,input_321101!L:R,7,FALSE),VLOOKUP(tables_321101!B31,input_321101!A:H,8,FALSE))</f>
        <v>86436</v>
      </c>
      <c r="N31" s="63">
        <f t="shared" ca="1" si="0"/>
        <v>5.7709995588092339E-3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input_321101!A$2</f>
        <v>321101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IFERROR(VLOOKUP(E32,input_321101!L:R,7,FALSE),VLOOKUP(tables_321101!B32,input_321101!A:H,8,FALSE))</f>
        <v>98000</v>
      </c>
      <c r="N32" s="63">
        <f t="shared" ca="1" si="0"/>
        <v>6.5430834000104691E-3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input_321101!A$2</f>
        <v>321101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IFERROR(VLOOKUP(E33,input_321101!L:R,7,FALSE),VLOOKUP(tables_321101!B33,input_321101!A:H,8,FALSE))</f>
        <v>86436</v>
      </c>
      <c r="N33" s="63">
        <f t="shared" ca="1" si="0"/>
        <v>5.7709995588092339E-3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input_321101!A$2</f>
        <v>321101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IFERROR(VLOOKUP(E34,input_321101!L:R,7,FALSE),VLOOKUP(tables_321101!B34,input_321101!A:H,8,FALSE))</f>
        <v>98000</v>
      </c>
      <c r="N34" s="63">
        <f t="shared" ca="1" si="0"/>
        <v>6.5430834000104691E-3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input_321101!A$2</f>
        <v>321101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IFERROR(VLOOKUP(E35,input_321101!L:R,7,FALSE),VLOOKUP(tables_321101!B35,input_321101!A:H,8,FALSE))</f>
        <v>86436</v>
      </c>
      <c r="N35" s="63">
        <f t="shared" ca="1" si="0"/>
        <v>5.7709995588092339E-3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input_321101!A$2</f>
        <v>321101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IFERROR(VLOOKUP(E36,input_321101!L:R,7,FALSE),VLOOKUP(tables_321101!B36,input_321101!A:H,8,FALSE))</f>
        <v>98000</v>
      </c>
      <c r="N36" s="63">
        <f t="shared" ca="1" si="0"/>
        <v>6.5430834000104691E-3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input_321101!A$2</f>
        <v>321101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IFERROR(VLOOKUP(E37,input_321101!L:R,7,FALSE),VLOOKUP(tables_321101!B37,input_321101!A:H,8,FALSE))</f>
        <v>86436</v>
      </c>
      <c r="N37" s="63">
        <f t="shared" ca="1" si="0"/>
        <v>5.7709995588092339E-3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input_321101!A$2</f>
        <v>321101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IFERROR(VLOOKUP(E38,input_321101!L:R,7,FALSE),VLOOKUP(tables_321101!B38,input_321101!A:H,8,FALSE))</f>
        <v>98000</v>
      </c>
      <c r="N38" s="63">
        <f t="shared" ca="1" si="0"/>
        <v>6.5430834000104691E-3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input_321101!A$2</f>
        <v>321101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IFERROR(VLOOKUP(E39,input_321101!L:R,7,FALSE),VLOOKUP(tables_321101!B39,input_321101!A:H,8,FALSE))</f>
        <v>86436</v>
      </c>
      <c r="N39" s="63">
        <f t="shared" ca="1" si="0"/>
        <v>5.7709995588092339E-3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input_321101!A$2</f>
        <v>321101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IFERROR(VLOOKUP(E40,input_321101!L:R,7,FALSE),VLOOKUP(tables_321101!B40,input_321101!A:H,8,FALSE))</f>
        <v>98000</v>
      </c>
      <c r="N40" s="63">
        <f t="shared" ca="1" si="0"/>
        <v>6.5430834000104691E-3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input_321101!A$2</f>
        <v>321101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IFERROR(VLOOKUP(E41,input_321101!L:R,7,FALSE),VLOOKUP(tables_321101!B41,input_321101!A:H,8,FALSE))</f>
        <v>86436</v>
      </c>
      <c r="N41" s="63">
        <f t="shared" ca="1" si="0"/>
        <v>5.7709995588092339E-3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input_321101!A$2</f>
        <v>321101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IFERROR(VLOOKUP(E42,input_321101!L:R,7,FALSE),VLOOKUP(tables_321101!B42,input_321101!A:H,8,FALSE))</f>
        <v>98000</v>
      </c>
      <c r="N42" s="63">
        <f t="shared" ca="1" si="0"/>
        <v>6.5430834000104691E-3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input_321101!A$2</f>
        <v>321101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IFERROR(VLOOKUP(E43,input_321101!L:R,7,FALSE),VLOOKUP(tables_321101!B43,input_321101!A:H,8,FALSE))</f>
        <v>86436</v>
      </c>
      <c r="N43" s="63">
        <f t="shared" ca="1" si="0"/>
        <v>5.7709995588092339E-3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input_321101!A$2</f>
        <v>321101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IFERROR(VLOOKUP(E44,input_321101!L:R,7,FALSE),VLOOKUP(tables_321101!B44,input_321101!A:H,8,FALSE))</f>
        <v>13034</v>
      </c>
      <c r="N44" s="63">
        <f t="shared" ca="1" si="0"/>
        <v>8.702300922013924E-4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input_321101!A$2</f>
        <v>321101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IFERROR(VLOOKUP(E45,input_321101!L:R,7,FALSE),VLOOKUP(tables_321101!B45,input_321101!A:H,8,FALSE))</f>
        <v>98000</v>
      </c>
      <c r="N45" s="63">
        <f t="shared" ca="1" si="0"/>
        <v>6.5430834000104691E-3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input_321101!A$2</f>
        <v>321101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IFERROR(VLOOKUP(E46,input_321101!L:R,7,FALSE),VLOOKUP(tables_321101!B46,input_321101!A:H,8,FALSE))</f>
        <v>86436</v>
      </c>
      <c r="N46" s="63">
        <f t="shared" ca="1" si="0"/>
        <v>5.7709995588092339E-3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input_321101!A$2</f>
        <v>321101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IFERROR(VLOOKUP(E47,input_321101!L:R,7,FALSE),VLOOKUP(tables_321101!B47,input_321101!A:H,8,FALSE))</f>
        <v>13034</v>
      </c>
      <c r="N47" s="63">
        <f t="shared" ca="1" si="0"/>
        <v>8.702300922013924E-4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input_321101!A$2</f>
        <v>321101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IFERROR(VLOOKUP(E48,input_321101!L:R,7,FALSE),VLOOKUP(tables_321101!B48,input_321101!A:H,8,FALSE))</f>
        <v>98000</v>
      </c>
      <c r="N48" s="63">
        <f t="shared" ca="1" si="0"/>
        <v>6.5430834000104691E-3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input_321101!A$2</f>
        <v>321101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IFERROR(VLOOKUP(E49,input_321101!L:R,7,FALSE),VLOOKUP(tables_321101!B49,input_321101!A:H,8,FALSE))</f>
        <v>86436</v>
      </c>
      <c r="N49" s="63">
        <f t="shared" ca="1" si="0"/>
        <v>5.7709995588092339E-3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input_321101!A$2</f>
        <v>321101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IFERROR(VLOOKUP(E50,input_321101!L:R,7,FALSE),VLOOKUP(tables_321101!B50,input_321101!A:H,8,FALSE))</f>
        <v>13034</v>
      </c>
      <c r="N50" s="63">
        <f t="shared" ca="1" si="0"/>
        <v>8.702300922013924E-4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input_321101!A$2</f>
        <v>321101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IFERROR(VLOOKUP(E51,input_321101!L:R,7,FALSE),VLOOKUP(tables_321101!B51,input_321101!A:H,8,FALSE))</f>
        <v>98000</v>
      </c>
      <c r="N51" s="63">
        <f t="shared" ca="1" si="0"/>
        <v>6.5430834000104691E-3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input_321101!A$2</f>
        <v>321101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IFERROR(VLOOKUP(E52,input_321101!L:R,7,FALSE),VLOOKUP(tables_321101!B52,input_321101!A:H,8,FALSE))</f>
        <v>86436</v>
      </c>
      <c r="N52" s="63">
        <f t="shared" ca="1" si="0"/>
        <v>5.7709995588092339E-3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input_321101!A$2</f>
        <v>321101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IFERROR(VLOOKUP(E53,input_321101!L:R,7,FALSE),VLOOKUP(tables_321101!B53,input_321101!A:H,8,FALSE))</f>
        <v>13034</v>
      </c>
      <c r="N53" s="63">
        <f t="shared" ca="1" si="0"/>
        <v>8.702300922013924E-4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input_321101!A$2</f>
        <v>321101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IFERROR(VLOOKUP(E54,input_321101!L:R,7,FALSE),VLOOKUP(tables_321101!B54,input_321101!A:H,8,FALSE))</f>
        <v>98000</v>
      </c>
      <c r="N54" s="63">
        <f t="shared" ca="1" si="0"/>
        <v>6.5430834000104691E-3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input_321101!A$2</f>
        <v>321101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IFERROR(VLOOKUP(E55,input_321101!L:R,7,FALSE),VLOOKUP(tables_321101!B55,input_321101!A:H,8,FALSE))</f>
        <v>86436</v>
      </c>
      <c r="N55" s="63">
        <f t="shared" ca="1" si="0"/>
        <v>5.7709995588092339E-3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input_321101!A$2</f>
        <v>321101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IFERROR(VLOOKUP(E56,input_321101!L:R,7,FALSE),VLOOKUP(tables_321101!B56,input_321101!A:H,8,FALSE))</f>
        <v>13034</v>
      </c>
      <c r="N56" s="63">
        <f t="shared" ca="1" si="0"/>
        <v>8.702300922013924E-4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input_321101!A$2</f>
        <v>321101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IFERROR(VLOOKUP(E57,input_321101!L:R,7,FALSE),VLOOKUP(tables_321101!B57,input_321101!A:H,8,FALSE))</f>
        <v>98000</v>
      </c>
      <c r="N57" s="63">
        <f t="shared" ca="1" si="0"/>
        <v>6.5430834000104691E-3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input_321101!A$2</f>
        <v>321101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IFERROR(VLOOKUP(E58,input_321101!L:R,7,FALSE),VLOOKUP(tables_321101!B58,input_321101!A:H,8,FALSE))</f>
        <v>86436</v>
      </c>
      <c r="N58" s="63">
        <f t="shared" ca="1" si="0"/>
        <v>5.7709995588092339E-3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input_321101!A$2</f>
        <v>321101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IFERROR(VLOOKUP(E59,input_321101!L:R,7,FALSE),VLOOKUP(tables_321101!B59,input_321101!A:H,8,FALSE))</f>
        <v>13034</v>
      </c>
      <c r="N59" s="63">
        <f t="shared" ca="1" si="0"/>
        <v>8.702300922013924E-4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input_321101!A$2</f>
        <v>321101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IFERROR(VLOOKUP(E60,input_321101!L:R,7,FALSE),VLOOKUP(tables_321101!B60,input_321101!A:H,8,FALSE))</f>
        <v>98000</v>
      </c>
      <c r="N60" s="63">
        <f t="shared" ca="1" si="0"/>
        <v>6.5430834000104691E-3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input_321101!A$2</f>
        <v>321101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IFERROR(VLOOKUP(E61,input_321101!L:R,7,FALSE),VLOOKUP(tables_321101!B61,input_321101!A:H,8,FALSE))</f>
        <v>86436</v>
      </c>
      <c r="N61" s="63">
        <f t="shared" ca="1" si="0"/>
        <v>5.7709995588092339E-3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input_321101!A$2</f>
        <v>321101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IFERROR(VLOOKUP(E62,input_321101!L:R,7,FALSE),VLOOKUP(tables_321101!B62,input_321101!A:H,8,FALSE))</f>
        <v>13034</v>
      </c>
      <c r="N62" s="63">
        <f t="shared" ca="1" si="0"/>
        <v>8.702300922013924E-4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input_321101!A$2</f>
        <v>321101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IFERROR(VLOOKUP(E63,input_321101!L:R,7,FALSE),VLOOKUP(tables_321101!B63,input_321101!A:H,8,FALSE))</f>
        <v>98000</v>
      </c>
      <c r="N63" s="63">
        <f t="shared" ca="1" si="0"/>
        <v>6.5430834000104691E-3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input_321101!A$2</f>
        <v>321101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IFERROR(VLOOKUP(E64,input_321101!L:R,7,FALSE),VLOOKUP(tables_321101!B64,input_321101!A:H,8,FALSE))</f>
        <v>86436</v>
      </c>
      <c r="N64" s="63">
        <f t="shared" ca="1" si="0"/>
        <v>5.7709995588092339E-3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input_321101!A$2</f>
        <v>321101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IFERROR(VLOOKUP(E65,input_321101!L:R,7,FALSE),VLOOKUP(tables_321101!B65,input_321101!A:H,8,FALSE))</f>
        <v>13034</v>
      </c>
      <c r="N65" s="63">
        <f t="shared" ca="1" si="0"/>
        <v>8.702300922013924E-4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input_321101!A$2</f>
        <v>321101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IFERROR(VLOOKUP(E66,input_321101!L:R,7,FALSE),VLOOKUP(tables_321101!B66,input_321101!A:H,8,FALSE))</f>
        <v>98000</v>
      </c>
      <c r="N66" s="63">
        <f t="shared" ref="N66:N129" ca="1" si="3">M66/SUM(M:M)</f>
        <v>6.5430834000104691E-3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input_321101!A$2</f>
        <v>321101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IFERROR(VLOOKUP(E67,input_321101!L:R,7,FALSE),VLOOKUP(tables_321101!B67,input_321101!A:H,8,FALSE))</f>
        <v>86436</v>
      </c>
      <c r="N67" s="63">
        <f t="shared" ca="1" si="3"/>
        <v>5.7709995588092339E-3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input_321101!A$2</f>
        <v>321101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IFERROR(VLOOKUP(E68,input_321101!L:R,7,FALSE),VLOOKUP(tables_321101!B68,input_321101!A:H,8,FALSE))</f>
        <v>13034</v>
      </c>
      <c r="N68" s="63">
        <f t="shared" ca="1" si="3"/>
        <v>8.702300922013924E-4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input_321101!A$2</f>
        <v>321101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IFERROR(VLOOKUP(E69,input_321101!L:R,7,FALSE),VLOOKUP(tables_321101!B69,input_321101!A:H,8,FALSE))</f>
        <v>98000</v>
      </c>
      <c r="N69" s="63">
        <f t="shared" ca="1" si="3"/>
        <v>6.5430834000104691E-3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input_321101!A$2</f>
        <v>321101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IFERROR(VLOOKUP(E70,input_321101!L:R,7,FALSE),VLOOKUP(tables_321101!B70,input_321101!A:H,8,FALSE))</f>
        <v>86436</v>
      </c>
      <c r="N70" s="63">
        <f t="shared" ca="1" si="3"/>
        <v>5.7709995588092339E-3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input_321101!A$2</f>
        <v>321101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IFERROR(VLOOKUP(E71,input_321101!L:R,7,FALSE),VLOOKUP(tables_321101!B71,input_321101!A:H,8,FALSE))</f>
        <v>13034</v>
      </c>
      <c r="N71" s="63">
        <f t="shared" ca="1" si="3"/>
        <v>8.702300922013924E-4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input_321101!A$2</f>
        <v>321101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IFERROR(VLOOKUP(E72,input_321101!L:R,7,FALSE),VLOOKUP(tables_321101!B72,input_321101!A:H,8,FALSE))</f>
        <v>98000</v>
      </c>
      <c r="N72" s="63">
        <f t="shared" ca="1" si="3"/>
        <v>6.5430834000104691E-3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input_321101!A$2</f>
        <v>321101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IFERROR(VLOOKUP(E73,input_321101!L:R,7,FALSE),VLOOKUP(tables_321101!B73,input_321101!A:H,8,FALSE))</f>
        <v>86436</v>
      </c>
      <c r="N73" s="63">
        <f t="shared" ca="1" si="3"/>
        <v>5.7709995588092339E-3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input_321101!A$2</f>
        <v>321101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IFERROR(VLOOKUP(E74,input_321101!L:R,7,FALSE),VLOOKUP(tables_321101!B74,input_321101!A:H,8,FALSE))</f>
        <v>13034</v>
      </c>
      <c r="N74" s="63">
        <f t="shared" ca="1" si="3"/>
        <v>8.702300922013924E-4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input_321101!A$2</f>
        <v>321101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IFERROR(VLOOKUP(E75,input_321101!L:R,7,FALSE),VLOOKUP(tables_321101!B75,input_321101!A:H,8,FALSE))</f>
        <v>98000</v>
      </c>
      <c r="N75" s="63">
        <f t="shared" ca="1" si="3"/>
        <v>6.5430834000104691E-3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input_321101!A$2</f>
        <v>321101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IFERROR(VLOOKUP(E76,input_321101!L:R,7,FALSE),VLOOKUP(tables_321101!B76,input_321101!A:H,8,FALSE))</f>
        <v>86436</v>
      </c>
      <c r="N76" s="63">
        <f t="shared" ca="1" si="3"/>
        <v>5.7709995588092339E-3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input_321101!A$2</f>
        <v>321101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IFERROR(VLOOKUP(E77,input_321101!L:R,7,FALSE),VLOOKUP(tables_321101!B77,input_321101!A:H,8,FALSE))</f>
        <v>13034</v>
      </c>
      <c r="N77" s="63">
        <f t="shared" ca="1" si="3"/>
        <v>8.702300922013924E-4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input_321101!A$2</f>
        <v>321101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IFERROR(VLOOKUP(E78,input_321101!L:R,7,FALSE),VLOOKUP(tables_321101!B78,input_321101!A:H,8,FALSE))</f>
        <v>98000</v>
      </c>
      <c r="N78" s="63">
        <f t="shared" ca="1" si="3"/>
        <v>6.5430834000104691E-3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input_321101!A$2</f>
        <v>321101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IFERROR(VLOOKUP(E79,input_321101!L:R,7,FALSE),VLOOKUP(tables_321101!B79,input_321101!A:H,8,FALSE))</f>
        <v>86436</v>
      </c>
      <c r="N79" s="63">
        <f t="shared" ca="1" si="3"/>
        <v>5.7709995588092339E-3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input_321101!A$2</f>
        <v>321101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IFERROR(VLOOKUP(E80,input_321101!L:R,7,FALSE),VLOOKUP(tables_321101!B80,input_321101!A:H,8,FALSE))</f>
        <v>13034</v>
      </c>
      <c r="N80" s="63">
        <f t="shared" ca="1" si="3"/>
        <v>8.702300922013924E-4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input_321101!A$2</f>
        <v>321101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IFERROR(VLOOKUP(E81,input_321101!L:R,7,FALSE),VLOOKUP(tables_321101!B81,input_321101!A:H,8,FALSE))</f>
        <v>98000</v>
      </c>
      <c r="N81" s="63">
        <f t="shared" ca="1" si="3"/>
        <v>6.5430834000104691E-3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input_321101!A$2</f>
        <v>321101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IFERROR(VLOOKUP(E82,input_321101!L:R,7,FALSE),VLOOKUP(tables_321101!B82,input_321101!A:H,8,FALSE))</f>
        <v>86436</v>
      </c>
      <c r="N82" s="63">
        <f t="shared" ca="1" si="3"/>
        <v>5.7709995588092339E-3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input_321101!A$2</f>
        <v>321101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IFERROR(VLOOKUP(E83,input_321101!L:R,7,FALSE),VLOOKUP(tables_321101!B83,input_321101!A:H,8,FALSE))</f>
        <v>13034</v>
      </c>
      <c r="N83" s="63">
        <f t="shared" ca="1" si="3"/>
        <v>8.702300922013924E-4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input_321101!A$2</f>
        <v>321101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IFERROR(VLOOKUP(E84,input_321101!L:R,7,FALSE),VLOOKUP(tables_321101!B84,input_321101!A:H,8,FALSE))</f>
        <v>98000</v>
      </c>
      <c r="N84" s="63">
        <f t="shared" ca="1" si="3"/>
        <v>6.5430834000104691E-3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input_321101!A$2</f>
        <v>321101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IFERROR(VLOOKUP(E85,input_321101!L:R,7,FALSE),VLOOKUP(tables_321101!B85,input_321101!A:H,8,FALSE))</f>
        <v>86436</v>
      </c>
      <c r="N85" s="63">
        <f t="shared" ca="1" si="3"/>
        <v>5.7709995588092339E-3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input_321101!A$2</f>
        <v>321101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IFERROR(VLOOKUP(E86,input_321101!L:R,7,FALSE),VLOOKUP(tables_321101!B86,input_321101!A:H,8,FALSE))</f>
        <v>13034</v>
      </c>
      <c r="N86" s="63">
        <f t="shared" ca="1" si="3"/>
        <v>8.702300922013924E-4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input_321101!A$2</f>
        <v>321101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IFERROR(VLOOKUP(E87,input_321101!L:R,7,FALSE),VLOOKUP(tables_321101!B87,input_321101!A:H,8,FALSE))</f>
        <v>98000</v>
      </c>
      <c r="N87" s="63">
        <f t="shared" ca="1" si="3"/>
        <v>6.5430834000104691E-3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input_321101!A$2</f>
        <v>321101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IFERROR(VLOOKUP(E88,input_321101!L:R,7,FALSE),VLOOKUP(tables_321101!B88,input_321101!A:H,8,FALSE))</f>
        <v>86436</v>
      </c>
      <c r="N88" s="63">
        <f t="shared" ca="1" si="3"/>
        <v>5.7709995588092339E-3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input_321101!A$2</f>
        <v>321101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IFERROR(VLOOKUP(E89,input_321101!L:R,7,FALSE),VLOOKUP(tables_321101!B89,input_321101!A:H,8,FALSE))</f>
        <v>13034</v>
      </c>
      <c r="N89" s="63">
        <f t="shared" ca="1" si="3"/>
        <v>8.702300922013924E-4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input_321101!A$2</f>
        <v>321101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IFERROR(VLOOKUP(E90,input_321101!L:R,7,FALSE),VLOOKUP(tables_321101!B90,input_321101!A:H,8,FALSE))</f>
        <v>98000</v>
      </c>
      <c r="N90" s="63">
        <f t="shared" ca="1" si="3"/>
        <v>6.5430834000104691E-3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input_321101!A$2</f>
        <v>321101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IFERROR(VLOOKUP(E91,input_321101!L:R,7,FALSE),VLOOKUP(tables_321101!B91,input_321101!A:H,8,FALSE))</f>
        <v>86436</v>
      </c>
      <c r="N91" s="63">
        <f t="shared" ca="1" si="3"/>
        <v>5.7709995588092339E-3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input_321101!A$2</f>
        <v>321101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IFERROR(VLOOKUP(E92,input_321101!L:R,7,FALSE),VLOOKUP(tables_321101!B92,input_321101!A:H,8,FALSE))</f>
        <v>13034</v>
      </c>
      <c r="N92" s="63">
        <f t="shared" ca="1" si="3"/>
        <v>8.702300922013924E-4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input_321101!A$2</f>
        <v>321101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IFERROR(VLOOKUP(E93,input_321101!L:R,7,FALSE),VLOOKUP(tables_321101!B93,input_321101!A:H,8,FALSE))</f>
        <v>98000</v>
      </c>
      <c r="N93" s="63">
        <f t="shared" ca="1" si="3"/>
        <v>6.5430834000104691E-3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input_321101!A$2</f>
        <v>321101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IFERROR(VLOOKUP(E94,input_321101!L:R,7,FALSE),VLOOKUP(tables_321101!B94,input_321101!A:H,8,FALSE))</f>
        <v>86436</v>
      </c>
      <c r="N94" s="63">
        <f t="shared" ca="1" si="3"/>
        <v>5.7709995588092339E-3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input_321101!A$2</f>
        <v>321101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IFERROR(VLOOKUP(E95,input_321101!L:R,7,FALSE),VLOOKUP(tables_321101!B95,input_321101!A:H,8,FALSE))</f>
        <v>13034</v>
      </c>
      <c r="N95" s="63">
        <f t="shared" ca="1" si="3"/>
        <v>8.702300922013924E-4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input_321101!A$2</f>
        <v>321101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IFERROR(VLOOKUP(E96,input_321101!L:R,7,FALSE),VLOOKUP(tables_321101!B96,input_321101!A:H,8,FALSE))</f>
        <v>98000</v>
      </c>
      <c r="N96" s="63">
        <f t="shared" ca="1" si="3"/>
        <v>6.5430834000104691E-3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input_321101!A$2</f>
        <v>321101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IFERROR(VLOOKUP(E97,input_321101!L:R,7,FALSE),VLOOKUP(tables_321101!B97,input_321101!A:H,8,FALSE))</f>
        <v>86436</v>
      </c>
      <c r="N97" s="63">
        <f t="shared" ca="1" si="3"/>
        <v>5.7709995588092339E-3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input_321101!A$2</f>
        <v>321101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IFERROR(VLOOKUP(E98,input_321101!L:R,7,FALSE),VLOOKUP(tables_321101!B98,input_321101!A:H,8,FALSE))</f>
        <v>13034</v>
      </c>
      <c r="N98" s="63">
        <f t="shared" ca="1" si="3"/>
        <v>8.702300922013924E-4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input_321101!A$2</f>
        <v>321101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IFERROR(VLOOKUP(E99,input_321101!L:R,7,FALSE),VLOOKUP(tables_321101!B99,input_321101!A:H,8,FALSE))</f>
        <v>98000</v>
      </c>
      <c r="N99" s="63">
        <f t="shared" ca="1" si="3"/>
        <v>6.5430834000104691E-3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input_321101!A$2</f>
        <v>321101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IFERROR(VLOOKUP(E100,input_321101!L:R,7,FALSE),VLOOKUP(tables_321101!B100,input_321101!A:H,8,FALSE))</f>
        <v>86436</v>
      </c>
      <c r="N100" s="63">
        <f t="shared" ca="1" si="3"/>
        <v>5.7709995588092339E-3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input_321101!A$2</f>
        <v>321101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IFERROR(VLOOKUP(E101,input_321101!L:R,7,FALSE),VLOOKUP(tables_321101!B101,input_321101!A:H,8,FALSE))</f>
        <v>13034</v>
      </c>
      <c r="N101" s="63">
        <f t="shared" ca="1" si="3"/>
        <v>8.702300922013924E-4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input_321101!A$2</f>
        <v>321101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IFERROR(VLOOKUP(E102,input_321101!L:R,7,FALSE),VLOOKUP(tables_321101!B102,input_321101!A:H,8,FALSE))</f>
        <v>98000</v>
      </c>
      <c r="N102" s="63">
        <f t="shared" ca="1" si="3"/>
        <v>6.5430834000104691E-3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input_321101!A$2</f>
        <v>321101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IFERROR(VLOOKUP(E103,input_321101!L:R,7,FALSE),VLOOKUP(tables_321101!B103,input_321101!A:H,8,FALSE))</f>
        <v>86436</v>
      </c>
      <c r="N103" s="63">
        <f t="shared" ca="1" si="3"/>
        <v>5.7709995588092339E-3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input_321101!A$2</f>
        <v>321101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IFERROR(VLOOKUP(E104,input_321101!L:R,7,FALSE),VLOOKUP(tables_321101!B104,input_321101!A:H,8,FALSE))</f>
        <v>13034</v>
      </c>
      <c r="N104" s="63">
        <f t="shared" ca="1" si="3"/>
        <v>8.702300922013924E-4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input_321101!A$2</f>
        <v>321101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IFERROR(VLOOKUP(E105,input_321101!L:R,7,FALSE),VLOOKUP(tables_321101!B105,input_321101!A:H,8,FALSE))</f>
        <v>98000</v>
      </c>
      <c r="N105" s="63">
        <f t="shared" ca="1" si="3"/>
        <v>6.5430834000104691E-3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input_321101!A$2</f>
        <v>321101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IFERROR(VLOOKUP(E106,input_321101!L:R,7,FALSE),VLOOKUP(tables_321101!B106,input_321101!A:H,8,FALSE))</f>
        <v>86436</v>
      </c>
      <c r="N106" s="63">
        <f t="shared" ca="1" si="3"/>
        <v>5.7709995588092339E-3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input_321101!A$2</f>
        <v>321101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IFERROR(VLOOKUP(E107,input_321101!L:R,7,FALSE),VLOOKUP(tables_321101!B107,input_321101!A:H,8,FALSE))</f>
        <v>13034</v>
      </c>
      <c r="N107" s="63">
        <f t="shared" ca="1" si="3"/>
        <v>8.702300922013924E-4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input_321101!A$2</f>
        <v>321101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IFERROR(VLOOKUP(E108,input_321101!L:R,7,FALSE),VLOOKUP(tables_321101!B108,input_321101!A:H,8,FALSE))</f>
        <v>98000</v>
      </c>
      <c r="N108" s="63">
        <f t="shared" ca="1" si="3"/>
        <v>6.5430834000104691E-3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input_321101!A$2</f>
        <v>321101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IFERROR(VLOOKUP(E109,input_321101!L:R,7,FALSE),VLOOKUP(tables_321101!B109,input_321101!A:H,8,FALSE))</f>
        <v>86436</v>
      </c>
      <c r="N109" s="63">
        <f t="shared" ca="1" si="3"/>
        <v>5.7709995588092339E-3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input_321101!A$2</f>
        <v>321101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IFERROR(VLOOKUP(E110,input_321101!L:R,7,FALSE),VLOOKUP(tables_321101!B110,input_321101!A:H,8,FALSE))</f>
        <v>13034</v>
      </c>
      <c r="N110" s="63">
        <f t="shared" ca="1" si="3"/>
        <v>8.702300922013924E-4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input_321101!A$2</f>
        <v>321101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IFERROR(VLOOKUP(E111,input_321101!L:R,7,FALSE),VLOOKUP(tables_321101!B111,input_321101!A:H,8,FALSE))</f>
        <v>98000</v>
      </c>
      <c r="N111" s="63">
        <f t="shared" ca="1" si="3"/>
        <v>6.5430834000104691E-3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input_321101!A$2</f>
        <v>321101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IFERROR(VLOOKUP(E112,input_321101!L:R,7,FALSE),VLOOKUP(tables_321101!B112,input_321101!A:H,8,FALSE))</f>
        <v>86436</v>
      </c>
      <c r="N112" s="63">
        <f t="shared" ca="1" si="3"/>
        <v>5.7709995588092339E-3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input_321101!A$2</f>
        <v>321101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IFERROR(VLOOKUP(E113,input_321101!L:R,7,FALSE),VLOOKUP(tables_321101!B113,input_321101!A:H,8,FALSE))</f>
        <v>13034</v>
      </c>
      <c r="N113" s="63">
        <f t="shared" ca="1" si="3"/>
        <v>8.702300922013924E-4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input_321101!A$2</f>
        <v>321101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IFERROR(VLOOKUP(E114,input_321101!L:R,7,FALSE),VLOOKUP(tables_321101!B114,input_321101!A:H,8,FALSE))</f>
        <v>98000</v>
      </c>
      <c r="N114" s="63">
        <f t="shared" ca="1" si="3"/>
        <v>6.5430834000104691E-3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input_321101!A$2</f>
        <v>321101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IFERROR(VLOOKUP(E115,input_321101!L:R,7,FALSE),VLOOKUP(tables_321101!B115,input_321101!A:H,8,FALSE))</f>
        <v>86436</v>
      </c>
      <c r="N115" s="63">
        <f t="shared" ca="1" si="3"/>
        <v>5.7709995588092339E-3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input_321101!A$2</f>
        <v>321101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IFERROR(VLOOKUP(E116,input_321101!L:R,7,FALSE),VLOOKUP(tables_321101!B116,input_321101!A:H,8,FALSE))</f>
        <v>13034</v>
      </c>
      <c r="N116" s="63">
        <f t="shared" ca="1" si="3"/>
        <v>8.702300922013924E-4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input_321101!A$2</f>
        <v>321101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IFERROR(VLOOKUP(E117,input_321101!L:R,7,FALSE),VLOOKUP(tables_321101!B117,input_321101!A:H,8,FALSE))</f>
        <v>98000</v>
      </c>
      <c r="N117" s="63">
        <f t="shared" ca="1" si="3"/>
        <v>6.5430834000104691E-3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input_321101!A$2</f>
        <v>321101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IFERROR(VLOOKUP(E118,input_321101!L:R,7,FALSE),VLOOKUP(tables_321101!B118,input_321101!A:H,8,FALSE))</f>
        <v>86436</v>
      </c>
      <c r="N118" s="63">
        <f t="shared" ca="1" si="3"/>
        <v>5.7709995588092339E-3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input_321101!A$2</f>
        <v>321101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IFERROR(VLOOKUP(E119,input_321101!L:R,7,FALSE),VLOOKUP(tables_321101!B119,input_321101!A:H,8,FALSE))</f>
        <v>13034</v>
      </c>
      <c r="N119" s="63">
        <f t="shared" ca="1" si="3"/>
        <v>8.702300922013924E-4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input_321101!A$2</f>
        <v>321101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IFERROR(VLOOKUP(E120,input_321101!L:R,7,FALSE),VLOOKUP(tables_321101!B120,input_321101!A:H,8,FALSE))</f>
        <v>98000</v>
      </c>
      <c r="N120" s="63">
        <f t="shared" ca="1" si="3"/>
        <v>6.5430834000104691E-3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input_321101!A$2</f>
        <v>321101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IFERROR(VLOOKUP(E121,input_321101!L:R,7,FALSE),VLOOKUP(tables_321101!B121,input_321101!A:H,8,FALSE))</f>
        <v>86436</v>
      </c>
      <c r="N121" s="63">
        <f t="shared" ca="1" si="3"/>
        <v>5.7709995588092339E-3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input_321101!A$2</f>
        <v>321101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IFERROR(VLOOKUP(E122,input_321101!L:R,7,FALSE),VLOOKUP(tables_321101!B122,input_321101!A:H,8,FALSE))</f>
        <v>13034</v>
      </c>
      <c r="N122" s="63">
        <f t="shared" ca="1" si="3"/>
        <v>8.702300922013924E-4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input_321101!A$2</f>
        <v>321101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IFERROR(VLOOKUP(E123,input_321101!L:R,7,FALSE),VLOOKUP(tables_321101!B123,input_321101!A:H,8,FALSE))</f>
        <v>98000</v>
      </c>
      <c r="N123" s="63">
        <f t="shared" ca="1" si="3"/>
        <v>6.5430834000104691E-3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input_321101!A$2</f>
        <v>321101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IFERROR(VLOOKUP(E124,input_321101!L:R,7,FALSE),VLOOKUP(tables_321101!B124,input_321101!A:H,8,FALSE))</f>
        <v>86436</v>
      </c>
      <c r="N124" s="63">
        <f t="shared" ca="1" si="3"/>
        <v>5.7709995588092339E-3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input_321101!A$2</f>
        <v>321101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IFERROR(VLOOKUP(E125,input_321101!L:R,7,FALSE),VLOOKUP(tables_321101!B125,input_321101!A:H,8,FALSE))</f>
        <v>13034</v>
      </c>
      <c r="N125" s="63">
        <f t="shared" ca="1" si="3"/>
        <v>8.702300922013924E-4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input_321101!A$2</f>
        <v>321101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IFERROR(VLOOKUP(E126,input_321101!L:R,7,FALSE),VLOOKUP(tables_321101!B126,input_321101!A:H,8,FALSE))</f>
        <v>98000</v>
      </c>
      <c r="N126" s="63">
        <f t="shared" ca="1" si="3"/>
        <v>6.5430834000104691E-3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input_321101!A$2</f>
        <v>321101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IFERROR(VLOOKUP(E127,input_321101!L:R,7,FALSE),VLOOKUP(tables_321101!B127,input_321101!A:H,8,FALSE))</f>
        <v>86436</v>
      </c>
      <c r="N127" s="63">
        <f t="shared" ca="1" si="3"/>
        <v>5.7709995588092339E-3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input_321101!A$2</f>
        <v>321101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IFERROR(VLOOKUP(E128,input_321101!L:R,7,FALSE),VLOOKUP(tables_321101!B128,input_321101!A:H,8,FALSE))</f>
        <v>13034</v>
      </c>
      <c r="N128" s="63">
        <f t="shared" ca="1" si="3"/>
        <v>8.702300922013924E-4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input_321101!A$2</f>
        <v>321101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IFERROR(VLOOKUP(E129,input_321101!L:R,7,FALSE),VLOOKUP(tables_321101!B129,input_321101!A:H,8,FALSE))</f>
        <v>98000</v>
      </c>
      <c r="N129" s="63">
        <f t="shared" ca="1" si="3"/>
        <v>6.5430834000104691E-3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input_321101!A$2</f>
        <v>321101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IFERROR(VLOOKUP(E130,input_321101!L:R,7,FALSE),VLOOKUP(tables_321101!B130,input_321101!A:H,8,FALSE))</f>
        <v>86436</v>
      </c>
      <c r="N130" s="63">
        <f t="shared" ref="N130:N193" ca="1" si="6">M130/SUM(M:M)</f>
        <v>5.7709995588092339E-3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input_321101!A$2</f>
        <v>321101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IFERROR(VLOOKUP(E131,input_321101!L:R,7,FALSE),VLOOKUP(tables_321101!B131,input_321101!A:H,8,FALSE))</f>
        <v>13034</v>
      </c>
      <c r="N131" s="63">
        <f t="shared" ca="1" si="6"/>
        <v>8.702300922013924E-4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input_321101!A$2</f>
        <v>321101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IFERROR(VLOOKUP(E132,input_321101!L:R,7,FALSE),VLOOKUP(tables_321101!B132,input_321101!A:H,8,FALSE))</f>
        <v>98000</v>
      </c>
      <c r="N132" s="63">
        <f t="shared" ca="1" si="6"/>
        <v>6.5430834000104691E-3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input_321101!A$2</f>
        <v>321101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IFERROR(VLOOKUP(E133,input_321101!L:R,7,FALSE),VLOOKUP(tables_321101!B133,input_321101!A:H,8,FALSE))</f>
        <v>86436</v>
      </c>
      <c r="N133" s="63">
        <f t="shared" ca="1" si="6"/>
        <v>5.7709995588092339E-3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input_321101!A$2</f>
        <v>321101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IFERROR(VLOOKUP(E134,input_321101!L:R,7,FALSE),VLOOKUP(tables_321101!B134,input_321101!A:H,8,FALSE))</f>
        <v>13034</v>
      </c>
      <c r="N134" s="63">
        <f t="shared" ca="1" si="6"/>
        <v>8.702300922013924E-4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input_321101!A$2</f>
        <v>321101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IFERROR(VLOOKUP(E135,input_321101!L:R,7,FALSE),VLOOKUP(tables_321101!B135,input_321101!A:H,8,FALSE))</f>
        <v>98000</v>
      </c>
      <c r="N135" s="63">
        <f t="shared" ca="1" si="6"/>
        <v>6.5430834000104691E-3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input_321101!A$2</f>
        <v>321101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IFERROR(VLOOKUP(E136,input_321101!L:R,7,FALSE),VLOOKUP(tables_321101!B136,input_321101!A:H,8,FALSE))</f>
        <v>86436</v>
      </c>
      <c r="N136" s="63">
        <f t="shared" ca="1" si="6"/>
        <v>5.7709995588092339E-3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input_321101!A$2</f>
        <v>321101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IFERROR(VLOOKUP(E137,input_321101!L:R,7,FALSE),VLOOKUP(tables_321101!B137,input_321101!A:H,8,FALSE))</f>
        <v>13034</v>
      </c>
      <c r="N137" s="63">
        <f t="shared" ca="1" si="6"/>
        <v>8.702300922013924E-4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input_321101!A$2</f>
        <v>321101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IFERROR(VLOOKUP(E138,input_321101!L:R,7,FALSE),VLOOKUP(tables_321101!B138,input_321101!A:H,8,FALSE))</f>
        <v>4788</v>
      </c>
      <c r="N138" s="63">
        <f t="shared" ca="1" si="6"/>
        <v>3.1967636040051148E-4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input_321101!A$2</f>
        <v>321101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IFERROR(VLOOKUP(E139,input_321101!L:R,7,FALSE),VLOOKUP(tables_321101!B139,input_321101!A:H,8,FALSE))</f>
        <v>532</v>
      </c>
      <c r="N139" s="63">
        <f t="shared" ca="1" si="6"/>
        <v>3.5519595600056833E-5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input_321101!A$2</f>
        <v>321101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IFERROR(VLOOKUP(E140,input_321101!L:R,7,FALSE),VLOOKUP(tables_321101!B140,input_321101!A:H,8,FALSE))</f>
        <v>4788</v>
      </c>
      <c r="N140" s="63">
        <f t="shared" ca="1" si="6"/>
        <v>3.1967636040051148E-4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input_321101!A$2</f>
        <v>321101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IFERROR(VLOOKUP(E141,input_321101!L:R,7,FALSE),VLOOKUP(tables_321101!B141,input_321101!A:H,8,FALSE))</f>
        <v>532</v>
      </c>
      <c r="N141" s="63">
        <f t="shared" ca="1" si="6"/>
        <v>3.5519595600056833E-5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input_321101!A$2</f>
        <v>321101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IFERROR(VLOOKUP(E142,input_321101!L:R,7,FALSE),VLOOKUP(tables_321101!B142,input_321101!A:H,8,FALSE))</f>
        <v>4788</v>
      </c>
      <c r="N142" s="63">
        <f t="shared" ca="1" si="6"/>
        <v>3.1967636040051148E-4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input_321101!A$2</f>
        <v>321101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IFERROR(VLOOKUP(E143,input_321101!L:R,7,FALSE),VLOOKUP(tables_321101!B143,input_321101!A:H,8,FALSE))</f>
        <v>532</v>
      </c>
      <c r="N143" s="63">
        <f t="shared" ca="1" si="6"/>
        <v>3.5519595600056833E-5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input_321101!A$2</f>
        <v>321101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IFERROR(VLOOKUP(E144,input_321101!L:R,7,FALSE),VLOOKUP(tables_321101!B144,input_321101!A:H,8,FALSE))</f>
        <v>4788</v>
      </c>
      <c r="N144" s="63">
        <f t="shared" ca="1" si="6"/>
        <v>3.1967636040051148E-4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input_321101!A$2</f>
        <v>321101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IFERROR(VLOOKUP(E145,input_321101!L:R,7,FALSE),VLOOKUP(tables_321101!B145,input_321101!A:H,8,FALSE))</f>
        <v>532</v>
      </c>
      <c r="N145" s="63">
        <f t="shared" ca="1" si="6"/>
        <v>3.5519595600056833E-5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input_321101!A$2</f>
        <v>321101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IFERROR(VLOOKUP(E146,input_321101!L:R,7,FALSE),VLOOKUP(tables_321101!B146,input_321101!A:H,8,FALSE))</f>
        <v>98000</v>
      </c>
      <c r="N146" s="63">
        <f t="shared" ca="1" si="6"/>
        <v>6.5430834000104691E-3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input_321101!A$2</f>
        <v>321101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IFERROR(VLOOKUP(E147,input_321101!L:R,7,FALSE),VLOOKUP(tables_321101!B147,input_321101!A:H,8,FALSE))</f>
        <v>86436</v>
      </c>
      <c r="N147" s="63">
        <f t="shared" ca="1" si="6"/>
        <v>5.7709995588092339E-3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input_321101!A$2</f>
        <v>321101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IFERROR(VLOOKUP(E148,input_321101!L:R,7,FALSE),VLOOKUP(tables_321101!B148,input_321101!A:H,8,FALSE))</f>
        <v>13034</v>
      </c>
      <c r="N148" s="63">
        <f t="shared" ca="1" si="6"/>
        <v>8.702300922013924E-4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input_321101!A$2</f>
        <v>321101</v>
      </c>
      <c r="B149" s="7" t="str">
        <f t="shared" si="7"/>
        <v>PremiumSS4</v>
      </c>
      <c r="C149" s="7" t="str">
        <f>IF(G149="PremiumSS",G149,IF(G149="PremiumSSS",G149,"Premium"))</f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IFERROR(VLOOKUP(E149,input_321101!L:R,7,FALSE),VLOOKUP(tables_321101!B149,input_321101!A:H,8,FALSE))</f>
        <v>4788</v>
      </c>
      <c r="N149" s="63">
        <f t="shared" ca="1" si="6"/>
        <v>3.1967636040051148E-4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input_321101!A$2</f>
        <v>321101</v>
      </c>
      <c r="B150" s="7" t="str">
        <f t="shared" si="7"/>
        <v>PremiumSS5</v>
      </c>
      <c r="C150" s="7" t="str">
        <f>IF(G150="PremiumSS",G150,IF(G150="PremiumSSS",G150,"Premium"))</f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IFERROR(VLOOKUP(E150,input_321101!L:R,7,FALSE),VLOOKUP(tables_321101!B150,input_321101!A:H,8,FALSE))</f>
        <v>532</v>
      </c>
      <c r="N150" s="63">
        <f t="shared" ca="1" si="6"/>
        <v>3.5519595600056833E-5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input_321101!A$2</f>
        <v>321101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IFERROR(VLOOKUP(E151,input_321101!L:R,7,FALSE),VLOOKUP(tables_321101!B151,input_321101!A:H,8,FALSE))</f>
        <v>4788</v>
      </c>
      <c r="N151" s="63">
        <f t="shared" ca="1" si="6"/>
        <v>3.1967636040051148E-4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input_321101!A$2</f>
        <v>321101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IFERROR(VLOOKUP(E152,input_321101!L:R,7,FALSE),VLOOKUP(tables_321101!B152,input_321101!A:H,8,FALSE))</f>
        <v>532</v>
      </c>
      <c r="N152" s="63">
        <f t="shared" ca="1" si="6"/>
        <v>3.5519595600056833E-5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input_321101!A$2</f>
        <v>321101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IFERROR(VLOOKUP(E153,input_321101!L:R,7,FALSE),VLOOKUP(tables_321101!B153,input_321101!A:H,8,FALSE))</f>
        <v>98000</v>
      </c>
      <c r="N153" s="63">
        <f t="shared" ca="1" si="6"/>
        <v>6.5430834000104691E-3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input_321101!A$2</f>
        <v>321101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IFERROR(VLOOKUP(E154,input_321101!L:R,7,FALSE),VLOOKUP(tables_321101!B154,input_321101!A:H,8,FALSE))</f>
        <v>86436</v>
      </c>
      <c r="N154" s="63">
        <f t="shared" ca="1" si="6"/>
        <v>5.7709995588092339E-3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input_321101!A$2</f>
        <v>321101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IFERROR(VLOOKUP(E155,input_321101!L:R,7,FALSE),VLOOKUP(tables_321101!B155,input_321101!A:H,8,FALSE))</f>
        <v>13034</v>
      </c>
      <c r="N155" s="63">
        <f t="shared" ca="1" si="6"/>
        <v>8.702300922013924E-4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input_321101!A$2</f>
        <v>321101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IFERROR(VLOOKUP(E156,input_321101!L:R,7,FALSE),VLOOKUP(tables_321101!B156,input_321101!A:H,8,FALSE))</f>
        <v>4788</v>
      </c>
      <c r="N156" s="63">
        <f t="shared" ca="1" si="6"/>
        <v>3.1967636040051148E-4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input_321101!A$2</f>
        <v>321101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IFERROR(VLOOKUP(E157,input_321101!L:R,7,FALSE),VLOOKUP(tables_321101!B157,input_321101!A:H,8,FALSE))</f>
        <v>532</v>
      </c>
      <c r="N157" s="63">
        <f t="shared" ca="1" si="6"/>
        <v>3.5519595600056833E-5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input_321101!A$2</f>
        <v>321101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IFERROR(VLOOKUP(E158,input_321101!L:R,7,FALSE),VLOOKUP(tables_321101!B158,input_321101!A:H,8,FALSE))</f>
        <v>98000</v>
      </c>
      <c r="N158" s="63">
        <f t="shared" ca="1" si="6"/>
        <v>6.5430834000104691E-3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input_321101!A$2</f>
        <v>321101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IFERROR(VLOOKUP(E159,input_321101!L:R,7,FALSE),VLOOKUP(tables_321101!B159,input_321101!A:H,8,FALSE))</f>
        <v>86436</v>
      </c>
      <c r="N159" s="63">
        <f t="shared" ca="1" si="6"/>
        <v>5.7709995588092339E-3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input_321101!A$2</f>
        <v>321101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IFERROR(VLOOKUP(E160,input_321101!L:R,7,FALSE),VLOOKUP(tables_321101!B160,input_321101!A:H,8,FALSE))</f>
        <v>13034</v>
      </c>
      <c r="N160" s="63">
        <f t="shared" ca="1" si="6"/>
        <v>8.702300922013924E-4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input_321101!A$2</f>
        <v>321101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IFERROR(VLOOKUP(E161,input_321101!L:R,7,FALSE),VLOOKUP(tables_321101!B161,input_321101!A:H,8,FALSE))</f>
        <v>98000</v>
      </c>
      <c r="N161" s="63">
        <f t="shared" ca="1" si="6"/>
        <v>6.5430834000104691E-3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input_321101!A$2</f>
        <v>321101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IFERROR(VLOOKUP(E162,input_321101!L:R,7,FALSE),VLOOKUP(tables_321101!B162,input_321101!A:H,8,FALSE))</f>
        <v>86436</v>
      </c>
      <c r="N162" s="63">
        <f t="shared" ca="1" si="6"/>
        <v>5.7709995588092339E-3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input_321101!A$2</f>
        <v>321101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IFERROR(VLOOKUP(E163,input_321101!L:R,7,FALSE),VLOOKUP(tables_321101!B163,input_321101!A:H,8,FALSE))</f>
        <v>13034</v>
      </c>
      <c r="N163" s="63">
        <f t="shared" ca="1" si="6"/>
        <v>8.702300922013924E-4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input_321101!A$2</f>
        <v>321101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IFERROR(VLOOKUP(E164,input_321101!L:R,7,FALSE),VLOOKUP(tables_321101!B164,input_321101!A:H,8,FALSE))</f>
        <v>4788</v>
      </c>
      <c r="N164" s="63">
        <f t="shared" ca="1" si="6"/>
        <v>3.1967636040051148E-4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input_321101!A$2</f>
        <v>321101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IFERROR(VLOOKUP(E165,input_321101!L:R,7,FALSE),VLOOKUP(tables_321101!B165,input_321101!A:H,8,FALSE))</f>
        <v>532</v>
      </c>
      <c r="N165" s="63">
        <f t="shared" ca="1" si="6"/>
        <v>3.5519595600056833E-5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input_321101!A$2</f>
        <v>321101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IFERROR(VLOOKUP(E166,input_321101!L:R,7,FALSE),VLOOKUP(tables_321101!B166,input_321101!A:H,8,FALSE))</f>
        <v>98000</v>
      </c>
      <c r="N166" s="63">
        <f t="shared" ca="1" si="6"/>
        <v>6.5430834000104691E-3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input_321101!A$2</f>
        <v>321101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IFERROR(VLOOKUP(E167,input_321101!L:R,7,FALSE),VLOOKUP(tables_321101!B167,input_321101!A:H,8,FALSE))</f>
        <v>86436</v>
      </c>
      <c r="N167" s="63">
        <f t="shared" ca="1" si="6"/>
        <v>5.7709995588092339E-3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input_321101!A$2</f>
        <v>321101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IFERROR(VLOOKUP(E168,input_321101!L:R,7,FALSE),VLOOKUP(tables_321101!B168,input_321101!A:H,8,FALSE))</f>
        <v>13034</v>
      </c>
      <c r="N168" s="63">
        <f t="shared" ca="1" si="6"/>
        <v>8.702300922013924E-4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input_321101!A$2</f>
        <v>321101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IFERROR(VLOOKUP(E169,input_321101!L:R,7,FALSE),VLOOKUP(tables_321101!B169,input_321101!A:H,8,FALSE))</f>
        <v>4788</v>
      </c>
      <c r="N169" s="63">
        <f t="shared" ca="1" si="6"/>
        <v>3.1967636040051148E-4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input_321101!A$2</f>
        <v>321101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IFERROR(VLOOKUP(E170,input_321101!L:R,7,FALSE),VLOOKUP(tables_321101!B170,input_321101!A:H,8,FALSE))</f>
        <v>532</v>
      </c>
      <c r="N170" s="63">
        <f t="shared" ca="1" si="6"/>
        <v>3.5519595600056833E-5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input_321101!A$2</f>
        <v>321101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IFERROR(VLOOKUP(E171,input_321101!L:R,7,FALSE),VLOOKUP(tables_321101!B171,input_321101!A:H,8,FALSE))</f>
        <v>98000</v>
      </c>
      <c r="N171" s="63">
        <f t="shared" ca="1" si="6"/>
        <v>6.5430834000104691E-3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input_321101!A$2</f>
        <v>321101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IFERROR(VLOOKUP(E172,input_321101!L:R,7,FALSE),VLOOKUP(tables_321101!B172,input_321101!A:H,8,FALSE))</f>
        <v>86436</v>
      </c>
      <c r="N172" s="63">
        <f t="shared" ca="1" si="6"/>
        <v>5.7709995588092339E-3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input_321101!A$2</f>
        <v>321101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IFERROR(VLOOKUP(E173,input_321101!L:R,7,FALSE),VLOOKUP(tables_321101!B173,input_321101!A:H,8,FALSE))</f>
        <v>13034</v>
      </c>
      <c r="N173" s="63">
        <f t="shared" ca="1" si="6"/>
        <v>8.702300922013924E-4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input_321101!A$2</f>
        <v>321101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IFERROR(VLOOKUP(E174,input_321101!L:R,7,FALSE),VLOOKUP(tables_321101!B174,input_321101!A:H,8,FALSE))</f>
        <v>4788</v>
      </c>
      <c r="N174" s="63">
        <f t="shared" ca="1" si="6"/>
        <v>3.1967636040051148E-4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input_321101!A$2</f>
        <v>321101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IFERROR(VLOOKUP(E175,input_321101!L:R,7,FALSE),VLOOKUP(tables_321101!B175,input_321101!A:H,8,FALSE))</f>
        <v>532</v>
      </c>
      <c r="N175" s="63">
        <f t="shared" ca="1" si="6"/>
        <v>3.5519595600056833E-5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input_321101!A$2</f>
        <v>321101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IFERROR(VLOOKUP(E176,input_321101!L:R,7,FALSE),VLOOKUP(tables_321101!B176,input_321101!A:H,8,FALSE))</f>
        <v>4788</v>
      </c>
      <c r="N176" s="63">
        <f t="shared" ca="1" si="6"/>
        <v>3.1967636040051148E-4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input_321101!A$2</f>
        <v>321101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IFERROR(VLOOKUP(E177,input_321101!L:R,7,FALSE),VLOOKUP(tables_321101!B177,input_321101!A:H,8,FALSE))</f>
        <v>532</v>
      </c>
      <c r="N177" s="63">
        <f t="shared" ca="1" si="6"/>
        <v>3.5519595600056833E-5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input_321101!A$2</f>
        <v>321101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IFERROR(VLOOKUP(E178,input_321101!L:R,7,FALSE),VLOOKUP(tables_321101!B178,input_321101!A:H,8,FALSE))</f>
        <v>98000</v>
      </c>
      <c r="N178" s="63">
        <f t="shared" ca="1" si="6"/>
        <v>6.5430834000104691E-3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input_321101!A$2</f>
        <v>321101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IFERROR(VLOOKUP(E179,input_321101!L:R,7,FALSE),VLOOKUP(tables_321101!B179,input_321101!A:H,8,FALSE))</f>
        <v>86436</v>
      </c>
      <c r="N179" s="63">
        <f t="shared" ca="1" si="6"/>
        <v>5.7709995588092339E-3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input_321101!A$2</f>
        <v>321101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IFERROR(VLOOKUP(E180,input_321101!L:R,7,FALSE),VLOOKUP(tables_321101!B180,input_321101!A:H,8,FALSE))</f>
        <v>13034</v>
      </c>
      <c r="N180" s="63">
        <f t="shared" ca="1" si="6"/>
        <v>8.702300922013924E-4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input_321101!A$2</f>
        <v>321101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IFERROR(VLOOKUP(E181,input_321101!L:R,7,FALSE),VLOOKUP(tables_321101!B181,input_321101!A:H,8,FALSE))</f>
        <v>98000</v>
      </c>
      <c r="N181" s="63">
        <f t="shared" ca="1" si="6"/>
        <v>6.5430834000104691E-3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input_321101!A$2</f>
        <v>321101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IFERROR(VLOOKUP(E182,input_321101!L:R,7,FALSE),VLOOKUP(tables_321101!B182,input_321101!A:H,8,FALSE))</f>
        <v>86436</v>
      </c>
      <c r="N182" s="63">
        <f t="shared" ca="1" si="6"/>
        <v>5.7709995588092339E-3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input_321101!A$2</f>
        <v>321101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IFERROR(VLOOKUP(E183,input_321101!L:R,7,FALSE),VLOOKUP(tables_321101!B183,input_321101!A:H,8,FALSE))</f>
        <v>13034</v>
      </c>
      <c r="N183" s="63">
        <f t="shared" ca="1" si="6"/>
        <v>8.702300922013924E-4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input_321101!A$2</f>
        <v>321101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IFERROR(VLOOKUP(E184,input_321101!L:R,7,FALSE),VLOOKUP(tables_321101!B184,input_321101!A:H,8,FALSE))</f>
        <v>4788</v>
      </c>
      <c r="N184" s="63">
        <f t="shared" ca="1" si="6"/>
        <v>3.1967636040051148E-4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input_321101!A$2</f>
        <v>321101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IFERROR(VLOOKUP(E185,input_321101!L:R,7,FALSE),VLOOKUP(tables_321101!B185,input_321101!A:H,8,FALSE))</f>
        <v>532</v>
      </c>
      <c r="N185" s="63">
        <f t="shared" ca="1" si="6"/>
        <v>3.5519595600056833E-5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input_321101!A$2</f>
        <v>321101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IFERROR(VLOOKUP(E186,input_321101!L:R,7,FALSE),VLOOKUP(tables_321101!B186,input_321101!A:H,8,FALSE))</f>
        <v>98000</v>
      </c>
      <c r="N186" s="63">
        <f t="shared" ca="1" si="6"/>
        <v>6.5430834000104691E-3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input_321101!A$2</f>
        <v>321101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IFERROR(VLOOKUP(E187,input_321101!L:R,7,FALSE),VLOOKUP(tables_321101!B187,input_321101!A:H,8,FALSE))</f>
        <v>86436</v>
      </c>
      <c r="N187" s="63">
        <f t="shared" ca="1" si="6"/>
        <v>5.7709995588092339E-3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input_321101!A$2</f>
        <v>321101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IFERROR(VLOOKUP(E188,input_321101!L:R,7,FALSE),VLOOKUP(tables_321101!B188,input_321101!A:H,8,FALSE))</f>
        <v>13034</v>
      </c>
      <c r="N188" s="63">
        <f t="shared" ca="1" si="6"/>
        <v>8.702300922013924E-4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input_321101!A$2</f>
        <v>321101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IFERROR(VLOOKUP(E189,input_321101!L:R,7,FALSE),VLOOKUP(tables_321101!B189,input_321101!A:H,8,FALSE))</f>
        <v>4788</v>
      </c>
      <c r="N189" s="63">
        <f t="shared" ca="1" si="6"/>
        <v>3.1967636040051148E-4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input_321101!A$2</f>
        <v>321101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IFERROR(VLOOKUP(E190,input_321101!L:R,7,FALSE),VLOOKUP(tables_321101!B190,input_321101!A:H,8,FALSE))</f>
        <v>532</v>
      </c>
      <c r="N190" s="63">
        <f t="shared" ca="1" si="6"/>
        <v>3.5519595600056833E-5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input_321101!A$2</f>
        <v>321101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IFERROR(VLOOKUP(E191,input_321101!L:R,7,FALSE),VLOOKUP(tables_321101!B191,input_321101!A:H,8,FALSE))</f>
        <v>4788</v>
      </c>
      <c r="N191" s="63">
        <f t="shared" ca="1" si="6"/>
        <v>3.1967636040051148E-4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input_321101!A$2</f>
        <v>321101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IFERROR(VLOOKUP(E192,input_321101!L:R,7,FALSE),VLOOKUP(tables_321101!B192,input_321101!A:H,8,FALSE))</f>
        <v>532</v>
      </c>
      <c r="N192" s="63">
        <f t="shared" ca="1" si="6"/>
        <v>3.5519595600056833E-5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input_321101!A$2</f>
        <v>321101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IFERROR(VLOOKUP(E193,input_321101!L:R,7,FALSE),VLOOKUP(tables_321101!B193,input_321101!A:H,8,FALSE))</f>
        <v>98000</v>
      </c>
      <c r="N193" s="63">
        <f t="shared" ca="1" si="6"/>
        <v>6.5430834000104691E-3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input_321101!A$2</f>
        <v>321101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IFERROR(VLOOKUP(E194,input_321101!L:R,7,FALSE),VLOOKUP(tables_321101!B194,input_321101!A:H,8,FALSE))</f>
        <v>86436</v>
      </c>
      <c r="N194" s="63">
        <f t="shared" ref="N194:N257" ca="1" si="9">M194/SUM(M:M)</f>
        <v>5.7709995588092339E-3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input_321101!A$2</f>
        <v>321101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IFERROR(VLOOKUP(E195,input_321101!L:R,7,FALSE),VLOOKUP(tables_321101!B195,input_321101!A:H,8,FALSE))</f>
        <v>13034</v>
      </c>
      <c r="N195" s="63">
        <f t="shared" ca="1" si="9"/>
        <v>8.702300922013924E-4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input_321101!A$2</f>
        <v>321101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IFERROR(VLOOKUP(E196,input_321101!L:R,7,FALSE),VLOOKUP(tables_321101!B196,input_321101!A:H,8,FALSE))</f>
        <v>4788</v>
      </c>
      <c r="N196" s="63">
        <f t="shared" ca="1" si="9"/>
        <v>3.1967636040051148E-4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input_321101!A$2</f>
        <v>321101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IFERROR(VLOOKUP(E197,input_321101!L:R,7,FALSE),VLOOKUP(tables_321101!B197,input_321101!A:H,8,FALSE))</f>
        <v>532</v>
      </c>
      <c r="N197" s="63">
        <f t="shared" ca="1" si="9"/>
        <v>3.5519595600056833E-5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input_321101!A$2</f>
        <v>321101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IFERROR(VLOOKUP(E198,input_321101!L:R,7,FALSE),VLOOKUP(tables_321101!B198,input_321101!A:H,8,FALSE))</f>
        <v>98000</v>
      </c>
      <c r="N198" s="63">
        <f t="shared" ca="1" si="9"/>
        <v>6.5430834000104691E-3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input_321101!A$2</f>
        <v>321101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IFERROR(VLOOKUP(E199,input_321101!L:R,7,FALSE),VLOOKUP(tables_321101!B199,input_321101!A:H,8,FALSE))</f>
        <v>86436</v>
      </c>
      <c r="N199" s="63">
        <f t="shared" ca="1" si="9"/>
        <v>5.7709995588092339E-3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input_321101!A$2</f>
        <v>321101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IFERROR(VLOOKUP(E200,input_321101!L:R,7,FALSE),VLOOKUP(tables_321101!B200,input_321101!A:H,8,FALSE))</f>
        <v>13034</v>
      </c>
      <c r="N200" s="63">
        <f t="shared" ca="1" si="9"/>
        <v>8.702300922013924E-4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input_321101!A$2</f>
        <v>321101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IFERROR(VLOOKUP(E201,input_321101!L:R,7,FALSE),VLOOKUP(tables_321101!B201,input_321101!A:H,8,FALSE))</f>
        <v>4788</v>
      </c>
      <c r="N201" s="63">
        <f t="shared" ca="1" si="9"/>
        <v>3.1967636040051148E-4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input_321101!A$2</f>
        <v>321101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IFERROR(VLOOKUP(E202,input_321101!L:R,7,FALSE),VLOOKUP(tables_321101!B202,input_321101!A:H,8,FALSE))</f>
        <v>532</v>
      </c>
      <c r="N202" s="63">
        <f t="shared" ca="1" si="9"/>
        <v>3.5519595600056833E-5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input_321101!A$2</f>
        <v>321101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IFERROR(VLOOKUP(E203,input_321101!L:R,7,FALSE),VLOOKUP(tables_321101!B203,input_321101!A:H,8,FALSE))</f>
        <v>98000</v>
      </c>
      <c r="N203" s="63">
        <f t="shared" ca="1" si="9"/>
        <v>6.5430834000104691E-3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input_321101!A$2</f>
        <v>321101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IFERROR(VLOOKUP(E204,input_321101!L:R,7,FALSE),VLOOKUP(tables_321101!B204,input_321101!A:H,8,FALSE))</f>
        <v>86436</v>
      </c>
      <c r="N204" s="63">
        <f t="shared" ca="1" si="9"/>
        <v>5.7709995588092339E-3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input_321101!A$2</f>
        <v>321101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IFERROR(VLOOKUP(E205,input_321101!L:R,7,FALSE),VLOOKUP(tables_321101!B205,input_321101!A:H,8,FALSE))</f>
        <v>13034</v>
      </c>
      <c r="N205" s="63">
        <f t="shared" ca="1" si="9"/>
        <v>8.702300922013924E-4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input_321101!A$2</f>
        <v>321101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IFERROR(VLOOKUP(E206,input_321101!L:R,7,FALSE),VLOOKUP(tables_321101!B206,input_321101!A:H,8,FALSE))</f>
        <v>4788</v>
      </c>
      <c r="N206" s="63">
        <f t="shared" ca="1" si="9"/>
        <v>3.1967636040051148E-4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input_321101!A$2</f>
        <v>321101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IFERROR(VLOOKUP(E207,input_321101!L:R,7,FALSE),VLOOKUP(tables_321101!B207,input_321101!A:H,8,FALSE))</f>
        <v>532</v>
      </c>
      <c r="N207" s="63">
        <f t="shared" ca="1" si="9"/>
        <v>3.5519595600056833E-5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input_321101!A$2</f>
        <v>321101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IFERROR(VLOOKUP(E208,input_321101!L:R,7,FALSE),VLOOKUP(tables_321101!B208,input_321101!A:H,8,FALSE))</f>
        <v>4788</v>
      </c>
      <c r="N208" s="63">
        <f t="shared" ca="1" si="9"/>
        <v>3.1967636040051148E-4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input_321101!A$2</f>
        <v>321101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IFERROR(VLOOKUP(E209,input_321101!L:R,7,FALSE),VLOOKUP(tables_321101!B209,input_321101!A:H,8,FALSE))</f>
        <v>532</v>
      </c>
      <c r="N209" s="63">
        <f t="shared" ca="1" si="9"/>
        <v>3.5519595600056833E-5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input_321101!A$2</f>
        <v>321101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IFERROR(VLOOKUP(E210,input_321101!L:R,7,FALSE),VLOOKUP(tables_321101!B210,input_321101!A:H,8,FALSE))</f>
        <v>98000</v>
      </c>
      <c r="N210" s="63">
        <f t="shared" ca="1" si="9"/>
        <v>6.5430834000104691E-3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input_321101!A$2</f>
        <v>321101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IFERROR(VLOOKUP(E211,input_321101!L:R,7,FALSE),VLOOKUP(tables_321101!B211,input_321101!A:H,8,FALSE))</f>
        <v>86436</v>
      </c>
      <c r="N211" s="63">
        <f t="shared" ca="1" si="9"/>
        <v>5.7709995588092339E-3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input_321101!A$2</f>
        <v>321101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IFERROR(VLOOKUP(E212,input_321101!L:R,7,FALSE),VLOOKUP(tables_321101!B212,input_321101!A:H,8,FALSE))</f>
        <v>13034</v>
      </c>
      <c r="N212" s="63">
        <f t="shared" ca="1" si="9"/>
        <v>8.702300922013924E-4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input_321101!A$2</f>
        <v>321101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IFERROR(VLOOKUP(E213,input_321101!L:R,7,FALSE),VLOOKUP(tables_321101!B213,input_321101!A:H,8,FALSE))</f>
        <v>4788</v>
      </c>
      <c r="N213" s="63">
        <f t="shared" ca="1" si="9"/>
        <v>3.1967636040051148E-4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input_321101!A$2</f>
        <v>321101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IFERROR(VLOOKUP(E214,input_321101!L:R,7,FALSE),VLOOKUP(tables_321101!B214,input_321101!A:H,8,FALSE))</f>
        <v>532</v>
      </c>
      <c r="N214" s="63">
        <f t="shared" ca="1" si="9"/>
        <v>3.5519595600056833E-5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input_321101!A$2</f>
        <v>321101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IFERROR(VLOOKUP(E215,input_321101!L:R,7,FALSE),VLOOKUP(tables_321101!B215,input_321101!A:H,8,FALSE))</f>
        <v>4788</v>
      </c>
      <c r="N215" s="63">
        <f t="shared" ca="1" si="9"/>
        <v>3.1967636040051148E-4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input_321101!A$2</f>
        <v>321101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IFERROR(VLOOKUP(E216,input_321101!L:R,7,FALSE),VLOOKUP(tables_321101!B216,input_321101!A:H,8,FALSE))</f>
        <v>532</v>
      </c>
      <c r="N216" s="63">
        <f t="shared" ca="1" si="9"/>
        <v>3.5519595600056833E-5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input_321101!A$2</f>
        <v>321101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IFERROR(VLOOKUP(E217,input_321101!L:R,7,FALSE),VLOOKUP(tables_321101!B217,input_321101!A:H,8,FALSE))</f>
        <v>98000</v>
      </c>
      <c r="N217" s="63">
        <f t="shared" ca="1" si="9"/>
        <v>6.5430834000104691E-3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input_321101!A$2</f>
        <v>321101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IFERROR(VLOOKUP(E218,input_321101!L:R,7,FALSE),VLOOKUP(tables_321101!B218,input_321101!A:H,8,FALSE))</f>
        <v>86436</v>
      </c>
      <c r="N218" s="63">
        <f t="shared" ca="1" si="9"/>
        <v>5.7709995588092339E-3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input_321101!A$2</f>
        <v>321101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IFERROR(VLOOKUP(E219,input_321101!L:R,7,FALSE),VLOOKUP(tables_321101!B219,input_321101!A:H,8,FALSE))</f>
        <v>13034</v>
      </c>
      <c r="N219" s="63">
        <f t="shared" ca="1" si="9"/>
        <v>8.702300922013924E-4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input_321101!A$2</f>
        <v>321101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IFERROR(VLOOKUP(E220,input_321101!L:R,7,FALSE),VLOOKUP(tables_321101!B220,input_321101!A:H,8,FALSE))</f>
        <v>98000</v>
      </c>
      <c r="N220" s="63">
        <f t="shared" ca="1" si="9"/>
        <v>6.5430834000104691E-3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input_321101!A$2</f>
        <v>321101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IFERROR(VLOOKUP(E221,input_321101!L:R,7,FALSE),VLOOKUP(tables_321101!B221,input_321101!A:H,8,FALSE))</f>
        <v>86436</v>
      </c>
      <c r="N221" s="63">
        <f t="shared" ca="1" si="9"/>
        <v>5.7709995588092339E-3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input_321101!A$2</f>
        <v>321101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IFERROR(VLOOKUP(E222,input_321101!L:R,7,FALSE),VLOOKUP(tables_321101!B222,input_321101!A:H,8,FALSE))</f>
        <v>13034</v>
      </c>
      <c r="N222" s="63">
        <f t="shared" ca="1" si="9"/>
        <v>8.702300922013924E-4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input_321101!A$2</f>
        <v>321101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IFERROR(VLOOKUP(E223,input_321101!L:R,7,FALSE),VLOOKUP(tables_321101!B223,input_321101!A:H,8,FALSE))</f>
        <v>4788</v>
      </c>
      <c r="N223" s="63">
        <f t="shared" ca="1" si="9"/>
        <v>3.1967636040051148E-4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input_321101!A$2</f>
        <v>321101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IFERROR(VLOOKUP(E224,input_321101!L:R,7,FALSE),VLOOKUP(tables_321101!B224,input_321101!A:H,8,FALSE))</f>
        <v>532</v>
      </c>
      <c r="N224" s="63">
        <f t="shared" ca="1" si="9"/>
        <v>3.5519595600056833E-5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input_321101!A$2</f>
        <v>321101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IFERROR(VLOOKUP(E225,input_321101!L:R,7,FALSE),VLOOKUP(tables_321101!B225,input_321101!A:H,8,FALSE))</f>
        <v>98000</v>
      </c>
      <c r="N225" s="63">
        <f t="shared" ca="1" si="9"/>
        <v>6.5430834000104691E-3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input_321101!A$2</f>
        <v>321101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IFERROR(VLOOKUP(E226,input_321101!L:R,7,FALSE),VLOOKUP(tables_321101!B226,input_321101!A:H,8,FALSE))</f>
        <v>86436</v>
      </c>
      <c r="N226" s="63">
        <f t="shared" ca="1" si="9"/>
        <v>5.7709995588092339E-3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input_321101!A$2</f>
        <v>321101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IFERROR(VLOOKUP(E227,input_321101!L:R,7,FALSE),VLOOKUP(tables_321101!B227,input_321101!A:H,8,FALSE))</f>
        <v>13034</v>
      </c>
      <c r="N227" s="63">
        <f t="shared" ca="1" si="9"/>
        <v>8.702300922013924E-4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input_321101!A$2</f>
        <v>321101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IFERROR(VLOOKUP(E228,input_321101!L:R,7,FALSE),VLOOKUP(tables_321101!B228,input_321101!A:H,8,FALSE))</f>
        <v>98000</v>
      </c>
      <c r="N228" s="63">
        <f t="shared" ca="1" si="9"/>
        <v>6.5430834000104691E-3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input_321101!A$2</f>
        <v>321101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IFERROR(VLOOKUP(E229,input_321101!L:R,7,FALSE),VLOOKUP(tables_321101!B229,input_321101!A:H,8,FALSE))</f>
        <v>86436</v>
      </c>
      <c r="N229" s="63">
        <f t="shared" ca="1" si="9"/>
        <v>5.7709995588092339E-3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input_321101!A$2</f>
        <v>321101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IFERROR(VLOOKUP(E230,input_321101!L:R,7,FALSE),VLOOKUP(tables_321101!B230,input_321101!A:H,8,FALSE))</f>
        <v>13034</v>
      </c>
      <c r="N230" s="63">
        <f t="shared" ca="1" si="9"/>
        <v>8.702300922013924E-4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input_321101!A$2</f>
        <v>321101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IFERROR(VLOOKUP(E231,input_321101!L:R,7,FALSE),VLOOKUP(tables_321101!B231,input_321101!A:H,8,FALSE))</f>
        <v>4788</v>
      </c>
      <c r="N231" s="63">
        <f t="shared" ca="1" si="9"/>
        <v>3.1967636040051148E-4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input_321101!A$2</f>
        <v>321101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IFERROR(VLOOKUP(E232,input_321101!L:R,7,FALSE),VLOOKUP(tables_321101!B232,input_321101!A:H,8,FALSE))</f>
        <v>532</v>
      </c>
      <c r="N232" s="63">
        <f t="shared" ca="1" si="9"/>
        <v>3.5519595600056833E-5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input_321101!A$2</f>
        <v>321101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IFERROR(VLOOKUP(E233,input_321101!L:R,7,FALSE),VLOOKUP(tables_321101!B233,input_321101!A:H,8,FALSE))</f>
        <v>98000</v>
      </c>
      <c r="N233" s="63">
        <f t="shared" ca="1" si="9"/>
        <v>6.5430834000104691E-3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input_321101!A$2</f>
        <v>321101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IFERROR(VLOOKUP(E234,input_321101!L:R,7,FALSE),VLOOKUP(tables_321101!B234,input_321101!A:H,8,FALSE))</f>
        <v>86436</v>
      </c>
      <c r="N234" s="63">
        <f t="shared" ca="1" si="9"/>
        <v>5.7709995588092339E-3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input_321101!A$2</f>
        <v>321101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IFERROR(VLOOKUP(E235,input_321101!L:R,7,FALSE),VLOOKUP(tables_321101!B235,input_321101!A:H,8,FALSE))</f>
        <v>13034</v>
      </c>
      <c r="N235" s="63">
        <f t="shared" ca="1" si="9"/>
        <v>8.702300922013924E-4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input_321101!A$2</f>
        <v>321101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IFERROR(VLOOKUP(E236,input_321101!L:R,7,FALSE),VLOOKUP(tables_321101!B236,input_321101!A:H,8,FALSE))</f>
        <v>4788</v>
      </c>
      <c r="N236" s="63">
        <f t="shared" ca="1" si="9"/>
        <v>3.1967636040051148E-4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input_321101!A$2</f>
        <v>321101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IFERROR(VLOOKUP(E237,input_321101!L:R,7,FALSE),VLOOKUP(tables_321101!B237,input_321101!A:H,8,FALSE))</f>
        <v>532</v>
      </c>
      <c r="N237" s="63">
        <f t="shared" ca="1" si="9"/>
        <v>3.5519595600056833E-5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input_321101!A$2</f>
        <v>321101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IFERROR(VLOOKUP(E238,input_321101!L:R,7,FALSE),VLOOKUP(tables_321101!B238,input_321101!A:H,8,FALSE))</f>
        <v>4788</v>
      </c>
      <c r="N238" s="63">
        <f t="shared" ca="1" si="9"/>
        <v>3.1967636040051148E-4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input_321101!A$2</f>
        <v>321101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IFERROR(VLOOKUP(E239,input_321101!L:R,7,FALSE),VLOOKUP(tables_321101!B239,input_321101!A:H,8,FALSE))</f>
        <v>532</v>
      </c>
      <c r="N239" s="63">
        <f t="shared" ca="1" si="9"/>
        <v>3.5519595600056833E-5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input_321101!A$2</f>
        <v>321101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IFERROR(VLOOKUP(E240,input_321101!L:R,7,FALSE),VLOOKUP(tables_321101!B240,input_321101!A:H,8,FALSE))</f>
        <v>98000</v>
      </c>
      <c r="N240" s="63">
        <f t="shared" ca="1" si="9"/>
        <v>6.5430834000104691E-3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input_321101!A$2</f>
        <v>321101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IFERROR(VLOOKUP(E241,input_321101!L:R,7,FALSE),VLOOKUP(tables_321101!B241,input_321101!A:H,8,FALSE))</f>
        <v>86436</v>
      </c>
      <c r="N241" s="63">
        <f t="shared" ca="1" si="9"/>
        <v>5.7709995588092339E-3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input_321101!A$2</f>
        <v>321101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IFERROR(VLOOKUP(E242,input_321101!L:R,7,FALSE),VLOOKUP(tables_321101!B242,input_321101!A:H,8,FALSE))</f>
        <v>13034</v>
      </c>
      <c r="N242" s="63">
        <f t="shared" ca="1" si="9"/>
        <v>8.702300922013924E-4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input_321101!A$2</f>
        <v>321101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IFERROR(VLOOKUP(E243,input_321101!L:R,7,FALSE),VLOOKUP(tables_321101!B243,input_321101!A:H,8,FALSE))</f>
        <v>98000</v>
      </c>
      <c r="N243" s="63">
        <f t="shared" ca="1" si="9"/>
        <v>6.5430834000104691E-3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input_321101!A$2</f>
        <v>321101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IFERROR(VLOOKUP(E244,input_321101!L:R,7,FALSE),VLOOKUP(tables_321101!B244,input_321101!A:H,8,FALSE))</f>
        <v>86436</v>
      </c>
      <c r="N244" s="63">
        <f t="shared" ca="1" si="9"/>
        <v>5.7709995588092339E-3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input_321101!A$2</f>
        <v>321101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IFERROR(VLOOKUP(E245,input_321101!L:R,7,FALSE),VLOOKUP(tables_321101!B245,input_321101!A:H,8,FALSE))</f>
        <v>13034</v>
      </c>
      <c r="N245" s="63">
        <f t="shared" ca="1" si="9"/>
        <v>8.702300922013924E-4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input_321101!A$2</f>
        <v>321101</v>
      </c>
      <c r="B246" s="7" t="str">
        <f t="shared" ref="B246:B255" si="12">C246&amp;IF(C246="premium",,D246)&amp;H246</f>
        <v>Premium3</v>
      </c>
      <c r="C246" s="7" t="str">
        <f t="shared" ref="C246:C255" si="13">IF(G246="PremiumSS",G246,IF(G246="PremiumSSS",G246,"Premium"))</f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IFERROR(VLOOKUP(E246,input_321101!L:R,7,FALSE),VLOOKUP(tables_321101!B246,input_321101!A:H,8,FALSE))</f>
        <v>98000</v>
      </c>
      <c r="N246" s="63">
        <f t="shared" ca="1" si="9"/>
        <v>6.5430834000104691E-3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input_321101!A$2</f>
        <v>321101</v>
      </c>
      <c r="B247" s="7" t="str">
        <f t="shared" si="12"/>
        <v>Premium4</v>
      </c>
      <c r="C247" s="7" t="str">
        <f t="shared" si="13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IFERROR(VLOOKUP(E247,input_321101!L:R,7,FALSE),VLOOKUP(tables_321101!B247,input_321101!A:H,8,FALSE))</f>
        <v>86436</v>
      </c>
      <c r="N247" s="63">
        <f t="shared" ca="1" si="9"/>
        <v>5.7709995588092339E-3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input_321101!A$2</f>
        <v>321101</v>
      </c>
      <c r="B248" s="7" t="str">
        <f t="shared" si="12"/>
        <v>Premium5</v>
      </c>
      <c r="C248" s="7" t="str">
        <f t="shared" si="13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IFERROR(VLOOKUP(E248,input_321101!L:R,7,FALSE),VLOOKUP(tables_321101!B248,input_321101!A:H,8,FALSE))</f>
        <v>13034</v>
      </c>
      <c r="N248" s="63">
        <f t="shared" ca="1" si="9"/>
        <v>8.702300922013924E-4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input_321101!A$2</f>
        <v>321101</v>
      </c>
      <c r="B249" s="7" t="str">
        <f t="shared" si="12"/>
        <v>Premium3</v>
      </c>
      <c r="C249" s="7" t="str">
        <f t="shared" si="13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IFERROR(VLOOKUP(E249,input_321101!L:R,7,FALSE),VLOOKUP(tables_321101!B249,input_321101!A:H,8,FALSE))</f>
        <v>98000</v>
      </c>
      <c r="N249" s="63">
        <f t="shared" ca="1" si="9"/>
        <v>6.5430834000104691E-3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input_321101!A$2</f>
        <v>321101</v>
      </c>
      <c r="B250" s="7" t="str">
        <f t="shared" si="12"/>
        <v>Premium4</v>
      </c>
      <c r="C250" s="7" t="str">
        <f t="shared" si="13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IFERROR(VLOOKUP(E250,input_321101!L:R,7,FALSE),VLOOKUP(tables_321101!B250,input_321101!A:H,8,FALSE))</f>
        <v>86436</v>
      </c>
      <c r="N250" s="63">
        <f t="shared" ca="1" si="9"/>
        <v>5.7709995588092339E-3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input_321101!A$2</f>
        <v>321101</v>
      </c>
      <c r="B251" s="7" t="str">
        <f t="shared" si="12"/>
        <v>Premium5</v>
      </c>
      <c r="C251" s="7" t="str">
        <f t="shared" si="13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IFERROR(VLOOKUP(E251,input_321101!L:R,7,FALSE),VLOOKUP(tables_321101!B251,input_321101!A:H,8,FALSE))</f>
        <v>13034</v>
      </c>
      <c r="N251" s="63">
        <f t="shared" ca="1" si="9"/>
        <v>8.702300922013924E-4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input_321101!A$2</f>
        <v>321101</v>
      </c>
      <c r="B252" s="7" t="str">
        <f t="shared" si="12"/>
        <v>Premium4</v>
      </c>
      <c r="C252" s="7" t="str">
        <f t="shared" si="13"/>
        <v>Premium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IFERROR(VLOOKUP(E252,input_321101!L:R,7,FALSE),VLOOKUP(tables_321101!B252,input_321101!A:H,8,FALSE))</f>
        <v>86436</v>
      </c>
      <c r="N252" s="63">
        <f t="shared" ca="1" si="9"/>
        <v>5.7709995588092339E-3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input_321101!A$2</f>
        <v>321101</v>
      </c>
      <c r="B253" s="7" t="str">
        <f t="shared" si="12"/>
        <v>PremiumSS5</v>
      </c>
      <c r="C253" s="7" t="str">
        <f t="shared" si="13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IFERROR(VLOOKUP(E253,input_321101!L:R,7,FALSE),VLOOKUP(tables_321101!B253,input_321101!A:H,8,FALSE))</f>
        <v>532</v>
      </c>
      <c r="N253" s="63">
        <f t="shared" ca="1" si="9"/>
        <v>3.5519595600056833E-5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input_321101!A$2</f>
        <v>321101</v>
      </c>
      <c r="B254" s="7" t="str">
        <f t="shared" si="12"/>
        <v>PremiumSS4</v>
      </c>
      <c r="C254" s="7" t="str">
        <f t="shared" si="13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IFERROR(VLOOKUP(E254,input_321101!L:R,7,FALSE),VLOOKUP(tables_321101!B254,input_321101!A:H,8,FALSE))</f>
        <v>4788</v>
      </c>
      <c r="N254" s="63">
        <f t="shared" ca="1" si="9"/>
        <v>3.1967636040051148E-4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input_321101!A$2</f>
        <v>321101</v>
      </c>
      <c r="B255" s="7" t="str">
        <f t="shared" si="12"/>
        <v>PremiumSS5</v>
      </c>
      <c r="C255" s="7" t="str">
        <f t="shared" si="13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IFERROR(VLOOKUP(E255,input_321101!L:R,7,FALSE),VLOOKUP(tables_321101!B255,input_321101!A:H,8,FALSE))</f>
        <v>532</v>
      </c>
      <c r="N255" s="63">
        <f t="shared" ca="1" si="9"/>
        <v>3.5519595600056833E-5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input_321101!A$2</f>
        <v>321101</v>
      </c>
      <c r="B256" s="7" t="str">
        <f t="shared" ref="B256:B265" si="14">C256&amp;IF(C256="premium",,D256)&amp;H256</f>
        <v>PremiumSS4</v>
      </c>
      <c r="C256" s="7" t="str">
        <f t="shared" ref="C256:C265" si="15">IF(G256="PremiumSS",G256,IF(G256="PremiumSSS",G256,"Premium"))</f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IFERROR(VLOOKUP(E256,input_321101!L:R,7,FALSE),VLOOKUP(tables_321101!B256,input_321101!A:H,8,FALSE))</f>
        <v>4788</v>
      </c>
      <c r="N256" s="63">
        <f t="shared" ca="1" si="9"/>
        <v>3.1967636040051148E-4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input_321101!A$2</f>
        <v>321101</v>
      </c>
      <c r="B257" s="7" t="str">
        <f t="shared" si="14"/>
        <v>PremiumSS5</v>
      </c>
      <c r="C257" s="7" t="str">
        <f t="shared" si="15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IFERROR(VLOOKUP(E257,input_321101!L:R,7,FALSE),VLOOKUP(tables_321101!B257,input_321101!A:H,8,FALSE))</f>
        <v>532</v>
      </c>
      <c r="N257" s="63">
        <f t="shared" ca="1" si="9"/>
        <v>3.5519595600056833E-5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input_321101!A$2</f>
        <v>321101</v>
      </c>
      <c r="B258" s="7" t="str">
        <f t="shared" si="14"/>
        <v>PremiumSS4</v>
      </c>
      <c r="C258" s="7" t="str">
        <f t="shared" si="15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IFERROR(VLOOKUP(E258,input_321101!L:R,7,FALSE),VLOOKUP(tables_321101!B258,input_321101!A:H,8,FALSE))</f>
        <v>4788</v>
      </c>
      <c r="N258" s="63">
        <f t="shared" ref="N258:N265" ca="1" si="16">M258/SUM(M:M)</f>
        <v>3.1967636040051148E-4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input_321101!A$2</f>
        <v>321101</v>
      </c>
      <c r="B259" s="7" t="str">
        <f t="shared" si="14"/>
        <v>PremiumSS5</v>
      </c>
      <c r="C259" s="7" t="str">
        <f t="shared" si="15"/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IFERROR(VLOOKUP(E259,input_321101!L:R,7,FALSE),VLOOKUP(tables_321101!B259,input_321101!A:H,8,FALSE))</f>
        <v>532</v>
      </c>
      <c r="N259" s="63">
        <f t="shared" ca="1" si="16"/>
        <v>3.5519595600056833E-5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input_321101!A$2</f>
        <v>321101</v>
      </c>
      <c r="B260" s="7" t="str">
        <f t="shared" si="14"/>
        <v>Premium3</v>
      </c>
      <c r="C260" s="7" t="str">
        <f t="shared" si="15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IFERROR(VLOOKUP(E260,input_321101!L:R,7,FALSE),VLOOKUP(tables_321101!B260,input_321101!A:H,8,FALSE))</f>
        <v>98000</v>
      </c>
      <c r="N260" s="63">
        <f t="shared" ca="1" si="16"/>
        <v>6.5430834000104691E-3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input_321101!A$2</f>
        <v>321101</v>
      </c>
      <c r="B261" s="7" t="str">
        <f t="shared" si="14"/>
        <v>Premium4</v>
      </c>
      <c r="C261" s="7" t="str">
        <f t="shared" si="15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IFERROR(VLOOKUP(E261,input_321101!L:R,7,FALSE),VLOOKUP(tables_321101!B261,input_321101!A:H,8,FALSE))</f>
        <v>86436</v>
      </c>
      <c r="N261" s="63">
        <f t="shared" ca="1" si="16"/>
        <v>5.7709995588092339E-3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input_321101!A$2</f>
        <v>321101</v>
      </c>
      <c r="B262" s="7" t="str">
        <f t="shared" si="14"/>
        <v>Premium5</v>
      </c>
      <c r="C262" s="7" t="str">
        <f t="shared" si="15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IFERROR(VLOOKUP(E262,input_321101!L:R,7,FALSE),VLOOKUP(tables_321101!B262,input_321101!A:H,8,FALSE))</f>
        <v>13034</v>
      </c>
      <c r="N262" s="63">
        <f t="shared" ca="1" si="16"/>
        <v>8.702300922013924E-4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input_321101!A$2</f>
        <v>321101</v>
      </c>
      <c r="B263" s="7" t="str">
        <f t="shared" si="14"/>
        <v>Premium3</v>
      </c>
      <c r="C263" s="7" t="str">
        <f t="shared" si="15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IFERROR(VLOOKUP(E263,input_321101!L:R,7,FALSE),VLOOKUP(tables_321101!B263,input_321101!A:H,8,FALSE))</f>
        <v>98000</v>
      </c>
      <c r="N263" s="63">
        <f t="shared" ca="1" si="16"/>
        <v>6.5430834000104691E-3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input_321101!A$2</f>
        <v>321101</v>
      </c>
      <c r="B264" s="7" t="str">
        <f t="shared" si="14"/>
        <v>Premium4</v>
      </c>
      <c r="C264" s="7" t="str">
        <f t="shared" si="15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IFERROR(VLOOKUP(E264,input_321101!L:R,7,FALSE),VLOOKUP(tables_321101!B264,input_321101!A:H,8,FALSE))</f>
        <v>86436</v>
      </c>
      <c r="N264" s="63">
        <f t="shared" ca="1" si="16"/>
        <v>5.7709995588092339E-3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input_321101!A$2</f>
        <v>321101</v>
      </c>
      <c r="B265" s="7" t="str">
        <f t="shared" si="14"/>
        <v>Premium5</v>
      </c>
      <c r="C265" s="7" t="str">
        <f t="shared" si="15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IFERROR(VLOOKUP(E265,input_321101!L:R,7,FALSE),VLOOKUP(tables_321101!B265,input_321101!A:H,8,FALSE))</f>
        <v>13034</v>
      </c>
      <c r="N265" s="63">
        <f t="shared" ca="1" si="16"/>
        <v>8.702300922013924E-4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sortState ref="A2:U189">
    <sortCondition ref="A2:A189"/>
    <sortCondition ref="E2:E189"/>
  </sortState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5"/>
  </sheetPr>
  <dimension ref="A1:R43"/>
  <sheetViews>
    <sheetView topLeftCell="A7" workbookViewId="0">
      <selection activeCell="E17" sqref="E17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321102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0.5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0.45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0.05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0.98499999999999999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88">
        <v>1.4999999999999999E-2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0.5</v>
      </c>
      <c r="C17" s="65">
        <f t="shared" ref="C17:C23" si="3">SUMIF(Q:Q,A17,N:N)</f>
        <v>0</v>
      </c>
      <c r="D17" s="58">
        <f t="shared" ref="D17:D24" si="4">B17-C17</f>
        <v>0.5</v>
      </c>
      <c r="E17">
        <v>76</v>
      </c>
      <c r="F17" s="60">
        <f t="shared" ref="F17:F23" si="5">IFERROR(D17/E17,0)</f>
        <v>6.5789473684210523E-3</v>
      </c>
      <c r="G17">
        <f t="shared" ref="G17:G23" si="6">A$32*D17</f>
        <v>7448000</v>
      </c>
      <c r="H17">
        <f t="shared" ref="H17:H23" si="7">IFERROR(ROUND(G17/E17,5),0)</f>
        <v>98000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0.4365</v>
      </c>
      <c r="C18" s="65">
        <f t="shared" si="3"/>
        <v>0</v>
      </c>
      <c r="D18" s="58">
        <f t="shared" si="4"/>
        <v>0.4365</v>
      </c>
      <c r="E18">
        <v>76</v>
      </c>
      <c r="F18" s="60">
        <f t="shared" si="5"/>
        <v>5.7434210526315791E-3</v>
      </c>
      <c r="G18">
        <f t="shared" si="6"/>
        <v>6502104</v>
      </c>
      <c r="H18">
        <f t="shared" si="7"/>
        <v>85554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f>B11*0.9</f>
        <v>1.35E-2</v>
      </c>
      <c r="C19" s="65">
        <f t="shared" si="3"/>
        <v>0</v>
      </c>
      <c r="D19" s="58">
        <f t="shared" si="4"/>
        <v>1.35E-2</v>
      </c>
      <c r="E19">
        <v>28</v>
      </c>
      <c r="F19" s="60">
        <f t="shared" si="5"/>
        <v>4.8214285714285715E-4</v>
      </c>
      <c r="G19">
        <f t="shared" si="6"/>
        <v>201096</v>
      </c>
      <c r="H19">
        <f t="shared" si="7"/>
        <v>7182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4.8500000000000001E-2</v>
      </c>
      <c r="C21" s="65">
        <f t="shared" si="3"/>
        <v>0</v>
      </c>
      <c r="D21" s="58">
        <f t="shared" si="4"/>
        <v>4.8500000000000001E-2</v>
      </c>
      <c r="E21">
        <v>56</v>
      </c>
      <c r="F21" s="60">
        <f t="shared" si="5"/>
        <v>8.6607142857142861E-4</v>
      </c>
      <c r="G21">
        <f t="shared" si="6"/>
        <v>722456</v>
      </c>
      <c r="H21">
        <f t="shared" si="7"/>
        <v>12901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f>B11*0.1</f>
        <v>1.5E-3</v>
      </c>
      <c r="C22" s="65">
        <f t="shared" si="3"/>
        <v>0</v>
      </c>
      <c r="D22" s="58">
        <f t="shared" si="4"/>
        <v>1.5E-3</v>
      </c>
      <c r="E22">
        <v>28</v>
      </c>
      <c r="F22" s="60">
        <f t="shared" si="5"/>
        <v>5.3571428571428575E-5</v>
      </c>
      <c r="G22">
        <f t="shared" si="6"/>
        <v>22344</v>
      </c>
      <c r="H22">
        <f t="shared" si="7"/>
        <v>798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0.99999999999999989</v>
      </c>
      <c r="C24" s="57">
        <f>SUM(C17:C23)</f>
        <v>0</v>
      </c>
      <c r="D24" s="59">
        <f t="shared" si="4"/>
        <v>0.99999999999999989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28*56*76*125</f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SUMIF(tables_321102!B:B,input_321102!A36,tables_321102!M:M)</f>
        <v>7448000</v>
      </c>
      <c r="C36" s="72">
        <f t="shared" ref="C36:C42" ca="1" si="10">B36/B$43</f>
        <v>0.5</v>
      </c>
      <c r="E36">
        <v>3</v>
      </c>
      <c r="F36" s="73">
        <f ca="1">C36</f>
        <v>0.5</v>
      </c>
    </row>
    <row r="37" spans="1:6">
      <c r="A37" s="47" t="s">
        <v>126</v>
      </c>
      <c r="B37">
        <f ca="1">SUMIF(tables_321102!B:B,input_321102!A37,tables_321102!M:M)</f>
        <v>6502104</v>
      </c>
      <c r="C37" s="72">
        <f t="shared" ca="1" si="10"/>
        <v>0.4365</v>
      </c>
      <c r="E37">
        <v>4</v>
      </c>
      <c r="F37" s="73">
        <f ca="1">SUM(C37:C39)</f>
        <v>0.45</v>
      </c>
    </row>
    <row r="38" spans="1:6">
      <c r="A38" s="47" t="s">
        <v>132</v>
      </c>
      <c r="B38">
        <f ca="1">SUMIF(tables_321102!B:B,input_321102!A38,tables_321102!M:M)</f>
        <v>201096</v>
      </c>
      <c r="C38" s="72">
        <f t="shared" ca="1" si="10"/>
        <v>1.35E-2</v>
      </c>
      <c r="E38">
        <v>5</v>
      </c>
      <c r="F38" s="73">
        <f ca="1">SUM(C40:C42)</f>
        <v>0.05</v>
      </c>
    </row>
    <row r="39" spans="1:6">
      <c r="A39" s="47" t="s">
        <v>129</v>
      </c>
      <c r="B39">
        <f>SUMIF(tables_321102!B:B,input_321102!A39,tables_321102!M:M)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SUMIF(tables_321102!B:B,input_321102!A40,tables_321102!M:M)</f>
        <v>722456</v>
      </c>
      <c r="C40" s="72">
        <f t="shared" ca="1" si="10"/>
        <v>4.8500000000000001E-2</v>
      </c>
      <c r="E40" t="s">
        <v>68</v>
      </c>
    </row>
    <row r="41" spans="1:6">
      <c r="A41" s="47" t="s">
        <v>134</v>
      </c>
      <c r="B41">
        <f ca="1">SUMIF(tables_321102!B:B,input_321102!A41,tables_321102!M:M)</f>
        <v>22344</v>
      </c>
      <c r="C41" s="72">
        <f t="shared" ca="1" si="10"/>
        <v>1.5E-3</v>
      </c>
      <c r="E41" t="s">
        <v>121</v>
      </c>
      <c r="F41" s="73">
        <f ca="1">C36+C37+C40</f>
        <v>0.98499999999999999</v>
      </c>
    </row>
    <row r="42" spans="1:6">
      <c r="A42" s="47" t="s">
        <v>135</v>
      </c>
      <c r="B42">
        <f>SUMIF(tables_321102!B:B,input_321102!A42,tables_321102!M:M)</f>
        <v>0</v>
      </c>
      <c r="C42" s="72">
        <f t="shared" ca="1" si="10"/>
        <v>0</v>
      </c>
      <c r="E42" t="s">
        <v>122</v>
      </c>
      <c r="F42" s="73">
        <f ca="1">C38+C41</f>
        <v>1.4999999999999999E-2</v>
      </c>
    </row>
    <row r="43" spans="1:6">
      <c r="A43" s="55" t="s">
        <v>74</v>
      </c>
      <c r="B43">
        <f ca="1">SUM(B36:B42)</f>
        <v>14896000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23" activePane="bottomLeft" state="frozen"/>
      <selection activeCell="F33" sqref="F33"/>
      <selection pane="bottomLeft" activeCell="G237" sqref="G237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input_321102!A$2</f>
        <v>321102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IFERROR(VLOOKUP(E2,input_321102!L:R,7,FALSE),VLOOKUP(tables_321102!B2,input_321102!A:H,8,FALSE))</f>
        <v>98000</v>
      </c>
      <c r="N2" s="63">
        <f t="shared" ref="N2:N65" ca="1" si="0">M2/SUM(M:M)</f>
        <v>6.5789473684210523E-3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input_321102!A$2</f>
        <v>321102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IFERROR(VLOOKUP(E3,input_321102!L:R,7,FALSE),VLOOKUP(tables_321102!B3,input_321102!A:H,8,FALSE))</f>
        <v>85554</v>
      </c>
      <c r="N3" s="63">
        <f t="shared" ca="1" si="0"/>
        <v>5.7434210526315791E-3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input_321102!A$2</f>
        <v>321102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IFERROR(VLOOKUP(E4,input_321102!L:R,7,FALSE),VLOOKUP(tables_321102!B4,input_321102!A:H,8,FALSE))</f>
        <v>98000</v>
      </c>
      <c r="N4" s="63">
        <f t="shared" ca="1" si="0"/>
        <v>6.5789473684210523E-3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input_321102!A$2</f>
        <v>321102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IFERROR(VLOOKUP(E5,input_321102!L:R,7,FALSE),VLOOKUP(tables_321102!B5,input_321102!A:H,8,FALSE))</f>
        <v>85554</v>
      </c>
      <c r="N5" s="63">
        <f t="shared" ca="1" si="0"/>
        <v>5.7434210526315791E-3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input_321102!A$2</f>
        <v>321102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IFERROR(VLOOKUP(E6,input_321102!L:R,7,FALSE),VLOOKUP(tables_321102!B6,input_321102!A:H,8,FALSE))</f>
        <v>98000</v>
      </c>
      <c r="N6" s="63">
        <f t="shared" ca="1" si="0"/>
        <v>6.5789473684210523E-3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input_321102!A$2</f>
        <v>321102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IFERROR(VLOOKUP(E7,input_321102!L:R,7,FALSE),VLOOKUP(tables_321102!B7,input_321102!A:H,8,FALSE))</f>
        <v>85554</v>
      </c>
      <c r="N7" s="63">
        <f t="shared" ca="1" si="0"/>
        <v>5.7434210526315791E-3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input_321102!A$2</f>
        <v>321102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IFERROR(VLOOKUP(E8,input_321102!L:R,7,FALSE),VLOOKUP(tables_321102!B8,input_321102!A:H,8,FALSE))</f>
        <v>98000</v>
      </c>
      <c r="N8" s="63">
        <f t="shared" ca="1" si="0"/>
        <v>6.5789473684210523E-3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input_321102!A$2</f>
        <v>321102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IFERROR(VLOOKUP(E9,input_321102!L:R,7,FALSE),VLOOKUP(tables_321102!B9,input_321102!A:H,8,FALSE))</f>
        <v>85554</v>
      </c>
      <c r="N9" s="63">
        <f t="shared" ca="1" si="0"/>
        <v>5.7434210526315791E-3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input_321102!A$2</f>
        <v>321102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IFERROR(VLOOKUP(E10,input_321102!L:R,7,FALSE),VLOOKUP(tables_321102!B10,input_321102!A:H,8,FALSE))</f>
        <v>98000</v>
      </c>
      <c r="N10" s="63">
        <f t="shared" ca="1" si="0"/>
        <v>6.5789473684210523E-3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input_321102!A$2</f>
        <v>321102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IFERROR(VLOOKUP(E11,input_321102!L:R,7,FALSE),VLOOKUP(tables_321102!B11,input_321102!A:H,8,FALSE))</f>
        <v>85554</v>
      </c>
      <c r="N11" s="63">
        <f t="shared" ca="1" si="0"/>
        <v>5.7434210526315791E-3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input_321102!A$2</f>
        <v>321102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IFERROR(VLOOKUP(E12,input_321102!L:R,7,FALSE),VLOOKUP(tables_321102!B12,input_321102!A:H,8,FALSE))</f>
        <v>98000</v>
      </c>
      <c r="N12" s="63">
        <f t="shared" ca="1" si="0"/>
        <v>6.5789473684210523E-3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input_321102!A$2</f>
        <v>321102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IFERROR(VLOOKUP(E13,input_321102!L:R,7,FALSE),VLOOKUP(tables_321102!B13,input_321102!A:H,8,FALSE))</f>
        <v>85554</v>
      </c>
      <c r="N13" s="63">
        <f t="shared" ca="1" si="0"/>
        <v>5.7434210526315791E-3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input_321102!A$2</f>
        <v>321102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IFERROR(VLOOKUP(E14,input_321102!L:R,7,FALSE),VLOOKUP(tables_321102!B14,input_321102!A:H,8,FALSE))</f>
        <v>98000</v>
      </c>
      <c r="N14" s="63">
        <f t="shared" ca="1" si="0"/>
        <v>6.5789473684210523E-3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input_321102!A$2</f>
        <v>321102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IFERROR(VLOOKUP(E15,input_321102!L:R,7,FALSE),VLOOKUP(tables_321102!B15,input_321102!A:H,8,FALSE))</f>
        <v>85554</v>
      </c>
      <c r="N15" s="63">
        <f t="shared" ca="1" si="0"/>
        <v>5.7434210526315791E-3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input_321102!A$2</f>
        <v>321102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IFERROR(VLOOKUP(E16,input_321102!L:R,7,FALSE),VLOOKUP(tables_321102!B16,input_321102!A:H,8,FALSE))</f>
        <v>98000</v>
      </c>
      <c r="N16" s="63">
        <f t="shared" ca="1" si="0"/>
        <v>6.5789473684210523E-3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input_321102!A$2</f>
        <v>321102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IFERROR(VLOOKUP(E17,input_321102!L:R,7,FALSE),VLOOKUP(tables_321102!B17,input_321102!A:H,8,FALSE))</f>
        <v>85554</v>
      </c>
      <c r="N17" s="63">
        <f t="shared" ca="1" si="0"/>
        <v>5.7434210526315791E-3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input_321102!A$2</f>
        <v>321102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IFERROR(VLOOKUP(E18,input_321102!L:R,7,FALSE),VLOOKUP(tables_321102!B18,input_321102!A:H,8,FALSE))</f>
        <v>98000</v>
      </c>
      <c r="N18" s="63">
        <f t="shared" ca="1" si="0"/>
        <v>6.5789473684210523E-3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input_321102!A$2</f>
        <v>321102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IFERROR(VLOOKUP(E19,input_321102!L:R,7,FALSE),VLOOKUP(tables_321102!B19,input_321102!A:H,8,FALSE))</f>
        <v>85554</v>
      </c>
      <c r="N19" s="63">
        <f t="shared" ca="1" si="0"/>
        <v>5.7434210526315791E-3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input_321102!A$2</f>
        <v>321102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IFERROR(VLOOKUP(E20,input_321102!L:R,7,FALSE),VLOOKUP(tables_321102!B20,input_321102!A:H,8,FALSE))</f>
        <v>98000</v>
      </c>
      <c r="N20" s="63">
        <f t="shared" ca="1" si="0"/>
        <v>6.5789473684210523E-3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input_321102!A$2</f>
        <v>321102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IFERROR(VLOOKUP(E21,input_321102!L:R,7,FALSE),VLOOKUP(tables_321102!B21,input_321102!A:H,8,FALSE))</f>
        <v>85554</v>
      </c>
      <c r="N21" s="63">
        <f t="shared" ca="1" si="0"/>
        <v>5.7434210526315791E-3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input_321102!A$2</f>
        <v>321102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IFERROR(VLOOKUP(E22,input_321102!L:R,7,FALSE),VLOOKUP(tables_321102!B22,input_321102!A:H,8,FALSE))</f>
        <v>98000</v>
      </c>
      <c r="N22" s="63">
        <f t="shared" ca="1" si="0"/>
        <v>6.5789473684210523E-3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input_321102!A$2</f>
        <v>321102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IFERROR(VLOOKUP(E23,input_321102!L:R,7,FALSE),VLOOKUP(tables_321102!B23,input_321102!A:H,8,FALSE))</f>
        <v>85554</v>
      </c>
      <c r="N23" s="63">
        <f t="shared" ca="1" si="0"/>
        <v>5.7434210526315791E-3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input_321102!A$2</f>
        <v>321102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IFERROR(VLOOKUP(E24,input_321102!L:R,7,FALSE),VLOOKUP(tables_321102!B24,input_321102!A:H,8,FALSE))</f>
        <v>98000</v>
      </c>
      <c r="N24" s="63">
        <f t="shared" ca="1" si="0"/>
        <v>6.5789473684210523E-3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input_321102!A$2</f>
        <v>321102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IFERROR(VLOOKUP(E25,input_321102!L:R,7,FALSE),VLOOKUP(tables_321102!B25,input_321102!A:H,8,FALSE))</f>
        <v>85554</v>
      </c>
      <c r="N25" s="63">
        <f t="shared" ca="1" si="0"/>
        <v>5.7434210526315791E-3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input_321102!A$2</f>
        <v>321102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IFERROR(VLOOKUP(E26,input_321102!L:R,7,FALSE),VLOOKUP(tables_321102!B26,input_321102!A:H,8,FALSE))</f>
        <v>98000</v>
      </c>
      <c r="N26" s="63">
        <f t="shared" ca="1" si="0"/>
        <v>6.5789473684210523E-3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input_321102!A$2</f>
        <v>321102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IFERROR(VLOOKUP(E27,input_321102!L:R,7,FALSE),VLOOKUP(tables_321102!B27,input_321102!A:H,8,FALSE))</f>
        <v>85554</v>
      </c>
      <c r="N27" s="63">
        <f t="shared" ca="1" si="0"/>
        <v>5.7434210526315791E-3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input_321102!A$2</f>
        <v>321102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IFERROR(VLOOKUP(E28,input_321102!L:R,7,FALSE),VLOOKUP(tables_321102!B28,input_321102!A:H,8,FALSE))</f>
        <v>98000</v>
      </c>
      <c r="N28" s="63">
        <f t="shared" ca="1" si="0"/>
        <v>6.5789473684210523E-3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input_321102!A$2</f>
        <v>321102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IFERROR(VLOOKUP(E29,input_321102!L:R,7,FALSE),VLOOKUP(tables_321102!B29,input_321102!A:H,8,FALSE))</f>
        <v>85554</v>
      </c>
      <c r="N29" s="63">
        <f t="shared" ca="1" si="0"/>
        <v>5.7434210526315791E-3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input_321102!A$2</f>
        <v>321102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IFERROR(VLOOKUP(E30,input_321102!L:R,7,FALSE),VLOOKUP(tables_321102!B30,input_321102!A:H,8,FALSE))</f>
        <v>98000</v>
      </c>
      <c r="N30" s="63">
        <f t="shared" ca="1" si="0"/>
        <v>6.5789473684210523E-3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input_321102!A$2</f>
        <v>321102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IFERROR(VLOOKUP(E31,input_321102!L:R,7,FALSE),VLOOKUP(tables_321102!B31,input_321102!A:H,8,FALSE))</f>
        <v>85554</v>
      </c>
      <c r="N31" s="63">
        <f t="shared" ca="1" si="0"/>
        <v>5.7434210526315791E-3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input_321102!A$2</f>
        <v>321102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IFERROR(VLOOKUP(E32,input_321102!L:R,7,FALSE),VLOOKUP(tables_321102!B32,input_321102!A:H,8,FALSE))</f>
        <v>98000</v>
      </c>
      <c r="N32" s="63">
        <f t="shared" ca="1" si="0"/>
        <v>6.5789473684210523E-3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input_321102!A$2</f>
        <v>321102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IFERROR(VLOOKUP(E33,input_321102!L:R,7,FALSE),VLOOKUP(tables_321102!B33,input_321102!A:H,8,FALSE))</f>
        <v>85554</v>
      </c>
      <c r="N33" s="63">
        <f t="shared" ca="1" si="0"/>
        <v>5.7434210526315791E-3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input_321102!A$2</f>
        <v>321102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IFERROR(VLOOKUP(E34,input_321102!L:R,7,FALSE),VLOOKUP(tables_321102!B34,input_321102!A:H,8,FALSE))</f>
        <v>98000</v>
      </c>
      <c r="N34" s="63">
        <f t="shared" ca="1" si="0"/>
        <v>6.5789473684210523E-3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input_321102!A$2</f>
        <v>321102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IFERROR(VLOOKUP(E35,input_321102!L:R,7,FALSE),VLOOKUP(tables_321102!B35,input_321102!A:H,8,FALSE))</f>
        <v>85554</v>
      </c>
      <c r="N35" s="63">
        <f t="shared" ca="1" si="0"/>
        <v>5.7434210526315791E-3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input_321102!A$2</f>
        <v>321102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IFERROR(VLOOKUP(E36,input_321102!L:R,7,FALSE),VLOOKUP(tables_321102!B36,input_321102!A:H,8,FALSE))</f>
        <v>98000</v>
      </c>
      <c r="N36" s="63">
        <f t="shared" ca="1" si="0"/>
        <v>6.5789473684210523E-3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input_321102!A$2</f>
        <v>321102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IFERROR(VLOOKUP(E37,input_321102!L:R,7,FALSE),VLOOKUP(tables_321102!B37,input_321102!A:H,8,FALSE))</f>
        <v>85554</v>
      </c>
      <c r="N37" s="63">
        <f t="shared" ca="1" si="0"/>
        <v>5.7434210526315791E-3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input_321102!A$2</f>
        <v>321102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IFERROR(VLOOKUP(E38,input_321102!L:R,7,FALSE),VLOOKUP(tables_321102!B38,input_321102!A:H,8,FALSE))</f>
        <v>98000</v>
      </c>
      <c r="N38" s="63">
        <f t="shared" ca="1" si="0"/>
        <v>6.5789473684210523E-3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input_321102!A$2</f>
        <v>321102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IFERROR(VLOOKUP(E39,input_321102!L:R,7,FALSE),VLOOKUP(tables_321102!B39,input_321102!A:H,8,FALSE))</f>
        <v>85554</v>
      </c>
      <c r="N39" s="63">
        <f t="shared" ca="1" si="0"/>
        <v>5.7434210526315791E-3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input_321102!A$2</f>
        <v>321102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IFERROR(VLOOKUP(E40,input_321102!L:R,7,FALSE),VLOOKUP(tables_321102!B40,input_321102!A:H,8,FALSE))</f>
        <v>98000</v>
      </c>
      <c r="N40" s="63">
        <f t="shared" ca="1" si="0"/>
        <v>6.5789473684210523E-3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input_321102!A$2</f>
        <v>321102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IFERROR(VLOOKUP(E41,input_321102!L:R,7,FALSE),VLOOKUP(tables_321102!B41,input_321102!A:H,8,FALSE))</f>
        <v>85554</v>
      </c>
      <c r="N41" s="63">
        <f t="shared" ca="1" si="0"/>
        <v>5.7434210526315791E-3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input_321102!A$2</f>
        <v>321102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IFERROR(VLOOKUP(E42,input_321102!L:R,7,FALSE),VLOOKUP(tables_321102!B42,input_321102!A:H,8,FALSE))</f>
        <v>98000</v>
      </c>
      <c r="N42" s="63">
        <f t="shared" ca="1" si="0"/>
        <v>6.5789473684210523E-3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input_321102!A$2</f>
        <v>321102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IFERROR(VLOOKUP(E43,input_321102!L:R,7,FALSE),VLOOKUP(tables_321102!B43,input_321102!A:H,8,FALSE))</f>
        <v>85554</v>
      </c>
      <c r="N43" s="63">
        <f t="shared" ca="1" si="0"/>
        <v>5.7434210526315791E-3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input_321102!A$2</f>
        <v>321102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IFERROR(VLOOKUP(E44,input_321102!L:R,7,FALSE),VLOOKUP(tables_321102!B44,input_321102!A:H,8,FALSE))</f>
        <v>12901</v>
      </c>
      <c r="N44" s="63">
        <f t="shared" ca="1" si="0"/>
        <v>8.6607142857142861E-4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input_321102!A$2</f>
        <v>321102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IFERROR(VLOOKUP(E45,input_321102!L:R,7,FALSE),VLOOKUP(tables_321102!B45,input_321102!A:H,8,FALSE))</f>
        <v>98000</v>
      </c>
      <c r="N45" s="63">
        <f t="shared" ca="1" si="0"/>
        <v>6.5789473684210523E-3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input_321102!A$2</f>
        <v>321102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IFERROR(VLOOKUP(E46,input_321102!L:R,7,FALSE),VLOOKUP(tables_321102!B46,input_321102!A:H,8,FALSE))</f>
        <v>85554</v>
      </c>
      <c r="N46" s="63">
        <f t="shared" ca="1" si="0"/>
        <v>5.7434210526315791E-3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input_321102!A$2</f>
        <v>321102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IFERROR(VLOOKUP(E47,input_321102!L:R,7,FALSE),VLOOKUP(tables_321102!B47,input_321102!A:H,8,FALSE))</f>
        <v>12901</v>
      </c>
      <c r="N47" s="63">
        <f t="shared" ca="1" si="0"/>
        <v>8.6607142857142861E-4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input_321102!A$2</f>
        <v>321102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IFERROR(VLOOKUP(E48,input_321102!L:R,7,FALSE),VLOOKUP(tables_321102!B48,input_321102!A:H,8,FALSE))</f>
        <v>98000</v>
      </c>
      <c r="N48" s="63">
        <f t="shared" ca="1" si="0"/>
        <v>6.5789473684210523E-3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input_321102!A$2</f>
        <v>321102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IFERROR(VLOOKUP(E49,input_321102!L:R,7,FALSE),VLOOKUP(tables_321102!B49,input_321102!A:H,8,FALSE))</f>
        <v>85554</v>
      </c>
      <c r="N49" s="63">
        <f t="shared" ca="1" si="0"/>
        <v>5.7434210526315791E-3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input_321102!A$2</f>
        <v>321102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IFERROR(VLOOKUP(E50,input_321102!L:R,7,FALSE),VLOOKUP(tables_321102!B50,input_321102!A:H,8,FALSE))</f>
        <v>12901</v>
      </c>
      <c r="N50" s="63">
        <f t="shared" ca="1" si="0"/>
        <v>8.6607142857142861E-4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input_321102!A$2</f>
        <v>321102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IFERROR(VLOOKUP(E51,input_321102!L:R,7,FALSE),VLOOKUP(tables_321102!B51,input_321102!A:H,8,FALSE))</f>
        <v>98000</v>
      </c>
      <c r="N51" s="63">
        <f t="shared" ca="1" si="0"/>
        <v>6.5789473684210523E-3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input_321102!A$2</f>
        <v>321102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IFERROR(VLOOKUP(E52,input_321102!L:R,7,FALSE),VLOOKUP(tables_321102!B52,input_321102!A:H,8,FALSE))</f>
        <v>85554</v>
      </c>
      <c r="N52" s="63">
        <f t="shared" ca="1" si="0"/>
        <v>5.7434210526315791E-3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input_321102!A$2</f>
        <v>321102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IFERROR(VLOOKUP(E53,input_321102!L:R,7,FALSE),VLOOKUP(tables_321102!B53,input_321102!A:H,8,FALSE))</f>
        <v>12901</v>
      </c>
      <c r="N53" s="63">
        <f t="shared" ca="1" si="0"/>
        <v>8.6607142857142861E-4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input_321102!A$2</f>
        <v>321102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IFERROR(VLOOKUP(E54,input_321102!L:R,7,FALSE),VLOOKUP(tables_321102!B54,input_321102!A:H,8,FALSE))</f>
        <v>98000</v>
      </c>
      <c r="N54" s="63">
        <f t="shared" ca="1" si="0"/>
        <v>6.5789473684210523E-3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input_321102!A$2</f>
        <v>321102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IFERROR(VLOOKUP(E55,input_321102!L:R,7,FALSE),VLOOKUP(tables_321102!B55,input_321102!A:H,8,FALSE))</f>
        <v>85554</v>
      </c>
      <c r="N55" s="63">
        <f t="shared" ca="1" si="0"/>
        <v>5.7434210526315791E-3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input_321102!A$2</f>
        <v>321102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IFERROR(VLOOKUP(E56,input_321102!L:R,7,FALSE),VLOOKUP(tables_321102!B56,input_321102!A:H,8,FALSE))</f>
        <v>12901</v>
      </c>
      <c r="N56" s="63">
        <f t="shared" ca="1" si="0"/>
        <v>8.6607142857142861E-4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input_321102!A$2</f>
        <v>321102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IFERROR(VLOOKUP(E57,input_321102!L:R,7,FALSE),VLOOKUP(tables_321102!B57,input_321102!A:H,8,FALSE))</f>
        <v>98000</v>
      </c>
      <c r="N57" s="63">
        <f t="shared" ca="1" si="0"/>
        <v>6.5789473684210523E-3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input_321102!A$2</f>
        <v>321102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IFERROR(VLOOKUP(E58,input_321102!L:R,7,FALSE),VLOOKUP(tables_321102!B58,input_321102!A:H,8,FALSE))</f>
        <v>85554</v>
      </c>
      <c r="N58" s="63">
        <f t="shared" ca="1" si="0"/>
        <v>5.7434210526315791E-3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input_321102!A$2</f>
        <v>321102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IFERROR(VLOOKUP(E59,input_321102!L:R,7,FALSE),VLOOKUP(tables_321102!B59,input_321102!A:H,8,FALSE))</f>
        <v>12901</v>
      </c>
      <c r="N59" s="63">
        <f t="shared" ca="1" si="0"/>
        <v>8.6607142857142861E-4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input_321102!A$2</f>
        <v>321102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IFERROR(VLOOKUP(E60,input_321102!L:R,7,FALSE),VLOOKUP(tables_321102!B60,input_321102!A:H,8,FALSE))</f>
        <v>98000</v>
      </c>
      <c r="N60" s="63">
        <f t="shared" ca="1" si="0"/>
        <v>6.5789473684210523E-3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input_321102!A$2</f>
        <v>321102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IFERROR(VLOOKUP(E61,input_321102!L:R,7,FALSE),VLOOKUP(tables_321102!B61,input_321102!A:H,8,FALSE))</f>
        <v>85554</v>
      </c>
      <c r="N61" s="63">
        <f t="shared" ca="1" si="0"/>
        <v>5.7434210526315791E-3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input_321102!A$2</f>
        <v>321102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IFERROR(VLOOKUP(E62,input_321102!L:R,7,FALSE),VLOOKUP(tables_321102!B62,input_321102!A:H,8,FALSE))</f>
        <v>12901</v>
      </c>
      <c r="N62" s="63">
        <f t="shared" ca="1" si="0"/>
        <v>8.6607142857142861E-4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input_321102!A$2</f>
        <v>321102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IFERROR(VLOOKUP(E63,input_321102!L:R,7,FALSE),VLOOKUP(tables_321102!B63,input_321102!A:H,8,FALSE))</f>
        <v>98000</v>
      </c>
      <c r="N63" s="63">
        <f t="shared" ca="1" si="0"/>
        <v>6.5789473684210523E-3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input_321102!A$2</f>
        <v>321102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IFERROR(VLOOKUP(E64,input_321102!L:R,7,FALSE),VLOOKUP(tables_321102!B64,input_321102!A:H,8,FALSE))</f>
        <v>85554</v>
      </c>
      <c r="N64" s="63">
        <f t="shared" ca="1" si="0"/>
        <v>5.7434210526315791E-3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input_321102!A$2</f>
        <v>321102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IFERROR(VLOOKUP(E65,input_321102!L:R,7,FALSE),VLOOKUP(tables_321102!B65,input_321102!A:H,8,FALSE))</f>
        <v>12901</v>
      </c>
      <c r="N65" s="63">
        <f t="shared" ca="1" si="0"/>
        <v>8.6607142857142861E-4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input_321102!A$2</f>
        <v>321102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IFERROR(VLOOKUP(E66,input_321102!L:R,7,FALSE),VLOOKUP(tables_321102!B66,input_321102!A:H,8,FALSE))</f>
        <v>98000</v>
      </c>
      <c r="N66" s="63">
        <f t="shared" ref="N66:N129" ca="1" si="3">M66/SUM(M:M)</f>
        <v>6.5789473684210523E-3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input_321102!A$2</f>
        <v>321102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IFERROR(VLOOKUP(E67,input_321102!L:R,7,FALSE),VLOOKUP(tables_321102!B67,input_321102!A:H,8,FALSE))</f>
        <v>85554</v>
      </c>
      <c r="N67" s="63">
        <f t="shared" ca="1" si="3"/>
        <v>5.7434210526315791E-3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input_321102!A$2</f>
        <v>321102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IFERROR(VLOOKUP(E68,input_321102!L:R,7,FALSE),VLOOKUP(tables_321102!B68,input_321102!A:H,8,FALSE))</f>
        <v>12901</v>
      </c>
      <c r="N68" s="63">
        <f t="shared" ca="1" si="3"/>
        <v>8.6607142857142861E-4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input_321102!A$2</f>
        <v>321102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IFERROR(VLOOKUP(E69,input_321102!L:R,7,FALSE),VLOOKUP(tables_321102!B69,input_321102!A:H,8,FALSE))</f>
        <v>98000</v>
      </c>
      <c r="N69" s="63">
        <f t="shared" ca="1" si="3"/>
        <v>6.5789473684210523E-3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input_321102!A$2</f>
        <v>321102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IFERROR(VLOOKUP(E70,input_321102!L:R,7,FALSE),VLOOKUP(tables_321102!B70,input_321102!A:H,8,FALSE))</f>
        <v>85554</v>
      </c>
      <c r="N70" s="63">
        <f t="shared" ca="1" si="3"/>
        <v>5.7434210526315791E-3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input_321102!A$2</f>
        <v>321102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IFERROR(VLOOKUP(E71,input_321102!L:R,7,FALSE),VLOOKUP(tables_321102!B71,input_321102!A:H,8,FALSE))</f>
        <v>12901</v>
      </c>
      <c r="N71" s="63">
        <f t="shared" ca="1" si="3"/>
        <v>8.6607142857142861E-4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input_321102!A$2</f>
        <v>321102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IFERROR(VLOOKUP(E72,input_321102!L:R,7,FALSE),VLOOKUP(tables_321102!B72,input_321102!A:H,8,FALSE))</f>
        <v>98000</v>
      </c>
      <c r="N72" s="63">
        <f t="shared" ca="1" si="3"/>
        <v>6.5789473684210523E-3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input_321102!A$2</f>
        <v>321102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IFERROR(VLOOKUP(E73,input_321102!L:R,7,FALSE),VLOOKUP(tables_321102!B73,input_321102!A:H,8,FALSE))</f>
        <v>85554</v>
      </c>
      <c r="N73" s="63">
        <f t="shared" ca="1" si="3"/>
        <v>5.7434210526315791E-3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input_321102!A$2</f>
        <v>321102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IFERROR(VLOOKUP(E74,input_321102!L:R,7,FALSE),VLOOKUP(tables_321102!B74,input_321102!A:H,8,FALSE))</f>
        <v>12901</v>
      </c>
      <c r="N74" s="63">
        <f t="shared" ca="1" si="3"/>
        <v>8.6607142857142861E-4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input_321102!A$2</f>
        <v>321102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IFERROR(VLOOKUP(E75,input_321102!L:R,7,FALSE),VLOOKUP(tables_321102!B75,input_321102!A:H,8,FALSE))</f>
        <v>98000</v>
      </c>
      <c r="N75" s="63">
        <f t="shared" ca="1" si="3"/>
        <v>6.5789473684210523E-3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input_321102!A$2</f>
        <v>321102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IFERROR(VLOOKUP(E76,input_321102!L:R,7,FALSE),VLOOKUP(tables_321102!B76,input_321102!A:H,8,FALSE))</f>
        <v>85554</v>
      </c>
      <c r="N76" s="63">
        <f t="shared" ca="1" si="3"/>
        <v>5.7434210526315791E-3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input_321102!A$2</f>
        <v>321102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IFERROR(VLOOKUP(E77,input_321102!L:R,7,FALSE),VLOOKUP(tables_321102!B77,input_321102!A:H,8,FALSE))</f>
        <v>12901</v>
      </c>
      <c r="N77" s="63">
        <f t="shared" ca="1" si="3"/>
        <v>8.6607142857142861E-4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input_321102!A$2</f>
        <v>321102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IFERROR(VLOOKUP(E78,input_321102!L:R,7,FALSE),VLOOKUP(tables_321102!B78,input_321102!A:H,8,FALSE))</f>
        <v>98000</v>
      </c>
      <c r="N78" s="63">
        <f t="shared" ca="1" si="3"/>
        <v>6.5789473684210523E-3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input_321102!A$2</f>
        <v>321102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IFERROR(VLOOKUP(E79,input_321102!L:R,7,FALSE),VLOOKUP(tables_321102!B79,input_321102!A:H,8,FALSE))</f>
        <v>85554</v>
      </c>
      <c r="N79" s="63">
        <f t="shared" ca="1" si="3"/>
        <v>5.7434210526315791E-3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input_321102!A$2</f>
        <v>321102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IFERROR(VLOOKUP(E80,input_321102!L:R,7,FALSE),VLOOKUP(tables_321102!B80,input_321102!A:H,8,FALSE))</f>
        <v>12901</v>
      </c>
      <c r="N80" s="63">
        <f t="shared" ca="1" si="3"/>
        <v>8.6607142857142861E-4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input_321102!A$2</f>
        <v>321102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IFERROR(VLOOKUP(E81,input_321102!L:R,7,FALSE),VLOOKUP(tables_321102!B81,input_321102!A:H,8,FALSE))</f>
        <v>98000</v>
      </c>
      <c r="N81" s="63">
        <f t="shared" ca="1" si="3"/>
        <v>6.5789473684210523E-3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input_321102!A$2</f>
        <v>321102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IFERROR(VLOOKUP(E82,input_321102!L:R,7,FALSE),VLOOKUP(tables_321102!B82,input_321102!A:H,8,FALSE))</f>
        <v>85554</v>
      </c>
      <c r="N82" s="63">
        <f t="shared" ca="1" si="3"/>
        <v>5.7434210526315791E-3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input_321102!A$2</f>
        <v>321102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IFERROR(VLOOKUP(E83,input_321102!L:R,7,FALSE),VLOOKUP(tables_321102!B83,input_321102!A:H,8,FALSE))</f>
        <v>12901</v>
      </c>
      <c r="N83" s="63">
        <f t="shared" ca="1" si="3"/>
        <v>8.6607142857142861E-4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input_321102!A$2</f>
        <v>321102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IFERROR(VLOOKUP(E84,input_321102!L:R,7,FALSE),VLOOKUP(tables_321102!B84,input_321102!A:H,8,FALSE))</f>
        <v>98000</v>
      </c>
      <c r="N84" s="63">
        <f t="shared" ca="1" si="3"/>
        <v>6.5789473684210523E-3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input_321102!A$2</f>
        <v>321102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IFERROR(VLOOKUP(E85,input_321102!L:R,7,FALSE),VLOOKUP(tables_321102!B85,input_321102!A:H,8,FALSE))</f>
        <v>85554</v>
      </c>
      <c r="N85" s="63">
        <f t="shared" ca="1" si="3"/>
        <v>5.7434210526315791E-3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input_321102!A$2</f>
        <v>321102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IFERROR(VLOOKUP(E86,input_321102!L:R,7,FALSE),VLOOKUP(tables_321102!B86,input_321102!A:H,8,FALSE))</f>
        <v>12901</v>
      </c>
      <c r="N86" s="63">
        <f t="shared" ca="1" si="3"/>
        <v>8.6607142857142861E-4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input_321102!A$2</f>
        <v>321102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IFERROR(VLOOKUP(E87,input_321102!L:R,7,FALSE),VLOOKUP(tables_321102!B87,input_321102!A:H,8,FALSE))</f>
        <v>98000</v>
      </c>
      <c r="N87" s="63">
        <f t="shared" ca="1" si="3"/>
        <v>6.5789473684210523E-3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input_321102!A$2</f>
        <v>321102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IFERROR(VLOOKUP(E88,input_321102!L:R,7,FALSE),VLOOKUP(tables_321102!B88,input_321102!A:H,8,FALSE))</f>
        <v>85554</v>
      </c>
      <c r="N88" s="63">
        <f t="shared" ca="1" si="3"/>
        <v>5.7434210526315791E-3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input_321102!A$2</f>
        <v>321102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IFERROR(VLOOKUP(E89,input_321102!L:R,7,FALSE),VLOOKUP(tables_321102!B89,input_321102!A:H,8,FALSE))</f>
        <v>12901</v>
      </c>
      <c r="N89" s="63">
        <f t="shared" ca="1" si="3"/>
        <v>8.6607142857142861E-4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input_321102!A$2</f>
        <v>321102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IFERROR(VLOOKUP(E90,input_321102!L:R,7,FALSE),VLOOKUP(tables_321102!B90,input_321102!A:H,8,FALSE))</f>
        <v>98000</v>
      </c>
      <c r="N90" s="63">
        <f t="shared" ca="1" si="3"/>
        <v>6.5789473684210523E-3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input_321102!A$2</f>
        <v>321102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IFERROR(VLOOKUP(E91,input_321102!L:R,7,FALSE),VLOOKUP(tables_321102!B91,input_321102!A:H,8,FALSE))</f>
        <v>85554</v>
      </c>
      <c r="N91" s="63">
        <f t="shared" ca="1" si="3"/>
        <v>5.7434210526315791E-3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input_321102!A$2</f>
        <v>321102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IFERROR(VLOOKUP(E92,input_321102!L:R,7,FALSE),VLOOKUP(tables_321102!B92,input_321102!A:H,8,FALSE))</f>
        <v>12901</v>
      </c>
      <c r="N92" s="63">
        <f t="shared" ca="1" si="3"/>
        <v>8.6607142857142861E-4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input_321102!A$2</f>
        <v>321102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IFERROR(VLOOKUP(E93,input_321102!L:R,7,FALSE),VLOOKUP(tables_321102!B93,input_321102!A:H,8,FALSE))</f>
        <v>98000</v>
      </c>
      <c r="N93" s="63">
        <f t="shared" ca="1" si="3"/>
        <v>6.5789473684210523E-3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input_321102!A$2</f>
        <v>321102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IFERROR(VLOOKUP(E94,input_321102!L:R,7,FALSE),VLOOKUP(tables_321102!B94,input_321102!A:H,8,FALSE))</f>
        <v>85554</v>
      </c>
      <c r="N94" s="63">
        <f t="shared" ca="1" si="3"/>
        <v>5.7434210526315791E-3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input_321102!A$2</f>
        <v>321102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IFERROR(VLOOKUP(E95,input_321102!L:R,7,FALSE),VLOOKUP(tables_321102!B95,input_321102!A:H,8,FALSE))</f>
        <v>12901</v>
      </c>
      <c r="N95" s="63">
        <f t="shared" ca="1" si="3"/>
        <v>8.6607142857142861E-4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input_321102!A$2</f>
        <v>321102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IFERROR(VLOOKUP(E96,input_321102!L:R,7,FALSE),VLOOKUP(tables_321102!B96,input_321102!A:H,8,FALSE))</f>
        <v>98000</v>
      </c>
      <c r="N96" s="63">
        <f t="shared" ca="1" si="3"/>
        <v>6.5789473684210523E-3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input_321102!A$2</f>
        <v>321102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IFERROR(VLOOKUP(E97,input_321102!L:R,7,FALSE),VLOOKUP(tables_321102!B97,input_321102!A:H,8,FALSE))</f>
        <v>85554</v>
      </c>
      <c r="N97" s="63">
        <f t="shared" ca="1" si="3"/>
        <v>5.7434210526315791E-3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input_321102!A$2</f>
        <v>321102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IFERROR(VLOOKUP(E98,input_321102!L:R,7,FALSE),VLOOKUP(tables_321102!B98,input_321102!A:H,8,FALSE))</f>
        <v>12901</v>
      </c>
      <c r="N98" s="63">
        <f t="shared" ca="1" si="3"/>
        <v>8.6607142857142861E-4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input_321102!A$2</f>
        <v>321102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IFERROR(VLOOKUP(E99,input_321102!L:R,7,FALSE),VLOOKUP(tables_321102!B99,input_321102!A:H,8,FALSE))</f>
        <v>98000</v>
      </c>
      <c r="N99" s="63">
        <f t="shared" ca="1" si="3"/>
        <v>6.5789473684210523E-3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input_321102!A$2</f>
        <v>321102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IFERROR(VLOOKUP(E100,input_321102!L:R,7,FALSE),VLOOKUP(tables_321102!B100,input_321102!A:H,8,FALSE))</f>
        <v>85554</v>
      </c>
      <c r="N100" s="63">
        <f t="shared" ca="1" si="3"/>
        <v>5.7434210526315791E-3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input_321102!A$2</f>
        <v>321102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IFERROR(VLOOKUP(E101,input_321102!L:R,7,FALSE),VLOOKUP(tables_321102!B101,input_321102!A:H,8,FALSE))</f>
        <v>12901</v>
      </c>
      <c r="N101" s="63">
        <f t="shared" ca="1" si="3"/>
        <v>8.6607142857142861E-4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input_321102!A$2</f>
        <v>321102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IFERROR(VLOOKUP(E102,input_321102!L:R,7,FALSE),VLOOKUP(tables_321102!B102,input_321102!A:H,8,FALSE))</f>
        <v>98000</v>
      </c>
      <c r="N102" s="63">
        <f t="shared" ca="1" si="3"/>
        <v>6.5789473684210523E-3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input_321102!A$2</f>
        <v>321102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IFERROR(VLOOKUP(E103,input_321102!L:R,7,FALSE),VLOOKUP(tables_321102!B103,input_321102!A:H,8,FALSE))</f>
        <v>85554</v>
      </c>
      <c r="N103" s="63">
        <f t="shared" ca="1" si="3"/>
        <v>5.7434210526315791E-3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input_321102!A$2</f>
        <v>321102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IFERROR(VLOOKUP(E104,input_321102!L:R,7,FALSE),VLOOKUP(tables_321102!B104,input_321102!A:H,8,FALSE))</f>
        <v>12901</v>
      </c>
      <c r="N104" s="63">
        <f t="shared" ca="1" si="3"/>
        <v>8.6607142857142861E-4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input_321102!A$2</f>
        <v>321102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IFERROR(VLOOKUP(E105,input_321102!L:R,7,FALSE),VLOOKUP(tables_321102!B105,input_321102!A:H,8,FALSE))</f>
        <v>98000</v>
      </c>
      <c r="N105" s="63">
        <f t="shared" ca="1" si="3"/>
        <v>6.5789473684210523E-3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input_321102!A$2</f>
        <v>321102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IFERROR(VLOOKUP(E106,input_321102!L:R,7,FALSE),VLOOKUP(tables_321102!B106,input_321102!A:H,8,FALSE))</f>
        <v>85554</v>
      </c>
      <c r="N106" s="63">
        <f t="shared" ca="1" si="3"/>
        <v>5.7434210526315791E-3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input_321102!A$2</f>
        <v>321102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IFERROR(VLOOKUP(E107,input_321102!L:R,7,FALSE),VLOOKUP(tables_321102!B107,input_321102!A:H,8,FALSE))</f>
        <v>12901</v>
      </c>
      <c r="N107" s="63">
        <f t="shared" ca="1" si="3"/>
        <v>8.6607142857142861E-4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input_321102!A$2</f>
        <v>321102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IFERROR(VLOOKUP(E108,input_321102!L:R,7,FALSE),VLOOKUP(tables_321102!B108,input_321102!A:H,8,FALSE))</f>
        <v>98000</v>
      </c>
      <c r="N108" s="63">
        <f t="shared" ca="1" si="3"/>
        <v>6.5789473684210523E-3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input_321102!A$2</f>
        <v>321102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IFERROR(VLOOKUP(E109,input_321102!L:R,7,FALSE),VLOOKUP(tables_321102!B109,input_321102!A:H,8,FALSE))</f>
        <v>85554</v>
      </c>
      <c r="N109" s="63">
        <f t="shared" ca="1" si="3"/>
        <v>5.7434210526315791E-3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input_321102!A$2</f>
        <v>321102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IFERROR(VLOOKUP(E110,input_321102!L:R,7,FALSE),VLOOKUP(tables_321102!B110,input_321102!A:H,8,FALSE))</f>
        <v>12901</v>
      </c>
      <c r="N110" s="63">
        <f t="shared" ca="1" si="3"/>
        <v>8.6607142857142861E-4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input_321102!A$2</f>
        <v>321102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IFERROR(VLOOKUP(E111,input_321102!L:R,7,FALSE),VLOOKUP(tables_321102!B111,input_321102!A:H,8,FALSE))</f>
        <v>98000</v>
      </c>
      <c r="N111" s="63">
        <f t="shared" ca="1" si="3"/>
        <v>6.5789473684210523E-3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input_321102!A$2</f>
        <v>321102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IFERROR(VLOOKUP(E112,input_321102!L:R,7,FALSE),VLOOKUP(tables_321102!B112,input_321102!A:H,8,FALSE))</f>
        <v>85554</v>
      </c>
      <c r="N112" s="63">
        <f t="shared" ca="1" si="3"/>
        <v>5.7434210526315791E-3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input_321102!A$2</f>
        <v>321102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IFERROR(VLOOKUP(E113,input_321102!L:R,7,FALSE),VLOOKUP(tables_321102!B113,input_321102!A:H,8,FALSE))</f>
        <v>12901</v>
      </c>
      <c r="N113" s="63">
        <f t="shared" ca="1" si="3"/>
        <v>8.6607142857142861E-4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input_321102!A$2</f>
        <v>321102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IFERROR(VLOOKUP(E114,input_321102!L:R,7,FALSE),VLOOKUP(tables_321102!B114,input_321102!A:H,8,FALSE))</f>
        <v>98000</v>
      </c>
      <c r="N114" s="63">
        <f t="shared" ca="1" si="3"/>
        <v>6.5789473684210523E-3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input_321102!A$2</f>
        <v>321102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IFERROR(VLOOKUP(E115,input_321102!L:R,7,FALSE),VLOOKUP(tables_321102!B115,input_321102!A:H,8,FALSE))</f>
        <v>85554</v>
      </c>
      <c r="N115" s="63">
        <f t="shared" ca="1" si="3"/>
        <v>5.7434210526315791E-3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input_321102!A$2</f>
        <v>321102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IFERROR(VLOOKUP(E116,input_321102!L:R,7,FALSE),VLOOKUP(tables_321102!B116,input_321102!A:H,8,FALSE))</f>
        <v>12901</v>
      </c>
      <c r="N116" s="63">
        <f t="shared" ca="1" si="3"/>
        <v>8.6607142857142861E-4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input_321102!A$2</f>
        <v>321102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IFERROR(VLOOKUP(E117,input_321102!L:R,7,FALSE),VLOOKUP(tables_321102!B117,input_321102!A:H,8,FALSE))</f>
        <v>98000</v>
      </c>
      <c r="N117" s="63">
        <f t="shared" ca="1" si="3"/>
        <v>6.5789473684210523E-3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input_321102!A$2</f>
        <v>321102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IFERROR(VLOOKUP(E118,input_321102!L:R,7,FALSE),VLOOKUP(tables_321102!B118,input_321102!A:H,8,FALSE))</f>
        <v>85554</v>
      </c>
      <c r="N118" s="63">
        <f t="shared" ca="1" si="3"/>
        <v>5.7434210526315791E-3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input_321102!A$2</f>
        <v>321102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IFERROR(VLOOKUP(E119,input_321102!L:R,7,FALSE),VLOOKUP(tables_321102!B119,input_321102!A:H,8,FALSE))</f>
        <v>12901</v>
      </c>
      <c r="N119" s="63">
        <f t="shared" ca="1" si="3"/>
        <v>8.6607142857142861E-4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input_321102!A$2</f>
        <v>321102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IFERROR(VLOOKUP(E120,input_321102!L:R,7,FALSE),VLOOKUP(tables_321102!B120,input_321102!A:H,8,FALSE))</f>
        <v>98000</v>
      </c>
      <c r="N120" s="63">
        <f t="shared" ca="1" si="3"/>
        <v>6.5789473684210523E-3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input_321102!A$2</f>
        <v>321102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IFERROR(VLOOKUP(E121,input_321102!L:R,7,FALSE),VLOOKUP(tables_321102!B121,input_321102!A:H,8,FALSE))</f>
        <v>85554</v>
      </c>
      <c r="N121" s="63">
        <f t="shared" ca="1" si="3"/>
        <v>5.7434210526315791E-3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input_321102!A$2</f>
        <v>321102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IFERROR(VLOOKUP(E122,input_321102!L:R,7,FALSE),VLOOKUP(tables_321102!B122,input_321102!A:H,8,FALSE))</f>
        <v>12901</v>
      </c>
      <c r="N122" s="63">
        <f t="shared" ca="1" si="3"/>
        <v>8.6607142857142861E-4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input_321102!A$2</f>
        <v>321102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IFERROR(VLOOKUP(E123,input_321102!L:R,7,FALSE),VLOOKUP(tables_321102!B123,input_321102!A:H,8,FALSE))</f>
        <v>98000</v>
      </c>
      <c r="N123" s="63">
        <f t="shared" ca="1" si="3"/>
        <v>6.5789473684210523E-3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input_321102!A$2</f>
        <v>321102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IFERROR(VLOOKUP(E124,input_321102!L:R,7,FALSE),VLOOKUP(tables_321102!B124,input_321102!A:H,8,FALSE))</f>
        <v>85554</v>
      </c>
      <c r="N124" s="63">
        <f t="shared" ca="1" si="3"/>
        <v>5.7434210526315791E-3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input_321102!A$2</f>
        <v>321102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IFERROR(VLOOKUP(E125,input_321102!L:R,7,FALSE),VLOOKUP(tables_321102!B125,input_321102!A:H,8,FALSE))</f>
        <v>12901</v>
      </c>
      <c r="N125" s="63">
        <f t="shared" ca="1" si="3"/>
        <v>8.6607142857142861E-4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input_321102!A$2</f>
        <v>321102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IFERROR(VLOOKUP(E126,input_321102!L:R,7,FALSE),VLOOKUP(tables_321102!B126,input_321102!A:H,8,FALSE))</f>
        <v>98000</v>
      </c>
      <c r="N126" s="63">
        <f t="shared" ca="1" si="3"/>
        <v>6.5789473684210523E-3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input_321102!A$2</f>
        <v>321102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IFERROR(VLOOKUP(E127,input_321102!L:R,7,FALSE),VLOOKUP(tables_321102!B127,input_321102!A:H,8,FALSE))</f>
        <v>85554</v>
      </c>
      <c r="N127" s="63">
        <f t="shared" ca="1" si="3"/>
        <v>5.7434210526315791E-3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input_321102!A$2</f>
        <v>321102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IFERROR(VLOOKUP(E128,input_321102!L:R,7,FALSE),VLOOKUP(tables_321102!B128,input_321102!A:H,8,FALSE))</f>
        <v>12901</v>
      </c>
      <c r="N128" s="63">
        <f t="shared" ca="1" si="3"/>
        <v>8.6607142857142861E-4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input_321102!A$2</f>
        <v>321102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IFERROR(VLOOKUP(E129,input_321102!L:R,7,FALSE),VLOOKUP(tables_321102!B129,input_321102!A:H,8,FALSE))</f>
        <v>98000</v>
      </c>
      <c r="N129" s="63">
        <f t="shared" ca="1" si="3"/>
        <v>6.5789473684210523E-3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input_321102!A$2</f>
        <v>321102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IFERROR(VLOOKUP(E130,input_321102!L:R,7,FALSE),VLOOKUP(tables_321102!B130,input_321102!A:H,8,FALSE))</f>
        <v>85554</v>
      </c>
      <c r="N130" s="63">
        <f t="shared" ref="N130:N193" ca="1" si="6">M130/SUM(M:M)</f>
        <v>5.7434210526315791E-3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input_321102!A$2</f>
        <v>321102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IFERROR(VLOOKUP(E131,input_321102!L:R,7,FALSE),VLOOKUP(tables_321102!B131,input_321102!A:H,8,FALSE))</f>
        <v>12901</v>
      </c>
      <c r="N131" s="63">
        <f t="shared" ca="1" si="6"/>
        <v>8.6607142857142861E-4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input_321102!A$2</f>
        <v>321102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IFERROR(VLOOKUP(E132,input_321102!L:R,7,FALSE),VLOOKUP(tables_321102!B132,input_321102!A:H,8,FALSE))</f>
        <v>98000</v>
      </c>
      <c r="N132" s="63">
        <f t="shared" ca="1" si="6"/>
        <v>6.5789473684210523E-3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input_321102!A$2</f>
        <v>321102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IFERROR(VLOOKUP(E133,input_321102!L:R,7,FALSE),VLOOKUP(tables_321102!B133,input_321102!A:H,8,FALSE))</f>
        <v>85554</v>
      </c>
      <c r="N133" s="63">
        <f t="shared" ca="1" si="6"/>
        <v>5.7434210526315791E-3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input_321102!A$2</f>
        <v>321102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IFERROR(VLOOKUP(E134,input_321102!L:R,7,FALSE),VLOOKUP(tables_321102!B134,input_321102!A:H,8,FALSE))</f>
        <v>12901</v>
      </c>
      <c r="N134" s="63">
        <f t="shared" ca="1" si="6"/>
        <v>8.6607142857142861E-4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input_321102!A$2</f>
        <v>321102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IFERROR(VLOOKUP(E135,input_321102!L:R,7,FALSE),VLOOKUP(tables_321102!B135,input_321102!A:H,8,FALSE))</f>
        <v>98000</v>
      </c>
      <c r="N135" s="63">
        <f t="shared" ca="1" si="6"/>
        <v>6.5789473684210523E-3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input_321102!A$2</f>
        <v>321102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IFERROR(VLOOKUP(E136,input_321102!L:R,7,FALSE),VLOOKUP(tables_321102!B136,input_321102!A:H,8,FALSE))</f>
        <v>85554</v>
      </c>
      <c r="N136" s="63">
        <f t="shared" ca="1" si="6"/>
        <v>5.7434210526315791E-3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input_321102!A$2</f>
        <v>321102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IFERROR(VLOOKUP(E137,input_321102!L:R,7,FALSE),VLOOKUP(tables_321102!B137,input_321102!A:H,8,FALSE))</f>
        <v>12901</v>
      </c>
      <c r="N137" s="63">
        <f t="shared" ca="1" si="6"/>
        <v>8.6607142857142861E-4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input_321102!A$2</f>
        <v>321102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IFERROR(VLOOKUP(E138,input_321102!L:R,7,FALSE),VLOOKUP(tables_321102!B138,input_321102!A:H,8,FALSE))</f>
        <v>7182</v>
      </c>
      <c r="N138" s="63">
        <f t="shared" ca="1" si="6"/>
        <v>4.8214285714285715E-4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input_321102!A$2</f>
        <v>321102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IFERROR(VLOOKUP(E139,input_321102!L:R,7,FALSE),VLOOKUP(tables_321102!B139,input_321102!A:H,8,FALSE))</f>
        <v>798</v>
      </c>
      <c r="N139" s="63">
        <f t="shared" ca="1" si="6"/>
        <v>5.3571428571428569E-5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input_321102!A$2</f>
        <v>321102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IFERROR(VLOOKUP(E140,input_321102!L:R,7,FALSE),VLOOKUP(tables_321102!B140,input_321102!A:H,8,FALSE))</f>
        <v>7182</v>
      </c>
      <c r="N140" s="63">
        <f t="shared" ca="1" si="6"/>
        <v>4.8214285714285715E-4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input_321102!A$2</f>
        <v>321102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IFERROR(VLOOKUP(E141,input_321102!L:R,7,FALSE),VLOOKUP(tables_321102!B141,input_321102!A:H,8,FALSE))</f>
        <v>798</v>
      </c>
      <c r="N141" s="63">
        <f t="shared" ca="1" si="6"/>
        <v>5.3571428571428569E-5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input_321102!A$2</f>
        <v>321102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IFERROR(VLOOKUP(E142,input_321102!L:R,7,FALSE),VLOOKUP(tables_321102!B142,input_321102!A:H,8,FALSE))</f>
        <v>7182</v>
      </c>
      <c r="N142" s="63">
        <f t="shared" ca="1" si="6"/>
        <v>4.8214285714285715E-4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input_321102!A$2</f>
        <v>321102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IFERROR(VLOOKUP(E143,input_321102!L:R,7,FALSE),VLOOKUP(tables_321102!B143,input_321102!A:H,8,FALSE))</f>
        <v>798</v>
      </c>
      <c r="N143" s="63">
        <f t="shared" ca="1" si="6"/>
        <v>5.3571428571428569E-5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input_321102!A$2</f>
        <v>321102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IFERROR(VLOOKUP(E144,input_321102!L:R,7,FALSE),VLOOKUP(tables_321102!B144,input_321102!A:H,8,FALSE))</f>
        <v>7182</v>
      </c>
      <c r="N144" s="63">
        <f t="shared" ca="1" si="6"/>
        <v>4.8214285714285715E-4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input_321102!A$2</f>
        <v>321102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IFERROR(VLOOKUP(E145,input_321102!L:R,7,FALSE),VLOOKUP(tables_321102!B145,input_321102!A:H,8,FALSE))</f>
        <v>798</v>
      </c>
      <c r="N145" s="63">
        <f t="shared" ca="1" si="6"/>
        <v>5.3571428571428569E-5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input_321102!A$2</f>
        <v>321102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IFERROR(VLOOKUP(E146,input_321102!L:R,7,FALSE),VLOOKUP(tables_321102!B146,input_321102!A:H,8,FALSE))</f>
        <v>98000</v>
      </c>
      <c r="N146" s="63">
        <f t="shared" ca="1" si="6"/>
        <v>6.5789473684210523E-3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input_321102!A$2</f>
        <v>321102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IFERROR(VLOOKUP(E147,input_321102!L:R,7,FALSE),VLOOKUP(tables_321102!B147,input_321102!A:H,8,FALSE))</f>
        <v>85554</v>
      </c>
      <c r="N147" s="63">
        <f t="shared" ca="1" si="6"/>
        <v>5.7434210526315791E-3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input_321102!A$2</f>
        <v>321102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IFERROR(VLOOKUP(E148,input_321102!L:R,7,FALSE),VLOOKUP(tables_321102!B148,input_321102!A:H,8,FALSE))</f>
        <v>12901</v>
      </c>
      <c r="N148" s="63">
        <f t="shared" ca="1" si="6"/>
        <v>8.6607142857142861E-4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input_321102!A$2</f>
        <v>321102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IFERROR(VLOOKUP(E149,input_321102!L:R,7,FALSE),VLOOKUP(tables_321102!B149,input_321102!A:H,8,FALSE))</f>
        <v>7182</v>
      </c>
      <c r="N149" s="63">
        <f t="shared" ca="1" si="6"/>
        <v>4.8214285714285715E-4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input_321102!A$2</f>
        <v>321102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IFERROR(VLOOKUP(E150,input_321102!L:R,7,FALSE),VLOOKUP(tables_321102!B150,input_321102!A:H,8,FALSE))</f>
        <v>798</v>
      </c>
      <c r="N150" s="63">
        <f t="shared" ca="1" si="6"/>
        <v>5.3571428571428569E-5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input_321102!A$2</f>
        <v>321102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IFERROR(VLOOKUP(E151,input_321102!L:R,7,FALSE),VLOOKUP(tables_321102!B151,input_321102!A:H,8,FALSE))</f>
        <v>7182</v>
      </c>
      <c r="N151" s="63">
        <f t="shared" ca="1" si="6"/>
        <v>4.8214285714285715E-4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input_321102!A$2</f>
        <v>321102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IFERROR(VLOOKUP(E152,input_321102!L:R,7,FALSE),VLOOKUP(tables_321102!B152,input_321102!A:H,8,FALSE))</f>
        <v>798</v>
      </c>
      <c r="N152" s="63">
        <f t="shared" ca="1" si="6"/>
        <v>5.3571428571428569E-5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input_321102!A$2</f>
        <v>321102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IFERROR(VLOOKUP(E153,input_321102!L:R,7,FALSE),VLOOKUP(tables_321102!B153,input_321102!A:H,8,FALSE))</f>
        <v>98000</v>
      </c>
      <c r="N153" s="63">
        <f t="shared" ca="1" si="6"/>
        <v>6.5789473684210523E-3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input_321102!A$2</f>
        <v>321102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IFERROR(VLOOKUP(E154,input_321102!L:R,7,FALSE),VLOOKUP(tables_321102!B154,input_321102!A:H,8,FALSE))</f>
        <v>85554</v>
      </c>
      <c r="N154" s="63">
        <f t="shared" ca="1" si="6"/>
        <v>5.7434210526315791E-3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input_321102!A$2</f>
        <v>321102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IFERROR(VLOOKUP(E155,input_321102!L:R,7,FALSE),VLOOKUP(tables_321102!B155,input_321102!A:H,8,FALSE))</f>
        <v>12901</v>
      </c>
      <c r="N155" s="63">
        <f t="shared" ca="1" si="6"/>
        <v>8.6607142857142861E-4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input_321102!A$2</f>
        <v>321102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IFERROR(VLOOKUP(E156,input_321102!L:R,7,FALSE),VLOOKUP(tables_321102!B156,input_321102!A:H,8,FALSE))</f>
        <v>7182</v>
      </c>
      <c r="N156" s="63">
        <f t="shared" ca="1" si="6"/>
        <v>4.8214285714285715E-4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input_321102!A$2</f>
        <v>321102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IFERROR(VLOOKUP(E157,input_321102!L:R,7,FALSE),VLOOKUP(tables_321102!B157,input_321102!A:H,8,FALSE))</f>
        <v>798</v>
      </c>
      <c r="N157" s="63">
        <f t="shared" ca="1" si="6"/>
        <v>5.3571428571428569E-5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input_321102!A$2</f>
        <v>321102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IFERROR(VLOOKUP(E158,input_321102!L:R,7,FALSE),VLOOKUP(tables_321102!B158,input_321102!A:H,8,FALSE))</f>
        <v>98000</v>
      </c>
      <c r="N158" s="63">
        <f t="shared" ca="1" si="6"/>
        <v>6.5789473684210523E-3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input_321102!A$2</f>
        <v>321102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IFERROR(VLOOKUP(E159,input_321102!L:R,7,FALSE),VLOOKUP(tables_321102!B159,input_321102!A:H,8,FALSE))</f>
        <v>85554</v>
      </c>
      <c r="N159" s="63">
        <f t="shared" ca="1" si="6"/>
        <v>5.7434210526315791E-3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input_321102!A$2</f>
        <v>321102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IFERROR(VLOOKUP(E160,input_321102!L:R,7,FALSE),VLOOKUP(tables_321102!B160,input_321102!A:H,8,FALSE))</f>
        <v>12901</v>
      </c>
      <c r="N160" s="63">
        <f t="shared" ca="1" si="6"/>
        <v>8.6607142857142861E-4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input_321102!A$2</f>
        <v>321102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IFERROR(VLOOKUP(E161,input_321102!L:R,7,FALSE),VLOOKUP(tables_321102!B161,input_321102!A:H,8,FALSE))</f>
        <v>98000</v>
      </c>
      <c r="N161" s="63">
        <f t="shared" ca="1" si="6"/>
        <v>6.5789473684210523E-3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input_321102!A$2</f>
        <v>321102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IFERROR(VLOOKUP(E162,input_321102!L:R,7,FALSE),VLOOKUP(tables_321102!B162,input_321102!A:H,8,FALSE))</f>
        <v>85554</v>
      </c>
      <c r="N162" s="63">
        <f t="shared" ca="1" si="6"/>
        <v>5.7434210526315791E-3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input_321102!A$2</f>
        <v>321102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IFERROR(VLOOKUP(E163,input_321102!L:R,7,FALSE),VLOOKUP(tables_321102!B163,input_321102!A:H,8,FALSE))</f>
        <v>12901</v>
      </c>
      <c r="N163" s="63">
        <f t="shared" ca="1" si="6"/>
        <v>8.6607142857142861E-4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input_321102!A$2</f>
        <v>321102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IFERROR(VLOOKUP(E164,input_321102!L:R,7,FALSE),VLOOKUP(tables_321102!B164,input_321102!A:H,8,FALSE))</f>
        <v>7182</v>
      </c>
      <c r="N164" s="63">
        <f t="shared" ca="1" si="6"/>
        <v>4.8214285714285715E-4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input_321102!A$2</f>
        <v>321102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IFERROR(VLOOKUP(E165,input_321102!L:R,7,FALSE),VLOOKUP(tables_321102!B165,input_321102!A:H,8,FALSE))</f>
        <v>798</v>
      </c>
      <c r="N165" s="63">
        <f t="shared" ca="1" si="6"/>
        <v>5.3571428571428569E-5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input_321102!A$2</f>
        <v>321102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IFERROR(VLOOKUP(E166,input_321102!L:R,7,FALSE),VLOOKUP(tables_321102!B166,input_321102!A:H,8,FALSE))</f>
        <v>98000</v>
      </c>
      <c r="N166" s="63">
        <f t="shared" ca="1" si="6"/>
        <v>6.5789473684210523E-3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input_321102!A$2</f>
        <v>321102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IFERROR(VLOOKUP(E167,input_321102!L:R,7,FALSE),VLOOKUP(tables_321102!B167,input_321102!A:H,8,FALSE))</f>
        <v>85554</v>
      </c>
      <c r="N167" s="63">
        <f t="shared" ca="1" si="6"/>
        <v>5.7434210526315791E-3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input_321102!A$2</f>
        <v>321102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IFERROR(VLOOKUP(E168,input_321102!L:R,7,FALSE),VLOOKUP(tables_321102!B168,input_321102!A:H,8,FALSE))</f>
        <v>12901</v>
      </c>
      <c r="N168" s="63">
        <f t="shared" ca="1" si="6"/>
        <v>8.6607142857142861E-4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input_321102!A$2</f>
        <v>321102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IFERROR(VLOOKUP(E169,input_321102!L:R,7,FALSE),VLOOKUP(tables_321102!B169,input_321102!A:H,8,FALSE))</f>
        <v>7182</v>
      </c>
      <c r="N169" s="63">
        <f t="shared" ca="1" si="6"/>
        <v>4.8214285714285715E-4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input_321102!A$2</f>
        <v>321102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IFERROR(VLOOKUP(E170,input_321102!L:R,7,FALSE),VLOOKUP(tables_321102!B170,input_321102!A:H,8,FALSE))</f>
        <v>798</v>
      </c>
      <c r="N170" s="63">
        <f t="shared" ca="1" si="6"/>
        <v>5.3571428571428569E-5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input_321102!A$2</f>
        <v>321102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IFERROR(VLOOKUP(E171,input_321102!L:R,7,FALSE),VLOOKUP(tables_321102!B171,input_321102!A:H,8,FALSE))</f>
        <v>98000</v>
      </c>
      <c r="N171" s="63">
        <f t="shared" ca="1" si="6"/>
        <v>6.5789473684210523E-3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input_321102!A$2</f>
        <v>321102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IFERROR(VLOOKUP(E172,input_321102!L:R,7,FALSE),VLOOKUP(tables_321102!B172,input_321102!A:H,8,FALSE))</f>
        <v>85554</v>
      </c>
      <c r="N172" s="63">
        <f t="shared" ca="1" si="6"/>
        <v>5.7434210526315791E-3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input_321102!A$2</f>
        <v>321102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IFERROR(VLOOKUP(E173,input_321102!L:R,7,FALSE),VLOOKUP(tables_321102!B173,input_321102!A:H,8,FALSE))</f>
        <v>12901</v>
      </c>
      <c r="N173" s="63">
        <f t="shared" ca="1" si="6"/>
        <v>8.6607142857142861E-4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input_321102!A$2</f>
        <v>321102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IFERROR(VLOOKUP(E174,input_321102!L:R,7,FALSE),VLOOKUP(tables_321102!B174,input_321102!A:H,8,FALSE))</f>
        <v>7182</v>
      </c>
      <c r="N174" s="63">
        <f t="shared" ca="1" si="6"/>
        <v>4.8214285714285715E-4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input_321102!A$2</f>
        <v>321102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IFERROR(VLOOKUP(E175,input_321102!L:R,7,FALSE),VLOOKUP(tables_321102!B175,input_321102!A:H,8,FALSE))</f>
        <v>798</v>
      </c>
      <c r="N175" s="63">
        <f t="shared" ca="1" si="6"/>
        <v>5.3571428571428569E-5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input_321102!A$2</f>
        <v>321102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IFERROR(VLOOKUP(E176,input_321102!L:R,7,FALSE),VLOOKUP(tables_321102!B176,input_321102!A:H,8,FALSE))</f>
        <v>7182</v>
      </c>
      <c r="N176" s="63">
        <f t="shared" ca="1" si="6"/>
        <v>4.8214285714285715E-4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input_321102!A$2</f>
        <v>321102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IFERROR(VLOOKUP(E177,input_321102!L:R,7,FALSE),VLOOKUP(tables_321102!B177,input_321102!A:H,8,FALSE))</f>
        <v>798</v>
      </c>
      <c r="N177" s="63">
        <f t="shared" ca="1" si="6"/>
        <v>5.3571428571428569E-5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input_321102!A$2</f>
        <v>321102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IFERROR(VLOOKUP(E178,input_321102!L:R,7,FALSE),VLOOKUP(tables_321102!B178,input_321102!A:H,8,FALSE))</f>
        <v>98000</v>
      </c>
      <c r="N178" s="63">
        <f t="shared" ca="1" si="6"/>
        <v>6.5789473684210523E-3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input_321102!A$2</f>
        <v>321102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IFERROR(VLOOKUP(E179,input_321102!L:R,7,FALSE),VLOOKUP(tables_321102!B179,input_321102!A:H,8,FALSE))</f>
        <v>85554</v>
      </c>
      <c r="N179" s="63">
        <f t="shared" ca="1" si="6"/>
        <v>5.7434210526315791E-3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input_321102!A$2</f>
        <v>321102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IFERROR(VLOOKUP(E180,input_321102!L:R,7,FALSE),VLOOKUP(tables_321102!B180,input_321102!A:H,8,FALSE))</f>
        <v>12901</v>
      </c>
      <c r="N180" s="63">
        <f t="shared" ca="1" si="6"/>
        <v>8.6607142857142861E-4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input_321102!A$2</f>
        <v>321102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IFERROR(VLOOKUP(E181,input_321102!L:R,7,FALSE),VLOOKUP(tables_321102!B181,input_321102!A:H,8,FALSE))</f>
        <v>98000</v>
      </c>
      <c r="N181" s="63">
        <f t="shared" ca="1" si="6"/>
        <v>6.5789473684210523E-3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input_321102!A$2</f>
        <v>321102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IFERROR(VLOOKUP(E182,input_321102!L:R,7,FALSE),VLOOKUP(tables_321102!B182,input_321102!A:H,8,FALSE))</f>
        <v>85554</v>
      </c>
      <c r="N182" s="63">
        <f t="shared" ca="1" si="6"/>
        <v>5.7434210526315791E-3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input_321102!A$2</f>
        <v>321102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IFERROR(VLOOKUP(E183,input_321102!L:R,7,FALSE),VLOOKUP(tables_321102!B183,input_321102!A:H,8,FALSE))</f>
        <v>12901</v>
      </c>
      <c r="N183" s="63">
        <f t="shared" ca="1" si="6"/>
        <v>8.6607142857142861E-4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input_321102!A$2</f>
        <v>321102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IFERROR(VLOOKUP(E184,input_321102!L:R,7,FALSE),VLOOKUP(tables_321102!B184,input_321102!A:H,8,FALSE))</f>
        <v>7182</v>
      </c>
      <c r="N184" s="63">
        <f t="shared" ca="1" si="6"/>
        <v>4.8214285714285715E-4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input_321102!A$2</f>
        <v>321102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IFERROR(VLOOKUP(E185,input_321102!L:R,7,FALSE),VLOOKUP(tables_321102!B185,input_321102!A:H,8,FALSE))</f>
        <v>798</v>
      </c>
      <c r="N185" s="63">
        <f t="shared" ca="1" si="6"/>
        <v>5.3571428571428569E-5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input_321102!A$2</f>
        <v>321102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IFERROR(VLOOKUP(E186,input_321102!L:R,7,FALSE),VLOOKUP(tables_321102!B186,input_321102!A:H,8,FALSE))</f>
        <v>98000</v>
      </c>
      <c r="N186" s="63">
        <f t="shared" ca="1" si="6"/>
        <v>6.5789473684210523E-3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input_321102!A$2</f>
        <v>321102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IFERROR(VLOOKUP(E187,input_321102!L:R,7,FALSE),VLOOKUP(tables_321102!B187,input_321102!A:H,8,FALSE))</f>
        <v>85554</v>
      </c>
      <c r="N187" s="63">
        <f t="shared" ca="1" si="6"/>
        <v>5.7434210526315791E-3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input_321102!A$2</f>
        <v>321102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IFERROR(VLOOKUP(E188,input_321102!L:R,7,FALSE),VLOOKUP(tables_321102!B188,input_321102!A:H,8,FALSE))</f>
        <v>12901</v>
      </c>
      <c r="N188" s="63">
        <f t="shared" ca="1" si="6"/>
        <v>8.6607142857142861E-4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input_321102!A$2</f>
        <v>321102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IFERROR(VLOOKUP(E189,input_321102!L:R,7,FALSE),VLOOKUP(tables_321102!B189,input_321102!A:H,8,FALSE))</f>
        <v>7182</v>
      </c>
      <c r="N189" s="63">
        <f t="shared" ca="1" si="6"/>
        <v>4.8214285714285715E-4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input_321102!A$2</f>
        <v>321102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IFERROR(VLOOKUP(E190,input_321102!L:R,7,FALSE),VLOOKUP(tables_321102!B190,input_321102!A:H,8,FALSE))</f>
        <v>798</v>
      </c>
      <c r="N190" s="63">
        <f t="shared" ca="1" si="6"/>
        <v>5.3571428571428569E-5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input_321102!A$2</f>
        <v>321102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IFERROR(VLOOKUP(E191,input_321102!L:R,7,FALSE),VLOOKUP(tables_321102!B191,input_321102!A:H,8,FALSE))</f>
        <v>7182</v>
      </c>
      <c r="N191" s="63">
        <f t="shared" ca="1" si="6"/>
        <v>4.8214285714285715E-4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input_321102!A$2</f>
        <v>321102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IFERROR(VLOOKUP(E192,input_321102!L:R,7,FALSE),VLOOKUP(tables_321102!B192,input_321102!A:H,8,FALSE))</f>
        <v>798</v>
      </c>
      <c r="N192" s="63">
        <f t="shared" ca="1" si="6"/>
        <v>5.3571428571428569E-5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input_321102!A$2</f>
        <v>321102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IFERROR(VLOOKUP(E193,input_321102!L:R,7,FALSE),VLOOKUP(tables_321102!B193,input_321102!A:H,8,FALSE))</f>
        <v>98000</v>
      </c>
      <c r="N193" s="63">
        <f t="shared" ca="1" si="6"/>
        <v>6.5789473684210523E-3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input_321102!A$2</f>
        <v>321102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IFERROR(VLOOKUP(E194,input_321102!L:R,7,FALSE),VLOOKUP(tables_321102!B194,input_321102!A:H,8,FALSE))</f>
        <v>85554</v>
      </c>
      <c r="N194" s="63">
        <f t="shared" ref="N194:N257" ca="1" si="9">M194/SUM(M:M)</f>
        <v>5.7434210526315791E-3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input_321102!A$2</f>
        <v>321102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IFERROR(VLOOKUP(E195,input_321102!L:R,7,FALSE),VLOOKUP(tables_321102!B195,input_321102!A:H,8,FALSE))</f>
        <v>12901</v>
      </c>
      <c r="N195" s="63">
        <f t="shared" ca="1" si="9"/>
        <v>8.6607142857142861E-4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input_321102!A$2</f>
        <v>321102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IFERROR(VLOOKUP(E196,input_321102!L:R,7,FALSE),VLOOKUP(tables_321102!B196,input_321102!A:H,8,FALSE))</f>
        <v>7182</v>
      </c>
      <c r="N196" s="63">
        <f t="shared" ca="1" si="9"/>
        <v>4.8214285714285715E-4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input_321102!A$2</f>
        <v>321102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IFERROR(VLOOKUP(E197,input_321102!L:R,7,FALSE),VLOOKUP(tables_321102!B197,input_321102!A:H,8,FALSE))</f>
        <v>798</v>
      </c>
      <c r="N197" s="63">
        <f t="shared" ca="1" si="9"/>
        <v>5.3571428571428569E-5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input_321102!A$2</f>
        <v>321102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IFERROR(VLOOKUP(E198,input_321102!L:R,7,FALSE),VLOOKUP(tables_321102!B198,input_321102!A:H,8,FALSE))</f>
        <v>98000</v>
      </c>
      <c r="N198" s="63">
        <f t="shared" ca="1" si="9"/>
        <v>6.5789473684210523E-3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input_321102!A$2</f>
        <v>321102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IFERROR(VLOOKUP(E199,input_321102!L:R,7,FALSE),VLOOKUP(tables_321102!B199,input_321102!A:H,8,FALSE))</f>
        <v>85554</v>
      </c>
      <c r="N199" s="63">
        <f t="shared" ca="1" si="9"/>
        <v>5.7434210526315791E-3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input_321102!A$2</f>
        <v>321102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IFERROR(VLOOKUP(E200,input_321102!L:R,7,FALSE),VLOOKUP(tables_321102!B200,input_321102!A:H,8,FALSE))</f>
        <v>12901</v>
      </c>
      <c r="N200" s="63">
        <f t="shared" ca="1" si="9"/>
        <v>8.6607142857142861E-4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input_321102!A$2</f>
        <v>321102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IFERROR(VLOOKUP(E201,input_321102!L:R,7,FALSE),VLOOKUP(tables_321102!B201,input_321102!A:H,8,FALSE))</f>
        <v>7182</v>
      </c>
      <c r="N201" s="63">
        <f t="shared" ca="1" si="9"/>
        <v>4.8214285714285715E-4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input_321102!A$2</f>
        <v>321102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IFERROR(VLOOKUP(E202,input_321102!L:R,7,FALSE),VLOOKUP(tables_321102!B202,input_321102!A:H,8,FALSE))</f>
        <v>798</v>
      </c>
      <c r="N202" s="63">
        <f t="shared" ca="1" si="9"/>
        <v>5.3571428571428569E-5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input_321102!A$2</f>
        <v>321102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IFERROR(VLOOKUP(E203,input_321102!L:R,7,FALSE),VLOOKUP(tables_321102!B203,input_321102!A:H,8,FALSE))</f>
        <v>98000</v>
      </c>
      <c r="N203" s="63">
        <f t="shared" ca="1" si="9"/>
        <v>6.5789473684210523E-3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input_321102!A$2</f>
        <v>321102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IFERROR(VLOOKUP(E204,input_321102!L:R,7,FALSE),VLOOKUP(tables_321102!B204,input_321102!A:H,8,FALSE))</f>
        <v>85554</v>
      </c>
      <c r="N204" s="63">
        <f t="shared" ca="1" si="9"/>
        <v>5.7434210526315791E-3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input_321102!A$2</f>
        <v>321102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IFERROR(VLOOKUP(E205,input_321102!L:R,7,FALSE),VLOOKUP(tables_321102!B205,input_321102!A:H,8,FALSE))</f>
        <v>12901</v>
      </c>
      <c r="N205" s="63">
        <f t="shared" ca="1" si="9"/>
        <v>8.6607142857142861E-4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input_321102!A$2</f>
        <v>321102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IFERROR(VLOOKUP(E206,input_321102!L:R,7,FALSE),VLOOKUP(tables_321102!B206,input_321102!A:H,8,FALSE))</f>
        <v>7182</v>
      </c>
      <c r="N206" s="63">
        <f t="shared" ca="1" si="9"/>
        <v>4.8214285714285715E-4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input_321102!A$2</f>
        <v>321102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IFERROR(VLOOKUP(E207,input_321102!L:R,7,FALSE),VLOOKUP(tables_321102!B207,input_321102!A:H,8,FALSE))</f>
        <v>798</v>
      </c>
      <c r="N207" s="63">
        <f t="shared" ca="1" si="9"/>
        <v>5.3571428571428569E-5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input_321102!A$2</f>
        <v>321102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IFERROR(VLOOKUP(E208,input_321102!L:R,7,FALSE),VLOOKUP(tables_321102!B208,input_321102!A:H,8,FALSE))</f>
        <v>7182</v>
      </c>
      <c r="N208" s="63">
        <f t="shared" ca="1" si="9"/>
        <v>4.8214285714285715E-4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input_321102!A$2</f>
        <v>321102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IFERROR(VLOOKUP(E209,input_321102!L:R,7,FALSE),VLOOKUP(tables_321102!B209,input_321102!A:H,8,FALSE))</f>
        <v>798</v>
      </c>
      <c r="N209" s="63">
        <f t="shared" ca="1" si="9"/>
        <v>5.3571428571428569E-5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input_321102!A$2</f>
        <v>321102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IFERROR(VLOOKUP(E210,input_321102!L:R,7,FALSE),VLOOKUP(tables_321102!B210,input_321102!A:H,8,FALSE))</f>
        <v>98000</v>
      </c>
      <c r="N210" s="63">
        <f t="shared" ca="1" si="9"/>
        <v>6.5789473684210523E-3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input_321102!A$2</f>
        <v>321102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IFERROR(VLOOKUP(E211,input_321102!L:R,7,FALSE),VLOOKUP(tables_321102!B211,input_321102!A:H,8,FALSE))</f>
        <v>85554</v>
      </c>
      <c r="N211" s="63">
        <f t="shared" ca="1" si="9"/>
        <v>5.7434210526315791E-3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input_321102!A$2</f>
        <v>321102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IFERROR(VLOOKUP(E212,input_321102!L:R,7,FALSE),VLOOKUP(tables_321102!B212,input_321102!A:H,8,FALSE))</f>
        <v>12901</v>
      </c>
      <c r="N212" s="63">
        <f t="shared" ca="1" si="9"/>
        <v>8.6607142857142861E-4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input_321102!A$2</f>
        <v>321102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IFERROR(VLOOKUP(E213,input_321102!L:R,7,FALSE),VLOOKUP(tables_321102!B213,input_321102!A:H,8,FALSE))</f>
        <v>7182</v>
      </c>
      <c r="N213" s="63">
        <f t="shared" ca="1" si="9"/>
        <v>4.8214285714285715E-4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input_321102!A$2</f>
        <v>321102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IFERROR(VLOOKUP(E214,input_321102!L:R,7,FALSE),VLOOKUP(tables_321102!B214,input_321102!A:H,8,FALSE))</f>
        <v>798</v>
      </c>
      <c r="N214" s="63">
        <f t="shared" ca="1" si="9"/>
        <v>5.3571428571428569E-5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input_321102!A$2</f>
        <v>321102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IFERROR(VLOOKUP(E215,input_321102!L:R,7,FALSE),VLOOKUP(tables_321102!B215,input_321102!A:H,8,FALSE))</f>
        <v>7182</v>
      </c>
      <c r="N215" s="63">
        <f t="shared" ca="1" si="9"/>
        <v>4.8214285714285715E-4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input_321102!A$2</f>
        <v>321102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IFERROR(VLOOKUP(E216,input_321102!L:R,7,FALSE),VLOOKUP(tables_321102!B216,input_321102!A:H,8,FALSE))</f>
        <v>798</v>
      </c>
      <c r="N216" s="63">
        <f t="shared" ca="1" si="9"/>
        <v>5.3571428571428569E-5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input_321102!A$2</f>
        <v>321102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IFERROR(VLOOKUP(E217,input_321102!L:R,7,FALSE),VLOOKUP(tables_321102!B217,input_321102!A:H,8,FALSE))</f>
        <v>98000</v>
      </c>
      <c r="N217" s="63">
        <f t="shared" ca="1" si="9"/>
        <v>6.5789473684210523E-3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input_321102!A$2</f>
        <v>321102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IFERROR(VLOOKUP(E218,input_321102!L:R,7,FALSE),VLOOKUP(tables_321102!B218,input_321102!A:H,8,FALSE))</f>
        <v>85554</v>
      </c>
      <c r="N218" s="63">
        <f t="shared" ca="1" si="9"/>
        <v>5.7434210526315791E-3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input_321102!A$2</f>
        <v>321102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IFERROR(VLOOKUP(E219,input_321102!L:R,7,FALSE),VLOOKUP(tables_321102!B219,input_321102!A:H,8,FALSE))</f>
        <v>12901</v>
      </c>
      <c r="N219" s="63">
        <f t="shared" ca="1" si="9"/>
        <v>8.6607142857142861E-4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input_321102!A$2</f>
        <v>321102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IFERROR(VLOOKUP(E220,input_321102!L:R,7,FALSE),VLOOKUP(tables_321102!B220,input_321102!A:H,8,FALSE))</f>
        <v>98000</v>
      </c>
      <c r="N220" s="63">
        <f t="shared" ca="1" si="9"/>
        <v>6.5789473684210523E-3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input_321102!A$2</f>
        <v>321102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IFERROR(VLOOKUP(E221,input_321102!L:R,7,FALSE),VLOOKUP(tables_321102!B221,input_321102!A:H,8,FALSE))</f>
        <v>85554</v>
      </c>
      <c r="N221" s="63">
        <f t="shared" ca="1" si="9"/>
        <v>5.7434210526315791E-3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input_321102!A$2</f>
        <v>321102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IFERROR(VLOOKUP(E222,input_321102!L:R,7,FALSE),VLOOKUP(tables_321102!B222,input_321102!A:H,8,FALSE))</f>
        <v>12901</v>
      </c>
      <c r="N222" s="63">
        <f t="shared" ca="1" si="9"/>
        <v>8.6607142857142861E-4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input_321102!A$2</f>
        <v>321102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IFERROR(VLOOKUP(E223,input_321102!L:R,7,FALSE),VLOOKUP(tables_321102!B223,input_321102!A:H,8,FALSE))</f>
        <v>7182</v>
      </c>
      <c r="N223" s="63">
        <f t="shared" ca="1" si="9"/>
        <v>4.8214285714285715E-4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input_321102!A$2</f>
        <v>321102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IFERROR(VLOOKUP(E224,input_321102!L:R,7,FALSE),VLOOKUP(tables_321102!B224,input_321102!A:H,8,FALSE))</f>
        <v>798</v>
      </c>
      <c r="N224" s="63">
        <f t="shared" ca="1" si="9"/>
        <v>5.3571428571428569E-5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input_321102!A$2</f>
        <v>321102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IFERROR(VLOOKUP(E225,input_321102!L:R,7,FALSE),VLOOKUP(tables_321102!B225,input_321102!A:H,8,FALSE))</f>
        <v>98000</v>
      </c>
      <c r="N225" s="63">
        <f t="shared" ca="1" si="9"/>
        <v>6.5789473684210523E-3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input_321102!A$2</f>
        <v>321102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IFERROR(VLOOKUP(E226,input_321102!L:R,7,FALSE),VLOOKUP(tables_321102!B226,input_321102!A:H,8,FALSE))</f>
        <v>85554</v>
      </c>
      <c r="N226" s="63">
        <f t="shared" ca="1" si="9"/>
        <v>5.7434210526315791E-3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input_321102!A$2</f>
        <v>321102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IFERROR(VLOOKUP(E227,input_321102!L:R,7,FALSE),VLOOKUP(tables_321102!B227,input_321102!A:H,8,FALSE))</f>
        <v>12901</v>
      </c>
      <c r="N227" s="63">
        <f t="shared" ca="1" si="9"/>
        <v>8.6607142857142861E-4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input_321102!A$2</f>
        <v>321102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IFERROR(VLOOKUP(E228,input_321102!L:R,7,FALSE),VLOOKUP(tables_321102!B228,input_321102!A:H,8,FALSE))</f>
        <v>98000</v>
      </c>
      <c r="N228" s="63">
        <f t="shared" ca="1" si="9"/>
        <v>6.5789473684210523E-3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input_321102!A$2</f>
        <v>321102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IFERROR(VLOOKUP(E229,input_321102!L:R,7,FALSE),VLOOKUP(tables_321102!B229,input_321102!A:H,8,FALSE))</f>
        <v>85554</v>
      </c>
      <c r="N229" s="63">
        <f t="shared" ca="1" si="9"/>
        <v>5.7434210526315791E-3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input_321102!A$2</f>
        <v>321102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IFERROR(VLOOKUP(E230,input_321102!L:R,7,FALSE),VLOOKUP(tables_321102!B230,input_321102!A:H,8,FALSE))</f>
        <v>12901</v>
      </c>
      <c r="N230" s="63">
        <f t="shared" ca="1" si="9"/>
        <v>8.6607142857142861E-4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input_321102!A$2</f>
        <v>321102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IFERROR(VLOOKUP(E231,input_321102!L:R,7,FALSE),VLOOKUP(tables_321102!B231,input_321102!A:H,8,FALSE))</f>
        <v>7182</v>
      </c>
      <c r="N231" s="63">
        <f t="shared" ca="1" si="9"/>
        <v>4.8214285714285715E-4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input_321102!A$2</f>
        <v>321102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IFERROR(VLOOKUP(E232,input_321102!L:R,7,FALSE),VLOOKUP(tables_321102!B232,input_321102!A:H,8,FALSE))</f>
        <v>798</v>
      </c>
      <c r="N232" s="63">
        <f t="shared" ca="1" si="9"/>
        <v>5.3571428571428569E-5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input_321102!A$2</f>
        <v>321102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IFERROR(VLOOKUP(E233,input_321102!L:R,7,FALSE),VLOOKUP(tables_321102!B233,input_321102!A:H,8,FALSE))</f>
        <v>98000</v>
      </c>
      <c r="N233" s="63">
        <f t="shared" ca="1" si="9"/>
        <v>6.5789473684210523E-3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input_321102!A$2</f>
        <v>321102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IFERROR(VLOOKUP(E234,input_321102!L:R,7,FALSE),VLOOKUP(tables_321102!B234,input_321102!A:H,8,FALSE))</f>
        <v>85554</v>
      </c>
      <c r="N234" s="63">
        <f t="shared" ca="1" si="9"/>
        <v>5.7434210526315791E-3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input_321102!A$2</f>
        <v>321102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IFERROR(VLOOKUP(E235,input_321102!L:R,7,FALSE),VLOOKUP(tables_321102!B235,input_321102!A:H,8,FALSE))</f>
        <v>12901</v>
      </c>
      <c r="N235" s="63">
        <f t="shared" ca="1" si="9"/>
        <v>8.6607142857142861E-4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input_321102!A$2</f>
        <v>321102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IFERROR(VLOOKUP(E236,input_321102!L:R,7,FALSE),VLOOKUP(tables_321102!B236,input_321102!A:H,8,FALSE))</f>
        <v>7182</v>
      </c>
      <c r="N236" s="63">
        <f t="shared" ca="1" si="9"/>
        <v>4.8214285714285715E-4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input_321102!A$2</f>
        <v>321102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IFERROR(VLOOKUP(E237,input_321102!L:R,7,FALSE),VLOOKUP(tables_321102!B237,input_321102!A:H,8,FALSE))</f>
        <v>798</v>
      </c>
      <c r="N237" s="63">
        <f t="shared" ca="1" si="9"/>
        <v>5.3571428571428569E-5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input_321102!A$2</f>
        <v>321102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IFERROR(VLOOKUP(E238,input_321102!L:R,7,FALSE),VLOOKUP(tables_321102!B238,input_321102!A:H,8,FALSE))</f>
        <v>7182</v>
      </c>
      <c r="N238" s="63">
        <f t="shared" ca="1" si="9"/>
        <v>4.8214285714285715E-4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input_321102!A$2</f>
        <v>321102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IFERROR(VLOOKUP(E239,input_321102!L:R,7,FALSE),VLOOKUP(tables_321102!B239,input_321102!A:H,8,FALSE))</f>
        <v>798</v>
      </c>
      <c r="N239" s="63">
        <f t="shared" ca="1" si="9"/>
        <v>5.3571428571428569E-5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input_321102!A$2</f>
        <v>321102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IFERROR(VLOOKUP(E240,input_321102!L:R,7,FALSE),VLOOKUP(tables_321102!B240,input_321102!A:H,8,FALSE))</f>
        <v>98000</v>
      </c>
      <c r="N240" s="63">
        <f t="shared" ca="1" si="9"/>
        <v>6.5789473684210523E-3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input_321102!A$2</f>
        <v>321102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IFERROR(VLOOKUP(E241,input_321102!L:R,7,FALSE),VLOOKUP(tables_321102!B241,input_321102!A:H,8,FALSE))</f>
        <v>85554</v>
      </c>
      <c r="N241" s="63">
        <f t="shared" ca="1" si="9"/>
        <v>5.7434210526315791E-3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input_321102!A$2</f>
        <v>321102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IFERROR(VLOOKUP(E242,input_321102!L:R,7,FALSE),VLOOKUP(tables_321102!B242,input_321102!A:H,8,FALSE))</f>
        <v>12901</v>
      </c>
      <c r="N242" s="63">
        <f t="shared" ca="1" si="9"/>
        <v>8.6607142857142861E-4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input_321102!A$2</f>
        <v>321102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IFERROR(VLOOKUP(E243,input_321102!L:R,7,FALSE),VLOOKUP(tables_321102!B243,input_321102!A:H,8,FALSE))</f>
        <v>98000</v>
      </c>
      <c r="N243" s="63">
        <f t="shared" ca="1" si="9"/>
        <v>6.5789473684210523E-3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input_321102!A$2</f>
        <v>321102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IFERROR(VLOOKUP(E244,input_321102!L:R,7,FALSE),VLOOKUP(tables_321102!B244,input_321102!A:H,8,FALSE))</f>
        <v>85554</v>
      </c>
      <c r="N244" s="63">
        <f t="shared" ca="1" si="9"/>
        <v>5.7434210526315791E-3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input_321102!A$2</f>
        <v>321102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IFERROR(VLOOKUP(E245,input_321102!L:R,7,FALSE),VLOOKUP(tables_321102!B245,input_321102!A:H,8,FALSE))</f>
        <v>12901</v>
      </c>
      <c r="N245" s="63">
        <f t="shared" ca="1" si="9"/>
        <v>8.6607142857142861E-4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input_321102!A$2</f>
        <v>321102</v>
      </c>
      <c r="B246" s="7" t="str">
        <f t="shared" si="10"/>
        <v>Premium3</v>
      </c>
      <c r="C246" s="7" t="str">
        <f t="shared" si="11"/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IFERROR(VLOOKUP(E246,input_321102!L:R,7,FALSE),VLOOKUP(tables_321102!B246,input_321102!A:H,8,FALSE))</f>
        <v>98000</v>
      </c>
      <c r="N246" s="63">
        <f t="shared" ca="1" si="9"/>
        <v>6.5789473684210523E-3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input_321102!A$2</f>
        <v>321102</v>
      </c>
      <c r="B247" s="7" t="str">
        <f t="shared" si="10"/>
        <v>Premium4</v>
      </c>
      <c r="C247" s="7" t="str">
        <f t="shared" si="11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IFERROR(VLOOKUP(E247,input_321102!L:R,7,FALSE),VLOOKUP(tables_321102!B247,input_321102!A:H,8,FALSE))</f>
        <v>85554</v>
      </c>
      <c r="N247" s="63">
        <f t="shared" ca="1" si="9"/>
        <v>5.7434210526315791E-3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input_321102!A$2</f>
        <v>321102</v>
      </c>
      <c r="B248" s="7" t="str">
        <f t="shared" si="10"/>
        <v>Premium5</v>
      </c>
      <c r="C248" s="7" t="str">
        <f t="shared" si="11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IFERROR(VLOOKUP(E248,input_321102!L:R,7,FALSE),VLOOKUP(tables_321102!B248,input_321102!A:H,8,FALSE))</f>
        <v>12901</v>
      </c>
      <c r="N248" s="63">
        <f t="shared" ca="1" si="9"/>
        <v>8.6607142857142861E-4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input_321102!A$2</f>
        <v>321102</v>
      </c>
      <c r="B249" s="7" t="str">
        <f t="shared" si="10"/>
        <v>Premium3</v>
      </c>
      <c r="C249" s="7" t="str">
        <f t="shared" si="11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IFERROR(VLOOKUP(E249,input_321102!L:R,7,FALSE),VLOOKUP(tables_321102!B249,input_321102!A:H,8,FALSE))</f>
        <v>98000</v>
      </c>
      <c r="N249" s="63">
        <f t="shared" ca="1" si="9"/>
        <v>6.5789473684210523E-3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input_321102!A$2</f>
        <v>321102</v>
      </c>
      <c r="B250" s="7" t="str">
        <f t="shared" si="10"/>
        <v>Premium4</v>
      </c>
      <c r="C250" s="7" t="str">
        <f t="shared" si="11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IFERROR(VLOOKUP(E250,input_321102!L:R,7,FALSE),VLOOKUP(tables_321102!B250,input_321102!A:H,8,FALSE))</f>
        <v>85554</v>
      </c>
      <c r="N250" s="63">
        <f t="shared" ca="1" si="9"/>
        <v>5.7434210526315791E-3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input_321102!A$2</f>
        <v>321102</v>
      </c>
      <c r="B251" s="7" t="str">
        <f t="shared" si="10"/>
        <v>Premium5</v>
      </c>
      <c r="C251" s="7" t="str">
        <f t="shared" si="11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IFERROR(VLOOKUP(E251,input_321102!L:R,7,FALSE),VLOOKUP(tables_321102!B251,input_321102!A:H,8,FALSE))</f>
        <v>12901</v>
      </c>
      <c r="N251" s="63">
        <f t="shared" ca="1" si="9"/>
        <v>8.6607142857142861E-4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input_321102!A$2</f>
        <v>321102</v>
      </c>
      <c r="B252" s="7" t="str">
        <f t="shared" si="10"/>
        <v>PremiumSS4</v>
      </c>
      <c r="C252" s="7" t="str">
        <f t="shared" si="11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IFERROR(VLOOKUP(E252,input_321102!L:R,7,FALSE),VLOOKUP(tables_321102!B252,input_321102!A:H,8,FALSE))</f>
        <v>7182</v>
      </c>
      <c r="N252" s="63">
        <f t="shared" ca="1" si="9"/>
        <v>4.8214285714285715E-4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input_321102!A$2</f>
        <v>321102</v>
      </c>
      <c r="B253" s="7" t="str">
        <f t="shared" si="10"/>
        <v>PremiumSS5</v>
      </c>
      <c r="C253" s="7" t="str">
        <f t="shared" si="11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IFERROR(VLOOKUP(E253,input_321102!L:R,7,FALSE),VLOOKUP(tables_321102!B253,input_321102!A:H,8,FALSE))</f>
        <v>798</v>
      </c>
      <c r="N253" s="63">
        <f t="shared" ca="1" si="9"/>
        <v>5.3571428571428569E-5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input_321102!A$2</f>
        <v>321102</v>
      </c>
      <c r="B254" s="7" t="str">
        <f t="shared" si="10"/>
        <v>PremiumSS4</v>
      </c>
      <c r="C254" s="7" t="str">
        <f t="shared" si="11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IFERROR(VLOOKUP(E254,input_321102!L:R,7,FALSE),VLOOKUP(tables_321102!B254,input_321102!A:H,8,FALSE))</f>
        <v>7182</v>
      </c>
      <c r="N254" s="63">
        <f t="shared" ca="1" si="9"/>
        <v>4.8214285714285715E-4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input_321102!A$2</f>
        <v>321102</v>
      </c>
      <c r="B255" s="7" t="str">
        <f t="shared" si="10"/>
        <v>PremiumSS5</v>
      </c>
      <c r="C255" s="7" t="str">
        <f t="shared" si="11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IFERROR(VLOOKUP(E255,input_321102!L:R,7,FALSE),VLOOKUP(tables_321102!B255,input_321102!A:H,8,FALSE))</f>
        <v>798</v>
      </c>
      <c r="N255" s="63">
        <f t="shared" ca="1" si="9"/>
        <v>5.3571428571428569E-5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input_321102!A$2</f>
        <v>321102</v>
      </c>
      <c r="B256" s="7" t="str">
        <f t="shared" si="10"/>
        <v>PremiumSS4</v>
      </c>
      <c r="C256" s="7" t="str">
        <f t="shared" si="11"/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IFERROR(VLOOKUP(E256,input_321102!L:R,7,FALSE),VLOOKUP(tables_321102!B256,input_321102!A:H,8,FALSE))</f>
        <v>7182</v>
      </c>
      <c r="N256" s="63">
        <f t="shared" ca="1" si="9"/>
        <v>4.8214285714285715E-4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input_321102!A$2</f>
        <v>321102</v>
      </c>
      <c r="B257" s="7" t="str">
        <f t="shared" si="10"/>
        <v>PremiumSS5</v>
      </c>
      <c r="C257" s="7" t="str">
        <f t="shared" si="11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IFERROR(VLOOKUP(E257,input_321102!L:R,7,FALSE),VLOOKUP(tables_321102!B257,input_321102!A:H,8,FALSE))</f>
        <v>798</v>
      </c>
      <c r="N257" s="63">
        <f t="shared" ca="1" si="9"/>
        <v>5.3571428571428569E-5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input_321102!A$2</f>
        <v>321102</v>
      </c>
      <c r="B258" s="7" t="str">
        <f t="shared" si="10"/>
        <v>PremiumSS4</v>
      </c>
      <c r="C258" s="7" t="str">
        <f t="shared" si="11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IFERROR(VLOOKUP(E258,input_321102!L:R,7,FALSE),VLOOKUP(tables_321102!B258,input_321102!A:H,8,FALSE))</f>
        <v>7182</v>
      </c>
      <c r="N258" s="63">
        <f t="shared" ref="N258:N265" ca="1" si="12">M258/SUM(M:M)</f>
        <v>4.8214285714285715E-4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input_321102!A$2</f>
        <v>321102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IFERROR(VLOOKUP(E259,input_321102!L:R,7,FALSE),VLOOKUP(tables_321102!B259,input_321102!A:H,8,FALSE))</f>
        <v>798</v>
      </c>
      <c r="N259" s="63">
        <f t="shared" ca="1" si="12"/>
        <v>5.3571428571428569E-5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input_321102!A$2</f>
        <v>321102</v>
      </c>
      <c r="B260" s="7" t="str">
        <f t="shared" si="13"/>
        <v>Premium3</v>
      </c>
      <c r="C260" s="7" t="str">
        <f t="shared" si="14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IFERROR(VLOOKUP(E260,input_321102!L:R,7,FALSE),VLOOKUP(tables_321102!B260,input_321102!A:H,8,FALSE))</f>
        <v>98000</v>
      </c>
      <c r="N260" s="63">
        <f t="shared" ca="1" si="12"/>
        <v>6.5789473684210523E-3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input_321102!A$2</f>
        <v>321102</v>
      </c>
      <c r="B261" s="7" t="str">
        <f t="shared" si="13"/>
        <v>Premium4</v>
      </c>
      <c r="C261" s="7" t="str">
        <f t="shared" si="14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IFERROR(VLOOKUP(E261,input_321102!L:R,7,FALSE),VLOOKUP(tables_321102!B261,input_321102!A:H,8,FALSE))</f>
        <v>85554</v>
      </c>
      <c r="N261" s="63">
        <f t="shared" ca="1" si="12"/>
        <v>5.7434210526315791E-3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input_321102!A$2</f>
        <v>321102</v>
      </c>
      <c r="B262" s="7" t="str">
        <f t="shared" si="13"/>
        <v>Premium5</v>
      </c>
      <c r="C262" s="7" t="str">
        <f t="shared" si="14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IFERROR(VLOOKUP(E262,input_321102!L:R,7,FALSE),VLOOKUP(tables_321102!B262,input_321102!A:H,8,FALSE))</f>
        <v>12901</v>
      </c>
      <c r="N262" s="63">
        <f t="shared" ca="1" si="12"/>
        <v>8.6607142857142861E-4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input_321102!A$2</f>
        <v>321102</v>
      </c>
      <c r="B263" s="7" t="str">
        <f t="shared" si="13"/>
        <v>Premium3</v>
      </c>
      <c r="C263" s="7" t="str">
        <f t="shared" si="14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IFERROR(VLOOKUP(E263,input_321102!L:R,7,FALSE),VLOOKUP(tables_321102!B263,input_321102!A:H,8,FALSE))</f>
        <v>98000</v>
      </c>
      <c r="N263" s="63">
        <f t="shared" ca="1" si="12"/>
        <v>6.5789473684210523E-3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input_321102!A$2</f>
        <v>321102</v>
      </c>
      <c r="B264" s="7" t="str">
        <f t="shared" si="13"/>
        <v>Premium4</v>
      </c>
      <c r="C264" s="7" t="str">
        <f t="shared" si="14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IFERROR(VLOOKUP(E264,input_321102!L:R,7,FALSE),VLOOKUP(tables_321102!B264,input_321102!A:H,8,FALSE))</f>
        <v>85554</v>
      </c>
      <c r="N264" s="63">
        <f t="shared" ca="1" si="12"/>
        <v>5.7434210526315791E-3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input_321102!A$2</f>
        <v>321102</v>
      </c>
      <c r="B265" s="7" t="str">
        <f t="shared" si="13"/>
        <v>Premium5</v>
      </c>
      <c r="C265" s="7" t="str">
        <f t="shared" si="14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IFERROR(VLOOKUP(E265,input_321102!L:R,7,FALSE),VLOOKUP(tables_321102!B265,input_321102!A:H,8,FALSE))</f>
        <v>12901</v>
      </c>
      <c r="N265" s="63">
        <f t="shared" ca="1" si="12"/>
        <v>8.6607142857142861E-4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5"/>
  </sheetPr>
  <dimension ref="A1:R43"/>
  <sheetViews>
    <sheetView tabSelected="1" workbookViewId="0">
      <selection activeCell="H34" sqref="H34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321103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0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0.95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0.05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0.98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88">
        <v>0.02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v>76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0.93199999999999994</v>
      </c>
      <c r="C18" s="65">
        <f t="shared" si="3"/>
        <v>0</v>
      </c>
      <c r="D18" s="58">
        <f t="shared" si="4"/>
        <v>0.93199999999999994</v>
      </c>
      <c r="E18">
        <v>76</v>
      </c>
      <c r="F18" s="60">
        <f t="shared" si="5"/>
        <v>1.2263157894736842E-2</v>
      </c>
      <c r="G18">
        <f t="shared" si="6"/>
        <v>13883072</v>
      </c>
      <c r="H18">
        <f t="shared" si="7"/>
        <v>182672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f>B11*0.9</f>
        <v>1.8000000000000002E-2</v>
      </c>
      <c r="C19" s="65">
        <f t="shared" si="3"/>
        <v>0</v>
      </c>
      <c r="D19" s="58">
        <f t="shared" si="4"/>
        <v>1.8000000000000002E-2</v>
      </c>
      <c r="E19">
        <v>28</v>
      </c>
      <c r="F19" s="60">
        <f t="shared" si="5"/>
        <v>6.4285714285714293E-4</v>
      </c>
      <c r="G19">
        <f t="shared" si="6"/>
        <v>268128.00000000006</v>
      </c>
      <c r="H19">
        <f t="shared" si="7"/>
        <v>9576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4.8000000000000001E-2</v>
      </c>
      <c r="C21" s="65">
        <f t="shared" si="3"/>
        <v>0</v>
      </c>
      <c r="D21" s="58">
        <f t="shared" si="4"/>
        <v>4.8000000000000001E-2</v>
      </c>
      <c r="E21">
        <v>56</v>
      </c>
      <c r="F21" s="60">
        <f t="shared" si="5"/>
        <v>8.5714285714285721E-4</v>
      </c>
      <c r="G21">
        <f t="shared" si="6"/>
        <v>715008</v>
      </c>
      <c r="H21">
        <f t="shared" si="7"/>
        <v>12768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f>B11*0.1</f>
        <v>2E-3</v>
      </c>
      <c r="C22" s="65">
        <f t="shared" si="3"/>
        <v>0</v>
      </c>
      <c r="D22" s="58">
        <f t="shared" si="4"/>
        <v>2E-3</v>
      </c>
      <c r="E22">
        <v>28</v>
      </c>
      <c r="F22" s="60">
        <f t="shared" si="5"/>
        <v>7.1428571428571434E-5</v>
      </c>
      <c r="G22">
        <f t="shared" si="6"/>
        <v>29792</v>
      </c>
      <c r="H22">
        <f t="shared" si="7"/>
        <v>1064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28*56*76*125</f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SUMIF(tables_321103!B:B,input_321103!A36,tables_321103!M:M)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SUMIF(tables_321103!B:B,input_321103!A37,tables_321103!M:M)</f>
        <v>13883072</v>
      </c>
      <c r="C37" s="72">
        <f t="shared" ca="1" si="10"/>
        <v>0.93200000000000005</v>
      </c>
      <c r="E37">
        <v>4</v>
      </c>
      <c r="F37" s="73">
        <f ca="1">SUM(C37:C39)</f>
        <v>0.95000000000000007</v>
      </c>
    </row>
    <row r="38" spans="1:6">
      <c r="A38" s="47" t="s">
        <v>132</v>
      </c>
      <c r="B38">
        <f ca="1">SUMIF(tables_321103!B:B,input_321103!A38,tables_321103!M:M)</f>
        <v>268128</v>
      </c>
      <c r="C38" s="72">
        <f t="shared" ca="1" si="10"/>
        <v>1.7999999999999999E-2</v>
      </c>
      <c r="E38">
        <v>5</v>
      </c>
      <c r="F38" s="73">
        <f ca="1">SUM(C40:C42)</f>
        <v>0.05</v>
      </c>
    </row>
    <row r="39" spans="1:6">
      <c r="A39" s="47" t="s">
        <v>129</v>
      </c>
      <c r="B39">
        <f>SUMIF(tables_321103!B:B,input_321103!A39,tables_321103!M:M)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SUMIF(tables_321103!B:B,input_321103!A40,tables_321103!M:M)</f>
        <v>715008</v>
      </c>
      <c r="C40" s="72">
        <f t="shared" ca="1" si="10"/>
        <v>4.8000000000000001E-2</v>
      </c>
      <c r="E40" t="s">
        <v>68</v>
      </c>
    </row>
    <row r="41" spans="1:6">
      <c r="A41" s="47" t="s">
        <v>134</v>
      </c>
      <c r="B41">
        <f ca="1">SUMIF(tables_321103!B:B,input_321103!A41,tables_321103!M:M)</f>
        <v>29792</v>
      </c>
      <c r="C41" s="72">
        <f t="shared" ca="1" si="10"/>
        <v>2E-3</v>
      </c>
      <c r="E41" t="s">
        <v>121</v>
      </c>
      <c r="F41" s="73">
        <f ca="1">C36+C37+C40</f>
        <v>0.98000000000000009</v>
      </c>
    </row>
    <row r="42" spans="1:6">
      <c r="A42" s="47" t="s">
        <v>135</v>
      </c>
      <c r="B42">
        <f>SUMIF(tables_321103!B:B,input_321103!A42,tables_321103!M:M)</f>
        <v>0</v>
      </c>
      <c r="C42" s="72">
        <f t="shared" ca="1" si="10"/>
        <v>0</v>
      </c>
      <c r="E42" t="s">
        <v>122</v>
      </c>
      <c r="F42" s="73">
        <f ca="1">C38+C41</f>
        <v>1.9999999999999997E-2</v>
      </c>
    </row>
    <row r="43" spans="1:6">
      <c r="A43" s="55" t="s">
        <v>74</v>
      </c>
      <c r="B43">
        <f ca="1">SUM(B36:B42)</f>
        <v>14896000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90" activePane="bottomLeft" state="frozen"/>
      <selection activeCell="J263" sqref="J263"/>
      <selection pane="bottomLeft" activeCell="G178" sqref="G178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input_321103!A$2</f>
        <v>321103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IFERROR(VLOOKUP(E2,input_321103!L:R,7,FALSE),VLOOKUP(tables_321103!B2,input_321103!A:H,8,FALSE))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input_321103!A$2</f>
        <v>321103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IFERROR(VLOOKUP(E3,input_321103!L:R,7,FALSE),VLOOKUP(tables_321103!B3,input_321103!A:H,8,FALSE))</f>
        <v>182672</v>
      </c>
      <c r="N3" s="63">
        <f t="shared" ca="1" si="0"/>
        <v>1.2263157894736842E-2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input_321103!A$2</f>
        <v>321103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IFERROR(VLOOKUP(E4,input_321103!L:R,7,FALSE),VLOOKUP(tables_321103!B4,input_321103!A:H,8,FALSE))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input_321103!A$2</f>
        <v>321103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IFERROR(VLOOKUP(E5,input_321103!L:R,7,FALSE),VLOOKUP(tables_321103!B5,input_321103!A:H,8,FALSE))</f>
        <v>182672</v>
      </c>
      <c r="N5" s="63">
        <f t="shared" ca="1" si="0"/>
        <v>1.2263157894736842E-2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input_321103!A$2</f>
        <v>321103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IFERROR(VLOOKUP(E6,input_321103!L:R,7,FALSE),VLOOKUP(tables_321103!B6,input_321103!A:H,8,FALSE))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input_321103!A$2</f>
        <v>321103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IFERROR(VLOOKUP(E7,input_321103!L:R,7,FALSE),VLOOKUP(tables_321103!B7,input_321103!A:H,8,FALSE))</f>
        <v>182672</v>
      </c>
      <c r="N7" s="63">
        <f t="shared" ca="1" si="0"/>
        <v>1.2263157894736842E-2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input_321103!A$2</f>
        <v>321103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IFERROR(VLOOKUP(E8,input_321103!L:R,7,FALSE),VLOOKUP(tables_321103!B8,input_321103!A:H,8,FALSE))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input_321103!A$2</f>
        <v>321103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IFERROR(VLOOKUP(E9,input_321103!L:R,7,FALSE),VLOOKUP(tables_321103!B9,input_321103!A:H,8,FALSE))</f>
        <v>182672</v>
      </c>
      <c r="N9" s="63">
        <f t="shared" ca="1" si="0"/>
        <v>1.2263157894736842E-2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input_321103!A$2</f>
        <v>321103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IFERROR(VLOOKUP(E10,input_321103!L:R,7,FALSE),VLOOKUP(tables_321103!B10,input_321103!A:H,8,FALSE))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input_321103!A$2</f>
        <v>321103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IFERROR(VLOOKUP(E11,input_321103!L:R,7,FALSE),VLOOKUP(tables_321103!B11,input_321103!A:H,8,FALSE))</f>
        <v>182672</v>
      </c>
      <c r="N11" s="63">
        <f t="shared" ca="1" si="0"/>
        <v>1.2263157894736842E-2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input_321103!A$2</f>
        <v>321103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IFERROR(VLOOKUP(E12,input_321103!L:R,7,FALSE),VLOOKUP(tables_321103!B12,input_321103!A:H,8,FALSE))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input_321103!A$2</f>
        <v>321103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IFERROR(VLOOKUP(E13,input_321103!L:R,7,FALSE),VLOOKUP(tables_321103!B13,input_321103!A:H,8,FALSE))</f>
        <v>182672</v>
      </c>
      <c r="N13" s="63">
        <f t="shared" ca="1" si="0"/>
        <v>1.2263157894736842E-2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input_321103!A$2</f>
        <v>321103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IFERROR(VLOOKUP(E14,input_321103!L:R,7,FALSE),VLOOKUP(tables_321103!B14,input_321103!A:H,8,FALSE))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input_321103!A$2</f>
        <v>321103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IFERROR(VLOOKUP(E15,input_321103!L:R,7,FALSE),VLOOKUP(tables_321103!B15,input_321103!A:H,8,FALSE))</f>
        <v>182672</v>
      </c>
      <c r="N15" s="63">
        <f t="shared" ca="1" si="0"/>
        <v>1.2263157894736842E-2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input_321103!A$2</f>
        <v>321103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IFERROR(VLOOKUP(E16,input_321103!L:R,7,FALSE),VLOOKUP(tables_321103!B16,input_321103!A:H,8,FALSE))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input_321103!A$2</f>
        <v>321103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IFERROR(VLOOKUP(E17,input_321103!L:R,7,FALSE),VLOOKUP(tables_321103!B17,input_321103!A:H,8,FALSE))</f>
        <v>182672</v>
      </c>
      <c r="N17" s="63">
        <f t="shared" ca="1" si="0"/>
        <v>1.2263157894736842E-2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input_321103!A$2</f>
        <v>321103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IFERROR(VLOOKUP(E18,input_321103!L:R,7,FALSE),VLOOKUP(tables_321103!B18,input_321103!A:H,8,FALSE))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input_321103!A$2</f>
        <v>321103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IFERROR(VLOOKUP(E19,input_321103!L:R,7,FALSE),VLOOKUP(tables_321103!B19,input_321103!A:H,8,FALSE))</f>
        <v>182672</v>
      </c>
      <c r="N19" s="63">
        <f t="shared" ca="1" si="0"/>
        <v>1.2263157894736842E-2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input_321103!A$2</f>
        <v>321103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IFERROR(VLOOKUP(E20,input_321103!L:R,7,FALSE),VLOOKUP(tables_321103!B20,input_321103!A:H,8,FALSE))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input_321103!A$2</f>
        <v>321103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IFERROR(VLOOKUP(E21,input_321103!L:R,7,FALSE),VLOOKUP(tables_321103!B21,input_321103!A:H,8,FALSE))</f>
        <v>182672</v>
      </c>
      <c r="N21" s="63">
        <f t="shared" ca="1" si="0"/>
        <v>1.2263157894736842E-2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input_321103!A$2</f>
        <v>321103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IFERROR(VLOOKUP(E22,input_321103!L:R,7,FALSE),VLOOKUP(tables_321103!B22,input_321103!A:H,8,FALSE))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input_321103!A$2</f>
        <v>321103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IFERROR(VLOOKUP(E23,input_321103!L:R,7,FALSE),VLOOKUP(tables_321103!B23,input_321103!A:H,8,FALSE))</f>
        <v>182672</v>
      </c>
      <c r="N23" s="63">
        <f t="shared" ca="1" si="0"/>
        <v>1.2263157894736842E-2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input_321103!A$2</f>
        <v>321103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IFERROR(VLOOKUP(E24,input_321103!L:R,7,FALSE),VLOOKUP(tables_321103!B24,input_321103!A:H,8,FALSE))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input_321103!A$2</f>
        <v>321103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IFERROR(VLOOKUP(E25,input_321103!L:R,7,FALSE),VLOOKUP(tables_321103!B25,input_321103!A:H,8,FALSE))</f>
        <v>182672</v>
      </c>
      <c r="N25" s="63">
        <f t="shared" ca="1" si="0"/>
        <v>1.2263157894736842E-2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input_321103!A$2</f>
        <v>321103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IFERROR(VLOOKUP(E26,input_321103!L:R,7,FALSE),VLOOKUP(tables_321103!B26,input_321103!A:H,8,FALSE))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input_321103!A$2</f>
        <v>321103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IFERROR(VLOOKUP(E27,input_321103!L:R,7,FALSE),VLOOKUP(tables_321103!B27,input_321103!A:H,8,FALSE))</f>
        <v>182672</v>
      </c>
      <c r="N27" s="63">
        <f t="shared" ca="1" si="0"/>
        <v>1.2263157894736842E-2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input_321103!A$2</f>
        <v>321103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IFERROR(VLOOKUP(E28,input_321103!L:R,7,FALSE),VLOOKUP(tables_321103!B28,input_321103!A:H,8,FALSE))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input_321103!A$2</f>
        <v>321103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IFERROR(VLOOKUP(E29,input_321103!L:R,7,FALSE),VLOOKUP(tables_321103!B29,input_321103!A:H,8,FALSE))</f>
        <v>182672</v>
      </c>
      <c r="N29" s="63">
        <f t="shared" ca="1" si="0"/>
        <v>1.2263157894736842E-2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input_321103!A$2</f>
        <v>321103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IFERROR(VLOOKUP(E30,input_321103!L:R,7,FALSE),VLOOKUP(tables_321103!B30,input_321103!A:H,8,FALSE))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input_321103!A$2</f>
        <v>321103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IFERROR(VLOOKUP(E31,input_321103!L:R,7,FALSE),VLOOKUP(tables_321103!B31,input_321103!A:H,8,FALSE))</f>
        <v>182672</v>
      </c>
      <c r="N31" s="63">
        <f t="shared" ca="1" si="0"/>
        <v>1.2263157894736842E-2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input_321103!A$2</f>
        <v>321103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IFERROR(VLOOKUP(E32,input_321103!L:R,7,FALSE),VLOOKUP(tables_321103!B32,input_321103!A:H,8,FALSE))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input_321103!A$2</f>
        <v>321103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IFERROR(VLOOKUP(E33,input_321103!L:R,7,FALSE),VLOOKUP(tables_321103!B33,input_321103!A:H,8,FALSE))</f>
        <v>182672</v>
      </c>
      <c r="N33" s="63">
        <f t="shared" ca="1" si="0"/>
        <v>1.2263157894736842E-2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input_321103!A$2</f>
        <v>321103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IFERROR(VLOOKUP(E34,input_321103!L:R,7,FALSE),VLOOKUP(tables_321103!B34,input_321103!A:H,8,FALSE))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input_321103!A$2</f>
        <v>321103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IFERROR(VLOOKUP(E35,input_321103!L:R,7,FALSE),VLOOKUP(tables_321103!B35,input_321103!A:H,8,FALSE))</f>
        <v>182672</v>
      </c>
      <c r="N35" s="63">
        <f t="shared" ca="1" si="0"/>
        <v>1.2263157894736842E-2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input_321103!A$2</f>
        <v>321103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IFERROR(VLOOKUP(E36,input_321103!L:R,7,FALSE),VLOOKUP(tables_321103!B36,input_321103!A:H,8,FALSE))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input_321103!A$2</f>
        <v>321103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IFERROR(VLOOKUP(E37,input_321103!L:R,7,FALSE),VLOOKUP(tables_321103!B37,input_321103!A:H,8,FALSE))</f>
        <v>182672</v>
      </c>
      <c r="N37" s="63">
        <f t="shared" ca="1" si="0"/>
        <v>1.2263157894736842E-2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input_321103!A$2</f>
        <v>321103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IFERROR(VLOOKUP(E38,input_321103!L:R,7,FALSE),VLOOKUP(tables_321103!B38,input_321103!A:H,8,FALSE))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input_321103!A$2</f>
        <v>321103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IFERROR(VLOOKUP(E39,input_321103!L:R,7,FALSE),VLOOKUP(tables_321103!B39,input_321103!A:H,8,FALSE))</f>
        <v>182672</v>
      </c>
      <c r="N39" s="63">
        <f t="shared" ca="1" si="0"/>
        <v>1.2263157894736842E-2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input_321103!A$2</f>
        <v>321103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IFERROR(VLOOKUP(E40,input_321103!L:R,7,FALSE),VLOOKUP(tables_321103!B40,input_321103!A:H,8,FALSE))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input_321103!A$2</f>
        <v>321103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IFERROR(VLOOKUP(E41,input_321103!L:R,7,FALSE),VLOOKUP(tables_321103!B41,input_321103!A:H,8,FALSE))</f>
        <v>182672</v>
      </c>
      <c r="N41" s="63">
        <f t="shared" ca="1" si="0"/>
        <v>1.2263157894736842E-2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input_321103!A$2</f>
        <v>321103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IFERROR(VLOOKUP(E42,input_321103!L:R,7,FALSE),VLOOKUP(tables_321103!B42,input_321103!A:H,8,FALSE))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input_321103!A$2</f>
        <v>321103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IFERROR(VLOOKUP(E43,input_321103!L:R,7,FALSE),VLOOKUP(tables_321103!B43,input_321103!A:H,8,FALSE))</f>
        <v>182672</v>
      </c>
      <c r="N43" s="63">
        <f t="shared" ca="1" si="0"/>
        <v>1.2263157894736842E-2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input_321103!A$2</f>
        <v>321103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IFERROR(VLOOKUP(E44,input_321103!L:R,7,FALSE),VLOOKUP(tables_321103!B44,input_321103!A:H,8,FALSE))</f>
        <v>12768</v>
      </c>
      <c r="N44" s="63">
        <f t="shared" ca="1" si="0"/>
        <v>8.571428571428571E-4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input_321103!A$2</f>
        <v>321103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IFERROR(VLOOKUP(E45,input_321103!L:R,7,FALSE),VLOOKUP(tables_321103!B45,input_321103!A:H,8,FALSE))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input_321103!A$2</f>
        <v>321103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IFERROR(VLOOKUP(E46,input_321103!L:R,7,FALSE),VLOOKUP(tables_321103!B46,input_321103!A:H,8,FALSE))</f>
        <v>182672</v>
      </c>
      <c r="N46" s="63">
        <f t="shared" ca="1" si="0"/>
        <v>1.2263157894736842E-2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input_321103!A$2</f>
        <v>321103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IFERROR(VLOOKUP(E47,input_321103!L:R,7,FALSE),VLOOKUP(tables_321103!B47,input_321103!A:H,8,FALSE))</f>
        <v>12768</v>
      </c>
      <c r="N47" s="63">
        <f t="shared" ca="1" si="0"/>
        <v>8.571428571428571E-4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input_321103!A$2</f>
        <v>321103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IFERROR(VLOOKUP(E48,input_321103!L:R,7,FALSE),VLOOKUP(tables_321103!B48,input_321103!A:H,8,FALSE))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input_321103!A$2</f>
        <v>321103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IFERROR(VLOOKUP(E49,input_321103!L:R,7,FALSE),VLOOKUP(tables_321103!B49,input_321103!A:H,8,FALSE))</f>
        <v>182672</v>
      </c>
      <c r="N49" s="63">
        <f t="shared" ca="1" si="0"/>
        <v>1.2263157894736842E-2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input_321103!A$2</f>
        <v>321103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IFERROR(VLOOKUP(E50,input_321103!L:R,7,FALSE),VLOOKUP(tables_321103!B50,input_321103!A:H,8,FALSE))</f>
        <v>12768</v>
      </c>
      <c r="N50" s="63">
        <f t="shared" ca="1" si="0"/>
        <v>8.571428571428571E-4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input_321103!A$2</f>
        <v>321103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IFERROR(VLOOKUP(E51,input_321103!L:R,7,FALSE),VLOOKUP(tables_321103!B51,input_321103!A:H,8,FALSE))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input_321103!A$2</f>
        <v>321103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IFERROR(VLOOKUP(E52,input_321103!L:R,7,FALSE),VLOOKUP(tables_321103!B52,input_321103!A:H,8,FALSE))</f>
        <v>182672</v>
      </c>
      <c r="N52" s="63">
        <f t="shared" ca="1" si="0"/>
        <v>1.2263157894736842E-2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input_321103!A$2</f>
        <v>321103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IFERROR(VLOOKUP(E53,input_321103!L:R,7,FALSE),VLOOKUP(tables_321103!B53,input_321103!A:H,8,FALSE))</f>
        <v>12768</v>
      </c>
      <c r="N53" s="63">
        <f t="shared" ca="1" si="0"/>
        <v>8.571428571428571E-4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input_321103!A$2</f>
        <v>321103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IFERROR(VLOOKUP(E54,input_321103!L:R,7,FALSE),VLOOKUP(tables_321103!B54,input_321103!A:H,8,FALSE))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input_321103!A$2</f>
        <v>321103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IFERROR(VLOOKUP(E55,input_321103!L:R,7,FALSE),VLOOKUP(tables_321103!B55,input_321103!A:H,8,FALSE))</f>
        <v>182672</v>
      </c>
      <c r="N55" s="63">
        <f t="shared" ca="1" si="0"/>
        <v>1.2263157894736842E-2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input_321103!A$2</f>
        <v>321103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IFERROR(VLOOKUP(E56,input_321103!L:R,7,FALSE),VLOOKUP(tables_321103!B56,input_321103!A:H,8,FALSE))</f>
        <v>12768</v>
      </c>
      <c r="N56" s="63">
        <f t="shared" ca="1" si="0"/>
        <v>8.571428571428571E-4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input_321103!A$2</f>
        <v>321103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IFERROR(VLOOKUP(E57,input_321103!L:R,7,FALSE),VLOOKUP(tables_321103!B57,input_321103!A:H,8,FALSE))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input_321103!A$2</f>
        <v>321103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IFERROR(VLOOKUP(E58,input_321103!L:R,7,FALSE),VLOOKUP(tables_321103!B58,input_321103!A:H,8,FALSE))</f>
        <v>182672</v>
      </c>
      <c r="N58" s="63">
        <f t="shared" ca="1" si="0"/>
        <v>1.2263157894736842E-2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input_321103!A$2</f>
        <v>321103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IFERROR(VLOOKUP(E59,input_321103!L:R,7,FALSE),VLOOKUP(tables_321103!B59,input_321103!A:H,8,FALSE))</f>
        <v>12768</v>
      </c>
      <c r="N59" s="63">
        <f t="shared" ca="1" si="0"/>
        <v>8.571428571428571E-4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input_321103!A$2</f>
        <v>321103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IFERROR(VLOOKUP(E60,input_321103!L:R,7,FALSE),VLOOKUP(tables_321103!B60,input_321103!A:H,8,FALSE))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input_321103!A$2</f>
        <v>321103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IFERROR(VLOOKUP(E61,input_321103!L:R,7,FALSE),VLOOKUP(tables_321103!B61,input_321103!A:H,8,FALSE))</f>
        <v>182672</v>
      </c>
      <c r="N61" s="63">
        <f t="shared" ca="1" si="0"/>
        <v>1.2263157894736842E-2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input_321103!A$2</f>
        <v>321103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IFERROR(VLOOKUP(E62,input_321103!L:R,7,FALSE),VLOOKUP(tables_321103!B62,input_321103!A:H,8,FALSE))</f>
        <v>12768</v>
      </c>
      <c r="N62" s="63">
        <f t="shared" ca="1" si="0"/>
        <v>8.571428571428571E-4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input_321103!A$2</f>
        <v>321103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IFERROR(VLOOKUP(E63,input_321103!L:R,7,FALSE),VLOOKUP(tables_321103!B63,input_321103!A:H,8,FALSE))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input_321103!A$2</f>
        <v>321103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IFERROR(VLOOKUP(E64,input_321103!L:R,7,FALSE),VLOOKUP(tables_321103!B64,input_321103!A:H,8,FALSE))</f>
        <v>182672</v>
      </c>
      <c r="N64" s="63">
        <f t="shared" ca="1" si="0"/>
        <v>1.2263157894736842E-2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input_321103!A$2</f>
        <v>321103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IFERROR(VLOOKUP(E65,input_321103!L:R,7,FALSE),VLOOKUP(tables_321103!B65,input_321103!A:H,8,FALSE))</f>
        <v>12768</v>
      </c>
      <c r="N65" s="63">
        <f t="shared" ca="1" si="0"/>
        <v>8.571428571428571E-4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input_321103!A$2</f>
        <v>321103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IFERROR(VLOOKUP(E66,input_321103!L:R,7,FALSE),VLOOKUP(tables_321103!B66,input_321103!A:H,8,FALSE))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input_321103!A$2</f>
        <v>321103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IFERROR(VLOOKUP(E67,input_321103!L:R,7,FALSE),VLOOKUP(tables_321103!B67,input_321103!A:H,8,FALSE))</f>
        <v>182672</v>
      </c>
      <c r="N67" s="63">
        <f t="shared" ca="1" si="3"/>
        <v>1.2263157894736842E-2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input_321103!A$2</f>
        <v>321103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IFERROR(VLOOKUP(E68,input_321103!L:R,7,FALSE),VLOOKUP(tables_321103!B68,input_321103!A:H,8,FALSE))</f>
        <v>12768</v>
      </c>
      <c r="N68" s="63">
        <f t="shared" ca="1" si="3"/>
        <v>8.571428571428571E-4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input_321103!A$2</f>
        <v>321103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IFERROR(VLOOKUP(E69,input_321103!L:R,7,FALSE),VLOOKUP(tables_321103!B69,input_321103!A:H,8,FALSE))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input_321103!A$2</f>
        <v>321103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IFERROR(VLOOKUP(E70,input_321103!L:R,7,FALSE),VLOOKUP(tables_321103!B70,input_321103!A:H,8,FALSE))</f>
        <v>182672</v>
      </c>
      <c r="N70" s="63">
        <f t="shared" ca="1" si="3"/>
        <v>1.2263157894736842E-2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input_321103!A$2</f>
        <v>321103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IFERROR(VLOOKUP(E71,input_321103!L:R,7,FALSE),VLOOKUP(tables_321103!B71,input_321103!A:H,8,FALSE))</f>
        <v>12768</v>
      </c>
      <c r="N71" s="63">
        <f t="shared" ca="1" si="3"/>
        <v>8.571428571428571E-4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input_321103!A$2</f>
        <v>321103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IFERROR(VLOOKUP(E72,input_321103!L:R,7,FALSE),VLOOKUP(tables_321103!B72,input_321103!A:H,8,FALSE))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input_321103!A$2</f>
        <v>321103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IFERROR(VLOOKUP(E73,input_321103!L:R,7,FALSE),VLOOKUP(tables_321103!B73,input_321103!A:H,8,FALSE))</f>
        <v>182672</v>
      </c>
      <c r="N73" s="63">
        <f t="shared" ca="1" si="3"/>
        <v>1.2263157894736842E-2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input_321103!A$2</f>
        <v>321103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IFERROR(VLOOKUP(E74,input_321103!L:R,7,FALSE),VLOOKUP(tables_321103!B74,input_321103!A:H,8,FALSE))</f>
        <v>12768</v>
      </c>
      <c r="N74" s="63">
        <f t="shared" ca="1" si="3"/>
        <v>8.571428571428571E-4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input_321103!A$2</f>
        <v>321103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IFERROR(VLOOKUP(E75,input_321103!L:R,7,FALSE),VLOOKUP(tables_321103!B75,input_321103!A:H,8,FALSE))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input_321103!A$2</f>
        <v>321103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IFERROR(VLOOKUP(E76,input_321103!L:R,7,FALSE),VLOOKUP(tables_321103!B76,input_321103!A:H,8,FALSE))</f>
        <v>182672</v>
      </c>
      <c r="N76" s="63">
        <f t="shared" ca="1" si="3"/>
        <v>1.2263157894736842E-2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input_321103!A$2</f>
        <v>321103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IFERROR(VLOOKUP(E77,input_321103!L:R,7,FALSE),VLOOKUP(tables_321103!B77,input_321103!A:H,8,FALSE))</f>
        <v>12768</v>
      </c>
      <c r="N77" s="63">
        <f t="shared" ca="1" si="3"/>
        <v>8.571428571428571E-4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input_321103!A$2</f>
        <v>321103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IFERROR(VLOOKUP(E78,input_321103!L:R,7,FALSE),VLOOKUP(tables_321103!B78,input_321103!A:H,8,FALSE))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input_321103!A$2</f>
        <v>321103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IFERROR(VLOOKUP(E79,input_321103!L:R,7,FALSE),VLOOKUP(tables_321103!B79,input_321103!A:H,8,FALSE))</f>
        <v>182672</v>
      </c>
      <c r="N79" s="63">
        <f t="shared" ca="1" si="3"/>
        <v>1.2263157894736842E-2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input_321103!A$2</f>
        <v>321103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IFERROR(VLOOKUP(E80,input_321103!L:R,7,FALSE),VLOOKUP(tables_321103!B80,input_321103!A:H,8,FALSE))</f>
        <v>12768</v>
      </c>
      <c r="N80" s="63">
        <f t="shared" ca="1" si="3"/>
        <v>8.571428571428571E-4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input_321103!A$2</f>
        <v>321103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IFERROR(VLOOKUP(E81,input_321103!L:R,7,FALSE),VLOOKUP(tables_321103!B81,input_321103!A:H,8,FALSE))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input_321103!A$2</f>
        <v>321103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IFERROR(VLOOKUP(E82,input_321103!L:R,7,FALSE),VLOOKUP(tables_321103!B82,input_321103!A:H,8,FALSE))</f>
        <v>182672</v>
      </c>
      <c r="N82" s="63">
        <f t="shared" ca="1" si="3"/>
        <v>1.2263157894736842E-2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input_321103!A$2</f>
        <v>321103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IFERROR(VLOOKUP(E83,input_321103!L:R,7,FALSE),VLOOKUP(tables_321103!B83,input_321103!A:H,8,FALSE))</f>
        <v>12768</v>
      </c>
      <c r="N83" s="63">
        <f t="shared" ca="1" si="3"/>
        <v>8.571428571428571E-4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input_321103!A$2</f>
        <v>321103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IFERROR(VLOOKUP(E84,input_321103!L:R,7,FALSE),VLOOKUP(tables_321103!B84,input_321103!A:H,8,FALSE))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input_321103!A$2</f>
        <v>321103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IFERROR(VLOOKUP(E85,input_321103!L:R,7,FALSE),VLOOKUP(tables_321103!B85,input_321103!A:H,8,FALSE))</f>
        <v>182672</v>
      </c>
      <c r="N85" s="63">
        <f t="shared" ca="1" si="3"/>
        <v>1.2263157894736842E-2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input_321103!A$2</f>
        <v>321103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IFERROR(VLOOKUP(E86,input_321103!L:R,7,FALSE),VLOOKUP(tables_321103!B86,input_321103!A:H,8,FALSE))</f>
        <v>12768</v>
      </c>
      <c r="N86" s="63">
        <f t="shared" ca="1" si="3"/>
        <v>8.571428571428571E-4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input_321103!A$2</f>
        <v>321103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IFERROR(VLOOKUP(E87,input_321103!L:R,7,FALSE),VLOOKUP(tables_321103!B87,input_321103!A:H,8,FALSE))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input_321103!A$2</f>
        <v>321103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IFERROR(VLOOKUP(E88,input_321103!L:R,7,FALSE),VLOOKUP(tables_321103!B88,input_321103!A:H,8,FALSE))</f>
        <v>182672</v>
      </c>
      <c r="N88" s="63">
        <f t="shared" ca="1" si="3"/>
        <v>1.2263157894736842E-2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input_321103!A$2</f>
        <v>321103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IFERROR(VLOOKUP(E89,input_321103!L:R,7,FALSE),VLOOKUP(tables_321103!B89,input_321103!A:H,8,FALSE))</f>
        <v>12768</v>
      </c>
      <c r="N89" s="63">
        <f t="shared" ca="1" si="3"/>
        <v>8.571428571428571E-4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input_321103!A$2</f>
        <v>321103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IFERROR(VLOOKUP(E90,input_321103!L:R,7,FALSE),VLOOKUP(tables_321103!B90,input_321103!A:H,8,FALSE))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input_321103!A$2</f>
        <v>321103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IFERROR(VLOOKUP(E91,input_321103!L:R,7,FALSE),VLOOKUP(tables_321103!B91,input_321103!A:H,8,FALSE))</f>
        <v>182672</v>
      </c>
      <c r="N91" s="63">
        <f t="shared" ca="1" si="3"/>
        <v>1.2263157894736842E-2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input_321103!A$2</f>
        <v>321103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IFERROR(VLOOKUP(E92,input_321103!L:R,7,FALSE),VLOOKUP(tables_321103!B92,input_321103!A:H,8,FALSE))</f>
        <v>12768</v>
      </c>
      <c r="N92" s="63">
        <f t="shared" ca="1" si="3"/>
        <v>8.571428571428571E-4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input_321103!A$2</f>
        <v>321103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IFERROR(VLOOKUP(E93,input_321103!L:R,7,FALSE),VLOOKUP(tables_321103!B93,input_321103!A:H,8,FALSE))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input_321103!A$2</f>
        <v>321103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IFERROR(VLOOKUP(E94,input_321103!L:R,7,FALSE),VLOOKUP(tables_321103!B94,input_321103!A:H,8,FALSE))</f>
        <v>182672</v>
      </c>
      <c r="N94" s="63">
        <f t="shared" ca="1" si="3"/>
        <v>1.2263157894736842E-2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input_321103!A$2</f>
        <v>321103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IFERROR(VLOOKUP(E95,input_321103!L:R,7,FALSE),VLOOKUP(tables_321103!B95,input_321103!A:H,8,FALSE))</f>
        <v>12768</v>
      </c>
      <c r="N95" s="63">
        <f t="shared" ca="1" si="3"/>
        <v>8.571428571428571E-4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input_321103!A$2</f>
        <v>321103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IFERROR(VLOOKUP(E96,input_321103!L:R,7,FALSE),VLOOKUP(tables_321103!B96,input_321103!A:H,8,FALSE))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input_321103!A$2</f>
        <v>321103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IFERROR(VLOOKUP(E97,input_321103!L:R,7,FALSE),VLOOKUP(tables_321103!B97,input_321103!A:H,8,FALSE))</f>
        <v>182672</v>
      </c>
      <c r="N97" s="63">
        <f t="shared" ca="1" si="3"/>
        <v>1.2263157894736842E-2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input_321103!A$2</f>
        <v>321103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IFERROR(VLOOKUP(E98,input_321103!L:R,7,FALSE),VLOOKUP(tables_321103!B98,input_321103!A:H,8,FALSE))</f>
        <v>12768</v>
      </c>
      <c r="N98" s="63">
        <f t="shared" ca="1" si="3"/>
        <v>8.571428571428571E-4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input_321103!A$2</f>
        <v>321103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IFERROR(VLOOKUP(E99,input_321103!L:R,7,FALSE),VLOOKUP(tables_321103!B99,input_321103!A:H,8,FALSE))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input_321103!A$2</f>
        <v>321103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IFERROR(VLOOKUP(E100,input_321103!L:R,7,FALSE),VLOOKUP(tables_321103!B100,input_321103!A:H,8,FALSE))</f>
        <v>182672</v>
      </c>
      <c r="N100" s="63">
        <f t="shared" ca="1" si="3"/>
        <v>1.2263157894736842E-2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input_321103!A$2</f>
        <v>321103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IFERROR(VLOOKUP(E101,input_321103!L:R,7,FALSE),VLOOKUP(tables_321103!B101,input_321103!A:H,8,FALSE))</f>
        <v>12768</v>
      </c>
      <c r="N101" s="63">
        <f t="shared" ca="1" si="3"/>
        <v>8.571428571428571E-4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input_321103!A$2</f>
        <v>321103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IFERROR(VLOOKUP(E102,input_321103!L:R,7,FALSE),VLOOKUP(tables_321103!B102,input_321103!A:H,8,FALSE))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input_321103!A$2</f>
        <v>321103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IFERROR(VLOOKUP(E103,input_321103!L:R,7,FALSE),VLOOKUP(tables_321103!B103,input_321103!A:H,8,FALSE))</f>
        <v>182672</v>
      </c>
      <c r="N103" s="63">
        <f t="shared" ca="1" si="3"/>
        <v>1.2263157894736842E-2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input_321103!A$2</f>
        <v>321103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IFERROR(VLOOKUP(E104,input_321103!L:R,7,FALSE),VLOOKUP(tables_321103!B104,input_321103!A:H,8,FALSE))</f>
        <v>12768</v>
      </c>
      <c r="N104" s="63">
        <f t="shared" ca="1" si="3"/>
        <v>8.571428571428571E-4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input_321103!A$2</f>
        <v>321103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IFERROR(VLOOKUP(E105,input_321103!L:R,7,FALSE),VLOOKUP(tables_321103!B105,input_321103!A:H,8,FALSE))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input_321103!A$2</f>
        <v>321103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IFERROR(VLOOKUP(E106,input_321103!L:R,7,FALSE),VLOOKUP(tables_321103!B106,input_321103!A:H,8,FALSE))</f>
        <v>182672</v>
      </c>
      <c r="N106" s="63">
        <f t="shared" ca="1" si="3"/>
        <v>1.2263157894736842E-2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input_321103!A$2</f>
        <v>321103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IFERROR(VLOOKUP(E107,input_321103!L:R,7,FALSE),VLOOKUP(tables_321103!B107,input_321103!A:H,8,FALSE))</f>
        <v>12768</v>
      </c>
      <c r="N107" s="63">
        <f t="shared" ca="1" si="3"/>
        <v>8.571428571428571E-4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input_321103!A$2</f>
        <v>321103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IFERROR(VLOOKUP(E108,input_321103!L:R,7,FALSE),VLOOKUP(tables_321103!B108,input_321103!A:H,8,FALSE))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input_321103!A$2</f>
        <v>321103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IFERROR(VLOOKUP(E109,input_321103!L:R,7,FALSE),VLOOKUP(tables_321103!B109,input_321103!A:H,8,FALSE))</f>
        <v>182672</v>
      </c>
      <c r="N109" s="63">
        <f t="shared" ca="1" si="3"/>
        <v>1.2263157894736842E-2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input_321103!A$2</f>
        <v>321103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IFERROR(VLOOKUP(E110,input_321103!L:R,7,FALSE),VLOOKUP(tables_321103!B110,input_321103!A:H,8,FALSE))</f>
        <v>12768</v>
      </c>
      <c r="N110" s="63">
        <f t="shared" ca="1" si="3"/>
        <v>8.571428571428571E-4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input_321103!A$2</f>
        <v>321103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IFERROR(VLOOKUP(E111,input_321103!L:R,7,FALSE),VLOOKUP(tables_321103!B111,input_321103!A:H,8,FALSE))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input_321103!A$2</f>
        <v>321103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IFERROR(VLOOKUP(E112,input_321103!L:R,7,FALSE),VLOOKUP(tables_321103!B112,input_321103!A:H,8,FALSE))</f>
        <v>182672</v>
      </c>
      <c r="N112" s="63">
        <f t="shared" ca="1" si="3"/>
        <v>1.2263157894736842E-2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input_321103!A$2</f>
        <v>321103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IFERROR(VLOOKUP(E113,input_321103!L:R,7,FALSE),VLOOKUP(tables_321103!B113,input_321103!A:H,8,FALSE))</f>
        <v>12768</v>
      </c>
      <c r="N113" s="63">
        <f t="shared" ca="1" si="3"/>
        <v>8.571428571428571E-4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input_321103!A$2</f>
        <v>321103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IFERROR(VLOOKUP(E114,input_321103!L:R,7,FALSE),VLOOKUP(tables_321103!B114,input_321103!A:H,8,FALSE))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input_321103!A$2</f>
        <v>321103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IFERROR(VLOOKUP(E115,input_321103!L:R,7,FALSE),VLOOKUP(tables_321103!B115,input_321103!A:H,8,FALSE))</f>
        <v>182672</v>
      </c>
      <c r="N115" s="63">
        <f t="shared" ca="1" si="3"/>
        <v>1.2263157894736842E-2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input_321103!A$2</f>
        <v>321103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IFERROR(VLOOKUP(E116,input_321103!L:R,7,FALSE),VLOOKUP(tables_321103!B116,input_321103!A:H,8,FALSE))</f>
        <v>12768</v>
      </c>
      <c r="N116" s="63">
        <f t="shared" ca="1" si="3"/>
        <v>8.571428571428571E-4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input_321103!A$2</f>
        <v>321103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IFERROR(VLOOKUP(E117,input_321103!L:R,7,FALSE),VLOOKUP(tables_321103!B117,input_321103!A:H,8,FALSE))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input_321103!A$2</f>
        <v>321103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IFERROR(VLOOKUP(E118,input_321103!L:R,7,FALSE),VLOOKUP(tables_321103!B118,input_321103!A:H,8,FALSE))</f>
        <v>182672</v>
      </c>
      <c r="N118" s="63">
        <f t="shared" ca="1" si="3"/>
        <v>1.2263157894736842E-2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input_321103!A$2</f>
        <v>321103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IFERROR(VLOOKUP(E119,input_321103!L:R,7,FALSE),VLOOKUP(tables_321103!B119,input_321103!A:H,8,FALSE))</f>
        <v>12768</v>
      </c>
      <c r="N119" s="63">
        <f t="shared" ca="1" si="3"/>
        <v>8.571428571428571E-4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input_321103!A$2</f>
        <v>321103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IFERROR(VLOOKUP(E120,input_321103!L:R,7,FALSE),VLOOKUP(tables_321103!B120,input_321103!A:H,8,FALSE))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input_321103!A$2</f>
        <v>321103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IFERROR(VLOOKUP(E121,input_321103!L:R,7,FALSE),VLOOKUP(tables_321103!B121,input_321103!A:H,8,FALSE))</f>
        <v>182672</v>
      </c>
      <c r="N121" s="63">
        <f t="shared" ca="1" si="3"/>
        <v>1.2263157894736842E-2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input_321103!A$2</f>
        <v>321103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IFERROR(VLOOKUP(E122,input_321103!L:R,7,FALSE),VLOOKUP(tables_321103!B122,input_321103!A:H,8,FALSE))</f>
        <v>12768</v>
      </c>
      <c r="N122" s="63">
        <f t="shared" ca="1" si="3"/>
        <v>8.571428571428571E-4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input_321103!A$2</f>
        <v>321103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IFERROR(VLOOKUP(E123,input_321103!L:R,7,FALSE),VLOOKUP(tables_321103!B123,input_321103!A:H,8,FALSE))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input_321103!A$2</f>
        <v>321103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IFERROR(VLOOKUP(E124,input_321103!L:R,7,FALSE),VLOOKUP(tables_321103!B124,input_321103!A:H,8,FALSE))</f>
        <v>182672</v>
      </c>
      <c r="N124" s="63">
        <f t="shared" ca="1" si="3"/>
        <v>1.2263157894736842E-2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input_321103!A$2</f>
        <v>321103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IFERROR(VLOOKUP(E125,input_321103!L:R,7,FALSE),VLOOKUP(tables_321103!B125,input_321103!A:H,8,FALSE))</f>
        <v>12768</v>
      </c>
      <c r="N125" s="63">
        <f t="shared" ca="1" si="3"/>
        <v>8.571428571428571E-4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input_321103!A$2</f>
        <v>321103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IFERROR(VLOOKUP(E126,input_321103!L:R,7,FALSE),VLOOKUP(tables_321103!B126,input_321103!A:H,8,FALSE))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input_321103!A$2</f>
        <v>321103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IFERROR(VLOOKUP(E127,input_321103!L:R,7,FALSE),VLOOKUP(tables_321103!B127,input_321103!A:H,8,FALSE))</f>
        <v>182672</v>
      </c>
      <c r="N127" s="63">
        <f t="shared" ca="1" si="3"/>
        <v>1.2263157894736842E-2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input_321103!A$2</f>
        <v>321103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IFERROR(VLOOKUP(E128,input_321103!L:R,7,FALSE),VLOOKUP(tables_321103!B128,input_321103!A:H,8,FALSE))</f>
        <v>12768</v>
      </c>
      <c r="N128" s="63">
        <f t="shared" ca="1" si="3"/>
        <v>8.571428571428571E-4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input_321103!A$2</f>
        <v>321103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IFERROR(VLOOKUP(E129,input_321103!L:R,7,FALSE),VLOOKUP(tables_321103!B129,input_321103!A:H,8,FALSE))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input_321103!A$2</f>
        <v>321103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IFERROR(VLOOKUP(E130,input_321103!L:R,7,FALSE),VLOOKUP(tables_321103!B130,input_321103!A:H,8,FALSE))</f>
        <v>182672</v>
      </c>
      <c r="N130" s="63">
        <f t="shared" ref="N130:N193" ca="1" si="6">M130/SUM(M:M)</f>
        <v>1.2263157894736842E-2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input_321103!A$2</f>
        <v>321103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IFERROR(VLOOKUP(E131,input_321103!L:R,7,FALSE),VLOOKUP(tables_321103!B131,input_321103!A:H,8,FALSE))</f>
        <v>12768</v>
      </c>
      <c r="N131" s="63">
        <f t="shared" ca="1" si="6"/>
        <v>8.571428571428571E-4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input_321103!A$2</f>
        <v>321103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IFERROR(VLOOKUP(E132,input_321103!L:R,7,FALSE),VLOOKUP(tables_321103!B132,input_321103!A:H,8,FALSE))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input_321103!A$2</f>
        <v>321103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IFERROR(VLOOKUP(E133,input_321103!L:R,7,FALSE),VLOOKUP(tables_321103!B133,input_321103!A:H,8,FALSE))</f>
        <v>182672</v>
      </c>
      <c r="N133" s="63">
        <f t="shared" ca="1" si="6"/>
        <v>1.2263157894736842E-2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input_321103!A$2</f>
        <v>321103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IFERROR(VLOOKUP(E134,input_321103!L:R,7,FALSE),VLOOKUP(tables_321103!B134,input_321103!A:H,8,FALSE))</f>
        <v>12768</v>
      </c>
      <c r="N134" s="63">
        <f t="shared" ca="1" si="6"/>
        <v>8.571428571428571E-4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input_321103!A$2</f>
        <v>321103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IFERROR(VLOOKUP(E135,input_321103!L:R,7,FALSE),VLOOKUP(tables_321103!B135,input_321103!A:H,8,FALSE))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input_321103!A$2</f>
        <v>321103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IFERROR(VLOOKUP(E136,input_321103!L:R,7,FALSE),VLOOKUP(tables_321103!B136,input_321103!A:H,8,FALSE))</f>
        <v>182672</v>
      </c>
      <c r="N136" s="63">
        <f t="shared" ca="1" si="6"/>
        <v>1.2263157894736842E-2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input_321103!A$2</f>
        <v>321103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IFERROR(VLOOKUP(E137,input_321103!L:R,7,FALSE),VLOOKUP(tables_321103!B137,input_321103!A:H,8,FALSE))</f>
        <v>12768</v>
      </c>
      <c r="N137" s="63">
        <f t="shared" ca="1" si="6"/>
        <v>8.571428571428571E-4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input_321103!A$2</f>
        <v>321103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IFERROR(VLOOKUP(E138,input_321103!L:R,7,FALSE),VLOOKUP(tables_321103!B138,input_321103!A:H,8,FALSE))</f>
        <v>9576</v>
      </c>
      <c r="N138" s="63">
        <f t="shared" ca="1" si="6"/>
        <v>6.4285714285714282E-4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input_321103!A$2</f>
        <v>321103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IFERROR(VLOOKUP(E139,input_321103!L:R,7,FALSE),VLOOKUP(tables_321103!B139,input_321103!A:H,8,FALSE))</f>
        <v>1064</v>
      </c>
      <c r="N139" s="63">
        <f t="shared" ca="1" si="6"/>
        <v>7.1428571428571434E-5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input_321103!A$2</f>
        <v>321103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IFERROR(VLOOKUP(E140,input_321103!L:R,7,FALSE),VLOOKUP(tables_321103!B140,input_321103!A:H,8,FALSE))</f>
        <v>9576</v>
      </c>
      <c r="N140" s="63">
        <f t="shared" ca="1" si="6"/>
        <v>6.4285714285714282E-4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input_321103!A$2</f>
        <v>321103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IFERROR(VLOOKUP(E141,input_321103!L:R,7,FALSE),VLOOKUP(tables_321103!B141,input_321103!A:H,8,FALSE))</f>
        <v>1064</v>
      </c>
      <c r="N141" s="63">
        <f t="shared" ca="1" si="6"/>
        <v>7.1428571428571434E-5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input_321103!A$2</f>
        <v>321103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IFERROR(VLOOKUP(E142,input_321103!L:R,7,FALSE),VLOOKUP(tables_321103!B142,input_321103!A:H,8,FALSE))</f>
        <v>9576</v>
      </c>
      <c r="N142" s="63">
        <f t="shared" ca="1" si="6"/>
        <v>6.4285714285714282E-4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input_321103!A$2</f>
        <v>321103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IFERROR(VLOOKUP(E143,input_321103!L:R,7,FALSE),VLOOKUP(tables_321103!B143,input_321103!A:H,8,FALSE))</f>
        <v>1064</v>
      </c>
      <c r="N143" s="63">
        <f t="shared" ca="1" si="6"/>
        <v>7.1428571428571434E-5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input_321103!A$2</f>
        <v>321103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IFERROR(VLOOKUP(E144,input_321103!L:R,7,FALSE),VLOOKUP(tables_321103!B144,input_321103!A:H,8,FALSE))</f>
        <v>9576</v>
      </c>
      <c r="N144" s="63">
        <f t="shared" ca="1" si="6"/>
        <v>6.4285714285714282E-4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input_321103!A$2</f>
        <v>321103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IFERROR(VLOOKUP(E145,input_321103!L:R,7,FALSE),VLOOKUP(tables_321103!B145,input_321103!A:H,8,FALSE))</f>
        <v>1064</v>
      </c>
      <c r="N145" s="63">
        <f t="shared" ca="1" si="6"/>
        <v>7.1428571428571434E-5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input_321103!A$2</f>
        <v>321103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IFERROR(VLOOKUP(E146,input_321103!L:R,7,FALSE),VLOOKUP(tables_321103!B146,input_321103!A:H,8,FALSE))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input_321103!A$2</f>
        <v>321103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IFERROR(VLOOKUP(E147,input_321103!L:R,7,FALSE),VLOOKUP(tables_321103!B147,input_321103!A:H,8,FALSE))</f>
        <v>182672</v>
      </c>
      <c r="N147" s="63">
        <f t="shared" ca="1" si="6"/>
        <v>1.2263157894736842E-2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input_321103!A$2</f>
        <v>321103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IFERROR(VLOOKUP(E148,input_321103!L:R,7,FALSE),VLOOKUP(tables_321103!B148,input_321103!A:H,8,FALSE))</f>
        <v>12768</v>
      </c>
      <c r="N148" s="63">
        <f t="shared" ca="1" si="6"/>
        <v>8.571428571428571E-4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input_321103!A$2</f>
        <v>321103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IFERROR(VLOOKUP(E149,input_321103!L:R,7,FALSE),VLOOKUP(tables_321103!B149,input_321103!A:H,8,FALSE))</f>
        <v>9576</v>
      </c>
      <c r="N149" s="63">
        <f t="shared" ca="1" si="6"/>
        <v>6.4285714285714282E-4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input_321103!A$2</f>
        <v>321103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IFERROR(VLOOKUP(E150,input_321103!L:R,7,FALSE),VLOOKUP(tables_321103!B150,input_321103!A:H,8,FALSE))</f>
        <v>1064</v>
      </c>
      <c r="N150" s="63">
        <f t="shared" ca="1" si="6"/>
        <v>7.1428571428571434E-5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input_321103!A$2</f>
        <v>321103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IFERROR(VLOOKUP(E151,input_321103!L:R,7,FALSE),VLOOKUP(tables_321103!B151,input_321103!A:H,8,FALSE))</f>
        <v>9576</v>
      </c>
      <c r="N151" s="63">
        <f t="shared" ca="1" si="6"/>
        <v>6.4285714285714282E-4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input_321103!A$2</f>
        <v>321103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IFERROR(VLOOKUP(E152,input_321103!L:R,7,FALSE),VLOOKUP(tables_321103!B152,input_321103!A:H,8,FALSE))</f>
        <v>1064</v>
      </c>
      <c r="N152" s="63">
        <f t="shared" ca="1" si="6"/>
        <v>7.1428571428571434E-5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input_321103!A$2</f>
        <v>321103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IFERROR(VLOOKUP(E153,input_321103!L:R,7,FALSE),VLOOKUP(tables_321103!B153,input_321103!A:H,8,FALSE))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input_321103!A$2</f>
        <v>321103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IFERROR(VLOOKUP(E154,input_321103!L:R,7,FALSE),VLOOKUP(tables_321103!B154,input_321103!A:H,8,FALSE))</f>
        <v>182672</v>
      </c>
      <c r="N154" s="63">
        <f t="shared" ca="1" si="6"/>
        <v>1.2263157894736842E-2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input_321103!A$2</f>
        <v>321103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IFERROR(VLOOKUP(E155,input_321103!L:R,7,FALSE),VLOOKUP(tables_321103!B155,input_321103!A:H,8,FALSE))</f>
        <v>12768</v>
      </c>
      <c r="N155" s="63">
        <f t="shared" ca="1" si="6"/>
        <v>8.571428571428571E-4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input_321103!A$2</f>
        <v>321103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IFERROR(VLOOKUP(E156,input_321103!L:R,7,FALSE),VLOOKUP(tables_321103!B156,input_321103!A:H,8,FALSE))</f>
        <v>9576</v>
      </c>
      <c r="N156" s="63">
        <f t="shared" ca="1" si="6"/>
        <v>6.4285714285714282E-4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input_321103!A$2</f>
        <v>321103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IFERROR(VLOOKUP(E157,input_321103!L:R,7,FALSE),VLOOKUP(tables_321103!B157,input_321103!A:H,8,FALSE))</f>
        <v>1064</v>
      </c>
      <c r="N157" s="63">
        <f t="shared" ca="1" si="6"/>
        <v>7.1428571428571434E-5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input_321103!A$2</f>
        <v>321103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IFERROR(VLOOKUP(E158,input_321103!L:R,7,FALSE),VLOOKUP(tables_321103!B158,input_321103!A:H,8,FALSE))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input_321103!A$2</f>
        <v>321103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IFERROR(VLOOKUP(E159,input_321103!L:R,7,FALSE),VLOOKUP(tables_321103!B159,input_321103!A:H,8,FALSE))</f>
        <v>182672</v>
      </c>
      <c r="N159" s="63">
        <f t="shared" ca="1" si="6"/>
        <v>1.2263157894736842E-2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input_321103!A$2</f>
        <v>321103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IFERROR(VLOOKUP(E160,input_321103!L:R,7,FALSE),VLOOKUP(tables_321103!B160,input_321103!A:H,8,FALSE))</f>
        <v>12768</v>
      </c>
      <c r="N160" s="63">
        <f t="shared" ca="1" si="6"/>
        <v>8.571428571428571E-4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input_321103!A$2</f>
        <v>321103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IFERROR(VLOOKUP(E161,input_321103!L:R,7,FALSE),VLOOKUP(tables_321103!B161,input_321103!A:H,8,FALSE))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input_321103!A$2</f>
        <v>321103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IFERROR(VLOOKUP(E162,input_321103!L:R,7,FALSE),VLOOKUP(tables_321103!B162,input_321103!A:H,8,FALSE))</f>
        <v>182672</v>
      </c>
      <c r="N162" s="63">
        <f t="shared" ca="1" si="6"/>
        <v>1.2263157894736842E-2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input_321103!A$2</f>
        <v>321103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IFERROR(VLOOKUP(E163,input_321103!L:R,7,FALSE),VLOOKUP(tables_321103!B163,input_321103!A:H,8,FALSE))</f>
        <v>12768</v>
      </c>
      <c r="N163" s="63">
        <f t="shared" ca="1" si="6"/>
        <v>8.571428571428571E-4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input_321103!A$2</f>
        <v>321103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IFERROR(VLOOKUP(E164,input_321103!L:R,7,FALSE),VLOOKUP(tables_321103!B164,input_321103!A:H,8,FALSE))</f>
        <v>9576</v>
      </c>
      <c r="N164" s="63">
        <f t="shared" ca="1" si="6"/>
        <v>6.4285714285714282E-4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input_321103!A$2</f>
        <v>321103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IFERROR(VLOOKUP(E165,input_321103!L:R,7,FALSE),VLOOKUP(tables_321103!B165,input_321103!A:H,8,FALSE))</f>
        <v>1064</v>
      </c>
      <c r="N165" s="63">
        <f t="shared" ca="1" si="6"/>
        <v>7.1428571428571434E-5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input_321103!A$2</f>
        <v>321103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IFERROR(VLOOKUP(E166,input_321103!L:R,7,FALSE),VLOOKUP(tables_321103!B166,input_321103!A:H,8,FALSE))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input_321103!A$2</f>
        <v>321103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IFERROR(VLOOKUP(E167,input_321103!L:R,7,FALSE),VLOOKUP(tables_321103!B167,input_321103!A:H,8,FALSE))</f>
        <v>182672</v>
      </c>
      <c r="N167" s="63">
        <f t="shared" ca="1" si="6"/>
        <v>1.2263157894736842E-2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input_321103!A$2</f>
        <v>321103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IFERROR(VLOOKUP(E168,input_321103!L:R,7,FALSE),VLOOKUP(tables_321103!B168,input_321103!A:H,8,FALSE))</f>
        <v>12768</v>
      </c>
      <c r="N168" s="63">
        <f t="shared" ca="1" si="6"/>
        <v>8.571428571428571E-4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input_321103!A$2</f>
        <v>321103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IFERROR(VLOOKUP(E169,input_321103!L:R,7,FALSE),VLOOKUP(tables_321103!B169,input_321103!A:H,8,FALSE))</f>
        <v>9576</v>
      </c>
      <c r="N169" s="63">
        <f t="shared" ca="1" si="6"/>
        <v>6.4285714285714282E-4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input_321103!A$2</f>
        <v>321103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IFERROR(VLOOKUP(E170,input_321103!L:R,7,FALSE),VLOOKUP(tables_321103!B170,input_321103!A:H,8,FALSE))</f>
        <v>1064</v>
      </c>
      <c r="N170" s="63">
        <f t="shared" ca="1" si="6"/>
        <v>7.1428571428571434E-5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input_321103!A$2</f>
        <v>321103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IFERROR(VLOOKUP(E171,input_321103!L:R,7,FALSE),VLOOKUP(tables_321103!B171,input_321103!A:H,8,FALSE))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input_321103!A$2</f>
        <v>321103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IFERROR(VLOOKUP(E172,input_321103!L:R,7,FALSE),VLOOKUP(tables_321103!B172,input_321103!A:H,8,FALSE))</f>
        <v>182672</v>
      </c>
      <c r="N172" s="63">
        <f t="shared" ca="1" si="6"/>
        <v>1.2263157894736842E-2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input_321103!A$2</f>
        <v>321103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IFERROR(VLOOKUP(E173,input_321103!L:R,7,FALSE),VLOOKUP(tables_321103!B173,input_321103!A:H,8,FALSE))</f>
        <v>12768</v>
      </c>
      <c r="N173" s="63">
        <f t="shared" ca="1" si="6"/>
        <v>8.571428571428571E-4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input_321103!A$2</f>
        <v>321103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IFERROR(VLOOKUP(E174,input_321103!L:R,7,FALSE),VLOOKUP(tables_321103!B174,input_321103!A:H,8,FALSE))</f>
        <v>9576</v>
      </c>
      <c r="N174" s="63">
        <f t="shared" ca="1" si="6"/>
        <v>6.4285714285714282E-4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input_321103!A$2</f>
        <v>321103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IFERROR(VLOOKUP(E175,input_321103!L:R,7,FALSE),VLOOKUP(tables_321103!B175,input_321103!A:H,8,FALSE))</f>
        <v>1064</v>
      </c>
      <c r="N175" s="63">
        <f t="shared" ca="1" si="6"/>
        <v>7.1428571428571434E-5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input_321103!A$2</f>
        <v>321103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IFERROR(VLOOKUP(E176,input_321103!L:R,7,FALSE),VLOOKUP(tables_321103!B176,input_321103!A:H,8,FALSE))</f>
        <v>9576</v>
      </c>
      <c r="N176" s="63">
        <f t="shared" ca="1" si="6"/>
        <v>6.4285714285714282E-4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input_321103!A$2</f>
        <v>321103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IFERROR(VLOOKUP(E177,input_321103!L:R,7,FALSE),VLOOKUP(tables_321103!B177,input_321103!A:H,8,FALSE))</f>
        <v>1064</v>
      </c>
      <c r="N177" s="63">
        <f t="shared" ca="1" si="6"/>
        <v>7.1428571428571434E-5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input_321103!A$2</f>
        <v>321103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IFERROR(VLOOKUP(E178,input_321103!L:R,7,FALSE),VLOOKUP(tables_321103!B178,input_321103!A:H,8,FALSE))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input_321103!A$2</f>
        <v>321103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IFERROR(VLOOKUP(E179,input_321103!L:R,7,FALSE),VLOOKUP(tables_321103!B179,input_321103!A:H,8,FALSE))</f>
        <v>182672</v>
      </c>
      <c r="N179" s="63">
        <f t="shared" ca="1" si="6"/>
        <v>1.2263157894736842E-2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input_321103!A$2</f>
        <v>321103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IFERROR(VLOOKUP(E180,input_321103!L:R,7,FALSE),VLOOKUP(tables_321103!B180,input_321103!A:H,8,FALSE))</f>
        <v>12768</v>
      </c>
      <c r="N180" s="63">
        <f t="shared" ca="1" si="6"/>
        <v>8.571428571428571E-4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input_321103!A$2</f>
        <v>321103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IFERROR(VLOOKUP(E181,input_321103!L:R,7,FALSE),VLOOKUP(tables_321103!B181,input_321103!A:H,8,FALSE))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input_321103!A$2</f>
        <v>321103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IFERROR(VLOOKUP(E182,input_321103!L:R,7,FALSE),VLOOKUP(tables_321103!B182,input_321103!A:H,8,FALSE))</f>
        <v>182672</v>
      </c>
      <c r="N182" s="63">
        <f t="shared" ca="1" si="6"/>
        <v>1.2263157894736842E-2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input_321103!A$2</f>
        <v>321103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IFERROR(VLOOKUP(E183,input_321103!L:R,7,FALSE),VLOOKUP(tables_321103!B183,input_321103!A:H,8,FALSE))</f>
        <v>12768</v>
      </c>
      <c r="N183" s="63">
        <f t="shared" ca="1" si="6"/>
        <v>8.571428571428571E-4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input_321103!A$2</f>
        <v>321103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IFERROR(VLOOKUP(E184,input_321103!L:R,7,FALSE),VLOOKUP(tables_321103!B184,input_321103!A:H,8,FALSE))</f>
        <v>9576</v>
      </c>
      <c r="N184" s="63">
        <f t="shared" ca="1" si="6"/>
        <v>6.4285714285714282E-4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input_321103!A$2</f>
        <v>321103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IFERROR(VLOOKUP(E185,input_321103!L:R,7,FALSE),VLOOKUP(tables_321103!B185,input_321103!A:H,8,FALSE))</f>
        <v>1064</v>
      </c>
      <c r="N185" s="63">
        <f t="shared" ca="1" si="6"/>
        <v>7.1428571428571434E-5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input_321103!A$2</f>
        <v>321103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IFERROR(VLOOKUP(E186,input_321103!L:R,7,FALSE),VLOOKUP(tables_321103!B186,input_321103!A:H,8,FALSE))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input_321103!A$2</f>
        <v>321103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IFERROR(VLOOKUP(E187,input_321103!L:R,7,FALSE),VLOOKUP(tables_321103!B187,input_321103!A:H,8,FALSE))</f>
        <v>182672</v>
      </c>
      <c r="N187" s="63">
        <f t="shared" ca="1" si="6"/>
        <v>1.2263157894736842E-2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input_321103!A$2</f>
        <v>321103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IFERROR(VLOOKUP(E188,input_321103!L:R,7,FALSE),VLOOKUP(tables_321103!B188,input_321103!A:H,8,FALSE))</f>
        <v>12768</v>
      </c>
      <c r="N188" s="63">
        <f t="shared" ca="1" si="6"/>
        <v>8.571428571428571E-4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input_321103!A$2</f>
        <v>321103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IFERROR(VLOOKUP(E189,input_321103!L:R,7,FALSE),VLOOKUP(tables_321103!B189,input_321103!A:H,8,FALSE))</f>
        <v>9576</v>
      </c>
      <c r="N189" s="63">
        <f t="shared" ca="1" si="6"/>
        <v>6.4285714285714282E-4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input_321103!A$2</f>
        <v>321103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IFERROR(VLOOKUP(E190,input_321103!L:R,7,FALSE),VLOOKUP(tables_321103!B190,input_321103!A:H,8,FALSE))</f>
        <v>1064</v>
      </c>
      <c r="N190" s="63">
        <f t="shared" ca="1" si="6"/>
        <v>7.1428571428571434E-5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input_321103!A$2</f>
        <v>321103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IFERROR(VLOOKUP(E191,input_321103!L:R,7,FALSE),VLOOKUP(tables_321103!B191,input_321103!A:H,8,FALSE))</f>
        <v>9576</v>
      </c>
      <c r="N191" s="63">
        <f t="shared" ca="1" si="6"/>
        <v>6.4285714285714282E-4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input_321103!A$2</f>
        <v>321103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IFERROR(VLOOKUP(E192,input_321103!L:R,7,FALSE),VLOOKUP(tables_321103!B192,input_321103!A:H,8,FALSE))</f>
        <v>1064</v>
      </c>
      <c r="N192" s="63">
        <f t="shared" ca="1" si="6"/>
        <v>7.1428571428571434E-5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input_321103!A$2</f>
        <v>321103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IFERROR(VLOOKUP(E193,input_321103!L:R,7,FALSE),VLOOKUP(tables_321103!B193,input_321103!A:H,8,FALSE))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input_321103!A$2</f>
        <v>321103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IFERROR(VLOOKUP(E194,input_321103!L:R,7,FALSE),VLOOKUP(tables_321103!B194,input_321103!A:H,8,FALSE))</f>
        <v>182672</v>
      </c>
      <c r="N194" s="63">
        <f t="shared" ref="N194:N257" ca="1" si="9">M194/SUM(M:M)</f>
        <v>1.2263157894736842E-2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input_321103!A$2</f>
        <v>321103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IFERROR(VLOOKUP(E195,input_321103!L:R,7,FALSE),VLOOKUP(tables_321103!B195,input_321103!A:H,8,FALSE))</f>
        <v>12768</v>
      </c>
      <c r="N195" s="63">
        <f t="shared" ca="1" si="9"/>
        <v>8.571428571428571E-4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input_321103!A$2</f>
        <v>321103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IFERROR(VLOOKUP(E196,input_321103!L:R,7,FALSE),VLOOKUP(tables_321103!B196,input_321103!A:H,8,FALSE))</f>
        <v>9576</v>
      </c>
      <c r="N196" s="63">
        <f t="shared" ca="1" si="9"/>
        <v>6.4285714285714282E-4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input_321103!A$2</f>
        <v>321103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IFERROR(VLOOKUP(E197,input_321103!L:R,7,FALSE),VLOOKUP(tables_321103!B197,input_321103!A:H,8,FALSE))</f>
        <v>1064</v>
      </c>
      <c r="N197" s="63">
        <f t="shared" ca="1" si="9"/>
        <v>7.1428571428571434E-5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input_321103!A$2</f>
        <v>321103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IFERROR(VLOOKUP(E198,input_321103!L:R,7,FALSE),VLOOKUP(tables_321103!B198,input_321103!A:H,8,FALSE))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input_321103!A$2</f>
        <v>321103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IFERROR(VLOOKUP(E199,input_321103!L:R,7,FALSE),VLOOKUP(tables_321103!B199,input_321103!A:H,8,FALSE))</f>
        <v>182672</v>
      </c>
      <c r="N199" s="63">
        <f t="shared" ca="1" si="9"/>
        <v>1.2263157894736842E-2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input_321103!A$2</f>
        <v>321103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IFERROR(VLOOKUP(E200,input_321103!L:R,7,FALSE),VLOOKUP(tables_321103!B200,input_321103!A:H,8,FALSE))</f>
        <v>12768</v>
      </c>
      <c r="N200" s="63">
        <f t="shared" ca="1" si="9"/>
        <v>8.571428571428571E-4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input_321103!A$2</f>
        <v>321103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IFERROR(VLOOKUP(E201,input_321103!L:R,7,FALSE),VLOOKUP(tables_321103!B201,input_321103!A:H,8,FALSE))</f>
        <v>9576</v>
      </c>
      <c r="N201" s="63">
        <f t="shared" ca="1" si="9"/>
        <v>6.4285714285714282E-4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input_321103!A$2</f>
        <v>321103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IFERROR(VLOOKUP(E202,input_321103!L:R,7,FALSE),VLOOKUP(tables_321103!B202,input_321103!A:H,8,FALSE))</f>
        <v>1064</v>
      </c>
      <c r="N202" s="63">
        <f t="shared" ca="1" si="9"/>
        <v>7.1428571428571434E-5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input_321103!A$2</f>
        <v>321103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IFERROR(VLOOKUP(E203,input_321103!L:R,7,FALSE),VLOOKUP(tables_321103!B203,input_321103!A:H,8,FALSE))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input_321103!A$2</f>
        <v>321103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IFERROR(VLOOKUP(E204,input_321103!L:R,7,FALSE),VLOOKUP(tables_321103!B204,input_321103!A:H,8,FALSE))</f>
        <v>182672</v>
      </c>
      <c r="N204" s="63">
        <f t="shared" ca="1" si="9"/>
        <v>1.2263157894736842E-2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input_321103!A$2</f>
        <v>321103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IFERROR(VLOOKUP(E205,input_321103!L:R,7,FALSE),VLOOKUP(tables_321103!B205,input_321103!A:H,8,FALSE))</f>
        <v>12768</v>
      </c>
      <c r="N205" s="63">
        <f t="shared" ca="1" si="9"/>
        <v>8.571428571428571E-4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input_321103!A$2</f>
        <v>321103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IFERROR(VLOOKUP(E206,input_321103!L:R,7,FALSE),VLOOKUP(tables_321103!B206,input_321103!A:H,8,FALSE))</f>
        <v>9576</v>
      </c>
      <c r="N206" s="63">
        <f t="shared" ca="1" si="9"/>
        <v>6.4285714285714282E-4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input_321103!A$2</f>
        <v>321103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IFERROR(VLOOKUP(E207,input_321103!L:R,7,FALSE),VLOOKUP(tables_321103!B207,input_321103!A:H,8,FALSE))</f>
        <v>1064</v>
      </c>
      <c r="N207" s="63">
        <f t="shared" ca="1" si="9"/>
        <v>7.1428571428571434E-5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input_321103!A$2</f>
        <v>321103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IFERROR(VLOOKUP(E208,input_321103!L:R,7,FALSE),VLOOKUP(tables_321103!B208,input_321103!A:H,8,FALSE))</f>
        <v>9576</v>
      </c>
      <c r="N208" s="63">
        <f t="shared" ca="1" si="9"/>
        <v>6.4285714285714282E-4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input_321103!A$2</f>
        <v>321103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IFERROR(VLOOKUP(E209,input_321103!L:R,7,FALSE),VLOOKUP(tables_321103!B209,input_321103!A:H,8,FALSE))</f>
        <v>1064</v>
      </c>
      <c r="N209" s="63">
        <f t="shared" ca="1" si="9"/>
        <v>7.1428571428571434E-5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input_321103!A$2</f>
        <v>321103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IFERROR(VLOOKUP(E210,input_321103!L:R,7,FALSE),VLOOKUP(tables_321103!B210,input_321103!A:H,8,FALSE))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input_321103!A$2</f>
        <v>321103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IFERROR(VLOOKUP(E211,input_321103!L:R,7,FALSE),VLOOKUP(tables_321103!B211,input_321103!A:H,8,FALSE))</f>
        <v>182672</v>
      </c>
      <c r="N211" s="63">
        <f t="shared" ca="1" si="9"/>
        <v>1.2263157894736842E-2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input_321103!A$2</f>
        <v>321103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IFERROR(VLOOKUP(E212,input_321103!L:R,7,FALSE),VLOOKUP(tables_321103!B212,input_321103!A:H,8,FALSE))</f>
        <v>12768</v>
      </c>
      <c r="N212" s="63">
        <f t="shared" ca="1" si="9"/>
        <v>8.571428571428571E-4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input_321103!A$2</f>
        <v>321103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IFERROR(VLOOKUP(E213,input_321103!L:R,7,FALSE),VLOOKUP(tables_321103!B213,input_321103!A:H,8,FALSE))</f>
        <v>9576</v>
      </c>
      <c r="N213" s="63">
        <f t="shared" ca="1" si="9"/>
        <v>6.4285714285714282E-4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input_321103!A$2</f>
        <v>321103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IFERROR(VLOOKUP(E214,input_321103!L:R,7,FALSE),VLOOKUP(tables_321103!B214,input_321103!A:H,8,FALSE))</f>
        <v>1064</v>
      </c>
      <c r="N214" s="63">
        <f t="shared" ca="1" si="9"/>
        <v>7.1428571428571434E-5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input_321103!A$2</f>
        <v>321103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IFERROR(VLOOKUP(E215,input_321103!L:R,7,FALSE),VLOOKUP(tables_321103!B215,input_321103!A:H,8,FALSE))</f>
        <v>9576</v>
      </c>
      <c r="N215" s="63">
        <f t="shared" ca="1" si="9"/>
        <v>6.4285714285714282E-4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input_321103!A$2</f>
        <v>321103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IFERROR(VLOOKUP(E216,input_321103!L:R,7,FALSE),VLOOKUP(tables_321103!B216,input_321103!A:H,8,FALSE))</f>
        <v>1064</v>
      </c>
      <c r="N216" s="63">
        <f t="shared" ca="1" si="9"/>
        <v>7.1428571428571434E-5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input_321103!A$2</f>
        <v>321103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IFERROR(VLOOKUP(E217,input_321103!L:R,7,FALSE),VLOOKUP(tables_321103!B217,input_321103!A:H,8,FALSE))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input_321103!A$2</f>
        <v>321103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IFERROR(VLOOKUP(E218,input_321103!L:R,7,FALSE),VLOOKUP(tables_321103!B218,input_321103!A:H,8,FALSE))</f>
        <v>182672</v>
      </c>
      <c r="N218" s="63">
        <f t="shared" ca="1" si="9"/>
        <v>1.2263157894736842E-2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input_321103!A$2</f>
        <v>321103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IFERROR(VLOOKUP(E219,input_321103!L:R,7,FALSE),VLOOKUP(tables_321103!B219,input_321103!A:H,8,FALSE))</f>
        <v>12768</v>
      </c>
      <c r="N219" s="63">
        <f t="shared" ca="1" si="9"/>
        <v>8.571428571428571E-4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input_321103!A$2</f>
        <v>321103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IFERROR(VLOOKUP(E220,input_321103!L:R,7,FALSE),VLOOKUP(tables_321103!B220,input_321103!A:H,8,FALSE))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input_321103!A$2</f>
        <v>321103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IFERROR(VLOOKUP(E221,input_321103!L:R,7,FALSE),VLOOKUP(tables_321103!B221,input_321103!A:H,8,FALSE))</f>
        <v>182672</v>
      </c>
      <c r="N221" s="63">
        <f t="shared" ca="1" si="9"/>
        <v>1.2263157894736842E-2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input_321103!A$2</f>
        <v>321103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IFERROR(VLOOKUP(E222,input_321103!L:R,7,FALSE),VLOOKUP(tables_321103!B222,input_321103!A:H,8,FALSE))</f>
        <v>12768</v>
      </c>
      <c r="N222" s="63">
        <f t="shared" ca="1" si="9"/>
        <v>8.571428571428571E-4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input_321103!A$2</f>
        <v>321103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IFERROR(VLOOKUP(E223,input_321103!L:R,7,FALSE),VLOOKUP(tables_321103!B223,input_321103!A:H,8,FALSE))</f>
        <v>9576</v>
      </c>
      <c r="N223" s="63">
        <f t="shared" ca="1" si="9"/>
        <v>6.4285714285714282E-4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input_321103!A$2</f>
        <v>321103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IFERROR(VLOOKUP(E224,input_321103!L:R,7,FALSE),VLOOKUP(tables_321103!B224,input_321103!A:H,8,FALSE))</f>
        <v>1064</v>
      </c>
      <c r="N224" s="63">
        <f t="shared" ca="1" si="9"/>
        <v>7.1428571428571434E-5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input_321103!A$2</f>
        <v>321103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IFERROR(VLOOKUP(E225,input_321103!L:R,7,FALSE),VLOOKUP(tables_321103!B225,input_321103!A:H,8,FALSE))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input_321103!A$2</f>
        <v>321103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IFERROR(VLOOKUP(E226,input_321103!L:R,7,FALSE),VLOOKUP(tables_321103!B226,input_321103!A:H,8,FALSE))</f>
        <v>182672</v>
      </c>
      <c r="N226" s="63">
        <f t="shared" ca="1" si="9"/>
        <v>1.2263157894736842E-2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input_321103!A$2</f>
        <v>321103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IFERROR(VLOOKUP(E227,input_321103!L:R,7,FALSE),VLOOKUP(tables_321103!B227,input_321103!A:H,8,FALSE))</f>
        <v>12768</v>
      </c>
      <c r="N227" s="63">
        <f t="shared" ca="1" si="9"/>
        <v>8.571428571428571E-4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input_321103!A$2</f>
        <v>321103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IFERROR(VLOOKUP(E228,input_321103!L:R,7,FALSE),VLOOKUP(tables_321103!B228,input_321103!A:H,8,FALSE))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input_321103!A$2</f>
        <v>321103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IFERROR(VLOOKUP(E229,input_321103!L:R,7,FALSE),VLOOKUP(tables_321103!B229,input_321103!A:H,8,FALSE))</f>
        <v>182672</v>
      </c>
      <c r="N229" s="63">
        <f t="shared" ca="1" si="9"/>
        <v>1.2263157894736842E-2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input_321103!A$2</f>
        <v>321103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IFERROR(VLOOKUP(E230,input_321103!L:R,7,FALSE),VLOOKUP(tables_321103!B230,input_321103!A:H,8,FALSE))</f>
        <v>12768</v>
      </c>
      <c r="N230" s="63">
        <f t="shared" ca="1" si="9"/>
        <v>8.571428571428571E-4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input_321103!A$2</f>
        <v>321103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IFERROR(VLOOKUP(E231,input_321103!L:R,7,FALSE),VLOOKUP(tables_321103!B231,input_321103!A:H,8,FALSE))</f>
        <v>9576</v>
      </c>
      <c r="N231" s="63">
        <f t="shared" ca="1" si="9"/>
        <v>6.4285714285714282E-4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input_321103!A$2</f>
        <v>321103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IFERROR(VLOOKUP(E232,input_321103!L:R,7,FALSE),VLOOKUP(tables_321103!B232,input_321103!A:H,8,FALSE))</f>
        <v>1064</v>
      </c>
      <c r="N232" s="63">
        <f t="shared" ca="1" si="9"/>
        <v>7.1428571428571434E-5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input_321103!A$2</f>
        <v>321103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IFERROR(VLOOKUP(E233,input_321103!L:R,7,FALSE),VLOOKUP(tables_321103!B233,input_321103!A:H,8,FALSE))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input_321103!A$2</f>
        <v>321103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IFERROR(VLOOKUP(E234,input_321103!L:R,7,FALSE),VLOOKUP(tables_321103!B234,input_321103!A:H,8,FALSE))</f>
        <v>182672</v>
      </c>
      <c r="N234" s="63">
        <f t="shared" ca="1" si="9"/>
        <v>1.2263157894736842E-2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input_321103!A$2</f>
        <v>321103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IFERROR(VLOOKUP(E235,input_321103!L:R,7,FALSE),VLOOKUP(tables_321103!B235,input_321103!A:H,8,FALSE))</f>
        <v>12768</v>
      </c>
      <c r="N235" s="63">
        <f t="shared" ca="1" si="9"/>
        <v>8.571428571428571E-4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input_321103!A$2</f>
        <v>321103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IFERROR(VLOOKUP(E236,input_321103!L:R,7,FALSE),VLOOKUP(tables_321103!B236,input_321103!A:H,8,FALSE))</f>
        <v>9576</v>
      </c>
      <c r="N236" s="63">
        <f t="shared" ca="1" si="9"/>
        <v>6.4285714285714282E-4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input_321103!A$2</f>
        <v>321103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IFERROR(VLOOKUP(E237,input_321103!L:R,7,FALSE),VLOOKUP(tables_321103!B237,input_321103!A:H,8,FALSE))</f>
        <v>1064</v>
      </c>
      <c r="N237" s="63">
        <f t="shared" ca="1" si="9"/>
        <v>7.1428571428571434E-5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input_321103!A$2</f>
        <v>321103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IFERROR(VLOOKUP(E238,input_321103!L:R,7,FALSE),VLOOKUP(tables_321103!B238,input_321103!A:H,8,FALSE))</f>
        <v>9576</v>
      </c>
      <c r="N238" s="63">
        <f t="shared" ca="1" si="9"/>
        <v>6.4285714285714282E-4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input_321103!A$2</f>
        <v>321103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IFERROR(VLOOKUP(E239,input_321103!L:R,7,FALSE),VLOOKUP(tables_321103!B239,input_321103!A:H,8,FALSE))</f>
        <v>1064</v>
      </c>
      <c r="N239" s="63">
        <f t="shared" ca="1" si="9"/>
        <v>7.1428571428571434E-5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input_321103!A$2</f>
        <v>321103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IFERROR(VLOOKUP(E240,input_321103!L:R,7,FALSE),VLOOKUP(tables_321103!B240,input_321103!A:H,8,FALSE))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input_321103!A$2</f>
        <v>321103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IFERROR(VLOOKUP(E241,input_321103!L:R,7,FALSE),VLOOKUP(tables_321103!B241,input_321103!A:H,8,FALSE))</f>
        <v>182672</v>
      </c>
      <c r="N241" s="63">
        <f t="shared" ca="1" si="9"/>
        <v>1.2263157894736842E-2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input_321103!A$2</f>
        <v>321103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IFERROR(VLOOKUP(E242,input_321103!L:R,7,FALSE),VLOOKUP(tables_321103!B242,input_321103!A:H,8,FALSE))</f>
        <v>12768</v>
      </c>
      <c r="N242" s="63">
        <f t="shared" ca="1" si="9"/>
        <v>8.571428571428571E-4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input_321103!A$2</f>
        <v>321103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IFERROR(VLOOKUP(E243,input_321103!L:R,7,FALSE),VLOOKUP(tables_321103!B243,input_321103!A:H,8,FALSE))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input_321103!A$2</f>
        <v>321103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IFERROR(VLOOKUP(E244,input_321103!L:R,7,FALSE),VLOOKUP(tables_321103!B244,input_321103!A:H,8,FALSE))</f>
        <v>182672</v>
      </c>
      <c r="N244" s="63">
        <f t="shared" ca="1" si="9"/>
        <v>1.2263157894736842E-2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input_321103!A$2</f>
        <v>321103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IFERROR(VLOOKUP(E245,input_321103!L:R,7,FALSE),VLOOKUP(tables_321103!B245,input_321103!A:H,8,FALSE))</f>
        <v>12768</v>
      </c>
      <c r="N245" s="63">
        <f t="shared" ca="1" si="9"/>
        <v>8.571428571428571E-4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input_321103!A$2</f>
        <v>321103</v>
      </c>
      <c r="B246" s="7" t="str">
        <f t="shared" si="10"/>
        <v>Premium3</v>
      </c>
      <c r="C246" s="7" t="str">
        <f t="shared" si="11"/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IFERROR(VLOOKUP(E246,input_321103!L:R,7,FALSE),VLOOKUP(tables_321103!B246,input_321103!A:H,8,FALSE))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input_321103!A$2</f>
        <v>321103</v>
      </c>
      <c r="B247" s="7" t="str">
        <f t="shared" si="10"/>
        <v>Premium4</v>
      </c>
      <c r="C247" s="7" t="str">
        <f t="shared" si="11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IFERROR(VLOOKUP(E247,input_321103!L:R,7,FALSE),VLOOKUP(tables_321103!B247,input_321103!A:H,8,FALSE))</f>
        <v>182672</v>
      </c>
      <c r="N247" s="63">
        <f t="shared" ca="1" si="9"/>
        <v>1.2263157894736842E-2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input_321103!A$2</f>
        <v>321103</v>
      </c>
      <c r="B248" s="7" t="str">
        <f t="shared" si="10"/>
        <v>Premium5</v>
      </c>
      <c r="C248" s="7" t="str">
        <f t="shared" si="11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IFERROR(VLOOKUP(E248,input_321103!L:R,7,FALSE),VLOOKUP(tables_321103!B248,input_321103!A:H,8,FALSE))</f>
        <v>12768</v>
      </c>
      <c r="N248" s="63">
        <f t="shared" ca="1" si="9"/>
        <v>8.571428571428571E-4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input_321103!A$2</f>
        <v>321103</v>
      </c>
      <c r="B249" s="7" t="str">
        <f t="shared" si="10"/>
        <v>Premium3</v>
      </c>
      <c r="C249" s="7" t="str">
        <f t="shared" si="11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IFERROR(VLOOKUP(E249,input_321103!L:R,7,FALSE),VLOOKUP(tables_321103!B249,input_321103!A:H,8,FALSE))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input_321103!A$2</f>
        <v>321103</v>
      </c>
      <c r="B250" s="7" t="str">
        <f t="shared" si="10"/>
        <v>Premium4</v>
      </c>
      <c r="C250" s="7" t="str">
        <f t="shared" si="11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IFERROR(VLOOKUP(E250,input_321103!L:R,7,FALSE),VLOOKUP(tables_321103!B250,input_321103!A:H,8,FALSE))</f>
        <v>182672</v>
      </c>
      <c r="N250" s="63">
        <f t="shared" ca="1" si="9"/>
        <v>1.2263157894736842E-2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input_321103!A$2</f>
        <v>321103</v>
      </c>
      <c r="B251" s="7" t="str">
        <f t="shared" si="10"/>
        <v>Premium5</v>
      </c>
      <c r="C251" s="7" t="str">
        <f t="shared" si="11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IFERROR(VLOOKUP(E251,input_321103!L:R,7,FALSE),VLOOKUP(tables_321103!B251,input_321103!A:H,8,FALSE))</f>
        <v>12768</v>
      </c>
      <c r="N251" s="63">
        <f t="shared" ca="1" si="9"/>
        <v>8.571428571428571E-4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input_321103!A$2</f>
        <v>321103</v>
      </c>
      <c r="B252" s="7" t="str">
        <f t="shared" si="10"/>
        <v>PremiumSS4</v>
      </c>
      <c r="C252" s="7" t="str">
        <f t="shared" si="11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IFERROR(VLOOKUP(E252,input_321103!L:R,7,FALSE),VLOOKUP(tables_321103!B252,input_321103!A:H,8,FALSE))</f>
        <v>9576</v>
      </c>
      <c r="N252" s="63">
        <f t="shared" ca="1" si="9"/>
        <v>6.4285714285714282E-4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input_321103!A$2</f>
        <v>321103</v>
      </c>
      <c r="B253" s="7" t="str">
        <f t="shared" si="10"/>
        <v>PremiumSS5</v>
      </c>
      <c r="C253" s="7" t="str">
        <f t="shared" si="11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IFERROR(VLOOKUP(E253,input_321103!L:R,7,FALSE),VLOOKUP(tables_321103!B253,input_321103!A:H,8,FALSE))</f>
        <v>1064</v>
      </c>
      <c r="N253" s="63">
        <f t="shared" ca="1" si="9"/>
        <v>7.1428571428571434E-5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input_321103!A$2</f>
        <v>321103</v>
      </c>
      <c r="B254" s="7" t="str">
        <f t="shared" si="10"/>
        <v>PremiumSS4</v>
      </c>
      <c r="C254" s="7" t="str">
        <f t="shared" si="11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IFERROR(VLOOKUP(E254,input_321103!L:R,7,FALSE),VLOOKUP(tables_321103!B254,input_321103!A:H,8,FALSE))</f>
        <v>9576</v>
      </c>
      <c r="N254" s="63">
        <f t="shared" ca="1" si="9"/>
        <v>6.4285714285714282E-4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input_321103!A$2</f>
        <v>321103</v>
      </c>
      <c r="B255" s="7" t="str">
        <f t="shared" si="10"/>
        <v>PremiumSS5</v>
      </c>
      <c r="C255" s="7" t="str">
        <f t="shared" si="11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IFERROR(VLOOKUP(E255,input_321103!L:R,7,FALSE),VLOOKUP(tables_321103!B255,input_321103!A:H,8,FALSE))</f>
        <v>1064</v>
      </c>
      <c r="N255" s="63">
        <f t="shared" ca="1" si="9"/>
        <v>7.1428571428571434E-5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input_321103!A$2</f>
        <v>321103</v>
      </c>
      <c r="B256" s="7" t="str">
        <f t="shared" si="10"/>
        <v>PremiumSS4</v>
      </c>
      <c r="C256" s="7" t="str">
        <f t="shared" si="11"/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IFERROR(VLOOKUP(E256,input_321103!L:R,7,FALSE),VLOOKUP(tables_321103!B256,input_321103!A:H,8,FALSE))</f>
        <v>9576</v>
      </c>
      <c r="N256" s="63">
        <f t="shared" ca="1" si="9"/>
        <v>6.4285714285714282E-4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input_321103!A$2</f>
        <v>321103</v>
      </c>
      <c r="B257" s="7" t="str">
        <f t="shared" si="10"/>
        <v>PremiumSS5</v>
      </c>
      <c r="C257" s="7" t="str">
        <f t="shared" si="11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IFERROR(VLOOKUP(E257,input_321103!L:R,7,FALSE),VLOOKUP(tables_321103!B257,input_321103!A:H,8,FALSE))</f>
        <v>1064</v>
      </c>
      <c r="N257" s="63">
        <f t="shared" ca="1" si="9"/>
        <v>7.1428571428571434E-5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input_321103!A$2</f>
        <v>321103</v>
      </c>
      <c r="B258" s="7" t="str">
        <f t="shared" si="10"/>
        <v>PremiumSS4</v>
      </c>
      <c r="C258" s="7" t="str">
        <f t="shared" si="11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IFERROR(VLOOKUP(E258,input_321103!L:R,7,FALSE),VLOOKUP(tables_321103!B258,input_321103!A:H,8,FALSE))</f>
        <v>9576</v>
      </c>
      <c r="N258" s="63">
        <f t="shared" ref="N258:N265" ca="1" si="12">M258/SUM(M:M)</f>
        <v>6.4285714285714282E-4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input_321103!A$2</f>
        <v>321103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IFERROR(VLOOKUP(E259,input_321103!L:R,7,FALSE),VLOOKUP(tables_321103!B259,input_321103!A:H,8,FALSE))</f>
        <v>1064</v>
      </c>
      <c r="N259" s="63">
        <f t="shared" ca="1" si="12"/>
        <v>7.1428571428571434E-5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input_321103!A$2</f>
        <v>321103</v>
      </c>
      <c r="B260" s="7" t="str">
        <f t="shared" si="13"/>
        <v>Premium3</v>
      </c>
      <c r="C260" s="7" t="str">
        <f t="shared" si="14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IFERROR(VLOOKUP(E260,input_321103!L:R,7,FALSE),VLOOKUP(tables_321103!B260,input_321103!A:H,8,FALSE))</f>
        <v>0</v>
      </c>
      <c r="N260" s="63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input_321103!A$2</f>
        <v>321103</v>
      </c>
      <c r="B261" s="7" t="str">
        <f t="shared" si="13"/>
        <v>Premium4</v>
      </c>
      <c r="C261" s="7" t="str">
        <f t="shared" si="14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IFERROR(VLOOKUP(E261,input_321103!L:R,7,FALSE),VLOOKUP(tables_321103!B261,input_321103!A:H,8,FALSE))</f>
        <v>182672</v>
      </c>
      <c r="N261" s="63">
        <f t="shared" ca="1" si="12"/>
        <v>1.2263157894736842E-2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input_321103!A$2</f>
        <v>321103</v>
      </c>
      <c r="B262" s="7" t="str">
        <f t="shared" si="13"/>
        <v>Premium5</v>
      </c>
      <c r="C262" s="7" t="str">
        <f t="shared" si="14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IFERROR(VLOOKUP(E262,input_321103!L:R,7,FALSE),VLOOKUP(tables_321103!B262,input_321103!A:H,8,FALSE))</f>
        <v>12768</v>
      </c>
      <c r="N262" s="63">
        <f t="shared" ca="1" si="12"/>
        <v>8.571428571428571E-4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input_321103!A$2</f>
        <v>321103</v>
      </c>
      <c r="B263" s="7" t="str">
        <f t="shared" si="13"/>
        <v>Premium3</v>
      </c>
      <c r="C263" s="7" t="str">
        <f t="shared" si="14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IFERROR(VLOOKUP(E263,input_321103!L:R,7,FALSE),VLOOKUP(tables_321103!B263,input_321103!A:H,8,FALSE))</f>
        <v>0</v>
      </c>
      <c r="N263" s="63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input_321103!A$2</f>
        <v>321103</v>
      </c>
      <c r="B264" s="7" t="str">
        <f t="shared" si="13"/>
        <v>Premium4</v>
      </c>
      <c r="C264" s="7" t="str">
        <f t="shared" si="14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IFERROR(VLOOKUP(E264,input_321103!L:R,7,FALSE),VLOOKUP(tables_321103!B264,input_321103!A:H,8,FALSE))</f>
        <v>182672</v>
      </c>
      <c r="N264" s="63">
        <f t="shared" ca="1" si="12"/>
        <v>1.2263157894736842E-2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input_321103!A$2</f>
        <v>321103</v>
      </c>
      <c r="B265" s="7" t="str">
        <f t="shared" si="13"/>
        <v>Premium5</v>
      </c>
      <c r="C265" s="7" t="str">
        <f t="shared" si="14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IFERROR(VLOOKUP(E265,input_321103!L:R,7,FALSE),VLOOKUP(tables_321103!B265,input_321103!A:H,8,FALSE))</f>
        <v>12768</v>
      </c>
      <c r="N265" s="63">
        <f t="shared" ca="1" si="12"/>
        <v>8.571428571428571E-4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R43"/>
  <sheetViews>
    <sheetView workbookViewId="0">
      <selection activeCell="B23" sqref="B23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321103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v>0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1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0.98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88">
        <v>0.02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v>76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</v>
      </c>
      <c r="C18" s="65">
        <f t="shared" si="3"/>
        <v>0</v>
      </c>
      <c r="D18" s="58">
        <f t="shared" si="4"/>
        <v>0</v>
      </c>
      <c r="E18">
        <v>76</v>
      </c>
      <c r="F18" s="60">
        <f t="shared" si="5"/>
        <v>0</v>
      </c>
      <c r="G18">
        <f t="shared" si="6"/>
        <v>0</v>
      </c>
      <c r="H18">
        <f t="shared" si="7"/>
        <v>0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v>0</v>
      </c>
      <c r="C19" s="65">
        <f t="shared" si="3"/>
        <v>0</v>
      </c>
      <c r="D19" s="58">
        <f t="shared" si="4"/>
        <v>0</v>
      </c>
      <c r="E19">
        <v>28</v>
      </c>
      <c r="F19" s="60">
        <f t="shared" si="5"/>
        <v>0</v>
      </c>
      <c r="G19">
        <f t="shared" si="6"/>
        <v>0</v>
      </c>
      <c r="H19">
        <f t="shared" si="7"/>
        <v>0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0.98</v>
      </c>
      <c r="C21" s="65">
        <f t="shared" si="3"/>
        <v>0</v>
      </c>
      <c r="D21" s="58">
        <f t="shared" si="4"/>
        <v>0.98</v>
      </c>
      <c r="E21">
        <v>56</v>
      </c>
      <c r="F21" s="60">
        <f t="shared" si="5"/>
        <v>1.7499999999999998E-2</v>
      </c>
      <c r="G21">
        <f t="shared" si="6"/>
        <v>1536640</v>
      </c>
      <c r="H21">
        <f t="shared" si="7"/>
        <v>27440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v>0.02</v>
      </c>
      <c r="C22" s="65">
        <f t="shared" si="3"/>
        <v>0</v>
      </c>
      <c r="D22" s="58">
        <f t="shared" si="4"/>
        <v>0.02</v>
      </c>
      <c r="E22">
        <v>28</v>
      </c>
      <c r="F22" s="60">
        <f t="shared" si="5"/>
        <v>7.1428571428571429E-4</v>
      </c>
      <c r="G22">
        <f t="shared" si="6"/>
        <v>31360</v>
      </c>
      <c r="H22">
        <f t="shared" si="7"/>
        <v>1120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28*56*1000</f>
        <v>1568000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SUMIF(tables_settle_321103!B:B,input_settle_321103!A36,tables_settle_321103!M:M)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SUMIF(tables_settle_321103!B:B,input_settle_321103!A37,tables_settle_321103!M:M)</f>
        <v>0</v>
      </c>
      <c r="C37" s="72">
        <f t="shared" ca="1" si="10"/>
        <v>0</v>
      </c>
      <c r="E37">
        <v>4</v>
      </c>
      <c r="F37" s="73">
        <f ca="1">SUM(C37:C39)</f>
        <v>0</v>
      </c>
    </row>
    <row r="38" spans="1:6">
      <c r="A38" s="47" t="s">
        <v>132</v>
      </c>
      <c r="B38">
        <f ca="1">SUMIF(tables_settle_321103!B:B,input_settle_321103!A38,tables_settle_321103!M:M)</f>
        <v>0</v>
      </c>
      <c r="C38" s="72">
        <f t="shared" ca="1" si="10"/>
        <v>0</v>
      </c>
      <c r="E38">
        <v>5</v>
      </c>
      <c r="F38" s="73">
        <f ca="1">SUM(C40:C42)</f>
        <v>1</v>
      </c>
    </row>
    <row r="39" spans="1:6">
      <c r="A39" s="47" t="s">
        <v>129</v>
      </c>
      <c r="B39">
        <f>SUMIF(tables_settle_321103!B:B,input_settle_321103!A39,tables_settle_321103!M:M)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SUMIF(tables_settle_321103!B:B,input_settle_321103!A40,tables_settle_321103!M:M)</f>
        <v>1536640</v>
      </c>
      <c r="C40" s="72">
        <f t="shared" ca="1" si="10"/>
        <v>0.98</v>
      </c>
      <c r="E40" t="s">
        <v>68</v>
      </c>
    </row>
    <row r="41" spans="1:6">
      <c r="A41" s="47" t="s">
        <v>134</v>
      </c>
      <c r="B41">
        <f ca="1">SUMIF(tables_settle_321103!B:B,input_settle_321103!A41,tables_settle_321103!M:M)</f>
        <v>31360</v>
      </c>
      <c r="C41" s="72">
        <f t="shared" ca="1" si="10"/>
        <v>0.02</v>
      </c>
      <c r="E41" t="s">
        <v>121</v>
      </c>
      <c r="F41" s="73">
        <f ca="1">C36+C37+C40</f>
        <v>0.98</v>
      </c>
    </row>
    <row r="42" spans="1:6">
      <c r="A42" s="47" t="s">
        <v>135</v>
      </c>
      <c r="B42">
        <f>SUMIF(tables_settle_321103!B:B,input_settle_321103!A42,tables_settle_321103!M:M)</f>
        <v>0</v>
      </c>
      <c r="C42" s="72">
        <f t="shared" ca="1" si="10"/>
        <v>0</v>
      </c>
      <c r="E42" t="s">
        <v>122</v>
      </c>
      <c r="F42" s="73">
        <f ca="1">C38+C41</f>
        <v>0.02</v>
      </c>
    </row>
    <row r="43" spans="1:6">
      <c r="A43" s="55" t="s">
        <v>74</v>
      </c>
      <c r="B43">
        <f ca="1">SUM(B36:B42)</f>
        <v>1568000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44" activePane="bottomLeft" state="frozen"/>
      <selection activeCell="B12" sqref="B12"/>
      <selection pane="bottomLeft" activeCell="G164" sqref="G164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input_settle_321103!A$2</f>
        <v>321103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IFERROR(VLOOKUP(E2,input_settle_321103!L:R,7,FALSE),VLOOKUP(tables_settle_321103!B2,input_settle_321103!A:H,8,FALSE))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input_settle_321103!A$2</f>
        <v>321103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IFERROR(VLOOKUP(E3,input_settle_321103!L:R,7,FALSE),VLOOKUP(tables_settle_321103!B3,input_settle_321103!A:H,8,FALSE))</f>
        <v>0</v>
      </c>
      <c r="N3" s="63">
        <f t="shared" ca="1" si="0"/>
        <v>0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input_settle_321103!A$2</f>
        <v>321103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IFERROR(VLOOKUP(E4,input_settle_321103!L:R,7,FALSE),VLOOKUP(tables_settle_321103!B4,input_settle_321103!A:H,8,FALSE))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input_settle_321103!A$2</f>
        <v>321103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IFERROR(VLOOKUP(E5,input_settle_321103!L:R,7,FALSE),VLOOKUP(tables_settle_321103!B5,input_settle_321103!A:H,8,FALSE))</f>
        <v>0</v>
      </c>
      <c r="N5" s="63">
        <f t="shared" ca="1" si="0"/>
        <v>0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input_settle_321103!A$2</f>
        <v>321103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IFERROR(VLOOKUP(E6,input_settle_321103!L:R,7,FALSE),VLOOKUP(tables_settle_321103!B6,input_settle_321103!A:H,8,FALSE))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input_settle_321103!A$2</f>
        <v>321103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IFERROR(VLOOKUP(E7,input_settle_321103!L:R,7,FALSE),VLOOKUP(tables_settle_321103!B7,input_settle_321103!A:H,8,FALSE))</f>
        <v>0</v>
      </c>
      <c r="N7" s="63">
        <f t="shared" ca="1" si="0"/>
        <v>0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input_settle_321103!A$2</f>
        <v>321103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IFERROR(VLOOKUP(E8,input_settle_321103!L:R,7,FALSE),VLOOKUP(tables_settle_321103!B8,input_settle_321103!A:H,8,FALSE))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input_settle_321103!A$2</f>
        <v>321103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IFERROR(VLOOKUP(E9,input_settle_321103!L:R,7,FALSE),VLOOKUP(tables_settle_321103!B9,input_settle_321103!A:H,8,FALSE))</f>
        <v>0</v>
      </c>
      <c r="N9" s="63">
        <f t="shared" ca="1" si="0"/>
        <v>0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input_settle_321103!A$2</f>
        <v>321103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IFERROR(VLOOKUP(E10,input_settle_321103!L:R,7,FALSE),VLOOKUP(tables_settle_321103!B10,input_settle_321103!A:H,8,FALSE))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input_settle_321103!A$2</f>
        <v>321103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IFERROR(VLOOKUP(E11,input_settle_321103!L:R,7,FALSE),VLOOKUP(tables_settle_321103!B11,input_settle_321103!A:H,8,FALSE))</f>
        <v>0</v>
      </c>
      <c r="N11" s="63">
        <f t="shared" ca="1" si="0"/>
        <v>0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input_settle_321103!A$2</f>
        <v>321103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IFERROR(VLOOKUP(E12,input_settle_321103!L:R,7,FALSE),VLOOKUP(tables_settle_321103!B12,input_settle_321103!A:H,8,FALSE))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input_settle_321103!A$2</f>
        <v>321103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IFERROR(VLOOKUP(E13,input_settle_321103!L:R,7,FALSE),VLOOKUP(tables_settle_321103!B13,input_settle_321103!A:H,8,FALSE))</f>
        <v>0</v>
      </c>
      <c r="N13" s="63">
        <f t="shared" ca="1" si="0"/>
        <v>0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input_settle_321103!A$2</f>
        <v>321103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IFERROR(VLOOKUP(E14,input_settle_321103!L:R,7,FALSE),VLOOKUP(tables_settle_321103!B14,input_settle_321103!A:H,8,FALSE))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input_settle_321103!A$2</f>
        <v>321103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IFERROR(VLOOKUP(E15,input_settle_321103!L:R,7,FALSE),VLOOKUP(tables_settle_321103!B15,input_settle_321103!A:H,8,FALSE))</f>
        <v>0</v>
      </c>
      <c r="N15" s="63">
        <f t="shared" ca="1" si="0"/>
        <v>0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input_settle_321103!A$2</f>
        <v>321103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IFERROR(VLOOKUP(E16,input_settle_321103!L:R,7,FALSE),VLOOKUP(tables_settle_321103!B16,input_settle_321103!A:H,8,FALSE))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input_settle_321103!A$2</f>
        <v>321103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IFERROR(VLOOKUP(E17,input_settle_321103!L:R,7,FALSE),VLOOKUP(tables_settle_321103!B17,input_settle_321103!A:H,8,FALSE))</f>
        <v>0</v>
      </c>
      <c r="N17" s="63">
        <f t="shared" ca="1" si="0"/>
        <v>0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input_settle_321103!A$2</f>
        <v>321103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IFERROR(VLOOKUP(E18,input_settle_321103!L:R,7,FALSE),VLOOKUP(tables_settle_321103!B18,input_settle_321103!A:H,8,FALSE))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input_settle_321103!A$2</f>
        <v>321103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IFERROR(VLOOKUP(E19,input_settle_321103!L:R,7,FALSE),VLOOKUP(tables_settle_321103!B19,input_settle_321103!A:H,8,FALSE))</f>
        <v>0</v>
      </c>
      <c r="N19" s="63">
        <f t="shared" ca="1" si="0"/>
        <v>0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input_settle_321103!A$2</f>
        <v>321103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IFERROR(VLOOKUP(E20,input_settle_321103!L:R,7,FALSE),VLOOKUP(tables_settle_321103!B20,input_settle_321103!A:H,8,FALSE))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input_settle_321103!A$2</f>
        <v>321103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IFERROR(VLOOKUP(E21,input_settle_321103!L:R,7,FALSE),VLOOKUP(tables_settle_321103!B21,input_settle_321103!A:H,8,FALSE))</f>
        <v>0</v>
      </c>
      <c r="N21" s="63">
        <f t="shared" ca="1" si="0"/>
        <v>0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input_settle_321103!A$2</f>
        <v>321103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IFERROR(VLOOKUP(E22,input_settle_321103!L:R,7,FALSE),VLOOKUP(tables_settle_321103!B22,input_settle_321103!A:H,8,FALSE))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input_settle_321103!A$2</f>
        <v>321103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IFERROR(VLOOKUP(E23,input_settle_321103!L:R,7,FALSE),VLOOKUP(tables_settle_321103!B23,input_settle_321103!A:H,8,FALSE))</f>
        <v>0</v>
      </c>
      <c r="N23" s="63">
        <f t="shared" ca="1" si="0"/>
        <v>0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input_settle_321103!A$2</f>
        <v>321103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IFERROR(VLOOKUP(E24,input_settle_321103!L:R,7,FALSE),VLOOKUP(tables_settle_321103!B24,input_settle_321103!A:H,8,FALSE))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input_settle_321103!A$2</f>
        <v>321103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IFERROR(VLOOKUP(E25,input_settle_321103!L:R,7,FALSE),VLOOKUP(tables_settle_321103!B25,input_settle_321103!A:H,8,FALSE))</f>
        <v>0</v>
      </c>
      <c r="N25" s="63">
        <f t="shared" ca="1" si="0"/>
        <v>0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input_settle_321103!A$2</f>
        <v>321103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IFERROR(VLOOKUP(E26,input_settle_321103!L:R,7,FALSE),VLOOKUP(tables_settle_321103!B26,input_settle_321103!A:H,8,FALSE))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input_settle_321103!A$2</f>
        <v>321103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IFERROR(VLOOKUP(E27,input_settle_321103!L:R,7,FALSE),VLOOKUP(tables_settle_321103!B27,input_settle_321103!A:H,8,FALSE))</f>
        <v>0</v>
      </c>
      <c r="N27" s="63">
        <f t="shared" ca="1" si="0"/>
        <v>0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input_settle_321103!A$2</f>
        <v>321103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IFERROR(VLOOKUP(E28,input_settle_321103!L:R,7,FALSE),VLOOKUP(tables_settle_321103!B28,input_settle_321103!A:H,8,FALSE))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input_settle_321103!A$2</f>
        <v>321103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IFERROR(VLOOKUP(E29,input_settle_321103!L:R,7,FALSE),VLOOKUP(tables_settle_321103!B29,input_settle_321103!A:H,8,FALSE))</f>
        <v>0</v>
      </c>
      <c r="N29" s="63">
        <f t="shared" ca="1" si="0"/>
        <v>0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input_settle_321103!A$2</f>
        <v>321103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IFERROR(VLOOKUP(E30,input_settle_321103!L:R,7,FALSE),VLOOKUP(tables_settle_321103!B30,input_settle_321103!A:H,8,FALSE))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input_settle_321103!A$2</f>
        <v>321103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IFERROR(VLOOKUP(E31,input_settle_321103!L:R,7,FALSE),VLOOKUP(tables_settle_321103!B31,input_settle_321103!A:H,8,FALSE))</f>
        <v>0</v>
      </c>
      <c r="N31" s="63">
        <f t="shared" ca="1" si="0"/>
        <v>0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input_settle_321103!A$2</f>
        <v>321103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IFERROR(VLOOKUP(E32,input_settle_321103!L:R,7,FALSE),VLOOKUP(tables_settle_321103!B32,input_settle_321103!A:H,8,FALSE))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input_settle_321103!A$2</f>
        <v>321103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IFERROR(VLOOKUP(E33,input_settle_321103!L:R,7,FALSE),VLOOKUP(tables_settle_321103!B33,input_settle_321103!A:H,8,FALSE))</f>
        <v>0</v>
      </c>
      <c r="N33" s="63">
        <f t="shared" ca="1" si="0"/>
        <v>0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input_settle_321103!A$2</f>
        <v>321103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IFERROR(VLOOKUP(E34,input_settle_321103!L:R,7,FALSE),VLOOKUP(tables_settle_321103!B34,input_settle_321103!A:H,8,FALSE))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input_settle_321103!A$2</f>
        <v>321103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IFERROR(VLOOKUP(E35,input_settle_321103!L:R,7,FALSE),VLOOKUP(tables_settle_321103!B35,input_settle_321103!A:H,8,FALSE))</f>
        <v>0</v>
      </c>
      <c r="N35" s="63">
        <f t="shared" ca="1" si="0"/>
        <v>0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input_settle_321103!A$2</f>
        <v>321103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IFERROR(VLOOKUP(E36,input_settle_321103!L:R,7,FALSE),VLOOKUP(tables_settle_321103!B36,input_settle_321103!A:H,8,FALSE))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input_settle_321103!A$2</f>
        <v>321103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IFERROR(VLOOKUP(E37,input_settle_321103!L:R,7,FALSE),VLOOKUP(tables_settle_321103!B37,input_settle_321103!A:H,8,FALSE))</f>
        <v>0</v>
      </c>
      <c r="N37" s="63">
        <f t="shared" ca="1" si="0"/>
        <v>0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input_settle_321103!A$2</f>
        <v>321103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IFERROR(VLOOKUP(E38,input_settle_321103!L:R,7,FALSE),VLOOKUP(tables_settle_321103!B38,input_settle_321103!A:H,8,FALSE))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input_settle_321103!A$2</f>
        <v>321103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IFERROR(VLOOKUP(E39,input_settle_321103!L:R,7,FALSE),VLOOKUP(tables_settle_321103!B39,input_settle_321103!A:H,8,FALSE))</f>
        <v>0</v>
      </c>
      <c r="N39" s="63">
        <f t="shared" ca="1" si="0"/>
        <v>0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input_settle_321103!A$2</f>
        <v>321103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IFERROR(VLOOKUP(E40,input_settle_321103!L:R,7,FALSE),VLOOKUP(tables_settle_321103!B40,input_settle_321103!A:H,8,FALSE))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input_settle_321103!A$2</f>
        <v>321103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IFERROR(VLOOKUP(E41,input_settle_321103!L:R,7,FALSE),VLOOKUP(tables_settle_321103!B41,input_settle_321103!A:H,8,FALSE))</f>
        <v>0</v>
      </c>
      <c r="N41" s="63">
        <f t="shared" ca="1" si="0"/>
        <v>0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input_settle_321103!A$2</f>
        <v>321103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IFERROR(VLOOKUP(E42,input_settle_321103!L:R,7,FALSE),VLOOKUP(tables_settle_321103!B42,input_settle_321103!A:H,8,FALSE))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input_settle_321103!A$2</f>
        <v>321103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IFERROR(VLOOKUP(E43,input_settle_321103!L:R,7,FALSE),VLOOKUP(tables_settle_321103!B43,input_settle_321103!A:H,8,FALSE))</f>
        <v>0</v>
      </c>
      <c r="N43" s="63">
        <f t="shared" ca="1" si="0"/>
        <v>0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input_settle_321103!A$2</f>
        <v>321103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IFERROR(VLOOKUP(E44,input_settle_321103!L:R,7,FALSE),VLOOKUP(tables_settle_321103!B44,input_settle_321103!A:H,8,FALSE))</f>
        <v>27440</v>
      </c>
      <c r="N44" s="63">
        <f t="shared" ca="1" si="0"/>
        <v>1.7500000000000002E-2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input_settle_321103!A$2</f>
        <v>321103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IFERROR(VLOOKUP(E45,input_settle_321103!L:R,7,FALSE),VLOOKUP(tables_settle_321103!B45,input_settle_321103!A:H,8,FALSE))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input_settle_321103!A$2</f>
        <v>321103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IFERROR(VLOOKUP(E46,input_settle_321103!L:R,7,FALSE),VLOOKUP(tables_settle_321103!B46,input_settle_321103!A:H,8,FALSE))</f>
        <v>0</v>
      </c>
      <c r="N46" s="63">
        <f t="shared" ca="1" si="0"/>
        <v>0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input_settle_321103!A$2</f>
        <v>321103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IFERROR(VLOOKUP(E47,input_settle_321103!L:R,7,FALSE),VLOOKUP(tables_settle_321103!B47,input_settle_321103!A:H,8,FALSE))</f>
        <v>27440</v>
      </c>
      <c r="N47" s="63">
        <f t="shared" ca="1" si="0"/>
        <v>1.7500000000000002E-2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input_settle_321103!A$2</f>
        <v>321103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IFERROR(VLOOKUP(E48,input_settle_321103!L:R,7,FALSE),VLOOKUP(tables_settle_321103!B48,input_settle_321103!A:H,8,FALSE))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input_settle_321103!A$2</f>
        <v>321103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IFERROR(VLOOKUP(E49,input_settle_321103!L:R,7,FALSE),VLOOKUP(tables_settle_321103!B49,input_settle_321103!A:H,8,FALSE))</f>
        <v>0</v>
      </c>
      <c r="N49" s="63">
        <f t="shared" ca="1" si="0"/>
        <v>0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input_settle_321103!A$2</f>
        <v>321103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IFERROR(VLOOKUP(E50,input_settle_321103!L:R,7,FALSE),VLOOKUP(tables_settle_321103!B50,input_settle_321103!A:H,8,FALSE))</f>
        <v>27440</v>
      </c>
      <c r="N50" s="63">
        <f t="shared" ca="1" si="0"/>
        <v>1.7500000000000002E-2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input_settle_321103!A$2</f>
        <v>321103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IFERROR(VLOOKUP(E51,input_settle_321103!L:R,7,FALSE),VLOOKUP(tables_settle_321103!B51,input_settle_321103!A:H,8,FALSE))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input_settle_321103!A$2</f>
        <v>321103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IFERROR(VLOOKUP(E52,input_settle_321103!L:R,7,FALSE),VLOOKUP(tables_settle_321103!B52,input_settle_321103!A:H,8,FALSE))</f>
        <v>0</v>
      </c>
      <c r="N52" s="63">
        <f t="shared" ca="1" si="0"/>
        <v>0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input_settle_321103!A$2</f>
        <v>321103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IFERROR(VLOOKUP(E53,input_settle_321103!L:R,7,FALSE),VLOOKUP(tables_settle_321103!B53,input_settle_321103!A:H,8,FALSE))</f>
        <v>27440</v>
      </c>
      <c r="N53" s="63">
        <f t="shared" ca="1" si="0"/>
        <v>1.7500000000000002E-2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input_settle_321103!A$2</f>
        <v>321103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IFERROR(VLOOKUP(E54,input_settle_321103!L:R,7,FALSE),VLOOKUP(tables_settle_321103!B54,input_settle_321103!A:H,8,FALSE))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input_settle_321103!A$2</f>
        <v>321103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IFERROR(VLOOKUP(E55,input_settle_321103!L:R,7,FALSE),VLOOKUP(tables_settle_321103!B55,input_settle_321103!A:H,8,FALSE))</f>
        <v>0</v>
      </c>
      <c r="N55" s="63">
        <f t="shared" ca="1" si="0"/>
        <v>0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input_settle_321103!A$2</f>
        <v>321103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IFERROR(VLOOKUP(E56,input_settle_321103!L:R,7,FALSE),VLOOKUP(tables_settle_321103!B56,input_settle_321103!A:H,8,FALSE))</f>
        <v>27440</v>
      </c>
      <c r="N56" s="63">
        <f t="shared" ca="1" si="0"/>
        <v>1.7500000000000002E-2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input_settle_321103!A$2</f>
        <v>321103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IFERROR(VLOOKUP(E57,input_settle_321103!L:R,7,FALSE),VLOOKUP(tables_settle_321103!B57,input_settle_321103!A:H,8,FALSE))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input_settle_321103!A$2</f>
        <v>321103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IFERROR(VLOOKUP(E58,input_settle_321103!L:R,7,FALSE),VLOOKUP(tables_settle_321103!B58,input_settle_321103!A:H,8,FALSE))</f>
        <v>0</v>
      </c>
      <c r="N58" s="63">
        <f t="shared" ca="1" si="0"/>
        <v>0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input_settle_321103!A$2</f>
        <v>321103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IFERROR(VLOOKUP(E59,input_settle_321103!L:R,7,FALSE),VLOOKUP(tables_settle_321103!B59,input_settle_321103!A:H,8,FALSE))</f>
        <v>27440</v>
      </c>
      <c r="N59" s="63">
        <f t="shared" ca="1" si="0"/>
        <v>1.7500000000000002E-2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input_settle_321103!A$2</f>
        <v>321103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IFERROR(VLOOKUP(E60,input_settle_321103!L:R,7,FALSE),VLOOKUP(tables_settle_321103!B60,input_settle_321103!A:H,8,FALSE))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input_settle_321103!A$2</f>
        <v>321103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IFERROR(VLOOKUP(E61,input_settle_321103!L:R,7,FALSE),VLOOKUP(tables_settle_321103!B61,input_settle_321103!A:H,8,FALSE))</f>
        <v>0</v>
      </c>
      <c r="N61" s="63">
        <f t="shared" ca="1" si="0"/>
        <v>0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input_settle_321103!A$2</f>
        <v>321103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IFERROR(VLOOKUP(E62,input_settle_321103!L:R,7,FALSE),VLOOKUP(tables_settle_321103!B62,input_settle_321103!A:H,8,FALSE))</f>
        <v>27440</v>
      </c>
      <c r="N62" s="63">
        <f t="shared" ca="1" si="0"/>
        <v>1.7500000000000002E-2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input_settle_321103!A$2</f>
        <v>321103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IFERROR(VLOOKUP(E63,input_settle_321103!L:R,7,FALSE),VLOOKUP(tables_settle_321103!B63,input_settle_321103!A:H,8,FALSE))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input_settle_321103!A$2</f>
        <v>321103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IFERROR(VLOOKUP(E64,input_settle_321103!L:R,7,FALSE),VLOOKUP(tables_settle_321103!B64,input_settle_321103!A:H,8,FALSE))</f>
        <v>0</v>
      </c>
      <c r="N64" s="63">
        <f t="shared" ca="1" si="0"/>
        <v>0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input_settle_321103!A$2</f>
        <v>321103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IFERROR(VLOOKUP(E65,input_settle_321103!L:R,7,FALSE),VLOOKUP(tables_settle_321103!B65,input_settle_321103!A:H,8,FALSE))</f>
        <v>27440</v>
      </c>
      <c r="N65" s="63">
        <f t="shared" ca="1" si="0"/>
        <v>1.7500000000000002E-2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input_settle_321103!A$2</f>
        <v>321103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IFERROR(VLOOKUP(E66,input_settle_321103!L:R,7,FALSE),VLOOKUP(tables_settle_321103!B66,input_settle_321103!A:H,8,FALSE))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input_settle_321103!A$2</f>
        <v>321103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IFERROR(VLOOKUP(E67,input_settle_321103!L:R,7,FALSE),VLOOKUP(tables_settle_321103!B67,input_settle_321103!A:H,8,FALSE))</f>
        <v>0</v>
      </c>
      <c r="N67" s="63">
        <f t="shared" ca="1" si="3"/>
        <v>0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input_settle_321103!A$2</f>
        <v>321103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IFERROR(VLOOKUP(E68,input_settle_321103!L:R,7,FALSE),VLOOKUP(tables_settle_321103!B68,input_settle_321103!A:H,8,FALSE))</f>
        <v>27440</v>
      </c>
      <c r="N68" s="63">
        <f t="shared" ca="1" si="3"/>
        <v>1.7500000000000002E-2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input_settle_321103!A$2</f>
        <v>321103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IFERROR(VLOOKUP(E69,input_settle_321103!L:R,7,FALSE),VLOOKUP(tables_settle_321103!B69,input_settle_321103!A:H,8,FALSE))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input_settle_321103!A$2</f>
        <v>321103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IFERROR(VLOOKUP(E70,input_settle_321103!L:R,7,FALSE),VLOOKUP(tables_settle_321103!B70,input_settle_321103!A:H,8,FALSE))</f>
        <v>0</v>
      </c>
      <c r="N70" s="63">
        <f t="shared" ca="1" si="3"/>
        <v>0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input_settle_321103!A$2</f>
        <v>321103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IFERROR(VLOOKUP(E71,input_settle_321103!L:R,7,FALSE),VLOOKUP(tables_settle_321103!B71,input_settle_321103!A:H,8,FALSE))</f>
        <v>27440</v>
      </c>
      <c r="N71" s="63">
        <f t="shared" ca="1" si="3"/>
        <v>1.7500000000000002E-2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input_settle_321103!A$2</f>
        <v>321103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IFERROR(VLOOKUP(E72,input_settle_321103!L:R,7,FALSE),VLOOKUP(tables_settle_321103!B72,input_settle_321103!A:H,8,FALSE))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input_settle_321103!A$2</f>
        <v>321103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IFERROR(VLOOKUP(E73,input_settle_321103!L:R,7,FALSE),VLOOKUP(tables_settle_321103!B73,input_settle_321103!A:H,8,FALSE))</f>
        <v>0</v>
      </c>
      <c r="N73" s="63">
        <f t="shared" ca="1" si="3"/>
        <v>0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input_settle_321103!A$2</f>
        <v>321103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IFERROR(VLOOKUP(E74,input_settle_321103!L:R,7,FALSE),VLOOKUP(tables_settle_321103!B74,input_settle_321103!A:H,8,FALSE))</f>
        <v>27440</v>
      </c>
      <c r="N74" s="63">
        <f t="shared" ca="1" si="3"/>
        <v>1.7500000000000002E-2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input_settle_321103!A$2</f>
        <v>321103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IFERROR(VLOOKUP(E75,input_settle_321103!L:R,7,FALSE),VLOOKUP(tables_settle_321103!B75,input_settle_321103!A:H,8,FALSE))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input_settle_321103!A$2</f>
        <v>321103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IFERROR(VLOOKUP(E76,input_settle_321103!L:R,7,FALSE),VLOOKUP(tables_settle_321103!B76,input_settle_321103!A:H,8,FALSE))</f>
        <v>0</v>
      </c>
      <c r="N76" s="63">
        <f t="shared" ca="1" si="3"/>
        <v>0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input_settle_321103!A$2</f>
        <v>321103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IFERROR(VLOOKUP(E77,input_settle_321103!L:R,7,FALSE),VLOOKUP(tables_settle_321103!B77,input_settle_321103!A:H,8,FALSE))</f>
        <v>27440</v>
      </c>
      <c r="N77" s="63">
        <f t="shared" ca="1" si="3"/>
        <v>1.7500000000000002E-2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input_settle_321103!A$2</f>
        <v>321103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IFERROR(VLOOKUP(E78,input_settle_321103!L:R,7,FALSE),VLOOKUP(tables_settle_321103!B78,input_settle_321103!A:H,8,FALSE))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input_settle_321103!A$2</f>
        <v>321103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IFERROR(VLOOKUP(E79,input_settle_321103!L:R,7,FALSE),VLOOKUP(tables_settle_321103!B79,input_settle_321103!A:H,8,FALSE))</f>
        <v>0</v>
      </c>
      <c r="N79" s="63">
        <f t="shared" ca="1" si="3"/>
        <v>0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input_settle_321103!A$2</f>
        <v>321103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IFERROR(VLOOKUP(E80,input_settle_321103!L:R,7,FALSE),VLOOKUP(tables_settle_321103!B80,input_settle_321103!A:H,8,FALSE))</f>
        <v>27440</v>
      </c>
      <c r="N80" s="63">
        <f t="shared" ca="1" si="3"/>
        <v>1.7500000000000002E-2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input_settle_321103!A$2</f>
        <v>321103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IFERROR(VLOOKUP(E81,input_settle_321103!L:R,7,FALSE),VLOOKUP(tables_settle_321103!B81,input_settle_321103!A:H,8,FALSE))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input_settle_321103!A$2</f>
        <v>321103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IFERROR(VLOOKUP(E82,input_settle_321103!L:R,7,FALSE),VLOOKUP(tables_settle_321103!B82,input_settle_321103!A:H,8,FALSE))</f>
        <v>0</v>
      </c>
      <c r="N82" s="63">
        <f t="shared" ca="1" si="3"/>
        <v>0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input_settle_321103!A$2</f>
        <v>321103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IFERROR(VLOOKUP(E83,input_settle_321103!L:R,7,FALSE),VLOOKUP(tables_settle_321103!B83,input_settle_321103!A:H,8,FALSE))</f>
        <v>27440</v>
      </c>
      <c r="N83" s="63">
        <f t="shared" ca="1" si="3"/>
        <v>1.7500000000000002E-2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input_settle_321103!A$2</f>
        <v>321103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IFERROR(VLOOKUP(E84,input_settle_321103!L:R,7,FALSE),VLOOKUP(tables_settle_321103!B84,input_settle_321103!A:H,8,FALSE))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input_settle_321103!A$2</f>
        <v>321103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IFERROR(VLOOKUP(E85,input_settle_321103!L:R,7,FALSE),VLOOKUP(tables_settle_321103!B85,input_settle_321103!A:H,8,FALSE))</f>
        <v>0</v>
      </c>
      <c r="N85" s="63">
        <f t="shared" ca="1" si="3"/>
        <v>0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input_settle_321103!A$2</f>
        <v>321103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IFERROR(VLOOKUP(E86,input_settle_321103!L:R,7,FALSE),VLOOKUP(tables_settle_321103!B86,input_settle_321103!A:H,8,FALSE))</f>
        <v>27440</v>
      </c>
      <c r="N86" s="63">
        <f t="shared" ca="1" si="3"/>
        <v>1.7500000000000002E-2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input_settle_321103!A$2</f>
        <v>321103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IFERROR(VLOOKUP(E87,input_settle_321103!L:R,7,FALSE),VLOOKUP(tables_settle_321103!B87,input_settle_321103!A:H,8,FALSE))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input_settle_321103!A$2</f>
        <v>321103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IFERROR(VLOOKUP(E88,input_settle_321103!L:R,7,FALSE),VLOOKUP(tables_settle_321103!B88,input_settle_321103!A:H,8,FALSE))</f>
        <v>0</v>
      </c>
      <c r="N88" s="63">
        <f t="shared" ca="1" si="3"/>
        <v>0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input_settle_321103!A$2</f>
        <v>321103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IFERROR(VLOOKUP(E89,input_settle_321103!L:R,7,FALSE),VLOOKUP(tables_settle_321103!B89,input_settle_321103!A:H,8,FALSE))</f>
        <v>27440</v>
      </c>
      <c r="N89" s="63">
        <f t="shared" ca="1" si="3"/>
        <v>1.7500000000000002E-2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input_settle_321103!A$2</f>
        <v>321103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IFERROR(VLOOKUP(E90,input_settle_321103!L:R,7,FALSE),VLOOKUP(tables_settle_321103!B90,input_settle_321103!A:H,8,FALSE))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input_settle_321103!A$2</f>
        <v>321103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IFERROR(VLOOKUP(E91,input_settle_321103!L:R,7,FALSE),VLOOKUP(tables_settle_321103!B91,input_settle_321103!A:H,8,FALSE))</f>
        <v>0</v>
      </c>
      <c r="N91" s="63">
        <f t="shared" ca="1" si="3"/>
        <v>0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input_settle_321103!A$2</f>
        <v>321103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IFERROR(VLOOKUP(E92,input_settle_321103!L:R,7,FALSE),VLOOKUP(tables_settle_321103!B92,input_settle_321103!A:H,8,FALSE))</f>
        <v>27440</v>
      </c>
      <c r="N92" s="63">
        <f t="shared" ca="1" si="3"/>
        <v>1.7500000000000002E-2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input_settle_321103!A$2</f>
        <v>321103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IFERROR(VLOOKUP(E93,input_settle_321103!L:R,7,FALSE),VLOOKUP(tables_settle_321103!B93,input_settle_321103!A:H,8,FALSE))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input_settle_321103!A$2</f>
        <v>321103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IFERROR(VLOOKUP(E94,input_settle_321103!L:R,7,FALSE),VLOOKUP(tables_settle_321103!B94,input_settle_321103!A:H,8,FALSE))</f>
        <v>0</v>
      </c>
      <c r="N94" s="63">
        <f t="shared" ca="1" si="3"/>
        <v>0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input_settle_321103!A$2</f>
        <v>321103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IFERROR(VLOOKUP(E95,input_settle_321103!L:R,7,FALSE),VLOOKUP(tables_settle_321103!B95,input_settle_321103!A:H,8,FALSE))</f>
        <v>27440</v>
      </c>
      <c r="N95" s="63">
        <f t="shared" ca="1" si="3"/>
        <v>1.7500000000000002E-2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input_settle_321103!A$2</f>
        <v>321103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IFERROR(VLOOKUP(E96,input_settle_321103!L:R,7,FALSE),VLOOKUP(tables_settle_321103!B96,input_settle_321103!A:H,8,FALSE))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input_settle_321103!A$2</f>
        <v>321103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IFERROR(VLOOKUP(E97,input_settle_321103!L:R,7,FALSE),VLOOKUP(tables_settle_321103!B97,input_settle_321103!A:H,8,FALSE))</f>
        <v>0</v>
      </c>
      <c r="N97" s="63">
        <f t="shared" ca="1" si="3"/>
        <v>0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input_settle_321103!A$2</f>
        <v>321103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IFERROR(VLOOKUP(E98,input_settle_321103!L:R,7,FALSE),VLOOKUP(tables_settle_321103!B98,input_settle_321103!A:H,8,FALSE))</f>
        <v>27440</v>
      </c>
      <c r="N98" s="63">
        <f t="shared" ca="1" si="3"/>
        <v>1.7500000000000002E-2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input_settle_321103!A$2</f>
        <v>321103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IFERROR(VLOOKUP(E99,input_settle_321103!L:R,7,FALSE),VLOOKUP(tables_settle_321103!B99,input_settle_321103!A:H,8,FALSE))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input_settle_321103!A$2</f>
        <v>321103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IFERROR(VLOOKUP(E100,input_settle_321103!L:R,7,FALSE),VLOOKUP(tables_settle_321103!B100,input_settle_321103!A:H,8,FALSE))</f>
        <v>0</v>
      </c>
      <c r="N100" s="63">
        <f t="shared" ca="1" si="3"/>
        <v>0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input_settle_321103!A$2</f>
        <v>321103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IFERROR(VLOOKUP(E101,input_settle_321103!L:R,7,FALSE),VLOOKUP(tables_settle_321103!B101,input_settle_321103!A:H,8,FALSE))</f>
        <v>27440</v>
      </c>
      <c r="N101" s="63">
        <f t="shared" ca="1" si="3"/>
        <v>1.7500000000000002E-2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input_settle_321103!A$2</f>
        <v>321103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IFERROR(VLOOKUP(E102,input_settle_321103!L:R,7,FALSE),VLOOKUP(tables_settle_321103!B102,input_settle_321103!A:H,8,FALSE))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input_settle_321103!A$2</f>
        <v>321103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IFERROR(VLOOKUP(E103,input_settle_321103!L:R,7,FALSE),VLOOKUP(tables_settle_321103!B103,input_settle_321103!A:H,8,FALSE))</f>
        <v>0</v>
      </c>
      <c r="N103" s="63">
        <f t="shared" ca="1" si="3"/>
        <v>0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input_settle_321103!A$2</f>
        <v>321103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IFERROR(VLOOKUP(E104,input_settle_321103!L:R,7,FALSE),VLOOKUP(tables_settle_321103!B104,input_settle_321103!A:H,8,FALSE))</f>
        <v>27440</v>
      </c>
      <c r="N104" s="63">
        <f t="shared" ca="1" si="3"/>
        <v>1.7500000000000002E-2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input_settle_321103!A$2</f>
        <v>321103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IFERROR(VLOOKUP(E105,input_settle_321103!L:R,7,FALSE),VLOOKUP(tables_settle_321103!B105,input_settle_321103!A:H,8,FALSE))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input_settle_321103!A$2</f>
        <v>321103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IFERROR(VLOOKUP(E106,input_settle_321103!L:R,7,FALSE),VLOOKUP(tables_settle_321103!B106,input_settle_321103!A:H,8,FALSE))</f>
        <v>0</v>
      </c>
      <c r="N106" s="63">
        <f t="shared" ca="1" si="3"/>
        <v>0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input_settle_321103!A$2</f>
        <v>321103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IFERROR(VLOOKUP(E107,input_settle_321103!L:R,7,FALSE),VLOOKUP(tables_settle_321103!B107,input_settle_321103!A:H,8,FALSE))</f>
        <v>27440</v>
      </c>
      <c r="N107" s="63">
        <f t="shared" ca="1" si="3"/>
        <v>1.7500000000000002E-2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input_settle_321103!A$2</f>
        <v>321103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IFERROR(VLOOKUP(E108,input_settle_321103!L:R,7,FALSE),VLOOKUP(tables_settle_321103!B108,input_settle_321103!A:H,8,FALSE))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input_settle_321103!A$2</f>
        <v>321103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IFERROR(VLOOKUP(E109,input_settle_321103!L:R,7,FALSE),VLOOKUP(tables_settle_321103!B109,input_settle_321103!A:H,8,FALSE))</f>
        <v>0</v>
      </c>
      <c r="N109" s="63">
        <f t="shared" ca="1" si="3"/>
        <v>0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input_settle_321103!A$2</f>
        <v>321103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IFERROR(VLOOKUP(E110,input_settle_321103!L:R,7,FALSE),VLOOKUP(tables_settle_321103!B110,input_settle_321103!A:H,8,FALSE))</f>
        <v>27440</v>
      </c>
      <c r="N110" s="63">
        <f t="shared" ca="1" si="3"/>
        <v>1.7500000000000002E-2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input_settle_321103!A$2</f>
        <v>321103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IFERROR(VLOOKUP(E111,input_settle_321103!L:R,7,FALSE),VLOOKUP(tables_settle_321103!B111,input_settle_321103!A:H,8,FALSE))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input_settle_321103!A$2</f>
        <v>321103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IFERROR(VLOOKUP(E112,input_settle_321103!L:R,7,FALSE),VLOOKUP(tables_settle_321103!B112,input_settle_321103!A:H,8,FALSE))</f>
        <v>0</v>
      </c>
      <c r="N112" s="63">
        <f t="shared" ca="1" si="3"/>
        <v>0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input_settle_321103!A$2</f>
        <v>321103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IFERROR(VLOOKUP(E113,input_settle_321103!L:R,7,FALSE),VLOOKUP(tables_settle_321103!B113,input_settle_321103!A:H,8,FALSE))</f>
        <v>27440</v>
      </c>
      <c r="N113" s="63">
        <f t="shared" ca="1" si="3"/>
        <v>1.7500000000000002E-2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input_settle_321103!A$2</f>
        <v>321103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IFERROR(VLOOKUP(E114,input_settle_321103!L:R,7,FALSE),VLOOKUP(tables_settle_321103!B114,input_settle_321103!A:H,8,FALSE))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input_settle_321103!A$2</f>
        <v>321103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IFERROR(VLOOKUP(E115,input_settle_321103!L:R,7,FALSE),VLOOKUP(tables_settle_321103!B115,input_settle_321103!A:H,8,FALSE))</f>
        <v>0</v>
      </c>
      <c r="N115" s="63">
        <f t="shared" ca="1" si="3"/>
        <v>0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input_settle_321103!A$2</f>
        <v>321103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IFERROR(VLOOKUP(E116,input_settle_321103!L:R,7,FALSE),VLOOKUP(tables_settle_321103!B116,input_settle_321103!A:H,8,FALSE))</f>
        <v>27440</v>
      </c>
      <c r="N116" s="63">
        <f t="shared" ca="1" si="3"/>
        <v>1.7500000000000002E-2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input_settle_321103!A$2</f>
        <v>321103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IFERROR(VLOOKUP(E117,input_settle_321103!L:R,7,FALSE),VLOOKUP(tables_settle_321103!B117,input_settle_321103!A:H,8,FALSE))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input_settle_321103!A$2</f>
        <v>321103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IFERROR(VLOOKUP(E118,input_settle_321103!L:R,7,FALSE),VLOOKUP(tables_settle_321103!B118,input_settle_321103!A:H,8,FALSE))</f>
        <v>0</v>
      </c>
      <c r="N118" s="63">
        <f t="shared" ca="1" si="3"/>
        <v>0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input_settle_321103!A$2</f>
        <v>321103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IFERROR(VLOOKUP(E119,input_settle_321103!L:R,7,FALSE),VLOOKUP(tables_settle_321103!B119,input_settle_321103!A:H,8,FALSE))</f>
        <v>27440</v>
      </c>
      <c r="N119" s="63">
        <f t="shared" ca="1" si="3"/>
        <v>1.7500000000000002E-2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input_settle_321103!A$2</f>
        <v>321103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IFERROR(VLOOKUP(E120,input_settle_321103!L:R,7,FALSE),VLOOKUP(tables_settle_321103!B120,input_settle_321103!A:H,8,FALSE))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input_settle_321103!A$2</f>
        <v>321103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IFERROR(VLOOKUP(E121,input_settle_321103!L:R,7,FALSE),VLOOKUP(tables_settle_321103!B121,input_settle_321103!A:H,8,FALSE))</f>
        <v>0</v>
      </c>
      <c r="N121" s="63">
        <f t="shared" ca="1" si="3"/>
        <v>0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input_settle_321103!A$2</f>
        <v>321103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IFERROR(VLOOKUP(E122,input_settle_321103!L:R,7,FALSE),VLOOKUP(tables_settle_321103!B122,input_settle_321103!A:H,8,FALSE))</f>
        <v>27440</v>
      </c>
      <c r="N122" s="63">
        <f t="shared" ca="1" si="3"/>
        <v>1.7500000000000002E-2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input_settle_321103!A$2</f>
        <v>321103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IFERROR(VLOOKUP(E123,input_settle_321103!L:R,7,FALSE),VLOOKUP(tables_settle_321103!B123,input_settle_321103!A:H,8,FALSE))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input_settle_321103!A$2</f>
        <v>321103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IFERROR(VLOOKUP(E124,input_settle_321103!L:R,7,FALSE),VLOOKUP(tables_settle_321103!B124,input_settle_321103!A:H,8,FALSE))</f>
        <v>0</v>
      </c>
      <c r="N124" s="63">
        <f t="shared" ca="1" si="3"/>
        <v>0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input_settle_321103!A$2</f>
        <v>321103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IFERROR(VLOOKUP(E125,input_settle_321103!L:R,7,FALSE),VLOOKUP(tables_settle_321103!B125,input_settle_321103!A:H,8,FALSE))</f>
        <v>27440</v>
      </c>
      <c r="N125" s="63">
        <f t="shared" ca="1" si="3"/>
        <v>1.7500000000000002E-2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input_settle_321103!A$2</f>
        <v>321103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IFERROR(VLOOKUP(E126,input_settle_321103!L:R,7,FALSE),VLOOKUP(tables_settle_321103!B126,input_settle_321103!A:H,8,FALSE))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input_settle_321103!A$2</f>
        <v>321103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IFERROR(VLOOKUP(E127,input_settle_321103!L:R,7,FALSE),VLOOKUP(tables_settle_321103!B127,input_settle_321103!A:H,8,FALSE))</f>
        <v>0</v>
      </c>
      <c r="N127" s="63">
        <f t="shared" ca="1" si="3"/>
        <v>0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input_settle_321103!A$2</f>
        <v>321103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IFERROR(VLOOKUP(E128,input_settle_321103!L:R,7,FALSE),VLOOKUP(tables_settle_321103!B128,input_settle_321103!A:H,8,FALSE))</f>
        <v>27440</v>
      </c>
      <c r="N128" s="63">
        <f t="shared" ca="1" si="3"/>
        <v>1.7500000000000002E-2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input_settle_321103!A$2</f>
        <v>321103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IFERROR(VLOOKUP(E129,input_settle_321103!L:R,7,FALSE),VLOOKUP(tables_settle_321103!B129,input_settle_321103!A:H,8,FALSE))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input_settle_321103!A$2</f>
        <v>321103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IFERROR(VLOOKUP(E130,input_settle_321103!L:R,7,FALSE),VLOOKUP(tables_settle_321103!B130,input_settle_321103!A:H,8,FALSE))</f>
        <v>0</v>
      </c>
      <c r="N130" s="63">
        <f t="shared" ref="N130:N193" ca="1" si="6">M130/SUM(M:M)</f>
        <v>0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input_settle_321103!A$2</f>
        <v>321103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IFERROR(VLOOKUP(E131,input_settle_321103!L:R,7,FALSE),VLOOKUP(tables_settle_321103!B131,input_settle_321103!A:H,8,FALSE))</f>
        <v>27440</v>
      </c>
      <c r="N131" s="63">
        <f t="shared" ca="1" si="6"/>
        <v>1.7500000000000002E-2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input_settle_321103!A$2</f>
        <v>321103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IFERROR(VLOOKUP(E132,input_settle_321103!L:R,7,FALSE),VLOOKUP(tables_settle_321103!B132,input_settle_321103!A:H,8,FALSE))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input_settle_321103!A$2</f>
        <v>321103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IFERROR(VLOOKUP(E133,input_settle_321103!L:R,7,FALSE),VLOOKUP(tables_settle_321103!B133,input_settle_321103!A:H,8,FALSE))</f>
        <v>0</v>
      </c>
      <c r="N133" s="63">
        <f t="shared" ca="1" si="6"/>
        <v>0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input_settle_321103!A$2</f>
        <v>321103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IFERROR(VLOOKUP(E134,input_settle_321103!L:R,7,FALSE),VLOOKUP(tables_settle_321103!B134,input_settle_321103!A:H,8,FALSE))</f>
        <v>27440</v>
      </c>
      <c r="N134" s="63">
        <f t="shared" ca="1" si="6"/>
        <v>1.7500000000000002E-2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input_settle_321103!A$2</f>
        <v>321103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IFERROR(VLOOKUP(E135,input_settle_321103!L:R,7,FALSE),VLOOKUP(tables_settle_321103!B135,input_settle_321103!A:H,8,FALSE))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input_settle_321103!A$2</f>
        <v>321103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IFERROR(VLOOKUP(E136,input_settle_321103!L:R,7,FALSE),VLOOKUP(tables_settle_321103!B136,input_settle_321103!A:H,8,FALSE))</f>
        <v>0</v>
      </c>
      <c r="N136" s="63">
        <f t="shared" ca="1" si="6"/>
        <v>0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input_settle_321103!A$2</f>
        <v>321103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IFERROR(VLOOKUP(E137,input_settle_321103!L:R,7,FALSE),VLOOKUP(tables_settle_321103!B137,input_settle_321103!A:H,8,FALSE))</f>
        <v>27440</v>
      </c>
      <c r="N137" s="63">
        <f t="shared" ca="1" si="6"/>
        <v>1.7500000000000002E-2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input_settle_321103!A$2</f>
        <v>321103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IFERROR(VLOOKUP(E138,input_settle_321103!L:R,7,FALSE),VLOOKUP(tables_settle_321103!B138,input_settle_321103!A:H,8,FALSE))</f>
        <v>0</v>
      </c>
      <c r="N138" s="63">
        <f t="shared" ca="1" si="6"/>
        <v>0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input_settle_321103!A$2</f>
        <v>321103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IFERROR(VLOOKUP(E139,input_settle_321103!L:R,7,FALSE),VLOOKUP(tables_settle_321103!B139,input_settle_321103!A:H,8,FALSE))</f>
        <v>1120</v>
      </c>
      <c r="N139" s="63">
        <f t="shared" ca="1" si="6"/>
        <v>7.1428571428571429E-4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input_settle_321103!A$2</f>
        <v>321103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IFERROR(VLOOKUP(E140,input_settle_321103!L:R,7,FALSE),VLOOKUP(tables_settle_321103!B140,input_settle_321103!A:H,8,FALSE))</f>
        <v>0</v>
      </c>
      <c r="N140" s="63">
        <f t="shared" ca="1" si="6"/>
        <v>0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input_settle_321103!A$2</f>
        <v>321103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IFERROR(VLOOKUP(E141,input_settle_321103!L:R,7,FALSE),VLOOKUP(tables_settle_321103!B141,input_settle_321103!A:H,8,FALSE))</f>
        <v>1120</v>
      </c>
      <c r="N141" s="63">
        <f t="shared" ca="1" si="6"/>
        <v>7.1428571428571429E-4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input_settle_321103!A$2</f>
        <v>321103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IFERROR(VLOOKUP(E142,input_settle_321103!L:R,7,FALSE),VLOOKUP(tables_settle_321103!B142,input_settle_321103!A:H,8,FALSE))</f>
        <v>0</v>
      </c>
      <c r="N142" s="63">
        <f t="shared" ca="1" si="6"/>
        <v>0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input_settle_321103!A$2</f>
        <v>321103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IFERROR(VLOOKUP(E143,input_settle_321103!L:R,7,FALSE),VLOOKUP(tables_settle_321103!B143,input_settle_321103!A:H,8,FALSE))</f>
        <v>1120</v>
      </c>
      <c r="N143" s="63">
        <f t="shared" ca="1" si="6"/>
        <v>7.1428571428571429E-4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input_settle_321103!A$2</f>
        <v>321103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IFERROR(VLOOKUP(E144,input_settle_321103!L:R,7,FALSE),VLOOKUP(tables_settle_321103!B144,input_settle_321103!A:H,8,FALSE))</f>
        <v>0</v>
      </c>
      <c r="N144" s="63">
        <f t="shared" ca="1" si="6"/>
        <v>0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input_settle_321103!A$2</f>
        <v>321103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IFERROR(VLOOKUP(E145,input_settle_321103!L:R,7,FALSE),VLOOKUP(tables_settle_321103!B145,input_settle_321103!A:H,8,FALSE))</f>
        <v>1120</v>
      </c>
      <c r="N145" s="63">
        <f t="shared" ca="1" si="6"/>
        <v>7.1428571428571429E-4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input_settle_321103!A$2</f>
        <v>321103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IFERROR(VLOOKUP(E146,input_settle_321103!L:R,7,FALSE),VLOOKUP(tables_settle_321103!B146,input_settle_321103!A:H,8,FALSE))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input_settle_321103!A$2</f>
        <v>321103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IFERROR(VLOOKUP(E147,input_settle_321103!L:R,7,FALSE),VLOOKUP(tables_settle_321103!B147,input_settle_321103!A:H,8,FALSE))</f>
        <v>0</v>
      </c>
      <c r="N147" s="63">
        <f t="shared" ca="1" si="6"/>
        <v>0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input_settle_321103!A$2</f>
        <v>321103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IFERROR(VLOOKUP(E148,input_settle_321103!L:R,7,FALSE),VLOOKUP(tables_settle_321103!B148,input_settle_321103!A:H,8,FALSE))</f>
        <v>27440</v>
      </c>
      <c r="N148" s="63">
        <f t="shared" ca="1" si="6"/>
        <v>1.7500000000000002E-2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input_settle_321103!A$2</f>
        <v>321103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IFERROR(VLOOKUP(E149,input_settle_321103!L:R,7,FALSE),VLOOKUP(tables_settle_321103!B149,input_settle_321103!A:H,8,FALSE))</f>
        <v>0</v>
      </c>
      <c r="N149" s="63">
        <f t="shared" ca="1" si="6"/>
        <v>0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input_settle_321103!A$2</f>
        <v>321103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IFERROR(VLOOKUP(E150,input_settle_321103!L:R,7,FALSE),VLOOKUP(tables_settle_321103!B150,input_settle_321103!A:H,8,FALSE))</f>
        <v>1120</v>
      </c>
      <c r="N150" s="63">
        <f t="shared" ca="1" si="6"/>
        <v>7.1428571428571429E-4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input_settle_321103!A$2</f>
        <v>321103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IFERROR(VLOOKUP(E151,input_settle_321103!L:R,7,FALSE),VLOOKUP(tables_settle_321103!B151,input_settle_321103!A:H,8,FALSE))</f>
        <v>0</v>
      </c>
      <c r="N151" s="63">
        <f t="shared" ca="1" si="6"/>
        <v>0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input_settle_321103!A$2</f>
        <v>321103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IFERROR(VLOOKUP(E152,input_settle_321103!L:R,7,FALSE),VLOOKUP(tables_settle_321103!B152,input_settle_321103!A:H,8,FALSE))</f>
        <v>1120</v>
      </c>
      <c r="N152" s="63">
        <f t="shared" ca="1" si="6"/>
        <v>7.1428571428571429E-4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input_settle_321103!A$2</f>
        <v>321103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IFERROR(VLOOKUP(E153,input_settle_321103!L:R,7,FALSE),VLOOKUP(tables_settle_321103!B153,input_settle_321103!A:H,8,FALSE))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input_settle_321103!A$2</f>
        <v>321103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IFERROR(VLOOKUP(E154,input_settle_321103!L:R,7,FALSE),VLOOKUP(tables_settle_321103!B154,input_settle_321103!A:H,8,FALSE))</f>
        <v>0</v>
      </c>
      <c r="N154" s="63">
        <f t="shared" ca="1" si="6"/>
        <v>0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input_settle_321103!A$2</f>
        <v>321103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IFERROR(VLOOKUP(E155,input_settle_321103!L:R,7,FALSE),VLOOKUP(tables_settle_321103!B155,input_settle_321103!A:H,8,FALSE))</f>
        <v>27440</v>
      </c>
      <c r="N155" s="63">
        <f t="shared" ca="1" si="6"/>
        <v>1.7500000000000002E-2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input_settle_321103!A$2</f>
        <v>321103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IFERROR(VLOOKUP(E156,input_settle_321103!L:R,7,FALSE),VLOOKUP(tables_settle_321103!B156,input_settle_321103!A:H,8,FALSE))</f>
        <v>0</v>
      </c>
      <c r="N156" s="63">
        <f t="shared" ca="1" si="6"/>
        <v>0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input_settle_321103!A$2</f>
        <v>321103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IFERROR(VLOOKUP(E157,input_settle_321103!L:R,7,FALSE),VLOOKUP(tables_settle_321103!B157,input_settle_321103!A:H,8,FALSE))</f>
        <v>1120</v>
      </c>
      <c r="N157" s="63">
        <f t="shared" ca="1" si="6"/>
        <v>7.1428571428571429E-4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input_settle_321103!A$2</f>
        <v>321103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IFERROR(VLOOKUP(E158,input_settle_321103!L:R,7,FALSE),VLOOKUP(tables_settle_321103!B158,input_settle_321103!A:H,8,FALSE))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input_settle_321103!A$2</f>
        <v>321103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IFERROR(VLOOKUP(E159,input_settle_321103!L:R,7,FALSE),VLOOKUP(tables_settle_321103!B159,input_settle_321103!A:H,8,FALSE))</f>
        <v>0</v>
      </c>
      <c r="N159" s="63">
        <f t="shared" ca="1" si="6"/>
        <v>0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input_settle_321103!A$2</f>
        <v>321103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IFERROR(VLOOKUP(E160,input_settle_321103!L:R,7,FALSE),VLOOKUP(tables_settle_321103!B160,input_settle_321103!A:H,8,FALSE))</f>
        <v>27440</v>
      </c>
      <c r="N160" s="63">
        <f t="shared" ca="1" si="6"/>
        <v>1.7500000000000002E-2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input_settle_321103!A$2</f>
        <v>321103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IFERROR(VLOOKUP(E161,input_settle_321103!L:R,7,FALSE),VLOOKUP(tables_settle_321103!B161,input_settle_321103!A:H,8,FALSE))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input_settle_321103!A$2</f>
        <v>321103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IFERROR(VLOOKUP(E162,input_settle_321103!L:R,7,FALSE),VLOOKUP(tables_settle_321103!B162,input_settle_321103!A:H,8,FALSE))</f>
        <v>0</v>
      </c>
      <c r="N162" s="63">
        <f t="shared" ca="1" si="6"/>
        <v>0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input_settle_321103!A$2</f>
        <v>321103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IFERROR(VLOOKUP(E163,input_settle_321103!L:R,7,FALSE),VLOOKUP(tables_settle_321103!B163,input_settle_321103!A:H,8,FALSE))</f>
        <v>27440</v>
      </c>
      <c r="N163" s="63">
        <f t="shared" ca="1" si="6"/>
        <v>1.7500000000000002E-2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input_settle_321103!A$2</f>
        <v>321103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IFERROR(VLOOKUP(E164,input_settle_321103!L:R,7,FALSE),VLOOKUP(tables_settle_321103!B164,input_settle_321103!A:H,8,FALSE))</f>
        <v>0</v>
      </c>
      <c r="N164" s="63">
        <f t="shared" ca="1" si="6"/>
        <v>0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input_settle_321103!A$2</f>
        <v>321103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IFERROR(VLOOKUP(E165,input_settle_321103!L:R,7,FALSE),VLOOKUP(tables_settle_321103!B165,input_settle_321103!A:H,8,FALSE))</f>
        <v>1120</v>
      </c>
      <c r="N165" s="63">
        <f t="shared" ca="1" si="6"/>
        <v>7.1428571428571429E-4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input_settle_321103!A$2</f>
        <v>321103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IFERROR(VLOOKUP(E166,input_settle_321103!L:R,7,FALSE),VLOOKUP(tables_settle_321103!B166,input_settle_321103!A:H,8,FALSE))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input_settle_321103!A$2</f>
        <v>321103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IFERROR(VLOOKUP(E167,input_settle_321103!L:R,7,FALSE),VLOOKUP(tables_settle_321103!B167,input_settle_321103!A:H,8,FALSE))</f>
        <v>0</v>
      </c>
      <c r="N167" s="63">
        <f t="shared" ca="1" si="6"/>
        <v>0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input_settle_321103!A$2</f>
        <v>321103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IFERROR(VLOOKUP(E168,input_settle_321103!L:R,7,FALSE),VLOOKUP(tables_settle_321103!B168,input_settle_321103!A:H,8,FALSE))</f>
        <v>27440</v>
      </c>
      <c r="N168" s="63">
        <f t="shared" ca="1" si="6"/>
        <v>1.7500000000000002E-2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input_settle_321103!A$2</f>
        <v>321103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IFERROR(VLOOKUP(E169,input_settle_321103!L:R,7,FALSE),VLOOKUP(tables_settle_321103!B169,input_settle_321103!A:H,8,FALSE))</f>
        <v>0</v>
      </c>
      <c r="N169" s="63">
        <f t="shared" ca="1" si="6"/>
        <v>0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input_settle_321103!A$2</f>
        <v>321103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IFERROR(VLOOKUP(E170,input_settle_321103!L:R,7,FALSE),VLOOKUP(tables_settle_321103!B170,input_settle_321103!A:H,8,FALSE))</f>
        <v>1120</v>
      </c>
      <c r="N170" s="63">
        <f t="shared" ca="1" si="6"/>
        <v>7.1428571428571429E-4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input_settle_321103!A$2</f>
        <v>321103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IFERROR(VLOOKUP(E171,input_settle_321103!L:R,7,FALSE),VLOOKUP(tables_settle_321103!B171,input_settle_321103!A:H,8,FALSE))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input_settle_321103!A$2</f>
        <v>321103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IFERROR(VLOOKUP(E172,input_settle_321103!L:R,7,FALSE),VLOOKUP(tables_settle_321103!B172,input_settle_321103!A:H,8,FALSE))</f>
        <v>0</v>
      </c>
      <c r="N172" s="63">
        <f t="shared" ca="1" si="6"/>
        <v>0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input_settle_321103!A$2</f>
        <v>321103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IFERROR(VLOOKUP(E173,input_settle_321103!L:R,7,FALSE),VLOOKUP(tables_settle_321103!B173,input_settle_321103!A:H,8,FALSE))</f>
        <v>27440</v>
      </c>
      <c r="N173" s="63">
        <f t="shared" ca="1" si="6"/>
        <v>1.7500000000000002E-2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input_settle_321103!A$2</f>
        <v>321103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IFERROR(VLOOKUP(E174,input_settle_321103!L:R,7,FALSE),VLOOKUP(tables_settle_321103!B174,input_settle_321103!A:H,8,FALSE))</f>
        <v>0</v>
      </c>
      <c r="N174" s="63">
        <f t="shared" ca="1" si="6"/>
        <v>0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input_settle_321103!A$2</f>
        <v>321103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IFERROR(VLOOKUP(E175,input_settle_321103!L:R,7,FALSE),VLOOKUP(tables_settle_321103!B175,input_settle_321103!A:H,8,FALSE))</f>
        <v>1120</v>
      </c>
      <c r="N175" s="63">
        <f t="shared" ca="1" si="6"/>
        <v>7.1428571428571429E-4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input_settle_321103!A$2</f>
        <v>321103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IFERROR(VLOOKUP(E176,input_settle_321103!L:R,7,FALSE),VLOOKUP(tables_settle_321103!B176,input_settle_321103!A:H,8,FALSE))</f>
        <v>0</v>
      </c>
      <c r="N176" s="63">
        <f t="shared" ca="1" si="6"/>
        <v>0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input_settle_321103!A$2</f>
        <v>321103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IFERROR(VLOOKUP(E177,input_settle_321103!L:R,7,FALSE),VLOOKUP(tables_settle_321103!B177,input_settle_321103!A:H,8,FALSE))</f>
        <v>1120</v>
      </c>
      <c r="N177" s="63">
        <f t="shared" ca="1" si="6"/>
        <v>7.1428571428571429E-4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input_settle_321103!A$2</f>
        <v>321103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IFERROR(VLOOKUP(E178,input_settle_321103!L:R,7,FALSE),VLOOKUP(tables_settle_321103!B178,input_settle_321103!A:H,8,FALSE))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input_settle_321103!A$2</f>
        <v>321103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IFERROR(VLOOKUP(E179,input_settle_321103!L:R,7,FALSE),VLOOKUP(tables_settle_321103!B179,input_settle_321103!A:H,8,FALSE))</f>
        <v>0</v>
      </c>
      <c r="N179" s="63">
        <f t="shared" ca="1" si="6"/>
        <v>0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input_settle_321103!A$2</f>
        <v>321103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IFERROR(VLOOKUP(E180,input_settle_321103!L:R,7,FALSE),VLOOKUP(tables_settle_321103!B180,input_settle_321103!A:H,8,FALSE))</f>
        <v>27440</v>
      </c>
      <c r="N180" s="63">
        <f t="shared" ca="1" si="6"/>
        <v>1.7500000000000002E-2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input_settle_321103!A$2</f>
        <v>321103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IFERROR(VLOOKUP(E181,input_settle_321103!L:R,7,FALSE),VLOOKUP(tables_settle_321103!B181,input_settle_321103!A:H,8,FALSE))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input_settle_321103!A$2</f>
        <v>321103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IFERROR(VLOOKUP(E182,input_settle_321103!L:R,7,FALSE),VLOOKUP(tables_settle_321103!B182,input_settle_321103!A:H,8,FALSE))</f>
        <v>0</v>
      </c>
      <c r="N182" s="63">
        <f t="shared" ca="1" si="6"/>
        <v>0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input_settle_321103!A$2</f>
        <v>321103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IFERROR(VLOOKUP(E183,input_settle_321103!L:R,7,FALSE),VLOOKUP(tables_settle_321103!B183,input_settle_321103!A:H,8,FALSE))</f>
        <v>27440</v>
      </c>
      <c r="N183" s="63">
        <f t="shared" ca="1" si="6"/>
        <v>1.7500000000000002E-2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input_settle_321103!A$2</f>
        <v>321103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IFERROR(VLOOKUP(E184,input_settle_321103!L:R,7,FALSE),VLOOKUP(tables_settle_321103!B184,input_settle_321103!A:H,8,FALSE))</f>
        <v>0</v>
      </c>
      <c r="N184" s="63">
        <f t="shared" ca="1" si="6"/>
        <v>0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input_settle_321103!A$2</f>
        <v>321103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IFERROR(VLOOKUP(E185,input_settle_321103!L:R,7,FALSE),VLOOKUP(tables_settle_321103!B185,input_settle_321103!A:H,8,FALSE))</f>
        <v>1120</v>
      </c>
      <c r="N185" s="63">
        <f t="shared" ca="1" si="6"/>
        <v>7.1428571428571429E-4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input_settle_321103!A$2</f>
        <v>321103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IFERROR(VLOOKUP(E186,input_settle_321103!L:R,7,FALSE),VLOOKUP(tables_settle_321103!B186,input_settle_321103!A:H,8,FALSE))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input_settle_321103!A$2</f>
        <v>321103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IFERROR(VLOOKUP(E187,input_settle_321103!L:R,7,FALSE),VLOOKUP(tables_settle_321103!B187,input_settle_321103!A:H,8,FALSE))</f>
        <v>0</v>
      </c>
      <c r="N187" s="63">
        <f t="shared" ca="1" si="6"/>
        <v>0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input_settle_321103!A$2</f>
        <v>321103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IFERROR(VLOOKUP(E188,input_settle_321103!L:R,7,FALSE),VLOOKUP(tables_settle_321103!B188,input_settle_321103!A:H,8,FALSE))</f>
        <v>27440</v>
      </c>
      <c r="N188" s="63">
        <f t="shared" ca="1" si="6"/>
        <v>1.7500000000000002E-2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input_settle_321103!A$2</f>
        <v>321103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IFERROR(VLOOKUP(E189,input_settle_321103!L:R,7,FALSE),VLOOKUP(tables_settle_321103!B189,input_settle_321103!A:H,8,FALSE))</f>
        <v>0</v>
      </c>
      <c r="N189" s="63">
        <f t="shared" ca="1" si="6"/>
        <v>0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input_settle_321103!A$2</f>
        <v>321103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IFERROR(VLOOKUP(E190,input_settle_321103!L:R,7,FALSE),VLOOKUP(tables_settle_321103!B190,input_settle_321103!A:H,8,FALSE))</f>
        <v>1120</v>
      </c>
      <c r="N190" s="63">
        <f t="shared" ca="1" si="6"/>
        <v>7.1428571428571429E-4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input_settle_321103!A$2</f>
        <v>321103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IFERROR(VLOOKUP(E191,input_settle_321103!L:R,7,FALSE),VLOOKUP(tables_settle_321103!B191,input_settle_321103!A:H,8,FALSE))</f>
        <v>0</v>
      </c>
      <c r="N191" s="63">
        <f t="shared" ca="1" si="6"/>
        <v>0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input_settle_321103!A$2</f>
        <v>321103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IFERROR(VLOOKUP(E192,input_settle_321103!L:R,7,FALSE),VLOOKUP(tables_settle_321103!B192,input_settle_321103!A:H,8,FALSE))</f>
        <v>1120</v>
      </c>
      <c r="N192" s="63">
        <f t="shared" ca="1" si="6"/>
        <v>7.1428571428571429E-4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input_settle_321103!A$2</f>
        <v>321103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IFERROR(VLOOKUP(E193,input_settle_321103!L:R,7,FALSE),VLOOKUP(tables_settle_321103!B193,input_settle_321103!A:H,8,FALSE))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input_settle_321103!A$2</f>
        <v>321103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IFERROR(VLOOKUP(E194,input_settle_321103!L:R,7,FALSE),VLOOKUP(tables_settle_321103!B194,input_settle_321103!A:H,8,FALSE))</f>
        <v>0</v>
      </c>
      <c r="N194" s="63">
        <f t="shared" ref="N194:N257" ca="1" si="9">M194/SUM(M:M)</f>
        <v>0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input_settle_321103!A$2</f>
        <v>321103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IFERROR(VLOOKUP(E195,input_settle_321103!L:R,7,FALSE),VLOOKUP(tables_settle_321103!B195,input_settle_321103!A:H,8,FALSE))</f>
        <v>27440</v>
      </c>
      <c r="N195" s="63">
        <f t="shared" ca="1" si="9"/>
        <v>1.7500000000000002E-2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input_settle_321103!A$2</f>
        <v>321103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IFERROR(VLOOKUP(E196,input_settle_321103!L:R,7,FALSE),VLOOKUP(tables_settle_321103!B196,input_settle_321103!A:H,8,FALSE))</f>
        <v>0</v>
      </c>
      <c r="N196" s="63">
        <f t="shared" ca="1" si="9"/>
        <v>0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input_settle_321103!A$2</f>
        <v>321103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IFERROR(VLOOKUP(E197,input_settle_321103!L:R,7,FALSE),VLOOKUP(tables_settle_321103!B197,input_settle_321103!A:H,8,FALSE))</f>
        <v>1120</v>
      </c>
      <c r="N197" s="63">
        <f t="shared" ca="1" si="9"/>
        <v>7.1428571428571429E-4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input_settle_321103!A$2</f>
        <v>321103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IFERROR(VLOOKUP(E198,input_settle_321103!L:R,7,FALSE),VLOOKUP(tables_settle_321103!B198,input_settle_321103!A:H,8,FALSE))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input_settle_321103!A$2</f>
        <v>321103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IFERROR(VLOOKUP(E199,input_settle_321103!L:R,7,FALSE),VLOOKUP(tables_settle_321103!B199,input_settle_321103!A:H,8,FALSE))</f>
        <v>0</v>
      </c>
      <c r="N199" s="63">
        <f t="shared" ca="1" si="9"/>
        <v>0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input_settle_321103!A$2</f>
        <v>321103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IFERROR(VLOOKUP(E200,input_settle_321103!L:R,7,FALSE),VLOOKUP(tables_settle_321103!B200,input_settle_321103!A:H,8,FALSE))</f>
        <v>27440</v>
      </c>
      <c r="N200" s="63">
        <f t="shared" ca="1" si="9"/>
        <v>1.7500000000000002E-2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input_settle_321103!A$2</f>
        <v>321103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IFERROR(VLOOKUP(E201,input_settle_321103!L:R,7,FALSE),VLOOKUP(tables_settle_321103!B201,input_settle_321103!A:H,8,FALSE))</f>
        <v>0</v>
      </c>
      <c r="N201" s="63">
        <f t="shared" ca="1" si="9"/>
        <v>0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input_settle_321103!A$2</f>
        <v>321103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IFERROR(VLOOKUP(E202,input_settle_321103!L:R,7,FALSE),VLOOKUP(tables_settle_321103!B202,input_settle_321103!A:H,8,FALSE))</f>
        <v>1120</v>
      </c>
      <c r="N202" s="63">
        <f t="shared" ca="1" si="9"/>
        <v>7.1428571428571429E-4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input_settle_321103!A$2</f>
        <v>321103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IFERROR(VLOOKUP(E203,input_settle_321103!L:R,7,FALSE),VLOOKUP(tables_settle_321103!B203,input_settle_321103!A:H,8,FALSE))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input_settle_321103!A$2</f>
        <v>321103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IFERROR(VLOOKUP(E204,input_settle_321103!L:R,7,FALSE),VLOOKUP(tables_settle_321103!B204,input_settle_321103!A:H,8,FALSE))</f>
        <v>0</v>
      </c>
      <c r="N204" s="63">
        <f t="shared" ca="1" si="9"/>
        <v>0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input_settle_321103!A$2</f>
        <v>321103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IFERROR(VLOOKUP(E205,input_settle_321103!L:R,7,FALSE),VLOOKUP(tables_settle_321103!B205,input_settle_321103!A:H,8,FALSE))</f>
        <v>27440</v>
      </c>
      <c r="N205" s="63">
        <f t="shared" ca="1" si="9"/>
        <v>1.7500000000000002E-2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input_settle_321103!A$2</f>
        <v>321103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IFERROR(VLOOKUP(E206,input_settle_321103!L:R,7,FALSE),VLOOKUP(tables_settle_321103!B206,input_settle_321103!A:H,8,FALSE))</f>
        <v>0</v>
      </c>
      <c r="N206" s="63">
        <f t="shared" ca="1" si="9"/>
        <v>0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input_settle_321103!A$2</f>
        <v>321103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IFERROR(VLOOKUP(E207,input_settle_321103!L:R,7,FALSE),VLOOKUP(tables_settle_321103!B207,input_settle_321103!A:H,8,FALSE))</f>
        <v>1120</v>
      </c>
      <c r="N207" s="63">
        <f t="shared" ca="1" si="9"/>
        <v>7.1428571428571429E-4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input_settle_321103!A$2</f>
        <v>321103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IFERROR(VLOOKUP(E208,input_settle_321103!L:R,7,FALSE),VLOOKUP(tables_settle_321103!B208,input_settle_321103!A:H,8,FALSE))</f>
        <v>0</v>
      </c>
      <c r="N208" s="63">
        <f t="shared" ca="1" si="9"/>
        <v>0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input_settle_321103!A$2</f>
        <v>321103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IFERROR(VLOOKUP(E209,input_settle_321103!L:R,7,FALSE),VLOOKUP(tables_settle_321103!B209,input_settle_321103!A:H,8,FALSE))</f>
        <v>1120</v>
      </c>
      <c r="N209" s="63">
        <f t="shared" ca="1" si="9"/>
        <v>7.1428571428571429E-4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input_settle_321103!A$2</f>
        <v>321103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IFERROR(VLOOKUP(E210,input_settle_321103!L:R,7,FALSE),VLOOKUP(tables_settle_321103!B210,input_settle_321103!A:H,8,FALSE))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input_settle_321103!A$2</f>
        <v>321103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IFERROR(VLOOKUP(E211,input_settle_321103!L:R,7,FALSE),VLOOKUP(tables_settle_321103!B211,input_settle_321103!A:H,8,FALSE))</f>
        <v>0</v>
      </c>
      <c r="N211" s="63">
        <f t="shared" ca="1" si="9"/>
        <v>0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input_settle_321103!A$2</f>
        <v>321103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IFERROR(VLOOKUP(E212,input_settle_321103!L:R,7,FALSE),VLOOKUP(tables_settle_321103!B212,input_settle_321103!A:H,8,FALSE))</f>
        <v>27440</v>
      </c>
      <c r="N212" s="63">
        <f t="shared" ca="1" si="9"/>
        <v>1.7500000000000002E-2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input_settle_321103!A$2</f>
        <v>321103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IFERROR(VLOOKUP(E213,input_settle_321103!L:R,7,FALSE),VLOOKUP(tables_settle_321103!B213,input_settle_321103!A:H,8,FALSE))</f>
        <v>0</v>
      </c>
      <c r="N213" s="63">
        <f t="shared" ca="1" si="9"/>
        <v>0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input_settle_321103!A$2</f>
        <v>321103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IFERROR(VLOOKUP(E214,input_settle_321103!L:R,7,FALSE),VLOOKUP(tables_settle_321103!B214,input_settle_321103!A:H,8,FALSE))</f>
        <v>1120</v>
      </c>
      <c r="N214" s="63">
        <f t="shared" ca="1" si="9"/>
        <v>7.1428571428571429E-4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input_settle_321103!A$2</f>
        <v>321103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IFERROR(VLOOKUP(E215,input_settle_321103!L:R,7,FALSE),VLOOKUP(tables_settle_321103!B215,input_settle_321103!A:H,8,FALSE))</f>
        <v>0</v>
      </c>
      <c r="N215" s="63">
        <f t="shared" ca="1" si="9"/>
        <v>0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input_settle_321103!A$2</f>
        <v>321103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IFERROR(VLOOKUP(E216,input_settle_321103!L:R,7,FALSE),VLOOKUP(tables_settle_321103!B216,input_settle_321103!A:H,8,FALSE))</f>
        <v>1120</v>
      </c>
      <c r="N216" s="63">
        <f t="shared" ca="1" si="9"/>
        <v>7.1428571428571429E-4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input_settle_321103!A$2</f>
        <v>321103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IFERROR(VLOOKUP(E217,input_settle_321103!L:R,7,FALSE),VLOOKUP(tables_settle_321103!B217,input_settle_321103!A:H,8,FALSE))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input_settle_321103!A$2</f>
        <v>321103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IFERROR(VLOOKUP(E218,input_settle_321103!L:R,7,FALSE),VLOOKUP(tables_settle_321103!B218,input_settle_321103!A:H,8,FALSE))</f>
        <v>0</v>
      </c>
      <c r="N218" s="63">
        <f t="shared" ca="1" si="9"/>
        <v>0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input_settle_321103!A$2</f>
        <v>321103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IFERROR(VLOOKUP(E219,input_settle_321103!L:R,7,FALSE),VLOOKUP(tables_settle_321103!B219,input_settle_321103!A:H,8,FALSE))</f>
        <v>27440</v>
      </c>
      <c r="N219" s="63">
        <f t="shared" ca="1" si="9"/>
        <v>1.7500000000000002E-2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input_settle_321103!A$2</f>
        <v>321103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IFERROR(VLOOKUP(E220,input_settle_321103!L:R,7,FALSE),VLOOKUP(tables_settle_321103!B220,input_settle_321103!A:H,8,FALSE))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input_settle_321103!A$2</f>
        <v>321103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IFERROR(VLOOKUP(E221,input_settle_321103!L:R,7,FALSE),VLOOKUP(tables_settle_321103!B221,input_settle_321103!A:H,8,FALSE))</f>
        <v>0</v>
      </c>
      <c r="N221" s="63">
        <f t="shared" ca="1" si="9"/>
        <v>0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input_settle_321103!A$2</f>
        <v>321103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IFERROR(VLOOKUP(E222,input_settle_321103!L:R,7,FALSE),VLOOKUP(tables_settle_321103!B222,input_settle_321103!A:H,8,FALSE))</f>
        <v>27440</v>
      </c>
      <c r="N222" s="63">
        <f t="shared" ca="1" si="9"/>
        <v>1.7500000000000002E-2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input_settle_321103!A$2</f>
        <v>321103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IFERROR(VLOOKUP(E223,input_settle_321103!L:R,7,FALSE),VLOOKUP(tables_settle_321103!B223,input_settle_321103!A:H,8,FALSE))</f>
        <v>0</v>
      </c>
      <c r="N223" s="63">
        <f t="shared" ca="1" si="9"/>
        <v>0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input_settle_321103!A$2</f>
        <v>321103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IFERROR(VLOOKUP(E224,input_settle_321103!L:R,7,FALSE),VLOOKUP(tables_settle_321103!B224,input_settle_321103!A:H,8,FALSE))</f>
        <v>1120</v>
      </c>
      <c r="N224" s="63">
        <f t="shared" ca="1" si="9"/>
        <v>7.1428571428571429E-4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input_settle_321103!A$2</f>
        <v>321103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IFERROR(VLOOKUP(E225,input_settle_321103!L:R,7,FALSE),VLOOKUP(tables_settle_321103!B225,input_settle_321103!A:H,8,FALSE))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input_settle_321103!A$2</f>
        <v>321103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IFERROR(VLOOKUP(E226,input_settle_321103!L:R,7,FALSE),VLOOKUP(tables_settle_321103!B226,input_settle_321103!A:H,8,FALSE))</f>
        <v>0</v>
      </c>
      <c r="N226" s="63">
        <f t="shared" ca="1" si="9"/>
        <v>0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input_settle_321103!A$2</f>
        <v>321103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IFERROR(VLOOKUP(E227,input_settle_321103!L:R,7,FALSE),VLOOKUP(tables_settle_321103!B227,input_settle_321103!A:H,8,FALSE))</f>
        <v>27440</v>
      </c>
      <c r="N227" s="63">
        <f t="shared" ca="1" si="9"/>
        <v>1.7500000000000002E-2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input_settle_321103!A$2</f>
        <v>321103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IFERROR(VLOOKUP(E228,input_settle_321103!L:R,7,FALSE),VLOOKUP(tables_settle_321103!B228,input_settle_321103!A:H,8,FALSE))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input_settle_321103!A$2</f>
        <v>321103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IFERROR(VLOOKUP(E229,input_settle_321103!L:R,7,FALSE),VLOOKUP(tables_settle_321103!B229,input_settle_321103!A:H,8,FALSE))</f>
        <v>0</v>
      </c>
      <c r="N229" s="63">
        <f t="shared" ca="1" si="9"/>
        <v>0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input_settle_321103!A$2</f>
        <v>321103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IFERROR(VLOOKUP(E230,input_settle_321103!L:R,7,FALSE),VLOOKUP(tables_settle_321103!B230,input_settle_321103!A:H,8,FALSE))</f>
        <v>27440</v>
      </c>
      <c r="N230" s="63">
        <f t="shared" ca="1" si="9"/>
        <v>1.7500000000000002E-2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input_settle_321103!A$2</f>
        <v>321103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IFERROR(VLOOKUP(E231,input_settle_321103!L:R,7,FALSE),VLOOKUP(tables_settle_321103!B231,input_settle_321103!A:H,8,FALSE))</f>
        <v>0</v>
      </c>
      <c r="N231" s="63">
        <f t="shared" ca="1" si="9"/>
        <v>0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input_settle_321103!A$2</f>
        <v>321103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IFERROR(VLOOKUP(E232,input_settle_321103!L:R,7,FALSE),VLOOKUP(tables_settle_321103!B232,input_settle_321103!A:H,8,FALSE))</f>
        <v>1120</v>
      </c>
      <c r="N232" s="63">
        <f t="shared" ca="1" si="9"/>
        <v>7.1428571428571429E-4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input_settle_321103!A$2</f>
        <v>321103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IFERROR(VLOOKUP(E233,input_settle_321103!L:R,7,FALSE),VLOOKUP(tables_settle_321103!B233,input_settle_321103!A:H,8,FALSE))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input_settle_321103!A$2</f>
        <v>321103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IFERROR(VLOOKUP(E234,input_settle_321103!L:R,7,FALSE),VLOOKUP(tables_settle_321103!B234,input_settle_321103!A:H,8,FALSE))</f>
        <v>0</v>
      </c>
      <c r="N234" s="63">
        <f t="shared" ca="1" si="9"/>
        <v>0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input_settle_321103!A$2</f>
        <v>321103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IFERROR(VLOOKUP(E235,input_settle_321103!L:R,7,FALSE),VLOOKUP(tables_settle_321103!B235,input_settle_321103!A:H,8,FALSE))</f>
        <v>27440</v>
      </c>
      <c r="N235" s="63">
        <f t="shared" ca="1" si="9"/>
        <v>1.7500000000000002E-2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input_settle_321103!A$2</f>
        <v>321103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IFERROR(VLOOKUP(E236,input_settle_321103!L:R,7,FALSE),VLOOKUP(tables_settle_321103!B236,input_settle_321103!A:H,8,FALSE))</f>
        <v>0</v>
      </c>
      <c r="N236" s="63">
        <f t="shared" ca="1" si="9"/>
        <v>0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input_settle_321103!A$2</f>
        <v>321103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IFERROR(VLOOKUP(E237,input_settle_321103!L:R,7,FALSE),VLOOKUP(tables_settle_321103!B237,input_settle_321103!A:H,8,FALSE))</f>
        <v>1120</v>
      </c>
      <c r="N237" s="63">
        <f t="shared" ca="1" si="9"/>
        <v>7.1428571428571429E-4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input_settle_321103!A$2</f>
        <v>321103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IFERROR(VLOOKUP(E238,input_settle_321103!L:R,7,FALSE),VLOOKUP(tables_settle_321103!B238,input_settle_321103!A:H,8,FALSE))</f>
        <v>0</v>
      </c>
      <c r="N238" s="63">
        <f t="shared" ca="1" si="9"/>
        <v>0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input_settle_321103!A$2</f>
        <v>321103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IFERROR(VLOOKUP(E239,input_settle_321103!L:R,7,FALSE),VLOOKUP(tables_settle_321103!B239,input_settle_321103!A:H,8,FALSE))</f>
        <v>1120</v>
      </c>
      <c r="N239" s="63">
        <f t="shared" ca="1" si="9"/>
        <v>7.1428571428571429E-4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input_settle_321103!A$2</f>
        <v>321103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IFERROR(VLOOKUP(E240,input_settle_321103!L:R,7,FALSE),VLOOKUP(tables_settle_321103!B240,input_settle_321103!A:H,8,FALSE))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input_settle_321103!A$2</f>
        <v>321103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IFERROR(VLOOKUP(E241,input_settle_321103!L:R,7,FALSE),VLOOKUP(tables_settle_321103!B241,input_settle_321103!A:H,8,FALSE))</f>
        <v>0</v>
      </c>
      <c r="N241" s="63">
        <f t="shared" ca="1" si="9"/>
        <v>0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input_settle_321103!A$2</f>
        <v>321103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IFERROR(VLOOKUP(E242,input_settle_321103!L:R,7,FALSE),VLOOKUP(tables_settle_321103!B242,input_settle_321103!A:H,8,FALSE))</f>
        <v>27440</v>
      </c>
      <c r="N242" s="63">
        <f t="shared" ca="1" si="9"/>
        <v>1.7500000000000002E-2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input_settle_321103!A$2</f>
        <v>321103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IFERROR(VLOOKUP(E243,input_settle_321103!L:R,7,FALSE),VLOOKUP(tables_settle_321103!B243,input_settle_321103!A:H,8,FALSE))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input_settle_321103!A$2</f>
        <v>321103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IFERROR(VLOOKUP(E244,input_settle_321103!L:R,7,FALSE),VLOOKUP(tables_settle_321103!B244,input_settle_321103!A:H,8,FALSE))</f>
        <v>0</v>
      </c>
      <c r="N244" s="63">
        <f t="shared" ca="1" si="9"/>
        <v>0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input_settle_321103!A$2</f>
        <v>321103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IFERROR(VLOOKUP(E245,input_settle_321103!L:R,7,FALSE),VLOOKUP(tables_settle_321103!B245,input_settle_321103!A:H,8,FALSE))</f>
        <v>27440</v>
      </c>
      <c r="N245" s="63">
        <f t="shared" ca="1" si="9"/>
        <v>1.7500000000000002E-2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input_settle_321103!A$2</f>
        <v>321103</v>
      </c>
      <c r="B246" s="7" t="str">
        <f t="shared" si="10"/>
        <v>Premium3</v>
      </c>
      <c r="C246" s="7" t="str">
        <f t="shared" si="11"/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IFERROR(VLOOKUP(E246,input_settle_321103!L:R,7,FALSE),VLOOKUP(tables_settle_321103!B246,input_settle_321103!A:H,8,FALSE))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input_settle_321103!A$2</f>
        <v>321103</v>
      </c>
      <c r="B247" s="7" t="str">
        <f t="shared" si="10"/>
        <v>Premium4</v>
      </c>
      <c r="C247" s="7" t="str">
        <f t="shared" si="11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IFERROR(VLOOKUP(E247,input_settle_321103!L:R,7,FALSE),VLOOKUP(tables_settle_321103!B247,input_settle_321103!A:H,8,FALSE))</f>
        <v>0</v>
      </c>
      <c r="N247" s="63">
        <f t="shared" ca="1" si="9"/>
        <v>0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input_settle_321103!A$2</f>
        <v>321103</v>
      </c>
      <c r="B248" s="7" t="str">
        <f t="shared" si="10"/>
        <v>Premium5</v>
      </c>
      <c r="C248" s="7" t="str">
        <f t="shared" si="11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IFERROR(VLOOKUP(E248,input_settle_321103!L:R,7,FALSE),VLOOKUP(tables_settle_321103!B248,input_settle_321103!A:H,8,FALSE))</f>
        <v>27440</v>
      </c>
      <c r="N248" s="63">
        <f t="shared" ca="1" si="9"/>
        <v>1.7500000000000002E-2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input_settle_321103!A$2</f>
        <v>321103</v>
      </c>
      <c r="B249" s="7" t="str">
        <f t="shared" si="10"/>
        <v>Premium3</v>
      </c>
      <c r="C249" s="7" t="str">
        <f t="shared" si="11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IFERROR(VLOOKUP(E249,input_settle_321103!L:R,7,FALSE),VLOOKUP(tables_settle_321103!B249,input_settle_321103!A:H,8,FALSE))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input_settle_321103!A$2</f>
        <v>321103</v>
      </c>
      <c r="B250" s="7" t="str">
        <f t="shared" si="10"/>
        <v>Premium4</v>
      </c>
      <c r="C250" s="7" t="str">
        <f t="shared" si="11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IFERROR(VLOOKUP(E250,input_settle_321103!L:R,7,FALSE),VLOOKUP(tables_settle_321103!B250,input_settle_321103!A:H,8,FALSE))</f>
        <v>0</v>
      </c>
      <c r="N250" s="63">
        <f t="shared" ca="1" si="9"/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input_settle_321103!A$2</f>
        <v>321103</v>
      </c>
      <c r="B251" s="7" t="str">
        <f t="shared" si="10"/>
        <v>Premium5</v>
      </c>
      <c r="C251" s="7" t="str">
        <f t="shared" si="11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IFERROR(VLOOKUP(E251,input_settle_321103!L:R,7,FALSE),VLOOKUP(tables_settle_321103!B251,input_settle_321103!A:H,8,FALSE))</f>
        <v>27440</v>
      </c>
      <c r="N251" s="63">
        <f t="shared" ca="1" si="9"/>
        <v>1.7500000000000002E-2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input_settle_321103!A$2</f>
        <v>321103</v>
      </c>
      <c r="B252" s="7" t="str">
        <f t="shared" si="10"/>
        <v>PremiumSS4</v>
      </c>
      <c r="C252" s="7" t="str">
        <f t="shared" si="11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IFERROR(VLOOKUP(E252,input_settle_321103!L:R,7,FALSE),VLOOKUP(tables_settle_321103!B252,input_settle_321103!A:H,8,FALSE))</f>
        <v>0</v>
      </c>
      <c r="N252" s="63">
        <f t="shared" ca="1" si="9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input_settle_321103!A$2</f>
        <v>321103</v>
      </c>
      <c r="B253" s="7" t="str">
        <f t="shared" si="10"/>
        <v>PremiumSS5</v>
      </c>
      <c r="C253" s="7" t="str">
        <f t="shared" si="11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IFERROR(VLOOKUP(E253,input_settle_321103!L:R,7,FALSE),VLOOKUP(tables_settle_321103!B253,input_settle_321103!A:H,8,FALSE))</f>
        <v>1120</v>
      </c>
      <c r="N253" s="63">
        <f t="shared" ca="1" si="9"/>
        <v>7.1428571428571429E-4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input_settle_321103!A$2</f>
        <v>321103</v>
      </c>
      <c r="B254" s="7" t="str">
        <f t="shared" si="10"/>
        <v>PremiumSS4</v>
      </c>
      <c r="C254" s="7" t="str">
        <f t="shared" si="11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IFERROR(VLOOKUP(E254,input_settle_321103!L:R,7,FALSE),VLOOKUP(tables_settle_321103!B254,input_settle_321103!A:H,8,FALSE))</f>
        <v>0</v>
      </c>
      <c r="N254" s="63">
        <f t="shared" ca="1" si="9"/>
        <v>0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input_settle_321103!A$2</f>
        <v>321103</v>
      </c>
      <c r="B255" s="7" t="str">
        <f t="shared" si="10"/>
        <v>PremiumSS5</v>
      </c>
      <c r="C255" s="7" t="str">
        <f t="shared" si="11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IFERROR(VLOOKUP(E255,input_settle_321103!L:R,7,FALSE),VLOOKUP(tables_settle_321103!B255,input_settle_321103!A:H,8,FALSE))</f>
        <v>1120</v>
      </c>
      <c r="N255" s="63">
        <f t="shared" ca="1" si="9"/>
        <v>7.1428571428571429E-4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input_settle_321103!A$2</f>
        <v>321103</v>
      </c>
      <c r="B256" s="7" t="str">
        <f t="shared" si="10"/>
        <v>PremiumSS4</v>
      </c>
      <c r="C256" s="7" t="str">
        <f t="shared" si="11"/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IFERROR(VLOOKUP(E256,input_settle_321103!L:R,7,FALSE),VLOOKUP(tables_settle_321103!B256,input_settle_321103!A:H,8,FALSE))</f>
        <v>0</v>
      </c>
      <c r="N256" s="63">
        <f t="shared" ca="1" si="9"/>
        <v>0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input_settle_321103!A$2</f>
        <v>321103</v>
      </c>
      <c r="B257" s="7" t="str">
        <f t="shared" si="10"/>
        <v>PremiumSS5</v>
      </c>
      <c r="C257" s="7" t="str">
        <f t="shared" si="11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IFERROR(VLOOKUP(E257,input_settle_321103!L:R,7,FALSE),VLOOKUP(tables_settle_321103!B257,input_settle_321103!A:H,8,FALSE))</f>
        <v>1120</v>
      </c>
      <c r="N257" s="63">
        <f t="shared" ca="1" si="9"/>
        <v>7.1428571428571429E-4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input_settle_321103!A$2</f>
        <v>321103</v>
      </c>
      <c r="B258" s="7" t="str">
        <f t="shared" si="10"/>
        <v>PremiumSS4</v>
      </c>
      <c r="C258" s="7" t="str">
        <f t="shared" si="11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IFERROR(VLOOKUP(E258,input_settle_321103!L:R,7,FALSE),VLOOKUP(tables_settle_321103!B258,input_settle_321103!A:H,8,FALSE))</f>
        <v>0</v>
      </c>
      <c r="N258" s="63">
        <f t="shared" ref="N258:N265" ca="1" si="12">M258/SUM(M:M)</f>
        <v>0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input_settle_321103!A$2</f>
        <v>321103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IFERROR(VLOOKUP(E259,input_settle_321103!L:R,7,FALSE),VLOOKUP(tables_settle_321103!B259,input_settle_321103!A:H,8,FALSE))</f>
        <v>1120</v>
      </c>
      <c r="N259" s="63">
        <f t="shared" ca="1" si="12"/>
        <v>7.1428571428571429E-4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input_settle_321103!A$2</f>
        <v>321103</v>
      </c>
      <c r="B260" s="7" t="str">
        <f t="shared" si="13"/>
        <v>Premium3</v>
      </c>
      <c r="C260" s="7" t="str">
        <f t="shared" si="14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IFERROR(VLOOKUP(E260,input_settle_321103!L:R,7,FALSE),VLOOKUP(tables_settle_321103!B260,input_settle_321103!A:H,8,FALSE))</f>
        <v>0</v>
      </c>
      <c r="N260" s="63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input_settle_321103!A$2</f>
        <v>321103</v>
      </c>
      <c r="B261" s="7" t="str">
        <f t="shared" si="13"/>
        <v>Premium4</v>
      </c>
      <c r="C261" s="7" t="str">
        <f t="shared" si="14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IFERROR(VLOOKUP(E261,input_settle_321103!L:R,7,FALSE),VLOOKUP(tables_settle_321103!B261,input_settle_321103!A:H,8,FALSE))</f>
        <v>0</v>
      </c>
      <c r="N261" s="63">
        <f t="shared" ca="1" si="12"/>
        <v>0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input_settle_321103!A$2</f>
        <v>321103</v>
      </c>
      <c r="B262" s="7" t="str">
        <f t="shared" si="13"/>
        <v>Premium5</v>
      </c>
      <c r="C262" s="7" t="str">
        <f t="shared" si="14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IFERROR(VLOOKUP(E262,input_settle_321103!L:R,7,FALSE),VLOOKUP(tables_settle_321103!B262,input_settle_321103!A:H,8,FALSE))</f>
        <v>27440</v>
      </c>
      <c r="N262" s="63">
        <f t="shared" ca="1" si="12"/>
        <v>1.7500000000000002E-2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input_settle_321103!A$2</f>
        <v>321103</v>
      </c>
      <c r="B263" s="7" t="str">
        <f t="shared" si="13"/>
        <v>Premium3</v>
      </c>
      <c r="C263" s="7" t="str">
        <f t="shared" si="14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IFERROR(VLOOKUP(E263,input_settle_321103!L:R,7,FALSE),VLOOKUP(tables_settle_321103!B263,input_settle_321103!A:H,8,FALSE))</f>
        <v>0</v>
      </c>
      <c r="N263" s="63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input_settle_321103!A$2</f>
        <v>321103</v>
      </c>
      <c r="B264" s="7" t="str">
        <f t="shared" si="13"/>
        <v>Premium4</v>
      </c>
      <c r="C264" s="7" t="str">
        <f t="shared" si="14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IFERROR(VLOOKUP(E264,input_settle_321103!L:R,7,FALSE),VLOOKUP(tables_settle_321103!B264,input_settle_321103!A:H,8,FALSE))</f>
        <v>0</v>
      </c>
      <c r="N264" s="63">
        <f t="shared" ca="1" si="12"/>
        <v>0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input_settle_321103!A$2</f>
        <v>321103</v>
      </c>
      <c r="B265" s="7" t="str">
        <f t="shared" si="13"/>
        <v>Premium5</v>
      </c>
      <c r="C265" s="7" t="str">
        <f t="shared" si="14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IFERROR(VLOOKUP(E265,input_settle_321103!L:R,7,FALSE),VLOOKUP(tables_settle_321103!B265,input_settle_321103!A:H,8,FALSE))</f>
        <v>27440</v>
      </c>
      <c r="N265" s="63">
        <f t="shared" ca="1" si="12"/>
        <v>1.7500000000000002E-2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R43"/>
  <sheetViews>
    <sheetView topLeftCell="A11" workbookViewId="0">
      <selection activeCell="E17" sqref="E17:E23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321104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0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0.95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0.05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0.98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88">
        <v>0.02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v>76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0.93199999999999994</v>
      </c>
      <c r="C18" s="65">
        <f t="shared" si="3"/>
        <v>0</v>
      </c>
      <c r="D18" s="58">
        <f t="shared" si="4"/>
        <v>0.93199999999999994</v>
      </c>
      <c r="E18">
        <v>76</v>
      </c>
      <c r="F18" s="60">
        <f t="shared" si="5"/>
        <v>1.2263157894736842E-2</v>
      </c>
      <c r="G18">
        <f t="shared" si="6"/>
        <v>13883072</v>
      </c>
      <c r="H18">
        <f t="shared" si="7"/>
        <v>182672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f>B11*0.9</f>
        <v>1.8000000000000002E-2</v>
      </c>
      <c r="C19" s="65">
        <f t="shared" si="3"/>
        <v>0</v>
      </c>
      <c r="D19" s="58">
        <f t="shared" si="4"/>
        <v>1.8000000000000002E-2</v>
      </c>
      <c r="E19">
        <v>28</v>
      </c>
      <c r="F19" s="60">
        <f t="shared" si="5"/>
        <v>6.4285714285714293E-4</v>
      </c>
      <c r="G19">
        <f t="shared" si="6"/>
        <v>268128.00000000006</v>
      </c>
      <c r="H19">
        <f t="shared" si="7"/>
        <v>9576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4.8000000000000001E-2</v>
      </c>
      <c r="C21" s="65">
        <f t="shared" si="3"/>
        <v>0</v>
      </c>
      <c r="D21" s="58">
        <f t="shared" si="4"/>
        <v>4.8000000000000001E-2</v>
      </c>
      <c r="E21">
        <v>56</v>
      </c>
      <c r="F21" s="60">
        <f t="shared" si="5"/>
        <v>8.5714285714285721E-4</v>
      </c>
      <c r="G21">
        <f t="shared" si="6"/>
        <v>715008</v>
      </c>
      <c r="H21">
        <f t="shared" si="7"/>
        <v>12768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f>B11*0.1</f>
        <v>2E-3</v>
      </c>
      <c r="C22" s="65">
        <f t="shared" si="3"/>
        <v>0</v>
      </c>
      <c r="D22" s="58">
        <f t="shared" si="4"/>
        <v>2E-3</v>
      </c>
      <c r="E22">
        <v>28</v>
      </c>
      <c r="F22" s="60">
        <f t="shared" si="5"/>
        <v>7.1428571428571434E-5</v>
      </c>
      <c r="G22">
        <f t="shared" si="6"/>
        <v>29792</v>
      </c>
      <c r="H22">
        <f t="shared" si="7"/>
        <v>1064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28*56*76*125</f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SUMIF(tables_321104!B:B,input_321104!A36,tables_321104!M:M)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SUMIF(tables_321104!B:B,input_321104!A37,tables_321104!M:M)</f>
        <v>13883072</v>
      </c>
      <c r="C37" s="72">
        <f t="shared" ca="1" si="10"/>
        <v>0.93200000000000005</v>
      </c>
      <c r="E37">
        <v>4</v>
      </c>
      <c r="F37" s="73">
        <f ca="1">SUM(C37:C39)</f>
        <v>0.95000000000000007</v>
      </c>
    </row>
    <row r="38" spans="1:6">
      <c r="A38" s="47" t="s">
        <v>132</v>
      </c>
      <c r="B38">
        <f ca="1">SUMIF(tables_321104!B:B,input_321104!A38,tables_321104!M:M)</f>
        <v>268128</v>
      </c>
      <c r="C38" s="72">
        <f t="shared" ca="1" si="10"/>
        <v>1.7999999999999999E-2</v>
      </c>
      <c r="E38">
        <v>5</v>
      </c>
      <c r="F38" s="73">
        <f ca="1">SUM(C40:C42)</f>
        <v>0.05</v>
      </c>
    </row>
    <row r="39" spans="1:6">
      <c r="A39" s="47" t="s">
        <v>129</v>
      </c>
      <c r="B39">
        <f>SUMIF(tables_321104!B:B,input_321104!A39,tables_321104!M:M)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SUMIF(tables_321104!B:B,input_321104!A40,tables_321104!M:M)</f>
        <v>715008</v>
      </c>
      <c r="C40" s="72">
        <f t="shared" ca="1" si="10"/>
        <v>4.8000000000000001E-2</v>
      </c>
      <c r="E40" t="s">
        <v>68</v>
      </c>
    </row>
    <row r="41" spans="1:6">
      <c r="A41" s="47" t="s">
        <v>134</v>
      </c>
      <c r="B41">
        <f ca="1">SUMIF(tables_321104!B:B,input_321104!A41,tables_321104!M:M)</f>
        <v>29792</v>
      </c>
      <c r="C41" s="72">
        <f t="shared" ca="1" si="10"/>
        <v>2E-3</v>
      </c>
      <c r="E41" t="s">
        <v>121</v>
      </c>
      <c r="F41" s="73">
        <f ca="1">C36+C37+C40</f>
        <v>0.98000000000000009</v>
      </c>
    </row>
    <row r="42" spans="1:6">
      <c r="A42" s="47" t="s">
        <v>135</v>
      </c>
      <c r="B42">
        <f>SUMIF(tables_321104!B:B,input_321104!A42,tables_321104!M:M)</f>
        <v>0</v>
      </c>
      <c r="C42" s="72">
        <f t="shared" ca="1" si="10"/>
        <v>0</v>
      </c>
      <c r="E42" t="s">
        <v>122</v>
      </c>
      <c r="F42" s="73">
        <f ca="1">C38+C41</f>
        <v>1.9999999999999997E-2</v>
      </c>
    </row>
    <row r="43" spans="1:6">
      <c r="A43" s="55" t="s">
        <v>74</v>
      </c>
      <c r="B43">
        <f ca="1">SUM(B36:B42)</f>
        <v>14896000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48" activePane="bottomLeft" state="frozen"/>
      <selection activeCell="B12" sqref="B12"/>
      <selection pane="bottomLeft" activeCell="G257" sqref="G257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input_321104!A$2</f>
        <v>321104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IFERROR(VLOOKUP(E2,input_321104!L:R,7,FALSE),VLOOKUP(tables_321104!B2,input_321104!A:H,8,FALSE))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input_321104!A$2</f>
        <v>321104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IFERROR(VLOOKUP(E3,input_321104!L:R,7,FALSE),VLOOKUP(tables_321104!B3,input_321104!A:H,8,FALSE))</f>
        <v>182672</v>
      </c>
      <c r="N3" s="63">
        <f t="shared" ca="1" si="0"/>
        <v>1.2263157894736842E-2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input_321104!A$2</f>
        <v>321104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IFERROR(VLOOKUP(E4,input_321104!L:R,7,FALSE),VLOOKUP(tables_321104!B4,input_321104!A:H,8,FALSE))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input_321104!A$2</f>
        <v>321104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IFERROR(VLOOKUP(E5,input_321104!L:R,7,FALSE),VLOOKUP(tables_321104!B5,input_321104!A:H,8,FALSE))</f>
        <v>182672</v>
      </c>
      <c r="N5" s="63">
        <f t="shared" ca="1" si="0"/>
        <v>1.2263157894736842E-2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input_321104!A$2</f>
        <v>321104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IFERROR(VLOOKUP(E6,input_321104!L:R,7,FALSE),VLOOKUP(tables_321104!B6,input_321104!A:H,8,FALSE))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input_321104!A$2</f>
        <v>321104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IFERROR(VLOOKUP(E7,input_321104!L:R,7,FALSE),VLOOKUP(tables_321104!B7,input_321104!A:H,8,FALSE))</f>
        <v>182672</v>
      </c>
      <c r="N7" s="63">
        <f t="shared" ca="1" si="0"/>
        <v>1.2263157894736842E-2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input_321104!A$2</f>
        <v>321104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IFERROR(VLOOKUP(E8,input_321104!L:R,7,FALSE),VLOOKUP(tables_321104!B8,input_321104!A:H,8,FALSE))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input_321104!A$2</f>
        <v>321104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IFERROR(VLOOKUP(E9,input_321104!L:R,7,FALSE),VLOOKUP(tables_321104!B9,input_321104!A:H,8,FALSE))</f>
        <v>182672</v>
      </c>
      <c r="N9" s="63">
        <f t="shared" ca="1" si="0"/>
        <v>1.2263157894736842E-2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input_321104!A$2</f>
        <v>321104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IFERROR(VLOOKUP(E10,input_321104!L:R,7,FALSE),VLOOKUP(tables_321104!B10,input_321104!A:H,8,FALSE))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input_321104!A$2</f>
        <v>321104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IFERROR(VLOOKUP(E11,input_321104!L:R,7,FALSE),VLOOKUP(tables_321104!B11,input_321104!A:H,8,FALSE))</f>
        <v>182672</v>
      </c>
      <c r="N11" s="63">
        <f t="shared" ca="1" si="0"/>
        <v>1.2263157894736842E-2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input_321104!A$2</f>
        <v>321104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IFERROR(VLOOKUP(E12,input_321104!L:R,7,FALSE),VLOOKUP(tables_321104!B12,input_321104!A:H,8,FALSE))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input_321104!A$2</f>
        <v>321104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IFERROR(VLOOKUP(E13,input_321104!L:R,7,FALSE),VLOOKUP(tables_321104!B13,input_321104!A:H,8,FALSE))</f>
        <v>182672</v>
      </c>
      <c r="N13" s="63">
        <f t="shared" ca="1" si="0"/>
        <v>1.2263157894736842E-2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input_321104!A$2</f>
        <v>321104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IFERROR(VLOOKUP(E14,input_321104!L:R,7,FALSE),VLOOKUP(tables_321104!B14,input_321104!A:H,8,FALSE))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input_321104!A$2</f>
        <v>321104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IFERROR(VLOOKUP(E15,input_321104!L:R,7,FALSE),VLOOKUP(tables_321104!B15,input_321104!A:H,8,FALSE))</f>
        <v>182672</v>
      </c>
      <c r="N15" s="63">
        <f t="shared" ca="1" si="0"/>
        <v>1.2263157894736842E-2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input_321104!A$2</f>
        <v>321104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IFERROR(VLOOKUP(E16,input_321104!L:R,7,FALSE),VLOOKUP(tables_321104!B16,input_321104!A:H,8,FALSE))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input_321104!A$2</f>
        <v>321104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IFERROR(VLOOKUP(E17,input_321104!L:R,7,FALSE),VLOOKUP(tables_321104!B17,input_321104!A:H,8,FALSE))</f>
        <v>182672</v>
      </c>
      <c r="N17" s="63">
        <f t="shared" ca="1" si="0"/>
        <v>1.2263157894736842E-2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input_321104!A$2</f>
        <v>321104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IFERROR(VLOOKUP(E18,input_321104!L:R,7,FALSE),VLOOKUP(tables_321104!B18,input_321104!A:H,8,FALSE))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input_321104!A$2</f>
        <v>321104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IFERROR(VLOOKUP(E19,input_321104!L:R,7,FALSE),VLOOKUP(tables_321104!B19,input_321104!A:H,8,FALSE))</f>
        <v>182672</v>
      </c>
      <c r="N19" s="63">
        <f t="shared" ca="1" si="0"/>
        <v>1.2263157894736842E-2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input_321104!A$2</f>
        <v>321104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IFERROR(VLOOKUP(E20,input_321104!L:R,7,FALSE),VLOOKUP(tables_321104!B20,input_321104!A:H,8,FALSE))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input_321104!A$2</f>
        <v>321104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IFERROR(VLOOKUP(E21,input_321104!L:R,7,FALSE),VLOOKUP(tables_321104!B21,input_321104!A:H,8,FALSE))</f>
        <v>182672</v>
      </c>
      <c r="N21" s="63">
        <f t="shared" ca="1" si="0"/>
        <v>1.2263157894736842E-2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input_321104!A$2</f>
        <v>321104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IFERROR(VLOOKUP(E22,input_321104!L:R,7,FALSE),VLOOKUP(tables_321104!B22,input_321104!A:H,8,FALSE))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input_321104!A$2</f>
        <v>321104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IFERROR(VLOOKUP(E23,input_321104!L:R,7,FALSE),VLOOKUP(tables_321104!B23,input_321104!A:H,8,FALSE))</f>
        <v>182672</v>
      </c>
      <c r="N23" s="63">
        <f t="shared" ca="1" si="0"/>
        <v>1.2263157894736842E-2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input_321104!A$2</f>
        <v>321104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IFERROR(VLOOKUP(E24,input_321104!L:R,7,FALSE),VLOOKUP(tables_321104!B24,input_321104!A:H,8,FALSE))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input_321104!A$2</f>
        <v>321104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IFERROR(VLOOKUP(E25,input_321104!L:R,7,FALSE),VLOOKUP(tables_321104!B25,input_321104!A:H,8,FALSE))</f>
        <v>182672</v>
      </c>
      <c r="N25" s="63">
        <f t="shared" ca="1" si="0"/>
        <v>1.2263157894736842E-2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input_321104!A$2</f>
        <v>321104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IFERROR(VLOOKUP(E26,input_321104!L:R,7,FALSE),VLOOKUP(tables_321104!B26,input_321104!A:H,8,FALSE))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input_321104!A$2</f>
        <v>321104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IFERROR(VLOOKUP(E27,input_321104!L:R,7,FALSE),VLOOKUP(tables_321104!B27,input_321104!A:H,8,FALSE))</f>
        <v>182672</v>
      </c>
      <c r="N27" s="63">
        <f t="shared" ca="1" si="0"/>
        <v>1.2263157894736842E-2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input_321104!A$2</f>
        <v>321104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IFERROR(VLOOKUP(E28,input_321104!L:R,7,FALSE),VLOOKUP(tables_321104!B28,input_321104!A:H,8,FALSE))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input_321104!A$2</f>
        <v>321104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IFERROR(VLOOKUP(E29,input_321104!L:R,7,FALSE),VLOOKUP(tables_321104!B29,input_321104!A:H,8,FALSE))</f>
        <v>182672</v>
      </c>
      <c r="N29" s="63">
        <f t="shared" ca="1" si="0"/>
        <v>1.2263157894736842E-2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input_321104!A$2</f>
        <v>321104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IFERROR(VLOOKUP(E30,input_321104!L:R,7,FALSE),VLOOKUP(tables_321104!B30,input_321104!A:H,8,FALSE))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input_321104!A$2</f>
        <v>321104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IFERROR(VLOOKUP(E31,input_321104!L:R,7,FALSE),VLOOKUP(tables_321104!B31,input_321104!A:H,8,FALSE))</f>
        <v>182672</v>
      </c>
      <c r="N31" s="63">
        <f t="shared" ca="1" si="0"/>
        <v>1.2263157894736842E-2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input_321104!A$2</f>
        <v>321104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IFERROR(VLOOKUP(E32,input_321104!L:R,7,FALSE),VLOOKUP(tables_321104!B32,input_321104!A:H,8,FALSE))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input_321104!A$2</f>
        <v>321104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IFERROR(VLOOKUP(E33,input_321104!L:R,7,FALSE),VLOOKUP(tables_321104!B33,input_321104!A:H,8,FALSE))</f>
        <v>182672</v>
      </c>
      <c r="N33" s="63">
        <f t="shared" ca="1" si="0"/>
        <v>1.2263157894736842E-2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input_321104!A$2</f>
        <v>321104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IFERROR(VLOOKUP(E34,input_321104!L:R,7,FALSE),VLOOKUP(tables_321104!B34,input_321104!A:H,8,FALSE))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input_321104!A$2</f>
        <v>321104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IFERROR(VLOOKUP(E35,input_321104!L:R,7,FALSE),VLOOKUP(tables_321104!B35,input_321104!A:H,8,FALSE))</f>
        <v>182672</v>
      </c>
      <c r="N35" s="63">
        <f t="shared" ca="1" si="0"/>
        <v>1.2263157894736842E-2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input_321104!A$2</f>
        <v>321104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IFERROR(VLOOKUP(E36,input_321104!L:R,7,FALSE),VLOOKUP(tables_321104!B36,input_321104!A:H,8,FALSE))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input_321104!A$2</f>
        <v>321104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IFERROR(VLOOKUP(E37,input_321104!L:R,7,FALSE),VLOOKUP(tables_321104!B37,input_321104!A:H,8,FALSE))</f>
        <v>182672</v>
      </c>
      <c r="N37" s="63">
        <f t="shared" ca="1" si="0"/>
        <v>1.2263157894736842E-2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input_321104!A$2</f>
        <v>321104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IFERROR(VLOOKUP(E38,input_321104!L:R,7,FALSE),VLOOKUP(tables_321104!B38,input_321104!A:H,8,FALSE))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input_321104!A$2</f>
        <v>321104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IFERROR(VLOOKUP(E39,input_321104!L:R,7,FALSE),VLOOKUP(tables_321104!B39,input_321104!A:H,8,FALSE))</f>
        <v>182672</v>
      </c>
      <c r="N39" s="63">
        <f t="shared" ca="1" si="0"/>
        <v>1.2263157894736842E-2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input_321104!A$2</f>
        <v>321104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IFERROR(VLOOKUP(E40,input_321104!L:R,7,FALSE),VLOOKUP(tables_321104!B40,input_321104!A:H,8,FALSE))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input_321104!A$2</f>
        <v>321104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IFERROR(VLOOKUP(E41,input_321104!L:R,7,FALSE),VLOOKUP(tables_321104!B41,input_321104!A:H,8,FALSE))</f>
        <v>182672</v>
      </c>
      <c r="N41" s="63">
        <f t="shared" ca="1" si="0"/>
        <v>1.2263157894736842E-2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input_321104!A$2</f>
        <v>321104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IFERROR(VLOOKUP(E42,input_321104!L:R,7,FALSE),VLOOKUP(tables_321104!B42,input_321104!A:H,8,FALSE))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input_321104!A$2</f>
        <v>321104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IFERROR(VLOOKUP(E43,input_321104!L:R,7,FALSE),VLOOKUP(tables_321104!B43,input_321104!A:H,8,FALSE))</f>
        <v>182672</v>
      </c>
      <c r="N43" s="63">
        <f t="shared" ca="1" si="0"/>
        <v>1.2263157894736842E-2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input_321104!A$2</f>
        <v>321104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IFERROR(VLOOKUP(E44,input_321104!L:R,7,FALSE),VLOOKUP(tables_321104!B44,input_321104!A:H,8,FALSE))</f>
        <v>12768</v>
      </c>
      <c r="N44" s="63">
        <f t="shared" ca="1" si="0"/>
        <v>8.571428571428571E-4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input_321104!A$2</f>
        <v>321104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IFERROR(VLOOKUP(E45,input_321104!L:R,7,FALSE),VLOOKUP(tables_321104!B45,input_321104!A:H,8,FALSE))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input_321104!A$2</f>
        <v>321104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IFERROR(VLOOKUP(E46,input_321104!L:R,7,FALSE),VLOOKUP(tables_321104!B46,input_321104!A:H,8,FALSE))</f>
        <v>182672</v>
      </c>
      <c r="N46" s="63">
        <f t="shared" ca="1" si="0"/>
        <v>1.2263157894736842E-2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input_321104!A$2</f>
        <v>321104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IFERROR(VLOOKUP(E47,input_321104!L:R,7,FALSE),VLOOKUP(tables_321104!B47,input_321104!A:H,8,FALSE))</f>
        <v>12768</v>
      </c>
      <c r="N47" s="63">
        <f t="shared" ca="1" si="0"/>
        <v>8.571428571428571E-4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input_321104!A$2</f>
        <v>321104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IFERROR(VLOOKUP(E48,input_321104!L:R,7,FALSE),VLOOKUP(tables_321104!B48,input_321104!A:H,8,FALSE))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input_321104!A$2</f>
        <v>321104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IFERROR(VLOOKUP(E49,input_321104!L:R,7,FALSE),VLOOKUP(tables_321104!B49,input_321104!A:H,8,FALSE))</f>
        <v>182672</v>
      </c>
      <c r="N49" s="63">
        <f t="shared" ca="1" si="0"/>
        <v>1.2263157894736842E-2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input_321104!A$2</f>
        <v>321104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IFERROR(VLOOKUP(E50,input_321104!L:R,7,FALSE),VLOOKUP(tables_321104!B50,input_321104!A:H,8,FALSE))</f>
        <v>12768</v>
      </c>
      <c r="N50" s="63">
        <f t="shared" ca="1" si="0"/>
        <v>8.571428571428571E-4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input_321104!A$2</f>
        <v>321104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IFERROR(VLOOKUP(E51,input_321104!L:R,7,FALSE),VLOOKUP(tables_321104!B51,input_321104!A:H,8,FALSE))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input_321104!A$2</f>
        <v>321104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IFERROR(VLOOKUP(E52,input_321104!L:R,7,FALSE),VLOOKUP(tables_321104!B52,input_321104!A:H,8,FALSE))</f>
        <v>182672</v>
      </c>
      <c r="N52" s="63">
        <f t="shared" ca="1" si="0"/>
        <v>1.2263157894736842E-2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input_321104!A$2</f>
        <v>321104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IFERROR(VLOOKUP(E53,input_321104!L:R,7,FALSE),VLOOKUP(tables_321104!B53,input_321104!A:H,8,FALSE))</f>
        <v>12768</v>
      </c>
      <c r="N53" s="63">
        <f t="shared" ca="1" si="0"/>
        <v>8.571428571428571E-4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input_321104!A$2</f>
        <v>321104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IFERROR(VLOOKUP(E54,input_321104!L:R,7,FALSE),VLOOKUP(tables_321104!B54,input_321104!A:H,8,FALSE))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input_321104!A$2</f>
        <v>321104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IFERROR(VLOOKUP(E55,input_321104!L:R,7,FALSE),VLOOKUP(tables_321104!B55,input_321104!A:H,8,FALSE))</f>
        <v>182672</v>
      </c>
      <c r="N55" s="63">
        <f t="shared" ca="1" si="0"/>
        <v>1.2263157894736842E-2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input_321104!A$2</f>
        <v>321104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IFERROR(VLOOKUP(E56,input_321104!L:R,7,FALSE),VLOOKUP(tables_321104!B56,input_321104!A:H,8,FALSE))</f>
        <v>12768</v>
      </c>
      <c r="N56" s="63">
        <f t="shared" ca="1" si="0"/>
        <v>8.571428571428571E-4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input_321104!A$2</f>
        <v>321104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IFERROR(VLOOKUP(E57,input_321104!L:R,7,FALSE),VLOOKUP(tables_321104!B57,input_321104!A:H,8,FALSE))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input_321104!A$2</f>
        <v>321104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IFERROR(VLOOKUP(E58,input_321104!L:R,7,FALSE),VLOOKUP(tables_321104!B58,input_321104!A:H,8,FALSE))</f>
        <v>182672</v>
      </c>
      <c r="N58" s="63">
        <f t="shared" ca="1" si="0"/>
        <v>1.2263157894736842E-2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input_321104!A$2</f>
        <v>321104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IFERROR(VLOOKUP(E59,input_321104!L:R,7,FALSE),VLOOKUP(tables_321104!B59,input_321104!A:H,8,FALSE))</f>
        <v>12768</v>
      </c>
      <c r="N59" s="63">
        <f t="shared" ca="1" si="0"/>
        <v>8.571428571428571E-4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input_321104!A$2</f>
        <v>321104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IFERROR(VLOOKUP(E60,input_321104!L:R,7,FALSE),VLOOKUP(tables_321104!B60,input_321104!A:H,8,FALSE))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input_321104!A$2</f>
        <v>321104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IFERROR(VLOOKUP(E61,input_321104!L:R,7,FALSE),VLOOKUP(tables_321104!B61,input_321104!A:H,8,FALSE))</f>
        <v>182672</v>
      </c>
      <c r="N61" s="63">
        <f t="shared" ca="1" si="0"/>
        <v>1.2263157894736842E-2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input_321104!A$2</f>
        <v>321104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IFERROR(VLOOKUP(E62,input_321104!L:R,7,FALSE),VLOOKUP(tables_321104!B62,input_321104!A:H,8,FALSE))</f>
        <v>12768</v>
      </c>
      <c r="N62" s="63">
        <f t="shared" ca="1" si="0"/>
        <v>8.571428571428571E-4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input_321104!A$2</f>
        <v>321104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IFERROR(VLOOKUP(E63,input_321104!L:R,7,FALSE),VLOOKUP(tables_321104!B63,input_321104!A:H,8,FALSE))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input_321104!A$2</f>
        <v>321104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IFERROR(VLOOKUP(E64,input_321104!L:R,7,FALSE),VLOOKUP(tables_321104!B64,input_321104!A:H,8,FALSE))</f>
        <v>182672</v>
      </c>
      <c r="N64" s="63">
        <f t="shared" ca="1" si="0"/>
        <v>1.2263157894736842E-2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input_321104!A$2</f>
        <v>321104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IFERROR(VLOOKUP(E65,input_321104!L:R,7,FALSE),VLOOKUP(tables_321104!B65,input_321104!A:H,8,FALSE))</f>
        <v>12768</v>
      </c>
      <c r="N65" s="63">
        <f t="shared" ca="1" si="0"/>
        <v>8.571428571428571E-4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input_321104!A$2</f>
        <v>321104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IFERROR(VLOOKUP(E66,input_321104!L:R,7,FALSE),VLOOKUP(tables_321104!B66,input_321104!A:H,8,FALSE))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input_321104!A$2</f>
        <v>321104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IFERROR(VLOOKUP(E67,input_321104!L:R,7,FALSE),VLOOKUP(tables_321104!B67,input_321104!A:H,8,FALSE))</f>
        <v>182672</v>
      </c>
      <c r="N67" s="63">
        <f t="shared" ca="1" si="3"/>
        <v>1.2263157894736842E-2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input_321104!A$2</f>
        <v>321104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IFERROR(VLOOKUP(E68,input_321104!L:R,7,FALSE),VLOOKUP(tables_321104!B68,input_321104!A:H,8,FALSE))</f>
        <v>12768</v>
      </c>
      <c r="N68" s="63">
        <f t="shared" ca="1" si="3"/>
        <v>8.571428571428571E-4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input_321104!A$2</f>
        <v>321104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IFERROR(VLOOKUP(E69,input_321104!L:R,7,FALSE),VLOOKUP(tables_321104!B69,input_321104!A:H,8,FALSE))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input_321104!A$2</f>
        <v>321104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IFERROR(VLOOKUP(E70,input_321104!L:R,7,FALSE),VLOOKUP(tables_321104!B70,input_321104!A:H,8,FALSE))</f>
        <v>182672</v>
      </c>
      <c r="N70" s="63">
        <f t="shared" ca="1" si="3"/>
        <v>1.2263157894736842E-2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input_321104!A$2</f>
        <v>321104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IFERROR(VLOOKUP(E71,input_321104!L:R,7,FALSE),VLOOKUP(tables_321104!B71,input_321104!A:H,8,FALSE))</f>
        <v>12768</v>
      </c>
      <c r="N71" s="63">
        <f t="shared" ca="1" si="3"/>
        <v>8.571428571428571E-4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input_321104!A$2</f>
        <v>321104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IFERROR(VLOOKUP(E72,input_321104!L:R,7,FALSE),VLOOKUP(tables_321104!B72,input_321104!A:H,8,FALSE))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input_321104!A$2</f>
        <v>321104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IFERROR(VLOOKUP(E73,input_321104!L:R,7,FALSE),VLOOKUP(tables_321104!B73,input_321104!A:H,8,FALSE))</f>
        <v>182672</v>
      </c>
      <c r="N73" s="63">
        <f t="shared" ca="1" si="3"/>
        <v>1.2263157894736842E-2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input_321104!A$2</f>
        <v>321104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IFERROR(VLOOKUP(E74,input_321104!L:R,7,FALSE),VLOOKUP(tables_321104!B74,input_321104!A:H,8,FALSE))</f>
        <v>12768</v>
      </c>
      <c r="N74" s="63">
        <f t="shared" ca="1" si="3"/>
        <v>8.571428571428571E-4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input_321104!A$2</f>
        <v>321104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IFERROR(VLOOKUP(E75,input_321104!L:R,7,FALSE),VLOOKUP(tables_321104!B75,input_321104!A:H,8,FALSE))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input_321104!A$2</f>
        <v>321104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IFERROR(VLOOKUP(E76,input_321104!L:R,7,FALSE),VLOOKUP(tables_321104!B76,input_321104!A:H,8,FALSE))</f>
        <v>182672</v>
      </c>
      <c r="N76" s="63">
        <f t="shared" ca="1" si="3"/>
        <v>1.2263157894736842E-2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input_321104!A$2</f>
        <v>321104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IFERROR(VLOOKUP(E77,input_321104!L:R,7,FALSE),VLOOKUP(tables_321104!B77,input_321104!A:H,8,FALSE))</f>
        <v>12768</v>
      </c>
      <c r="N77" s="63">
        <f t="shared" ca="1" si="3"/>
        <v>8.571428571428571E-4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input_321104!A$2</f>
        <v>321104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IFERROR(VLOOKUP(E78,input_321104!L:R,7,FALSE),VLOOKUP(tables_321104!B78,input_321104!A:H,8,FALSE))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input_321104!A$2</f>
        <v>321104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IFERROR(VLOOKUP(E79,input_321104!L:R,7,FALSE),VLOOKUP(tables_321104!B79,input_321104!A:H,8,FALSE))</f>
        <v>182672</v>
      </c>
      <c r="N79" s="63">
        <f t="shared" ca="1" si="3"/>
        <v>1.2263157894736842E-2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input_321104!A$2</f>
        <v>321104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IFERROR(VLOOKUP(E80,input_321104!L:R,7,FALSE),VLOOKUP(tables_321104!B80,input_321104!A:H,8,FALSE))</f>
        <v>12768</v>
      </c>
      <c r="N80" s="63">
        <f t="shared" ca="1" si="3"/>
        <v>8.571428571428571E-4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input_321104!A$2</f>
        <v>321104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IFERROR(VLOOKUP(E81,input_321104!L:R,7,FALSE),VLOOKUP(tables_321104!B81,input_321104!A:H,8,FALSE))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input_321104!A$2</f>
        <v>321104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IFERROR(VLOOKUP(E82,input_321104!L:R,7,FALSE),VLOOKUP(tables_321104!B82,input_321104!A:H,8,FALSE))</f>
        <v>182672</v>
      </c>
      <c r="N82" s="63">
        <f t="shared" ca="1" si="3"/>
        <v>1.2263157894736842E-2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input_321104!A$2</f>
        <v>321104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IFERROR(VLOOKUP(E83,input_321104!L:R,7,FALSE),VLOOKUP(tables_321104!B83,input_321104!A:H,8,FALSE))</f>
        <v>12768</v>
      </c>
      <c r="N83" s="63">
        <f t="shared" ca="1" si="3"/>
        <v>8.571428571428571E-4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input_321104!A$2</f>
        <v>321104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IFERROR(VLOOKUP(E84,input_321104!L:R,7,FALSE),VLOOKUP(tables_321104!B84,input_321104!A:H,8,FALSE))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input_321104!A$2</f>
        <v>321104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IFERROR(VLOOKUP(E85,input_321104!L:R,7,FALSE),VLOOKUP(tables_321104!B85,input_321104!A:H,8,FALSE))</f>
        <v>182672</v>
      </c>
      <c r="N85" s="63">
        <f t="shared" ca="1" si="3"/>
        <v>1.2263157894736842E-2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input_321104!A$2</f>
        <v>321104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IFERROR(VLOOKUP(E86,input_321104!L:R,7,FALSE),VLOOKUP(tables_321104!B86,input_321104!A:H,8,FALSE))</f>
        <v>12768</v>
      </c>
      <c r="N86" s="63">
        <f t="shared" ca="1" si="3"/>
        <v>8.571428571428571E-4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input_321104!A$2</f>
        <v>321104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IFERROR(VLOOKUP(E87,input_321104!L:R,7,FALSE),VLOOKUP(tables_321104!B87,input_321104!A:H,8,FALSE))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input_321104!A$2</f>
        <v>321104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IFERROR(VLOOKUP(E88,input_321104!L:R,7,FALSE),VLOOKUP(tables_321104!B88,input_321104!A:H,8,FALSE))</f>
        <v>182672</v>
      </c>
      <c r="N88" s="63">
        <f t="shared" ca="1" si="3"/>
        <v>1.2263157894736842E-2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input_321104!A$2</f>
        <v>321104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IFERROR(VLOOKUP(E89,input_321104!L:R,7,FALSE),VLOOKUP(tables_321104!B89,input_321104!A:H,8,FALSE))</f>
        <v>12768</v>
      </c>
      <c r="N89" s="63">
        <f t="shared" ca="1" si="3"/>
        <v>8.571428571428571E-4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input_321104!A$2</f>
        <v>321104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IFERROR(VLOOKUP(E90,input_321104!L:R,7,FALSE),VLOOKUP(tables_321104!B90,input_321104!A:H,8,FALSE))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input_321104!A$2</f>
        <v>321104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IFERROR(VLOOKUP(E91,input_321104!L:R,7,FALSE),VLOOKUP(tables_321104!B91,input_321104!A:H,8,FALSE))</f>
        <v>182672</v>
      </c>
      <c r="N91" s="63">
        <f t="shared" ca="1" si="3"/>
        <v>1.2263157894736842E-2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input_321104!A$2</f>
        <v>321104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IFERROR(VLOOKUP(E92,input_321104!L:R,7,FALSE),VLOOKUP(tables_321104!B92,input_321104!A:H,8,FALSE))</f>
        <v>12768</v>
      </c>
      <c r="N92" s="63">
        <f t="shared" ca="1" si="3"/>
        <v>8.571428571428571E-4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input_321104!A$2</f>
        <v>321104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IFERROR(VLOOKUP(E93,input_321104!L:R,7,FALSE),VLOOKUP(tables_321104!B93,input_321104!A:H,8,FALSE))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input_321104!A$2</f>
        <v>321104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IFERROR(VLOOKUP(E94,input_321104!L:R,7,FALSE),VLOOKUP(tables_321104!B94,input_321104!A:H,8,FALSE))</f>
        <v>182672</v>
      </c>
      <c r="N94" s="63">
        <f t="shared" ca="1" si="3"/>
        <v>1.2263157894736842E-2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input_321104!A$2</f>
        <v>321104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IFERROR(VLOOKUP(E95,input_321104!L:R,7,FALSE),VLOOKUP(tables_321104!B95,input_321104!A:H,8,FALSE))</f>
        <v>12768</v>
      </c>
      <c r="N95" s="63">
        <f t="shared" ca="1" si="3"/>
        <v>8.571428571428571E-4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input_321104!A$2</f>
        <v>321104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IFERROR(VLOOKUP(E96,input_321104!L:R,7,FALSE),VLOOKUP(tables_321104!B96,input_321104!A:H,8,FALSE))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input_321104!A$2</f>
        <v>321104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IFERROR(VLOOKUP(E97,input_321104!L:R,7,FALSE),VLOOKUP(tables_321104!B97,input_321104!A:H,8,FALSE))</f>
        <v>182672</v>
      </c>
      <c r="N97" s="63">
        <f t="shared" ca="1" si="3"/>
        <v>1.2263157894736842E-2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input_321104!A$2</f>
        <v>321104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IFERROR(VLOOKUP(E98,input_321104!L:R,7,FALSE),VLOOKUP(tables_321104!B98,input_321104!A:H,8,FALSE))</f>
        <v>12768</v>
      </c>
      <c r="N98" s="63">
        <f t="shared" ca="1" si="3"/>
        <v>8.571428571428571E-4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input_321104!A$2</f>
        <v>321104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IFERROR(VLOOKUP(E99,input_321104!L:R,7,FALSE),VLOOKUP(tables_321104!B99,input_321104!A:H,8,FALSE))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input_321104!A$2</f>
        <v>321104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IFERROR(VLOOKUP(E100,input_321104!L:R,7,FALSE),VLOOKUP(tables_321104!B100,input_321104!A:H,8,FALSE))</f>
        <v>182672</v>
      </c>
      <c r="N100" s="63">
        <f t="shared" ca="1" si="3"/>
        <v>1.2263157894736842E-2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input_321104!A$2</f>
        <v>321104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IFERROR(VLOOKUP(E101,input_321104!L:R,7,FALSE),VLOOKUP(tables_321104!B101,input_321104!A:H,8,FALSE))</f>
        <v>12768</v>
      </c>
      <c r="N101" s="63">
        <f t="shared" ca="1" si="3"/>
        <v>8.571428571428571E-4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input_321104!A$2</f>
        <v>321104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IFERROR(VLOOKUP(E102,input_321104!L:R,7,FALSE),VLOOKUP(tables_321104!B102,input_321104!A:H,8,FALSE))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input_321104!A$2</f>
        <v>321104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IFERROR(VLOOKUP(E103,input_321104!L:R,7,FALSE),VLOOKUP(tables_321104!B103,input_321104!A:H,8,FALSE))</f>
        <v>182672</v>
      </c>
      <c r="N103" s="63">
        <f t="shared" ca="1" si="3"/>
        <v>1.2263157894736842E-2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input_321104!A$2</f>
        <v>321104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IFERROR(VLOOKUP(E104,input_321104!L:R,7,FALSE),VLOOKUP(tables_321104!B104,input_321104!A:H,8,FALSE))</f>
        <v>12768</v>
      </c>
      <c r="N104" s="63">
        <f t="shared" ca="1" si="3"/>
        <v>8.571428571428571E-4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input_321104!A$2</f>
        <v>321104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IFERROR(VLOOKUP(E105,input_321104!L:R,7,FALSE),VLOOKUP(tables_321104!B105,input_321104!A:H,8,FALSE))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input_321104!A$2</f>
        <v>321104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IFERROR(VLOOKUP(E106,input_321104!L:R,7,FALSE),VLOOKUP(tables_321104!B106,input_321104!A:H,8,FALSE))</f>
        <v>182672</v>
      </c>
      <c r="N106" s="63">
        <f t="shared" ca="1" si="3"/>
        <v>1.2263157894736842E-2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input_321104!A$2</f>
        <v>321104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IFERROR(VLOOKUP(E107,input_321104!L:R,7,FALSE),VLOOKUP(tables_321104!B107,input_321104!A:H,8,FALSE))</f>
        <v>12768</v>
      </c>
      <c r="N107" s="63">
        <f t="shared" ca="1" si="3"/>
        <v>8.571428571428571E-4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input_321104!A$2</f>
        <v>321104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IFERROR(VLOOKUP(E108,input_321104!L:R,7,FALSE),VLOOKUP(tables_321104!B108,input_321104!A:H,8,FALSE))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input_321104!A$2</f>
        <v>321104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IFERROR(VLOOKUP(E109,input_321104!L:R,7,FALSE),VLOOKUP(tables_321104!B109,input_321104!A:H,8,FALSE))</f>
        <v>182672</v>
      </c>
      <c r="N109" s="63">
        <f t="shared" ca="1" si="3"/>
        <v>1.2263157894736842E-2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input_321104!A$2</f>
        <v>321104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IFERROR(VLOOKUP(E110,input_321104!L:R,7,FALSE),VLOOKUP(tables_321104!B110,input_321104!A:H,8,FALSE))</f>
        <v>12768</v>
      </c>
      <c r="N110" s="63">
        <f t="shared" ca="1" si="3"/>
        <v>8.571428571428571E-4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input_321104!A$2</f>
        <v>321104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IFERROR(VLOOKUP(E111,input_321104!L:R,7,FALSE),VLOOKUP(tables_321104!B111,input_321104!A:H,8,FALSE))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input_321104!A$2</f>
        <v>321104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IFERROR(VLOOKUP(E112,input_321104!L:R,7,FALSE),VLOOKUP(tables_321104!B112,input_321104!A:H,8,FALSE))</f>
        <v>182672</v>
      </c>
      <c r="N112" s="63">
        <f t="shared" ca="1" si="3"/>
        <v>1.2263157894736842E-2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input_321104!A$2</f>
        <v>321104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IFERROR(VLOOKUP(E113,input_321104!L:R,7,FALSE),VLOOKUP(tables_321104!B113,input_321104!A:H,8,FALSE))</f>
        <v>12768</v>
      </c>
      <c r="N113" s="63">
        <f t="shared" ca="1" si="3"/>
        <v>8.571428571428571E-4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input_321104!A$2</f>
        <v>321104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IFERROR(VLOOKUP(E114,input_321104!L:R,7,FALSE),VLOOKUP(tables_321104!B114,input_321104!A:H,8,FALSE))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input_321104!A$2</f>
        <v>321104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IFERROR(VLOOKUP(E115,input_321104!L:R,7,FALSE),VLOOKUP(tables_321104!B115,input_321104!A:H,8,FALSE))</f>
        <v>182672</v>
      </c>
      <c r="N115" s="63">
        <f t="shared" ca="1" si="3"/>
        <v>1.2263157894736842E-2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input_321104!A$2</f>
        <v>321104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IFERROR(VLOOKUP(E116,input_321104!L:R,7,FALSE),VLOOKUP(tables_321104!B116,input_321104!A:H,8,FALSE))</f>
        <v>12768</v>
      </c>
      <c r="N116" s="63">
        <f t="shared" ca="1" si="3"/>
        <v>8.571428571428571E-4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input_321104!A$2</f>
        <v>321104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IFERROR(VLOOKUP(E117,input_321104!L:R,7,FALSE),VLOOKUP(tables_321104!B117,input_321104!A:H,8,FALSE))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input_321104!A$2</f>
        <v>321104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IFERROR(VLOOKUP(E118,input_321104!L:R,7,FALSE),VLOOKUP(tables_321104!B118,input_321104!A:H,8,FALSE))</f>
        <v>182672</v>
      </c>
      <c r="N118" s="63">
        <f t="shared" ca="1" si="3"/>
        <v>1.2263157894736842E-2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input_321104!A$2</f>
        <v>321104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IFERROR(VLOOKUP(E119,input_321104!L:R,7,FALSE),VLOOKUP(tables_321104!B119,input_321104!A:H,8,FALSE))</f>
        <v>12768</v>
      </c>
      <c r="N119" s="63">
        <f t="shared" ca="1" si="3"/>
        <v>8.571428571428571E-4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input_321104!A$2</f>
        <v>321104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IFERROR(VLOOKUP(E120,input_321104!L:R,7,FALSE),VLOOKUP(tables_321104!B120,input_321104!A:H,8,FALSE))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input_321104!A$2</f>
        <v>321104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IFERROR(VLOOKUP(E121,input_321104!L:R,7,FALSE),VLOOKUP(tables_321104!B121,input_321104!A:H,8,FALSE))</f>
        <v>182672</v>
      </c>
      <c r="N121" s="63">
        <f t="shared" ca="1" si="3"/>
        <v>1.2263157894736842E-2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input_321104!A$2</f>
        <v>321104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IFERROR(VLOOKUP(E122,input_321104!L:R,7,FALSE),VLOOKUP(tables_321104!B122,input_321104!A:H,8,FALSE))</f>
        <v>12768</v>
      </c>
      <c r="N122" s="63">
        <f t="shared" ca="1" si="3"/>
        <v>8.571428571428571E-4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input_321104!A$2</f>
        <v>321104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IFERROR(VLOOKUP(E123,input_321104!L:R,7,FALSE),VLOOKUP(tables_321104!B123,input_321104!A:H,8,FALSE))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input_321104!A$2</f>
        <v>321104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IFERROR(VLOOKUP(E124,input_321104!L:R,7,FALSE),VLOOKUP(tables_321104!B124,input_321104!A:H,8,FALSE))</f>
        <v>182672</v>
      </c>
      <c r="N124" s="63">
        <f t="shared" ca="1" si="3"/>
        <v>1.2263157894736842E-2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input_321104!A$2</f>
        <v>321104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IFERROR(VLOOKUP(E125,input_321104!L:R,7,FALSE),VLOOKUP(tables_321104!B125,input_321104!A:H,8,FALSE))</f>
        <v>12768</v>
      </c>
      <c r="N125" s="63">
        <f t="shared" ca="1" si="3"/>
        <v>8.571428571428571E-4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input_321104!A$2</f>
        <v>321104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IFERROR(VLOOKUP(E126,input_321104!L:R,7,FALSE),VLOOKUP(tables_321104!B126,input_321104!A:H,8,FALSE))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input_321104!A$2</f>
        <v>321104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IFERROR(VLOOKUP(E127,input_321104!L:R,7,FALSE),VLOOKUP(tables_321104!B127,input_321104!A:H,8,FALSE))</f>
        <v>182672</v>
      </c>
      <c r="N127" s="63">
        <f t="shared" ca="1" si="3"/>
        <v>1.2263157894736842E-2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input_321104!A$2</f>
        <v>321104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IFERROR(VLOOKUP(E128,input_321104!L:R,7,FALSE),VLOOKUP(tables_321104!B128,input_321104!A:H,8,FALSE))</f>
        <v>12768</v>
      </c>
      <c r="N128" s="63">
        <f t="shared" ca="1" si="3"/>
        <v>8.571428571428571E-4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input_321104!A$2</f>
        <v>321104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IFERROR(VLOOKUP(E129,input_321104!L:R,7,FALSE),VLOOKUP(tables_321104!B129,input_321104!A:H,8,FALSE))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input_321104!A$2</f>
        <v>321104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IFERROR(VLOOKUP(E130,input_321104!L:R,7,FALSE),VLOOKUP(tables_321104!B130,input_321104!A:H,8,FALSE))</f>
        <v>182672</v>
      </c>
      <c r="N130" s="63">
        <f t="shared" ref="N130:N193" ca="1" si="6">M130/SUM(M:M)</f>
        <v>1.2263157894736842E-2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input_321104!A$2</f>
        <v>321104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IFERROR(VLOOKUP(E131,input_321104!L:R,7,FALSE),VLOOKUP(tables_321104!B131,input_321104!A:H,8,FALSE))</f>
        <v>12768</v>
      </c>
      <c r="N131" s="63">
        <f t="shared" ca="1" si="6"/>
        <v>8.571428571428571E-4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input_321104!A$2</f>
        <v>321104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IFERROR(VLOOKUP(E132,input_321104!L:R,7,FALSE),VLOOKUP(tables_321104!B132,input_321104!A:H,8,FALSE))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input_321104!A$2</f>
        <v>321104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IFERROR(VLOOKUP(E133,input_321104!L:R,7,FALSE),VLOOKUP(tables_321104!B133,input_321104!A:H,8,FALSE))</f>
        <v>182672</v>
      </c>
      <c r="N133" s="63">
        <f t="shared" ca="1" si="6"/>
        <v>1.2263157894736842E-2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input_321104!A$2</f>
        <v>321104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IFERROR(VLOOKUP(E134,input_321104!L:R,7,FALSE),VLOOKUP(tables_321104!B134,input_321104!A:H,8,FALSE))</f>
        <v>12768</v>
      </c>
      <c r="N134" s="63">
        <f t="shared" ca="1" si="6"/>
        <v>8.571428571428571E-4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input_321104!A$2</f>
        <v>321104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IFERROR(VLOOKUP(E135,input_321104!L:R,7,FALSE),VLOOKUP(tables_321104!B135,input_321104!A:H,8,FALSE))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input_321104!A$2</f>
        <v>321104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IFERROR(VLOOKUP(E136,input_321104!L:R,7,FALSE),VLOOKUP(tables_321104!B136,input_321104!A:H,8,FALSE))</f>
        <v>182672</v>
      </c>
      <c r="N136" s="63">
        <f t="shared" ca="1" si="6"/>
        <v>1.2263157894736842E-2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input_321104!A$2</f>
        <v>321104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IFERROR(VLOOKUP(E137,input_321104!L:R,7,FALSE),VLOOKUP(tables_321104!B137,input_321104!A:H,8,FALSE))</f>
        <v>12768</v>
      </c>
      <c r="N137" s="63">
        <f t="shared" ca="1" si="6"/>
        <v>8.571428571428571E-4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input_321104!A$2</f>
        <v>321104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IFERROR(VLOOKUP(E138,input_321104!L:R,7,FALSE),VLOOKUP(tables_321104!B138,input_321104!A:H,8,FALSE))</f>
        <v>9576</v>
      </c>
      <c r="N138" s="63">
        <f t="shared" ca="1" si="6"/>
        <v>6.4285714285714282E-4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input_321104!A$2</f>
        <v>321104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IFERROR(VLOOKUP(E139,input_321104!L:R,7,FALSE),VLOOKUP(tables_321104!B139,input_321104!A:H,8,FALSE))</f>
        <v>1064</v>
      </c>
      <c r="N139" s="63">
        <f t="shared" ca="1" si="6"/>
        <v>7.1428571428571434E-5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input_321104!A$2</f>
        <v>321104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IFERROR(VLOOKUP(E140,input_321104!L:R,7,FALSE),VLOOKUP(tables_321104!B140,input_321104!A:H,8,FALSE))</f>
        <v>9576</v>
      </c>
      <c r="N140" s="63">
        <f t="shared" ca="1" si="6"/>
        <v>6.4285714285714282E-4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input_321104!A$2</f>
        <v>321104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IFERROR(VLOOKUP(E141,input_321104!L:R,7,FALSE),VLOOKUP(tables_321104!B141,input_321104!A:H,8,FALSE))</f>
        <v>1064</v>
      </c>
      <c r="N141" s="63">
        <f t="shared" ca="1" si="6"/>
        <v>7.1428571428571434E-5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input_321104!A$2</f>
        <v>321104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IFERROR(VLOOKUP(E142,input_321104!L:R,7,FALSE),VLOOKUP(tables_321104!B142,input_321104!A:H,8,FALSE))</f>
        <v>9576</v>
      </c>
      <c r="N142" s="63">
        <f t="shared" ca="1" si="6"/>
        <v>6.4285714285714282E-4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input_321104!A$2</f>
        <v>321104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IFERROR(VLOOKUP(E143,input_321104!L:R,7,FALSE),VLOOKUP(tables_321104!B143,input_321104!A:H,8,FALSE))</f>
        <v>1064</v>
      </c>
      <c r="N143" s="63">
        <f t="shared" ca="1" si="6"/>
        <v>7.1428571428571434E-5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input_321104!A$2</f>
        <v>321104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IFERROR(VLOOKUP(E144,input_321104!L:R,7,FALSE),VLOOKUP(tables_321104!B144,input_321104!A:H,8,FALSE))</f>
        <v>9576</v>
      </c>
      <c r="N144" s="63">
        <f t="shared" ca="1" si="6"/>
        <v>6.4285714285714282E-4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input_321104!A$2</f>
        <v>321104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IFERROR(VLOOKUP(E145,input_321104!L:R,7,FALSE),VLOOKUP(tables_321104!B145,input_321104!A:H,8,FALSE))</f>
        <v>1064</v>
      </c>
      <c r="N145" s="63">
        <f t="shared" ca="1" si="6"/>
        <v>7.1428571428571434E-5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input_321104!A$2</f>
        <v>321104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IFERROR(VLOOKUP(E146,input_321104!L:R,7,FALSE),VLOOKUP(tables_321104!B146,input_321104!A:H,8,FALSE))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input_321104!A$2</f>
        <v>321104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IFERROR(VLOOKUP(E147,input_321104!L:R,7,FALSE),VLOOKUP(tables_321104!B147,input_321104!A:H,8,FALSE))</f>
        <v>182672</v>
      </c>
      <c r="N147" s="63">
        <f t="shared" ca="1" si="6"/>
        <v>1.2263157894736842E-2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input_321104!A$2</f>
        <v>321104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IFERROR(VLOOKUP(E148,input_321104!L:R,7,FALSE),VLOOKUP(tables_321104!B148,input_321104!A:H,8,FALSE))</f>
        <v>12768</v>
      </c>
      <c r="N148" s="63">
        <f t="shared" ca="1" si="6"/>
        <v>8.571428571428571E-4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input_321104!A$2</f>
        <v>321104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IFERROR(VLOOKUP(E149,input_321104!L:R,7,FALSE),VLOOKUP(tables_321104!B149,input_321104!A:H,8,FALSE))</f>
        <v>9576</v>
      </c>
      <c r="N149" s="63">
        <f t="shared" ca="1" si="6"/>
        <v>6.4285714285714282E-4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input_321104!A$2</f>
        <v>321104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IFERROR(VLOOKUP(E150,input_321104!L:R,7,FALSE),VLOOKUP(tables_321104!B150,input_321104!A:H,8,FALSE))</f>
        <v>1064</v>
      </c>
      <c r="N150" s="63">
        <f t="shared" ca="1" si="6"/>
        <v>7.1428571428571434E-5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input_321104!A$2</f>
        <v>321104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IFERROR(VLOOKUP(E151,input_321104!L:R,7,FALSE),VLOOKUP(tables_321104!B151,input_321104!A:H,8,FALSE))</f>
        <v>9576</v>
      </c>
      <c r="N151" s="63">
        <f t="shared" ca="1" si="6"/>
        <v>6.4285714285714282E-4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input_321104!A$2</f>
        <v>321104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IFERROR(VLOOKUP(E152,input_321104!L:R,7,FALSE),VLOOKUP(tables_321104!B152,input_321104!A:H,8,FALSE))</f>
        <v>1064</v>
      </c>
      <c r="N152" s="63">
        <f t="shared" ca="1" si="6"/>
        <v>7.1428571428571434E-5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input_321104!A$2</f>
        <v>321104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IFERROR(VLOOKUP(E153,input_321104!L:R,7,FALSE),VLOOKUP(tables_321104!B153,input_321104!A:H,8,FALSE))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input_321104!A$2</f>
        <v>321104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IFERROR(VLOOKUP(E154,input_321104!L:R,7,FALSE),VLOOKUP(tables_321104!B154,input_321104!A:H,8,FALSE))</f>
        <v>182672</v>
      </c>
      <c r="N154" s="63">
        <f t="shared" ca="1" si="6"/>
        <v>1.2263157894736842E-2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input_321104!A$2</f>
        <v>321104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IFERROR(VLOOKUP(E155,input_321104!L:R,7,FALSE),VLOOKUP(tables_321104!B155,input_321104!A:H,8,FALSE))</f>
        <v>12768</v>
      </c>
      <c r="N155" s="63">
        <f t="shared" ca="1" si="6"/>
        <v>8.571428571428571E-4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input_321104!A$2</f>
        <v>321104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IFERROR(VLOOKUP(E156,input_321104!L:R,7,FALSE),VLOOKUP(tables_321104!B156,input_321104!A:H,8,FALSE))</f>
        <v>9576</v>
      </c>
      <c r="N156" s="63">
        <f t="shared" ca="1" si="6"/>
        <v>6.4285714285714282E-4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input_321104!A$2</f>
        <v>321104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IFERROR(VLOOKUP(E157,input_321104!L:R,7,FALSE),VLOOKUP(tables_321104!B157,input_321104!A:H,8,FALSE))</f>
        <v>1064</v>
      </c>
      <c r="N157" s="63">
        <f t="shared" ca="1" si="6"/>
        <v>7.1428571428571434E-5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input_321104!A$2</f>
        <v>321104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IFERROR(VLOOKUP(E158,input_321104!L:R,7,FALSE),VLOOKUP(tables_321104!B158,input_321104!A:H,8,FALSE))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input_321104!A$2</f>
        <v>321104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IFERROR(VLOOKUP(E159,input_321104!L:R,7,FALSE),VLOOKUP(tables_321104!B159,input_321104!A:H,8,FALSE))</f>
        <v>182672</v>
      </c>
      <c r="N159" s="63">
        <f t="shared" ca="1" si="6"/>
        <v>1.2263157894736842E-2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input_321104!A$2</f>
        <v>321104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IFERROR(VLOOKUP(E160,input_321104!L:R,7,FALSE),VLOOKUP(tables_321104!B160,input_321104!A:H,8,FALSE))</f>
        <v>12768</v>
      </c>
      <c r="N160" s="63">
        <f t="shared" ca="1" si="6"/>
        <v>8.571428571428571E-4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input_321104!A$2</f>
        <v>321104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IFERROR(VLOOKUP(E161,input_321104!L:R,7,FALSE),VLOOKUP(tables_321104!B161,input_321104!A:H,8,FALSE))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input_321104!A$2</f>
        <v>321104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IFERROR(VLOOKUP(E162,input_321104!L:R,7,FALSE),VLOOKUP(tables_321104!B162,input_321104!A:H,8,FALSE))</f>
        <v>182672</v>
      </c>
      <c r="N162" s="63">
        <f t="shared" ca="1" si="6"/>
        <v>1.2263157894736842E-2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input_321104!A$2</f>
        <v>321104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IFERROR(VLOOKUP(E163,input_321104!L:R,7,FALSE),VLOOKUP(tables_321104!B163,input_321104!A:H,8,FALSE))</f>
        <v>12768</v>
      </c>
      <c r="N163" s="63">
        <f t="shared" ca="1" si="6"/>
        <v>8.571428571428571E-4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input_321104!A$2</f>
        <v>321104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IFERROR(VLOOKUP(E164,input_321104!L:R,7,FALSE),VLOOKUP(tables_321104!B164,input_321104!A:H,8,FALSE))</f>
        <v>9576</v>
      </c>
      <c r="N164" s="63">
        <f t="shared" ca="1" si="6"/>
        <v>6.4285714285714282E-4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input_321104!A$2</f>
        <v>321104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IFERROR(VLOOKUP(E165,input_321104!L:R,7,FALSE),VLOOKUP(tables_321104!B165,input_321104!A:H,8,FALSE))</f>
        <v>1064</v>
      </c>
      <c r="N165" s="63">
        <f t="shared" ca="1" si="6"/>
        <v>7.1428571428571434E-5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input_321104!A$2</f>
        <v>321104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IFERROR(VLOOKUP(E166,input_321104!L:R,7,FALSE),VLOOKUP(tables_321104!B166,input_321104!A:H,8,FALSE))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input_321104!A$2</f>
        <v>321104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IFERROR(VLOOKUP(E167,input_321104!L:R,7,FALSE),VLOOKUP(tables_321104!B167,input_321104!A:H,8,FALSE))</f>
        <v>182672</v>
      </c>
      <c r="N167" s="63">
        <f t="shared" ca="1" si="6"/>
        <v>1.2263157894736842E-2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input_321104!A$2</f>
        <v>321104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IFERROR(VLOOKUP(E168,input_321104!L:R,7,FALSE),VLOOKUP(tables_321104!B168,input_321104!A:H,8,FALSE))</f>
        <v>12768</v>
      </c>
      <c r="N168" s="63">
        <f t="shared" ca="1" si="6"/>
        <v>8.571428571428571E-4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input_321104!A$2</f>
        <v>321104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IFERROR(VLOOKUP(E169,input_321104!L:R,7,FALSE),VLOOKUP(tables_321104!B169,input_321104!A:H,8,FALSE))</f>
        <v>9576</v>
      </c>
      <c r="N169" s="63">
        <f t="shared" ca="1" si="6"/>
        <v>6.4285714285714282E-4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input_321104!A$2</f>
        <v>321104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IFERROR(VLOOKUP(E170,input_321104!L:R,7,FALSE),VLOOKUP(tables_321104!B170,input_321104!A:H,8,FALSE))</f>
        <v>1064</v>
      </c>
      <c r="N170" s="63">
        <f t="shared" ca="1" si="6"/>
        <v>7.1428571428571434E-5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input_321104!A$2</f>
        <v>321104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IFERROR(VLOOKUP(E171,input_321104!L:R,7,FALSE),VLOOKUP(tables_321104!B171,input_321104!A:H,8,FALSE))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input_321104!A$2</f>
        <v>321104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IFERROR(VLOOKUP(E172,input_321104!L:R,7,FALSE),VLOOKUP(tables_321104!B172,input_321104!A:H,8,FALSE))</f>
        <v>182672</v>
      </c>
      <c r="N172" s="63">
        <f t="shared" ca="1" si="6"/>
        <v>1.2263157894736842E-2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input_321104!A$2</f>
        <v>321104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IFERROR(VLOOKUP(E173,input_321104!L:R,7,FALSE),VLOOKUP(tables_321104!B173,input_321104!A:H,8,FALSE))</f>
        <v>12768</v>
      </c>
      <c r="N173" s="63">
        <f t="shared" ca="1" si="6"/>
        <v>8.571428571428571E-4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input_321104!A$2</f>
        <v>321104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IFERROR(VLOOKUP(E174,input_321104!L:R,7,FALSE),VLOOKUP(tables_321104!B174,input_321104!A:H,8,FALSE))</f>
        <v>9576</v>
      </c>
      <c r="N174" s="63">
        <f t="shared" ca="1" si="6"/>
        <v>6.4285714285714282E-4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input_321104!A$2</f>
        <v>321104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IFERROR(VLOOKUP(E175,input_321104!L:R,7,FALSE),VLOOKUP(tables_321104!B175,input_321104!A:H,8,FALSE))</f>
        <v>1064</v>
      </c>
      <c r="N175" s="63">
        <f t="shared" ca="1" si="6"/>
        <v>7.1428571428571434E-5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input_321104!A$2</f>
        <v>321104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IFERROR(VLOOKUP(E176,input_321104!L:R,7,FALSE),VLOOKUP(tables_321104!B176,input_321104!A:H,8,FALSE))</f>
        <v>9576</v>
      </c>
      <c r="N176" s="63">
        <f t="shared" ca="1" si="6"/>
        <v>6.4285714285714282E-4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input_321104!A$2</f>
        <v>321104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IFERROR(VLOOKUP(E177,input_321104!L:R,7,FALSE),VLOOKUP(tables_321104!B177,input_321104!A:H,8,FALSE))</f>
        <v>1064</v>
      </c>
      <c r="N177" s="63">
        <f t="shared" ca="1" si="6"/>
        <v>7.1428571428571434E-5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input_321104!A$2</f>
        <v>321104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IFERROR(VLOOKUP(E178,input_321104!L:R,7,FALSE),VLOOKUP(tables_321104!B178,input_321104!A:H,8,FALSE))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input_321104!A$2</f>
        <v>321104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IFERROR(VLOOKUP(E179,input_321104!L:R,7,FALSE),VLOOKUP(tables_321104!B179,input_321104!A:H,8,FALSE))</f>
        <v>182672</v>
      </c>
      <c r="N179" s="63">
        <f t="shared" ca="1" si="6"/>
        <v>1.2263157894736842E-2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input_321104!A$2</f>
        <v>321104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IFERROR(VLOOKUP(E180,input_321104!L:R,7,FALSE),VLOOKUP(tables_321104!B180,input_321104!A:H,8,FALSE))</f>
        <v>12768</v>
      </c>
      <c r="N180" s="63">
        <f t="shared" ca="1" si="6"/>
        <v>8.571428571428571E-4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input_321104!A$2</f>
        <v>321104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IFERROR(VLOOKUP(E181,input_321104!L:R,7,FALSE),VLOOKUP(tables_321104!B181,input_321104!A:H,8,FALSE))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input_321104!A$2</f>
        <v>321104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IFERROR(VLOOKUP(E182,input_321104!L:R,7,FALSE),VLOOKUP(tables_321104!B182,input_321104!A:H,8,FALSE))</f>
        <v>182672</v>
      </c>
      <c r="N182" s="63">
        <f t="shared" ca="1" si="6"/>
        <v>1.2263157894736842E-2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input_321104!A$2</f>
        <v>321104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IFERROR(VLOOKUP(E183,input_321104!L:R,7,FALSE),VLOOKUP(tables_321104!B183,input_321104!A:H,8,FALSE))</f>
        <v>12768</v>
      </c>
      <c r="N183" s="63">
        <f t="shared" ca="1" si="6"/>
        <v>8.571428571428571E-4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input_321104!A$2</f>
        <v>321104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IFERROR(VLOOKUP(E184,input_321104!L:R,7,FALSE),VLOOKUP(tables_321104!B184,input_321104!A:H,8,FALSE))</f>
        <v>9576</v>
      </c>
      <c r="N184" s="63">
        <f t="shared" ca="1" si="6"/>
        <v>6.4285714285714282E-4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input_321104!A$2</f>
        <v>321104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IFERROR(VLOOKUP(E185,input_321104!L:R,7,FALSE),VLOOKUP(tables_321104!B185,input_321104!A:H,8,FALSE))</f>
        <v>1064</v>
      </c>
      <c r="N185" s="63">
        <f t="shared" ca="1" si="6"/>
        <v>7.1428571428571434E-5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input_321104!A$2</f>
        <v>321104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IFERROR(VLOOKUP(E186,input_321104!L:R,7,FALSE),VLOOKUP(tables_321104!B186,input_321104!A:H,8,FALSE))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input_321104!A$2</f>
        <v>321104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IFERROR(VLOOKUP(E187,input_321104!L:R,7,FALSE),VLOOKUP(tables_321104!B187,input_321104!A:H,8,FALSE))</f>
        <v>182672</v>
      </c>
      <c r="N187" s="63">
        <f t="shared" ca="1" si="6"/>
        <v>1.2263157894736842E-2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input_321104!A$2</f>
        <v>321104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IFERROR(VLOOKUP(E188,input_321104!L:R,7,FALSE),VLOOKUP(tables_321104!B188,input_321104!A:H,8,FALSE))</f>
        <v>12768</v>
      </c>
      <c r="N188" s="63">
        <f t="shared" ca="1" si="6"/>
        <v>8.571428571428571E-4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input_321104!A$2</f>
        <v>321104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IFERROR(VLOOKUP(E189,input_321104!L:R,7,FALSE),VLOOKUP(tables_321104!B189,input_321104!A:H,8,FALSE))</f>
        <v>9576</v>
      </c>
      <c r="N189" s="63">
        <f t="shared" ca="1" si="6"/>
        <v>6.4285714285714282E-4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input_321104!A$2</f>
        <v>321104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IFERROR(VLOOKUP(E190,input_321104!L:R,7,FALSE),VLOOKUP(tables_321104!B190,input_321104!A:H,8,FALSE))</f>
        <v>1064</v>
      </c>
      <c r="N190" s="63">
        <f t="shared" ca="1" si="6"/>
        <v>7.1428571428571434E-5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input_321104!A$2</f>
        <v>321104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IFERROR(VLOOKUP(E191,input_321104!L:R,7,FALSE),VLOOKUP(tables_321104!B191,input_321104!A:H,8,FALSE))</f>
        <v>9576</v>
      </c>
      <c r="N191" s="63">
        <f t="shared" ca="1" si="6"/>
        <v>6.4285714285714282E-4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input_321104!A$2</f>
        <v>321104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IFERROR(VLOOKUP(E192,input_321104!L:R,7,FALSE),VLOOKUP(tables_321104!B192,input_321104!A:H,8,FALSE))</f>
        <v>1064</v>
      </c>
      <c r="N192" s="63">
        <f t="shared" ca="1" si="6"/>
        <v>7.1428571428571434E-5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input_321104!A$2</f>
        <v>321104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IFERROR(VLOOKUP(E193,input_321104!L:R,7,FALSE),VLOOKUP(tables_321104!B193,input_321104!A:H,8,FALSE))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input_321104!A$2</f>
        <v>321104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IFERROR(VLOOKUP(E194,input_321104!L:R,7,FALSE),VLOOKUP(tables_321104!B194,input_321104!A:H,8,FALSE))</f>
        <v>182672</v>
      </c>
      <c r="N194" s="63">
        <f t="shared" ref="N194:N257" ca="1" si="9">M194/SUM(M:M)</f>
        <v>1.2263157894736842E-2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input_321104!A$2</f>
        <v>321104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IFERROR(VLOOKUP(E195,input_321104!L:R,7,FALSE),VLOOKUP(tables_321104!B195,input_321104!A:H,8,FALSE))</f>
        <v>12768</v>
      </c>
      <c r="N195" s="63">
        <f t="shared" ca="1" si="9"/>
        <v>8.571428571428571E-4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input_321104!A$2</f>
        <v>321104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IFERROR(VLOOKUP(E196,input_321104!L:R,7,FALSE),VLOOKUP(tables_321104!B196,input_321104!A:H,8,FALSE))</f>
        <v>9576</v>
      </c>
      <c r="N196" s="63">
        <f t="shared" ca="1" si="9"/>
        <v>6.4285714285714282E-4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input_321104!A$2</f>
        <v>321104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IFERROR(VLOOKUP(E197,input_321104!L:R,7,FALSE),VLOOKUP(tables_321104!B197,input_321104!A:H,8,FALSE))</f>
        <v>1064</v>
      </c>
      <c r="N197" s="63">
        <f t="shared" ca="1" si="9"/>
        <v>7.1428571428571434E-5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input_321104!A$2</f>
        <v>321104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IFERROR(VLOOKUP(E198,input_321104!L:R,7,FALSE),VLOOKUP(tables_321104!B198,input_321104!A:H,8,FALSE))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input_321104!A$2</f>
        <v>321104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IFERROR(VLOOKUP(E199,input_321104!L:R,7,FALSE),VLOOKUP(tables_321104!B199,input_321104!A:H,8,FALSE))</f>
        <v>182672</v>
      </c>
      <c r="N199" s="63">
        <f t="shared" ca="1" si="9"/>
        <v>1.2263157894736842E-2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input_321104!A$2</f>
        <v>321104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IFERROR(VLOOKUP(E200,input_321104!L:R,7,FALSE),VLOOKUP(tables_321104!B200,input_321104!A:H,8,FALSE))</f>
        <v>12768</v>
      </c>
      <c r="N200" s="63">
        <f t="shared" ca="1" si="9"/>
        <v>8.571428571428571E-4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input_321104!A$2</f>
        <v>321104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IFERROR(VLOOKUP(E201,input_321104!L:R,7,FALSE),VLOOKUP(tables_321104!B201,input_321104!A:H,8,FALSE))</f>
        <v>9576</v>
      </c>
      <c r="N201" s="63">
        <f t="shared" ca="1" si="9"/>
        <v>6.4285714285714282E-4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input_321104!A$2</f>
        <v>321104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IFERROR(VLOOKUP(E202,input_321104!L:R,7,FALSE),VLOOKUP(tables_321104!B202,input_321104!A:H,8,FALSE))</f>
        <v>1064</v>
      </c>
      <c r="N202" s="63">
        <f t="shared" ca="1" si="9"/>
        <v>7.1428571428571434E-5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input_321104!A$2</f>
        <v>321104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IFERROR(VLOOKUP(E203,input_321104!L:R,7,FALSE),VLOOKUP(tables_321104!B203,input_321104!A:H,8,FALSE))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input_321104!A$2</f>
        <v>321104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IFERROR(VLOOKUP(E204,input_321104!L:R,7,FALSE),VLOOKUP(tables_321104!B204,input_321104!A:H,8,FALSE))</f>
        <v>182672</v>
      </c>
      <c r="N204" s="63">
        <f t="shared" ca="1" si="9"/>
        <v>1.2263157894736842E-2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input_321104!A$2</f>
        <v>321104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IFERROR(VLOOKUP(E205,input_321104!L:R,7,FALSE),VLOOKUP(tables_321104!B205,input_321104!A:H,8,FALSE))</f>
        <v>12768</v>
      </c>
      <c r="N205" s="63">
        <f t="shared" ca="1" si="9"/>
        <v>8.571428571428571E-4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input_321104!A$2</f>
        <v>321104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IFERROR(VLOOKUP(E206,input_321104!L:R,7,FALSE),VLOOKUP(tables_321104!B206,input_321104!A:H,8,FALSE))</f>
        <v>9576</v>
      </c>
      <c r="N206" s="63">
        <f t="shared" ca="1" si="9"/>
        <v>6.4285714285714282E-4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input_321104!A$2</f>
        <v>321104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IFERROR(VLOOKUP(E207,input_321104!L:R,7,FALSE),VLOOKUP(tables_321104!B207,input_321104!A:H,8,FALSE))</f>
        <v>1064</v>
      </c>
      <c r="N207" s="63">
        <f t="shared" ca="1" si="9"/>
        <v>7.1428571428571434E-5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input_321104!A$2</f>
        <v>321104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IFERROR(VLOOKUP(E208,input_321104!L:R,7,FALSE),VLOOKUP(tables_321104!B208,input_321104!A:H,8,FALSE))</f>
        <v>9576</v>
      </c>
      <c r="N208" s="63">
        <f t="shared" ca="1" si="9"/>
        <v>6.4285714285714282E-4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input_321104!A$2</f>
        <v>321104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IFERROR(VLOOKUP(E209,input_321104!L:R,7,FALSE),VLOOKUP(tables_321104!B209,input_321104!A:H,8,FALSE))</f>
        <v>1064</v>
      </c>
      <c r="N209" s="63">
        <f t="shared" ca="1" si="9"/>
        <v>7.1428571428571434E-5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input_321104!A$2</f>
        <v>321104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IFERROR(VLOOKUP(E210,input_321104!L:R,7,FALSE),VLOOKUP(tables_321104!B210,input_321104!A:H,8,FALSE))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input_321104!A$2</f>
        <v>321104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IFERROR(VLOOKUP(E211,input_321104!L:R,7,FALSE),VLOOKUP(tables_321104!B211,input_321104!A:H,8,FALSE))</f>
        <v>182672</v>
      </c>
      <c r="N211" s="63">
        <f t="shared" ca="1" si="9"/>
        <v>1.2263157894736842E-2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input_321104!A$2</f>
        <v>321104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IFERROR(VLOOKUP(E212,input_321104!L:R,7,FALSE),VLOOKUP(tables_321104!B212,input_321104!A:H,8,FALSE))</f>
        <v>12768</v>
      </c>
      <c r="N212" s="63">
        <f t="shared" ca="1" si="9"/>
        <v>8.571428571428571E-4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input_321104!A$2</f>
        <v>321104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IFERROR(VLOOKUP(E213,input_321104!L:R,7,FALSE),VLOOKUP(tables_321104!B213,input_321104!A:H,8,FALSE))</f>
        <v>9576</v>
      </c>
      <c r="N213" s="63">
        <f t="shared" ca="1" si="9"/>
        <v>6.4285714285714282E-4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input_321104!A$2</f>
        <v>321104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IFERROR(VLOOKUP(E214,input_321104!L:R,7,FALSE),VLOOKUP(tables_321104!B214,input_321104!A:H,8,FALSE))</f>
        <v>1064</v>
      </c>
      <c r="N214" s="63">
        <f t="shared" ca="1" si="9"/>
        <v>7.1428571428571434E-5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input_321104!A$2</f>
        <v>321104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IFERROR(VLOOKUP(E215,input_321104!L:R,7,FALSE),VLOOKUP(tables_321104!B215,input_321104!A:H,8,FALSE))</f>
        <v>9576</v>
      </c>
      <c r="N215" s="63">
        <f t="shared" ca="1" si="9"/>
        <v>6.4285714285714282E-4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input_321104!A$2</f>
        <v>321104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IFERROR(VLOOKUP(E216,input_321104!L:R,7,FALSE),VLOOKUP(tables_321104!B216,input_321104!A:H,8,FALSE))</f>
        <v>1064</v>
      </c>
      <c r="N216" s="63">
        <f t="shared" ca="1" si="9"/>
        <v>7.1428571428571434E-5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input_321104!A$2</f>
        <v>321104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IFERROR(VLOOKUP(E217,input_321104!L:R,7,FALSE),VLOOKUP(tables_321104!B217,input_321104!A:H,8,FALSE))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input_321104!A$2</f>
        <v>321104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IFERROR(VLOOKUP(E218,input_321104!L:R,7,FALSE),VLOOKUP(tables_321104!B218,input_321104!A:H,8,FALSE))</f>
        <v>182672</v>
      </c>
      <c r="N218" s="63">
        <f t="shared" ca="1" si="9"/>
        <v>1.2263157894736842E-2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input_321104!A$2</f>
        <v>321104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IFERROR(VLOOKUP(E219,input_321104!L:R,7,FALSE),VLOOKUP(tables_321104!B219,input_321104!A:H,8,FALSE))</f>
        <v>12768</v>
      </c>
      <c r="N219" s="63">
        <f t="shared" ca="1" si="9"/>
        <v>8.571428571428571E-4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input_321104!A$2</f>
        <v>321104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IFERROR(VLOOKUP(E220,input_321104!L:R,7,FALSE),VLOOKUP(tables_321104!B220,input_321104!A:H,8,FALSE))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input_321104!A$2</f>
        <v>321104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IFERROR(VLOOKUP(E221,input_321104!L:R,7,FALSE),VLOOKUP(tables_321104!B221,input_321104!A:H,8,FALSE))</f>
        <v>182672</v>
      </c>
      <c r="N221" s="63">
        <f t="shared" ca="1" si="9"/>
        <v>1.2263157894736842E-2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input_321104!A$2</f>
        <v>321104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IFERROR(VLOOKUP(E222,input_321104!L:R,7,FALSE),VLOOKUP(tables_321104!B222,input_321104!A:H,8,FALSE))</f>
        <v>12768</v>
      </c>
      <c r="N222" s="63">
        <f t="shared" ca="1" si="9"/>
        <v>8.571428571428571E-4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input_321104!A$2</f>
        <v>321104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IFERROR(VLOOKUP(E223,input_321104!L:R,7,FALSE),VLOOKUP(tables_321104!B223,input_321104!A:H,8,FALSE))</f>
        <v>9576</v>
      </c>
      <c r="N223" s="63">
        <f t="shared" ca="1" si="9"/>
        <v>6.4285714285714282E-4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input_321104!A$2</f>
        <v>321104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IFERROR(VLOOKUP(E224,input_321104!L:R,7,FALSE),VLOOKUP(tables_321104!B224,input_321104!A:H,8,FALSE))</f>
        <v>1064</v>
      </c>
      <c r="N224" s="63">
        <f t="shared" ca="1" si="9"/>
        <v>7.1428571428571434E-5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input_321104!A$2</f>
        <v>321104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IFERROR(VLOOKUP(E225,input_321104!L:R,7,FALSE),VLOOKUP(tables_321104!B225,input_321104!A:H,8,FALSE))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input_321104!A$2</f>
        <v>321104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IFERROR(VLOOKUP(E226,input_321104!L:R,7,FALSE),VLOOKUP(tables_321104!B226,input_321104!A:H,8,FALSE))</f>
        <v>182672</v>
      </c>
      <c r="N226" s="63">
        <f t="shared" ca="1" si="9"/>
        <v>1.2263157894736842E-2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input_321104!A$2</f>
        <v>321104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IFERROR(VLOOKUP(E227,input_321104!L:R,7,FALSE),VLOOKUP(tables_321104!B227,input_321104!A:H,8,FALSE))</f>
        <v>12768</v>
      </c>
      <c r="N227" s="63">
        <f t="shared" ca="1" si="9"/>
        <v>8.571428571428571E-4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input_321104!A$2</f>
        <v>321104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IFERROR(VLOOKUP(E228,input_321104!L:R,7,FALSE),VLOOKUP(tables_321104!B228,input_321104!A:H,8,FALSE))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input_321104!A$2</f>
        <v>321104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IFERROR(VLOOKUP(E229,input_321104!L:R,7,FALSE),VLOOKUP(tables_321104!B229,input_321104!A:H,8,FALSE))</f>
        <v>182672</v>
      </c>
      <c r="N229" s="63">
        <f t="shared" ca="1" si="9"/>
        <v>1.2263157894736842E-2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input_321104!A$2</f>
        <v>321104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IFERROR(VLOOKUP(E230,input_321104!L:R,7,FALSE),VLOOKUP(tables_321104!B230,input_321104!A:H,8,FALSE))</f>
        <v>12768</v>
      </c>
      <c r="N230" s="63">
        <f t="shared" ca="1" si="9"/>
        <v>8.571428571428571E-4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input_321104!A$2</f>
        <v>321104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IFERROR(VLOOKUP(E231,input_321104!L:R,7,FALSE),VLOOKUP(tables_321104!B231,input_321104!A:H,8,FALSE))</f>
        <v>9576</v>
      </c>
      <c r="N231" s="63">
        <f t="shared" ca="1" si="9"/>
        <v>6.4285714285714282E-4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input_321104!A$2</f>
        <v>321104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IFERROR(VLOOKUP(E232,input_321104!L:R,7,FALSE),VLOOKUP(tables_321104!B232,input_321104!A:H,8,FALSE))</f>
        <v>1064</v>
      </c>
      <c r="N232" s="63">
        <f t="shared" ca="1" si="9"/>
        <v>7.1428571428571434E-5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input_321104!A$2</f>
        <v>321104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IFERROR(VLOOKUP(E233,input_321104!L:R,7,FALSE),VLOOKUP(tables_321104!B233,input_321104!A:H,8,FALSE))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input_321104!A$2</f>
        <v>321104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IFERROR(VLOOKUP(E234,input_321104!L:R,7,FALSE),VLOOKUP(tables_321104!B234,input_321104!A:H,8,FALSE))</f>
        <v>182672</v>
      </c>
      <c r="N234" s="63">
        <f t="shared" ca="1" si="9"/>
        <v>1.2263157894736842E-2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input_321104!A$2</f>
        <v>321104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IFERROR(VLOOKUP(E235,input_321104!L:R,7,FALSE),VLOOKUP(tables_321104!B235,input_321104!A:H,8,FALSE))</f>
        <v>12768</v>
      </c>
      <c r="N235" s="63">
        <f t="shared" ca="1" si="9"/>
        <v>8.571428571428571E-4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input_321104!A$2</f>
        <v>321104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IFERROR(VLOOKUP(E236,input_321104!L:R,7,FALSE),VLOOKUP(tables_321104!B236,input_321104!A:H,8,FALSE))</f>
        <v>9576</v>
      </c>
      <c r="N236" s="63">
        <f t="shared" ca="1" si="9"/>
        <v>6.4285714285714282E-4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input_321104!A$2</f>
        <v>321104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IFERROR(VLOOKUP(E237,input_321104!L:R,7,FALSE),VLOOKUP(tables_321104!B237,input_321104!A:H,8,FALSE))</f>
        <v>1064</v>
      </c>
      <c r="N237" s="63">
        <f t="shared" ca="1" si="9"/>
        <v>7.1428571428571434E-5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input_321104!A$2</f>
        <v>321104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IFERROR(VLOOKUP(E238,input_321104!L:R,7,FALSE),VLOOKUP(tables_321104!B238,input_321104!A:H,8,FALSE))</f>
        <v>9576</v>
      </c>
      <c r="N238" s="63">
        <f t="shared" ca="1" si="9"/>
        <v>6.4285714285714282E-4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input_321104!A$2</f>
        <v>321104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IFERROR(VLOOKUP(E239,input_321104!L:R,7,FALSE),VLOOKUP(tables_321104!B239,input_321104!A:H,8,FALSE))</f>
        <v>1064</v>
      </c>
      <c r="N239" s="63">
        <f t="shared" ca="1" si="9"/>
        <v>7.1428571428571434E-5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input_321104!A$2</f>
        <v>321104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IFERROR(VLOOKUP(E240,input_321104!L:R,7,FALSE),VLOOKUP(tables_321104!B240,input_321104!A:H,8,FALSE))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input_321104!A$2</f>
        <v>321104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IFERROR(VLOOKUP(E241,input_321104!L:R,7,FALSE),VLOOKUP(tables_321104!B241,input_321104!A:H,8,FALSE))</f>
        <v>182672</v>
      </c>
      <c r="N241" s="63">
        <f t="shared" ca="1" si="9"/>
        <v>1.2263157894736842E-2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input_321104!A$2</f>
        <v>321104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IFERROR(VLOOKUP(E242,input_321104!L:R,7,FALSE),VLOOKUP(tables_321104!B242,input_321104!A:H,8,FALSE))</f>
        <v>12768</v>
      </c>
      <c r="N242" s="63">
        <f t="shared" ca="1" si="9"/>
        <v>8.571428571428571E-4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input_321104!A$2</f>
        <v>321104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IFERROR(VLOOKUP(E243,input_321104!L:R,7,FALSE),VLOOKUP(tables_321104!B243,input_321104!A:H,8,FALSE))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input_321104!A$2</f>
        <v>321104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IFERROR(VLOOKUP(E244,input_321104!L:R,7,FALSE),VLOOKUP(tables_321104!B244,input_321104!A:H,8,FALSE))</f>
        <v>182672</v>
      </c>
      <c r="N244" s="63">
        <f t="shared" ca="1" si="9"/>
        <v>1.2263157894736842E-2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input_321104!A$2</f>
        <v>321104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IFERROR(VLOOKUP(E245,input_321104!L:R,7,FALSE),VLOOKUP(tables_321104!B245,input_321104!A:H,8,FALSE))</f>
        <v>12768</v>
      </c>
      <c r="N245" s="63">
        <f t="shared" ca="1" si="9"/>
        <v>8.571428571428571E-4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input_321104!A$2</f>
        <v>321104</v>
      </c>
      <c r="B246" s="7" t="str">
        <f t="shared" si="10"/>
        <v>Premium3</v>
      </c>
      <c r="C246" s="7" t="str">
        <f t="shared" si="11"/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IFERROR(VLOOKUP(E246,input_321104!L:R,7,FALSE),VLOOKUP(tables_321104!B246,input_321104!A:H,8,FALSE))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input_321104!A$2</f>
        <v>321104</v>
      </c>
      <c r="B247" s="7" t="str">
        <f t="shared" si="10"/>
        <v>Premium4</v>
      </c>
      <c r="C247" s="7" t="str">
        <f t="shared" si="11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IFERROR(VLOOKUP(E247,input_321104!L:R,7,FALSE),VLOOKUP(tables_321104!B247,input_321104!A:H,8,FALSE))</f>
        <v>182672</v>
      </c>
      <c r="N247" s="63">
        <f t="shared" ca="1" si="9"/>
        <v>1.2263157894736842E-2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input_321104!A$2</f>
        <v>321104</v>
      </c>
      <c r="B248" s="7" t="str">
        <f t="shared" si="10"/>
        <v>Premium5</v>
      </c>
      <c r="C248" s="7" t="str">
        <f t="shared" si="11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IFERROR(VLOOKUP(E248,input_321104!L:R,7,FALSE),VLOOKUP(tables_321104!B248,input_321104!A:H,8,FALSE))</f>
        <v>12768</v>
      </c>
      <c r="N248" s="63">
        <f t="shared" ca="1" si="9"/>
        <v>8.571428571428571E-4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input_321104!A$2</f>
        <v>321104</v>
      </c>
      <c r="B249" s="7" t="str">
        <f t="shared" si="10"/>
        <v>Premium3</v>
      </c>
      <c r="C249" s="7" t="str">
        <f t="shared" si="11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IFERROR(VLOOKUP(E249,input_321104!L:R,7,FALSE),VLOOKUP(tables_321104!B249,input_321104!A:H,8,FALSE))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input_321104!A$2</f>
        <v>321104</v>
      </c>
      <c r="B250" s="7" t="str">
        <f t="shared" si="10"/>
        <v>Premium4</v>
      </c>
      <c r="C250" s="7" t="str">
        <f t="shared" si="11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IFERROR(VLOOKUP(E250,input_321104!L:R,7,FALSE),VLOOKUP(tables_321104!B250,input_321104!A:H,8,FALSE))</f>
        <v>182672</v>
      </c>
      <c r="N250" s="63">
        <f t="shared" ca="1" si="9"/>
        <v>1.2263157894736842E-2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input_321104!A$2</f>
        <v>321104</v>
      </c>
      <c r="B251" s="7" t="str">
        <f t="shared" si="10"/>
        <v>Premium5</v>
      </c>
      <c r="C251" s="7" t="str">
        <f t="shared" si="11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IFERROR(VLOOKUP(E251,input_321104!L:R,7,FALSE),VLOOKUP(tables_321104!B251,input_321104!A:H,8,FALSE))</f>
        <v>12768</v>
      </c>
      <c r="N251" s="63">
        <f t="shared" ca="1" si="9"/>
        <v>8.571428571428571E-4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input_321104!A$2</f>
        <v>321104</v>
      </c>
      <c r="B252" s="7" t="str">
        <f t="shared" si="10"/>
        <v>PremiumSS4</v>
      </c>
      <c r="C252" s="7" t="str">
        <f t="shared" si="11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IFERROR(VLOOKUP(E252,input_321104!L:R,7,FALSE),VLOOKUP(tables_321104!B252,input_321104!A:H,8,FALSE))</f>
        <v>9576</v>
      </c>
      <c r="N252" s="63">
        <f t="shared" ca="1" si="9"/>
        <v>6.4285714285714282E-4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input_321104!A$2</f>
        <v>321104</v>
      </c>
      <c r="B253" s="7" t="str">
        <f t="shared" si="10"/>
        <v>PremiumSS5</v>
      </c>
      <c r="C253" s="7" t="str">
        <f t="shared" si="11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IFERROR(VLOOKUP(E253,input_321104!L:R,7,FALSE),VLOOKUP(tables_321104!B253,input_321104!A:H,8,FALSE))</f>
        <v>1064</v>
      </c>
      <c r="N253" s="63">
        <f t="shared" ca="1" si="9"/>
        <v>7.1428571428571434E-5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input_321104!A$2</f>
        <v>321104</v>
      </c>
      <c r="B254" s="7" t="str">
        <f t="shared" si="10"/>
        <v>PremiumSS4</v>
      </c>
      <c r="C254" s="7" t="str">
        <f t="shared" si="11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IFERROR(VLOOKUP(E254,input_321104!L:R,7,FALSE),VLOOKUP(tables_321104!B254,input_321104!A:H,8,FALSE))</f>
        <v>9576</v>
      </c>
      <c r="N254" s="63">
        <f t="shared" ca="1" si="9"/>
        <v>6.4285714285714282E-4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input_321104!A$2</f>
        <v>321104</v>
      </c>
      <c r="B255" s="7" t="str">
        <f t="shared" si="10"/>
        <v>PremiumSS5</v>
      </c>
      <c r="C255" s="7" t="str">
        <f t="shared" si="11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IFERROR(VLOOKUP(E255,input_321104!L:R,7,FALSE),VLOOKUP(tables_321104!B255,input_321104!A:H,8,FALSE))</f>
        <v>1064</v>
      </c>
      <c r="N255" s="63">
        <f t="shared" ca="1" si="9"/>
        <v>7.1428571428571434E-5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input_321104!A$2</f>
        <v>321104</v>
      </c>
      <c r="B256" s="7" t="str">
        <f t="shared" si="10"/>
        <v>PremiumSS4</v>
      </c>
      <c r="C256" s="7" t="str">
        <f t="shared" si="11"/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IFERROR(VLOOKUP(E256,input_321104!L:R,7,FALSE),VLOOKUP(tables_321104!B256,input_321104!A:H,8,FALSE))</f>
        <v>9576</v>
      </c>
      <c r="N256" s="63">
        <f t="shared" ca="1" si="9"/>
        <v>6.4285714285714282E-4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input_321104!A$2</f>
        <v>321104</v>
      </c>
      <c r="B257" s="7" t="str">
        <f t="shared" si="10"/>
        <v>PremiumSS5</v>
      </c>
      <c r="C257" s="7" t="str">
        <f t="shared" si="11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IFERROR(VLOOKUP(E257,input_321104!L:R,7,FALSE),VLOOKUP(tables_321104!B257,input_321104!A:H,8,FALSE))</f>
        <v>1064</v>
      </c>
      <c r="N257" s="63">
        <f t="shared" ca="1" si="9"/>
        <v>7.1428571428571434E-5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input_321104!A$2</f>
        <v>321104</v>
      </c>
      <c r="B258" s="7" t="str">
        <f t="shared" si="10"/>
        <v>PremiumSS4</v>
      </c>
      <c r="C258" s="7" t="str">
        <f t="shared" si="11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IFERROR(VLOOKUP(E258,input_321104!L:R,7,FALSE),VLOOKUP(tables_321104!B258,input_321104!A:H,8,FALSE))</f>
        <v>9576</v>
      </c>
      <c r="N258" s="63">
        <f t="shared" ref="N258:N265" ca="1" si="12">M258/SUM(M:M)</f>
        <v>6.4285714285714282E-4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input_321104!A$2</f>
        <v>321104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IFERROR(VLOOKUP(E259,input_321104!L:R,7,FALSE),VLOOKUP(tables_321104!B259,input_321104!A:H,8,FALSE))</f>
        <v>1064</v>
      </c>
      <c r="N259" s="63">
        <f t="shared" ca="1" si="12"/>
        <v>7.1428571428571434E-5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input_321104!A$2</f>
        <v>321104</v>
      </c>
      <c r="B260" s="7" t="str">
        <f t="shared" si="13"/>
        <v>Premium3</v>
      </c>
      <c r="C260" s="7" t="str">
        <f t="shared" si="14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IFERROR(VLOOKUP(E260,input_321104!L:R,7,FALSE),VLOOKUP(tables_321104!B260,input_321104!A:H,8,FALSE))</f>
        <v>0</v>
      </c>
      <c r="N260" s="63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input_321104!A$2</f>
        <v>321104</v>
      </c>
      <c r="B261" s="7" t="str">
        <f t="shared" si="13"/>
        <v>Premium4</v>
      </c>
      <c r="C261" s="7" t="str">
        <f t="shared" si="14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IFERROR(VLOOKUP(E261,input_321104!L:R,7,FALSE),VLOOKUP(tables_321104!B261,input_321104!A:H,8,FALSE))</f>
        <v>182672</v>
      </c>
      <c r="N261" s="63">
        <f t="shared" ca="1" si="12"/>
        <v>1.2263157894736842E-2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input_321104!A$2</f>
        <v>321104</v>
      </c>
      <c r="B262" s="7" t="str">
        <f t="shared" si="13"/>
        <v>Premium5</v>
      </c>
      <c r="C262" s="7" t="str">
        <f t="shared" si="14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IFERROR(VLOOKUP(E262,input_321104!L:R,7,FALSE),VLOOKUP(tables_321104!B262,input_321104!A:H,8,FALSE))</f>
        <v>12768</v>
      </c>
      <c r="N262" s="63">
        <f t="shared" ca="1" si="12"/>
        <v>8.571428571428571E-4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input_321104!A$2</f>
        <v>321104</v>
      </c>
      <c r="B263" s="7" t="str">
        <f t="shared" si="13"/>
        <v>Premium3</v>
      </c>
      <c r="C263" s="7" t="str">
        <f t="shared" si="14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IFERROR(VLOOKUP(E263,input_321104!L:R,7,FALSE),VLOOKUP(tables_321104!B263,input_321104!A:H,8,FALSE))</f>
        <v>0</v>
      </c>
      <c r="N263" s="63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input_321104!A$2</f>
        <v>321104</v>
      </c>
      <c r="B264" s="7" t="str">
        <f t="shared" si="13"/>
        <v>Premium4</v>
      </c>
      <c r="C264" s="7" t="str">
        <f t="shared" si="14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IFERROR(VLOOKUP(E264,input_321104!L:R,7,FALSE),VLOOKUP(tables_321104!B264,input_321104!A:H,8,FALSE))</f>
        <v>182672</v>
      </c>
      <c r="N264" s="63">
        <f t="shared" ca="1" si="12"/>
        <v>1.2263157894736842E-2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input_321104!A$2</f>
        <v>321104</v>
      </c>
      <c r="B265" s="7" t="str">
        <f t="shared" si="13"/>
        <v>Premium5</v>
      </c>
      <c r="C265" s="7" t="str">
        <f t="shared" si="14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IFERROR(VLOOKUP(E265,input_321104!L:R,7,FALSE),VLOOKUP(tables_321104!B265,input_321104!A:H,8,FALSE))</f>
        <v>12768</v>
      </c>
      <c r="N265" s="63">
        <f t="shared" ca="1" si="12"/>
        <v>8.571428571428571E-4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R43"/>
  <sheetViews>
    <sheetView workbookViewId="0">
      <selection activeCell="E17" sqref="E17:E23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321105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0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0.95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0.05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0.98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88">
        <v>0.02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v>76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0.93199999999999994</v>
      </c>
      <c r="C18" s="65">
        <f t="shared" si="3"/>
        <v>0</v>
      </c>
      <c r="D18" s="58">
        <f t="shared" si="4"/>
        <v>0.93199999999999994</v>
      </c>
      <c r="E18">
        <v>76</v>
      </c>
      <c r="F18" s="60">
        <f t="shared" si="5"/>
        <v>1.2263157894736842E-2</v>
      </c>
      <c r="G18">
        <f t="shared" si="6"/>
        <v>13883072</v>
      </c>
      <c r="H18">
        <f t="shared" si="7"/>
        <v>182672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f>B11*0.9</f>
        <v>1.8000000000000002E-2</v>
      </c>
      <c r="C19" s="65">
        <f t="shared" si="3"/>
        <v>0</v>
      </c>
      <c r="D19" s="58">
        <f t="shared" si="4"/>
        <v>1.8000000000000002E-2</v>
      </c>
      <c r="E19">
        <v>28</v>
      </c>
      <c r="F19" s="60">
        <f t="shared" si="5"/>
        <v>6.4285714285714293E-4</v>
      </c>
      <c r="G19">
        <f t="shared" si="6"/>
        <v>268128.00000000006</v>
      </c>
      <c r="H19">
        <f t="shared" si="7"/>
        <v>9576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4.8000000000000001E-2</v>
      </c>
      <c r="C21" s="65">
        <f t="shared" si="3"/>
        <v>0</v>
      </c>
      <c r="D21" s="58">
        <f t="shared" si="4"/>
        <v>4.8000000000000001E-2</v>
      </c>
      <c r="E21">
        <v>56</v>
      </c>
      <c r="F21" s="60">
        <f t="shared" si="5"/>
        <v>8.5714285714285721E-4</v>
      </c>
      <c r="G21">
        <f t="shared" si="6"/>
        <v>715008</v>
      </c>
      <c r="H21">
        <f t="shared" si="7"/>
        <v>12768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f>B11*0.1</f>
        <v>2E-3</v>
      </c>
      <c r="C22" s="65">
        <f t="shared" si="3"/>
        <v>0</v>
      </c>
      <c r="D22" s="58">
        <f t="shared" si="4"/>
        <v>2E-3</v>
      </c>
      <c r="E22">
        <v>28</v>
      </c>
      <c r="F22" s="60">
        <f t="shared" si="5"/>
        <v>7.1428571428571434E-5</v>
      </c>
      <c r="G22">
        <f t="shared" si="6"/>
        <v>29792</v>
      </c>
      <c r="H22">
        <f t="shared" si="7"/>
        <v>1064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28*56*76*125</f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SUMIF(tables_321105!B:B,input_321105!A36,tables_321105!M:M)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SUMIF(tables_321105!B:B,input_321105!A37,tables_321105!M:M)</f>
        <v>13883072</v>
      </c>
      <c r="C37" s="72">
        <f t="shared" ca="1" si="10"/>
        <v>0.93200000000000005</v>
      </c>
      <c r="E37">
        <v>4</v>
      </c>
      <c r="F37" s="73">
        <f ca="1">SUM(C37:C39)</f>
        <v>0.95000000000000007</v>
      </c>
    </row>
    <row r="38" spans="1:6">
      <c r="A38" s="47" t="s">
        <v>132</v>
      </c>
      <c r="B38">
        <f ca="1">SUMIF(tables_321105!B:B,input_321105!A38,tables_321105!M:M)</f>
        <v>268128</v>
      </c>
      <c r="C38" s="72">
        <f t="shared" ca="1" si="10"/>
        <v>1.7999999999999999E-2</v>
      </c>
      <c r="E38">
        <v>5</v>
      </c>
      <c r="F38" s="73">
        <f ca="1">SUM(C40:C42)</f>
        <v>0.05</v>
      </c>
    </row>
    <row r="39" spans="1:6">
      <c r="A39" s="47" t="s">
        <v>129</v>
      </c>
      <c r="B39">
        <f>SUMIF(tables_321105!B:B,input_321105!A39,tables_321105!M:M)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SUMIF(tables_321105!B:B,input_321105!A40,tables_321105!M:M)</f>
        <v>715008</v>
      </c>
      <c r="C40" s="72">
        <f t="shared" ca="1" si="10"/>
        <v>4.8000000000000001E-2</v>
      </c>
      <c r="E40" t="s">
        <v>68</v>
      </c>
    </row>
    <row r="41" spans="1:6">
      <c r="A41" s="47" t="s">
        <v>134</v>
      </c>
      <c r="B41">
        <f ca="1">SUMIF(tables_321105!B:B,input_321105!A41,tables_321105!M:M)</f>
        <v>29792</v>
      </c>
      <c r="C41" s="72">
        <f t="shared" ca="1" si="10"/>
        <v>2E-3</v>
      </c>
      <c r="E41" t="s">
        <v>121</v>
      </c>
      <c r="F41" s="73">
        <f ca="1">C36+C37+C40</f>
        <v>0.98000000000000009</v>
      </c>
    </row>
    <row r="42" spans="1:6">
      <c r="A42" s="47" t="s">
        <v>135</v>
      </c>
      <c r="B42">
        <f>SUMIF(tables_321105!B:B,input_321105!A42,tables_321105!M:M)</f>
        <v>0</v>
      </c>
      <c r="C42" s="72">
        <f t="shared" ca="1" si="10"/>
        <v>0</v>
      </c>
      <c r="E42" t="s">
        <v>122</v>
      </c>
      <c r="F42" s="73">
        <f ca="1">C38+C41</f>
        <v>1.9999999999999997E-2</v>
      </c>
    </row>
    <row r="43" spans="1:6">
      <c r="A43" s="55" t="s">
        <v>74</v>
      </c>
      <c r="B43">
        <f ca="1">SUM(B36:B42)</f>
        <v>14896000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37" activePane="bottomLeft" state="frozen"/>
      <selection activeCell="B12" sqref="B12"/>
      <selection pane="bottomLeft" activeCell="B12" sqref="B1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input_321105!A$2</f>
        <v>321105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IFERROR(VLOOKUP(E2,input_321105!L:R,7,FALSE),VLOOKUP(tables_321105!B2,input_321105!A:H,8,FALSE))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input_321105!A$2</f>
        <v>321105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IFERROR(VLOOKUP(E3,input_321105!L:R,7,FALSE),VLOOKUP(tables_321105!B3,input_321105!A:H,8,FALSE))</f>
        <v>182672</v>
      </c>
      <c r="N3" s="63">
        <f t="shared" ca="1" si="0"/>
        <v>1.2263157894736842E-2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input_321105!A$2</f>
        <v>321105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IFERROR(VLOOKUP(E4,input_321105!L:R,7,FALSE),VLOOKUP(tables_321105!B4,input_321105!A:H,8,FALSE))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input_321105!A$2</f>
        <v>321105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IFERROR(VLOOKUP(E5,input_321105!L:R,7,FALSE),VLOOKUP(tables_321105!B5,input_321105!A:H,8,FALSE))</f>
        <v>182672</v>
      </c>
      <c r="N5" s="63">
        <f t="shared" ca="1" si="0"/>
        <v>1.2263157894736842E-2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input_321105!A$2</f>
        <v>321105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IFERROR(VLOOKUP(E6,input_321105!L:R,7,FALSE),VLOOKUP(tables_321105!B6,input_321105!A:H,8,FALSE))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input_321105!A$2</f>
        <v>321105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IFERROR(VLOOKUP(E7,input_321105!L:R,7,FALSE),VLOOKUP(tables_321105!B7,input_321105!A:H,8,FALSE))</f>
        <v>182672</v>
      </c>
      <c r="N7" s="63">
        <f t="shared" ca="1" si="0"/>
        <v>1.2263157894736842E-2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input_321105!A$2</f>
        <v>321105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IFERROR(VLOOKUP(E8,input_321105!L:R,7,FALSE),VLOOKUP(tables_321105!B8,input_321105!A:H,8,FALSE))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input_321105!A$2</f>
        <v>321105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IFERROR(VLOOKUP(E9,input_321105!L:R,7,FALSE),VLOOKUP(tables_321105!B9,input_321105!A:H,8,FALSE))</f>
        <v>182672</v>
      </c>
      <c r="N9" s="63">
        <f t="shared" ca="1" si="0"/>
        <v>1.2263157894736842E-2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input_321105!A$2</f>
        <v>321105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IFERROR(VLOOKUP(E10,input_321105!L:R,7,FALSE),VLOOKUP(tables_321105!B10,input_321105!A:H,8,FALSE))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input_321105!A$2</f>
        <v>321105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IFERROR(VLOOKUP(E11,input_321105!L:R,7,FALSE),VLOOKUP(tables_321105!B11,input_321105!A:H,8,FALSE))</f>
        <v>182672</v>
      </c>
      <c r="N11" s="63">
        <f t="shared" ca="1" si="0"/>
        <v>1.2263157894736842E-2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input_321105!A$2</f>
        <v>321105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IFERROR(VLOOKUP(E12,input_321105!L:R,7,FALSE),VLOOKUP(tables_321105!B12,input_321105!A:H,8,FALSE))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input_321105!A$2</f>
        <v>321105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IFERROR(VLOOKUP(E13,input_321105!L:R,7,FALSE),VLOOKUP(tables_321105!B13,input_321105!A:H,8,FALSE))</f>
        <v>182672</v>
      </c>
      <c r="N13" s="63">
        <f t="shared" ca="1" si="0"/>
        <v>1.2263157894736842E-2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input_321105!A$2</f>
        <v>321105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IFERROR(VLOOKUP(E14,input_321105!L:R,7,FALSE),VLOOKUP(tables_321105!B14,input_321105!A:H,8,FALSE))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input_321105!A$2</f>
        <v>321105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IFERROR(VLOOKUP(E15,input_321105!L:R,7,FALSE),VLOOKUP(tables_321105!B15,input_321105!A:H,8,FALSE))</f>
        <v>182672</v>
      </c>
      <c r="N15" s="63">
        <f t="shared" ca="1" si="0"/>
        <v>1.2263157894736842E-2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input_321105!A$2</f>
        <v>321105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IFERROR(VLOOKUP(E16,input_321105!L:R,7,FALSE),VLOOKUP(tables_321105!B16,input_321105!A:H,8,FALSE))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input_321105!A$2</f>
        <v>321105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IFERROR(VLOOKUP(E17,input_321105!L:R,7,FALSE),VLOOKUP(tables_321105!B17,input_321105!A:H,8,FALSE))</f>
        <v>182672</v>
      </c>
      <c r="N17" s="63">
        <f t="shared" ca="1" si="0"/>
        <v>1.2263157894736842E-2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input_321105!A$2</f>
        <v>321105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IFERROR(VLOOKUP(E18,input_321105!L:R,7,FALSE),VLOOKUP(tables_321105!B18,input_321105!A:H,8,FALSE))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input_321105!A$2</f>
        <v>321105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IFERROR(VLOOKUP(E19,input_321105!L:R,7,FALSE),VLOOKUP(tables_321105!B19,input_321105!A:H,8,FALSE))</f>
        <v>182672</v>
      </c>
      <c r="N19" s="63">
        <f t="shared" ca="1" si="0"/>
        <v>1.2263157894736842E-2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input_321105!A$2</f>
        <v>321105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IFERROR(VLOOKUP(E20,input_321105!L:R,7,FALSE),VLOOKUP(tables_321105!B20,input_321105!A:H,8,FALSE))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input_321105!A$2</f>
        <v>321105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IFERROR(VLOOKUP(E21,input_321105!L:R,7,FALSE),VLOOKUP(tables_321105!B21,input_321105!A:H,8,FALSE))</f>
        <v>182672</v>
      </c>
      <c r="N21" s="63">
        <f t="shared" ca="1" si="0"/>
        <v>1.2263157894736842E-2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input_321105!A$2</f>
        <v>321105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IFERROR(VLOOKUP(E22,input_321105!L:R,7,FALSE),VLOOKUP(tables_321105!B22,input_321105!A:H,8,FALSE))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input_321105!A$2</f>
        <v>321105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IFERROR(VLOOKUP(E23,input_321105!L:R,7,FALSE),VLOOKUP(tables_321105!B23,input_321105!A:H,8,FALSE))</f>
        <v>182672</v>
      </c>
      <c r="N23" s="63">
        <f t="shared" ca="1" si="0"/>
        <v>1.2263157894736842E-2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input_321105!A$2</f>
        <v>321105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IFERROR(VLOOKUP(E24,input_321105!L:R,7,FALSE),VLOOKUP(tables_321105!B24,input_321105!A:H,8,FALSE))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input_321105!A$2</f>
        <v>321105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IFERROR(VLOOKUP(E25,input_321105!L:R,7,FALSE),VLOOKUP(tables_321105!B25,input_321105!A:H,8,FALSE))</f>
        <v>182672</v>
      </c>
      <c r="N25" s="63">
        <f t="shared" ca="1" si="0"/>
        <v>1.2263157894736842E-2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input_321105!A$2</f>
        <v>321105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IFERROR(VLOOKUP(E26,input_321105!L:R,7,FALSE),VLOOKUP(tables_321105!B26,input_321105!A:H,8,FALSE))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input_321105!A$2</f>
        <v>321105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IFERROR(VLOOKUP(E27,input_321105!L:R,7,FALSE),VLOOKUP(tables_321105!B27,input_321105!A:H,8,FALSE))</f>
        <v>182672</v>
      </c>
      <c r="N27" s="63">
        <f t="shared" ca="1" si="0"/>
        <v>1.2263157894736842E-2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input_321105!A$2</f>
        <v>321105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IFERROR(VLOOKUP(E28,input_321105!L:R,7,FALSE),VLOOKUP(tables_321105!B28,input_321105!A:H,8,FALSE))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input_321105!A$2</f>
        <v>321105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IFERROR(VLOOKUP(E29,input_321105!L:R,7,FALSE),VLOOKUP(tables_321105!B29,input_321105!A:H,8,FALSE))</f>
        <v>182672</v>
      </c>
      <c r="N29" s="63">
        <f t="shared" ca="1" si="0"/>
        <v>1.2263157894736842E-2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input_321105!A$2</f>
        <v>321105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IFERROR(VLOOKUP(E30,input_321105!L:R,7,FALSE),VLOOKUP(tables_321105!B30,input_321105!A:H,8,FALSE))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input_321105!A$2</f>
        <v>321105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IFERROR(VLOOKUP(E31,input_321105!L:R,7,FALSE),VLOOKUP(tables_321105!B31,input_321105!A:H,8,FALSE))</f>
        <v>182672</v>
      </c>
      <c r="N31" s="63">
        <f t="shared" ca="1" si="0"/>
        <v>1.2263157894736842E-2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input_321105!A$2</f>
        <v>321105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IFERROR(VLOOKUP(E32,input_321105!L:R,7,FALSE),VLOOKUP(tables_321105!B32,input_321105!A:H,8,FALSE))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input_321105!A$2</f>
        <v>321105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IFERROR(VLOOKUP(E33,input_321105!L:R,7,FALSE),VLOOKUP(tables_321105!B33,input_321105!A:H,8,FALSE))</f>
        <v>182672</v>
      </c>
      <c r="N33" s="63">
        <f t="shared" ca="1" si="0"/>
        <v>1.2263157894736842E-2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input_321105!A$2</f>
        <v>321105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IFERROR(VLOOKUP(E34,input_321105!L:R,7,FALSE),VLOOKUP(tables_321105!B34,input_321105!A:H,8,FALSE))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input_321105!A$2</f>
        <v>321105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IFERROR(VLOOKUP(E35,input_321105!L:R,7,FALSE),VLOOKUP(tables_321105!B35,input_321105!A:H,8,FALSE))</f>
        <v>182672</v>
      </c>
      <c r="N35" s="63">
        <f t="shared" ca="1" si="0"/>
        <v>1.2263157894736842E-2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input_321105!A$2</f>
        <v>321105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IFERROR(VLOOKUP(E36,input_321105!L:R,7,FALSE),VLOOKUP(tables_321105!B36,input_321105!A:H,8,FALSE))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input_321105!A$2</f>
        <v>321105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IFERROR(VLOOKUP(E37,input_321105!L:R,7,FALSE),VLOOKUP(tables_321105!B37,input_321105!A:H,8,FALSE))</f>
        <v>182672</v>
      </c>
      <c r="N37" s="63">
        <f t="shared" ca="1" si="0"/>
        <v>1.2263157894736842E-2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input_321105!A$2</f>
        <v>321105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IFERROR(VLOOKUP(E38,input_321105!L:R,7,FALSE),VLOOKUP(tables_321105!B38,input_321105!A:H,8,FALSE))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input_321105!A$2</f>
        <v>321105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IFERROR(VLOOKUP(E39,input_321105!L:R,7,FALSE),VLOOKUP(tables_321105!B39,input_321105!A:H,8,FALSE))</f>
        <v>182672</v>
      </c>
      <c r="N39" s="63">
        <f t="shared" ca="1" si="0"/>
        <v>1.2263157894736842E-2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input_321105!A$2</f>
        <v>321105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IFERROR(VLOOKUP(E40,input_321105!L:R,7,FALSE),VLOOKUP(tables_321105!B40,input_321105!A:H,8,FALSE))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input_321105!A$2</f>
        <v>321105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IFERROR(VLOOKUP(E41,input_321105!L:R,7,FALSE),VLOOKUP(tables_321105!B41,input_321105!A:H,8,FALSE))</f>
        <v>182672</v>
      </c>
      <c r="N41" s="63">
        <f t="shared" ca="1" si="0"/>
        <v>1.2263157894736842E-2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input_321105!A$2</f>
        <v>321105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IFERROR(VLOOKUP(E42,input_321105!L:R,7,FALSE),VLOOKUP(tables_321105!B42,input_321105!A:H,8,FALSE))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input_321105!A$2</f>
        <v>321105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IFERROR(VLOOKUP(E43,input_321105!L:R,7,FALSE),VLOOKUP(tables_321105!B43,input_321105!A:H,8,FALSE))</f>
        <v>182672</v>
      </c>
      <c r="N43" s="63">
        <f t="shared" ca="1" si="0"/>
        <v>1.2263157894736842E-2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input_321105!A$2</f>
        <v>321105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IFERROR(VLOOKUP(E44,input_321105!L:R,7,FALSE),VLOOKUP(tables_321105!B44,input_321105!A:H,8,FALSE))</f>
        <v>12768</v>
      </c>
      <c r="N44" s="63">
        <f t="shared" ca="1" si="0"/>
        <v>8.571428571428571E-4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input_321105!A$2</f>
        <v>321105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IFERROR(VLOOKUP(E45,input_321105!L:R,7,FALSE),VLOOKUP(tables_321105!B45,input_321105!A:H,8,FALSE))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input_321105!A$2</f>
        <v>321105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IFERROR(VLOOKUP(E46,input_321105!L:R,7,FALSE),VLOOKUP(tables_321105!B46,input_321105!A:H,8,FALSE))</f>
        <v>182672</v>
      </c>
      <c r="N46" s="63">
        <f t="shared" ca="1" si="0"/>
        <v>1.2263157894736842E-2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input_321105!A$2</f>
        <v>321105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IFERROR(VLOOKUP(E47,input_321105!L:R,7,FALSE),VLOOKUP(tables_321105!B47,input_321105!A:H,8,FALSE))</f>
        <v>12768</v>
      </c>
      <c r="N47" s="63">
        <f t="shared" ca="1" si="0"/>
        <v>8.571428571428571E-4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input_321105!A$2</f>
        <v>321105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IFERROR(VLOOKUP(E48,input_321105!L:R,7,FALSE),VLOOKUP(tables_321105!B48,input_321105!A:H,8,FALSE))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input_321105!A$2</f>
        <v>321105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IFERROR(VLOOKUP(E49,input_321105!L:R,7,FALSE),VLOOKUP(tables_321105!B49,input_321105!A:H,8,FALSE))</f>
        <v>182672</v>
      </c>
      <c r="N49" s="63">
        <f t="shared" ca="1" si="0"/>
        <v>1.2263157894736842E-2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input_321105!A$2</f>
        <v>321105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IFERROR(VLOOKUP(E50,input_321105!L:R,7,FALSE),VLOOKUP(tables_321105!B50,input_321105!A:H,8,FALSE))</f>
        <v>12768</v>
      </c>
      <c r="N50" s="63">
        <f t="shared" ca="1" si="0"/>
        <v>8.571428571428571E-4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input_321105!A$2</f>
        <v>321105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IFERROR(VLOOKUP(E51,input_321105!L:R,7,FALSE),VLOOKUP(tables_321105!B51,input_321105!A:H,8,FALSE))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input_321105!A$2</f>
        <v>321105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IFERROR(VLOOKUP(E52,input_321105!L:R,7,FALSE),VLOOKUP(tables_321105!B52,input_321105!A:H,8,FALSE))</f>
        <v>182672</v>
      </c>
      <c r="N52" s="63">
        <f t="shared" ca="1" si="0"/>
        <v>1.2263157894736842E-2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input_321105!A$2</f>
        <v>321105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IFERROR(VLOOKUP(E53,input_321105!L:R,7,FALSE),VLOOKUP(tables_321105!B53,input_321105!A:H,8,FALSE))</f>
        <v>12768</v>
      </c>
      <c r="N53" s="63">
        <f t="shared" ca="1" si="0"/>
        <v>8.571428571428571E-4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input_321105!A$2</f>
        <v>321105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IFERROR(VLOOKUP(E54,input_321105!L:R,7,FALSE),VLOOKUP(tables_321105!B54,input_321105!A:H,8,FALSE))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input_321105!A$2</f>
        <v>321105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IFERROR(VLOOKUP(E55,input_321105!L:R,7,FALSE),VLOOKUP(tables_321105!B55,input_321105!A:H,8,FALSE))</f>
        <v>182672</v>
      </c>
      <c r="N55" s="63">
        <f t="shared" ca="1" si="0"/>
        <v>1.2263157894736842E-2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input_321105!A$2</f>
        <v>321105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IFERROR(VLOOKUP(E56,input_321105!L:R,7,FALSE),VLOOKUP(tables_321105!B56,input_321105!A:H,8,FALSE))</f>
        <v>12768</v>
      </c>
      <c r="N56" s="63">
        <f t="shared" ca="1" si="0"/>
        <v>8.571428571428571E-4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input_321105!A$2</f>
        <v>321105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IFERROR(VLOOKUP(E57,input_321105!L:R,7,FALSE),VLOOKUP(tables_321105!B57,input_321105!A:H,8,FALSE))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input_321105!A$2</f>
        <v>321105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IFERROR(VLOOKUP(E58,input_321105!L:R,7,FALSE),VLOOKUP(tables_321105!B58,input_321105!A:H,8,FALSE))</f>
        <v>182672</v>
      </c>
      <c r="N58" s="63">
        <f t="shared" ca="1" si="0"/>
        <v>1.2263157894736842E-2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input_321105!A$2</f>
        <v>321105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IFERROR(VLOOKUP(E59,input_321105!L:R,7,FALSE),VLOOKUP(tables_321105!B59,input_321105!A:H,8,FALSE))</f>
        <v>12768</v>
      </c>
      <c r="N59" s="63">
        <f t="shared" ca="1" si="0"/>
        <v>8.571428571428571E-4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input_321105!A$2</f>
        <v>321105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IFERROR(VLOOKUP(E60,input_321105!L:R,7,FALSE),VLOOKUP(tables_321105!B60,input_321105!A:H,8,FALSE))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input_321105!A$2</f>
        <v>321105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IFERROR(VLOOKUP(E61,input_321105!L:R,7,FALSE),VLOOKUP(tables_321105!B61,input_321105!A:H,8,FALSE))</f>
        <v>182672</v>
      </c>
      <c r="N61" s="63">
        <f t="shared" ca="1" si="0"/>
        <v>1.2263157894736842E-2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input_321105!A$2</f>
        <v>321105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IFERROR(VLOOKUP(E62,input_321105!L:R,7,FALSE),VLOOKUP(tables_321105!B62,input_321105!A:H,8,FALSE))</f>
        <v>12768</v>
      </c>
      <c r="N62" s="63">
        <f t="shared" ca="1" si="0"/>
        <v>8.571428571428571E-4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input_321105!A$2</f>
        <v>321105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IFERROR(VLOOKUP(E63,input_321105!L:R,7,FALSE),VLOOKUP(tables_321105!B63,input_321105!A:H,8,FALSE))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input_321105!A$2</f>
        <v>321105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IFERROR(VLOOKUP(E64,input_321105!L:R,7,FALSE),VLOOKUP(tables_321105!B64,input_321105!A:H,8,FALSE))</f>
        <v>182672</v>
      </c>
      <c r="N64" s="63">
        <f t="shared" ca="1" si="0"/>
        <v>1.2263157894736842E-2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input_321105!A$2</f>
        <v>321105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IFERROR(VLOOKUP(E65,input_321105!L:R,7,FALSE),VLOOKUP(tables_321105!B65,input_321105!A:H,8,FALSE))</f>
        <v>12768</v>
      </c>
      <c r="N65" s="63">
        <f t="shared" ca="1" si="0"/>
        <v>8.571428571428571E-4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input_321105!A$2</f>
        <v>321105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IFERROR(VLOOKUP(E66,input_321105!L:R,7,FALSE),VLOOKUP(tables_321105!B66,input_321105!A:H,8,FALSE))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input_321105!A$2</f>
        <v>321105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IFERROR(VLOOKUP(E67,input_321105!L:R,7,FALSE),VLOOKUP(tables_321105!B67,input_321105!A:H,8,FALSE))</f>
        <v>182672</v>
      </c>
      <c r="N67" s="63">
        <f t="shared" ca="1" si="3"/>
        <v>1.2263157894736842E-2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input_321105!A$2</f>
        <v>321105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IFERROR(VLOOKUP(E68,input_321105!L:R,7,FALSE),VLOOKUP(tables_321105!B68,input_321105!A:H,8,FALSE))</f>
        <v>12768</v>
      </c>
      <c r="N68" s="63">
        <f t="shared" ca="1" si="3"/>
        <v>8.571428571428571E-4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input_321105!A$2</f>
        <v>321105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IFERROR(VLOOKUP(E69,input_321105!L:R,7,FALSE),VLOOKUP(tables_321105!B69,input_321105!A:H,8,FALSE))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input_321105!A$2</f>
        <v>321105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IFERROR(VLOOKUP(E70,input_321105!L:R,7,FALSE),VLOOKUP(tables_321105!B70,input_321105!A:H,8,FALSE))</f>
        <v>182672</v>
      </c>
      <c r="N70" s="63">
        <f t="shared" ca="1" si="3"/>
        <v>1.2263157894736842E-2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input_321105!A$2</f>
        <v>321105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IFERROR(VLOOKUP(E71,input_321105!L:R,7,FALSE),VLOOKUP(tables_321105!B71,input_321105!A:H,8,FALSE))</f>
        <v>12768</v>
      </c>
      <c r="N71" s="63">
        <f t="shared" ca="1" si="3"/>
        <v>8.571428571428571E-4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input_321105!A$2</f>
        <v>321105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IFERROR(VLOOKUP(E72,input_321105!L:R,7,FALSE),VLOOKUP(tables_321105!B72,input_321105!A:H,8,FALSE))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input_321105!A$2</f>
        <v>321105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IFERROR(VLOOKUP(E73,input_321105!L:R,7,FALSE),VLOOKUP(tables_321105!B73,input_321105!A:H,8,FALSE))</f>
        <v>182672</v>
      </c>
      <c r="N73" s="63">
        <f t="shared" ca="1" si="3"/>
        <v>1.2263157894736842E-2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input_321105!A$2</f>
        <v>321105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IFERROR(VLOOKUP(E74,input_321105!L:R,7,FALSE),VLOOKUP(tables_321105!B74,input_321105!A:H,8,FALSE))</f>
        <v>12768</v>
      </c>
      <c r="N74" s="63">
        <f t="shared" ca="1" si="3"/>
        <v>8.571428571428571E-4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input_321105!A$2</f>
        <v>321105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IFERROR(VLOOKUP(E75,input_321105!L:R,7,FALSE),VLOOKUP(tables_321105!B75,input_321105!A:H,8,FALSE))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input_321105!A$2</f>
        <v>321105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IFERROR(VLOOKUP(E76,input_321105!L:R,7,FALSE),VLOOKUP(tables_321105!B76,input_321105!A:H,8,FALSE))</f>
        <v>182672</v>
      </c>
      <c r="N76" s="63">
        <f t="shared" ca="1" si="3"/>
        <v>1.2263157894736842E-2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input_321105!A$2</f>
        <v>321105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IFERROR(VLOOKUP(E77,input_321105!L:R,7,FALSE),VLOOKUP(tables_321105!B77,input_321105!A:H,8,FALSE))</f>
        <v>12768</v>
      </c>
      <c r="N77" s="63">
        <f t="shared" ca="1" si="3"/>
        <v>8.571428571428571E-4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input_321105!A$2</f>
        <v>321105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IFERROR(VLOOKUP(E78,input_321105!L:R,7,FALSE),VLOOKUP(tables_321105!B78,input_321105!A:H,8,FALSE))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input_321105!A$2</f>
        <v>321105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IFERROR(VLOOKUP(E79,input_321105!L:R,7,FALSE),VLOOKUP(tables_321105!B79,input_321105!A:H,8,FALSE))</f>
        <v>182672</v>
      </c>
      <c r="N79" s="63">
        <f t="shared" ca="1" si="3"/>
        <v>1.2263157894736842E-2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input_321105!A$2</f>
        <v>321105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IFERROR(VLOOKUP(E80,input_321105!L:R,7,FALSE),VLOOKUP(tables_321105!B80,input_321105!A:H,8,FALSE))</f>
        <v>12768</v>
      </c>
      <c r="N80" s="63">
        <f t="shared" ca="1" si="3"/>
        <v>8.571428571428571E-4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input_321105!A$2</f>
        <v>321105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IFERROR(VLOOKUP(E81,input_321105!L:R,7,FALSE),VLOOKUP(tables_321105!B81,input_321105!A:H,8,FALSE))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input_321105!A$2</f>
        <v>321105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IFERROR(VLOOKUP(E82,input_321105!L:R,7,FALSE),VLOOKUP(tables_321105!B82,input_321105!A:H,8,FALSE))</f>
        <v>182672</v>
      </c>
      <c r="N82" s="63">
        <f t="shared" ca="1" si="3"/>
        <v>1.2263157894736842E-2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input_321105!A$2</f>
        <v>321105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IFERROR(VLOOKUP(E83,input_321105!L:R,7,FALSE),VLOOKUP(tables_321105!B83,input_321105!A:H,8,FALSE))</f>
        <v>12768</v>
      </c>
      <c r="N83" s="63">
        <f t="shared" ca="1" si="3"/>
        <v>8.571428571428571E-4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input_321105!A$2</f>
        <v>321105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IFERROR(VLOOKUP(E84,input_321105!L:R,7,FALSE),VLOOKUP(tables_321105!B84,input_321105!A:H,8,FALSE))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input_321105!A$2</f>
        <v>321105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IFERROR(VLOOKUP(E85,input_321105!L:R,7,FALSE),VLOOKUP(tables_321105!B85,input_321105!A:H,8,FALSE))</f>
        <v>182672</v>
      </c>
      <c r="N85" s="63">
        <f t="shared" ca="1" si="3"/>
        <v>1.2263157894736842E-2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input_321105!A$2</f>
        <v>321105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IFERROR(VLOOKUP(E86,input_321105!L:R,7,FALSE),VLOOKUP(tables_321105!B86,input_321105!A:H,8,FALSE))</f>
        <v>12768</v>
      </c>
      <c r="N86" s="63">
        <f t="shared" ca="1" si="3"/>
        <v>8.571428571428571E-4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input_321105!A$2</f>
        <v>321105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IFERROR(VLOOKUP(E87,input_321105!L:R,7,FALSE),VLOOKUP(tables_321105!B87,input_321105!A:H,8,FALSE))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input_321105!A$2</f>
        <v>321105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IFERROR(VLOOKUP(E88,input_321105!L:R,7,FALSE),VLOOKUP(tables_321105!B88,input_321105!A:H,8,FALSE))</f>
        <v>182672</v>
      </c>
      <c r="N88" s="63">
        <f t="shared" ca="1" si="3"/>
        <v>1.2263157894736842E-2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input_321105!A$2</f>
        <v>321105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IFERROR(VLOOKUP(E89,input_321105!L:R,7,FALSE),VLOOKUP(tables_321105!B89,input_321105!A:H,8,FALSE))</f>
        <v>12768</v>
      </c>
      <c r="N89" s="63">
        <f t="shared" ca="1" si="3"/>
        <v>8.571428571428571E-4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input_321105!A$2</f>
        <v>321105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IFERROR(VLOOKUP(E90,input_321105!L:R,7,FALSE),VLOOKUP(tables_321105!B90,input_321105!A:H,8,FALSE))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input_321105!A$2</f>
        <v>321105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IFERROR(VLOOKUP(E91,input_321105!L:R,7,FALSE),VLOOKUP(tables_321105!B91,input_321105!A:H,8,FALSE))</f>
        <v>182672</v>
      </c>
      <c r="N91" s="63">
        <f t="shared" ca="1" si="3"/>
        <v>1.2263157894736842E-2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input_321105!A$2</f>
        <v>321105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IFERROR(VLOOKUP(E92,input_321105!L:R,7,FALSE),VLOOKUP(tables_321105!B92,input_321105!A:H,8,FALSE))</f>
        <v>12768</v>
      </c>
      <c r="N92" s="63">
        <f t="shared" ca="1" si="3"/>
        <v>8.571428571428571E-4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input_321105!A$2</f>
        <v>321105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IFERROR(VLOOKUP(E93,input_321105!L:R,7,FALSE),VLOOKUP(tables_321105!B93,input_321105!A:H,8,FALSE))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input_321105!A$2</f>
        <v>321105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IFERROR(VLOOKUP(E94,input_321105!L:R,7,FALSE),VLOOKUP(tables_321105!B94,input_321105!A:H,8,FALSE))</f>
        <v>182672</v>
      </c>
      <c r="N94" s="63">
        <f t="shared" ca="1" si="3"/>
        <v>1.2263157894736842E-2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input_321105!A$2</f>
        <v>321105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IFERROR(VLOOKUP(E95,input_321105!L:R,7,FALSE),VLOOKUP(tables_321105!B95,input_321105!A:H,8,FALSE))</f>
        <v>12768</v>
      </c>
      <c r="N95" s="63">
        <f t="shared" ca="1" si="3"/>
        <v>8.571428571428571E-4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input_321105!A$2</f>
        <v>321105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IFERROR(VLOOKUP(E96,input_321105!L:R,7,FALSE),VLOOKUP(tables_321105!B96,input_321105!A:H,8,FALSE))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input_321105!A$2</f>
        <v>321105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IFERROR(VLOOKUP(E97,input_321105!L:R,7,FALSE),VLOOKUP(tables_321105!B97,input_321105!A:H,8,FALSE))</f>
        <v>182672</v>
      </c>
      <c r="N97" s="63">
        <f t="shared" ca="1" si="3"/>
        <v>1.2263157894736842E-2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input_321105!A$2</f>
        <v>321105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IFERROR(VLOOKUP(E98,input_321105!L:R,7,FALSE),VLOOKUP(tables_321105!B98,input_321105!A:H,8,FALSE))</f>
        <v>12768</v>
      </c>
      <c r="N98" s="63">
        <f t="shared" ca="1" si="3"/>
        <v>8.571428571428571E-4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input_321105!A$2</f>
        <v>321105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IFERROR(VLOOKUP(E99,input_321105!L:R,7,FALSE),VLOOKUP(tables_321105!B99,input_321105!A:H,8,FALSE))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input_321105!A$2</f>
        <v>321105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IFERROR(VLOOKUP(E100,input_321105!L:R,7,FALSE),VLOOKUP(tables_321105!B100,input_321105!A:H,8,FALSE))</f>
        <v>182672</v>
      </c>
      <c r="N100" s="63">
        <f t="shared" ca="1" si="3"/>
        <v>1.2263157894736842E-2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input_321105!A$2</f>
        <v>321105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IFERROR(VLOOKUP(E101,input_321105!L:R,7,FALSE),VLOOKUP(tables_321105!B101,input_321105!A:H,8,FALSE))</f>
        <v>12768</v>
      </c>
      <c r="N101" s="63">
        <f t="shared" ca="1" si="3"/>
        <v>8.571428571428571E-4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input_321105!A$2</f>
        <v>321105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IFERROR(VLOOKUP(E102,input_321105!L:R,7,FALSE),VLOOKUP(tables_321105!B102,input_321105!A:H,8,FALSE))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input_321105!A$2</f>
        <v>321105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IFERROR(VLOOKUP(E103,input_321105!L:R,7,FALSE),VLOOKUP(tables_321105!B103,input_321105!A:H,8,FALSE))</f>
        <v>182672</v>
      </c>
      <c r="N103" s="63">
        <f t="shared" ca="1" si="3"/>
        <v>1.2263157894736842E-2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input_321105!A$2</f>
        <v>321105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IFERROR(VLOOKUP(E104,input_321105!L:R,7,FALSE),VLOOKUP(tables_321105!B104,input_321105!A:H,8,FALSE))</f>
        <v>12768</v>
      </c>
      <c r="N104" s="63">
        <f t="shared" ca="1" si="3"/>
        <v>8.571428571428571E-4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input_321105!A$2</f>
        <v>321105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IFERROR(VLOOKUP(E105,input_321105!L:R,7,FALSE),VLOOKUP(tables_321105!B105,input_321105!A:H,8,FALSE))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input_321105!A$2</f>
        <v>321105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IFERROR(VLOOKUP(E106,input_321105!L:R,7,FALSE),VLOOKUP(tables_321105!B106,input_321105!A:H,8,FALSE))</f>
        <v>182672</v>
      </c>
      <c r="N106" s="63">
        <f t="shared" ca="1" si="3"/>
        <v>1.2263157894736842E-2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input_321105!A$2</f>
        <v>321105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IFERROR(VLOOKUP(E107,input_321105!L:R,7,FALSE),VLOOKUP(tables_321105!B107,input_321105!A:H,8,FALSE))</f>
        <v>12768</v>
      </c>
      <c r="N107" s="63">
        <f t="shared" ca="1" si="3"/>
        <v>8.571428571428571E-4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input_321105!A$2</f>
        <v>321105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IFERROR(VLOOKUP(E108,input_321105!L:R,7,FALSE),VLOOKUP(tables_321105!B108,input_321105!A:H,8,FALSE))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input_321105!A$2</f>
        <v>321105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IFERROR(VLOOKUP(E109,input_321105!L:R,7,FALSE),VLOOKUP(tables_321105!B109,input_321105!A:H,8,FALSE))</f>
        <v>182672</v>
      </c>
      <c r="N109" s="63">
        <f t="shared" ca="1" si="3"/>
        <v>1.2263157894736842E-2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input_321105!A$2</f>
        <v>321105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IFERROR(VLOOKUP(E110,input_321105!L:R,7,FALSE),VLOOKUP(tables_321105!B110,input_321105!A:H,8,FALSE))</f>
        <v>12768</v>
      </c>
      <c r="N110" s="63">
        <f t="shared" ca="1" si="3"/>
        <v>8.571428571428571E-4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input_321105!A$2</f>
        <v>321105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IFERROR(VLOOKUP(E111,input_321105!L:R,7,FALSE),VLOOKUP(tables_321105!B111,input_321105!A:H,8,FALSE))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input_321105!A$2</f>
        <v>321105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IFERROR(VLOOKUP(E112,input_321105!L:R,7,FALSE),VLOOKUP(tables_321105!B112,input_321105!A:H,8,FALSE))</f>
        <v>182672</v>
      </c>
      <c r="N112" s="63">
        <f t="shared" ca="1" si="3"/>
        <v>1.2263157894736842E-2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input_321105!A$2</f>
        <v>321105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IFERROR(VLOOKUP(E113,input_321105!L:R,7,FALSE),VLOOKUP(tables_321105!B113,input_321105!A:H,8,FALSE))</f>
        <v>12768</v>
      </c>
      <c r="N113" s="63">
        <f t="shared" ca="1" si="3"/>
        <v>8.571428571428571E-4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input_321105!A$2</f>
        <v>321105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IFERROR(VLOOKUP(E114,input_321105!L:R,7,FALSE),VLOOKUP(tables_321105!B114,input_321105!A:H,8,FALSE))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input_321105!A$2</f>
        <v>321105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IFERROR(VLOOKUP(E115,input_321105!L:R,7,FALSE),VLOOKUP(tables_321105!B115,input_321105!A:H,8,FALSE))</f>
        <v>182672</v>
      </c>
      <c r="N115" s="63">
        <f t="shared" ca="1" si="3"/>
        <v>1.2263157894736842E-2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input_321105!A$2</f>
        <v>321105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IFERROR(VLOOKUP(E116,input_321105!L:R,7,FALSE),VLOOKUP(tables_321105!B116,input_321105!A:H,8,FALSE))</f>
        <v>12768</v>
      </c>
      <c r="N116" s="63">
        <f t="shared" ca="1" si="3"/>
        <v>8.571428571428571E-4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input_321105!A$2</f>
        <v>321105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IFERROR(VLOOKUP(E117,input_321105!L:R,7,FALSE),VLOOKUP(tables_321105!B117,input_321105!A:H,8,FALSE))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input_321105!A$2</f>
        <v>321105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IFERROR(VLOOKUP(E118,input_321105!L:R,7,FALSE),VLOOKUP(tables_321105!B118,input_321105!A:H,8,FALSE))</f>
        <v>182672</v>
      </c>
      <c r="N118" s="63">
        <f t="shared" ca="1" si="3"/>
        <v>1.2263157894736842E-2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input_321105!A$2</f>
        <v>321105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IFERROR(VLOOKUP(E119,input_321105!L:R,7,FALSE),VLOOKUP(tables_321105!B119,input_321105!A:H,8,FALSE))</f>
        <v>12768</v>
      </c>
      <c r="N119" s="63">
        <f t="shared" ca="1" si="3"/>
        <v>8.571428571428571E-4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input_321105!A$2</f>
        <v>321105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IFERROR(VLOOKUP(E120,input_321105!L:R,7,FALSE),VLOOKUP(tables_321105!B120,input_321105!A:H,8,FALSE))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input_321105!A$2</f>
        <v>321105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IFERROR(VLOOKUP(E121,input_321105!L:R,7,FALSE),VLOOKUP(tables_321105!B121,input_321105!A:H,8,FALSE))</f>
        <v>182672</v>
      </c>
      <c r="N121" s="63">
        <f t="shared" ca="1" si="3"/>
        <v>1.2263157894736842E-2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input_321105!A$2</f>
        <v>321105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IFERROR(VLOOKUP(E122,input_321105!L:R,7,FALSE),VLOOKUP(tables_321105!B122,input_321105!A:H,8,FALSE))</f>
        <v>12768</v>
      </c>
      <c r="N122" s="63">
        <f t="shared" ca="1" si="3"/>
        <v>8.571428571428571E-4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input_321105!A$2</f>
        <v>321105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IFERROR(VLOOKUP(E123,input_321105!L:R,7,FALSE),VLOOKUP(tables_321105!B123,input_321105!A:H,8,FALSE))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input_321105!A$2</f>
        <v>321105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IFERROR(VLOOKUP(E124,input_321105!L:R,7,FALSE),VLOOKUP(tables_321105!B124,input_321105!A:H,8,FALSE))</f>
        <v>182672</v>
      </c>
      <c r="N124" s="63">
        <f t="shared" ca="1" si="3"/>
        <v>1.2263157894736842E-2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input_321105!A$2</f>
        <v>321105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IFERROR(VLOOKUP(E125,input_321105!L:R,7,FALSE),VLOOKUP(tables_321105!B125,input_321105!A:H,8,FALSE))</f>
        <v>12768</v>
      </c>
      <c r="N125" s="63">
        <f t="shared" ca="1" si="3"/>
        <v>8.571428571428571E-4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input_321105!A$2</f>
        <v>321105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IFERROR(VLOOKUP(E126,input_321105!L:R,7,FALSE),VLOOKUP(tables_321105!B126,input_321105!A:H,8,FALSE))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input_321105!A$2</f>
        <v>321105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IFERROR(VLOOKUP(E127,input_321105!L:R,7,FALSE),VLOOKUP(tables_321105!B127,input_321105!A:H,8,FALSE))</f>
        <v>182672</v>
      </c>
      <c r="N127" s="63">
        <f t="shared" ca="1" si="3"/>
        <v>1.2263157894736842E-2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input_321105!A$2</f>
        <v>321105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IFERROR(VLOOKUP(E128,input_321105!L:R,7,FALSE),VLOOKUP(tables_321105!B128,input_321105!A:H,8,FALSE))</f>
        <v>12768</v>
      </c>
      <c r="N128" s="63">
        <f t="shared" ca="1" si="3"/>
        <v>8.571428571428571E-4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input_321105!A$2</f>
        <v>321105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IFERROR(VLOOKUP(E129,input_321105!L:R,7,FALSE),VLOOKUP(tables_321105!B129,input_321105!A:H,8,FALSE))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input_321105!A$2</f>
        <v>321105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IFERROR(VLOOKUP(E130,input_321105!L:R,7,FALSE),VLOOKUP(tables_321105!B130,input_321105!A:H,8,FALSE))</f>
        <v>182672</v>
      </c>
      <c r="N130" s="63">
        <f t="shared" ref="N130:N193" ca="1" si="6">M130/SUM(M:M)</f>
        <v>1.2263157894736842E-2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input_321105!A$2</f>
        <v>321105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IFERROR(VLOOKUP(E131,input_321105!L:R,7,FALSE),VLOOKUP(tables_321105!B131,input_321105!A:H,8,FALSE))</f>
        <v>12768</v>
      </c>
      <c r="N131" s="63">
        <f t="shared" ca="1" si="6"/>
        <v>8.571428571428571E-4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input_321105!A$2</f>
        <v>321105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IFERROR(VLOOKUP(E132,input_321105!L:R,7,FALSE),VLOOKUP(tables_321105!B132,input_321105!A:H,8,FALSE))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input_321105!A$2</f>
        <v>321105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IFERROR(VLOOKUP(E133,input_321105!L:R,7,FALSE),VLOOKUP(tables_321105!B133,input_321105!A:H,8,FALSE))</f>
        <v>182672</v>
      </c>
      <c r="N133" s="63">
        <f t="shared" ca="1" si="6"/>
        <v>1.2263157894736842E-2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input_321105!A$2</f>
        <v>321105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IFERROR(VLOOKUP(E134,input_321105!L:R,7,FALSE),VLOOKUP(tables_321105!B134,input_321105!A:H,8,FALSE))</f>
        <v>12768</v>
      </c>
      <c r="N134" s="63">
        <f t="shared" ca="1" si="6"/>
        <v>8.571428571428571E-4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input_321105!A$2</f>
        <v>321105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IFERROR(VLOOKUP(E135,input_321105!L:R,7,FALSE),VLOOKUP(tables_321105!B135,input_321105!A:H,8,FALSE))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input_321105!A$2</f>
        <v>321105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IFERROR(VLOOKUP(E136,input_321105!L:R,7,FALSE),VLOOKUP(tables_321105!B136,input_321105!A:H,8,FALSE))</f>
        <v>182672</v>
      </c>
      <c r="N136" s="63">
        <f t="shared" ca="1" si="6"/>
        <v>1.2263157894736842E-2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input_321105!A$2</f>
        <v>321105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IFERROR(VLOOKUP(E137,input_321105!L:R,7,FALSE),VLOOKUP(tables_321105!B137,input_321105!A:H,8,FALSE))</f>
        <v>12768</v>
      </c>
      <c r="N137" s="63">
        <f t="shared" ca="1" si="6"/>
        <v>8.571428571428571E-4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input_321105!A$2</f>
        <v>321105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IFERROR(VLOOKUP(E138,input_321105!L:R,7,FALSE),VLOOKUP(tables_321105!B138,input_321105!A:H,8,FALSE))</f>
        <v>9576</v>
      </c>
      <c r="N138" s="63">
        <f t="shared" ca="1" si="6"/>
        <v>6.4285714285714282E-4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input_321105!A$2</f>
        <v>321105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IFERROR(VLOOKUP(E139,input_321105!L:R,7,FALSE),VLOOKUP(tables_321105!B139,input_321105!A:H,8,FALSE))</f>
        <v>1064</v>
      </c>
      <c r="N139" s="63">
        <f t="shared" ca="1" si="6"/>
        <v>7.1428571428571434E-5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input_321105!A$2</f>
        <v>321105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IFERROR(VLOOKUP(E140,input_321105!L:R,7,FALSE),VLOOKUP(tables_321105!B140,input_321105!A:H,8,FALSE))</f>
        <v>9576</v>
      </c>
      <c r="N140" s="63">
        <f t="shared" ca="1" si="6"/>
        <v>6.4285714285714282E-4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input_321105!A$2</f>
        <v>321105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IFERROR(VLOOKUP(E141,input_321105!L:R,7,FALSE),VLOOKUP(tables_321105!B141,input_321105!A:H,8,FALSE))</f>
        <v>1064</v>
      </c>
      <c r="N141" s="63">
        <f t="shared" ca="1" si="6"/>
        <v>7.1428571428571434E-5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input_321105!A$2</f>
        <v>321105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IFERROR(VLOOKUP(E142,input_321105!L:R,7,FALSE),VLOOKUP(tables_321105!B142,input_321105!A:H,8,FALSE))</f>
        <v>9576</v>
      </c>
      <c r="N142" s="63">
        <f t="shared" ca="1" si="6"/>
        <v>6.4285714285714282E-4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input_321105!A$2</f>
        <v>321105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IFERROR(VLOOKUP(E143,input_321105!L:R,7,FALSE),VLOOKUP(tables_321105!B143,input_321105!A:H,8,FALSE))</f>
        <v>1064</v>
      </c>
      <c r="N143" s="63">
        <f t="shared" ca="1" si="6"/>
        <v>7.1428571428571434E-5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input_321105!A$2</f>
        <v>321105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IFERROR(VLOOKUP(E144,input_321105!L:R,7,FALSE),VLOOKUP(tables_321105!B144,input_321105!A:H,8,FALSE))</f>
        <v>9576</v>
      </c>
      <c r="N144" s="63">
        <f t="shared" ca="1" si="6"/>
        <v>6.4285714285714282E-4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input_321105!A$2</f>
        <v>321105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IFERROR(VLOOKUP(E145,input_321105!L:R,7,FALSE),VLOOKUP(tables_321105!B145,input_321105!A:H,8,FALSE))</f>
        <v>1064</v>
      </c>
      <c r="N145" s="63">
        <f t="shared" ca="1" si="6"/>
        <v>7.1428571428571434E-5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input_321105!A$2</f>
        <v>321105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IFERROR(VLOOKUP(E146,input_321105!L:R,7,FALSE),VLOOKUP(tables_321105!B146,input_321105!A:H,8,FALSE))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input_321105!A$2</f>
        <v>321105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IFERROR(VLOOKUP(E147,input_321105!L:R,7,FALSE),VLOOKUP(tables_321105!B147,input_321105!A:H,8,FALSE))</f>
        <v>182672</v>
      </c>
      <c r="N147" s="63">
        <f t="shared" ca="1" si="6"/>
        <v>1.2263157894736842E-2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input_321105!A$2</f>
        <v>321105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IFERROR(VLOOKUP(E148,input_321105!L:R,7,FALSE),VLOOKUP(tables_321105!B148,input_321105!A:H,8,FALSE))</f>
        <v>12768</v>
      </c>
      <c r="N148" s="63">
        <f t="shared" ca="1" si="6"/>
        <v>8.571428571428571E-4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input_321105!A$2</f>
        <v>321105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IFERROR(VLOOKUP(E149,input_321105!L:R,7,FALSE),VLOOKUP(tables_321105!B149,input_321105!A:H,8,FALSE))</f>
        <v>9576</v>
      </c>
      <c r="N149" s="63">
        <f t="shared" ca="1" si="6"/>
        <v>6.4285714285714282E-4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input_321105!A$2</f>
        <v>321105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IFERROR(VLOOKUP(E150,input_321105!L:R,7,FALSE),VLOOKUP(tables_321105!B150,input_321105!A:H,8,FALSE))</f>
        <v>1064</v>
      </c>
      <c r="N150" s="63">
        <f t="shared" ca="1" si="6"/>
        <v>7.1428571428571434E-5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input_321105!A$2</f>
        <v>321105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IFERROR(VLOOKUP(E151,input_321105!L:R,7,FALSE),VLOOKUP(tables_321105!B151,input_321105!A:H,8,FALSE))</f>
        <v>9576</v>
      </c>
      <c r="N151" s="63">
        <f t="shared" ca="1" si="6"/>
        <v>6.4285714285714282E-4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input_321105!A$2</f>
        <v>321105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IFERROR(VLOOKUP(E152,input_321105!L:R,7,FALSE),VLOOKUP(tables_321105!B152,input_321105!A:H,8,FALSE))</f>
        <v>1064</v>
      </c>
      <c r="N152" s="63">
        <f t="shared" ca="1" si="6"/>
        <v>7.1428571428571434E-5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input_321105!A$2</f>
        <v>321105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IFERROR(VLOOKUP(E153,input_321105!L:R,7,FALSE),VLOOKUP(tables_321105!B153,input_321105!A:H,8,FALSE))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input_321105!A$2</f>
        <v>321105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IFERROR(VLOOKUP(E154,input_321105!L:R,7,FALSE),VLOOKUP(tables_321105!B154,input_321105!A:H,8,FALSE))</f>
        <v>182672</v>
      </c>
      <c r="N154" s="63">
        <f t="shared" ca="1" si="6"/>
        <v>1.2263157894736842E-2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input_321105!A$2</f>
        <v>321105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IFERROR(VLOOKUP(E155,input_321105!L:R,7,FALSE),VLOOKUP(tables_321105!B155,input_321105!A:H,8,FALSE))</f>
        <v>12768</v>
      </c>
      <c r="N155" s="63">
        <f t="shared" ca="1" si="6"/>
        <v>8.571428571428571E-4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input_321105!A$2</f>
        <v>321105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IFERROR(VLOOKUP(E156,input_321105!L:R,7,FALSE),VLOOKUP(tables_321105!B156,input_321105!A:H,8,FALSE))</f>
        <v>9576</v>
      </c>
      <c r="N156" s="63">
        <f t="shared" ca="1" si="6"/>
        <v>6.4285714285714282E-4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input_321105!A$2</f>
        <v>321105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IFERROR(VLOOKUP(E157,input_321105!L:R,7,FALSE),VLOOKUP(tables_321105!B157,input_321105!A:H,8,FALSE))</f>
        <v>1064</v>
      </c>
      <c r="N157" s="63">
        <f t="shared" ca="1" si="6"/>
        <v>7.1428571428571434E-5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input_321105!A$2</f>
        <v>321105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IFERROR(VLOOKUP(E158,input_321105!L:R,7,FALSE),VLOOKUP(tables_321105!B158,input_321105!A:H,8,FALSE))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input_321105!A$2</f>
        <v>321105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IFERROR(VLOOKUP(E159,input_321105!L:R,7,FALSE),VLOOKUP(tables_321105!B159,input_321105!A:H,8,FALSE))</f>
        <v>182672</v>
      </c>
      <c r="N159" s="63">
        <f t="shared" ca="1" si="6"/>
        <v>1.2263157894736842E-2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input_321105!A$2</f>
        <v>321105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IFERROR(VLOOKUP(E160,input_321105!L:R,7,FALSE),VLOOKUP(tables_321105!B160,input_321105!A:H,8,FALSE))</f>
        <v>12768</v>
      </c>
      <c r="N160" s="63">
        <f t="shared" ca="1" si="6"/>
        <v>8.571428571428571E-4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input_321105!A$2</f>
        <v>321105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IFERROR(VLOOKUP(E161,input_321105!L:R,7,FALSE),VLOOKUP(tables_321105!B161,input_321105!A:H,8,FALSE))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input_321105!A$2</f>
        <v>321105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IFERROR(VLOOKUP(E162,input_321105!L:R,7,FALSE),VLOOKUP(tables_321105!B162,input_321105!A:H,8,FALSE))</f>
        <v>182672</v>
      </c>
      <c r="N162" s="63">
        <f t="shared" ca="1" si="6"/>
        <v>1.2263157894736842E-2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input_321105!A$2</f>
        <v>321105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IFERROR(VLOOKUP(E163,input_321105!L:R,7,FALSE),VLOOKUP(tables_321105!B163,input_321105!A:H,8,FALSE))</f>
        <v>12768</v>
      </c>
      <c r="N163" s="63">
        <f t="shared" ca="1" si="6"/>
        <v>8.571428571428571E-4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input_321105!A$2</f>
        <v>321105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IFERROR(VLOOKUP(E164,input_321105!L:R,7,FALSE),VLOOKUP(tables_321105!B164,input_321105!A:H,8,FALSE))</f>
        <v>9576</v>
      </c>
      <c r="N164" s="63">
        <f t="shared" ca="1" si="6"/>
        <v>6.4285714285714282E-4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input_321105!A$2</f>
        <v>321105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IFERROR(VLOOKUP(E165,input_321105!L:R,7,FALSE),VLOOKUP(tables_321105!B165,input_321105!A:H,8,FALSE))</f>
        <v>1064</v>
      </c>
      <c r="N165" s="63">
        <f t="shared" ca="1" si="6"/>
        <v>7.1428571428571434E-5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input_321105!A$2</f>
        <v>321105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IFERROR(VLOOKUP(E166,input_321105!L:R,7,FALSE),VLOOKUP(tables_321105!B166,input_321105!A:H,8,FALSE))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input_321105!A$2</f>
        <v>321105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IFERROR(VLOOKUP(E167,input_321105!L:R,7,FALSE),VLOOKUP(tables_321105!B167,input_321105!A:H,8,FALSE))</f>
        <v>182672</v>
      </c>
      <c r="N167" s="63">
        <f t="shared" ca="1" si="6"/>
        <v>1.2263157894736842E-2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input_321105!A$2</f>
        <v>321105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IFERROR(VLOOKUP(E168,input_321105!L:R,7,FALSE),VLOOKUP(tables_321105!B168,input_321105!A:H,8,FALSE))</f>
        <v>12768</v>
      </c>
      <c r="N168" s="63">
        <f t="shared" ca="1" si="6"/>
        <v>8.571428571428571E-4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input_321105!A$2</f>
        <v>321105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IFERROR(VLOOKUP(E169,input_321105!L:R,7,FALSE),VLOOKUP(tables_321105!B169,input_321105!A:H,8,FALSE))</f>
        <v>9576</v>
      </c>
      <c r="N169" s="63">
        <f t="shared" ca="1" si="6"/>
        <v>6.4285714285714282E-4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input_321105!A$2</f>
        <v>321105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IFERROR(VLOOKUP(E170,input_321105!L:R,7,FALSE),VLOOKUP(tables_321105!B170,input_321105!A:H,8,FALSE))</f>
        <v>1064</v>
      </c>
      <c r="N170" s="63">
        <f t="shared" ca="1" si="6"/>
        <v>7.1428571428571434E-5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input_321105!A$2</f>
        <v>321105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IFERROR(VLOOKUP(E171,input_321105!L:R,7,FALSE),VLOOKUP(tables_321105!B171,input_321105!A:H,8,FALSE))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input_321105!A$2</f>
        <v>321105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IFERROR(VLOOKUP(E172,input_321105!L:R,7,FALSE),VLOOKUP(tables_321105!B172,input_321105!A:H,8,FALSE))</f>
        <v>182672</v>
      </c>
      <c r="N172" s="63">
        <f t="shared" ca="1" si="6"/>
        <v>1.2263157894736842E-2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input_321105!A$2</f>
        <v>321105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IFERROR(VLOOKUP(E173,input_321105!L:R,7,FALSE),VLOOKUP(tables_321105!B173,input_321105!A:H,8,FALSE))</f>
        <v>12768</v>
      </c>
      <c r="N173" s="63">
        <f t="shared" ca="1" si="6"/>
        <v>8.571428571428571E-4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input_321105!A$2</f>
        <v>321105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IFERROR(VLOOKUP(E174,input_321105!L:R,7,FALSE),VLOOKUP(tables_321105!B174,input_321105!A:H,8,FALSE))</f>
        <v>9576</v>
      </c>
      <c r="N174" s="63">
        <f t="shared" ca="1" si="6"/>
        <v>6.4285714285714282E-4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input_321105!A$2</f>
        <v>321105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IFERROR(VLOOKUP(E175,input_321105!L:R,7,FALSE),VLOOKUP(tables_321105!B175,input_321105!A:H,8,FALSE))</f>
        <v>1064</v>
      </c>
      <c r="N175" s="63">
        <f t="shared" ca="1" si="6"/>
        <v>7.1428571428571434E-5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input_321105!A$2</f>
        <v>321105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IFERROR(VLOOKUP(E176,input_321105!L:R,7,FALSE),VLOOKUP(tables_321105!B176,input_321105!A:H,8,FALSE))</f>
        <v>9576</v>
      </c>
      <c r="N176" s="63">
        <f t="shared" ca="1" si="6"/>
        <v>6.4285714285714282E-4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input_321105!A$2</f>
        <v>321105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IFERROR(VLOOKUP(E177,input_321105!L:R,7,FALSE),VLOOKUP(tables_321105!B177,input_321105!A:H,8,FALSE))</f>
        <v>1064</v>
      </c>
      <c r="N177" s="63">
        <f t="shared" ca="1" si="6"/>
        <v>7.1428571428571434E-5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input_321105!A$2</f>
        <v>321105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IFERROR(VLOOKUP(E178,input_321105!L:R,7,FALSE),VLOOKUP(tables_321105!B178,input_321105!A:H,8,FALSE))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input_321105!A$2</f>
        <v>321105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IFERROR(VLOOKUP(E179,input_321105!L:R,7,FALSE),VLOOKUP(tables_321105!B179,input_321105!A:H,8,FALSE))</f>
        <v>182672</v>
      </c>
      <c r="N179" s="63">
        <f t="shared" ca="1" si="6"/>
        <v>1.2263157894736842E-2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input_321105!A$2</f>
        <v>321105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IFERROR(VLOOKUP(E180,input_321105!L:R,7,FALSE),VLOOKUP(tables_321105!B180,input_321105!A:H,8,FALSE))</f>
        <v>12768</v>
      </c>
      <c r="N180" s="63">
        <f t="shared" ca="1" si="6"/>
        <v>8.571428571428571E-4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input_321105!A$2</f>
        <v>321105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IFERROR(VLOOKUP(E181,input_321105!L:R,7,FALSE),VLOOKUP(tables_321105!B181,input_321105!A:H,8,FALSE))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input_321105!A$2</f>
        <v>321105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IFERROR(VLOOKUP(E182,input_321105!L:R,7,FALSE),VLOOKUP(tables_321105!B182,input_321105!A:H,8,FALSE))</f>
        <v>182672</v>
      </c>
      <c r="N182" s="63">
        <f t="shared" ca="1" si="6"/>
        <v>1.2263157894736842E-2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input_321105!A$2</f>
        <v>321105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IFERROR(VLOOKUP(E183,input_321105!L:R,7,FALSE),VLOOKUP(tables_321105!B183,input_321105!A:H,8,FALSE))</f>
        <v>12768</v>
      </c>
      <c r="N183" s="63">
        <f t="shared" ca="1" si="6"/>
        <v>8.571428571428571E-4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input_321105!A$2</f>
        <v>321105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IFERROR(VLOOKUP(E184,input_321105!L:R,7,FALSE),VLOOKUP(tables_321105!B184,input_321105!A:H,8,FALSE))</f>
        <v>9576</v>
      </c>
      <c r="N184" s="63">
        <f t="shared" ca="1" si="6"/>
        <v>6.4285714285714282E-4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input_321105!A$2</f>
        <v>321105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IFERROR(VLOOKUP(E185,input_321105!L:R,7,FALSE),VLOOKUP(tables_321105!B185,input_321105!A:H,8,FALSE))</f>
        <v>1064</v>
      </c>
      <c r="N185" s="63">
        <f t="shared" ca="1" si="6"/>
        <v>7.1428571428571434E-5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input_321105!A$2</f>
        <v>321105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IFERROR(VLOOKUP(E186,input_321105!L:R,7,FALSE),VLOOKUP(tables_321105!B186,input_321105!A:H,8,FALSE))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input_321105!A$2</f>
        <v>321105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IFERROR(VLOOKUP(E187,input_321105!L:R,7,FALSE),VLOOKUP(tables_321105!B187,input_321105!A:H,8,FALSE))</f>
        <v>182672</v>
      </c>
      <c r="N187" s="63">
        <f t="shared" ca="1" si="6"/>
        <v>1.2263157894736842E-2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input_321105!A$2</f>
        <v>321105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IFERROR(VLOOKUP(E188,input_321105!L:R,7,FALSE),VLOOKUP(tables_321105!B188,input_321105!A:H,8,FALSE))</f>
        <v>12768</v>
      </c>
      <c r="N188" s="63">
        <f t="shared" ca="1" si="6"/>
        <v>8.571428571428571E-4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input_321105!A$2</f>
        <v>321105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IFERROR(VLOOKUP(E189,input_321105!L:R,7,FALSE),VLOOKUP(tables_321105!B189,input_321105!A:H,8,FALSE))</f>
        <v>9576</v>
      </c>
      <c r="N189" s="63">
        <f t="shared" ca="1" si="6"/>
        <v>6.4285714285714282E-4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input_321105!A$2</f>
        <v>321105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IFERROR(VLOOKUP(E190,input_321105!L:R,7,FALSE),VLOOKUP(tables_321105!B190,input_321105!A:H,8,FALSE))</f>
        <v>1064</v>
      </c>
      <c r="N190" s="63">
        <f t="shared" ca="1" si="6"/>
        <v>7.1428571428571434E-5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input_321105!A$2</f>
        <v>321105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IFERROR(VLOOKUP(E191,input_321105!L:R,7,FALSE),VLOOKUP(tables_321105!B191,input_321105!A:H,8,FALSE))</f>
        <v>9576</v>
      </c>
      <c r="N191" s="63">
        <f t="shared" ca="1" si="6"/>
        <v>6.4285714285714282E-4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input_321105!A$2</f>
        <v>321105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IFERROR(VLOOKUP(E192,input_321105!L:R,7,FALSE),VLOOKUP(tables_321105!B192,input_321105!A:H,8,FALSE))</f>
        <v>1064</v>
      </c>
      <c r="N192" s="63">
        <f t="shared" ca="1" si="6"/>
        <v>7.1428571428571434E-5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input_321105!A$2</f>
        <v>321105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IFERROR(VLOOKUP(E193,input_321105!L:R,7,FALSE),VLOOKUP(tables_321105!B193,input_321105!A:H,8,FALSE))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input_321105!A$2</f>
        <v>321105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IFERROR(VLOOKUP(E194,input_321105!L:R,7,FALSE),VLOOKUP(tables_321105!B194,input_321105!A:H,8,FALSE))</f>
        <v>182672</v>
      </c>
      <c r="N194" s="63">
        <f t="shared" ref="N194:N257" ca="1" si="9">M194/SUM(M:M)</f>
        <v>1.2263157894736842E-2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input_321105!A$2</f>
        <v>321105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IFERROR(VLOOKUP(E195,input_321105!L:R,7,FALSE),VLOOKUP(tables_321105!B195,input_321105!A:H,8,FALSE))</f>
        <v>12768</v>
      </c>
      <c r="N195" s="63">
        <f t="shared" ca="1" si="9"/>
        <v>8.571428571428571E-4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input_321105!A$2</f>
        <v>321105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IFERROR(VLOOKUP(E196,input_321105!L:R,7,FALSE),VLOOKUP(tables_321105!B196,input_321105!A:H,8,FALSE))</f>
        <v>9576</v>
      </c>
      <c r="N196" s="63">
        <f t="shared" ca="1" si="9"/>
        <v>6.4285714285714282E-4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input_321105!A$2</f>
        <v>321105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IFERROR(VLOOKUP(E197,input_321105!L:R,7,FALSE),VLOOKUP(tables_321105!B197,input_321105!A:H,8,FALSE))</f>
        <v>1064</v>
      </c>
      <c r="N197" s="63">
        <f t="shared" ca="1" si="9"/>
        <v>7.1428571428571434E-5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input_321105!A$2</f>
        <v>321105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IFERROR(VLOOKUP(E198,input_321105!L:R,7,FALSE),VLOOKUP(tables_321105!B198,input_321105!A:H,8,FALSE))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input_321105!A$2</f>
        <v>321105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IFERROR(VLOOKUP(E199,input_321105!L:R,7,FALSE),VLOOKUP(tables_321105!B199,input_321105!A:H,8,FALSE))</f>
        <v>182672</v>
      </c>
      <c r="N199" s="63">
        <f t="shared" ca="1" si="9"/>
        <v>1.2263157894736842E-2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input_321105!A$2</f>
        <v>321105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IFERROR(VLOOKUP(E200,input_321105!L:R,7,FALSE),VLOOKUP(tables_321105!B200,input_321105!A:H,8,FALSE))</f>
        <v>12768</v>
      </c>
      <c r="N200" s="63">
        <f t="shared" ca="1" si="9"/>
        <v>8.571428571428571E-4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input_321105!A$2</f>
        <v>321105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IFERROR(VLOOKUP(E201,input_321105!L:R,7,FALSE),VLOOKUP(tables_321105!B201,input_321105!A:H,8,FALSE))</f>
        <v>9576</v>
      </c>
      <c r="N201" s="63">
        <f t="shared" ca="1" si="9"/>
        <v>6.4285714285714282E-4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input_321105!A$2</f>
        <v>321105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IFERROR(VLOOKUP(E202,input_321105!L:R,7,FALSE),VLOOKUP(tables_321105!B202,input_321105!A:H,8,FALSE))</f>
        <v>1064</v>
      </c>
      <c r="N202" s="63">
        <f t="shared" ca="1" si="9"/>
        <v>7.1428571428571434E-5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input_321105!A$2</f>
        <v>321105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IFERROR(VLOOKUP(E203,input_321105!L:R,7,FALSE),VLOOKUP(tables_321105!B203,input_321105!A:H,8,FALSE))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input_321105!A$2</f>
        <v>321105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IFERROR(VLOOKUP(E204,input_321105!L:R,7,FALSE),VLOOKUP(tables_321105!B204,input_321105!A:H,8,FALSE))</f>
        <v>182672</v>
      </c>
      <c r="N204" s="63">
        <f t="shared" ca="1" si="9"/>
        <v>1.2263157894736842E-2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input_321105!A$2</f>
        <v>321105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IFERROR(VLOOKUP(E205,input_321105!L:R,7,FALSE),VLOOKUP(tables_321105!B205,input_321105!A:H,8,FALSE))</f>
        <v>12768</v>
      </c>
      <c r="N205" s="63">
        <f t="shared" ca="1" si="9"/>
        <v>8.571428571428571E-4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input_321105!A$2</f>
        <v>321105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IFERROR(VLOOKUP(E206,input_321105!L:R,7,FALSE),VLOOKUP(tables_321105!B206,input_321105!A:H,8,FALSE))</f>
        <v>9576</v>
      </c>
      <c r="N206" s="63">
        <f t="shared" ca="1" si="9"/>
        <v>6.4285714285714282E-4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input_321105!A$2</f>
        <v>321105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IFERROR(VLOOKUP(E207,input_321105!L:R,7,FALSE),VLOOKUP(tables_321105!B207,input_321105!A:H,8,FALSE))</f>
        <v>1064</v>
      </c>
      <c r="N207" s="63">
        <f t="shared" ca="1" si="9"/>
        <v>7.1428571428571434E-5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input_321105!A$2</f>
        <v>321105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IFERROR(VLOOKUP(E208,input_321105!L:R,7,FALSE),VLOOKUP(tables_321105!B208,input_321105!A:H,8,FALSE))</f>
        <v>9576</v>
      </c>
      <c r="N208" s="63">
        <f t="shared" ca="1" si="9"/>
        <v>6.4285714285714282E-4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input_321105!A$2</f>
        <v>321105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IFERROR(VLOOKUP(E209,input_321105!L:R,7,FALSE),VLOOKUP(tables_321105!B209,input_321105!A:H,8,FALSE))</f>
        <v>1064</v>
      </c>
      <c r="N209" s="63">
        <f t="shared" ca="1" si="9"/>
        <v>7.1428571428571434E-5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input_321105!A$2</f>
        <v>321105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IFERROR(VLOOKUP(E210,input_321105!L:R,7,FALSE),VLOOKUP(tables_321105!B210,input_321105!A:H,8,FALSE))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input_321105!A$2</f>
        <v>321105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IFERROR(VLOOKUP(E211,input_321105!L:R,7,FALSE),VLOOKUP(tables_321105!B211,input_321105!A:H,8,FALSE))</f>
        <v>182672</v>
      </c>
      <c r="N211" s="63">
        <f t="shared" ca="1" si="9"/>
        <v>1.2263157894736842E-2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input_321105!A$2</f>
        <v>321105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IFERROR(VLOOKUP(E212,input_321105!L:R,7,FALSE),VLOOKUP(tables_321105!B212,input_321105!A:H,8,FALSE))</f>
        <v>12768</v>
      </c>
      <c r="N212" s="63">
        <f t="shared" ca="1" si="9"/>
        <v>8.571428571428571E-4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input_321105!A$2</f>
        <v>321105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IFERROR(VLOOKUP(E213,input_321105!L:R,7,FALSE),VLOOKUP(tables_321105!B213,input_321105!A:H,8,FALSE))</f>
        <v>9576</v>
      </c>
      <c r="N213" s="63">
        <f t="shared" ca="1" si="9"/>
        <v>6.4285714285714282E-4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input_321105!A$2</f>
        <v>321105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IFERROR(VLOOKUP(E214,input_321105!L:R,7,FALSE),VLOOKUP(tables_321105!B214,input_321105!A:H,8,FALSE))</f>
        <v>1064</v>
      </c>
      <c r="N214" s="63">
        <f t="shared" ca="1" si="9"/>
        <v>7.1428571428571434E-5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input_321105!A$2</f>
        <v>321105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IFERROR(VLOOKUP(E215,input_321105!L:R,7,FALSE),VLOOKUP(tables_321105!B215,input_321105!A:H,8,FALSE))</f>
        <v>9576</v>
      </c>
      <c r="N215" s="63">
        <f t="shared" ca="1" si="9"/>
        <v>6.4285714285714282E-4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input_321105!A$2</f>
        <v>321105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IFERROR(VLOOKUP(E216,input_321105!L:R,7,FALSE),VLOOKUP(tables_321105!B216,input_321105!A:H,8,FALSE))</f>
        <v>1064</v>
      </c>
      <c r="N216" s="63">
        <f t="shared" ca="1" si="9"/>
        <v>7.1428571428571434E-5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input_321105!A$2</f>
        <v>321105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IFERROR(VLOOKUP(E217,input_321105!L:R,7,FALSE),VLOOKUP(tables_321105!B217,input_321105!A:H,8,FALSE))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input_321105!A$2</f>
        <v>321105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IFERROR(VLOOKUP(E218,input_321105!L:R,7,FALSE),VLOOKUP(tables_321105!B218,input_321105!A:H,8,FALSE))</f>
        <v>182672</v>
      </c>
      <c r="N218" s="63">
        <f t="shared" ca="1" si="9"/>
        <v>1.2263157894736842E-2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input_321105!A$2</f>
        <v>321105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IFERROR(VLOOKUP(E219,input_321105!L:R,7,FALSE),VLOOKUP(tables_321105!B219,input_321105!A:H,8,FALSE))</f>
        <v>12768</v>
      </c>
      <c r="N219" s="63">
        <f t="shared" ca="1" si="9"/>
        <v>8.571428571428571E-4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input_321105!A$2</f>
        <v>321105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IFERROR(VLOOKUP(E220,input_321105!L:R,7,FALSE),VLOOKUP(tables_321105!B220,input_321105!A:H,8,FALSE))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input_321105!A$2</f>
        <v>321105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IFERROR(VLOOKUP(E221,input_321105!L:R,7,FALSE),VLOOKUP(tables_321105!B221,input_321105!A:H,8,FALSE))</f>
        <v>182672</v>
      </c>
      <c r="N221" s="63">
        <f t="shared" ca="1" si="9"/>
        <v>1.2263157894736842E-2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input_321105!A$2</f>
        <v>321105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IFERROR(VLOOKUP(E222,input_321105!L:R,7,FALSE),VLOOKUP(tables_321105!B222,input_321105!A:H,8,FALSE))</f>
        <v>12768</v>
      </c>
      <c r="N222" s="63">
        <f t="shared" ca="1" si="9"/>
        <v>8.571428571428571E-4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input_321105!A$2</f>
        <v>321105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IFERROR(VLOOKUP(E223,input_321105!L:R,7,FALSE),VLOOKUP(tables_321105!B223,input_321105!A:H,8,FALSE))</f>
        <v>9576</v>
      </c>
      <c r="N223" s="63">
        <f t="shared" ca="1" si="9"/>
        <v>6.4285714285714282E-4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input_321105!A$2</f>
        <v>321105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IFERROR(VLOOKUP(E224,input_321105!L:R,7,FALSE),VLOOKUP(tables_321105!B224,input_321105!A:H,8,FALSE))</f>
        <v>1064</v>
      </c>
      <c r="N224" s="63">
        <f t="shared" ca="1" si="9"/>
        <v>7.1428571428571434E-5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input_321105!A$2</f>
        <v>321105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IFERROR(VLOOKUP(E225,input_321105!L:R,7,FALSE),VLOOKUP(tables_321105!B225,input_321105!A:H,8,FALSE))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input_321105!A$2</f>
        <v>321105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IFERROR(VLOOKUP(E226,input_321105!L:R,7,FALSE),VLOOKUP(tables_321105!B226,input_321105!A:H,8,FALSE))</f>
        <v>182672</v>
      </c>
      <c r="N226" s="63">
        <f t="shared" ca="1" si="9"/>
        <v>1.2263157894736842E-2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input_321105!A$2</f>
        <v>321105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IFERROR(VLOOKUP(E227,input_321105!L:R,7,FALSE),VLOOKUP(tables_321105!B227,input_321105!A:H,8,FALSE))</f>
        <v>12768</v>
      </c>
      <c r="N227" s="63">
        <f t="shared" ca="1" si="9"/>
        <v>8.571428571428571E-4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input_321105!A$2</f>
        <v>321105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IFERROR(VLOOKUP(E228,input_321105!L:R,7,FALSE),VLOOKUP(tables_321105!B228,input_321105!A:H,8,FALSE))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input_321105!A$2</f>
        <v>321105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IFERROR(VLOOKUP(E229,input_321105!L:R,7,FALSE),VLOOKUP(tables_321105!B229,input_321105!A:H,8,FALSE))</f>
        <v>182672</v>
      </c>
      <c r="N229" s="63">
        <f t="shared" ca="1" si="9"/>
        <v>1.2263157894736842E-2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input_321105!A$2</f>
        <v>321105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IFERROR(VLOOKUP(E230,input_321105!L:R,7,FALSE),VLOOKUP(tables_321105!B230,input_321105!A:H,8,FALSE))</f>
        <v>12768</v>
      </c>
      <c r="N230" s="63">
        <f t="shared" ca="1" si="9"/>
        <v>8.571428571428571E-4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input_321105!A$2</f>
        <v>321105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IFERROR(VLOOKUP(E231,input_321105!L:R,7,FALSE),VLOOKUP(tables_321105!B231,input_321105!A:H,8,FALSE))</f>
        <v>9576</v>
      </c>
      <c r="N231" s="63">
        <f t="shared" ca="1" si="9"/>
        <v>6.4285714285714282E-4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input_321105!A$2</f>
        <v>321105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IFERROR(VLOOKUP(E232,input_321105!L:R,7,FALSE),VLOOKUP(tables_321105!B232,input_321105!A:H,8,FALSE))</f>
        <v>1064</v>
      </c>
      <c r="N232" s="63">
        <f t="shared" ca="1" si="9"/>
        <v>7.1428571428571434E-5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input_321105!A$2</f>
        <v>321105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IFERROR(VLOOKUP(E233,input_321105!L:R,7,FALSE),VLOOKUP(tables_321105!B233,input_321105!A:H,8,FALSE))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input_321105!A$2</f>
        <v>321105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IFERROR(VLOOKUP(E234,input_321105!L:R,7,FALSE),VLOOKUP(tables_321105!B234,input_321105!A:H,8,FALSE))</f>
        <v>182672</v>
      </c>
      <c r="N234" s="63">
        <f t="shared" ca="1" si="9"/>
        <v>1.2263157894736842E-2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input_321105!A$2</f>
        <v>321105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IFERROR(VLOOKUP(E235,input_321105!L:R,7,FALSE),VLOOKUP(tables_321105!B235,input_321105!A:H,8,FALSE))</f>
        <v>12768</v>
      </c>
      <c r="N235" s="63">
        <f t="shared" ca="1" si="9"/>
        <v>8.571428571428571E-4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input_321105!A$2</f>
        <v>321105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IFERROR(VLOOKUP(E236,input_321105!L:R,7,FALSE),VLOOKUP(tables_321105!B236,input_321105!A:H,8,FALSE))</f>
        <v>9576</v>
      </c>
      <c r="N236" s="63">
        <f t="shared" ca="1" si="9"/>
        <v>6.4285714285714282E-4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input_321105!A$2</f>
        <v>321105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IFERROR(VLOOKUP(E237,input_321105!L:R,7,FALSE),VLOOKUP(tables_321105!B237,input_321105!A:H,8,FALSE))</f>
        <v>1064</v>
      </c>
      <c r="N237" s="63">
        <f t="shared" ca="1" si="9"/>
        <v>7.1428571428571434E-5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input_321105!A$2</f>
        <v>321105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IFERROR(VLOOKUP(E238,input_321105!L:R,7,FALSE),VLOOKUP(tables_321105!B238,input_321105!A:H,8,FALSE))</f>
        <v>9576</v>
      </c>
      <c r="N238" s="63">
        <f t="shared" ca="1" si="9"/>
        <v>6.4285714285714282E-4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input_321105!A$2</f>
        <v>321105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IFERROR(VLOOKUP(E239,input_321105!L:R,7,FALSE),VLOOKUP(tables_321105!B239,input_321105!A:H,8,FALSE))</f>
        <v>1064</v>
      </c>
      <c r="N239" s="63">
        <f t="shared" ca="1" si="9"/>
        <v>7.1428571428571434E-5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input_321105!A$2</f>
        <v>321105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IFERROR(VLOOKUP(E240,input_321105!L:R,7,FALSE),VLOOKUP(tables_321105!B240,input_321105!A:H,8,FALSE))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input_321105!A$2</f>
        <v>321105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IFERROR(VLOOKUP(E241,input_321105!L:R,7,FALSE),VLOOKUP(tables_321105!B241,input_321105!A:H,8,FALSE))</f>
        <v>182672</v>
      </c>
      <c r="N241" s="63">
        <f t="shared" ca="1" si="9"/>
        <v>1.2263157894736842E-2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input_321105!A$2</f>
        <v>321105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IFERROR(VLOOKUP(E242,input_321105!L:R,7,FALSE),VLOOKUP(tables_321105!B242,input_321105!A:H,8,FALSE))</f>
        <v>12768</v>
      </c>
      <c r="N242" s="63">
        <f t="shared" ca="1" si="9"/>
        <v>8.571428571428571E-4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input_321105!A$2</f>
        <v>321105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IFERROR(VLOOKUP(E243,input_321105!L:R,7,FALSE),VLOOKUP(tables_321105!B243,input_321105!A:H,8,FALSE))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input_321105!A$2</f>
        <v>321105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IFERROR(VLOOKUP(E244,input_321105!L:R,7,FALSE),VLOOKUP(tables_321105!B244,input_321105!A:H,8,FALSE))</f>
        <v>182672</v>
      </c>
      <c r="N244" s="63">
        <f t="shared" ca="1" si="9"/>
        <v>1.2263157894736842E-2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input_321105!A$2</f>
        <v>321105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IFERROR(VLOOKUP(E245,input_321105!L:R,7,FALSE),VLOOKUP(tables_321105!B245,input_321105!A:H,8,FALSE))</f>
        <v>12768</v>
      </c>
      <c r="N245" s="63">
        <f t="shared" ca="1" si="9"/>
        <v>8.571428571428571E-4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input_321105!A$2</f>
        <v>321105</v>
      </c>
      <c r="B246" s="7" t="str">
        <f t="shared" si="10"/>
        <v>Premium3</v>
      </c>
      <c r="C246" s="7" t="str">
        <f t="shared" si="11"/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IFERROR(VLOOKUP(E246,input_321105!L:R,7,FALSE),VLOOKUP(tables_321105!B246,input_321105!A:H,8,FALSE))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input_321105!A$2</f>
        <v>321105</v>
      </c>
      <c r="B247" s="7" t="str">
        <f t="shared" si="10"/>
        <v>Premium4</v>
      </c>
      <c r="C247" s="7" t="str">
        <f t="shared" si="11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IFERROR(VLOOKUP(E247,input_321105!L:R,7,FALSE),VLOOKUP(tables_321105!B247,input_321105!A:H,8,FALSE))</f>
        <v>182672</v>
      </c>
      <c r="N247" s="63">
        <f t="shared" ca="1" si="9"/>
        <v>1.2263157894736842E-2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input_321105!A$2</f>
        <v>321105</v>
      </c>
      <c r="B248" s="7" t="str">
        <f t="shared" si="10"/>
        <v>Premium5</v>
      </c>
      <c r="C248" s="7" t="str">
        <f t="shared" si="11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IFERROR(VLOOKUP(E248,input_321105!L:R,7,FALSE),VLOOKUP(tables_321105!B248,input_321105!A:H,8,FALSE))</f>
        <v>12768</v>
      </c>
      <c r="N248" s="63">
        <f t="shared" ca="1" si="9"/>
        <v>8.571428571428571E-4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input_321105!A$2</f>
        <v>321105</v>
      </c>
      <c r="B249" s="7" t="str">
        <f t="shared" si="10"/>
        <v>Premium3</v>
      </c>
      <c r="C249" s="7" t="str">
        <f t="shared" si="11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IFERROR(VLOOKUP(E249,input_321105!L:R,7,FALSE),VLOOKUP(tables_321105!B249,input_321105!A:H,8,FALSE))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input_321105!A$2</f>
        <v>321105</v>
      </c>
      <c r="B250" s="7" t="str">
        <f t="shared" si="10"/>
        <v>Premium4</v>
      </c>
      <c r="C250" s="7" t="str">
        <f t="shared" si="11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IFERROR(VLOOKUP(E250,input_321105!L:R,7,FALSE),VLOOKUP(tables_321105!B250,input_321105!A:H,8,FALSE))</f>
        <v>182672</v>
      </c>
      <c r="N250" s="63">
        <f t="shared" ca="1" si="9"/>
        <v>1.2263157894736842E-2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input_321105!A$2</f>
        <v>321105</v>
      </c>
      <c r="B251" s="7" t="str">
        <f t="shared" si="10"/>
        <v>Premium5</v>
      </c>
      <c r="C251" s="7" t="str">
        <f t="shared" si="11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IFERROR(VLOOKUP(E251,input_321105!L:R,7,FALSE),VLOOKUP(tables_321105!B251,input_321105!A:H,8,FALSE))</f>
        <v>12768</v>
      </c>
      <c r="N251" s="63">
        <f t="shared" ca="1" si="9"/>
        <v>8.571428571428571E-4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input_321105!A$2</f>
        <v>321105</v>
      </c>
      <c r="B252" s="7" t="str">
        <f t="shared" si="10"/>
        <v>PremiumSS4</v>
      </c>
      <c r="C252" s="7" t="str">
        <f t="shared" si="11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IFERROR(VLOOKUP(E252,input_321105!L:R,7,FALSE),VLOOKUP(tables_321105!B252,input_321105!A:H,8,FALSE))</f>
        <v>9576</v>
      </c>
      <c r="N252" s="63">
        <f t="shared" ca="1" si="9"/>
        <v>6.4285714285714282E-4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input_321105!A$2</f>
        <v>321105</v>
      </c>
      <c r="B253" s="7" t="str">
        <f t="shared" si="10"/>
        <v>PremiumSS5</v>
      </c>
      <c r="C253" s="7" t="str">
        <f t="shared" si="11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IFERROR(VLOOKUP(E253,input_321105!L:R,7,FALSE),VLOOKUP(tables_321105!B253,input_321105!A:H,8,FALSE))</f>
        <v>1064</v>
      </c>
      <c r="N253" s="63">
        <f t="shared" ca="1" si="9"/>
        <v>7.1428571428571434E-5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input_321105!A$2</f>
        <v>321105</v>
      </c>
      <c r="B254" s="7" t="str">
        <f t="shared" si="10"/>
        <v>PremiumSS4</v>
      </c>
      <c r="C254" s="7" t="str">
        <f t="shared" si="11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IFERROR(VLOOKUP(E254,input_321105!L:R,7,FALSE),VLOOKUP(tables_321105!B254,input_321105!A:H,8,FALSE))</f>
        <v>9576</v>
      </c>
      <c r="N254" s="63">
        <f t="shared" ca="1" si="9"/>
        <v>6.4285714285714282E-4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input_321105!A$2</f>
        <v>321105</v>
      </c>
      <c r="B255" s="7" t="str">
        <f t="shared" si="10"/>
        <v>PremiumSS5</v>
      </c>
      <c r="C255" s="7" t="str">
        <f t="shared" si="11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IFERROR(VLOOKUP(E255,input_321105!L:R,7,FALSE),VLOOKUP(tables_321105!B255,input_321105!A:H,8,FALSE))</f>
        <v>1064</v>
      </c>
      <c r="N255" s="63">
        <f t="shared" ca="1" si="9"/>
        <v>7.1428571428571434E-5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input_321105!A$2</f>
        <v>321105</v>
      </c>
      <c r="B256" s="7" t="str">
        <f t="shared" si="10"/>
        <v>PremiumSS4</v>
      </c>
      <c r="C256" s="7" t="str">
        <f t="shared" si="11"/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IFERROR(VLOOKUP(E256,input_321105!L:R,7,FALSE),VLOOKUP(tables_321105!B256,input_321105!A:H,8,FALSE))</f>
        <v>9576</v>
      </c>
      <c r="N256" s="63">
        <f t="shared" ca="1" si="9"/>
        <v>6.4285714285714282E-4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input_321105!A$2</f>
        <v>321105</v>
      </c>
      <c r="B257" s="7" t="str">
        <f t="shared" si="10"/>
        <v>PremiumSS5</v>
      </c>
      <c r="C257" s="7" t="str">
        <f t="shared" si="11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IFERROR(VLOOKUP(E257,input_321105!L:R,7,FALSE),VLOOKUP(tables_321105!B257,input_321105!A:H,8,FALSE))</f>
        <v>1064</v>
      </c>
      <c r="N257" s="63">
        <f t="shared" ca="1" si="9"/>
        <v>7.1428571428571434E-5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input_321105!A$2</f>
        <v>321105</v>
      </c>
      <c r="B258" s="7" t="str">
        <f t="shared" si="10"/>
        <v>PremiumSS4</v>
      </c>
      <c r="C258" s="7" t="str">
        <f t="shared" si="11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IFERROR(VLOOKUP(E258,input_321105!L:R,7,FALSE),VLOOKUP(tables_321105!B258,input_321105!A:H,8,FALSE))</f>
        <v>9576</v>
      </c>
      <c r="N258" s="63">
        <f t="shared" ref="N258:N265" ca="1" si="12">M258/SUM(M:M)</f>
        <v>6.4285714285714282E-4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input_321105!A$2</f>
        <v>321105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IFERROR(VLOOKUP(E259,input_321105!L:R,7,FALSE),VLOOKUP(tables_321105!B259,input_321105!A:H,8,FALSE))</f>
        <v>1064</v>
      </c>
      <c r="N259" s="63">
        <f t="shared" ca="1" si="12"/>
        <v>7.1428571428571434E-5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input_321105!A$2</f>
        <v>321105</v>
      </c>
      <c r="B260" s="7" t="str">
        <f t="shared" si="13"/>
        <v>Premium3</v>
      </c>
      <c r="C260" s="7" t="str">
        <f t="shared" si="14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IFERROR(VLOOKUP(E260,input_321105!L:R,7,FALSE),VLOOKUP(tables_321105!B260,input_321105!A:H,8,FALSE))</f>
        <v>0</v>
      </c>
      <c r="N260" s="63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input_321105!A$2</f>
        <v>321105</v>
      </c>
      <c r="B261" s="7" t="str">
        <f t="shared" si="13"/>
        <v>Premium4</v>
      </c>
      <c r="C261" s="7" t="str">
        <f t="shared" si="14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IFERROR(VLOOKUP(E261,input_321105!L:R,7,FALSE),VLOOKUP(tables_321105!B261,input_321105!A:H,8,FALSE))</f>
        <v>182672</v>
      </c>
      <c r="N261" s="63">
        <f t="shared" ca="1" si="12"/>
        <v>1.2263157894736842E-2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input_321105!A$2</f>
        <v>321105</v>
      </c>
      <c r="B262" s="7" t="str">
        <f t="shared" si="13"/>
        <v>Premium5</v>
      </c>
      <c r="C262" s="7" t="str">
        <f t="shared" si="14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IFERROR(VLOOKUP(E262,input_321105!L:R,7,FALSE),VLOOKUP(tables_321105!B262,input_321105!A:H,8,FALSE))</f>
        <v>12768</v>
      </c>
      <c r="N262" s="63">
        <f t="shared" ca="1" si="12"/>
        <v>8.571428571428571E-4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input_321105!A$2</f>
        <v>321105</v>
      </c>
      <c r="B263" s="7" t="str">
        <f t="shared" si="13"/>
        <v>Premium3</v>
      </c>
      <c r="C263" s="7" t="str">
        <f t="shared" si="14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IFERROR(VLOOKUP(E263,input_321105!L:R,7,FALSE),VLOOKUP(tables_321105!B263,input_321105!A:H,8,FALSE))</f>
        <v>0</v>
      </c>
      <c r="N263" s="63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input_321105!A$2</f>
        <v>321105</v>
      </c>
      <c r="B264" s="7" t="str">
        <f t="shared" si="13"/>
        <v>Premium4</v>
      </c>
      <c r="C264" s="7" t="str">
        <f t="shared" si="14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IFERROR(VLOOKUP(E264,input_321105!L:R,7,FALSE),VLOOKUP(tables_321105!B264,input_321105!A:H,8,FALSE))</f>
        <v>182672</v>
      </c>
      <c r="N264" s="63">
        <f t="shared" ca="1" si="12"/>
        <v>1.2263157894736842E-2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input_321105!A$2</f>
        <v>321105</v>
      </c>
      <c r="B265" s="7" t="str">
        <f t="shared" si="13"/>
        <v>Premium5</v>
      </c>
      <c r="C265" s="7" t="str">
        <f t="shared" si="14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IFERROR(VLOOKUP(E265,input_321105!L:R,7,FALSE),VLOOKUP(tables_321105!B265,input_321105!A:H,8,FALSE))</f>
        <v>12768</v>
      </c>
      <c r="N265" s="63">
        <f t="shared" ca="1" si="12"/>
        <v>8.571428571428571E-4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R43"/>
  <sheetViews>
    <sheetView workbookViewId="0">
      <selection activeCell="E17" sqref="E17:E23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321105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4"/>
      <c r="M3" s="53" t="e">
        <f>VLOOKUP(L3,[1]characters!$A:$C,3,FALSE)</f>
        <v>#N/A</v>
      </c>
      <c r="N3" s="51"/>
      <c r="O3" s="53" t="e">
        <f>VLOOKUP(L3,[1]characters!$A:$I,9,FALSE)</f>
        <v>#N/A</v>
      </c>
      <c r="P3" s="53" t="e">
        <f>VLOOKUP(L3,[1]characters!$A:$J,10,FALSE)</f>
        <v>#N/A</v>
      </c>
      <c r="Q3" s="53" t="e">
        <f>P3&amp;O3</f>
        <v>#N/A</v>
      </c>
      <c r="R3">
        <f t="shared" ref="R3:R12" si="0">N3*A$32</f>
        <v>0</v>
      </c>
    </row>
    <row r="4" spans="1:18">
      <c r="A4" s="49" t="s">
        <v>67</v>
      </c>
      <c r="B4" s="49"/>
      <c r="L4" s="84"/>
      <c r="M4" s="53" t="e">
        <f>VLOOKUP(L4,[1]characters!$A:$C,3,FALSE)</f>
        <v>#N/A</v>
      </c>
      <c r="N4" s="51"/>
      <c r="O4" s="53" t="e">
        <f>VLOOKUP(L4,[1]characters!$A:$I,9,FALSE)</f>
        <v>#N/A</v>
      </c>
      <c r="P4" s="53" t="e">
        <f>VLOOKUP(L4,[1]characters!$A:$J,10,FALSE)</f>
        <v>#N/A</v>
      </c>
      <c r="Q4" s="53" t="e">
        <f>P4&amp;O4</f>
        <v>#N/A</v>
      </c>
      <c r="R4">
        <f t="shared" si="0"/>
        <v>0</v>
      </c>
    </row>
    <row r="5" spans="1:18">
      <c r="A5" s="47" t="s">
        <v>84</v>
      </c>
      <c r="B5" s="48">
        <f>1-B6-B7</f>
        <v>-4.9999999999999961E-2</v>
      </c>
      <c r="L5" s="84"/>
      <c r="M5" s="53" t="e">
        <f>VLOOKUP(L5,[1]characters!$A:$C,3,FALSE)</f>
        <v>#N/A</v>
      </c>
      <c r="N5" s="51"/>
      <c r="O5" s="53" t="e">
        <f>VLOOKUP(L5,[1]characters!$A:$I,9,FALSE)</f>
        <v>#N/A</v>
      </c>
      <c r="P5" s="53" t="e">
        <f>VLOOKUP(L5,[1]characters!$A:$J,10,FALSE)</f>
        <v>#N/A</v>
      </c>
      <c r="Q5" s="53" t="e">
        <f t="shared" ref="Q5:Q6" si="1">P5&amp;O5</f>
        <v>#N/A</v>
      </c>
      <c r="R5">
        <f t="shared" si="0"/>
        <v>0</v>
      </c>
    </row>
    <row r="6" spans="1:18">
      <c r="A6" s="47" t="s">
        <v>85</v>
      </c>
      <c r="B6" s="48">
        <v>0.95</v>
      </c>
      <c r="L6" s="84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86</v>
      </c>
      <c r="B7" s="48">
        <v>0.1</v>
      </c>
      <c r="L7" s="84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84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68</v>
      </c>
      <c r="B9" s="50"/>
      <c r="L9" s="84"/>
      <c r="M9" s="53" t="e">
        <f>VLOOKUP(L9,[1]characters!$A:$C,3,FALSE)</f>
        <v>#N/A</v>
      </c>
      <c r="N9" s="86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114</v>
      </c>
      <c r="B10" s="48">
        <f>1-B11-B12</f>
        <v>0</v>
      </c>
      <c r="L10" s="84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70</v>
      </c>
      <c r="B11" s="88">
        <v>1</v>
      </c>
      <c r="L11" s="84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69</v>
      </c>
      <c r="B12" s="48">
        <v>0</v>
      </c>
      <c r="L12" s="84"/>
      <c r="M12" s="53" t="e">
        <f>VLOOKUP(L12,[1]characters!$A:$C,3,FALSE)</f>
        <v>#N/A</v>
      </c>
      <c r="N12" s="86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6"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v>76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6">
        <v>0</v>
      </c>
      <c r="C18" s="65">
        <f t="shared" si="3"/>
        <v>0</v>
      </c>
      <c r="D18" s="58">
        <f t="shared" si="4"/>
        <v>0</v>
      </c>
      <c r="E18">
        <v>76</v>
      </c>
      <c r="F18" s="60">
        <f t="shared" si="5"/>
        <v>0</v>
      </c>
      <c r="G18">
        <f t="shared" si="6"/>
        <v>0</v>
      </c>
      <c r="H18">
        <f t="shared" si="7"/>
        <v>0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f>B11*0.9</f>
        <v>0.9</v>
      </c>
      <c r="C19" s="65">
        <f t="shared" si="3"/>
        <v>0</v>
      </c>
      <c r="D19" s="58">
        <f t="shared" si="4"/>
        <v>0.9</v>
      </c>
      <c r="E19">
        <v>28</v>
      </c>
      <c r="F19" s="60">
        <f t="shared" si="5"/>
        <v>3.2142857142857147E-2</v>
      </c>
      <c r="G19">
        <f t="shared" si="6"/>
        <v>13406400</v>
      </c>
      <c r="H19">
        <f t="shared" si="7"/>
        <v>478800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0</v>
      </c>
      <c r="C21" s="65">
        <f t="shared" si="3"/>
        <v>0</v>
      </c>
      <c r="D21" s="58">
        <f t="shared" si="4"/>
        <v>0</v>
      </c>
      <c r="E21">
        <v>56</v>
      </c>
      <c r="F21" s="60">
        <f t="shared" si="5"/>
        <v>0</v>
      </c>
      <c r="G21">
        <f t="shared" si="6"/>
        <v>0</v>
      </c>
      <c r="H21">
        <f t="shared" si="7"/>
        <v>0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f>B11*0.1</f>
        <v>0.1</v>
      </c>
      <c r="C22" s="65">
        <f t="shared" si="3"/>
        <v>0</v>
      </c>
      <c r="D22" s="58">
        <f t="shared" si="4"/>
        <v>0.1</v>
      </c>
      <c r="E22">
        <v>28</v>
      </c>
      <c r="F22" s="60">
        <f t="shared" si="5"/>
        <v>3.5714285714285718E-3</v>
      </c>
      <c r="G22">
        <f t="shared" si="6"/>
        <v>1489600</v>
      </c>
      <c r="H22">
        <f t="shared" si="7"/>
        <v>53200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0</v>
      </c>
      <c r="D24" s="59">
        <f t="shared" si="4"/>
        <v>1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28*56*76*125</f>
        <v>14896000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SUMIF(tables_settle_321105!B:B,input_settle_321105!A36,tables_settle_321105!M:M)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SUMIF(tables_settle_321105!B:B,input_settle_321105!A37,tables_settle_321105!M:M)</f>
        <v>0</v>
      </c>
      <c r="C37" s="72">
        <f t="shared" ca="1" si="10"/>
        <v>0</v>
      </c>
      <c r="E37">
        <v>4</v>
      </c>
      <c r="F37" s="73">
        <f ca="1">SUM(C37:C39)</f>
        <v>0.9</v>
      </c>
    </row>
    <row r="38" spans="1:6">
      <c r="A38" s="47" t="s">
        <v>132</v>
      </c>
      <c r="B38">
        <f ca="1">SUMIF(tables_settle_321105!B:B,input_settle_321105!A38,tables_settle_321105!M:M)</f>
        <v>13406400</v>
      </c>
      <c r="C38" s="72">
        <f t="shared" ca="1" si="10"/>
        <v>0.9</v>
      </c>
      <c r="E38">
        <v>5</v>
      </c>
      <c r="F38" s="73">
        <f ca="1">SUM(C40:C42)</f>
        <v>0.1</v>
      </c>
    </row>
    <row r="39" spans="1:6">
      <c r="A39" s="47" t="s">
        <v>129</v>
      </c>
      <c r="B39">
        <f>SUMIF(tables_settle_321105!B:B,input_settle_321105!A39,tables_settle_321105!M:M)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SUMIF(tables_settle_321105!B:B,input_settle_321105!A40,tables_settle_321105!M:M)</f>
        <v>0</v>
      </c>
      <c r="C40" s="72">
        <f t="shared" ca="1" si="10"/>
        <v>0</v>
      </c>
      <c r="E40" t="s">
        <v>68</v>
      </c>
    </row>
    <row r="41" spans="1:6">
      <c r="A41" s="47" t="s">
        <v>134</v>
      </c>
      <c r="B41">
        <f ca="1">SUMIF(tables_settle_321105!B:B,input_settle_321105!A41,tables_settle_321105!M:M)</f>
        <v>1489600</v>
      </c>
      <c r="C41" s="72">
        <f t="shared" ca="1" si="10"/>
        <v>0.1</v>
      </c>
      <c r="E41" t="s">
        <v>121</v>
      </c>
      <c r="F41" s="73">
        <f ca="1">C36+C37+C40</f>
        <v>0</v>
      </c>
    </row>
    <row r="42" spans="1:6">
      <c r="A42" s="47" t="s">
        <v>135</v>
      </c>
      <c r="B42">
        <f>SUMIF(tables_settle_321105!B:B,input_settle_321105!A42,tables_settle_321105!M:M)</f>
        <v>0</v>
      </c>
      <c r="C42" s="72">
        <f t="shared" ca="1" si="10"/>
        <v>0</v>
      </c>
      <c r="E42" t="s">
        <v>122</v>
      </c>
      <c r="F42" s="73">
        <f ca="1">C38+C41</f>
        <v>1</v>
      </c>
    </row>
    <row r="43" spans="1:6">
      <c r="A43" s="55" t="s">
        <v>74</v>
      </c>
      <c r="B43">
        <f ca="1">SUM(B36:B42)</f>
        <v>14896000</v>
      </c>
      <c r="E43" t="s">
        <v>123</v>
      </c>
      <c r="F43" s="73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140" activePane="bottomLeft" state="frozen"/>
      <selection activeCell="B12" sqref="B12"/>
      <selection pane="bottomLeft" activeCell="G151" sqref="G151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input_settle_321105!A$2</f>
        <v>321105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IFERROR(VLOOKUP(E2,input_settle_321105!L:R,7,FALSE),VLOOKUP(tables_settle_321105!B2,input_settle_321105!A:H,8,FALSE))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input_settle_321105!A$2</f>
        <v>321105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IFERROR(VLOOKUP(E3,input_settle_321105!L:R,7,FALSE),VLOOKUP(tables_settle_321105!B3,input_settle_321105!A:H,8,FALSE))</f>
        <v>0</v>
      </c>
      <c r="N3" s="63">
        <f t="shared" ca="1" si="0"/>
        <v>0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input_settle_321105!A$2</f>
        <v>321105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IFERROR(VLOOKUP(E4,input_settle_321105!L:R,7,FALSE),VLOOKUP(tables_settle_321105!B4,input_settle_321105!A:H,8,FALSE))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input_settle_321105!A$2</f>
        <v>321105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IFERROR(VLOOKUP(E5,input_settle_321105!L:R,7,FALSE),VLOOKUP(tables_settle_321105!B5,input_settle_321105!A:H,8,FALSE))</f>
        <v>0</v>
      </c>
      <c r="N5" s="63">
        <f t="shared" ca="1" si="0"/>
        <v>0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input_settle_321105!A$2</f>
        <v>321105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IFERROR(VLOOKUP(E6,input_settle_321105!L:R,7,FALSE),VLOOKUP(tables_settle_321105!B6,input_settle_321105!A:H,8,FALSE))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input_settle_321105!A$2</f>
        <v>321105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IFERROR(VLOOKUP(E7,input_settle_321105!L:R,7,FALSE),VLOOKUP(tables_settle_321105!B7,input_settle_321105!A:H,8,FALSE))</f>
        <v>0</v>
      </c>
      <c r="N7" s="63">
        <f t="shared" ca="1" si="0"/>
        <v>0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input_settle_321105!A$2</f>
        <v>321105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IFERROR(VLOOKUP(E8,input_settle_321105!L:R,7,FALSE),VLOOKUP(tables_settle_321105!B8,input_settle_321105!A:H,8,FALSE))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input_settle_321105!A$2</f>
        <v>321105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IFERROR(VLOOKUP(E9,input_settle_321105!L:R,7,FALSE),VLOOKUP(tables_settle_321105!B9,input_settle_321105!A:H,8,FALSE))</f>
        <v>0</v>
      </c>
      <c r="N9" s="63">
        <f t="shared" ca="1" si="0"/>
        <v>0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input_settle_321105!A$2</f>
        <v>321105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IFERROR(VLOOKUP(E10,input_settle_321105!L:R,7,FALSE),VLOOKUP(tables_settle_321105!B10,input_settle_321105!A:H,8,FALSE))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input_settle_321105!A$2</f>
        <v>321105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IFERROR(VLOOKUP(E11,input_settle_321105!L:R,7,FALSE),VLOOKUP(tables_settle_321105!B11,input_settle_321105!A:H,8,FALSE))</f>
        <v>0</v>
      </c>
      <c r="N11" s="63">
        <f t="shared" ca="1" si="0"/>
        <v>0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input_settle_321105!A$2</f>
        <v>321105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IFERROR(VLOOKUP(E12,input_settle_321105!L:R,7,FALSE),VLOOKUP(tables_settle_321105!B12,input_settle_321105!A:H,8,FALSE))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input_settle_321105!A$2</f>
        <v>321105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IFERROR(VLOOKUP(E13,input_settle_321105!L:R,7,FALSE),VLOOKUP(tables_settle_321105!B13,input_settle_321105!A:H,8,FALSE))</f>
        <v>0</v>
      </c>
      <c r="N13" s="63">
        <f t="shared" ca="1" si="0"/>
        <v>0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input_settle_321105!A$2</f>
        <v>321105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IFERROR(VLOOKUP(E14,input_settle_321105!L:R,7,FALSE),VLOOKUP(tables_settle_321105!B14,input_settle_321105!A:H,8,FALSE))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input_settle_321105!A$2</f>
        <v>321105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IFERROR(VLOOKUP(E15,input_settle_321105!L:R,7,FALSE),VLOOKUP(tables_settle_321105!B15,input_settle_321105!A:H,8,FALSE))</f>
        <v>0</v>
      </c>
      <c r="N15" s="63">
        <f t="shared" ca="1" si="0"/>
        <v>0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input_settle_321105!A$2</f>
        <v>321105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IFERROR(VLOOKUP(E16,input_settle_321105!L:R,7,FALSE),VLOOKUP(tables_settle_321105!B16,input_settle_321105!A:H,8,FALSE))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input_settle_321105!A$2</f>
        <v>321105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IFERROR(VLOOKUP(E17,input_settle_321105!L:R,7,FALSE),VLOOKUP(tables_settle_321105!B17,input_settle_321105!A:H,8,FALSE))</f>
        <v>0</v>
      </c>
      <c r="N17" s="63">
        <f t="shared" ca="1" si="0"/>
        <v>0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input_settle_321105!A$2</f>
        <v>321105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IFERROR(VLOOKUP(E18,input_settle_321105!L:R,7,FALSE),VLOOKUP(tables_settle_321105!B18,input_settle_321105!A:H,8,FALSE))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input_settle_321105!A$2</f>
        <v>321105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IFERROR(VLOOKUP(E19,input_settle_321105!L:R,7,FALSE),VLOOKUP(tables_settle_321105!B19,input_settle_321105!A:H,8,FALSE))</f>
        <v>0</v>
      </c>
      <c r="N19" s="63">
        <f t="shared" ca="1" si="0"/>
        <v>0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input_settle_321105!A$2</f>
        <v>321105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IFERROR(VLOOKUP(E20,input_settle_321105!L:R,7,FALSE),VLOOKUP(tables_settle_321105!B20,input_settle_321105!A:H,8,FALSE))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input_settle_321105!A$2</f>
        <v>321105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IFERROR(VLOOKUP(E21,input_settle_321105!L:R,7,FALSE),VLOOKUP(tables_settle_321105!B21,input_settle_321105!A:H,8,FALSE))</f>
        <v>0</v>
      </c>
      <c r="N21" s="63">
        <f t="shared" ca="1" si="0"/>
        <v>0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input_settle_321105!A$2</f>
        <v>321105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IFERROR(VLOOKUP(E22,input_settle_321105!L:R,7,FALSE),VLOOKUP(tables_settle_321105!B22,input_settle_321105!A:H,8,FALSE))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input_settle_321105!A$2</f>
        <v>321105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IFERROR(VLOOKUP(E23,input_settle_321105!L:R,7,FALSE),VLOOKUP(tables_settle_321105!B23,input_settle_321105!A:H,8,FALSE))</f>
        <v>0</v>
      </c>
      <c r="N23" s="63">
        <f t="shared" ca="1" si="0"/>
        <v>0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input_settle_321105!A$2</f>
        <v>321105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IFERROR(VLOOKUP(E24,input_settle_321105!L:R,7,FALSE),VLOOKUP(tables_settle_321105!B24,input_settle_321105!A:H,8,FALSE))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input_settle_321105!A$2</f>
        <v>321105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IFERROR(VLOOKUP(E25,input_settle_321105!L:R,7,FALSE),VLOOKUP(tables_settle_321105!B25,input_settle_321105!A:H,8,FALSE))</f>
        <v>0</v>
      </c>
      <c r="N25" s="63">
        <f t="shared" ca="1" si="0"/>
        <v>0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input_settle_321105!A$2</f>
        <v>321105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IFERROR(VLOOKUP(E26,input_settle_321105!L:R,7,FALSE),VLOOKUP(tables_settle_321105!B26,input_settle_321105!A:H,8,FALSE))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input_settle_321105!A$2</f>
        <v>321105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IFERROR(VLOOKUP(E27,input_settle_321105!L:R,7,FALSE),VLOOKUP(tables_settle_321105!B27,input_settle_321105!A:H,8,FALSE))</f>
        <v>0</v>
      </c>
      <c r="N27" s="63">
        <f t="shared" ca="1" si="0"/>
        <v>0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input_settle_321105!A$2</f>
        <v>321105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IFERROR(VLOOKUP(E28,input_settle_321105!L:R,7,FALSE),VLOOKUP(tables_settle_321105!B28,input_settle_321105!A:H,8,FALSE))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input_settle_321105!A$2</f>
        <v>321105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IFERROR(VLOOKUP(E29,input_settle_321105!L:R,7,FALSE),VLOOKUP(tables_settle_321105!B29,input_settle_321105!A:H,8,FALSE))</f>
        <v>0</v>
      </c>
      <c r="N29" s="63">
        <f t="shared" ca="1" si="0"/>
        <v>0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input_settle_321105!A$2</f>
        <v>321105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IFERROR(VLOOKUP(E30,input_settle_321105!L:R,7,FALSE),VLOOKUP(tables_settle_321105!B30,input_settle_321105!A:H,8,FALSE))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input_settle_321105!A$2</f>
        <v>321105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IFERROR(VLOOKUP(E31,input_settle_321105!L:R,7,FALSE),VLOOKUP(tables_settle_321105!B31,input_settle_321105!A:H,8,FALSE))</f>
        <v>0</v>
      </c>
      <c r="N31" s="63">
        <f t="shared" ca="1" si="0"/>
        <v>0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input_settle_321105!A$2</f>
        <v>321105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IFERROR(VLOOKUP(E32,input_settle_321105!L:R,7,FALSE),VLOOKUP(tables_settle_321105!B32,input_settle_321105!A:H,8,FALSE))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input_settle_321105!A$2</f>
        <v>321105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IFERROR(VLOOKUP(E33,input_settle_321105!L:R,7,FALSE),VLOOKUP(tables_settle_321105!B33,input_settle_321105!A:H,8,FALSE))</f>
        <v>0</v>
      </c>
      <c r="N33" s="63">
        <f t="shared" ca="1" si="0"/>
        <v>0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input_settle_321105!A$2</f>
        <v>321105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IFERROR(VLOOKUP(E34,input_settle_321105!L:R,7,FALSE),VLOOKUP(tables_settle_321105!B34,input_settle_321105!A:H,8,FALSE))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input_settle_321105!A$2</f>
        <v>321105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IFERROR(VLOOKUP(E35,input_settle_321105!L:R,7,FALSE),VLOOKUP(tables_settle_321105!B35,input_settle_321105!A:H,8,FALSE))</f>
        <v>0</v>
      </c>
      <c r="N35" s="63">
        <f t="shared" ca="1" si="0"/>
        <v>0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input_settle_321105!A$2</f>
        <v>321105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IFERROR(VLOOKUP(E36,input_settle_321105!L:R,7,FALSE),VLOOKUP(tables_settle_321105!B36,input_settle_321105!A:H,8,FALSE))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input_settle_321105!A$2</f>
        <v>321105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IFERROR(VLOOKUP(E37,input_settle_321105!L:R,7,FALSE),VLOOKUP(tables_settle_321105!B37,input_settle_321105!A:H,8,FALSE))</f>
        <v>0</v>
      </c>
      <c r="N37" s="63">
        <f t="shared" ca="1" si="0"/>
        <v>0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input_settle_321105!A$2</f>
        <v>321105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IFERROR(VLOOKUP(E38,input_settle_321105!L:R,7,FALSE),VLOOKUP(tables_settle_321105!B38,input_settle_321105!A:H,8,FALSE))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input_settle_321105!A$2</f>
        <v>321105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IFERROR(VLOOKUP(E39,input_settle_321105!L:R,7,FALSE),VLOOKUP(tables_settle_321105!B39,input_settle_321105!A:H,8,FALSE))</f>
        <v>0</v>
      </c>
      <c r="N39" s="63">
        <f t="shared" ca="1" si="0"/>
        <v>0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input_settle_321105!A$2</f>
        <v>321105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IFERROR(VLOOKUP(E40,input_settle_321105!L:R,7,FALSE),VLOOKUP(tables_settle_321105!B40,input_settle_321105!A:H,8,FALSE))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input_settle_321105!A$2</f>
        <v>321105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IFERROR(VLOOKUP(E41,input_settle_321105!L:R,7,FALSE),VLOOKUP(tables_settle_321105!B41,input_settle_321105!A:H,8,FALSE))</f>
        <v>0</v>
      </c>
      <c r="N41" s="63">
        <f t="shared" ca="1" si="0"/>
        <v>0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input_settle_321105!A$2</f>
        <v>321105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IFERROR(VLOOKUP(E42,input_settle_321105!L:R,7,FALSE),VLOOKUP(tables_settle_321105!B42,input_settle_321105!A:H,8,FALSE))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input_settle_321105!A$2</f>
        <v>321105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IFERROR(VLOOKUP(E43,input_settle_321105!L:R,7,FALSE),VLOOKUP(tables_settle_321105!B43,input_settle_321105!A:H,8,FALSE))</f>
        <v>0</v>
      </c>
      <c r="N43" s="63">
        <f t="shared" ca="1" si="0"/>
        <v>0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input_settle_321105!A$2</f>
        <v>321105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IFERROR(VLOOKUP(E44,input_settle_321105!L:R,7,FALSE),VLOOKUP(tables_settle_321105!B44,input_settle_321105!A:H,8,FALSE))</f>
        <v>0</v>
      </c>
      <c r="N44" s="63">
        <f t="shared" ca="1" si="0"/>
        <v>0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input_settle_321105!A$2</f>
        <v>321105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IFERROR(VLOOKUP(E45,input_settle_321105!L:R,7,FALSE),VLOOKUP(tables_settle_321105!B45,input_settle_321105!A:H,8,FALSE))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input_settle_321105!A$2</f>
        <v>321105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IFERROR(VLOOKUP(E46,input_settle_321105!L:R,7,FALSE),VLOOKUP(tables_settle_321105!B46,input_settle_321105!A:H,8,FALSE))</f>
        <v>0</v>
      </c>
      <c r="N46" s="63">
        <f t="shared" ca="1" si="0"/>
        <v>0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input_settle_321105!A$2</f>
        <v>321105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IFERROR(VLOOKUP(E47,input_settle_321105!L:R,7,FALSE),VLOOKUP(tables_settle_321105!B47,input_settle_321105!A:H,8,FALSE))</f>
        <v>0</v>
      </c>
      <c r="N47" s="63">
        <f t="shared" ca="1" si="0"/>
        <v>0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input_settle_321105!A$2</f>
        <v>321105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IFERROR(VLOOKUP(E48,input_settle_321105!L:R,7,FALSE),VLOOKUP(tables_settle_321105!B48,input_settle_321105!A:H,8,FALSE))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input_settle_321105!A$2</f>
        <v>321105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IFERROR(VLOOKUP(E49,input_settle_321105!L:R,7,FALSE),VLOOKUP(tables_settle_321105!B49,input_settle_321105!A:H,8,FALSE))</f>
        <v>0</v>
      </c>
      <c r="N49" s="63">
        <f t="shared" ca="1" si="0"/>
        <v>0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input_settle_321105!A$2</f>
        <v>321105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IFERROR(VLOOKUP(E50,input_settle_321105!L:R,7,FALSE),VLOOKUP(tables_settle_321105!B50,input_settle_321105!A:H,8,FALSE))</f>
        <v>0</v>
      </c>
      <c r="N50" s="63">
        <f t="shared" ca="1" si="0"/>
        <v>0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input_settle_321105!A$2</f>
        <v>321105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IFERROR(VLOOKUP(E51,input_settle_321105!L:R,7,FALSE),VLOOKUP(tables_settle_321105!B51,input_settle_321105!A:H,8,FALSE))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input_settle_321105!A$2</f>
        <v>321105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IFERROR(VLOOKUP(E52,input_settle_321105!L:R,7,FALSE),VLOOKUP(tables_settle_321105!B52,input_settle_321105!A:H,8,FALSE))</f>
        <v>0</v>
      </c>
      <c r="N52" s="63">
        <f t="shared" ca="1" si="0"/>
        <v>0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input_settle_321105!A$2</f>
        <v>321105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IFERROR(VLOOKUP(E53,input_settle_321105!L:R,7,FALSE),VLOOKUP(tables_settle_321105!B53,input_settle_321105!A:H,8,FALSE))</f>
        <v>0</v>
      </c>
      <c r="N53" s="63">
        <f t="shared" ca="1" si="0"/>
        <v>0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input_settle_321105!A$2</f>
        <v>321105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IFERROR(VLOOKUP(E54,input_settle_321105!L:R,7,FALSE),VLOOKUP(tables_settle_321105!B54,input_settle_321105!A:H,8,FALSE))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input_settle_321105!A$2</f>
        <v>321105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IFERROR(VLOOKUP(E55,input_settle_321105!L:R,7,FALSE),VLOOKUP(tables_settle_321105!B55,input_settle_321105!A:H,8,FALSE))</f>
        <v>0</v>
      </c>
      <c r="N55" s="63">
        <f t="shared" ca="1" si="0"/>
        <v>0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input_settle_321105!A$2</f>
        <v>321105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IFERROR(VLOOKUP(E56,input_settle_321105!L:R,7,FALSE),VLOOKUP(tables_settle_321105!B56,input_settle_321105!A:H,8,FALSE))</f>
        <v>0</v>
      </c>
      <c r="N56" s="63">
        <f t="shared" ca="1" si="0"/>
        <v>0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input_settle_321105!A$2</f>
        <v>321105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IFERROR(VLOOKUP(E57,input_settle_321105!L:R,7,FALSE),VLOOKUP(tables_settle_321105!B57,input_settle_321105!A:H,8,FALSE))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input_settle_321105!A$2</f>
        <v>321105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IFERROR(VLOOKUP(E58,input_settle_321105!L:R,7,FALSE),VLOOKUP(tables_settle_321105!B58,input_settle_321105!A:H,8,FALSE))</f>
        <v>0</v>
      </c>
      <c r="N58" s="63">
        <f t="shared" ca="1" si="0"/>
        <v>0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input_settle_321105!A$2</f>
        <v>321105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IFERROR(VLOOKUP(E59,input_settle_321105!L:R,7,FALSE),VLOOKUP(tables_settle_321105!B59,input_settle_321105!A:H,8,FALSE))</f>
        <v>0</v>
      </c>
      <c r="N59" s="63">
        <f t="shared" ca="1" si="0"/>
        <v>0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input_settle_321105!A$2</f>
        <v>321105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IFERROR(VLOOKUP(E60,input_settle_321105!L:R,7,FALSE),VLOOKUP(tables_settle_321105!B60,input_settle_321105!A:H,8,FALSE))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input_settle_321105!A$2</f>
        <v>321105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IFERROR(VLOOKUP(E61,input_settle_321105!L:R,7,FALSE),VLOOKUP(tables_settle_321105!B61,input_settle_321105!A:H,8,FALSE))</f>
        <v>0</v>
      </c>
      <c r="N61" s="63">
        <f t="shared" ca="1" si="0"/>
        <v>0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input_settle_321105!A$2</f>
        <v>321105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IFERROR(VLOOKUP(E62,input_settle_321105!L:R,7,FALSE),VLOOKUP(tables_settle_321105!B62,input_settle_321105!A:H,8,FALSE))</f>
        <v>0</v>
      </c>
      <c r="N62" s="63">
        <f t="shared" ca="1" si="0"/>
        <v>0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input_settle_321105!A$2</f>
        <v>321105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IFERROR(VLOOKUP(E63,input_settle_321105!L:R,7,FALSE),VLOOKUP(tables_settle_321105!B63,input_settle_321105!A:H,8,FALSE))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input_settle_321105!A$2</f>
        <v>321105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IFERROR(VLOOKUP(E64,input_settle_321105!L:R,7,FALSE),VLOOKUP(tables_settle_321105!B64,input_settle_321105!A:H,8,FALSE))</f>
        <v>0</v>
      </c>
      <c r="N64" s="63">
        <f t="shared" ca="1" si="0"/>
        <v>0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input_settle_321105!A$2</f>
        <v>321105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IFERROR(VLOOKUP(E65,input_settle_321105!L:R,7,FALSE),VLOOKUP(tables_settle_321105!B65,input_settle_321105!A:H,8,FALSE))</f>
        <v>0</v>
      </c>
      <c r="N65" s="63">
        <f t="shared" ca="1" si="0"/>
        <v>0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input_settle_321105!A$2</f>
        <v>321105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IFERROR(VLOOKUP(E66,input_settle_321105!L:R,7,FALSE),VLOOKUP(tables_settle_321105!B66,input_settle_321105!A:H,8,FALSE))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input_settle_321105!A$2</f>
        <v>321105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IFERROR(VLOOKUP(E67,input_settle_321105!L:R,7,FALSE),VLOOKUP(tables_settle_321105!B67,input_settle_321105!A:H,8,FALSE))</f>
        <v>0</v>
      </c>
      <c r="N67" s="63">
        <f t="shared" ca="1" si="3"/>
        <v>0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input_settle_321105!A$2</f>
        <v>321105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IFERROR(VLOOKUP(E68,input_settle_321105!L:R,7,FALSE),VLOOKUP(tables_settle_321105!B68,input_settle_321105!A:H,8,FALSE))</f>
        <v>0</v>
      </c>
      <c r="N68" s="63">
        <f t="shared" ca="1" si="3"/>
        <v>0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input_settle_321105!A$2</f>
        <v>321105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IFERROR(VLOOKUP(E69,input_settle_321105!L:R,7,FALSE),VLOOKUP(tables_settle_321105!B69,input_settle_321105!A:H,8,FALSE))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input_settle_321105!A$2</f>
        <v>321105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IFERROR(VLOOKUP(E70,input_settle_321105!L:R,7,FALSE),VLOOKUP(tables_settle_321105!B70,input_settle_321105!A:H,8,FALSE))</f>
        <v>0</v>
      </c>
      <c r="N70" s="63">
        <f t="shared" ca="1" si="3"/>
        <v>0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input_settle_321105!A$2</f>
        <v>321105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IFERROR(VLOOKUP(E71,input_settle_321105!L:R,7,FALSE),VLOOKUP(tables_settle_321105!B71,input_settle_321105!A:H,8,FALSE))</f>
        <v>0</v>
      </c>
      <c r="N71" s="63">
        <f t="shared" ca="1" si="3"/>
        <v>0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input_settle_321105!A$2</f>
        <v>321105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IFERROR(VLOOKUP(E72,input_settle_321105!L:R,7,FALSE),VLOOKUP(tables_settle_321105!B72,input_settle_321105!A:H,8,FALSE))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input_settle_321105!A$2</f>
        <v>321105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IFERROR(VLOOKUP(E73,input_settle_321105!L:R,7,FALSE),VLOOKUP(tables_settle_321105!B73,input_settle_321105!A:H,8,FALSE))</f>
        <v>0</v>
      </c>
      <c r="N73" s="63">
        <f t="shared" ca="1" si="3"/>
        <v>0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input_settle_321105!A$2</f>
        <v>321105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IFERROR(VLOOKUP(E74,input_settle_321105!L:R,7,FALSE),VLOOKUP(tables_settle_321105!B74,input_settle_321105!A:H,8,FALSE))</f>
        <v>0</v>
      </c>
      <c r="N74" s="63">
        <f t="shared" ca="1" si="3"/>
        <v>0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input_settle_321105!A$2</f>
        <v>321105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IFERROR(VLOOKUP(E75,input_settle_321105!L:R,7,FALSE),VLOOKUP(tables_settle_321105!B75,input_settle_321105!A:H,8,FALSE))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input_settle_321105!A$2</f>
        <v>321105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IFERROR(VLOOKUP(E76,input_settle_321105!L:R,7,FALSE),VLOOKUP(tables_settle_321105!B76,input_settle_321105!A:H,8,FALSE))</f>
        <v>0</v>
      </c>
      <c r="N76" s="63">
        <f t="shared" ca="1" si="3"/>
        <v>0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input_settle_321105!A$2</f>
        <v>321105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IFERROR(VLOOKUP(E77,input_settle_321105!L:R,7,FALSE),VLOOKUP(tables_settle_321105!B77,input_settle_321105!A:H,8,FALSE))</f>
        <v>0</v>
      </c>
      <c r="N77" s="63">
        <f t="shared" ca="1" si="3"/>
        <v>0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input_settle_321105!A$2</f>
        <v>321105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IFERROR(VLOOKUP(E78,input_settle_321105!L:R,7,FALSE),VLOOKUP(tables_settle_321105!B78,input_settle_321105!A:H,8,FALSE))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input_settle_321105!A$2</f>
        <v>321105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IFERROR(VLOOKUP(E79,input_settle_321105!L:R,7,FALSE),VLOOKUP(tables_settle_321105!B79,input_settle_321105!A:H,8,FALSE))</f>
        <v>0</v>
      </c>
      <c r="N79" s="63">
        <f t="shared" ca="1" si="3"/>
        <v>0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input_settle_321105!A$2</f>
        <v>321105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IFERROR(VLOOKUP(E80,input_settle_321105!L:R,7,FALSE),VLOOKUP(tables_settle_321105!B80,input_settle_321105!A:H,8,FALSE))</f>
        <v>0</v>
      </c>
      <c r="N80" s="63">
        <f t="shared" ca="1" si="3"/>
        <v>0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input_settle_321105!A$2</f>
        <v>321105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IFERROR(VLOOKUP(E81,input_settle_321105!L:R,7,FALSE),VLOOKUP(tables_settle_321105!B81,input_settle_321105!A:H,8,FALSE))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input_settle_321105!A$2</f>
        <v>321105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IFERROR(VLOOKUP(E82,input_settle_321105!L:R,7,FALSE),VLOOKUP(tables_settle_321105!B82,input_settle_321105!A:H,8,FALSE))</f>
        <v>0</v>
      </c>
      <c r="N82" s="63">
        <f t="shared" ca="1" si="3"/>
        <v>0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input_settle_321105!A$2</f>
        <v>321105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IFERROR(VLOOKUP(E83,input_settle_321105!L:R,7,FALSE),VLOOKUP(tables_settle_321105!B83,input_settle_321105!A:H,8,FALSE))</f>
        <v>0</v>
      </c>
      <c r="N83" s="63">
        <f t="shared" ca="1" si="3"/>
        <v>0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input_settle_321105!A$2</f>
        <v>321105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IFERROR(VLOOKUP(E84,input_settle_321105!L:R,7,FALSE),VLOOKUP(tables_settle_321105!B84,input_settle_321105!A:H,8,FALSE))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input_settle_321105!A$2</f>
        <v>321105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IFERROR(VLOOKUP(E85,input_settle_321105!L:R,7,FALSE),VLOOKUP(tables_settle_321105!B85,input_settle_321105!A:H,8,FALSE))</f>
        <v>0</v>
      </c>
      <c r="N85" s="63">
        <f t="shared" ca="1" si="3"/>
        <v>0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input_settle_321105!A$2</f>
        <v>321105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IFERROR(VLOOKUP(E86,input_settle_321105!L:R,7,FALSE),VLOOKUP(tables_settle_321105!B86,input_settle_321105!A:H,8,FALSE))</f>
        <v>0</v>
      </c>
      <c r="N86" s="63">
        <f t="shared" ca="1" si="3"/>
        <v>0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input_settle_321105!A$2</f>
        <v>321105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IFERROR(VLOOKUP(E87,input_settle_321105!L:R,7,FALSE),VLOOKUP(tables_settle_321105!B87,input_settle_321105!A:H,8,FALSE))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input_settle_321105!A$2</f>
        <v>321105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IFERROR(VLOOKUP(E88,input_settle_321105!L:R,7,FALSE),VLOOKUP(tables_settle_321105!B88,input_settle_321105!A:H,8,FALSE))</f>
        <v>0</v>
      </c>
      <c r="N88" s="63">
        <f t="shared" ca="1" si="3"/>
        <v>0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input_settle_321105!A$2</f>
        <v>321105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IFERROR(VLOOKUP(E89,input_settle_321105!L:R,7,FALSE),VLOOKUP(tables_settle_321105!B89,input_settle_321105!A:H,8,FALSE))</f>
        <v>0</v>
      </c>
      <c r="N89" s="63">
        <f t="shared" ca="1" si="3"/>
        <v>0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input_settle_321105!A$2</f>
        <v>321105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IFERROR(VLOOKUP(E90,input_settle_321105!L:R,7,FALSE),VLOOKUP(tables_settle_321105!B90,input_settle_321105!A:H,8,FALSE))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input_settle_321105!A$2</f>
        <v>321105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IFERROR(VLOOKUP(E91,input_settle_321105!L:R,7,FALSE),VLOOKUP(tables_settle_321105!B91,input_settle_321105!A:H,8,FALSE))</f>
        <v>0</v>
      </c>
      <c r="N91" s="63">
        <f t="shared" ca="1" si="3"/>
        <v>0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input_settle_321105!A$2</f>
        <v>321105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IFERROR(VLOOKUP(E92,input_settle_321105!L:R,7,FALSE),VLOOKUP(tables_settle_321105!B92,input_settle_321105!A:H,8,FALSE))</f>
        <v>0</v>
      </c>
      <c r="N92" s="63">
        <f t="shared" ca="1" si="3"/>
        <v>0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input_settle_321105!A$2</f>
        <v>321105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IFERROR(VLOOKUP(E93,input_settle_321105!L:R,7,FALSE),VLOOKUP(tables_settle_321105!B93,input_settle_321105!A:H,8,FALSE))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input_settle_321105!A$2</f>
        <v>321105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IFERROR(VLOOKUP(E94,input_settle_321105!L:R,7,FALSE),VLOOKUP(tables_settle_321105!B94,input_settle_321105!A:H,8,FALSE))</f>
        <v>0</v>
      </c>
      <c r="N94" s="63">
        <f t="shared" ca="1" si="3"/>
        <v>0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input_settle_321105!A$2</f>
        <v>321105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IFERROR(VLOOKUP(E95,input_settle_321105!L:R,7,FALSE),VLOOKUP(tables_settle_321105!B95,input_settle_321105!A:H,8,FALSE))</f>
        <v>0</v>
      </c>
      <c r="N95" s="63">
        <f t="shared" ca="1" si="3"/>
        <v>0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input_settle_321105!A$2</f>
        <v>321105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IFERROR(VLOOKUP(E96,input_settle_321105!L:R,7,FALSE),VLOOKUP(tables_settle_321105!B96,input_settle_321105!A:H,8,FALSE))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input_settle_321105!A$2</f>
        <v>321105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IFERROR(VLOOKUP(E97,input_settle_321105!L:R,7,FALSE),VLOOKUP(tables_settle_321105!B97,input_settle_321105!A:H,8,FALSE))</f>
        <v>0</v>
      </c>
      <c r="N97" s="63">
        <f t="shared" ca="1" si="3"/>
        <v>0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input_settle_321105!A$2</f>
        <v>321105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IFERROR(VLOOKUP(E98,input_settle_321105!L:R,7,FALSE),VLOOKUP(tables_settle_321105!B98,input_settle_321105!A:H,8,FALSE))</f>
        <v>0</v>
      </c>
      <c r="N98" s="63">
        <f t="shared" ca="1" si="3"/>
        <v>0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input_settle_321105!A$2</f>
        <v>321105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IFERROR(VLOOKUP(E99,input_settle_321105!L:R,7,FALSE),VLOOKUP(tables_settle_321105!B99,input_settle_321105!A:H,8,FALSE))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input_settle_321105!A$2</f>
        <v>321105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IFERROR(VLOOKUP(E100,input_settle_321105!L:R,7,FALSE),VLOOKUP(tables_settle_321105!B100,input_settle_321105!A:H,8,FALSE))</f>
        <v>0</v>
      </c>
      <c r="N100" s="63">
        <f t="shared" ca="1" si="3"/>
        <v>0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input_settle_321105!A$2</f>
        <v>321105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IFERROR(VLOOKUP(E101,input_settle_321105!L:R,7,FALSE),VLOOKUP(tables_settle_321105!B101,input_settle_321105!A:H,8,FALSE))</f>
        <v>0</v>
      </c>
      <c r="N101" s="63">
        <f t="shared" ca="1" si="3"/>
        <v>0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input_settle_321105!A$2</f>
        <v>321105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IFERROR(VLOOKUP(E102,input_settle_321105!L:R,7,FALSE),VLOOKUP(tables_settle_321105!B102,input_settle_321105!A:H,8,FALSE))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input_settle_321105!A$2</f>
        <v>321105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IFERROR(VLOOKUP(E103,input_settle_321105!L:R,7,FALSE),VLOOKUP(tables_settle_321105!B103,input_settle_321105!A:H,8,FALSE))</f>
        <v>0</v>
      </c>
      <c r="N103" s="63">
        <f t="shared" ca="1" si="3"/>
        <v>0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input_settle_321105!A$2</f>
        <v>321105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IFERROR(VLOOKUP(E104,input_settle_321105!L:R,7,FALSE),VLOOKUP(tables_settle_321105!B104,input_settle_321105!A:H,8,FALSE))</f>
        <v>0</v>
      </c>
      <c r="N104" s="63">
        <f t="shared" ca="1" si="3"/>
        <v>0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input_settle_321105!A$2</f>
        <v>321105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IFERROR(VLOOKUP(E105,input_settle_321105!L:R,7,FALSE),VLOOKUP(tables_settle_321105!B105,input_settle_321105!A:H,8,FALSE))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input_settle_321105!A$2</f>
        <v>321105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IFERROR(VLOOKUP(E106,input_settle_321105!L:R,7,FALSE),VLOOKUP(tables_settle_321105!B106,input_settle_321105!A:H,8,FALSE))</f>
        <v>0</v>
      </c>
      <c r="N106" s="63">
        <f t="shared" ca="1" si="3"/>
        <v>0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input_settle_321105!A$2</f>
        <v>321105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IFERROR(VLOOKUP(E107,input_settle_321105!L:R,7,FALSE),VLOOKUP(tables_settle_321105!B107,input_settle_321105!A:H,8,FALSE))</f>
        <v>0</v>
      </c>
      <c r="N107" s="63">
        <f t="shared" ca="1" si="3"/>
        <v>0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input_settle_321105!A$2</f>
        <v>321105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IFERROR(VLOOKUP(E108,input_settle_321105!L:R,7,FALSE),VLOOKUP(tables_settle_321105!B108,input_settle_321105!A:H,8,FALSE))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input_settle_321105!A$2</f>
        <v>321105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IFERROR(VLOOKUP(E109,input_settle_321105!L:R,7,FALSE),VLOOKUP(tables_settle_321105!B109,input_settle_321105!A:H,8,FALSE))</f>
        <v>0</v>
      </c>
      <c r="N109" s="63">
        <f t="shared" ca="1" si="3"/>
        <v>0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input_settle_321105!A$2</f>
        <v>321105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IFERROR(VLOOKUP(E110,input_settle_321105!L:R,7,FALSE),VLOOKUP(tables_settle_321105!B110,input_settle_321105!A:H,8,FALSE))</f>
        <v>0</v>
      </c>
      <c r="N110" s="63">
        <f t="shared" ca="1" si="3"/>
        <v>0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input_settle_321105!A$2</f>
        <v>321105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IFERROR(VLOOKUP(E111,input_settle_321105!L:R,7,FALSE),VLOOKUP(tables_settle_321105!B111,input_settle_321105!A:H,8,FALSE))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input_settle_321105!A$2</f>
        <v>321105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IFERROR(VLOOKUP(E112,input_settle_321105!L:R,7,FALSE),VLOOKUP(tables_settle_321105!B112,input_settle_321105!A:H,8,FALSE))</f>
        <v>0</v>
      </c>
      <c r="N112" s="63">
        <f t="shared" ca="1" si="3"/>
        <v>0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input_settle_321105!A$2</f>
        <v>321105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IFERROR(VLOOKUP(E113,input_settle_321105!L:R,7,FALSE),VLOOKUP(tables_settle_321105!B113,input_settle_321105!A:H,8,FALSE))</f>
        <v>0</v>
      </c>
      <c r="N113" s="63">
        <f t="shared" ca="1" si="3"/>
        <v>0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input_settle_321105!A$2</f>
        <v>321105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IFERROR(VLOOKUP(E114,input_settle_321105!L:R,7,FALSE),VLOOKUP(tables_settle_321105!B114,input_settle_321105!A:H,8,FALSE))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input_settle_321105!A$2</f>
        <v>321105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IFERROR(VLOOKUP(E115,input_settle_321105!L:R,7,FALSE),VLOOKUP(tables_settle_321105!B115,input_settle_321105!A:H,8,FALSE))</f>
        <v>0</v>
      </c>
      <c r="N115" s="63">
        <f t="shared" ca="1" si="3"/>
        <v>0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input_settle_321105!A$2</f>
        <v>321105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IFERROR(VLOOKUP(E116,input_settle_321105!L:R,7,FALSE),VLOOKUP(tables_settle_321105!B116,input_settle_321105!A:H,8,FALSE))</f>
        <v>0</v>
      </c>
      <c r="N116" s="63">
        <f t="shared" ca="1" si="3"/>
        <v>0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input_settle_321105!A$2</f>
        <v>321105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IFERROR(VLOOKUP(E117,input_settle_321105!L:R,7,FALSE),VLOOKUP(tables_settle_321105!B117,input_settle_321105!A:H,8,FALSE))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input_settle_321105!A$2</f>
        <v>321105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IFERROR(VLOOKUP(E118,input_settle_321105!L:R,7,FALSE),VLOOKUP(tables_settle_321105!B118,input_settle_321105!A:H,8,FALSE))</f>
        <v>0</v>
      </c>
      <c r="N118" s="63">
        <f t="shared" ca="1" si="3"/>
        <v>0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input_settle_321105!A$2</f>
        <v>321105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IFERROR(VLOOKUP(E119,input_settle_321105!L:R,7,FALSE),VLOOKUP(tables_settle_321105!B119,input_settle_321105!A:H,8,FALSE))</f>
        <v>0</v>
      </c>
      <c r="N119" s="63">
        <f t="shared" ca="1" si="3"/>
        <v>0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input_settle_321105!A$2</f>
        <v>321105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IFERROR(VLOOKUP(E120,input_settle_321105!L:R,7,FALSE),VLOOKUP(tables_settle_321105!B120,input_settle_321105!A:H,8,FALSE))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input_settle_321105!A$2</f>
        <v>321105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IFERROR(VLOOKUP(E121,input_settle_321105!L:R,7,FALSE),VLOOKUP(tables_settle_321105!B121,input_settle_321105!A:H,8,FALSE))</f>
        <v>0</v>
      </c>
      <c r="N121" s="63">
        <f t="shared" ca="1" si="3"/>
        <v>0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input_settle_321105!A$2</f>
        <v>321105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IFERROR(VLOOKUP(E122,input_settle_321105!L:R,7,FALSE),VLOOKUP(tables_settle_321105!B122,input_settle_321105!A:H,8,FALSE))</f>
        <v>0</v>
      </c>
      <c r="N122" s="63">
        <f t="shared" ca="1" si="3"/>
        <v>0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input_settle_321105!A$2</f>
        <v>321105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IFERROR(VLOOKUP(E123,input_settle_321105!L:R,7,FALSE),VLOOKUP(tables_settle_321105!B123,input_settle_321105!A:H,8,FALSE))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input_settle_321105!A$2</f>
        <v>321105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IFERROR(VLOOKUP(E124,input_settle_321105!L:R,7,FALSE),VLOOKUP(tables_settle_321105!B124,input_settle_321105!A:H,8,FALSE))</f>
        <v>0</v>
      </c>
      <c r="N124" s="63">
        <f t="shared" ca="1" si="3"/>
        <v>0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input_settle_321105!A$2</f>
        <v>321105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IFERROR(VLOOKUP(E125,input_settle_321105!L:R,7,FALSE),VLOOKUP(tables_settle_321105!B125,input_settle_321105!A:H,8,FALSE))</f>
        <v>0</v>
      </c>
      <c r="N125" s="63">
        <f t="shared" ca="1" si="3"/>
        <v>0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input_settle_321105!A$2</f>
        <v>321105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IFERROR(VLOOKUP(E126,input_settle_321105!L:R,7,FALSE),VLOOKUP(tables_settle_321105!B126,input_settle_321105!A:H,8,FALSE))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input_settle_321105!A$2</f>
        <v>321105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IFERROR(VLOOKUP(E127,input_settle_321105!L:R,7,FALSE),VLOOKUP(tables_settle_321105!B127,input_settle_321105!A:H,8,FALSE))</f>
        <v>0</v>
      </c>
      <c r="N127" s="63">
        <f t="shared" ca="1" si="3"/>
        <v>0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input_settle_321105!A$2</f>
        <v>321105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IFERROR(VLOOKUP(E128,input_settle_321105!L:R,7,FALSE),VLOOKUP(tables_settle_321105!B128,input_settle_321105!A:H,8,FALSE))</f>
        <v>0</v>
      </c>
      <c r="N128" s="63">
        <f t="shared" ca="1" si="3"/>
        <v>0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input_settle_321105!A$2</f>
        <v>321105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IFERROR(VLOOKUP(E129,input_settle_321105!L:R,7,FALSE),VLOOKUP(tables_settle_321105!B129,input_settle_321105!A:H,8,FALSE))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input_settle_321105!A$2</f>
        <v>321105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IFERROR(VLOOKUP(E130,input_settle_321105!L:R,7,FALSE),VLOOKUP(tables_settle_321105!B130,input_settle_321105!A:H,8,FALSE))</f>
        <v>0</v>
      </c>
      <c r="N130" s="63">
        <f t="shared" ref="N130:N193" ca="1" si="6">M130/SUM(M:M)</f>
        <v>0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input_settle_321105!A$2</f>
        <v>321105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IFERROR(VLOOKUP(E131,input_settle_321105!L:R,7,FALSE),VLOOKUP(tables_settle_321105!B131,input_settle_321105!A:H,8,FALSE))</f>
        <v>0</v>
      </c>
      <c r="N131" s="63">
        <f t="shared" ca="1" si="6"/>
        <v>0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input_settle_321105!A$2</f>
        <v>321105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IFERROR(VLOOKUP(E132,input_settle_321105!L:R,7,FALSE),VLOOKUP(tables_settle_321105!B132,input_settle_321105!A:H,8,FALSE))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input_settle_321105!A$2</f>
        <v>321105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IFERROR(VLOOKUP(E133,input_settle_321105!L:R,7,FALSE),VLOOKUP(tables_settle_321105!B133,input_settle_321105!A:H,8,FALSE))</f>
        <v>0</v>
      </c>
      <c r="N133" s="63">
        <f t="shared" ca="1" si="6"/>
        <v>0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input_settle_321105!A$2</f>
        <v>321105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IFERROR(VLOOKUP(E134,input_settle_321105!L:R,7,FALSE),VLOOKUP(tables_settle_321105!B134,input_settle_321105!A:H,8,FALSE))</f>
        <v>0</v>
      </c>
      <c r="N134" s="63">
        <f t="shared" ca="1" si="6"/>
        <v>0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input_settle_321105!A$2</f>
        <v>321105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IFERROR(VLOOKUP(E135,input_settle_321105!L:R,7,FALSE),VLOOKUP(tables_settle_321105!B135,input_settle_321105!A:H,8,FALSE))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input_settle_321105!A$2</f>
        <v>321105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IFERROR(VLOOKUP(E136,input_settle_321105!L:R,7,FALSE),VLOOKUP(tables_settle_321105!B136,input_settle_321105!A:H,8,FALSE))</f>
        <v>0</v>
      </c>
      <c r="N136" s="63">
        <f t="shared" ca="1" si="6"/>
        <v>0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input_settle_321105!A$2</f>
        <v>321105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IFERROR(VLOOKUP(E137,input_settle_321105!L:R,7,FALSE),VLOOKUP(tables_settle_321105!B137,input_settle_321105!A:H,8,FALSE))</f>
        <v>0</v>
      </c>
      <c r="N137" s="63">
        <f t="shared" ca="1" si="6"/>
        <v>0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input_settle_321105!A$2</f>
        <v>321105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IFERROR(VLOOKUP(E138,input_settle_321105!L:R,7,FALSE),VLOOKUP(tables_settle_321105!B138,input_settle_321105!A:H,8,FALSE))</f>
        <v>478800</v>
      </c>
      <c r="N138" s="63">
        <f t="shared" ca="1" si="6"/>
        <v>3.214285714285714E-2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input_settle_321105!A$2</f>
        <v>321105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IFERROR(VLOOKUP(E139,input_settle_321105!L:R,7,FALSE),VLOOKUP(tables_settle_321105!B139,input_settle_321105!A:H,8,FALSE))</f>
        <v>53200</v>
      </c>
      <c r="N139" s="63">
        <f t="shared" ca="1" si="6"/>
        <v>3.5714285714285713E-3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input_settle_321105!A$2</f>
        <v>321105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IFERROR(VLOOKUP(E140,input_settle_321105!L:R,7,FALSE),VLOOKUP(tables_settle_321105!B140,input_settle_321105!A:H,8,FALSE))</f>
        <v>478800</v>
      </c>
      <c r="N140" s="63">
        <f t="shared" ca="1" si="6"/>
        <v>3.214285714285714E-2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input_settle_321105!A$2</f>
        <v>321105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IFERROR(VLOOKUP(E141,input_settle_321105!L:R,7,FALSE),VLOOKUP(tables_settle_321105!B141,input_settle_321105!A:H,8,FALSE))</f>
        <v>53200</v>
      </c>
      <c r="N141" s="63">
        <f t="shared" ca="1" si="6"/>
        <v>3.5714285714285713E-3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input_settle_321105!A$2</f>
        <v>321105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IFERROR(VLOOKUP(E142,input_settle_321105!L:R,7,FALSE),VLOOKUP(tables_settle_321105!B142,input_settle_321105!A:H,8,FALSE))</f>
        <v>478800</v>
      </c>
      <c r="N142" s="63">
        <f t="shared" ca="1" si="6"/>
        <v>3.214285714285714E-2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input_settle_321105!A$2</f>
        <v>321105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IFERROR(VLOOKUP(E143,input_settle_321105!L:R,7,FALSE),VLOOKUP(tables_settle_321105!B143,input_settle_321105!A:H,8,FALSE))</f>
        <v>53200</v>
      </c>
      <c r="N143" s="63">
        <f t="shared" ca="1" si="6"/>
        <v>3.5714285714285713E-3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input_settle_321105!A$2</f>
        <v>321105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IFERROR(VLOOKUP(E144,input_settle_321105!L:R,7,FALSE),VLOOKUP(tables_settle_321105!B144,input_settle_321105!A:H,8,FALSE))</f>
        <v>478800</v>
      </c>
      <c r="N144" s="63">
        <f t="shared" ca="1" si="6"/>
        <v>3.214285714285714E-2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input_settle_321105!A$2</f>
        <v>321105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IFERROR(VLOOKUP(E145,input_settle_321105!L:R,7,FALSE),VLOOKUP(tables_settle_321105!B145,input_settle_321105!A:H,8,FALSE))</f>
        <v>53200</v>
      </c>
      <c r="N145" s="63">
        <f t="shared" ca="1" si="6"/>
        <v>3.5714285714285713E-3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input_settle_321105!A$2</f>
        <v>321105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IFERROR(VLOOKUP(E146,input_settle_321105!L:R,7,FALSE),VLOOKUP(tables_settle_321105!B146,input_settle_321105!A:H,8,FALSE))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input_settle_321105!A$2</f>
        <v>321105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IFERROR(VLOOKUP(E147,input_settle_321105!L:R,7,FALSE),VLOOKUP(tables_settle_321105!B147,input_settle_321105!A:H,8,FALSE))</f>
        <v>0</v>
      </c>
      <c r="N147" s="63">
        <f t="shared" ca="1" si="6"/>
        <v>0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input_settle_321105!A$2</f>
        <v>321105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IFERROR(VLOOKUP(E148,input_settle_321105!L:R,7,FALSE),VLOOKUP(tables_settle_321105!B148,input_settle_321105!A:H,8,FALSE))</f>
        <v>0</v>
      </c>
      <c r="N148" s="63">
        <f t="shared" ca="1" si="6"/>
        <v>0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input_settle_321105!A$2</f>
        <v>321105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IFERROR(VLOOKUP(E149,input_settle_321105!L:R,7,FALSE),VLOOKUP(tables_settle_321105!B149,input_settle_321105!A:H,8,FALSE))</f>
        <v>478800</v>
      </c>
      <c r="N149" s="63">
        <f t="shared" ca="1" si="6"/>
        <v>3.214285714285714E-2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input_settle_321105!A$2</f>
        <v>321105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IFERROR(VLOOKUP(E150,input_settle_321105!L:R,7,FALSE),VLOOKUP(tables_settle_321105!B150,input_settle_321105!A:H,8,FALSE))</f>
        <v>53200</v>
      </c>
      <c r="N150" s="63">
        <f t="shared" ca="1" si="6"/>
        <v>3.5714285714285713E-3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input_settle_321105!A$2</f>
        <v>321105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IFERROR(VLOOKUP(E151,input_settle_321105!L:R,7,FALSE),VLOOKUP(tables_settle_321105!B151,input_settle_321105!A:H,8,FALSE))</f>
        <v>478800</v>
      </c>
      <c r="N151" s="63">
        <f t="shared" ca="1" si="6"/>
        <v>3.214285714285714E-2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input_settle_321105!A$2</f>
        <v>321105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IFERROR(VLOOKUP(E152,input_settle_321105!L:R,7,FALSE),VLOOKUP(tables_settle_321105!B152,input_settle_321105!A:H,8,FALSE))</f>
        <v>53200</v>
      </c>
      <c r="N152" s="63">
        <f t="shared" ca="1" si="6"/>
        <v>3.5714285714285713E-3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input_settle_321105!A$2</f>
        <v>321105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IFERROR(VLOOKUP(E153,input_settle_321105!L:R,7,FALSE),VLOOKUP(tables_settle_321105!B153,input_settle_321105!A:H,8,FALSE))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input_settle_321105!A$2</f>
        <v>321105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IFERROR(VLOOKUP(E154,input_settle_321105!L:R,7,FALSE),VLOOKUP(tables_settle_321105!B154,input_settle_321105!A:H,8,FALSE))</f>
        <v>0</v>
      </c>
      <c r="N154" s="63">
        <f t="shared" ca="1" si="6"/>
        <v>0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input_settle_321105!A$2</f>
        <v>321105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IFERROR(VLOOKUP(E155,input_settle_321105!L:R,7,FALSE),VLOOKUP(tables_settle_321105!B155,input_settle_321105!A:H,8,FALSE))</f>
        <v>0</v>
      </c>
      <c r="N155" s="63">
        <f t="shared" ca="1" si="6"/>
        <v>0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input_settle_321105!A$2</f>
        <v>321105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IFERROR(VLOOKUP(E156,input_settle_321105!L:R,7,FALSE),VLOOKUP(tables_settle_321105!B156,input_settle_321105!A:H,8,FALSE))</f>
        <v>478800</v>
      </c>
      <c r="N156" s="63">
        <f t="shared" ca="1" si="6"/>
        <v>3.214285714285714E-2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input_settle_321105!A$2</f>
        <v>321105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IFERROR(VLOOKUP(E157,input_settle_321105!L:R,7,FALSE),VLOOKUP(tables_settle_321105!B157,input_settle_321105!A:H,8,FALSE))</f>
        <v>53200</v>
      </c>
      <c r="N157" s="63">
        <f t="shared" ca="1" si="6"/>
        <v>3.5714285714285713E-3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input_settle_321105!A$2</f>
        <v>321105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IFERROR(VLOOKUP(E158,input_settle_321105!L:R,7,FALSE),VLOOKUP(tables_settle_321105!B158,input_settle_321105!A:H,8,FALSE))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input_settle_321105!A$2</f>
        <v>321105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IFERROR(VLOOKUP(E159,input_settle_321105!L:R,7,FALSE),VLOOKUP(tables_settle_321105!B159,input_settle_321105!A:H,8,FALSE))</f>
        <v>0</v>
      </c>
      <c r="N159" s="63">
        <f t="shared" ca="1" si="6"/>
        <v>0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input_settle_321105!A$2</f>
        <v>321105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IFERROR(VLOOKUP(E160,input_settle_321105!L:R,7,FALSE),VLOOKUP(tables_settle_321105!B160,input_settle_321105!A:H,8,FALSE))</f>
        <v>0</v>
      </c>
      <c r="N160" s="63">
        <f t="shared" ca="1" si="6"/>
        <v>0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input_settle_321105!A$2</f>
        <v>321105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IFERROR(VLOOKUP(E161,input_settle_321105!L:R,7,FALSE),VLOOKUP(tables_settle_321105!B161,input_settle_321105!A:H,8,FALSE))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input_settle_321105!A$2</f>
        <v>321105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IFERROR(VLOOKUP(E162,input_settle_321105!L:R,7,FALSE),VLOOKUP(tables_settle_321105!B162,input_settle_321105!A:H,8,FALSE))</f>
        <v>0</v>
      </c>
      <c r="N162" s="63">
        <f t="shared" ca="1" si="6"/>
        <v>0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input_settle_321105!A$2</f>
        <v>321105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IFERROR(VLOOKUP(E163,input_settle_321105!L:R,7,FALSE),VLOOKUP(tables_settle_321105!B163,input_settle_321105!A:H,8,FALSE))</f>
        <v>0</v>
      </c>
      <c r="N163" s="63">
        <f t="shared" ca="1" si="6"/>
        <v>0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input_settle_321105!A$2</f>
        <v>321105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IFERROR(VLOOKUP(E164,input_settle_321105!L:R,7,FALSE),VLOOKUP(tables_settle_321105!B164,input_settle_321105!A:H,8,FALSE))</f>
        <v>478800</v>
      </c>
      <c r="N164" s="63">
        <f t="shared" ca="1" si="6"/>
        <v>3.214285714285714E-2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input_settle_321105!A$2</f>
        <v>321105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IFERROR(VLOOKUP(E165,input_settle_321105!L:R,7,FALSE),VLOOKUP(tables_settle_321105!B165,input_settle_321105!A:H,8,FALSE))</f>
        <v>53200</v>
      </c>
      <c r="N165" s="63">
        <f t="shared" ca="1" si="6"/>
        <v>3.5714285714285713E-3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input_settle_321105!A$2</f>
        <v>321105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IFERROR(VLOOKUP(E166,input_settle_321105!L:R,7,FALSE),VLOOKUP(tables_settle_321105!B166,input_settle_321105!A:H,8,FALSE))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input_settle_321105!A$2</f>
        <v>321105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IFERROR(VLOOKUP(E167,input_settle_321105!L:R,7,FALSE),VLOOKUP(tables_settle_321105!B167,input_settle_321105!A:H,8,FALSE))</f>
        <v>0</v>
      </c>
      <c r="N167" s="63">
        <f t="shared" ca="1" si="6"/>
        <v>0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input_settle_321105!A$2</f>
        <v>321105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IFERROR(VLOOKUP(E168,input_settle_321105!L:R,7,FALSE),VLOOKUP(tables_settle_321105!B168,input_settle_321105!A:H,8,FALSE))</f>
        <v>0</v>
      </c>
      <c r="N168" s="63">
        <f t="shared" ca="1" si="6"/>
        <v>0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input_settle_321105!A$2</f>
        <v>321105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IFERROR(VLOOKUP(E169,input_settle_321105!L:R,7,FALSE),VLOOKUP(tables_settle_321105!B169,input_settle_321105!A:H,8,FALSE))</f>
        <v>478800</v>
      </c>
      <c r="N169" s="63">
        <f t="shared" ca="1" si="6"/>
        <v>3.214285714285714E-2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input_settle_321105!A$2</f>
        <v>321105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IFERROR(VLOOKUP(E170,input_settle_321105!L:R,7,FALSE),VLOOKUP(tables_settle_321105!B170,input_settle_321105!A:H,8,FALSE))</f>
        <v>53200</v>
      </c>
      <c r="N170" s="63">
        <f t="shared" ca="1" si="6"/>
        <v>3.5714285714285713E-3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input_settle_321105!A$2</f>
        <v>321105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IFERROR(VLOOKUP(E171,input_settle_321105!L:R,7,FALSE),VLOOKUP(tables_settle_321105!B171,input_settle_321105!A:H,8,FALSE))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input_settle_321105!A$2</f>
        <v>321105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IFERROR(VLOOKUP(E172,input_settle_321105!L:R,7,FALSE),VLOOKUP(tables_settle_321105!B172,input_settle_321105!A:H,8,FALSE))</f>
        <v>0</v>
      </c>
      <c r="N172" s="63">
        <f t="shared" ca="1" si="6"/>
        <v>0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input_settle_321105!A$2</f>
        <v>321105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IFERROR(VLOOKUP(E173,input_settle_321105!L:R,7,FALSE),VLOOKUP(tables_settle_321105!B173,input_settle_321105!A:H,8,FALSE))</f>
        <v>0</v>
      </c>
      <c r="N173" s="63">
        <f t="shared" ca="1" si="6"/>
        <v>0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input_settle_321105!A$2</f>
        <v>321105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IFERROR(VLOOKUP(E174,input_settle_321105!L:R,7,FALSE),VLOOKUP(tables_settle_321105!B174,input_settle_321105!A:H,8,FALSE))</f>
        <v>478800</v>
      </c>
      <c r="N174" s="63">
        <f t="shared" ca="1" si="6"/>
        <v>3.214285714285714E-2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input_settle_321105!A$2</f>
        <v>321105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IFERROR(VLOOKUP(E175,input_settle_321105!L:R,7,FALSE),VLOOKUP(tables_settle_321105!B175,input_settle_321105!A:H,8,FALSE))</f>
        <v>53200</v>
      </c>
      <c r="N175" s="63">
        <f t="shared" ca="1" si="6"/>
        <v>3.5714285714285713E-3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input_settle_321105!A$2</f>
        <v>321105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IFERROR(VLOOKUP(E176,input_settle_321105!L:R,7,FALSE),VLOOKUP(tables_settle_321105!B176,input_settle_321105!A:H,8,FALSE))</f>
        <v>478800</v>
      </c>
      <c r="N176" s="63">
        <f t="shared" ca="1" si="6"/>
        <v>3.214285714285714E-2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input_settle_321105!A$2</f>
        <v>321105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IFERROR(VLOOKUP(E177,input_settle_321105!L:R,7,FALSE),VLOOKUP(tables_settle_321105!B177,input_settle_321105!A:H,8,FALSE))</f>
        <v>53200</v>
      </c>
      <c r="N177" s="63">
        <f t="shared" ca="1" si="6"/>
        <v>3.5714285714285713E-3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input_settle_321105!A$2</f>
        <v>321105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IFERROR(VLOOKUP(E178,input_settle_321105!L:R,7,FALSE),VLOOKUP(tables_settle_321105!B178,input_settle_321105!A:H,8,FALSE))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input_settle_321105!A$2</f>
        <v>321105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IFERROR(VLOOKUP(E179,input_settle_321105!L:R,7,FALSE),VLOOKUP(tables_settle_321105!B179,input_settle_321105!A:H,8,FALSE))</f>
        <v>0</v>
      </c>
      <c r="N179" s="63">
        <f t="shared" ca="1" si="6"/>
        <v>0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input_settle_321105!A$2</f>
        <v>321105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IFERROR(VLOOKUP(E180,input_settle_321105!L:R,7,FALSE),VLOOKUP(tables_settle_321105!B180,input_settle_321105!A:H,8,FALSE))</f>
        <v>0</v>
      </c>
      <c r="N180" s="63">
        <f t="shared" ca="1" si="6"/>
        <v>0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input_settle_321105!A$2</f>
        <v>321105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IFERROR(VLOOKUP(E181,input_settle_321105!L:R,7,FALSE),VLOOKUP(tables_settle_321105!B181,input_settle_321105!A:H,8,FALSE))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input_settle_321105!A$2</f>
        <v>321105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IFERROR(VLOOKUP(E182,input_settle_321105!L:R,7,FALSE),VLOOKUP(tables_settle_321105!B182,input_settle_321105!A:H,8,FALSE))</f>
        <v>0</v>
      </c>
      <c r="N182" s="63">
        <f t="shared" ca="1" si="6"/>
        <v>0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input_settle_321105!A$2</f>
        <v>321105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IFERROR(VLOOKUP(E183,input_settle_321105!L:R,7,FALSE),VLOOKUP(tables_settle_321105!B183,input_settle_321105!A:H,8,FALSE))</f>
        <v>0</v>
      </c>
      <c r="N183" s="63">
        <f t="shared" ca="1" si="6"/>
        <v>0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input_settle_321105!A$2</f>
        <v>321105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IFERROR(VLOOKUP(E184,input_settle_321105!L:R,7,FALSE),VLOOKUP(tables_settle_321105!B184,input_settle_321105!A:H,8,FALSE))</f>
        <v>478800</v>
      </c>
      <c r="N184" s="63">
        <f t="shared" ca="1" si="6"/>
        <v>3.214285714285714E-2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input_settle_321105!A$2</f>
        <v>321105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IFERROR(VLOOKUP(E185,input_settle_321105!L:R,7,FALSE),VLOOKUP(tables_settle_321105!B185,input_settle_321105!A:H,8,FALSE))</f>
        <v>53200</v>
      </c>
      <c r="N185" s="63">
        <f t="shared" ca="1" si="6"/>
        <v>3.5714285714285713E-3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input_settle_321105!A$2</f>
        <v>321105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IFERROR(VLOOKUP(E186,input_settle_321105!L:R,7,FALSE),VLOOKUP(tables_settle_321105!B186,input_settle_321105!A:H,8,FALSE))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input_settle_321105!A$2</f>
        <v>321105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IFERROR(VLOOKUP(E187,input_settle_321105!L:R,7,FALSE),VLOOKUP(tables_settle_321105!B187,input_settle_321105!A:H,8,FALSE))</f>
        <v>0</v>
      </c>
      <c r="N187" s="63">
        <f t="shared" ca="1" si="6"/>
        <v>0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input_settle_321105!A$2</f>
        <v>321105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IFERROR(VLOOKUP(E188,input_settle_321105!L:R,7,FALSE),VLOOKUP(tables_settle_321105!B188,input_settle_321105!A:H,8,FALSE))</f>
        <v>0</v>
      </c>
      <c r="N188" s="63">
        <f t="shared" ca="1" si="6"/>
        <v>0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input_settle_321105!A$2</f>
        <v>321105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IFERROR(VLOOKUP(E189,input_settle_321105!L:R,7,FALSE),VLOOKUP(tables_settle_321105!B189,input_settle_321105!A:H,8,FALSE))</f>
        <v>478800</v>
      </c>
      <c r="N189" s="63">
        <f t="shared" ca="1" si="6"/>
        <v>3.214285714285714E-2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input_settle_321105!A$2</f>
        <v>321105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IFERROR(VLOOKUP(E190,input_settle_321105!L:R,7,FALSE),VLOOKUP(tables_settle_321105!B190,input_settle_321105!A:H,8,FALSE))</f>
        <v>53200</v>
      </c>
      <c r="N190" s="63">
        <f t="shared" ca="1" si="6"/>
        <v>3.5714285714285713E-3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input_settle_321105!A$2</f>
        <v>321105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IFERROR(VLOOKUP(E191,input_settle_321105!L:R,7,FALSE),VLOOKUP(tables_settle_321105!B191,input_settle_321105!A:H,8,FALSE))</f>
        <v>478800</v>
      </c>
      <c r="N191" s="63">
        <f t="shared" ca="1" si="6"/>
        <v>3.214285714285714E-2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input_settle_321105!A$2</f>
        <v>321105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IFERROR(VLOOKUP(E192,input_settle_321105!L:R,7,FALSE),VLOOKUP(tables_settle_321105!B192,input_settle_321105!A:H,8,FALSE))</f>
        <v>53200</v>
      </c>
      <c r="N192" s="63">
        <f t="shared" ca="1" si="6"/>
        <v>3.5714285714285713E-3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input_settle_321105!A$2</f>
        <v>321105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IFERROR(VLOOKUP(E193,input_settle_321105!L:R,7,FALSE),VLOOKUP(tables_settle_321105!B193,input_settle_321105!A:H,8,FALSE))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input_settle_321105!A$2</f>
        <v>321105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IFERROR(VLOOKUP(E194,input_settle_321105!L:R,7,FALSE),VLOOKUP(tables_settle_321105!B194,input_settle_321105!A:H,8,FALSE))</f>
        <v>0</v>
      </c>
      <c r="N194" s="63">
        <f t="shared" ref="N194:N257" ca="1" si="9">M194/SUM(M:M)</f>
        <v>0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input_settle_321105!A$2</f>
        <v>321105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IFERROR(VLOOKUP(E195,input_settle_321105!L:R,7,FALSE),VLOOKUP(tables_settle_321105!B195,input_settle_321105!A:H,8,FALSE))</f>
        <v>0</v>
      </c>
      <c r="N195" s="63">
        <f t="shared" ca="1" si="9"/>
        <v>0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input_settle_321105!A$2</f>
        <v>321105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IFERROR(VLOOKUP(E196,input_settle_321105!L:R,7,FALSE),VLOOKUP(tables_settle_321105!B196,input_settle_321105!A:H,8,FALSE))</f>
        <v>478800</v>
      </c>
      <c r="N196" s="63">
        <f t="shared" ca="1" si="9"/>
        <v>3.214285714285714E-2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input_settle_321105!A$2</f>
        <v>321105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IFERROR(VLOOKUP(E197,input_settle_321105!L:R,7,FALSE),VLOOKUP(tables_settle_321105!B197,input_settle_321105!A:H,8,FALSE))</f>
        <v>53200</v>
      </c>
      <c r="N197" s="63">
        <f t="shared" ca="1" si="9"/>
        <v>3.5714285714285713E-3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input_settle_321105!A$2</f>
        <v>321105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IFERROR(VLOOKUP(E198,input_settle_321105!L:R,7,FALSE),VLOOKUP(tables_settle_321105!B198,input_settle_321105!A:H,8,FALSE))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input_settle_321105!A$2</f>
        <v>321105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IFERROR(VLOOKUP(E199,input_settle_321105!L:R,7,FALSE),VLOOKUP(tables_settle_321105!B199,input_settle_321105!A:H,8,FALSE))</f>
        <v>0</v>
      </c>
      <c r="N199" s="63">
        <f t="shared" ca="1" si="9"/>
        <v>0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input_settle_321105!A$2</f>
        <v>321105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IFERROR(VLOOKUP(E200,input_settle_321105!L:R,7,FALSE),VLOOKUP(tables_settle_321105!B200,input_settle_321105!A:H,8,FALSE))</f>
        <v>0</v>
      </c>
      <c r="N200" s="63">
        <f t="shared" ca="1" si="9"/>
        <v>0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input_settle_321105!A$2</f>
        <v>321105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IFERROR(VLOOKUP(E201,input_settle_321105!L:R,7,FALSE),VLOOKUP(tables_settle_321105!B201,input_settle_321105!A:H,8,FALSE))</f>
        <v>478800</v>
      </c>
      <c r="N201" s="63">
        <f t="shared" ca="1" si="9"/>
        <v>3.214285714285714E-2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input_settle_321105!A$2</f>
        <v>321105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IFERROR(VLOOKUP(E202,input_settle_321105!L:R,7,FALSE),VLOOKUP(tables_settle_321105!B202,input_settle_321105!A:H,8,FALSE))</f>
        <v>53200</v>
      </c>
      <c r="N202" s="63">
        <f t="shared" ca="1" si="9"/>
        <v>3.5714285714285713E-3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input_settle_321105!A$2</f>
        <v>321105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IFERROR(VLOOKUP(E203,input_settle_321105!L:R,7,FALSE),VLOOKUP(tables_settle_321105!B203,input_settle_321105!A:H,8,FALSE))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input_settle_321105!A$2</f>
        <v>321105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IFERROR(VLOOKUP(E204,input_settle_321105!L:R,7,FALSE),VLOOKUP(tables_settle_321105!B204,input_settle_321105!A:H,8,FALSE))</f>
        <v>0</v>
      </c>
      <c r="N204" s="63">
        <f t="shared" ca="1" si="9"/>
        <v>0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input_settle_321105!A$2</f>
        <v>321105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IFERROR(VLOOKUP(E205,input_settle_321105!L:R,7,FALSE),VLOOKUP(tables_settle_321105!B205,input_settle_321105!A:H,8,FALSE))</f>
        <v>0</v>
      </c>
      <c r="N205" s="63">
        <f t="shared" ca="1" si="9"/>
        <v>0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input_settle_321105!A$2</f>
        <v>321105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IFERROR(VLOOKUP(E206,input_settle_321105!L:R,7,FALSE),VLOOKUP(tables_settle_321105!B206,input_settle_321105!A:H,8,FALSE))</f>
        <v>478800</v>
      </c>
      <c r="N206" s="63">
        <f t="shared" ca="1" si="9"/>
        <v>3.214285714285714E-2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input_settle_321105!A$2</f>
        <v>321105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IFERROR(VLOOKUP(E207,input_settle_321105!L:R,7,FALSE),VLOOKUP(tables_settle_321105!B207,input_settle_321105!A:H,8,FALSE))</f>
        <v>53200</v>
      </c>
      <c r="N207" s="63">
        <f t="shared" ca="1" si="9"/>
        <v>3.5714285714285713E-3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input_settle_321105!A$2</f>
        <v>321105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IFERROR(VLOOKUP(E208,input_settle_321105!L:R,7,FALSE),VLOOKUP(tables_settle_321105!B208,input_settle_321105!A:H,8,FALSE))</f>
        <v>478800</v>
      </c>
      <c r="N208" s="63">
        <f t="shared" ca="1" si="9"/>
        <v>3.214285714285714E-2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input_settle_321105!A$2</f>
        <v>321105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IFERROR(VLOOKUP(E209,input_settle_321105!L:R,7,FALSE),VLOOKUP(tables_settle_321105!B209,input_settle_321105!A:H,8,FALSE))</f>
        <v>53200</v>
      </c>
      <c r="N209" s="63">
        <f t="shared" ca="1" si="9"/>
        <v>3.5714285714285713E-3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input_settle_321105!A$2</f>
        <v>321105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IFERROR(VLOOKUP(E210,input_settle_321105!L:R,7,FALSE),VLOOKUP(tables_settle_321105!B210,input_settle_321105!A:H,8,FALSE))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input_settle_321105!A$2</f>
        <v>321105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IFERROR(VLOOKUP(E211,input_settle_321105!L:R,7,FALSE),VLOOKUP(tables_settle_321105!B211,input_settle_321105!A:H,8,FALSE))</f>
        <v>0</v>
      </c>
      <c r="N211" s="63">
        <f t="shared" ca="1" si="9"/>
        <v>0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input_settle_321105!A$2</f>
        <v>321105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IFERROR(VLOOKUP(E212,input_settle_321105!L:R,7,FALSE),VLOOKUP(tables_settle_321105!B212,input_settle_321105!A:H,8,FALSE))</f>
        <v>0</v>
      </c>
      <c r="N212" s="63">
        <f t="shared" ca="1" si="9"/>
        <v>0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input_settle_321105!A$2</f>
        <v>321105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IFERROR(VLOOKUP(E213,input_settle_321105!L:R,7,FALSE),VLOOKUP(tables_settle_321105!B213,input_settle_321105!A:H,8,FALSE))</f>
        <v>478800</v>
      </c>
      <c r="N213" s="63">
        <f t="shared" ca="1" si="9"/>
        <v>3.214285714285714E-2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input_settle_321105!A$2</f>
        <v>321105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IFERROR(VLOOKUP(E214,input_settle_321105!L:R,7,FALSE),VLOOKUP(tables_settle_321105!B214,input_settle_321105!A:H,8,FALSE))</f>
        <v>53200</v>
      </c>
      <c r="N214" s="63">
        <f t="shared" ca="1" si="9"/>
        <v>3.5714285714285713E-3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input_settle_321105!A$2</f>
        <v>321105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IFERROR(VLOOKUP(E215,input_settle_321105!L:R,7,FALSE),VLOOKUP(tables_settle_321105!B215,input_settle_321105!A:H,8,FALSE))</f>
        <v>478800</v>
      </c>
      <c r="N215" s="63">
        <f t="shared" ca="1" si="9"/>
        <v>3.214285714285714E-2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input_settle_321105!A$2</f>
        <v>321105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IFERROR(VLOOKUP(E216,input_settle_321105!L:R,7,FALSE),VLOOKUP(tables_settle_321105!B216,input_settle_321105!A:H,8,FALSE))</f>
        <v>53200</v>
      </c>
      <c r="N216" s="63">
        <f t="shared" ca="1" si="9"/>
        <v>3.5714285714285713E-3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input_settle_321105!A$2</f>
        <v>321105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IFERROR(VLOOKUP(E217,input_settle_321105!L:R,7,FALSE),VLOOKUP(tables_settle_321105!B217,input_settle_321105!A:H,8,FALSE))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input_settle_321105!A$2</f>
        <v>321105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IFERROR(VLOOKUP(E218,input_settle_321105!L:R,7,FALSE),VLOOKUP(tables_settle_321105!B218,input_settle_321105!A:H,8,FALSE))</f>
        <v>0</v>
      </c>
      <c r="N218" s="63">
        <f t="shared" ca="1" si="9"/>
        <v>0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input_settle_321105!A$2</f>
        <v>321105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IFERROR(VLOOKUP(E219,input_settle_321105!L:R,7,FALSE),VLOOKUP(tables_settle_321105!B219,input_settle_321105!A:H,8,FALSE))</f>
        <v>0</v>
      </c>
      <c r="N219" s="63">
        <f t="shared" ca="1" si="9"/>
        <v>0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input_settle_321105!A$2</f>
        <v>321105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IFERROR(VLOOKUP(E220,input_settle_321105!L:R,7,FALSE),VLOOKUP(tables_settle_321105!B220,input_settle_321105!A:H,8,FALSE))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input_settle_321105!A$2</f>
        <v>321105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IFERROR(VLOOKUP(E221,input_settle_321105!L:R,7,FALSE),VLOOKUP(tables_settle_321105!B221,input_settle_321105!A:H,8,FALSE))</f>
        <v>0</v>
      </c>
      <c r="N221" s="63">
        <f t="shared" ca="1" si="9"/>
        <v>0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input_settle_321105!A$2</f>
        <v>321105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IFERROR(VLOOKUP(E222,input_settle_321105!L:R,7,FALSE),VLOOKUP(tables_settle_321105!B222,input_settle_321105!A:H,8,FALSE))</f>
        <v>0</v>
      </c>
      <c r="N222" s="63">
        <f t="shared" ca="1" si="9"/>
        <v>0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input_settle_321105!A$2</f>
        <v>321105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IFERROR(VLOOKUP(E223,input_settle_321105!L:R,7,FALSE),VLOOKUP(tables_settle_321105!B223,input_settle_321105!A:H,8,FALSE))</f>
        <v>478800</v>
      </c>
      <c r="N223" s="63">
        <f t="shared" ca="1" si="9"/>
        <v>3.214285714285714E-2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input_settle_321105!A$2</f>
        <v>321105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IFERROR(VLOOKUP(E224,input_settle_321105!L:R,7,FALSE),VLOOKUP(tables_settle_321105!B224,input_settle_321105!A:H,8,FALSE))</f>
        <v>53200</v>
      </c>
      <c r="N224" s="63">
        <f t="shared" ca="1" si="9"/>
        <v>3.5714285714285713E-3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input_settle_321105!A$2</f>
        <v>321105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IFERROR(VLOOKUP(E225,input_settle_321105!L:R,7,FALSE),VLOOKUP(tables_settle_321105!B225,input_settle_321105!A:H,8,FALSE))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input_settle_321105!A$2</f>
        <v>321105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IFERROR(VLOOKUP(E226,input_settle_321105!L:R,7,FALSE),VLOOKUP(tables_settle_321105!B226,input_settle_321105!A:H,8,FALSE))</f>
        <v>0</v>
      </c>
      <c r="N226" s="63">
        <f t="shared" ca="1" si="9"/>
        <v>0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input_settle_321105!A$2</f>
        <v>321105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IFERROR(VLOOKUP(E227,input_settle_321105!L:R,7,FALSE),VLOOKUP(tables_settle_321105!B227,input_settle_321105!A:H,8,FALSE))</f>
        <v>0</v>
      </c>
      <c r="N227" s="63">
        <f t="shared" ca="1" si="9"/>
        <v>0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input_settle_321105!A$2</f>
        <v>321105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IFERROR(VLOOKUP(E228,input_settle_321105!L:R,7,FALSE),VLOOKUP(tables_settle_321105!B228,input_settle_321105!A:H,8,FALSE))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input_settle_321105!A$2</f>
        <v>321105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IFERROR(VLOOKUP(E229,input_settle_321105!L:R,7,FALSE),VLOOKUP(tables_settle_321105!B229,input_settle_321105!A:H,8,FALSE))</f>
        <v>0</v>
      </c>
      <c r="N229" s="63">
        <f t="shared" ca="1" si="9"/>
        <v>0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input_settle_321105!A$2</f>
        <v>321105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IFERROR(VLOOKUP(E230,input_settle_321105!L:R,7,FALSE),VLOOKUP(tables_settle_321105!B230,input_settle_321105!A:H,8,FALSE))</f>
        <v>0</v>
      </c>
      <c r="N230" s="63">
        <f t="shared" ca="1" si="9"/>
        <v>0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input_settle_321105!A$2</f>
        <v>321105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IFERROR(VLOOKUP(E231,input_settle_321105!L:R,7,FALSE),VLOOKUP(tables_settle_321105!B231,input_settle_321105!A:H,8,FALSE))</f>
        <v>478800</v>
      </c>
      <c r="N231" s="63">
        <f t="shared" ca="1" si="9"/>
        <v>3.214285714285714E-2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input_settle_321105!A$2</f>
        <v>321105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IFERROR(VLOOKUP(E232,input_settle_321105!L:R,7,FALSE),VLOOKUP(tables_settle_321105!B232,input_settle_321105!A:H,8,FALSE))</f>
        <v>53200</v>
      </c>
      <c r="N232" s="63">
        <f t="shared" ca="1" si="9"/>
        <v>3.5714285714285713E-3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input_settle_321105!A$2</f>
        <v>321105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IFERROR(VLOOKUP(E233,input_settle_321105!L:R,7,FALSE),VLOOKUP(tables_settle_321105!B233,input_settle_321105!A:H,8,FALSE))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input_settle_321105!A$2</f>
        <v>321105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IFERROR(VLOOKUP(E234,input_settle_321105!L:R,7,FALSE),VLOOKUP(tables_settle_321105!B234,input_settle_321105!A:H,8,FALSE))</f>
        <v>0</v>
      </c>
      <c r="N234" s="63">
        <f t="shared" ca="1" si="9"/>
        <v>0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input_settle_321105!A$2</f>
        <v>321105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IFERROR(VLOOKUP(E235,input_settle_321105!L:R,7,FALSE),VLOOKUP(tables_settle_321105!B235,input_settle_321105!A:H,8,FALSE))</f>
        <v>0</v>
      </c>
      <c r="N235" s="63">
        <f t="shared" ca="1" si="9"/>
        <v>0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input_settle_321105!A$2</f>
        <v>321105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IFERROR(VLOOKUP(E236,input_settle_321105!L:R,7,FALSE),VLOOKUP(tables_settle_321105!B236,input_settle_321105!A:H,8,FALSE))</f>
        <v>478800</v>
      </c>
      <c r="N236" s="63">
        <f t="shared" ca="1" si="9"/>
        <v>3.214285714285714E-2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input_settle_321105!A$2</f>
        <v>321105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IFERROR(VLOOKUP(E237,input_settle_321105!L:R,7,FALSE),VLOOKUP(tables_settle_321105!B237,input_settle_321105!A:H,8,FALSE))</f>
        <v>53200</v>
      </c>
      <c r="N237" s="63">
        <f t="shared" ca="1" si="9"/>
        <v>3.5714285714285713E-3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input_settle_321105!A$2</f>
        <v>321105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IFERROR(VLOOKUP(E238,input_settle_321105!L:R,7,FALSE),VLOOKUP(tables_settle_321105!B238,input_settle_321105!A:H,8,FALSE))</f>
        <v>478800</v>
      </c>
      <c r="N238" s="63">
        <f t="shared" ca="1" si="9"/>
        <v>3.214285714285714E-2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input_settle_321105!A$2</f>
        <v>321105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IFERROR(VLOOKUP(E239,input_settle_321105!L:R,7,FALSE),VLOOKUP(tables_settle_321105!B239,input_settle_321105!A:H,8,FALSE))</f>
        <v>53200</v>
      </c>
      <c r="N239" s="63">
        <f t="shared" ca="1" si="9"/>
        <v>3.5714285714285713E-3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input_settle_321105!A$2</f>
        <v>321105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IFERROR(VLOOKUP(E240,input_settle_321105!L:R,7,FALSE),VLOOKUP(tables_settle_321105!B240,input_settle_321105!A:H,8,FALSE))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input_settle_321105!A$2</f>
        <v>321105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IFERROR(VLOOKUP(E241,input_settle_321105!L:R,7,FALSE),VLOOKUP(tables_settle_321105!B241,input_settle_321105!A:H,8,FALSE))</f>
        <v>0</v>
      </c>
      <c r="N241" s="63">
        <f t="shared" ca="1" si="9"/>
        <v>0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input_settle_321105!A$2</f>
        <v>321105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IFERROR(VLOOKUP(E242,input_settle_321105!L:R,7,FALSE),VLOOKUP(tables_settle_321105!B242,input_settle_321105!A:H,8,FALSE))</f>
        <v>0</v>
      </c>
      <c r="N242" s="63">
        <f t="shared" ca="1" si="9"/>
        <v>0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input_settle_321105!A$2</f>
        <v>321105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IFERROR(VLOOKUP(E243,input_settle_321105!L:R,7,FALSE),VLOOKUP(tables_settle_321105!B243,input_settle_321105!A:H,8,FALSE))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input_settle_321105!A$2</f>
        <v>321105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IFERROR(VLOOKUP(E244,input_settle_321105!L:R,7,FALSE),VLOOKUP(tables_settle_321105!B244,input_settle_321105!A:H,8,FALSE))</f>
        <v>0</v>
      </c>
      <c r="N244" s="63">
        <f t="shared" ca="1" si="9"/>
        <v>0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input_settle_321105!A$2</f>
        <v>321105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IFERROR(VLOOKUP(E245,input_settle_321105!L:R,7,FALSE),VLOOKUP(tables_settle_321105!B245,input_settle_321105!A:H,8,FALSE))</f>
        <v>0</v>
      </c>
      <c r="N245" s="63">
        <f t="shared" ca="1" si="9"/>
        <v>0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input_settle_321105!A$2</f>
        <v>321105</v>
      </c>
      <c r="B246" s="7" t="str">
        <f t="shared" si="10"/>
        <v>Premium3</v>
      </c>
      <c r="C246" s="7" t="str">
        <f t="shared" si="11"/>
        <v>Premium</v>
      </c>
      <c r="D246" s="7"/>
      <c r="E246" s="84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IFERROR(VLOOKUP(E246,input_settle_321105!L:R,7,FALSE),VLOOKUP(tables_settle_321105!B246,input_settle_321105!A:H,8,FALSE))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input_settle_321105!A$2</f>
        <v>321105</v>
      </c>
      <c r="B247" s="7" t="str">
        <f t="shared" si="10"/>
        <v>Premium4</v>
      </c>
      <c r="C247" s="7" t="str">
        <f t="shared" si="11"/>
        <v>Premium</v>
      </c>
      <c r="D247" s="7"/>
      <c r="E247" s="84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IFERROR(VLOOKUP(E247,input_settle_321105!L:R,7,FALSE),VLOOKUP(tables_settle_321105!B247,input_settle_321105!A:H,8,FALSE))</f>
        <v>0</v>
      </c>
      <c r="N247" s="63">
        <f t="shared" ca="1" si="9"/>
        <v>0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input_settle_321105!A$2</f>
        <v>321105</v>
      </c>
      <c r="B248" s="7" t="str">
        <f t="shared" si="10"/>
        <v>Premium5</v>
      </c>
      <c r="C248" s="7" t="str">
        <f t="shared" si="11"/>
        <v>Premium</v>
      </c>
      <c r="D248" s="7"/>
      <c r="E248" s="84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IFERROR(VLOOKUP(E248,input_settle_321105!L:R,7,FALSE),VLOOKUP(tables_settle_321105!B248,input_settle_321105!A:H,8,FALSE))</f>
        <v>0</v>
      </c>
      <c r="N248" s="63">
        <f t="shared" ca="1" si="9"/>
        <v>0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input_settle_321105!A$2</f>
        <v>321105</v>
      </c>
      <c r="B249" s="7" t="str">
        <f t="shared" si="10"/>
        <v>Premium3</v>
      </c>
      <c r="C249" s="7" t="str">
        <f t="shared" si="11"/>
        <v>Premium</v>
      </c>
      <c r="D249" s="7"/>
      <c r="E249" s="84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IFERROR(VLOOKUP(E249,input_settle_321105!L:R,7,FALSE),VLOOKUP(tables_settle_321105!B249,input_settle_321105!A:H,8,FALSE))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input_settle_321105!A$2</f>
        <v>321105</v>
      </c>
      <c r="B250" s="7" t="str">
        <f t="shared" si="10"/>
        <v>Premium4</v>
      </c>
      <c r="C250" s="7" t="str">
        <f t="shared" si="11"/>
        <v>Premium</v>
      </c>
      <c r="D250" s="7"/>
      <c r="E250" s="84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IFERROR(VLOOKUP(E250,input_settle_321105!L:R,7,FALSE),VLOOKUP(tables_settle_321105!B250,input_settle_321105!A:H,8,FALSE))</f>
        <v>0</v>
      </c>
      <c r="N250" s="63">
        <f t="shared" ca="1" si="9"/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input_settle_321105!A$2</f>
        <v>321105</v>
      </c>
      <c r="B251" s="7" t="str">
        <f t="shared" si="10"/>
        <v>Premium5</v>
      </c>
      <c r="C251" s="7" t="str">
        <f t="shared" si="11"/>
        <v>Premium</v>
      </c>
      <c r="D251" s="7"/>
      <c r="E251" s="84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IFERROR(VLOOKUP(E251,input_settle_321105!L:R,7,FALSE),VLOOKUP(tables_settle_321105!B251,input_settle_321105!A:H,8,FALSE))</f>
        <v>0</v>
      </c>
      <c r="N251" s="63">
        <f t="shared" ca="1" si="9"/>
        <v>0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input_settle_321105!A$2</f>
        <v>321105</v>
      </c>
      <c r="B252" s="7" t="str">
        <f t="shared" si="10"/>
        <v>PremiumSS4</v>
      </c>
      <c r="C252" s="7" t="str">
        <f t="shared" si="11"/>
        <v>PremiumSS</v>
      </c>
      <c r="D252" s="7"/>
      <c r="E252" s="84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IFERROR(VLOOKUP(E252,input_settle_321105!L:R,7,FALSE),VLOOKUP(tables_settle_321105!B252,input_settle_321105!A:H,8,FALSE))</f>
        <v>478800</v>
      </c>
      <c r="N252" s="63">
        <f t="shared" ca="1" si="9"/>
        <v>3.214285714285714E-2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input_settle_321105!A$2</f>
        <v>321105</v>
      </c>
      <c r="B253" s="7" t="str">
        <f t="shared" si="10"/>
        <v>PremiumSS5</v>
      </c>
      <c r="C253" s="7" t="str">
        <f t="shared" si="11"/>
        <v>PremiumSS</v>
      </c>
      <c r="D253" s="7"/>
      <c r="E253" s="84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IFERROR(VLOOKUP(E253,input_settle_321105!L:R,7,FALSE),VLOOKUP(tables_settle_321105!B253,input_settle_321105!A:H,8,FALSE))</f>
        <v>53200</v>
      </c>
      <c r="N253" s="63">
        <f t="shared" ca="1" si="9"/>
        <v>3.5714285714285713E-3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input_settle_321105!A$2</f>
        <v>321105</v>
      </c>
      <c r="B254" s="7" t="str">
        <f t="shared" si="10"/>
        <v>PremiumSS4</v>
      </c>
      <c r="C254" s="7" t="str">
        <f t="shared" si="11"/>
        <v>PremiumSS</v>
      </c>
      <c r="D254" s="7"/>
      <c r="E254" s="84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IFERROR(VLOOKUP(E254,input_settle_321105!L:R,7,FALSE),VLOOKUP(tables_settle_321105!B254,input_settle_321105!A:H,8,FALSE))</f>
        <v>478800</v>
      </c>
      <c r="N254" s="63">
        <f t="shared" ca="1" si="9"/>
        <v>3.214285714285714E-2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input_settle_321105!A$2</f>
        <v>321105</v>
      </c>
      <c r="B255" s="7" t="str">
        <f t="shared" si="10"/>
        <v>PremiumSS5</v>
      </c>
      <c r="C255" s="7" t="str">
        <f t="shared" si="11"/>
        <v>PremiumSS</v>
      </c>
      <c r="D255" s="7"/>
      <c r="E255" s="84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IFERROR(VLOOKUP(E255,input_settle_321105!L:R,7,FALSE),VLOOKUP(tables_settle_321105!B255,input_settle_321105!A:H,8,FALSE))</f>
        <v>53200</v>
      </c>
      <c r="N255" s="63">
        <f t="shared" ca="1" si="9"/>
        <v>3.5714285714285713E-3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input_settle_321105!A$2</f>
        <v>321105</v>
      </c>
      <c r="B256" s="7" t="str">
        <f t="shared" si="10"/>
        <v>PremiumSS4</v>
      </c>
      <c r="C256" s="7" t="str">
        <f t="shared" si="11"/>
        <v>PremiumSS</v>
      </c>
      <c r="D256" s="7"/>
      <c r="E256" s="84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 ca="1">IFERROR(VLOOKUP(E256,input_settle_321105!L:R,7,FALSE),VLOOKUP(tables_settle_321105!B256,input_settle_321105!A:H,8,FALSE))</f>
        <v>478800</v>
      </c>
      <c r="N256" s="63">
        <f t="shared" ca="1" si="9"/>
        <v>3.214285714285714E-2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input_settle_321105!A$2</f>
        <v>321105</v>
      </c>
      <c r="B257" s="7" t="str">
        <f t="shared" si="10"/>
        <v>PremiumSS5</v>
      </c>
      <c r="C257" s="7" t="str">
        <f t="shared" si="11"/>
        <v>PremiumSS</v>
      </c>
      <c r="D257" s="7"/>
      <c r="E257" s="84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 ca="1">IFERROR(VLOOKUP(E257,input_settle_321105!L:R,7,FALSE),VLOOKUP(tables_settle_321105!B257,input_settle_321105!A:H,8,FALSE))</f>
        <v>53200</v>
      </c>
      <c r="N257" s="63">
        <f t="shared" ca="1" si="9"/>
        <v>3.5714285714285713E-3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input_settle_321105!A$2</f>
        <v>321105</v>
      </c>
      <c r="B258" s="7" t="str">
        <f t="shared" si="10"/>
        <v>PremiumSS4</v>
      </c>
      <c r="C258" s="7" t="str">
        <f t="shared" si="11"/>
        <v>PremiumSS</v>
      </c>
      <c r="D258" s="7"/>
      <c r="E258" s="84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 ca="1">IFERROR(VLOOKUP(E258,input_settle_321105!L:R,7,FALSE),VLOOKUP(tables_settle_321105!B258,input_settle_321105!A:H,8,FALSE))</f>
        <v>478800</v>
      </c>
      <c r="N258" s="63">
        <f t="shared" ref="N258:N265" ca="1" si="12">M258/SUM(M:M)</f>
        <v>3.214285714285714E-2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input_settle_321105!A$2</f>
        <v>321105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4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 ca="1">IFERROR(VLOOKUP(E259,input_settle_321105!L:R,7,FALSE),VLOOKUP(tables_settle_321105!B259,input_settle_321105!A:H,8,FALSE))</f>
        <v>53200</v>
      </c>
      <c r="N259" s="63">
        <f t="shared" ca="1" si="12"/>
        <v>3.5714285714285713E-3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input_settle_321105!A$2</f>
        <v>321105</v>
      </c>
      <c r="B260" s="7" t="str">
        <f t="shared" si="13"/>
        <v>Premium3</v>
      </c>
      <c r="C260" s="7" t="str">
        <f t="shared" si="14"/>
        <v>Premium</v>
      </c>
      <c r="D260" s="7"/>
      <c r="E260" s="84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 ca="1">IFERROR(VLOOKUP(E260,input_settle_321105!L:R,7,FALSE),VLOOKUP(tables_settle_321105!B260,input_settle_321105!A:H,8,FALSE))</f>
        <v>0</v>
      </c>
      <c r="N260" s="63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input_settle_321105!A$2</f>
        <v>321105</v>
      </c>
      <c r="B261" s="7" t="str">
        <f t="shared" si="13"/>
        <v>Premium4</v>
      </c>
      <c r="C261" s="7" t="str">
        <f t="shared" si="14"/>
        <v>Premium</v>
      </c>
      <c r="D261" s="7"/>
      <c r="E261" s="84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 ca="1">IFERROR(VLOOKUP(E261,input_settle_321105!L:R,7,FALSE),VLOOKUP(tables_settle_321105!B261,input_settle_321105!A:H,8,FALSE))</f>
        <v>0</v>
      </c>
      <c r="N261" s="63">
        <f t="shared" ca="1" si="12"/>
        <v>0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input_settle_321105!A$2</f>
        <v>321105</v>
      </c>
      <c r="B262" s="7" t="str">
        <f t="shared" si="13"/>
        <v>Premium5</v>
      </c>
      <c r="C262" s="7" t="str">
        <f t="shared" si="14"/>
        <v>Premium</v>
      </c>
      <c r="D262" s="7"/>
      <c r="E262" s="84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 ca="1">IFERROR(VLOOKUP(E262,input_settle_321105!L:R,7,FALSE),VLOOKUP(tables_settle_321105!B262,input_settle_321105!A:H,8,FALSE))</f>
        <v>0</v>
      </c>
      <c r="N262" s="63">
        <f t="shared" ca="1" si="12"/>
        <v>0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input_settle_321105!A$2</f>
        <v>321105</v>
      </c>
      <c r="B263" s="7" t="str">
        <f t="shared" si="13"/>
        <v>Premium3</v>
      </c>
      <c r="C263" s="7" t="str">
        <f t="shared" si="14"/>
        <v>Premium</v>
      </c>
      <c r="D263" s="7"/>
      <c r="E263" s="84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 ca="1">IFERROR(VLOOKUP(E263,input_settle_321105!L:R,7,FALSE),VLOOKUP(tables_settle_321105!B263,input_settle_321105!A:H,8,FALSE))</f>
        <v>0</v>
      </c>
      <c r="N263" s="63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input_settle_321105!A$2</f>
        <v>321105</v>
      </c>
      <c r="B264" s="7" t="str">
        <f t="shared" si="13"/>
        <v>Premium4</v>
      </c>
      <c r="C264" s="7" t="str">
        <f t="shared" si="14"/>
        <v>Premium</v>
      </c>
      <c r="D264" s="7"/>
      <c r="E264" s="84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 ca="1">IFERROR(VLOOKUP(E264,input_settle_321105!L:R,7,FALSE),VLOOKUP(tables_settle_321105!B264,input_settle_321105!A:H,8,FALSE))</f>
        <v>0</v>
      </c>
      <c r="N264" s="63">
        <f t="shared" ca="1" si="12"/>
        <v>0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input_settle_321105!A$2</f>
        <v>321105</v>
      </c>
      <c r="B265" s="7" t="str">
        <f t="shared" si="13"/>
        <v>Premium5</v>
      </c>
      <c r="C265" s="7" t="str">
        <f t="shared" si="14"/>
        <v>Premium</v>
      </c>
      <c r="D265" s="7"/>
      <c r="E265" s="84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 ca="1">IFERROR(VLOOKUP(E265,input_settle_321105!L:R,7,FALSE),VLOOKUP(tables_settle_321105!B265,input_settle_321105!A:H,8,FALSE))</f>
        <v>0</v>
      </c>
      <c r="N265" s="63">
        <f t="shared" ca="1" si="12"/>
        <v>0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0" t="s">
        <v>105</v>
      </c>
      <c r="H1" s="70" t="s">
        <v>106</v>
      </c>
      <c r="I1" s="71" t="s">
        <v>107</v>
      </c>
      <c r="J1" s="71" t="s">
        <v>108</v>
      </c>
      <c r="K1" s="71" t="s">
        <v>109</v>
      </c>
      <c r="L1" s="71" t="s">
        <v>110</v>
      </c>
      <c r="M1" s="71" t="s">
        <v>111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112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61</v>
      </c>
    </row>
    <row r="3" spans="1:8">
      <c r="A3" s="34">
        <v>300</v>
      </c>
    </row>
    <row r="5" spans="1:8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>
      <c r="A7" s="40">
        <f>COUNTIFS(tables_321101!$G:$G,"PremiumSSS",tables_321101!$A:$A,B5)</f>
        <v>0</v>
      </c>
      <c r="B7" s="38"/>
      <c r="C7" s="43"/>
      <c r="D7" s="40">
        <f>COUNTIFS(tables_321101!$G:$G,"PremiumSSS",tables_321101!$A:$A,E5)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>
      <c r="A10" s="40">
        <f>COUNTIFS(tables_321101!$T:$T,"&gt;1",tables_321101!$A:$A,B5)</f>
        <v>0</v>
      </c>
      <c r="B10" s="38"/>
      <c r="C10" s="43"/>
      <c r="D10" s="40">
        <f>COUNTIFS(tables_321101!$T:$T,"&gt;1", tables_321101!$A:$A,E5)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>
      <c r="A13" s="40">
        <f>COUNTIFS(tables_321101!$O:$O,"&gt;1",tables_321101!$A:$A,B5)</f>
        <v>0</v>
      </c>
      <c r="B13" s="38"/>
      <c r="C13" s="43"/>
      <c r="D13" s="40">
        <f>COUNTIFS(tables_321101!$O:$O,"&gt;1", tables_321101!$A:$A,E5)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>
      <c r="A16" s="41">
        <f ca="1">COUNTIF(tables_321101!$A:$A,B5)</f>
        <v>0</v>
      </c>
      <c r="B16" s="39"/>
      <c r="C16" s="43"/>
      <c r="D16" s="41">
        <f ca="1">COUNTIF(tables_321101!$A:$A,E5)</f>
        <v>0</v>
      </c>
      <c r="E16" s="39"/>
      <c r="F16" s="43"/>
      <c r="G16" s="41" t="e">
        <f>COUNTIF(#REF!,H5)</f>
        <v>#REF!</v>
      </c>
      <c r="H16" s="39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output</vt:lpstr>
      <vt:lpstr>input_321101</vt:lpstr>
      <vt:lpstr>tables_321101</vt:lpstr>
      <vt:lpstr>input_321102</vt:lpstr>
      <vt:lpstr>tables_321102</vt:lpstr>
      <vt:lpstr>input_321103</vt:lpstr>
      <vt:lpstr>tables_321103</vt:lpstr>
      <vt:lpstr>input_settle_321103</vt:lpstr>
      <vt:lpstr>tables_settle_321103</vt:lpstr>
      <vt:lpstr>input_321104</vt:lpstr>
      <vt:lpstr>tables_321104</vt:lpstr>
      <vt:lpstr>input_321105</vt:lpstr>
      <vt:lpstr>tables_321105</vt:lpstr>
      <vt:lpstr>input_settle_321105</vt:lpstr>
      <vt:lpstr>tables_settle_321105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2016-03-31T15:04:39Z</dcterms:modified>
</cp:coreProperties>
</file>