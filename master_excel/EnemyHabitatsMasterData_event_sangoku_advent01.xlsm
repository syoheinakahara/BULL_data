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940" yWindow="460" windowWidth="22120" windowHeight="208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1" l="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J50" i="11"/>
  <c r="O63" i="9"/>
  <c r="N63" i="9"/>
  <c r="M63" i="9"/>
  <c r="L63" i="9"/>
  <c r="K63" i="9"/>
  <c r="J63" i="9"/>
  <c r="I63" i="9"/>
  <c r="H63" i="9"/>
  <c r="G63" i="9"/>
  <c r="E63" i="9"/>
  <c r="D63" i="9"/>
  <c r="A63" i="9"/>
  <c r="J49" i="11"/>
  <c r="O62" i="9"/>
  <c r="N62" i="9"/>
  <c r="M62" i="9"/>
  <c r="L62" i="9"/>
  <c r="K62" i="9"/>
  <c r="J62" i="9"/>
  <c r="I62" i="9"/>
  <c r="H62" i="9"/>
  <c r="G62" i="9"/>
  <c r="E62" i="9"/>
  <c r="D62" i="9"/>
  <c r="A62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J26" i="11"/>
  <c r="O28" i="9"/>
  <c r="G29" i="9"/>
  <c r="H29" i="9"/>
  <c r="I29" i="9"/>
  <c r="J29" i="9"/>
  <c r="K29" i="9"/>
  <c r="L29" i="9"/>
  <c r="M29" i="9"/>
  <c r="N29" i="9"/>
  <c r="J27" i="11"/>
  <c r="O29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E27" i="9"/>
  <c r="D27" i="9"/>
  <c r="A27" i="9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77" i="9"/>
  <c r="E77" i="9"/>
  <c r="J47" i="11"/>
  <c r="O84" i="9"/>
  <c r="N84" i="9"/>
  <c r="M84" i="9"/>
  <c r="L84" i="9"/>
  <c r="K84" i="9"/>
  <c r="J84" i="9"/>
  <c r="I84" i="9"/>
  <c r="H84" i="9"/>
  <c r="G84" i="9"/>
  <c r="E84" i="9"/>
  <c r="D84" i="9"/>
  <c r="A84" i="9"/>
  <c r="J46" i="11"/>
  <c r="O83" i="9"/>
  <c r="N83" i="9"/>
  <c r="M83" i="9"/>
  <c r="L83" i="9"/>
  <c r="K83" i="9"/>
  <c r="J83" i="9"/>
  <c r="I83" i="9"/>
  <c r="H83" i="9"/>
  <c r="G83" i="9"/>
  <c r="E83" i="9"/>
  <c r="D83" i="9"/>
  <c r="A83" i="9"/>
  <c r="J44" i="11"/>
  <c r="O82" i="9"/>
  <c r="N82" i="9"/>
  <c r="M82" i="9"/>
  <c r="L82" i="9"/>
  <c r="K82" i="9"/>
  <c r="J82" i="9"/>
  <c r="I82" i="9"/>
  <c r="H82" i="9"/>
  <c r="G82" i="9"/>
  <c r="E82" i="9"/>
  <c r="D82" i="9"/>
  <c r="A82" i="9"/>
  <c r="J43" i="11"/>
  <c r="O81" i="9"/>
  <c r="N81" i="9"/>
  <c r="M81" i="9"/>
  <c r="L81" i="9"/>
  <c r="K81" i="9"/>
  <c r="J81" i="9"/>
  <c r="I81" i="9"/>
  <c r="H81" i="9"/>
  <c r="G81" i="9"/>
  <c r="E81" i="9"/>
  <c r="D81" i="9"/>
  <c r="A81" i="9"/>
  <c r="J42" i="11"/>
  <c r="O80" i="9"/>
  <c r="N80" i="9"/>
  <c r="M80" i="9"/>
  <c r="L80" i="9"/>
  <c r="K80" i="9"/>
  <c r="J80" i="9"/>
  <c r="I80" i="9"/>
  <c r="H80" i="9"/>
  <c r="G80" i="9"/>
  <c r="E80" i="9"/>
  <c r="D80" i="9"/>
  <c r="A80" i="9"/>
  <c r="J41" i="11"/>
  <c r="O79" i="9"/>
  <c r="N79" i="9"/>
  <c r="M79" i="9"/>
  <c r="L79" i="9"/>
  <c r="K79" i="9"/>
  <c r="J79" i="9"/>
  <c r="I79" i="9"/>
  <c r="H79" i="9"/>
  <c r="G79" i="9"/>
  <c r="E79" i="9"/>
  <c r="D79" i="9"/>
  <c r="A79" i="9"/>
  <c r="J40" i="11"/>
  <c r="O78" i="9"/>
  <c r="N78" i="9"/>
  <c r="M78" i="9"/>
  <c r="L78" i="9"/>
  <c r="K78" i="9"/>
  <c r="J78" i="9"/>
  <c r="I78" i="9"/>
  <c r="H78" i="9"/>
  <c r="G78" i="9"/>
  <c r="E78" i="9"/>
  <c r="D78" i="9"/>
  <c r="A78" i="9"/>
  <c r="J39" i="11"/>
  <c r="O77" i="9"/>
  <c r="N77" i="9"/>
  <c r="M77" i="9"/>
  <c r="L77" i="9"/>
  <c r="K77" i="9"/>
  <c r="J77" i="9"/>
  <c r="I77" i="9"/>
  <c r="H77" i="9"/>
  <c r="G77" i="9"/>
  <c r="A77" i="9"/>
  <c r="J38" i="11"/>
  <c r="O76" i="9"/>
  <c r="N76" i="9"/>
  <c r="M76" i="9"/>
  <c r="L76" i="9"/>
  <c r="K76" i="9"/>
  <c r="J76" i="9"/>
  <c r="I76" i="9"/>
  <c r="H76" i="9"/>
  <c r="G76" i="9"/>
  <c r="E76" i="9"/>
  <c r="D76" i="9"/>
  <c r="A76" i="9"/>
  <c r="J37" i="11"/>
  <c r="O75" i="9"/>
  <c r="N75" i="9"/>
  <c r="M75" i="9"/>
  <c r="L75" i="9"/>
  <c r="K75" i="9"/>
  <c r="J75" i="9"/>
  <c r="I75" i="9"/>
  <c r="H75" i="9"/>
  <c r="G75" i="9"/>
  <c r="E75" i="9"/>
  <c r="D75" i="9"/>
  <c r="A75" i="9"/>
  <c r="J36" i="11"/>
  <c r="O74" i="9"/>
  <c r="N74" i="9"/>
  <c r="M74" i="9"/>
  <c r="L74" i="9"/>
  <c r="K74" i="9"/>
  <c r="J74" i="9"/>
  <c r="I74" i="9"/>
  <c r="H74" i="9"/>
  <c r="G74" i="9"/>
  <c r="E74" i="9"/>
  <c r="D74" i="9"/>
  <c r="A74" i="9"/>
  <c r="J35" i="11"/>
  <c r="O73" i="9"/>
  <c r="N73" i="9"/>
  <c r="M73" i="9"/>
  <c r="L73" i="9"/>
  <c r="K73" i="9"/>
  <c r="J73" i="9"/>
  <c r="I73" i="9"/>
  <c r="H73" i="9"/>
  <c r="G73" i="9"/>
  <c r="E73" i="9"/>
  <c r="D73" i="9"/>
  <c r="A73" i="9"/>
  <c r="J34" i="11"/>
  <c r="O72" i="9"/>
  <c r="N72" i="9"/>
  <c r="M72" i="9"/>
  <c r="L72" i="9"/>
  <c r="K72" i="9"/>
  <c r="J72" i="9"/>
  <c r="I72" i="9"/>
  <c r="H72" i="9"/>
  <c r="G72" i="9"/>
  <c r="E72" i="9"/>
  <c r="D72" i="9"/>
  <c r="A72" i="9"/>
  <c r="J33" i="11"/>
  <c r="O71" i="9"/>
  <c r="N71" i="9"/>
  <c r="M71" i="9"/>
  <c r="L71" i="9"/>
  <c r="K71" i="9"/>
  <c r="J71" i="9"/>
  <c r="I71" i="9"/>
  <c r="H71" i="9"/>
  <c r="G71" i="9"/>
  <c r="E71" i="9"/>
  <c r="D71" i="9"/>
  <c r="A71" i="9"/>
  <c r="J32" i="11"/>
  <c r="O70" i="9"/>
  <c r="N70" i="9"/>
  <c r="M70" i="9"/>
  <c r="L70" i="9"/>
  <c r="K70" i="9"/>
  <c r="J70" i="9"/>
  <c r="I70" i="9"/>
  <c r="H70" i="9"/>
  <c r="G70" i="9"/>
  <c r="E70" i="9"/>
  <c r="D70" i="9"/>
  <c r="A70" i="9"/>
  <c r="J31" i="11"/>
  <c r="O69" i="9"/>
  <c r="N69" i="9"/>
  <c r="M69" i="9"/>
  <c r="L69" i="9"/>
  <c r="K69" i="9"/>
  <c r="J69" i="9"/>
  <c r="I69" i="9"/>
  <c r="H69" i="9"/>
  <c r="G69" i="9"/>
  <c r="E69" i="9"/>
  <c r="D69" i="9"/>
  <c r="A69" i="9"/>
  <c r="J30" i="11"/>
  <c r="O68" i="9"/>
  <c r="N68" i="9"/>
  <c r="M68" i="9"/>
  <c r="L68" i="9"/>
  <c r="K68" i="9"/>
  <c r="J68" i="9"/>
  <c r="I68" i="9"/>
  <c r="H68" i="9"/>
  <c r="G68" i="9"/>
  <c r="E68" i="9"/>
  <c r="D68" i="9"/>
  <c r="A68" i="9"/>
  <c r="J29" i="11"/>
  <c r="O67" i="9"/>
  <c r="N67" i="9"/>
  <c r="M67" i="9"/>
  <c r="L67" i="9"/>
  <c r="K67" i="9"/>
  <c r="J67" i="9"/>
  <c r="I67" i="9"/>
  <c r="H67" i="9"/>
  <c r="G67" i="9"/>
  <c r="E67" i="9"/>
  <c r="D67" i="9"/>
  <c r="A67" i="9"/>
  <c r="J28" i="11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1" i="9"/>
  <c r="N61" i="9"/>
  <c r="M61" i="9"/>
  <c r="L61" i="9"/>
  <c r="K61" i="9"/>
  <c r="J61" i="9"/>
  <c r="I61" i="9"/>
  <c r="H61" i="9"/>
  <c r="G61" i="9"/>
  <c r="E61" i="9"/>
  <c r="D61" i="9"/>
  <c r="A61" i="9"/>
  <c r="J23" i="11"/>
  <c r="O60" i="9"/>
  <c r="N60" i="9"/>
  <c r="M60" i="9"/>
  <c r="L60" i="9"/>
  <c r="K60" i="9"/>
  <c r="J60" i="9"/>
  <c r="I60" i="9"/>
  <c r="H60" i="9"/>
  <c r="G60" i="9"/>
  <c r="E60" i="9"/>
  <c r="D60" i="9"/>
  <c r="A60" i="9"/>
  <c r="J22" i="11"/>
  <c r="O59" i="9"/>
  <c r="N59" i="9"/>
  <c r="M59" i="9"/>
  <c r="L59" i="9"/>
  <c r="K59" i="9"/>
  <c r="J59" i="9"/>
  <c r="I59" i="9"/>
  <c r="H59" i="9"/>
  <c r="G59" i="9"/>
  <c r="E59" i="9"/>
  <c r="D59" i="9"/>
  <c r="A59" i="9"/>
  <c r="J21" i="11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J20" i="11"/>
  <c r="O56" i="9"/>
  <c r="N56" i="9"/>
  <c r="M56" i="9"/>
  <c r="L56" i="9"/>
  <c r="K56" i="9"/>
  <c r="J56" i="9"/>
  <c r="I56" i="9"/>
  <c r="H56" i="9"/>
  <c r="G56" i="9"/>
  <c r="E56" i="9"/>
  <c r="D56" i="9"/>
  <c r="A56" i="9"/>
  <c r="J19" i="11"/>
  <c r="O55" i="9"/>
  <c r="N55" i="9"/>
  <c r="M55" i="9"/>
  <c r="L55" i="9"/>
  <c r="K55" i="9"/>
  <c r="J55" i="9"/>
  <c r="I55" i="9"/>
  <c r="H55" i="9"/>
  <c r="G55" i="9"/>
  <c r="E55" i="9"/>
  <c r="D55" i="9"/>
  <c r="A55" i="9"/>
  <c r="J18" i="11"/>
  <c r="O54" i="9"/>
  <c r="N54" i="9"/>
  <c r="M54" i="9"/>
  <c r="L54" i="9"/>
  <c r="K54" i="9"/>
  <c r="J54" i="9"/>
  <c r="I54" i="9"/>
  <c r="H54" i="9"/>
  <c r="G54" i="9"/>
  <c r="E54" i="9"/>
  <c r="D54" i="9"/>
  <c r="A54" i="9"/>
  <c r="J6" i="11"/>
  <c r="O53" i="9"/>
  <c r="N53" i="9"/>
  <c r="M53" i="9"/>
  <c r="L53" i="9"/>
  <c r="K53" i="9"/>
  <c r="J53" i="9"/>
  <c r="I53" i="9"/>
  <c r="H53" i="9"/>
  <c r="G53" i="9"/>
  <c r="E53" i="9"/>
  <c r="D53" i="9"/>
  <c r="A53" i="9"/>
  <c r="J48" i="11"/>
  <c r="O52" i="9"/>
  <c r="N52" i="9"/>
  <c r="M52" i="9"/>
  <c r="L52" i="9"/>
  <c r="K52" i="9"/>
  <c r="J52" i="9"/>
  <c r="I52" i="9"/>
  <c r="H52" i="9"/>
  <c r="G52" i="9"/>
  <c r="E52" i="9"/>
  <c r="D52" i="9"/>
  <c r="A52" i="9"/>
  <c r="J5" i="11"/>
  <c r="O51" i="9"/>
  <c r="N51" i="9"/>
  <c r="M51" i="9"/>
  <c r="L51" i="9"/>
  <c r="K51" i="9"/>
  <c r="J51" i="9"/>
  <c r="I51" i="9"/>
  <c r="H51" i="9"/>
  <c r="G51" i="9"/>
  <c r="E51" i="9"/>
  <c r="D51" i="9"/>
  <c r="A51" i="9"/>
  <c r="J3" i="11"/>
  <c r="O50" i="9"/>
  <c r="N50" i="9"/>
  <c r="M50" i="9"/>
  <c r="L50" i="9"/>
  <c r="K50" i="9"/>
  <c r="J50" i="9"/>
  <c r="I50" i="9"/>
  <c r="H50" i="9"/>
  <c r="G50" i="9"/>
  <c r="E50" i="9"/>
  <c r="D50" i="9"/>
  <c r="A50" i="9"/>
  <c r="J2" i="11"/>
  <c r="O49" i="9"/>
  <c r="N49" i="9"/>
  <c r="M49" i="9"/>
  <c r="L49" i="9"/>
  <c r="K49" i="9"/>
  <c r="J49" i="9"/>
  <c r="I49" i="9"/>
  <c r="H49" i="9"/>
  <c r="G49" i="9"/>
  <c r="E49" i="9"/>
  <c r="D49" i="9"/>
  <c r="A49" i="9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AD13" i="1"/>
  <c r="G9" i="9"/>
  <c r="H9" i="9"/>
  <c r="I9" i="9"/>
  <c r="J9" i="9"/>
  <c r="K9" i="9"/>
  <c r="L9" i="9"/>
  <c r="M9" i="9"/>
  <c r="N9" i="9"/>
  <c r="O9" i="9"/>
  <c r="E9" i="9"/>
  <c r="D9" i="9"/>
  <c r="A9" i="9"/>
  <c r="N3" i="22"/>
  <c r="G3" i="22"/>
  <c r="F3" i="22"/>
  <c r="D3" i="22"/>
  <c r="C3" i="22"/>
  <c r="A3" i="22"/>
  <c r="O22" i="9"/>
  <c r="N22" i="9"/>
  <c r="M22" i="9"/>
  <c r="L22" i="9"/>
  <c r="K22" i="9"/>
  <c r="J22" i="9"/>
  <c r="I22" i="9"/>
  <c r="H22" i="9"/>
  <c r="G22" i="9"/>
  <c r="E22" i="9"/>
  <c r="D22" i="9"/>
  <c r="A22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J4" i="11"/>
  <c r="O4" i="9"/>
  <c r="G8" i="9"/>
  <c r="H8" i="9"/>
  <c r="I8" i="9"/>
  <c r="J8" i="9"/>
  <c r="K8" i="9"/>
  <c r="L8" i="9"/>
  <c r="M8" i="9"/>
  <c r="N8" i="9"/>
  <c r="O8" i="9"/>
  <c r="G10" i="9"/>
  <c r="H10" i="9"/>
  <c r="I10" i="9"/>
  <c r="J10" i="9"/>
  <c r="K10" i="9"/>
  <c r="L10" i="9"/>
  <c r="M10" i="9"/>
  <c r="N10" i="9"/>
  <c r="O10" i="9"/>
  <c r="G5" i="9"/>
  <c r="H5" i="9"/>
  <c r="I5" i="9"/>
  <c r="J5" i="9"/>
  <c r="K5" i="9"/>
  <c r="L5" i="9"/>
  <c r="M5" i="9"/>
  <c r="N5" i="9"/>
  <c r="J7" i="11"/>
  <c r="O5" i="9"/>
  <c r="G6" i="9"/>
  <c r="H6" i="9"/>
  <c r="I6" i="9"/>
  <c r="J6" i="9"/>
  <c r="K6" i="9"/>
  <c r="L6" i="9"/>
  <c r="M6" i="9"/>
  <c r="N6" i="9"/>
  <c r="J8" i="11"/>
  <c r="O6" i="9"/>
  <c r="G7" i="9"/>
  <c r="H7" i="9"/>
  <c r="I7" i="9"/>
  <c r="J7" i="9"/>
  <c r="K7" i="9"/>
  <c r="L7" i="9"/>
  <c r="M7" i="9"/>
  <c r="N7" i="9"/>
  <c r="J9" i="11"/>
  <c r="O7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3" i="9"/>
  <c r="H13" i="9"/>
  <c r="I13" i="9"/>
  <c r="J13" i="9"/>
  <c r="K13" i="9"/>
  <c r="L13" i="9"/>
  <c r="M13" i="9"/>
  <c r="N13" i="9"/>
  <c r="J12" i="11"/>
  <c r="O13" i="9"/>
  <c r="G14" i="9"/>
  <c r="H14" i="9"/>
  <c r="I14" i="9"/>
  <c r="J14" i="9"/>
  <c r="K14" i="9"/>
  <c r="L14" i="9"/>
  <c r="M14" i="9"/>
  <c r="N14" i="9"/>
  <c r="J13" i="11"/>
  <c r="O14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J17" i="11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J24" i="11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J45" i="11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A48" i="9"/>
  <c r="D48" i="9"/>
  <c r="E48" i="9"/>
  <c r="A40" i="9"/>
  <c r="D40" i="9"/>
  <c r="E40" i="9"/>
  <c r="A41" i="9"/>
  <c r="D41" i="9"/>
  <c r="E41" i="9"/>
  <c r="A42" i="9"/>
  <c r="D42" i="9"/>
  <c r="E42" i="9"/>
  <c r="A43" i="9"/>
  <c r="D43" i="9"/>
  <c r="E43" i="9"/>
  <c r="A44" i="9"/>
  <c r="D44" i="9"/>
  <c r="E44" i="9"/>
  <c r="A45" i="9"/>
  <c r="D45" i="9"/>
  <c r="E45" i="9"/>
  <c r="A46" i="9"/>
  <c r="D46" i="9"/>
  <c r="E46" i="9"/>
  <c r="A47" i="9"/>
  <c r="D47" i="9"/>
  <c r="E47" i="9"/>
  <c r="A3" i="9"/>
  <c r="D3" i="9"/>
  <c r="E3" i="9"/>
  <c r="A4" i="9"/>
  <c r="D4" i="9"/>
  <c r="E4" i="9"/>
  <c r="A8" i="9"/>
  <c r="D8" i="9"/>
  <c r="E8" i="9"/>
  <c r="A10" i="9"/>
  <c r="D10" i="9"/>
  <c r="E10" i="9"/>
  <c r="A5" i="9"/>
  <c r="D5" i="9"/>
  <c r="E5" i="9"/>
  <c r="A6" i="9"/>
  <c r="D6" i="9"/>
  <c r="E6" i="9"/>
  <c r="A7" i="9"/>
  <c r="D7" i="9"/>
  <c r="E7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3" i="9"/>
  <c r="D23" i="9"/>
  <c r="E23" i="9"/>
  <c r="A24" i="9"/>
  <c r="D24" i="9"/>
  <c r="E24" i="9"/>
  <c r="A26" i="9"/>
  <c r="D26" i="9"/>
  <c r="E26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A35" i="9"/>
  <c r="D35" i="9"/>
  <c r="E35" i="9"/>
  <c r="A36" i="9"/>
  <c r="D36" i="9"/>
  <c r="E36" i="9"/>
  <c r="A37" i="9"/>
  <c r="D37" i="9"/>
  <c r="E37" i="9"/>
  <c r="A38" i="9"/>
  <c r="D38" i="9"/>
  <c r="E38" i="9"/>
  <c r="A39" i="9"/>
  <c r="D39" i="9"/>
  <c r="E39" i="9"/>
  <c r="E2" i="9"/>
  <c r="X2" i="1"/>
  <c r="X3" i="1"/>
  <c r="X4" i="1"/>
  <c r="X5" i="1"/>
  <c r="X6" i="1"/>
  <c r="X7" i="1"/>
  <c r="X8" i="1"/>
  <c r="X10" i="1"/>
  <c r="X11" i="1"/>
  <c r="X12" i="1"/>
  <c r="X13" i="1"/>
  <c r="A3" i="7"/>
  <c r="D3" i="7"/>
  <c r="E3" i="7"/>
  <c r="F3" i="7"/>
  <c r="H3" i="7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2" i="2"/>
  <c r="A2" i="2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6" i="7"/>
  <c r="D6" i="7"/>
  <c r="E6" i="7"/>
  <c r="F6" i="7"/>
  <c r="H6" i="7"/>
  <c r="I6" i="7"/>
  <c r="J6" i="7"/>
  <c r="N6" i="7"/>
  <c r="O6" i="7"/>
  <c r="P6" i="7"/>
  <c r="Q6" i="7"/>
  <c r="R6" i="7"/>
  <c r="U6" i="7"/>
  <c r="W6" i="7"/>
  <c r="Y6" i="7"/>
  <c r="A7" i="7"/>
  <c r="D7" i="7"/>
  <c r="E7" i="7"/>
  <c r="F7" i="7"/>
  <c r="H7" i="7"/>
  <c r="I7" i="7"/>
  <c r="J7" i="7"/>
  <c r="N7" i="7"/>
  <c r="O7" i="7"/>
  <c r="P7" i="7"/>
  <c r="Q7" i="7"/>
  <c r="R7" i="7"/>
  <c r="U7" i="7"/>
  <c r="W7" i="7"/>
  <c r="Y7" i="7"/>
  <c r="A6" i="1"/>
  <c r="A7" i="1"/>
  <c r="A8" i="1"/>
  <c r="A9" i="1"/>
  <c r="A10" i="1"/>
  <c r="A11" i="1"/>
  <c r="A12" i="1"/>
  <c r="A13" i="1"/>
  <c r="D7" i="1"/>
  <c r="F7" i="1"/>
  <c r="E7" i="1"/>
  <c r="D6" i="1"/>
  <c r="F6" i="1"/>
  <c r="E6" i="1"/>
  <c r="D5" i="1"/>
  <c r="F5" i="1"/>
  <c r="E5" i="1"/>
  <c r="D4" i="1"/>
  <c r="F4" i="1"/>
  <c r="E4" i="1"/>
  <c r="D3" i="1"/>
  <c r="F3" i="1"/>
  <c r="E3" i="1"/>
  <c r="D2" i="1"/>
  <c r="F2" i="1"/>
  <c r="E2" i="1"/>
  <c r="D8" i="1"/>
  <c r="E8" i="1"/>
  <c r="F8" i="1"/>
  <c r="AF13" i="1"/>
  <c r="AI13" i="1"/>
  <c r="AG13" i="1"/>
  <c r="AE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D12" i="1"/>
  <c r="AF12" i="1"/>
  <c r="AI12" i="1"/>
  <c r="AG12" i="1"/>
  <c r="AE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D11" i="1"/>
  <c r="AF11" i="1"/>
  <c r="AI11" i="1"/>
  <c r="AG11" i="1"/>
  <c r="AE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D10" i="1"/>
  <c r="AF10" i="1"/>
  <c r="AI10" i="1"/>
  <c r="AG10" i="1"/>
  <c r="AE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A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H7" i="1"/>
  <c r="I7" i="1"/>
  <c r="J7" i="1"/>
  <c r="M7" i="1"/>
  <c r="N7" i="1"/>
  <c r="O7" i="1"/>
  <c r="P7" i="1"/>
  <c r="Q7" i="1"/>
  <c r="T7" i="1"/>
  <c r="V7" i="1"/>
  <c r="AD7" i="1"/>
  <c r="AE7" i="1"/>
  <c r="AF7" i="1"/>
  <c r="AG7" i="1"/>
  <c r="AI7" i="1"/>
  <c r="H2" i="1"/>
  <c r="H3" i="1"/>
  <c r="B9" i="2"/>
  <c r="D9" i="2"/>
  <c r="E9" i="2"/>
  <c r="H9" i="2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M20" i="10"/>
  <c r="T20" i="10"/>
  <c r="W20" i="10"/>
  <c r="V20" i="10"/>
  <c r="X20" i="10"/>
  <c r="U20" i="10"/>
  <c r="Y20" i="10"/>
  <c r="M29" i="10"/>
  <c r="M39" i="10"/>
  <c r="M47" i="10"/>
  <c r="N47" i="10"/>
  <c r="Q47" i="10"/>
  <c r="P47" i="10"/>
  <c r="R47" i="10"/>
  <c r="O47" i="10"/>
  <c r="S47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27" i="10"/>
  <c r="M37" i="10"/>
  <c r="M45" i="10"/>
  <c r="N45" i="10"/>
  <c r="Q45" i="10"/>
  <c r="P45" i="10"/>
  <c r="R45" i="10"/>
  <c r="O45" i="10"/>
  <c r="S45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M33" i="10"/>
  <c r="N33" i="10"/>
  <c r="Q33" i="10"/>
  <c r="P33" i="10"/>
  <c r="R33" i="10"/>
  <c r="O33" i="10"/>
  <c r="S33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M34" i="10"/>
  <c r="M43" i="10"/>
  <c r="N43" i="10"/>
  <c r="Q43" i="10"/>
  <c r="P43" i="10"/>
  <c r="R43" i="10"/>
  <c r="O43" i="10"/>
  <c r="S43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M35" i="10"/>
  <c r="M4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M3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M38" i="10"/>
  <c r="M46" i="10"/>
  <c r="N46" i="10"/>
  <c r="Q46" i="10"/>
  <c r="P46" i="10"/>
  <c r="R46" i="10"/>
  <c r="O46" i="10"/>
  <c r="S46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30" i="10"/>
  <c r="M40" i="10"/>
  <c r="M48" i="10"/>
  <c r="N48" i="10"/>
  <c r="Q48" i="10"/>
  <c r="P48" i="10"/>
  <c r="R48" i="10"/>
  <c r="O48" i="10"/>
  <c r="S48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M4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W2" i="7"/>
  <c r="U2" i="7"/>
  <c r="V3" i="1"/>
  <c r="V2" i="1"/>
  <c r="T3" i="1"/>
  <c r="T2" i="1"/>
  <c r="N2" i="22"/>
  <c r="G2" i="22"/>
  <c r="F2" i="22"/>
  <c r="D2" i="22"/>
  <c r="C2" i="22"/>
  <c r="A2" i="22"/>
  <c r="C13" i="16"/>
  <c r="E13" i="16"/>
  <c r="C12" i="16"/>
  <c r="B12" i="21"/>
  <c r="I12" i="21"/>
  <c r="J12" i="21"/>
  <c r="G12" i="21"/>
  <c r="F12" i="21"/>
  <c r="D12" i="21"/>
  <c r="C1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A2" i="7"/>
  <c r="I2" i="7"/>
  <c r="D2" i="7"/>
  <c r="F2" i="7"/>
  <c r="E2" i="7"/>
  <c r="J2" i="1"/>
  <c r="I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<sst xmlns="http://schemas.openxmlformats.org/spreadsheetml/2006/main" count="944" uniqueCount="427">
  <si>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</si>
  <si>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</si>
  <si>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</si>
  <si>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</si>
  <si>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</si>
  <si>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</si>
  <si>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</si>
  <si>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</si>
  <si>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</si>
  <si>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</si>
  <si>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</si>
  <si>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</si>
  <si>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</si>
  <si>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</si>
  <si>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</si>
  <si>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</si>
  <si>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</si>
  <si>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</si>
  <si>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</si>
  <si>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</si>
  <si>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</si>
  <si>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</si>
  <si>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</si>
  <si>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</si>
  <si>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</si>
  <si>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</si>
  <si>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</si>
  <si>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</si>
  <si>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</si>
  <si>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</si>
  <si>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</si>
  <si>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</si>
  <si>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</si>
  <si>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</si>
  <si>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</si>
  <si>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</si>
  <si>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</si>
  <si>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</si>
  <si>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</si>
  <si>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</si>
  <si>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</si>
  <si>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</si>
  <si>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</si>
  <si>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</si>
  <si>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</si>
  <si>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</si>
  <si>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</si>
  <si>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</si>
  <si>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</si>
  <si>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</si>
  <si>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</si>
  <si>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</si>
  <si>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</si>
  <si>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</si>
  <si>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</si>
  <si>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</si>
  <si>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</si>
  <si>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</si>
  <si>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</si>
  <si>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</si>
  <si>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</si>
  <si>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</si>
  <si>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</si>
  <si>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</si>
  <si>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</si>
  <si>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</si>
  <si>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</si>
  <si>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</si>
  <si>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</si>
  <si>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</si>
  <si>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</si>
  <si>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</si>
  <si>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</si>
  <si>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</si>
  <si>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</si>
  <si>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</si>
  <si>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</si>
  <si>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</si>
  <si>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</si>
  <si>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</si>
  <si>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</si>
  <si>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</si>
  <si>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</si>
  <si>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</si>
  <si>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</si>
  <si>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</si>
  <si>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</si>
  <si>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</si>
  <si>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</si>
  <si>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</si>
  <si>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</si>
  <si>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</si>
  <si>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</si>
  <si>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</si>
  <si>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</si>
  <si>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</si>
  <si>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</si>
  <si>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</si>
  <si>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</si>
  <si>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</si>
  <si>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</si>
  <si>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</si>
  <si>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</si>
  <si>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</si>
  <si>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</si>
  <si>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</si>
  <si>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</si>
  <si>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</si>
  <si>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</si>
  <si>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</si>
  <si>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</si>
  <si>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</si>
  <si>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</si>
  <si>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</si>
  <si>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</si>
  <si>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</si>
  <si>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</si>
  <si>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</si>
  <si>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</si>
  <si>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</si>
  <si>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</si>
  <si>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</si>
  <si>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</si>
  <si>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</si>
  <si>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</si>
  <si>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</si>
  <si>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</si>
  <si>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</si>
  <si>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</si>
  <si>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</si>
  <si>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</si>
  <si>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</si>
  <si>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</si>
  <si>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</si>
  <si>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</si>
  <si>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</si>
  <si>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</si>
  <si>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</si>
  <si>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</si>
  <si>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</si>
  <si>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</si>
  <si>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</si>
  <si>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</si>
  <si>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</si>
  <si>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</si>
  <si>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</si>
  <si>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</si>
  <si>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</si>
  <si>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</si>
  <si>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</si>
  <si>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</si>
  <si>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</si>
  <si>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</si>
  <si>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</si>
  <si>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</si>
  <si>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</si>
  <si>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</si>
  <si>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</si>
  <si>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</si>
  <si>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</si>
  <si>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</si>
  <si>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</si>
  <si>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</si>
  <si>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</si>
  <si>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</si>
  <si>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</si>
  <si>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</si>
  <si>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</si>
  <si>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</si>
  <si>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</si>
  <si>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</si>
  <si>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</si>
  <si>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</si>
  <si>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</si>
  <si>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</si>
  <si>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</si>
  <si>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</si>
  <si>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</si>
  <si>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</si>
  <si>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</si>
  <si>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</si>
  <si>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</si>
  <si>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</si>
  <si>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</si>
  <si>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</si>
  <si>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</si>
  <si>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</si>
  <si>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</si>
  <si>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</si>
  <si>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</si>
  <si>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</si>
  <si>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</si>
  <si>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</si>
  <si>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</si>
  <si>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</si>
  <si>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</si>
  <si>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</si>
  <si>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</si>
  <si>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</si>
  <si>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</si>
  <si>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</si>
  <si>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</si>
  <si>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</si>
  <si>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</si>
  <si>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</si>
  <si>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</si>
  <si>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</si>
  <si>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</si>
  <si>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</si>
  <si>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</si>
  <si>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</si>
  <si>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</si>
  <si>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</si>
  <si>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</si>
  <si>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</si>
  <si>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</si>
  <si>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</si>
  <si>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</si>
  <si>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</si>
  <si>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</si>
  <si>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</si>
  <si>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</si>
  <si>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</si>
  <si>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</si>
  <si>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</si>
  <si>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</si>
  <si>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</si>
  <si>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</si>
  <si>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</si>
  <si>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</si>
  <si>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</si>
  <si>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</si>
  <si>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</si>
  <si>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</si>
  <si>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</si>
  <si>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</si>
  <si>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</si>
  <si>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</si>
  <si>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</si>
  <si>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</si>
  <si>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</si>
  <si>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</si>
  <si>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</si>
  <si>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</si>
  <si>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</si>
  <si>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</si>
  <si>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</si>
  <si>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</si>
  <si>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</si>
  <si>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</si>
  <si>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</si>
  <si>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</si>
  <si>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</si>
  <si>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</si>
  <si>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</si>
  <si>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</si>
  <si>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全体攻撃</t>
    <phoneticPr fontId="5"/>
  </si>
  <si>
    <t>予備</t>
    <phoneticPr fontId="5"/>
  </si>
  <si>
    <t>[effect:freq_turn, target:myself, turn:-1, val:1, animation:enemy_freq_turn]</t>
    <phoneticPr fontId="5"/>
  </si>
  <si>
    <t xml:space="preserve">[effect:fix_speed, target:myself, turn:2],[effect:force_change_block, new_block:block_red, target:block_green, count:5, val:0, no_effect_msg:no_effect_msg_change_block_jammer, animation:change_block]    </t>
    <phoneticPr fontId="5"/>
  </si>
  <si>
    <t>[effect:fix_speed, target:myself, turn:1],[effect:tolerance, target:myself, turn:-1, tolerance_effect:all, count:-1, animation:enemy_tolerance]</t>
    <phoneticPr fontId="5"/>
  </si>
  <si>
    <t xml:space="preserve">[effect:enhance_enemy, target:myself, turn:-1, status:attack, val:0.1, calc:mul, animation:enemy_enhance_attack]    </t>
    <phoneticPr fontId="5"/>
  </si>
  <si>
    <t xml:space="preserve">[effect:enhance_enemy, target:myself, turn:-1, status:attack, val:0.2, calc:mul, animation:enemy_enhance_attack]    </t>
    <phoneticPr fontId="5"/>
  </si>
  <si>
    <t xml:space="preserve">[effect:enhance_enemy, target:myself, turn:-1, status:attack, val:0.25, calc:mul, animation:enemy_enhance_attack]    </t>
    <phoneticPr fontId="5"/>
  </si>
  <si>
    <t xml:space="preserve">[effect:enhance_enemy, target:myself, turn:-1, status:attack, val:0.3, calc:mul, animation:enemy_enhance_attack]    </t>
    <phoneticPr fontId="5"/>
  </si>
  <si>
    <t xml:space="preserve">[effect:fix_speed, target:myself, turn:1],[effect:enhance_enemy, target:myself, turn:3, status:defense, val:1500, calc:add, animation:enemy_enhance_defense]    </t>
    <phoneticPr fontId="5"/>
  </si>
  <si>
    <t xml:space="preserve">[effect:enhance_enemy, target:myself, turn:3, status:defense, val:3000, calc:add, animation:enemy_enhance_defense]    </t>
    <phoneticPr fontId="5"/>
  </si>
  <si>
    <t>五月蝿い…読書の邪魔よ…</t>
    <phoneticPr fontId="5"/>
  </si>
  <si>
    <t>呪書「パンデミック」</t>
    <phoneticPr fontId="5"/>
  </si>
  <si>
    <t>禁書「カタストロフィ」</t>
    <phoneticPr fontId="5"/>
  </si>
  <si>
    <t>仕方ないわね…やるわよ</t>
    <phoneticPr fontId="5"/>
  </si>
  <si>
    <t>預言書「ノアの洪水」</t>
    <phoneticPr fontId="5"/>
  </si>
  <si>
    <t>月の光よ…</t>
    <phoneticPr fontId="5"/>
  </si>
  <si>
    <t>武術・拳固め！</t>
    <phoneticPr fontId="5"/>
  </si>
  <si>
    <t>気合い入れるヨー！</t>
    <phoneticPr fontId="5"/>
  </si>
  <si>
    <t>八卦掌！</t>
    <phoneticPr fontId="5"/>
  </si>
  <si>
    <t>[effect:rush, count:5, val:0.23]</t>
    <phoneticPr fontId="5"/>
  </si>
  <si>
    <t>[effect:critical, val:2],[effect:freq_turn, target:myself, turn:-1, val:1, animation:enemy_freq_turn]</t>
    <phoneticPr fontId="5"/>
  </si>
  <si>
    <t>[effect:fix_speed, target:myself, turn:2],[effect:enemy_counter, target:myself, invoke_condition:unit_all, counter_target:attacker, turn:-1, val:0.05, animation:enemy_counter],[effect:tolerance, target:myself, turn:-1, tolerance_effect:all, count:-1, animation:enemy_tolerance]</t>
    <phoneticPr fontId="5"/>
  </si>
  <si>
    <t>[effect:critical, val:2]</t>
    <phoneticPr fontId="5"/>
  </si>
  <si>
    <t>null</t>
    <phoneticPr fontId="5"/>
  </si>
  <si>
    <t>null</t>
    <phoneticPr fontId="5"/>
  </si>
  <si>
    <t>null</t>
    <phoneticPr fontId="5"/>
  </si>
  <si>
    <t>仙術・筋強化！</t>
    <phoneticPr fontId="5"/>
  </si>
  <si>
    <t xml:space="preserve">[effect:freq_turn, target:myself, turn:-1, val:1, animation:enemy_freq_turn],[effect:enhance_enemy, target:myself, turn:-1, status:attack, val:0.2, calc:mul, animation:enemy_enhance_attack]    </t>
    <phoneticPr fontId="5"/>
  </si>
  <si>
    <t>[effect:break_heal_ratio, target:myself, val:0.05, lowest_val:5000, count:-1, block_color:block_heart, block01:block_heart, animation:enemy_heal]</t>
    <phoneticPr fontId="5"/>
  </si>
  <si>
    <t>数学書「ペンタゴン」</t>
    <phoneticPr fontId="5"/>
  </si>
  <si>
    <t>数学書「オクタゴン」</t>
    <phoneticPr fontId="5"/>
  </si>
  <si>
    <t>[effect:rush, count:8, val:0.15]</t>
    <phoneticPr fontId="5"/>
  </si>
  <si>
    <t>加速の詠句</t>
    <phoneticPr fontId="5"/>
  </si>
  <si>
    <t>トラッド・フェンサー</t>
    <phoneticPr fontId="5"/>
  </si>
  <si>
    <t>よっ！私を止めてみなっ！</t>
    <phoneticPr fontId="5"/>
  </si>
  <si>
    <t>full_member</t>
    <phoneticPr fontId="5"/>
  </si>
  <si>
    <t>秘術・大熊猫式！</t>
    <phoneticPr fontId="5"/>
  </si>
  <si>
    <t>[effect:fix_speed, target:myself, turn:2],[effect:enemy_counter, target:myself, invoke_condition:unit_all, counter_target:attacker, turn:-1, val:0.05, animation:enemy_counter],[effect:tolerance, target:myself, turn:-1, tolerance_effect:all, count:-1, animation:enemy_tolerance]</t>
    <phoneticPr fontId="5"/>
  </si>
  <si>
    <t>[effect:fix_speed, target:myself, turn:2],[effect:tolerance, target:myself, turn:-1, tolerance_effect:all, count:-1, animation:enemy_tolerance]</t>
    <phoneticPr fontId="5"/>
  </si>
  <si>
    <t>トランス・パネル</t>
    <phoneticPr fontId="5"/>
  </si>
  <si>
    <t>null</t>
    <phoneticPr fontId="5"/>
  </si>
  <si>
    <t>トラッド・フェンサー</t>
    <phoneticPr fontId="5"/>
  </si>
  <si>
    <t>[effect:degrade_unit, target:unit_all, turn:5, status:attack, val:0.5, calc:mul],[effect:tolerance, target:myself, turn:-1, tolerance_effect:all, count:-1, animation:enemy_tolerance]</t>
    <phoneticPr fontId="5"/>
  </si>
  <si>
    <t>[effect:degrade_unit, target:unit_all, turn:3, status:attack, val:0.3, calc:mul],[effect:enhance_enemy, target:myself, turn:-1, status:attack, val:0.15, calc:mul, animation:enemy_enhance_attack]</t>
    <phoneticPr fontId="5"/>
  </si>
  <si>
    <t>[effect:dis_panel, target:block_yellow, turn:1, animation:enemy_dis_yellow],[effect:critical, val:2]</t>
    <phoneticPr fontId="5"/>
  </si>
  <si>
    <t>[effect:dis_panel, target:block_blue, turn:1, animation:enemy_dis_blue],[effect:critical, val:2]</t>
    <phoneticPr fontId="5"/>
  </si>
  <si>
    <t xml:space="preserve">[effect:dis_heart, turn:1, animation:enemy_dis_heart]    </t>
    <phoneticPr fontId="5"/>
  </si>
  <si>
    <t>[effect:critical, val:1]</t>
    <phoneticPr fontId="5"/>
  </si>
  <si>
    <t>[effect:critical, val:2.5]</t>
    <phoneticPr fontId="5"/>
  </si>
  <si>
    <t>あとは任せるアル！</t>
    <phoneticPr fontId="5"/>
  </si>
  <si>
    <t>よーし…燃え広がれっ！</t>
    <phoneticPr fontId="5"/>
  </si>
  <si>
    <t xml:space="preserve">[effect:damage_anti_tribe, target:unit_one, tribe:animal, val1:1.2, val2:1] </t>
    <phoneticPr fontId="5"/>
  </si>
  <si>
    <t>月都の劇薬</t>
    <phoneticPr fontId="5"/>
  </si>
  <si>
    <t>[effect:damage_anti_color, target:unit_all, color:blue, val1:0.4, val2:0.25]</t>
    <phoneticPr fontId="5"/>
  </si>
  <si>
    <t>トラップ・ソード</t>
    <phoneticPr fontId="5"/>
  </si>
  <si>
    <t>[effect:spread, val:0.26]</t>
    <phoneticPr fontId="5"/>
  </si>
  <si>
    <t>[effect:spread, val:0.26]</t>
    <phoneticPr fontId="5"/>
  </si>
  <si>
    <t>[effect:dis_panel, target:block_blue, turn:2, animation:enemy_dis_blue],[effect:force_change_block, new_block:block_blue, target:block_all, count:0, val:0, no_effect_msg:no_effect_msg_change_block_jammer, animation:change_block]</t>
    <phoneticPr fontId="5"/>
  </si>
  <si>
    <t>[effect:critical, val:2.4]</t>
    <phoneticPr fontId="5"/>
  </si>
  <si>
    <t>[effect:critical, val:2]</t>
    <phoneticPr fontId="5"/>
  </si>
  <si>
    <t>[effect:damage_anti_color, target:unit_all, color:red, val1:0.3, val2:0.4]</t>
    <phoneticPr fontId="5"/>
  </si>
  <si>
    <t>[effect:spread, val:0.25],[effect:virus, turn:3, rate:1, val:0.1, animation:enemy_virus]</t>
    <phoneticPr fontId="5"/>
  </si>
  <si>
    <t xml:space="preserve">[effect:fix_speed, target:myself, turn:1],[effect:virus, turn:8, rate:1, val:0.12, animation:enemy_virus]    </t>
    <phoneticPr fontId="5"/>
  </si>
  <si>
    <t>[effect:spread, val:0.4]</t>
    <phoneticPr fontId="5"/>
  </si>
  <si>
    <t>[effect:critical, val:1.5]</t>
    <phoneticPr fontId="5"/>
  </si>
  <si>
    <t>伏したまえ…！</t>
    <phoneticPr fontId="5"/>
  </si>
  <si>
    <t>3ターン自身の防御力UP</t>
    <phoneticPr fontId="5"/>
  </si>
  <si>
    <t>1ターンウィルス＋全体攻撃</t>
    <phoneticPr fontId="5"/>
  </si>
  <si>
    <t>攻撃頻度UP</t>
    <phoneticPr fontId="52"/>
  </si>
  <si>
    <t xml:space="preserve">全体攻撃 </t>
    <phoneticPr fontId="5"/>
  </si>
  <si>
    <t xml:space="preserve">全体攻撃  </t>
    <phoneticPr fontId="5"/>
  </si>
  <si>
    <t>状態異常無効</t>
    <phoneticPr fontId="5"/>
  </si>
  <si>
    <t>3ターン自身の防御力UP</t>
    <phoneticPr fontId="5"/>
  </si>
  <si>
    <t>自身の攻撃力UP</t>
    <phoneticPr fontId="5"/>
  </si>
  <si>
    <t>状態異常無効</t>
    <phoneticPr fontId="5"/>
  </si>
  <si>
    <t>攻撃力UP＋攻撃頻度UP</t>
    <phoneticPr fontId="5"/>
  </si>
  <si>
    <t xml:space="preserve">8ターンウィルス  </t>
    <phoneticPr fontId="5"/>
  </si>
  <si>
    <t xml:space="preserve">2ターン青パネル無効 
＋すべてのパネルを青パネルに変換 </t>
    <phoneticPr fontId="5"/>
  </si>
  <si>
    <t>ハートパネルを吸収し、回復</t>
    <phoneticPr fontId="5"/>
  </si>
  <si>
    <t>状態異常無効＋フィーバーゲージ減少</t>
    <phoneticPr fontId="5"/>
  </si>
  <si>
    <t xml:space="preserve">時限式ダメージパネル大量発生 </t>
    <phoneticPr fontId="5"/>
  </si>
  <si>
    <t>1ターン黄パネル無効＋クリティカル</t>
    <phoneticPr fontId="5"/>
  </si>
  <si>
    <t xml:space="preserve">1ターン青パネル無効＋クリティカル </t>
    <phoneticPr fontId="5"/>
  </si>
  <si>
    <t>クリティカル！</t>
    <phoneticPr fontId="5"/>
  </si>
  <si>
    <t>単体攻撃（次のターンにクリティカル攻撃！）</t>
    <phoneticPr fontId="5"/>
  </si>
  <si>
    <t>クリティカル！</t>
    <phoneticPr fontId="5"/>
  </si>
  <si>
    <t>攻撃頻度UP＋クリティカル！</t>
    <phoneticPr fontId="5"/>
  </si>
  <si>
    <t>クリティカル！</t>
    <phoneticPr fontId="5"/>
  </si>
  <si>
    <t>5回連続攻撃</t>
  </si>
  <si>
    <t>8回連続攻撃</t>
    <phoneticPr fontId="5"/>
  </si>
  <si>
    <t>ランダムに時限式ダメージパネルに変換（最大6個）</t>
    <phoneticPr fontId="5"/>
  </si>
  <si>
    <t>生意気な奴らが来ましたね…</t>
    <phoneticPr fontId="5"/>
  </si>
  <si>
    <t>ゆっくり楽しみましょう…</t>
    <phoneticPr fontId="5"/>
  </si>
  <si>
    <t>拷問は嫌いですかな？</t>
    <phoneticPr fontId="5"/>
  </si>
  <si>
    <t>もっと苦しみなさい…</t>
    <phoneticPr fontId="5"/>
  </si>
  <si>
    <t>鞭打ちの刑です…</t>
    <phoneticPr fontId="5"/>
  </si>
  <si>
    <t>苦しむ顔を見せなさい…</t>
    <phoneticPr fontId="5"/>
  </si>
  <si>
    <t>悲鳴を聞かせなさい…</t>
    <phoneticPr fontId="5"/>
  </si>
  <si>
    <t>八つ裂きの刑です…</t>
    <phoneticPr fontId="5"/>
  </si>
  <si>
    <t>全て私のもの…</t>
    <phoneticPr fontId="5"/>
  </si>
  <si>
    <t>あぁ…いい顔だ…！</t>
    <phoneticPr fontId="5"/>
  </si>
  <si>
    <t>フフ…逃がしませんよ…</t>
    <phoneticPr fontId="5"/>
  </si>
  <si>
    <t>私に武力で勝てると…？</t>
    <phoneticPr fontId="5"/>
  </si>
  <si>
    <t>ハァ〜ン？まだわかりませんかァ？</t>
    <phoneticPr fontId="5"/>
  </si>
  <si>
    <t>私の策は完璧なんですよ？</t>
    <phoneticPr fontId="5"/>
  </si>
  <si>
    <t>足掻いても無駄なんですよ！</t>
    <phoneticPr fontId="5"/>
  </si>
  <si>
    <t>動かないで下さいね？</t>
    <phoneticPr fontId="5"/>
  </si>
  <si>
    <t>残念ですが手遅れですよ</t>
    <phoneticPr fontId="5"/>
  </si>
  <si>
    <t>もっと鳴きなさい…！</t>
    <phoneticPr fontId="5"/>
  </si>
  <si>
    <t>おやおや、天才君ですか…</t>
    <phoneticPr fontId="5"/>
  </si>
  <si>
    <t>おやおや、天才君ですか…</t>
    <phoneticPr fontId="5"/>
  </si>
  <si>
    <t>さぁ、観念しなさい…</t>
    <phoneticPr fontId="5"/>
  </si>
  <si>
    <t>ハハッ！痛いですかァ？</t>
    <phoneticPr fontId="5"/>
  </si>
  <si>
    <t>私の策は完璧です…</t>
    <phoneticPr fontId="5"/>
  </si>
  <si>
    <t>null</t>
  </si>
  <si>
    <t>link</t>
  </si>
  <si>
    <t>unit</t>
  </si>
  <si>
    <t>かぐやは2ターンごとに 
強力なウィルス攻撃をします 
ウィルス無効のユニットが多いほど有利です</t>
    <phoneticPr fontId="5"/>
  </si>
  <si>
    <t>井伊直虎は赤属性以外のユニットに 
キラー攻撃をします 
PT編成に注意しましょう</t>
    <phoneticPr fontId="5"/>
  </si>
  <si>
    <t>井伊直虎は強力なウィルス攻撃をします 
ウィルス無効のユニットや
解除スキルを使いましょう</t>
    <phoneticPr fontId="5"/>
  </si>
  <si>
    <t>アーケロンはHPが半分以下になると 
パネルを全て青パネルに変換し
次のターンにクリティカル攻撃をします</t>
    <phoneticPr fontId="5"/>
  </si>
  <si>
    <t xml:space="preserve">ランランは2ターンごとに少しずつ
攻撃力が上がります  </t>
    <phoneticPr fontId="5"/>
  </si>
  <si>
    <t xml:space="preserve">董卓は強力なウィルス攻撃を 
頻繁に行います </t>
    <phoneticPr fontId="5"/>
  </si>
  <si>
    <t>董卓は3ゲージ目の最初に 
フィーバーゲージ減少スキルを使います 
直前にフィーバーを使い切っておきましょう</t>
    <phoneticPr fontId="5"/>
  </si>
  <si>
    <t>[effect:spread, val:0.25],[effect:virus, turn:1, rate:1, val:0.8, animation:enemy_virus]</t>
    <phoneticPr fontId="5"/>
  </si>
  <si>
    <t xml:space="preserve">[effect:fix_speed, target:myself, turn:1],[effect:virus, turn:2, rate:1, val:0.8, animation:enemy_virus]    </t>
    <phoneticPr fontId="5"/>
  </si>
  <si>
    <t xml:space="preserve">[effect:fix_speed, target:myself, turn:1],[effect:virus, turn:8, rate:1, val:0.7, animation:enemy_virus]    </t>
    <phoneticPr fontId="5"/>
  </si>
  <si>
    <t>[effect:spread, val:0.26],[effect:virus, turn:-1, rate:1, val:0.6, animation:enemy_virus]</t>
    <phoneticPr fontId="5"/>
  </si>
  <si>
    <t>[effect:spread, val:0.26],[effect:virus, turn:-1, rate:1, val:0.7, animation:enemy_virus]</t>
    <phoneticPr fontId="5"/>
  </si>
  <si>
    <t>[effect:spread, val:0.26],[effect:virus, turn:-1, rate:1, val:0.75, animation:enemy_virus]</t>
    <phoneticPr fontId="5"/>
  </si>
  <si>
    <t>[effect:spread, val:0.26],[effect:virus, turn:-1, rate:1, val:0.7, animation:enemy_virus]</t>
    <phoneticPr fontId="5"/>
  </si>
  <si>
    <t>[effect:spread, val:0.26],[effect:virus, turn:-1, rate:1, val:0.75, animation:enemy_virus]</t>
    <phoneticPr fontId="5"/>
  </si>
  <si>
    <t>解除するまでウィルス＋全体攻撃</t>
    <phoneticPr fontId="5"/>
  </si>
  <si>
    <t xml:space="preserve">董卓は永続効果のウィルス攻撃を 
頻繁に行います </t>
    <phoneticPr fontId="5"/>
  </si>
  <si>
    <t xml:space="preserve">かぐやは2ターンごとに 
ウィルス攻撃をします </t>
    <phoneticPr fontId="5"/>
  </si>
  <si>
    <t>井伊直虎は時限式ダメージパネルを
生成するスキルを使用します</t>
    <phoneticPr fontId="5"/>
  </si>
  <si>
    <t>[effect:spread, val:0.26],[effect:virus, turn:-1, rate:1, val:0.6, animation:enemy_virus]</t>
    <phoneticPr fontId="5"/>
  </si>
  <si>
    <t>[effect:spread, val:0.26],[effect:virus, turn:-1, rate:1, val:0.13, animation:enemy_virus]</t>
    <phoneticPr fontId="5"/>
  </si>
  <si>
    <t>[effect:spread, val:0.26],[effect:virus, turn:-1, rate:1, val:0.14, animation:enemy_virus]</t>
    <phoneticPr fontId="5"/>
  </si>
  <si>
    <t>[effect:spread, val:0.26],[effect:virus, turn:-1, rate:1, val:0.15, animation:enemy_virus]</t>
    <phoneticPr fontId="5"/>
  </si>
  <si>
    <t>[effect:spread, val:0.26],[effect:virus, turn:-1, rate:1, val:0.16, animation:enemy_virus]</t>
    <phoneticPr fontId="5"/>
  </si>
  <si>
    <t>[effect:spread, val:0.26],[effect:virus, turn:-1, rate:1, val:0.17, animation:enemy_virus]</t>
    <phoneticPr fontId="5"/>
  </si>
  <si>
    <t>[effect:spread, val:0.26],[effect:virus, turn:-1, rate:1, val:0.18, animation:enemy_virus]</t>
    <phoneticPr fontId="5"/>
  </si>
  <si>
    <t>董卓は3ゲージ目の最初に 
フィーバーゲージ半減スキルを使います
なるべくスキルを溜めておきましょう</t>
    <phoneticPr fontId="5"/>
  </si>
  <si>
    <t>赤属性以外に大ダメージの全体攻撃</t>
    <phoneticPr fontId="5"/>
  </si>
  <si>
    <t xml:space="preserve">2ターンウィルス </t>
    <phoneticPr fontId="5"/>
  </si>
  <si>
    <t>1ターンハートパネル無効</t>
    <phoneticPr fontId="5"/>
  </si>
  <si>
    <t>状態異常無効＋解除するまでカウンター</t>
    <phoneticPr fontId="5"/>
  </si>
  <si>
    <t>状態異常無効＋解除するまでカウンター</t>
    <phoneticPr fontId="5"/>
  </si>
  <si>
    <t>3ターンウィルス＋全体攻撃</t>
    <phoneticPr fontId="5"/>
  </si>
  <si>
    <t>青属性に大ダメージの全体攻撃</t>
    <phoneticPr fontId="5"/>
  </si>
  <si>
    <t>状態異常無効＋5ターンの間攻撃力50％DOWN</t>
    <phoneticPr fontId="5"/>
  </si>
  <si>
    <t>自身の攻撃力UP＋味方ユニットの攻撃力30％DOWN</t>
    <phoneticPr fontId="5"/>
  </si>
  <si>
    <t>過激派の董卓と　穏健派の諸葛亮は
どちらもALICEの掌握を狙っていますが
思想の違いから度々衝突していました</t>
    <phoneticPr fontId="5"/>
  </si>
  <si>
    <t>諸葛亮と董卓</t>
    <phoneticPr fontId="5"/>
  </si>
  <si>
    <t>董卓はとても残酷な性格で
自らの力を示すため　見せしめのように
私的な処刑を行っていました</t>
    <phoneticPr fontId="5"/>
  </si>
  <si>
    <t>董卓</t>
    <phoneticPr fontId="5"/>
  </si>
  <si>
    <t>董卓の作戦によって動いていた
赤兎馬が敗北したと知った董卓は
自らの作戦を妨害する者を処刑しようと
していました</t>
    <phoneticPr fontId="5"/>
  </si>
  <si>
    <t>董卓の怒り</t>
    <phoneticPr fontId="5"/>
  </si>
  <si>
    <t>緑パネルを赤パネルに変換 （最大5個）</t>
    <phoneticPr fontId="5"/>
  </si>
  <si>
    <t>[effect:enemy_message, val1:1.5],[effect:degrade_fever, val:1000, animation:fevergauge_down],[effect:tolerance, target:myself, turn:-1, tolerance_effect:all, count:-1, animation:enemy_tolerance]</t>
    <phoneticPr fontId="5"/>
  </si>
  <si>
    <t>[effect:enemy_message, val1:1.5],[effect:degrade_fever, val:500, animation:fevergauge_down],[effect:tolerance, target:myself, turn:-1, tolerance_effect:all, count:-1, animation:enemy_tolerance]</t>
    <phoneticPr fontId="5"/>
  </si>
  <si>
    <t>ランランは2ターンごとに少しずつ
攻撃力が上がります</t>
    <phoneticPr fontId="5"/>
  </si>
  <si>
    <t>バトルするネー！！</t>
    <phoneticPr fontId="5"/>
  </si>
  <si>
    <t>種族アニマルに大ダメージ</t>
    <phoneticPr fontId="5"/>
  </si>
  <si>
    <t xml:space="preserve">[effect:force_change_block, new_block:time_bomb, target:block_all, ignore01:block_positive, ignore02:block_negative, color:block_red, count:6, val:0.2, min_time_count:2, max_time_count:2, animation:change_block] </t>
    <phoneticPr fontId="5"/>
  </si>
  <si>
    <t xml:space="preserve">3ターンウィルス </t>
    <phoneticPr fontId="5"/>
  </si>
  <si>
    <t xml:space="preserve">[effect:fix_speed, target:myself, turn:1],[effect:virus, turn:3, rate:1, val:0.1, animation:enemy_virus]    </t>
    <phoneticPr fontId="5"/>
  </si>
  <si>
    <t>[effect:force_change_block, new_block:time_bomb, target:block_all, ignore01:block_positive, ignore02:block_negative, color:block_red, count:3, val:0.1, animation:change_block],[effect:force_change_block, new_block:time_bomb, target:block_all, ignore01:block_positive, ignore02:block_negative, color:block_blue, count:3, val:0.1, animation:change_block],[effect:force_change_block, new_block:time_bomb, target:block_all, ignore01:block_positive, ignore02:block_negative, color:block_yellow, count:3, val:0.1, animation:change_block],[effect:force_change_block, new_block:time_bomb, target:block_all, ignore01:block_positive, ignore02:block_negative, color:block_green, count:3, val:0.1, animation:change_block],[effect:force_change_block, new_block:time_bomb, target:block_all, ignore01:block_positive, ignore02:block_negative, color:block_heart, count:3, val:0.1, animation:change_block]</t>
    <phoneticPr fontId="5"/>
  </si>
  <si>
    <t>[effect:force_change_block, new_block:time_bomb, target:block_all, ignore01:block_positive, ignore02:block_negative, color:block_red, count:2, val:0.1, animation:change_block],[effect:force_change_block, new_block:time_bomb, target:block_all, ignore01:block_positive, ignore02:block_negative, color:block_blue, count:2, val:0.1, animation:change_block],[effect:force_change_block, new_block:time_bomb, target:block_all, ignore01:block_positive, ignore02:block_negative, color:block_yellow, count:2, val:0.1, animation:change_block],[effect:force_change_block, new_block:time_bomb, target:block_all, ignore01:block_positive, ignore02:block_negative, color:block_green, count:2, val:0.1, animation:change_block],[effect:force_change_block, new_block:time_bomb, target:block_all, ignore01:block_positive, ignore02:block_negative, color:block_heart, count:2, val:0.1,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</si>
</sst>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6"/>
      <name val="MS PGothic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9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 wrapText="1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" fontId="32" fillId="31" borderId="25" xfId="0" applyNumberFormat="1" applyFont="1" applyFill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2" fillId="7" borderId="34" xfId="0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5" borderId="40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0" fillId="0" borderId="12" xfId="0" applyBorder="1"/>
    <xf numFmtId="0" fontId="0" fillId="3" borderId="12" xfId="0" applyFill="1" applyBorder="1"/>
    <xf numFmtId="0" fontId="0" fillId="0" borderId="25" xfId="0" applyBorder="1"/>
    <xf numFmtId="0" fontId="0" fillId="3" borderId="25" xfId="0" applyFill="1" applyBorder="1"/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27" fillId="0" borderId="25" xfId="0" applyFont="1" applyFill="1" applyBorder="1"/>
    <xf numFmtId="0" fontId="28" fillId="0" borderId="25" xfId="0" applyFont="1" applyFill="1" applyBorder="1"/>
    <xf numFmtId="0" fontId="30" fillId="0" borderId="25" xfId="0" applyFont="1" applyFill="1" applyBorder="1"/>
    <xf numFmtId="0" fontId="30" fillId="30" borderId="25" xfId="0" applyFont="1" applyFill="1" applyBorder="1"/>
    <xf numFmtId="0" fontId="30" fillId="14" borderId="25" xfId="0" applyFont="1" applyFill="1" applyBorder="1"/>
    <xf numFmtId="0" fontId="31" fillId="0" borderId="25" xfId="0" applyFont="1" applyFill="1" applyBorder="1"/>
    <xf numFmtId="38" fontId="53" fillId="0" borderId="7" xfId="628" applyFont="1" applyFill="1" applyBorder="1" applyAlignment="1">
      <alignment wrapText="1"/>
    </xf>
    <xf numFmtId="0" fontId="29" fillId="0" borderId="7" xfId="0" applyFont="1" applyFill="1" applyBorder="1" applyAlignment="1">
      <alignment vertical="center"/>
    </xf>
    <xf numFmtId="0" fontId="29" fillId="3" borderId="41" xfId="0" applyFont="1" applyFill="1" applyBorder="1" applyAlignment="1">
      <alignment vertical="center"/>
    </xf>
    <xf numFmtId="0" fontId="29" fillId="0" borderId="41" xfId="0" applyFont="1" applyFill="1" applyBorder="1" applyAlignment="1">
      <alignment vertical="center"/>
    </xf>
    <xf numFmtId="0" fontId="0" fillId="0" borderId="42" xfId="0" applyBorder="1"/>
    <xf numFmtId="0" fontId="27" fillId="0" borderId="2" xfId="0" applyFont="1" applyFill="1" applyBorder="1"/>
    <xf numFmtId="0" fontId="28" fillId="0" borderId="2" xfId="0" applyFont="1" applyFill="1" applyBorder="1"/>
    <xf numFmtId="0" fontId="30" fillId="0" borderId="2" xfId="0" applyFont="1" applyFill="1" applyBorder="1"/>
    <xf numFmtId="0" fontId="30" fillId="30" borderId="2" xfId="0" applyFont="1" applyFill="1" applyBorder="1"/>
    <xf numFmtId="0" fontId="30" fillId="14" borderId="2" xfId="0" applyFont="1" applyFill="1" applyBorder="1"/>
    <xf numFmtId="0" fontId="31" fillId="0" borderId="2" xfId="0" applyFont="1" applyFill="1" applyBorder="1"/>
    <xf numFmtId="38" fontId="16" fillId="0" borderId="2" xfId="628" applyFont="1" applyFill="1" applyBorder="1" applyAlignment="1">
      <alignment wrapText="1"/>
    </xf>
    <xf numFmtId="0" fontId="0" fillId="0" borderId="2" xfId="0" applyBorder="1"/>
    <xf numFmtId="0" fontId="29" fillId="3" borderId="25" xfId="0" applyFont="1" applyFill="1" applyBorder="1" applyAlignment="1">
      <alignment vertical="center"/>
    </xf>
    <xf numFmtId="0" fontId="29" fillId="0" borderId="25" xfId="0" applyFont="1" applyFill="1" applyBorder="1" applyAlignment="1">
      <alignment vertical="center"/>
    </xf>
    <xf numFmtId="38" fontId="16" fillId="0" borderId="25" xfId="628" applyFont="1" applyFill="1" applyBorder="1" applyAlignment="1">
      <alignment wrapText="1"/>
    </xf>
    <xf numFmtId="0" fontId="0" fillId="0" borderId="34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40" sqref="E4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255</v>
      </c>
      <c r="B2" s="57" t="s">
        <v>106</v>
      </c>
      <c r="C2" s="62">
        <v>40031</v>
      </c>
      <c r="D2" s="57" t="s">
        <v>107</v>
      </c>
      <c r="E2" s="56" t="str">
        <f>B2&amp;C2&amp;D2</f>
        <v>floors_40031.tmp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255</v>
      </c>
      <c r="B3" s="57" t="s">
        <v>109</v>
      </c>
      <c r="C3" s="62">
        <f>C$2</f>
        <v>40031</v>
      </c>
      <c r="D3" s="57" t="s">
        <v>107</v>
      </c>
      <c r="E3" s="56" t="str">
        <f>B3&amp;C3&amp;D3</f>
        <v>enemy_habitats_40031.tmp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255</v>
      </c>
      <c r="B4" s="57" t="s">
        <v>111</v>
      </c>
      <c r="C4" s="62">
        <f t="shared" ref="C4:C13" si="0">C$2</f>
        <v>40031</v>
      </c>
      <c r="D4" s="57" t="s">
        <v>107</v>
      </c>
      <c r="E4" s="56" t="str">
        <f>B4&amp;C4&amp;D4</f>
        <v>enemy_habitat_S_40031.tmp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255</v>
      </c>
      <c r="B5" s="57" t="s">
        <v>113</v>
      </c>
      <c r="C5" s="62">
        <f t="shared" si="0"/>
        <v>40031</v>
      </c>
      <c r="D5" s="57" t="s">
        <v>107</v>
      </c>
      <c r="E5" s="56" t="str">
        <f>B5&amp;C5&amp;D5</f>
        <v>enemy_skill_sets_40031.tmp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255</v>
      </c>
      <c r="B6" s="57" t="s">
        <v>115</v>
      </c>
      <c r="C6" s="62">
        <f t="shared" si="0"/>
        <v>40031</v>
      </c>
      <c r="D6" s="57" t="s">
        <v>116</v>
      </c>
      <c r="E6" s="56" t="str">
        <f t="shared" ref="E6:E10" si="1">B6&amp;C6&amp;D6</f>
        <v>enemy_skills_tmp_40031.tmp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255</v>
      </c>
      <c r="B7" s="57" t="s">
        <v>117</v>
      </c>
      <c r="C7" s="62">
        <f t="shared" si="0"/>
        <v>40031</v>
      </c>
      <c r="D7" s="57" t="s">
        <v>107</v>
      </c>
      <c r="E7" s="56" t="str">
        <f>B7&amp;C7&amp;D7</f>
        <v>enemy_skills_i18n_40031.tmp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255</v>
      </c>
      <c r="B8" s="57" t="s">
        <v>119</v>
      </c>
      <c r="C8" s="62">
        <f t="shared" si="0"/>
        <v>40031</v>
      </c>
      <c r="D8" s="57" t="s">
        <v>120</v>
      </c>
      <c r="E8" s="56" t="str">
        <f t="shared" si="1"/>
        <v>enemy_skill_triggers_40031.tmp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255</v>
      </c>
      <c r="B9" s="67" t="s">
        <v>178</v>
      </c>
      <c r="C9" s="62">
        <f t="shared" si="0"/>
        <v>40031</v>
      </c>
      <c r="D9" s="67" t="s">
        <v>172</v>
      </c>
      <c r="E9" s="68" t="str">
        <f t="shared" si="1"/>
        <v>stage_bug_bonuses_40031.tmp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255</v>
      </c>
      <c r="B10" s="67" t="s">
        <v>202</v>
      </c>
      <c r="C10" s="62">
        <f>C$2</f>
        <v>40031</v>
      </c>
      <c r="D10" s="67" t="s">
        <v>181</v>
      </c>
      <c r="E10" s="68" t="str">
        <f t="shared" si="1"/>
        <v>stage_hints_data_c_40031.tmp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255</v>
      </c>
      <c r="B11" s="67" t="s">
        <v>203</v>
      </c>
      <c r="C11" s="62">
        <f t="shared" si="0"/>
        <v>40031</v>
      </c>
      <c r="D11" s="67" t="s">
        <v>172</v>
      </c>
      <c r="E11" s="68" t="str">
        <f t="shared" ref="E11:E13" si="2">B11&amp;C11&amp;D11</f>
        <v>stage_hints_data_f_40031.tmp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255</v>
      </c>
      <c r="B12" s="67" t="s">
        <v>204</v>
      </c>
      <c r="C12" s="62">
        <f t="shared" si="0"/>
        <v>40031</v>
      </c>
      <c r="D12" s="67" t="s">
        <v>172</v>
      </c>
      <c r="E12" s="68" t="str">
        <f t="shared" si="2"/>
        <v>stage_hints_i18n_40031.tmp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255</v>
      </c>
      <c r="B13" s="67" t="s">
        <v>252</v>
      </c>
      <c r="C13" s="62">
        <f t="shared" si="0"/>
        <v>40031</v>
      </c>
      <c r="D13" s="67" t="s">
        <v>233</v>
      </c>
      <c r="E13" s="68" t="str">
        <f t="shared" si="2"/>
        <v>stage_bonuses_40031.tmp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26" sqref="F2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40031_1-1</v>
      </c>
      <c r="B2" s="16" t="str">
        <f>IF(COUNTIF(enemy_habitats!$H:$H,A2),"OK","NG")</f>
        <v>OK</v>
      </c>
      <c r="C2" s="7">
        <v>40031</v>
      </c>
      <c r="D2" s="11" t="str">
        <f ca="1">VLOOKUP($C2,OFFSET([2]quests!$A$1,0,0,COUNTA([2]quests!$A:$A),MATCH(D$1,[2]quests!$1:$1,0)-MATCH($C$1,[2]quests!$1:$1,0)+1),MATCH(D$1,[2]quests!$1:$1,0)-MATCH($C$1,[2]quests!$1:$1,0)+1,FALSE)</f>
        <v>董卓襲来！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降臨31</v>
      </c>
      <c r="F2" s="21">
        <v>1</v>
      </c>
      <c r="G2" s="23" t="str">
        <f>C2&amp;"_"&amp;F2</f>
        <v>40031_1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【超絶級】董卓襲来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8" si="0">G3&amp;"-"&amp;I3</f>
        <v>40031_1-2</v>
      </c>
      <c r="B3" s="16" t="str">
        <f>IF(COUNTIF(enemy_habitats!$H:$H,A3),"OK","NG")</f>
        <v>OK</v>
      </c>
      <c r="C3" s="7">
        <v>40031</v>
      </c>
      <c r="D3" s="11" t="str">
        <f ca="1">VLOOKUP($C3,OFFSET([2]quests!$A$1,0,0,COUNTA([2]quests!$A:$A),MATCH(D$1,[2]quests!$1:$1,0)-MATCH($C$1,[2]quests!$1:$1,0)+1),MATCH(D$1,[2]quests!$1:$1,0)-MATCH($C$1,[2]quests!$1:$1,0)+1,FALSE)</f>
        <v>董卓襲来！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降臨31</v>
      </c>
      <c r="F3" s="21">
        <v>1</v>
      </c>
      <c r="G3" s="23" t="str">
        <f t="shared" ref="G3:G8" si="1">C3&amp;"_"&amp;F3</f>
        <v>40031_1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【超絶級】董卓襲来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40031_1-3</v>
      </c>
      <c r="B4" s="16" t="str">
        <f>IF(COUNTIF(enemy_habitats!$H:$H,A4),"OK","NG")</f>
        <v>OK</v>
      </c>
      <c r="C4" s="7">
        <v>40031</v>
      </c>
      <c r="D4" s="11" t="str">
        <f ca="1">VLOOKUP($C4,OFFSET([2]quests!$A$1,0,0,COUNTA([2]quests!$A:$A),MATCH(D$1,[2]quests!$1:$1,0)-MATCH($C$1,[2]quests!$1:$1,0)+1),MATCH(D$1,[2]quests!$1:$1,0)-MATCH($C$1,[2]quests!$1:$1,0)+1,FALSE)</f>
        <v>董卓襲来！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降臨31</v>
      </c>
      <c r="F4" s="21">
        <v>1</v>
      </c>
      <c r="G4" s="23" t="str">
        <f t="shared" si="1"/>
        <v>40031_1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【超絶級】董卓襲来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13" t="str">
        <f t="shared" si="0"/>
        <v>40031_1-4</v>
      </c>
      <c r="B5" s="113" t="str">
        <f>IF(COUNTIF(enemy_habitats!$H:$H,A5),"OK","NG")</f>
        <v>OK</v>
      </c>
      <c r="C5" s="114">
        <v>40031</v>
      </c>
      <c r="D5" s="115" t="str">
        <f ca="1">VLOOKUP($C5,OFFSET([2]quests!$A$1,0,0,COUNTA([2]quests!$A:$A),MATCH(D$1,[2]quests!$1:$1,0)-MATCH($C$1,[2]quests!$1:$1,0)+1),MATCH(D$1,[2]quests!$1:$1,0)-MATCH($C$1,[2]quests!$1:$1,0)+1,FALSE)</f>
        <v>董卓襲来！</v>
      </c>
      <c r="E5" s="115" t="str">
        <f ca="1">VLOOKUP($C5,OFFSET([2]quests!$A$1,0,0,COUNTA([2]quests!$A:$A),MATCH(E$1,[2]quests!$1:$1,0)-MATCH($C$1,[2]quests!$1:$1,0)+1),MATCH(E$1,[2]quests!$1:$1,0)-MATCH($C$1,[2]quests!$1:$1,0)+1,FALSE)</f>
        <v>降臨31</v>
      </c>
      <c r="F5" s="116">
        <v>1</v>
      </c>
      <c r="G5" s="117" t="str">
        <f t="shared" si="1"/>
        <v>40031_1</v>
      </c>
      <c r="H5" s="118" t="str">
        <f ca="1">VLOOKUP($G5,OFFSET([2]stages!$A$1,0,0,COUNTA([2]stages!$A:$A),MATCH(H$1,[2]stages!$2:$2,0)-MATCH($G$1,[2]stages!$2:$2,0)+1),MATCH(H$1,[2]stages!$2:$2,0)-MATCH($G$1,[2]stages!$2:$2,0)+1,FALSE)</f>
        <v>【超絶級】董卓襲来</v>
      </c>
      <c r="I5" s="116">
        <v>4</v>
      </c>
      <c r="J5" s="119">
        <v>60</v>
      </c>
      <c r="K5" s="119">
        <v>60</v>
      </c>
    </row>
    <row r="6" spans="1:11" ht="21" customHeight="1" thickTop="1" x14ac:dyDescent="0.15">
      <c r="A6" s="16" t="str">
        <f t="shared" si="0"/>
        <v>40031_2-1</v>
      </c>
      <c r="B6" s="16" t="str">
        <f>IF(COUNTIF(enemy_habitats!$H:$H,A6),"OK","NG")</f>
        <v>OK</v>
      </c>
      <c r="C6" s="107">
        <v>40031</v>
      </c>
      <c r="D6" s="108" t="str">
        <f ca="1">VLOOKUP($C6,OFFSET([2]quests!$A$1,0,0,COUNTA([2]quests!$A:$A),MATCH(D$1,[2]quests!$1:$1,0)-MATCH($C$1,[2]quests!$1:$1,0)+1),MATCH(D$1,[2]quests!$1:$1,0)-MATCH($C$1,[2]quests!$1:$1,0)+1,FALSE)</f>
        <v>董卓襲来！</v>
      </c>
      <c r="E6" s="108" t="str">
        <f ca="1">VLOOKUP($C6,OFFSET([2]quests!$A$1,0,0,COUNTA([2]quests!$A:$A),MATCH(E$1,[2]quests!$1:$1,0)-MATCH($C$1,[2]quests!$1:$1,0)+1),MATCH(E$1,[2]quests!$1:$1,0)-MATCH($C$1,[2]quests!$1:$1,0)+1,FALSE)</f>
        <v>降臨31</v>
      </c>
      <c r="F6" s="109">
        <v>2</v>
      </c>
      <c r="G6" s="110" t="str">
        <f t="shared" si="1"/>
        <v>40031_2</v>
      </c>
      <c r="H6" s="111" t="str">
        <f ca="1">VLOOKUP($G6,OFFSET([2]stages!$A$1,0,0,COUNTA([2]stages!$A:$A),MATCH(H$1,[2]stages!$2:$2,0)-MATCH($G$1,[2]stages!$2:$2,0)+1),MATCH(H$1,[2]stages!$2:$2,0)-MATCH($G$1,[2]stages!$2:$2,0)+1,FALSE)</f>
        <v>【ウィザード級】董卓襲来</v>
      </c>
      <c r="I6" s="109">
        <v>1</v>
      </c>
      <c r="J6" s="112">
        <v>60</v>
      </c>
      <c r="K6" s="112">
        <v>60</v>
      </c>
    </row>
    <row r="7" spans="1:11" ht="21" customHeight="1" x14ac:dyDescent="0.15">
      <c r="A7" s="16" t="str">
        <f t="shared" si="0"/>
        <v>40031_2-2</v>
      </c>
      <c r="B7" s="16" t="str">
        <f>IF(COUNTIF(enemy_habitats!$H:$H,A7),"OK","NG")</f>
        <v>OK</v>
      </c>
      <c r="C7" s="7">
        <v>40031</v>
      </c>
      <c r="D7" s="11" t="str">
        <f ca="1">VLOOKUP($C7,OFFSET([2]quests!$A$1,0,0,COUNTA([2]quests!$A:$A),MATCH(D$1,[2]quests!$1:$1,0)-MATCH($C$1,[2]quests!$1:$1,0)+1),MATCH(D$1,[2]quests!$1:$1,0)-MATCH($C$1,[2]quests!$1:$1,0)+1,FALSE)</f>
        <v>董卓襲来！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降臨31</v>
      </c>
      <c r="F7" s="21">
        <v>2</v>
      </c>
      <c r="G7" s="23" t="str">
        <f t="shared" si="1"/>
        <v>40031_2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【ウィザード級】董卓襲来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40031_2-3</v>
      </c>
      <c r="B8" s="16" t="str">
        <f>IF(COUNTIF(enemy_habitats!$H:$H,A8),"OK","NG")</f>
        <v>OK</v>
      </c>
      <c r="C8" s="7">
        <v>40031</v>
      </c>
      <c r="D8" s="11" t="str">
        <f ca="1">VLOOKUP($C8,OFFSET([2]quests!$A$1,0,0,COUNTA([2]quests!$A:$A),MATCH(D$1,[2]quests!$1:$1,0)-MATCH($C$1,[2]quests!$1:$1,0)+1),MATCH(D$1,[2]quests!$1:$1,0)-MATCH($C$1,[2]quests!$1:$1,0)+1,FALSE)</f>
        <v>董卓襲来！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降臨31</v>
      </c>
      <c r="F8" s="21">
        <v>2</v>
      </c>
      <c r="G8" s="23" t="str">
        <f t="shared" si="1"/>
        <v>40031_2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【ウィザード級】董卓襲来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ref="A9" si="2">G9&amp;"-"&amp;I9</f>
        <v>40031_2-4</v>
      </c>
      <c r="B9" s="16" t="str">
        <f>IF(COUNTIF(enemy_habitats!$H:$H,A9),"OK","NG")</f>
        <v>OK</v>
      </c>
      <c r="C9" s="7">
        <v>40031</v>
      </c>
      <c r="D9" s="11" t="str">
        <f ca="1">VLOOKUP($C9,OFFSET([2]quests!$A$1,0,0,COUNTA([2]quests!$A:$A),MATCH(D$1,[2]quests!$1:$1,0)-MATCH($C$1,[2]quests!$1:$1,0)+1),MATCH(D$1,[2]quests!$1:$1,0)-MATCH($C$1,[2]quests!$1:$1,0)+1,FALSE)</f>
        <v>董卓襲来！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降臨31</v>
      </c>
      <c r="F9" s="21">
        <v>2</v>
      </c>
      <c r="G9" s="23" t="str">
        <f t="shared" ref="G9" si="3">C9&amp;"_"&amp;F9</f>
        <v>40031_2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【ウィザード級】董卓襲来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95" zoomScaleNormal="95" zoomScalePageLayoutView="95" workbookViewId="0">
      <pane xSplit="17" ySplit="1" topLeftCell="AH5" activePane="bottomRight" state="frozen"/>
      <selection pane="topRight" activeCell="N1" sqref="N1"/>
      <selection pane="bottomLeft" activeCell="A2" sqref="A2"/>
      <selection pane="bottomRight" activeCell="L25" sqref="L25"/>
    </sheetView>
  </sheetViews>
  <sheetFormatPr baseColWidth="12" defaultColWidth="13" defaultRowHeight="21" customHeight="1" outlineLevelCol="1" x14ac:dyDescent="0.15"/>
  <cols>
    <col min="1" max="1" width="18.6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253</v>
      </c>
      <c r="U1" s="26" t="s">
        <v>50</v>
      </c>
      <c r="V1" s="102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40031_1-1/145&lt;lv85&gt;s1</v>
      </c>
      <c r="B2" s="22">
        <v>40031</v>
      </c>
      <c r="C2" s="21">
        <v>1</v>
      </c>
      <c r="D2" s="2" t="str">
        <f>B2&amp;"_"&amp;C2</f>
        <v>40031_1</v>
      </c>
      <c r="E2" s="4" t="str">
        <f ca="1">VLOOKUP($B2,OFFSET([2]quests!$A$1,0,0,COUNTA([2]quests!$A:$A),MATCH(E$1,[2]quests!$1:$1,0)-MATCH($B$1,[2]quests!$1:$1,0)+1),MATCH(E$1,[2]quests!$1:$1,0)-MATCH($B$1,[2]quests!$1:$1,0)+1,FALSE)</f>
        <v>董卓襲来！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【超絶級】董卓襲来</v>
      </c>
      <c r="G2" s="21">
        <v>1</v>
      </c>
      <c r="H2" s="15" t="str">
        <f>B2&amp;"_"&amp;C2&amp;"-"&amp;G2</f>
        <v>40031_1-1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145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魔性妖艶 かぐや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85</v>
      </c>
      <c r="S2" s="122">
        <v>0.6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93801</v>
      </c>
      <c r="U2" s="122">
        <v>0.8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5786.4000000000005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3ターン自身の防御力UP</v>
      </c>
      <c r="Y2" s="4">
        <v>40031110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145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40031_1-1/372&lt;lv85&gt;s2</v>
      </c>
      <c r="B3" s="22">
        <v>40031</v>
      </c>
      <c r="C3" s="21">
        <v>1</v>
      </c>
      <c r="D3" s="2" t="str">
        <f>B3&amp;"_"&amp;C3</f>
        <v>40031_1</v>
      </c>
      <c r="E3" s="4" t="str">
        <f ca="1">VLOOKUP($B3,OFFSET([2]quests!$A$1,0,0,COUNTA([2]quests!$A:$A),MATCH(E$1,[2]quests!$1:$1,0)-MATCH($B$1,[2]quests!$1:$1,0)+1),MATCH(E$1,[2]quests!$1:$1,0)-MATCH($B$1,[2]quests!$1:$1,0)+1,FALSE)</f>
        <v>董卓襲来！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【超絶級】董卓襲来</v>
      </c>
      <c r="G3" s="21">
        <v>1</v>
      </c>
      <c r="H3" s="15" t="str">
        <f>B3&amp;"_"&amp;C3&amp;"-"&amp;G3</f>
        <v>40031_1-1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バショー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85</v>
      </c>
      <c r="S3" s="25">
        <v>1.1000000000000001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19410.600000000002</v>
      </c>
      <c r="U3" s="25">
        <v>0.8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4068.8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攻撃頻度UP</v>
      </c>
      <c r="Y3" s="4">
        <v>40031101</v>
      </c>
      <c r="Z3" s="6">
        <v>2</v>
      </c>
      <c r="AA3" s="6">
        <v>100</v>
      </c>
      <c r="AB3" s="6">
        <v>2</v>
      </c>
      <c r="AC3" s="17">
        <v>2</v>
      </c>
      <c r="AD3" s="24">
        <f>L3</f>
        <v>372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ref="A4:A13" si="0">B4&amp;"_"&amp;C4&amp;"-"&amp;G4&amp;"/"&amp;L4&amp;"&lt;lv"&amp;R4&amp;"&gt;s"&amp;AC4</f>
        <v>40031_1-2/728&lt;lv85&gt;s2</v>
      </c>
      <c r="B4" s="22">
        <v>40031</v>
      </c>
      <c r="C4" s="21">
        <v>1</v>
      </c>
      <c r="D4" s="2" t="str">
        <f t="shared" ref="D4:D7" si="1">B4&amp;"_"&amp;C4</f>
        <v>40031_1</v>
      </c>
      <c r="E4" s="4" t="str">
        <f ca="1">VLOOKUP($B4,OFFSET([2]quests!$A$1,0,0,COUNTA([2]quests!$A:$A),MATCH(E$1,[2]quests!$1:$1,0)-MATCH($B$1,[2]quests!$1:$1,0)+1),MATCH(E$1,[2]quests!$1:$1,0)-MATCH($B$1,[2]quests!$1:$1,0)+1,FALSE)</f>
        <v>董卓襲来！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【超絶級】董卓襲来</v>
      </c>
      <c r="G4" s="21">
        <v>2</v>
      </c>
      <c r="H4" s="15" t="str">
        <f t="shared" ref="H4:H7" si="2">B4&amp;"_"&amp;C4&amp;"-"&amp;G4</f>
        <v>40031_1-2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728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井伊直虎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85</v>
      </c>
      <c r="S4" s="25">
        <v>2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211406</v>
      </c>
      <c r="U4" s="25">
        <v>0.8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7085.6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緑パネルを赤パネルに変換 （最大5個）</v>
      </c>
      <c r="Y4" s="4">
        <v>40031102</v>
      </c>
      <c r="Z4" s="6">
        <v>1</v>
      </c>
      <c r="AA4" s="6">
        <v>100</v>
      </c>
      <c r="AB4" s="6">
        <v>1</v>
      </c>
      <c r="AC4" s="17">
        <v>2</v>
      </c>
      <c r="AD4" s="24">
        <f t="shared" ref="AD4:AD7" si="3">L4</f>
        <v>728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井伊直虎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ref="AI4:AI7" ca="1" si="4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40031_1-3/153&lt;lv85&gt;s1</v>
      </c>
      <c r="B5" s="22">
        <v>40031</v>
      </c>
      <c r="C5" s="21">
        <v>1</v>
      </c>
      <c r="D5" s="2" t="str">
        <f t="shared" si="1"/>
        <v>40031_1</v>
      </c>
      <c r="E5" s="4" t="str">
        <f ca="1">VLOOKUP($B5,OFFSET([2]quests!$A$1,0,0,COUNTA([2]quests!$A:$A),MATCH(E$1,[2]quests!$1:$1,0)-MATCH($B$1,[2]quests!$1:$1,0)+1),MATCH(E$1,[2]quests!$1:$1,0)-MATCH($B$1,[2]quests!$1:$1,0)+1,FALSE)</f>
        <v>董卓襲来！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【超絶級】董卓襲来</v>
      </c>
      <c r="G5" s="21">
        <v>3</v>
      </c>
      <c r="H5" s="15" t="str">
        <f t="shared" si="2"/>
        <v>40031_1-3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153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拳聖ランラン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85</v>
      </c>
      <c r="S5" s="25">
        <v>1.5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129381</v>
      </c>
      <c r="U5" s="25">
        <v>1.5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9957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5" s="4">
        <v>40031104</v>
      </c>
      <c r="Z5" s="6">
        <v>1</v>
      </c>
      <c r="AA5" s="6">
        <v>100</v>
      </c>
      <c r="AB5" s="6">
        <v>2</v>
      </c>
      <c r="AC5" s="17">
        <v>1</v>
      </c>
      <c r="AD5" s="24">
        <f t="shared" si="3"/>
        <v>153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40031_1-3/308&lt;lv85&gt;s2</v>
      </c>
      <c r="B6" s="139">
        <v>40031</v>
      </c>
      <c r="C6" s="140">
        <v>1</v>
      </c>
      <c r="D6" s="141" t="str">
        <f t="shared" si="1"/>
        <v>40031_1</v>
      </c>
      <c r="E6" s="142" t="str">
        <f ca="1">VLOOKUP($B6,OFFSET([2]quests!$A$1,0,0,COUNTA([2]quests!$A:$A),MATCH(E$1,[2]quests!$1:$1,0)-MATCH($B$1,[2]quests!$1:$1,0)+1),MATCH(E$1,[2]quests!$1:$1,0)-MATCH($B$1,[2]quests!$1:$1,0)+1,FALSE)</f>
        <v>董卓襲来！</v>
      </c>
      <c r="F6" s="142" t="str">
        <f ca="1">VLOOKUP($D6,OFFSET([2]stages!$A$1,0,0,COUNTA([2]stages!$A:$A),MATCH(F$1,[2]stages!$2:$2,0)-MATCH($D$1,[2]stages!$2:$2,0)+1),MATCH(F$1,[2]stages!$2:$2,0)-MATCH($D$1,[2]stages!$2:$2,0)+1,FALSE)</f>
        <v>【超絶級】董卓襲来</v>
      </c>
      <c r="G6" s="140">
        <v>3</v>
      </c>
      <c r="H6" s="141" t="str">
        <f t="shared" si="2"/>
        <v>40031_1-3</v>
      </c>
      <c r="I6" s="142">
        <f ca="1">VLOOKUP($H6,OFFSET(floors!$A$1,0,0,COUNTA(floors!$A:$A),MATCH(I$1,floors!$1:$1,0)-MATCH($H$1,floors!$1:$1,0)+1),MATCH(I$1,floors!$1:$1,0)-MATCH($H$1,floors!$1:$1,0)+1,FALSE)</f>
        <v>60</v>
      </c>
      <c r="J6" s="142">
        <f ca="1">VLOOKUP($H6,OFFSET(floors!$A$1,0,0,COUNTA(floors!$A:$A),MATCH(J$1,floors!$1:$1,0)-MATCH($H$1,floors!$1:$1,0)+1),MATCH(J$1,floors!$1:$1,0)-MATCH($H$1,floors!$1:$1,0)+1,FALSE)</f>
        <v>60</v>
      </c>
      <c r="K6" s="143" t="s">
        <v>53</v>
      </c>
      <c r="L6" s="144">
        <v>308</v>
      </c>
      <c r="M6" s="145" t="str">
        <f ca="1">VLOOKUP($L6,OFFSET([3]enemies!$A$1,0,0,COUNTA([3]enemies!$A:$A),MATCH(M$1,[3]enemies!$1:$1,0)-MATCH($L$1,[3]enemies!$1:$1,0)+1),MATCH(M$1,[3]enemies!$1:$1,0)-MATCH($L$1,[3]enemies!$1:$1,0)+1,FALSE)</f>
        <v>アーケロン</v>
      </c>
      <c r="N6" s="145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45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4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5">
        <f ca="1">VLOOKUP($L6,OFFSET([3]enemies!$A$1,0,0,COUNTA([3]enemies!$A:$A),MATCH(Q$1,[3]enemies!$1:$1,0)-MATCH($L$1,[3]enemies!$1:$1,0)+1),MATCH(Q$1,[3]enemies!$1:$1,0)-MATCH($L$1,[3]enemies!$1:$1,0)+1,FALSE)</f>
        <v>30</v>
      </c>
      <c r="R6" s="146">
        <v>85</v>
      </c>
      <c r="S6" s="25">
        <v>1.3</v>
      </c>
      <c r="T6" s="14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216208.2</v>
      </c>
      <c r="U6" s="25">
        <v>1.5</v>
      </c>
      <c r="V6" s="14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12055.5</v>
      </c>
      <c r="W6" s="146">
        <v>0</v>
      </c>
      <c r="X6" s="142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6" s="142">
        <v>40031112</v>
      </c>
      <c r="Z6" s="148">
        <v>1</v>
      </c>
      <c r="AA6" s="148">
        <v>100</v>
      </c>
      <c r="AB6" s="148">
        <v>1</v>
      </c>
      <c r="AC6" s="17">
        <v>2</v>
      </c>
      <c r="AD6" s="149">
        <f t="shared" si="3"/>
        <v>308</v>
      </c>
      <c r="AE6" s="14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アーケロン</v>
      </c>
      <c r="AF6" s="142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4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50">
        <v>1</v>
      </c>
      <c r="AI6" s="149">
        <f t="shared" ca="1" si="4"/>
        <v>4</v>
      </c>
      <c r="AJ6" s="151">
        <v>0</v>
      </c>
      <c r="AK6" s="150">
        <v>0</v>
      </c>
      <c r="AL6" s="150">
        <v>0</v>
      </c>
      <c r="AM6" s="150">
        <v>0</v>
      </c>
      <c r="AN6" s="150">
        <v>0</v>
      </c>
      <c r="AO6" s="150">
        <v>1</v>
      </c>
      <c r="AP6" s="152">
        <v>1</v>
      </c>
    </row>
    <row r="7" spans="1:42" s="158" customFormat="1" ht="21" customHeight="1" thickBot="1" x14ac:dyDescent="0.2">
      <c r="A7" s="153" t="str">
        <f t="shared" si="0"/>
        <v>40031_1-4/1131&lt;lv85&gt;s1</v>
      </c>
      <c r="B7" s="154">
        <v>40031</v>
      </c>
      <c r="C7" s="116">
        <v>1</v>
      </c>
      <c r="D7" s="118" t="str">
        <f t="shared" si="1"/>
        <v>40031_1</v>
      </c>
      <c r="E7" s="155" t="str">
        <f ca="1">VLOOKUP($B7,OFFSET([2]quests!$A$1,0,0,COUNTA([2]quests!$A:$A),MATCH(E$1,[2]quests!$1:$1,0)-MATCH($B$1,[2]quests!$1:$1,0)+1),MATCH(E$1,[2]quests!$1:$1,0)-MATCH($B$1,[2]quests!$1:$1,0)+1,FALSE)</f>
        <v>董卓襲来！</v>
      </c>
      <c r="F7" s="155" t="str">
        <f ca="1">VLOOKUP($D7,OFFSET([2]stages!$A$1,0,0,COUNTA([2]stages!$A:$A),MATCH(F$1,[2]stages!$2:$2,0)-MATCH($D$1,[2]stages!$2:$2,0)+1),MATCH(F$1,[2]stages!$2:$2,0)-MATCH($D$1,[2]stages!$2:$2,0)+1,FALSE)</f>
        <v>【超絶級】董卓襲来</v>
      </c>
      <c r="G7" s="116">
        <v>4</v>
      </c>
      <c r="H7" s="118" t="str">
        <f t="shared" si="2"/>
        <v>40031_1-4</v>
      </c>
      <c r="I7" s="155">
        <f ca="1">VLOOKUP($H7,OFFSET(floors!$A$1,0,0,COUNTA(floors!$A:$A),MATCH(I$1,floors!$1:$1,0)-MATCH($H$1,floors!$1:$1,0)+1),MATCH(I$1,floors!$1:$1,0)-MATCH($H$1,floors!$1:$1,0)+1,FALSE)</f>
        <v>60</v>
      </c>
      <c r="J7" s="155">
        <f ca="1">VLOOKUP($H7,OFFSET(floors!$A$1,0,0,COUNTA(floors!$A:$A),MATCH(J$1,floors!$1:$1,0)-MATCH($H$1,floors!$1:$1,0)+1),MATCH(J$1,floors!$1:$1,0)-MATCH($H$1,floors!$1:$1,0)+1,FALSE)</f>
        <v>60</v>
      </c>
      <c r="K7" s="119">
        <v>2</v>
      </c>
      <c r="L7" s="20">
        <v>1131</v>
      </c>
      <c r="M7" s="156" t="str">
        <f ca="1">VLOOKUP($L7,OFFSET([3]enemies!$A$1,0,0,COUNTA([3]enemies!$A:$A),MATCH(M$1,[3]enemies!$1:$1,0)-MATCH($L$1,[3]enemies!$1:$1,0)+1),MATCH(M$1,[3]enemies!$1:$1,0)-MATCH($L$1,[3]enemies!$1:$1,0)+1,FALSE)</f>
        <v>董卓</v>
      </c>
      <c r="N7" s="15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5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56" t="str">
        <f ca="1">VLOOKUP($L7,OFFSET([3]enemies!$A$1,0,0,COUNTA([3]enemies!$A:$A),MATCH(P$1,[3]enemies!$1:$1,0)-MATCH($L$1,[3]enemies!$1:$1,0)+1),MATCH(P$1,[3]enemies!$1:$1,0)-MATCH($L$1,[3]enemies!$1:$1,0)+1,FALSE)</f>
        <v>samurai</v>
      </c>
      <c r="Q7" s="156">
        <f ca="1">VLOOKUP($L7,OFFSET([3]enemies!$A$1,0,0,COUNTA([3]enemies!$A:$A),MATCH(Q$1,[3]enemies!$1:$1,0)-MATCH($L$1,[3]enemies!$1:$1,0)+1),MATCH(Q$1,[3]enemies!$1:$1,0)-MATCH($L$1,[3]enemies!$1:$1,0)+1,FALSE)</f>
        <v>60</v>
      </c>
      <c r="R7" s="131">
        <v>85</v>
      </c>
      <c r="S7" s="25">
        <v>2</v>
      </c>
      <c r="T7" s="13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269984</v>
      </c>
      <c r="U7" s="25">
        <v>1.2</v>
      </c>
      <c r="V7" s="13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9997.1999999999989</v>
      </c>
      <c r="W7" s="131">
        <v>0</v>
      </c>
      <c r="X7" s="155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状態異常無効＋解除するまでカウンター</v>
      </c>
      <c r="Y7" s="155">
        <v>40031113</v>
      </c>
      <c r="Z7" s="157">
        <v>1</v>
      </c>
      <c r="AA7" s="157">
        <v>100</v>
      </c>
      <c r="AB7" s="157">
        <v>1</v>
      </c>
      <c r="AC7" s="17">
        <v>1</v>
      </c>
      <c r="AD7" s="133">
        <f t="shared" si="3"/>
        <v>1131</v>
      </c>
      <c r="AE7" s="155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董卓</v>
      </c>
      <c r="AF7" s="155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55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14">
        <v>1</v>
      </c>
      <c r="AI7" s="133">
        <f t="shared" ca="1" si="4"/>
        <v>5</v>
      </c>
      <c r="AJ7" s="134">
        <v>15</v>
      </c>
      <c r="AK7" s="114">
        <v>0</v>
      </c>
      <c r="AL7" s="114">
        <v>0</v>
      </c>
      <c r="AM7" s="114">
        <v>0</v>
      </c>
      <c r="AN7" s="114">
        <v>0</v>
      </c>
      <c r="AO7" s="114">
        <v>1</v>
      </c>
      <c r="AP7" s="135">
        <v>1</v>
      </c>
    </row>
    <row r="8" spans="1:42" ht="21" customHeight="1" thickTop="1" x14ac:dyDescent="0.15">
      <c r="A8" s="16" t="str">
        <f t="shared" si="0"/>
        <v>40031_2-1/145&lt;lv99&gt;s1</v>
      </c>
      <c r="B8" s="22">
        <v>40031</v>
      </c>
      <c r="C8" s="109">
        <v>2</v>
      </c>
      <c r="D8" s="111" t="str">
        <f>B8&amp;"_"&amp;C8</f>
        <v>40031_2</v>
      </c>
      <c r="E8" s="4" t="str">
        <f ca="1">VLOOKUP($B8,OFFSET([2]quests!$A$1,0,0,COUNTA([2]quests!$A:$A),MATCH(E$1,[2]quests!$1:$1,0)-MATCH($B$1,[2]quests!$1:$1,0)+1),MATCH(E$1,[2]quests!$1:$1,0)-MATCH($B$1,[2]quests!$1:$1,0)+1,FALSE)</f>
        <v>董卓襲来！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【ウィザード級】董卓襲来</v>
      </c>
      <c r="G8" s="109">
        <v>1</v>
      </c>
      <c r="H8" s="111" t="str">
        <f>B8&amp;"_"&amp;C8&amp;"-"&amp;G8</f>
        <v>40031_2-1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12" t="s">
        <v>53</v>
      </c>
      <c r="L8" s="120">
        <v>145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魔性妖艶 かぐや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121">
        <v>99</v>
      </c>
      <c r="S8" s="122">
        <v>0.6</v>
      </c>
      <c r="T8" s="12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108982.2</v>
      </c>
      <c r="U8" s="122">
        <v>0.8</v>
      </c>
      <c r="V8" s="12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6723.2000000000007</v>
      </c>
      <c r="W8" s="121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3ターン自身の防御力UP</v>
      </c>
      <c r="Y8" s="4">
        <v>40031100</v>
      </c>
      <c r="Z8" s="6">
        <v>1</v>
      </c>
      <c r="AA8" s="6">
        <v>100</v>
      </c>
      <c r="AB8" s="6">
        <v>1</v>
      </c>
      <c r="AC8" s="17">
        <v>1</v>
      </c>
      <c r="AD8" s="124">
        <f>L8</f>
        <v>145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107">
        <v>1</v>
      </c>
      <c r="AI8" s="124">
        <f ca="1">AF8</f>
        <v>4</v>
      </c>
      <c r="AJ8" s="125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1</v>
      </c>
      <c r="AP8" s="126">
        <v>1</v>
      </c>
    </row>
    <row r="9" spans="1:42" ht="21" customHeight="1" x14ac:dyDescent="0.15">
      <c r="A9" s="16" t="str">
        <f t="shared" si="0"/>
        <v>40031_2-1/372&lt;lv99&gt;s2</v>
      </c>
      <c r="B9" s="22">
        <v>40031</v>
      </c>
      <c r="C9" s="21">
        <v>2</v>
      </c>
      <c r="D9" s="2" t="str">
        <f>B9&amp;"_"&amp;C9</f>
        <v>40031_2</v>
      </c>
      <c r="E9" s="4" t="str">
        <f ca="1">VLOOKUP($B9,OFFSET([2]quests!$A$1,0,0,COUNTA([2]quests!$A:$A),MATCH(E$1,[2]quests!$1:$1,0)-MATCH($B$1,[2]quests!$1:$1,0)+1),MATCH(E$1,[2]quests!$1:$1,0)-MATCH($B$1,[2]quests!$1:$1,0)+1,FALSE)</f>
        <v>董卓襲来！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【ウィザード級】董卓襲来</v>
      </c>
      <c r="G9" s="21">
        <v>1</v>
      </c>
      <c r="H9" s="15" t="str">
        <f>B9&amp;"_"&amp;C9&amp;"-"&amp;G9</f>
        <v>40031_2-1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372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バショー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21">
        <v>99</v>
      </c>
      <c r="S9" s="25">
        <v>1.1000000000000001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22552.2</v>
      </c>
      <c r="U9" s="25">
        <v>0.8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4727.2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攻撃頻度UP</v>
      </c>
      <c r="Y9" s="4">
        <v>40031101</v>
      </c>
      <c r="Z9" s="6">
        <v>2</v>
      </c>
      <c r="AA9" s="6">
        <v>100</v>
      </c>
      <c r="AB9" s="6">
        <v>2</v>
      </c>
      <c r="AC9" s="17">
        <v>2</v>
      </c>
      <c r="AD9" s="24">
        <f>L9</f>
        <v>372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ca="1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40031_2-2/728&lt;lv99&gt;s2</v>
      </c>
      <c r="B10" s="22">
        <v>40031</v>
      </c>
      <c r="C10" s="21">
        <v>2</v>
      </c>
      <c r="D10" s="2" t="str">
        <f t="shared" ref="D10:D13" si="5">B10&amp;"_"&amp;C10</f>
        <v>40031_2</v>
      </c>
      <c r="E10" s="4" t="str">
        <f ca="1">VLOOKUP($B10,OFFSET([2]quests!$A$1,0,0,COUNTA([2]quests!$A:$A),MATCH(E$1,[2]quests!$1:$1,0)-MATCH($B$1,[2]quests!$1:$1,0)+1),MATCH(E$1,[2]quests!$1:$1,0)-MATCH($B$1,[2]quests!$1:$1,0)+1,FALSE)</f>
        <v>董卓襲来！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【ウィザード級】董卓襲来</v>
      </c>
      <c r="G10" s="21">
        <v>2</v>
      </c>
      <c r="H10" s="15" t="str">
        <f t="shared" ref="H10:H13" si="6">B10&amp;"_"&amp;C10&amp;"-"&amp;G10</f>
        <v>40031_2-2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728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井伊直虎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121">
        <v>99</v>
      </c>
      <c r="S10" s="25">
        <v>2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245622</v>
      </c>
      <c r="U10" s="25">
        <v>0.8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8232.8000000000011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緑パネルを赤パネルに変換 （最大5個）</v>
      </c>
      <c r="Y10" s="4">
        <v>40031102</v>
      </c>
      <c r="Z10" s="6">
        <v>1</v>
      </c>
      <c r="AA10" s="6">
        <v>100</v>
      </c>
      <c r="AB10" s="6">
        <v>1</v>
      </c>
      <c r="AC10" s="17">
        <v>2</v>
      </c>
      <c r="AD10" s="24">
        <f t="shared" ref="AD10:AD13" si="7">L10</f>
        <v>728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井伊直虎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ref="AI10:AI13" ca="1" si="8">AF10</f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40031_2-3/153&lt;lv99&gt;s1</v>
      </c>
      <c r="B11" s="22">
        <v>40031</v>
      </c>
      <c r="C11" s="21">
        <v>2</v>
      </c>
      <c r="D11" s="2" t="str">
        <f t="shared" si="5"/>
        <v>40031_2</v>
      </c>
      <c r="E11" s="4" t="str">
        <f ca="1">VLOOKUP($B11,OFFSET([2]quests!$A$1,0,0,COUNTA([2]quests!$A:$A),MATCH(E$1,[2]quests!$1:$1,0)-MATCH($B$1,[2]quests!$1:$1,0)+1),MATCH(E$1,[2]quests!$1:$1,0)-MATCH($B$1,[2]quests!$1:$1,0)+1,FALSE)</f>
        <v>董卓襲来！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【ウィザード級】董卓襲来</v>
      </c>
      <c r="G11" s="21">
        <v>3</v>
      </c>
      <c r="H11" s="15" t="str">
        <f t="shared" si="6"/>
        <v>40031_2-3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153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拳聖ランラン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21">
        <v>99</v>
      </c>
      <c r="S11" s="25">
        <v>1.5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150321</v>
      </c>
      <c r="U11" s="25">
        <v>1.5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11568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11" s="4">
        <v>40031104</v>
      </c>
      <c r="Z11" s="6">
        <v>1</v>
      </c>
      <c r="AA11" s="6">
        <v>100</v>
      </c>
      <c r="AB11" s="6">
        <v>2</v>
      </c>
      <c r="AC11" s="17">
        <v>1</v>
      </c>
      <c r="AD11" s="24">
        <f t="shared" si="7"/>
        <v>153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8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40031_2-3/308&lt;lv99&gt;s2</v>
      </c>
      <c r="B12" s="22">
        <v>40031</v>
      </c>
      <c r="C12" s="21">
        <v>2</v>
      </c>
      <c r="D12" s="2" t="str">
        <f t="shared" si="5"/>
        <v>40031_2</v>
      </c>
      <c r="E12" s="4" t="str">
        <f ca="1">VLOOKUP($B12,OFFSET([2]quests!$A$1,0,0,COUNTA([2]quests!$A:$A),MATCH(E$1,[2]quests!$1:$1,0)-MATCH($B$1,[2]quests!$1:$1,0)+1),MATCH(E$1,[2]quests!$1:$1,0)-MATCH($B$1,[2]quests!$1:$1,0)+1,FALSE)</f>
        <v>董卓襲来！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【ウィザード級】董卓襲来</v>
      </c>
      <c r="G12" s="21">
        <v>3</v>
      </c>
      <c r="H12" s="15" t="str">
        <f t="shared" si="6"/>
        <v>40031_2-3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308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アーケロン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121">
        <v>99</v>
      </c>
      <c r="S12" s="25">
        <v>1.3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251200.30000000002</v>
      </c>
      <c r="U12" s="25">
        <v>1.5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14007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12" s="4">
        <v>40031105</v>
      </c>
      <c r="Z12" s="148">
        <v>1</v>
      </c>
      <c r="AA12" s="148">
        <v>100</v>
      </c>
      <c r="AB12" s="148">
        <v>1</v>
      </c>
      <c r="AC12" s="17">
        <v>2</v>
      </c>
      <c r="AD12" s="24">
        <f t="shared" si="7"/>
        <v>308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アーケロン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4">
        <f t="shared" ca="1" si="8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40031_2-4/1131&lt;lv99&gt;s1</v>
      </c>
      <c r="B13" s="22">
        <v>40031</v>
      </c>
      <c r="C13" s="21">
        <v>2</v>
      </c>
      <c r="D13" s="2" t="str">
        <f t="shared" si="5"/>
        <v>40031_2</v>
      </c>
      <c r="E13" s="4" t="str">
        <f ca="1">VLOOKUP($B13,OFFSET([2]quests!$A$1,0,0,COUNTA([2]quests!$A:$A),MATCH(E$1,[2]quests!$1:$1,0)-MATCH($B$1,[2]quests!$1:$1,0)+1),MATCH(E$1,[2]quests!$1:$1,0)-MATCH($B$1,[2]quests!$1:$1,0)+1,FALSE)</f>
        <v>董卓襲来！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【ウィザード級】董卓襲来</v>
      </c>
      <c r="G13" s="21">
        <v>4</v>
      </c>
      <c r="H13" s="15" t="str">
        <f t="shared" si="6"/>
        <v>40031_2-4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4</v>
      </c>
      <c r="L13" s="20">
        <v>1131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董卓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samurai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121">
        <v>99</v>
      </c>
      <c r="S13" s="25">
        <v>2.4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376416</v>
      </c>
      <c r="U13" s="25">
        <v>1.2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11616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状態異常無効＋解除するまでカウンター</v>
      </c>
      <c r="Y13" s="4">
        <v>40031106</v>
      </c>
      <c r="Z13" s="159">
        <v>1</v>
      </c>
      <c r="AA13" s="159">
        <v>100</v>
      </c>
      <c r="AB13" s="159">
        <v>1</v>
      </c>
      <c r="AC13" s="17">
        <v>1</v>
      </c>
      <c r="AD13" s="24">
        <f t="shared" si="7"/>
        <v>1131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董卓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8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110" zoomScaleNormal="110" zoomScalePageLayoutView="11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R16" sqref="R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2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253</v>
      </c>
      <c r="V1" s="26" t="s">
        <v>50</v>
      </c>
      <c r="W1" s="102" t="s">
        <v>254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40031_1-2/729&lt;lv85&gt;sq1st2</v>
      </c>
      <c r="B2" s="22">
        <v>40031</v>
      </c>
      <c r="C2" s="21">
        <v>1</v>
      </c>
      <c r="D2" s="2" t="str">
        <f>B2&amp;"_"&amp;C2</f>
        <v>40031_1</v>
      </c>
      <c r="E2" s="4" t="str">
        <f ca="1">VLOOKUP($B2,OFFSET([2]quests!$A$1,0,0,COUNTA([2]quests!$A:$A),MATCH(E$1,[2]quests!$1:$1,0)-MATCH($B$1,[2]quests!$1:$1,0)+1),MATCH(E$1,[2]quests!$1:$1,0)-MATCH($B$1,[2]quests!$1:$1,0)+1,FALSE)</f>
        <v>董卓襲来！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【超絶級】董卓襲来</v>
      </c>
      <c r="G2" s="21">
        <v>2</v>
      </c>
      <c r="H2" s="15" t="str">
        <f>B2&amp;"_"&amp;C2&amp;"-"&amp;G2</f>
        <v>40031_1-2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729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暗厄の双刀 井伊直虎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85</v>
      </c>
      <c r="T2" s="122">
        <v>2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276454</v>
      </c>
      <c r="V2" s="122">
        <v>0.8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7630.4000000000005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>
        <v>40031111</v>
      </c>
      <c r="AA2" s="70">
        <v>1</v>
      </c>
    </row>
    <row r="3" spans="1:27" ht="21" customHeight="1" x14ac:dyDescent="0.15">
      <c r="A3" s="16" t="str">
        <f t="shared" ref="A3:A7" si="0">B3&amp;"_"&amp;C3&amp;"-"&amp;G3&amp;"/"&amp;M3&amp;"&lt;lv"&amp;S3&amp;"&gt;sq"&amp;K3&amp;"st"&amp;L3</f>
        <v>40031_1-4/1131&lt;lv80&gt;sq2st2</v>
      </c>
      <c r="B3" s="22">
        <v>40031</v>
      </c>
      <c r="C3" s="21">
        <v>1</v>
      </c>
      <c r="D3" s="2" t="str">
        <f t="shared" ref="D3:D7" si="1">B3&amp;"_"&amp;C3</f>
        <v>40031_1</v>
      </c>
      <c r="E3" s="4" t="str">
        <f ca="1">VLOOKUP($B3,OFFSET([2]quests!$A$1,0,0,COUNTA([2]quests!$A:$A),MATCH(E$1,[2]quests!$1:$1,0)-MATCH($B$1,[2]quests!$1:$1,0)+1),MATCH(E$1,[2]quests!$1:$1,0)-MATCH($B$1,[2]quests!$1:$1,0)+1,FALSE)</f>
        <v>董卓襲来！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【超絶級】董卓襲来</v>
      </c>
      <c r="G3" s="21">
        <v>4</v>
      </c>
      <c r="H3" s="15" t="str">
        <f t="shared" ref="H3:H7" si="2">B3&amp;"_"&amp;C3&amp;"-"&amp;G3</f>
        <v>40031_1-4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1131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董卓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samurai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2.8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356129.19999999995</v>
      </c>
      <c r="V3" s="25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7850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47">
        <v>40031114</v>
      </c>
      <c r="AA3" s="70">
        <v>1</v>
      </c>
    </row>
    <row r="4" spans="1:27" s="136" customFormat="1" ht="21" customHeight="1" thickBot="1" x14ac:dyDescent="0.2">
      <c r="A4" s="113" t="str">
        <f t="shared" si="0"/>
        <v>40031_1-4/1132&lt;lv80&gt;sq2st3</v>
      </c>
      <c r="B4" s="127">
        <v>40031</v>
      </c>
      <c r="C4" s="116">
        <v>1</v>
      </c>
      <c r="D4" s="118" t="str">
        <f t="shared" si="1"/>
        <v>40031_1</v>
      </c>
      <c r="E4" s="128" t="str">
        <f ca="1">VLOOKUP($B4,OFFSET([2]quests!$A$1,0,0,COUNTA([2]quests!$A:$A),MATCH(E$1,[2]quests!$1:$1,0)-MATCH($B$1,[2]quests!$1:$1,0)+1),MATCH(E$1,[2]quests!$1:$1,0)-MATCH($B$1,[2]quests!$1:$1,0)+1,FALSE)</f>
        <v>董卓襲来！</v>
      </c>
      <c r="F4" s="128" t="str">
        <f ca="1">VLOOKUP($D4,OFFSET([2]stages!$A$1,0,0,COUNTA([2]stages!$A:$A),MATCH(F$1,[2]stages!$2:$2,0)-MATCH($D$1,[2]stages!$2:$2,0)+1),MATCH(F$1,[2]stages!$2:$2,0)-MATCH($D$1,[2]stages!$2:$2,0)+1,FALSE)</f>
        <v>【超絶級】董卓襲来</v>
      </c>
      <c r="G4" s="116">
        <v>4</v>
      </c>
      <c r="H4" s="118" t="str">
        <f t="shared" si="2"/>
        <v>40031_1-4</v>
      </c>
      <c r="I4" s="128">
        <f ca="1">VLOOKUP($H4,OFFSET(floors!$A$1,0,0,COUNTA(floors!$A:$A),MATCH(I$1,floors!$1:$1,0)-MATCH($H$1,floors!$1:$1,0)+1),MATCH(I$1,floors!$1:$1,0)-MATCH($H$1,floors!$1:$1,0)+1,FALSE)</f>
        <v>60</v>
      </c>
      <c r="J4" s="128">
        <f ca="1">VLOOKUP($H4,OFFSET(floors!$A$1,0,0,COUNTA(floors!$A:$A),MATCH(J$1,floors!$1:$1,0)-MATCH($H$1,floors!$1:$1,0)+1),MATCH(J$1,floors!$1:$1,0)-MATCH($H$1,floors!$1:$1,0)+1,FALSE)</f>
        <v>60</v>
      </c>
      <c r="K4" s="119">
        <v>2</v>
      </c>
      <c r="L4" s="119">
        <v>3</v>
      </c>
      <c r="M4" s="129">
        <v>1132</v>
      </c>
      <c r="N4" s="130" t="str">
        <f ca="1">VLOOKUP($M4,OFFSET([3]enemies!$A$1,0,0,COUNTA([3]enemies!$A:$A),MATCH(N$1,[3]enemies!$1:$1,0)-MATCH($M$1,[3]enemies!$1:$1,0)+1),MATCH(N$1,[3]enemies!$1:$1,0)-MATCH($M$1,[3]enemies!$1:$1,0)+1,FALSE)</f>
        <v>偏執なる狂騒君 董卓</v>
      </c>
      <c r="O4" s="130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30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0" t="str">
        <f ca="1">VLOOKUP($M4,OFFSET([3]enemies!$A$1,0,0,COUNTA([3]enemies!$A:$A),MATCH(Q$1,[3]enemies!$1:$1,0)-MATCH($M$1,[3]enemies!$1:$1,0)+1),MATCH(Q$1,[3]enemies!$1:$1,0)-MATCH($M$1,[3]enemies!$1:$1,0)+1,FALSE)</f>
        <v>samurai</v>
      </c>
      <c r="R4" s="130">
        <f ca="1">VLOOKUP($M4,OFFSET([3]enemies!$A$1,0,0,COUNTA([3]enemies!$A:$A),MATCH(R$1,[3]enemies!$1:$1,0)-MATCH($M$1,[3]enemies!$1:$1,0)+1),MATCH(R$1,[3]enemies!$1:$1,0)-MATCH($M$1,[3]enemies!$1:$1,0)+1,FALSE)</f>
        <v>60</v>
      </c>
      <c r="S4" s="131">
        <v>80</v>
      </c>
      <c r="T4" s="25">
        <v>2.8</v>
      </c>
      <c r="U4" s="13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356129.19999999995</v>
      </c>
      <c r="V4" s="25">
        <v>1</v>
      </c>
      <c r="W4" s="13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7850</v>
      </c>
      <c r="X4" s="131">
        <v>0</v>
      </c>
      <c r="Y4" s="128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47">
        <v>40031115</v>
      </c>
      <c r="AA4" s="138">
        <v>1</v>
      </c>
    </row>
    <row r="5" spans="1:27" ht="21" customHeight="1" thickTop="1" x14ac:dyDescent="0.15">
      <c r="A5" s="16" t="str">
        <f t="shared" si="0"/>
        <v>40031_2-2/729&lt;lv99&gt;sq3st2</v>
      </c>
      <c r="B5" s="22">
        <v>40031</v>
      </c>
      <c r="C5" s="109">
        <v>2</v>
      </c>
      <c r="D5" s="111" t="str">
        <f t="shared" si="1"/>
        <v>40031_2</v>
      </c>
      <c r="E5" s="4" t="str">
        <f ca="1">VLOOKUP($B5,OFFSET([2]quests!$A$1,0,0,COUNTA([2]quests!$A:$A),MATCH(E$1,[2]quests!$1:$1,0)-MATCH($B$1,[2]quests!$1:$1,0)+1),MATCH(E$1,[2]quests!$1:$1,0)-MATCH($B$1,[2]quests!$1:$1,0)+1,FALSE)</f>
        <v>董卓襲来！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【ウィザード級】董卓襲来</v>
      </c>
      <c r="G5" s="109">
        <v>2</v>
      </c>
      <c r="H5" s="111" t="str">
        <f t="shared" si="2"/>
        <v>40031_2-2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12">
        <v>3</v>
      </c>
      <c r="L5" s="112">
        <v>2</v>
      </c>
      <c r="M5" s="120">
        <v>729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暗厄の双刀 井伊直虎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21">
        <v>99</v>
      </c>
      <c r="T5" s="122">
        <v>2</v>
      </c>
      <c r="U5" s="12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321198</v>
      </c>
      <c r="V5" s="122">
        <v>0.8</v>
      </c>
      <c r="W5" s="12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8865.6</v>
      </c>
      <c r="X5" s="121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5" s="4">
        <v>40031103</v>
      </c>
      <c r="AA5" s="137">
        <v>1</v>
      </c>
    </row>
    <row r="6" spans="1:27" ht="21" customHeight="1" x14ac:dyDescent="0.15">
      <c r="A6" s="16" t="str">
        <f t="shared" si="0"/>
        <v>40031_2-4/1131&lt;lv99&gt;sq4st2</v>
      </c>
      <c r="B6" s="22">
        <v>40031</v>
      </c>
      <c r="C6" s="21">
        <v>2</v>
      </c>
      <c r="D6" s="2" t="str">
        <f t="shared" si="1"/>
        <v>40031_2</v>
      </c>
      <c r="E6" s="4" t="str">
        <f ca="1">VLOOKUP($B6,OFFSET([2]quests!$A$1,0,0,COUNTA([2]quests!$A:$A),MATCH(E$1,[2]quests!$1:$1,0)-MATCH($B$1,[2]quests!$1:$1,0)+1),MATCH(E$1,[2]quests!$1:$1,0)-MATCH($B$1,[2]quests!$1:$1,0)+1,FALSE)</f>
        <v>董卓襲来！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【ウィザード級】董卓襲来</v>
      </c>
      <c r="G6" s="21">
        <v>4</v>
      </c>
      <c r="H6" s="15" t="str">
        <f t="shared" si="2"/>
        <v>40031_2-4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1131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董卓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samurai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99</v>
      </c>
      <c r="T6" s="25">
        <v>3.1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486204</v>
      </c>
      <c r="V6" s="25">
        <v>1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9680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6" s="47">
        <v>40031107</v>
      </c>
      <c r="AA6" s="70">
        <v>1</v>
      </c>
    </row>
    <row r="7" spans="1:27" ht="21" customHeight="1" x14ac:dyDescent="0.15">
      <c r="A7" s="16" t="str">
        <f t="shared" si="0"/>
        <v>40031_2-4/1132&lt;lv99&gt;sq4st3</v>
      </c>
      <c r="B7" s="22">
        <v>40031</v>
      </c>
      <c r="C7" s="21">
        <v>2</v>
      </c>
      <c r="D7" s="2" t="str">
        <f t="shared" si="1"/>
        <v>40031_2</v>
      </c>
      <c r="E7" s="4" t="str">
        <f ca="1">VLOOKUP($B7,OFFSET([2]quests!$A$1,0,0,COUNTA([2]quests!$A:$A),MATCH(E$1,[2]quests!$1:$1,0)-MATCH($B$1,[2]quests!$1:$1,0)+1),MATCH(E$1,[2]quests!$1:$1,0)-MATCH($B$1,[2]quests!$1:$1,0)+1,FALSE)</f>
        <v>董卓襲来！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【ウィザード級】董卓襲来</v>
      </c>
      <c r="G7" s="21">
        <v>4</v>
      </c>
      <c r="H7" s="15" t="str">
        <f t="shared" si="2"/>
        <v>40031_2-4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1132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偏執なる狂騒君 董卓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samurai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99</v>
      </c>
      <c r="T7" s="25">
        <v>3.1</v>
      </c>
      <c r="U7" s="103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486204</v>
      </c>
      <c r="V7" s="25">
        <v>1</v>
      </c>
      <c r="W7" s="103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9680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7" s="47">
        <v>40031108</v>
      </c>
      <c r="AA7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4"/>
  <sheetViews>
    <sheetView showGridLines="0" zoomScale="116" zoomScaleNormal="116" zoomScalePageLayoutView="116" workbookViewId="0">
      <pane xSplit="5" ySplit="1" topLeftCell="F61" activePane="bottomRight" state="frozen"/>
      <selection pane="topRight"/>
      <selection pane="bottomLeft"/>
      <selection pane="bottomRight" activeCell="B64" sqref="B6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40031100_40031100</v>
      </c>
      <c r="B2" s="47">
        <v>40031100</v>
      </c>
      <c r="C2" s="47">
        <v>40031100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月の光よ…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2" s="47">
        <v>40031100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9" si="1">B3&amp;"_"&amp;C3</f>
        <v>40031100_40031101</v>
      </c>
      <c r="B3" s="47">
        <v>40031100</v>
      </c>
      <c r="C3" s="47">
        <v>40031101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月都の劇薬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1ターンウィルス＋全体攻撃</v>
      </c>
      <c r="F3" s="47">
        <v>40031101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40031101_40031102</v>
      </c>
      <c r="B4" s="47">
        <v>40031101</v>
      </c>
      <c r="C4" s="47">
        <v>40031102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加速の詠句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4" s="47">
        <v>40031102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>B5&amp;"_"&amp;C5</f>
        <v>40031102_40031105</v>
      </c>
      <c r="B5" s="47">
        <v>40031102</v>
      </c>
      <c r="C5" s="47">
        <v>40031105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よっ！私を止めてみなっ！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緑パネルを赤パネルに変換 （最大5個）</v>
      </c>
      <c r="F5" s="47">
        <v>40031105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>B6&amp;"_"&amp;C6</f>
        <v>40031102_40031106</v>
      </c>
      <c r="B6" s="47">
        <v>40031102</v>
      </c>
      <c r="C6" s="47">
        <v>40031106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トラッド・フェンサー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 xml:space="preserve">全体攻撃  </v>
      </c>
      <c r="F6" s="47">
        <v>40031106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" s="47"/>
      <c r="Q6" s="47"/>
      <c r="R6" s="47"/>
    </row>
    <row r="7" spans="1:18" ht="21" customHeight="1" x14ac:dyDescent="0.15">
      <c r="A7" s="39" t="str">
        <f>B7&amp;"_"&amp;C7</f>
        <v>40031102_40031107</v>
      </c>
      <c r="B7" s="47">
        <v>40031102</v>
      </c>
      <c r="C7" s="47">
        <v>40031107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トラップ・ソード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赤属性以外に大ダメージの全体攻撃</v>
      </c>
      <c r="F7" s="47">
        <v>40031107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40031103_40031103</v>
      </c>
      <c r="B8" s="47">
        <v>40031103</v>
      </c>
      <c r="C8" s="47">
        <v>40031103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よーし…燃え広がれっ！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 xml:space="preserve">2ターンウィルス </v>
      </c>
      <c r="F8" s="47">
        <v>40031103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2">B9&amp;"_"&amp;C9</f>
        <v>40031103_40031149</v>
      </c>
      <c r="B9" s="47">
        <v>40031103</v>
      </c>
      <c r="C9" s="47">
        <v>40031149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トランス・パネル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ランダムに時限式ダメージパネルに変換（最大6個）</v>
      </c>
      <c r="F9" s="47">
        <v>40031149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" s="47"/>
      <c r="Q9" s="47"/>
      <c r="R9" s="47"/>
    </row>
    <row r="10" spans="1:18" ht="21" customHeight="1" x14ac:dyDescent="0.15">
      <c r="A10" s="39" t="str">
        <f t="shared" si="1"/>
        <v>40031103_40031104</v>
      </c>
      <c r="B10" s="47">
        <v>40031103</v>
      </c>
      <c r="C10" s="47">
        <v>40031104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トラッド・フェンサー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 xml:space="preserve">全体攻撃 </v>
      </c>
      <c r="F10" s="47">
        <v>40031104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0" s="47"/>
      <c r="Q10" s="47"/>
      <c r="R10" s="47"/>
    </row>
    <row r="11" spans="1:18" ht="21" customHeight="1" x14ac:dyDescent="0.15">
      <c r="A11" s="39" t="str">
        <f t="shared" si="1"/>
        <v>40031104_40031108</v>
      </c>
      <c r="B11" s="47">
        <v>40031104</v>
      </c>
      <c r="C11" s="47">
        <v>40031108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バトルするネー！！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" s="47">
        <v>40031108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40031104_40031109</v>
      </c>
      <c r="B12" s="47">
        <v>40031104</v>
      </c>
      <c r="C12" s="47">
        <v>40031109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あとは任せるアル！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12" s="47">
        <v>40031109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308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40031104_40031110</v>
      </c>
      <c r="B13" s="47">
        <v>40031104</v>
      </c>
      <c r="C13" s="47">
        <v>40031110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気合い入れるヨー！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3" s="47">
        <v>40031110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40031104_40031111</v>
      </c>
      <c r="B14" s="47">
        <v>40031104</v>
      </c>
      <c r="C14" s="47">
        <v>40031111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八卦掌！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自身の攻撃力UP＋味方ユニットの攻撃力30％DOWN</v>
      </c>
      <c r="F14" s="47">
        <v>40031111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40031104_40031112</v>
      </c>
      <c r="B15" s="47">
        <v>40031104</v>
      </c>
      <c r="C15" s="47">
        <v>40031112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武術・拳固め！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5" s="47">
        <v>40031112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40031104_40031113</v>
      </c>
      <c r="B16" s="47">
        <v>40031104</v>
      </c>
      <c r="C16" s="47">
        <v>40031113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仙術・筋強化！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6" s="47">
        <v>40031113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40031104_40031114</v>
      </c>
      <c r="B17" s="47">
        <v>40031104</v>
      </c>
      <c r="C17" s="47">
        <v>40031114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秘術・大熊猫式！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7" s="47">
        <v>40031114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40031105_40031116</v>
      </c>
      <c r="B18" s="47">
        <v>40031105</v>
      </c>
      <c r="C18" s="47">
        <v>40031116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五月蝿い…読書の邪魔よ…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8" s="47">
        <v>40031116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40031105_40031117</v>
      </c>
      <c r="B19" s="47">
        <v>40031105</v>
      </c>
      <c r="C19" s="47">
        <v>40031117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仕方ないわね…やるわよ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攻撃力UP＋攻撃頻度UP</v>
      </c>
      <c r="F19" s="47">
        <v>40031117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153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40031105_40031118</v>
      </c>
      <c r="B20" s="47">
        <v>40031105</v>
      </c>
      <c r="C20" s="47">
        <v>40031118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呪書「パンデミック」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 xml:space="preserve">8ターンウィルス  </v>
      </c>
      <c r="F20" s="47">
        <v>40031118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40031105_40031119</v>
      </c>
      <c r="B21" s="47">
        <v>40031105</v>
      </c>
      <c r="C21" s="47">
        <v>40031119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数学書「ペンタゴン」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1" s="47">
        <v>40031119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21" s="47"/>
      <c r="Q21" s="47"/>
      <c r="R21" s="47"/>
    </row>
    <row r="22" spans="1:18" ht="21" customHeight="1" x14ac:dyDescent="0.15">
      <c r="A22" s="39" t="str">
        <f t="shared" ref="A22" si="3">B22&amp;"_"&amp;C22</f>
        <v>40031105_40031151</v>
      </c>
      <c r="B22" s="47">
        <v>40031105</v>
      </c>
      <c r="C22" s="47">
        <v>40031151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数学書「オクタゴン」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22" s="47">
        <v>40031119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22" s="47"/>
      <c r="Q22" s="47"/>
      <c r="R22" s="47"/>
    </row>
    <row r="23" spans="1:18" ht="21" customHeight="1" x14ac:dyDescent="0.15">
      <c r="A23" s="39" t="str">
        <f t="shared" si="1"/>
        <v>40031105_40031120</v>
      </c>
      <c r="B23" s="47">
        <v>40031105</v>
      </c>
      <c r="C23" s="47">
        <v>40031120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預言書「ノアの洪水」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 xml:space="preserve">2ターン青パネル無効 _x000D_＋すべてのパネルを青パネルに変換 </v>
      </c>
      <c r="F23" s="47">
        <v>40031120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40031105_40031121</v>
      </c>
      <c r="B24" s="47">
        <v>40031105</v>
      </c>
      <c r="C24" s="47">
        <v>40031121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禁書「カタストロフィ」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4" s="47">
        <v>40031121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40031106_40031123</v>
      </c>
      <c r="B25" s="47">
        <v>40031106</v>
      </c>
      <c r="C25" s="47">
        <v>40031123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生意気な奴らが来ましたね…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25" s="47">
        <v>40031123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40031106_40031144</v>
      </c>
      <c r="B26" s="47">
        <v>40031106</v>
      </c>
      <c r="C26" s="47">
        <v>40031144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おやおや、天才君ですか…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26" s="47">
        <v>40031150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1137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4">B27&amp;"_"&amp;C27</f>
        <v>40031106_40031144</v>
      </c>
      <c r="B27" s="47">
        <v>40031106</v>
      </c>
      <c r="C27" s="47">
        <v>40031144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おやおや、天才君ですか…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27" s="47">
        <v>40031151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1138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40031106_40031124</v>
      </c>
      <c r="B28" s="47">
        <v>40031106</v>
      </c>
      <c r="C28" s="47">
        <v>40031124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私の策は完璧です…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28" s="47">
        <v>40031124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40031106_40031125</v>
      </c>
      <c r="B29" s="47">
        <v>40031106</v>
      </c>
      <c r="C29" s="47">
        <v>40031125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拷問は嫌いですかな？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29" s="47">
        <v>40031125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40031106_40031126</v>
      </c>
      <c r="B30" s="47">
        <v>40031106</v>
      </c>
      <c r="C30" s="47">
        <v>40031126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もっと苦しみなさい…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30" s="47">
        <v>40031126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40031106_40031127</v>
      </c>
      <c r="B31" s="47">
        <v>40031106</v>
      </c>
      <c r="C31" s="47">
        <v>40031127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フフ…逃がしませんよ…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攻撃頻度UP＋クリティカル！</v>
      </c>
      <c r="F31" s="47">
        <v>40031127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40031106_40031128</v>
      </c>
      <c r="B32" s="47">
        <v>40031106</v>
      </c>
      <c r="C32" s="47">
        <v>40031128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鞭打ちの刑です…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種族アニマルに大ダメージ</v>
      </c>
      <c r="F32" s="47">
        <v>40031128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2" s="47"/>
      <c r="Q32" s="47"/>
      <c r="R32" s="47"/>
    </row>
    <row r="33" spans="1:18" ht="21" customHeight="1" x14ac:dyDescent="0.15">
      <c r="A33" s="39" t="str">
        <f t="shared" si="1"/>
        <v>40031107_40031129</v>
      </c>
      <c r="B33" s="47">
        <v>40031107</v>
      </c>
      <c r="C33" s="47">
        <v>40031129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私に武力で勝てると…？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状態異常無効＋5ターンの間攻撃力50％DOWN</v>
      </c>
      <c r="F33" s="47">
        <v>40031129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40031107_40031130</v>
      </c>
      <c r="B34" s="47">
        <v>40031107</v>
      </c>
      <c r="C34" s="47">
        <v>40031130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ゆっくり楽しみましょう…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34" s="47">
        <v>40031130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40031107_40031131</v>
      </c>
      <c r="B35" s="47">
        <v>40031107</v>
      </c>
      <c r="C35" s="47">
        <v>40031131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苦しむ顔を見せなさい…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35" s="47">
        <v>40031131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40031107_40031132</v>
      </c>
      <c r="B36" s="47">
        <v>40031107</v>
      </c>
      <c r="C36" s="47">
        <v>40031132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悲鳴を聞かせなさい…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36" s="47">
        <v>40031132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40031107_40031133</v>
      </c>
      <c r="B37" s="47">
        <v>40031107</v>
      </c>
      <c r="C37" s="47">
        <v>40031133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八つ裂きの刑です…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青属性に大ダメージの全体攻撃</v>
      </c>
      <c r="F37" s="47">
        <v>40031133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7" s="47"/>
      <c r="Q37" s="47"/>
      <c r="R37" s="47"/>
    </row>
    <row r="38" spans="1:18" ht="21" customHeight="1" x14ac:dyDescent="0.15">
      <c r="A38" s="39" t="str">
        <f t="shared" si="1"/>
        <v>40031107_40031134</v>
      </c>
      <c r="B38" s="47">
        <v>40031107</v>
      </c>
      <c r="C38" s="47">
        <v>40031134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全て私のもの…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ハートパネルを吸収し、回復</v>
      </c>
      <c r="F38" s="47">
        <v>40031134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40031107_40031135</v>
      </c>
      <c r="B39" s="47">
        <v>40031107</v>
      </c>
      <c r="C39" s="47">
        <v>40031135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伏したまえ…！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9" s="47">
        <v>40031135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:A47" si="5">B40&amp;"_"&amp;C40</f>
        <v>40031108_40031136</v>
      </c>
      <c r="B40" s="47">
        <v>40031108</v>
      </c>
      <c r="C40" s="47">
        <v>40031136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ハァ〜ン？まだわかりませんかァ？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</v>
      </c>
      <c r="F40" s="47">
        <v>40031136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5"/>
        <v>40031108_40031137</v>
      </c>
      <c r="B41" s="47">
        <v>40031108</v>
      </c>
      <c r="C41" s="47">
        <v>40031137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私の策は完璧なんですよ？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 xml:space="preserve">時限式ダメージパネル大量発生 </v>
      </c>
      <c r="F41" s="47">
        <v>40031137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40031108_40031138</v>
      </c>
      <c r="B42" s="47">
        <v>40031108</v>
      </c>
      <c r="C42" s="47">
        <v>40031138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足掻いても無駄なんですよ！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1ターン黄パネル無効＋クリティカル</v>
      </c>
      <c r="F42" s="47">
        <v>40031138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40031108_40031139</v>
      </c>
      <c r="B43" s="47">
        <v>40031108</v>
      </c>
      <c r="C43" s="47">
        <v>40031139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動かないで下さいね？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 xml:space="preserve">1ターン青パネル無効＋クリティカル </v>
      </c>
      <c r="F43" s="47">
        <v>40031139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40031108_40031140</v>
      </c>
      <c r="B44" s="47">
        <v>40031108</v>
      </c>
      <c r="C44" s="47">
        <v>40031140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残念ですが手遅れですよ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1ターンハートパネル無効</v>
      </c>
      <c r="F44" s="47">
        <v>40031140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40031108_40031141</v>
      </c>
      <c r="B45" s="47">
        <v>40031108</v>
      </c>
      <c r="C45" s="47">
        <v>40031141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さぁ、観念しなさい…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単体攻撃（次のターンにクリティカル攻撃！）</v>
      </c>
      <c r="F45" s="47">
        <v>40031141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40031108_40031142</v>
      </c>
      <c r="B46" s="47">
        <v>40031108</v>
      </c>
      <c r="C46" s="47">
        <v>40031142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あぁ…いい顔だ…！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6" s="47">
        <v>40031142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40031108_40031147</v>
      </c>
      <c r="B47" s="47">
        <v>40031108</v>
      </c>
      <c r="C47" s="47">
        <v>40031147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ハハッ！痛いですかァ？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7" s="47">
        <v>40031147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" s="47"/>
      <c r="Q47" s="47"/>
      <c r="R47" s="47"/>
    </row>
    <row r="48" spans="1:18" ht="21" customHeight="1" x14ac:dyDescent="0.15">
      <c r="A48" s="39" t="str">
        <f t="shared" ref="A48" si="6">B48&amp;"_"&amp;C48</f>
        <v>40031108_40031148</v>
      </c>
      <c r="B48" s="47">
        <v>40031108</v>
      </c>
      <c r="C48" s="47">
        <v>40031148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もっと鳴きなさい…！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8" s="47">
        <v>40031148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48" s="47"/>
      <c r="Q48" s="47"/>
      <c r="R48" s="47"/>
    </row>
    <row r="49" spans="1:18" ht="21" customHeight="1" x14ac:dyDescent="0.15">
      <c r="A49" s="39" t="str">
        <f t="shared" ref="A49:A50" si="7">B49&amp;"_"&amp;C49</f>
        <v>40031110_40031100</v>
      </c>
      <c r="B49" s="47">
        <v>40031110</v>
      </c>
      <c r="C49" s="47">
        <v>40031100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月の光よ…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49" s="47">
        <v>40031100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40031110_40031152</v>
      </c>
      <c r="B50" s="47">
        <v>40031110</v>
      </c>
      <c r="C50" s="47">
        <v>40031152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月都の劇薬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3ターンウィルス＋全体攻撃</v>
      </c>
      <c r="F50" s="47">
        <v>40031101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ref="A51:A84" si="8">B51&amp;"_"&amp;C51</f>
        <v>40031111_40031153</v>
      </c>
      <c r="B51" s="47">
        <v>40031111</v>
      </c>
      <c r="C51" s="47">
        <v>40031153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よーし…燃え広がれっ！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51" s="47">
        <v>40031103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8"/>
        <v>40031111_40031149</v>
      </c>
      <c r="B52" s="47">
        <v>40031111</v>
      </c>
      <c r="C52" s="47">
        <v>40031149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トランス・パネル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ランダムに時限式ダメージパネルに変換（最大6個）</v>
      </c>
      <c r="F52" s="47">
        <v>40031149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52" s="47"/>
      <c r="Q52" s="47"/>
      <c r="R52" s="47"/>
    </row>
    <row r="53" spans="1:18" ht="21" customHeight="1" x14ac:dyDescent="0.15">
      <c r="A53" s="39" t="str">
        <f t="shared" si="8"/>
        <v>40031111_40031104</v>
      </c>
      <c r="B53" s="47">
        <v>40031111</v>
      </c>
      <c r="C53" s="47">
        <v>40031104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トラッド・フェンサー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 xml:space="preserve">全体攻撃 </v>
      </c>
      <c r="F53" s="47">
        <v>40031104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53" s="47"/>
      <c r="Q53" s="47"/>
      <c r="R53" s="47"/>
    </row>
    <row r="54" spans="1:18" ht="21" customHeight="1" x14ac:dyDescent="0.15">
      <c r="A54" s="39" t="str">
        <f t="shared" si="8"/>
        <v>40031112_40031116</v>
      </c>
      <c r="B54" s="47">
        <v>40031112</v>
      </c>
      <c r="C54" s="47">
        <v>40031116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五月蝿い…読書の邪魔よ…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4" s="47">
        <v>40031116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8"/>
        <v>40031112_40031117</v>
      </c>
      <c r="B55" s="47">
        <v>40031112</v>
      </c>
      <c r="C55" s="47">
        <v>40031117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仕方ないわね…やるわよ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攻撃力UP＋攻撃頻度UP</v>
      </c>
      <c r="F55" s="47">
        <v>40031117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153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8"/>
        <v>40031112_40031154</v>
      </c>
      <c r="B56" s="47">
        <v>40031112</v>
      </c>
      <c r="C56" s="47">
        <v>40031154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呪書「パンデミック」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 xml:space="preserve">8ターンウィルス  </v>
      </c>
      <c r="F56" s="47">
        <v>40031118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8"/>
        <v>40031112_40031119</v>
      </c>
      <c r="B57" s="47">
        <v>40031112</v>
      </c>
      <c r="C57" s="47">
        <v>40031119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数学書「ペンタゴン」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7" s="47">
        <v>40031119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57" s="47"/>
      <c r="Q57" s="47"/>
      <c r="R57" s="47"/>
    </row>
    <row r="58" spans="1:18" ht="21" customHeight="1" x14ac:dyDescent="0.15">
      <c r="A58" s="39" t="str">
        <f t="shared" si="8"/>
        <v>40031112_40031151</v>
      </c>
      <c r="B58" s="47">
        <v>40031112</v>
      </c>
      <c r="C58" s="47">
        <v>40031151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数学書「オクタゴン」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58" s="47">
        <v>40031119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58" s="47"/>
      <c r="Q58" s="47"/>
      <c r="R58" s="47"/>
    </row>
    <row r="59" spans="1:18" ht="21" customHeight="1" x14ac:dyDescent="0.15">
      <c r="A59" s="39" t="str">
        <f t="shared" si="8"/>
        <v>40031112_40031120</v>
      </c>
      <c r="B59" s="47">
        <v>40031112</v>
      </c>
      <c r="C59" s="47">
        <v>40031120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預言書「ノアの洪水」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 xml:space="preserve">2ターン青パネル無効 _x000D_＋すべてのパネルを青パネルに変換 </v>
      </c>
      <c r="F59" s="47">
        <v>40031120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8"/>
        <v>40031112_40031121</v>
      </c>
      <c r="B60" s="47">
        <v>40031112</v>
      </c>
      <c r="C60" s="47">
        <v>40031121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禁書「カタストロフィ」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0" s="47">
        <v>40031121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8"/>
        <v>40031113_40031123</v>
      </c>
      <c r="B61" s="47">
        <v>40031113</v>
      </c>
      <c r="C61" s="47">
        <v>40031123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生意気な奴らが来ましたね…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61" s="47">
        <v>40031123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8"/>
        <v>40031113_40031144</v>
      </c>
      <c r="B62" s="47">
        <v>40031113</v>
      </c>
      <c r="C62" s="47">
        <v>40031144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おやおや、天才君ですか…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62" s="47">
        <v>40031150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1137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8"/>
        <v>40031113_40031144</v>
      </c>
      <c r="B63" s="47">
        <v>40031113</v>
      </c>
      <c r="C63" s="47">
        <v>40031144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おやおや、天才君ですか…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状態異常無効＋解除するまでカウンター</v>
      </c>
      <c r="F63" s="47">
        <v>40031151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1138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8"/>
        <v>40031113_40031155</v>
      </c>
      <c r="B64" s="47">
        <v>40031113</v>
      </c>
      <c r="C64" s="47">
        <v>40031155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私の策は完璧です…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64" s="47">
        <v>40031124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8"/>
        <v>40031113_40031156</v>
      </c>
      <c r="B65" s="47">
        <v>40031113</v>
      </c>
      <c r="C65" s="47">
        <v>40031156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拷問は嫌いですかな？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65" s="47">
        <v>40031125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8"/>
        <v>40031113_40031157</v>
      </c>
      <c r="B66" s="47">
        <v>40031113</v>
      </c>
      <c r="C66" s="47">
        <v>40031157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もっと苦しみなさい…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66" s="47">
        <v>40031126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8"/>
        <v>40031113_40031127</v>
      </c>
      <c r="B67" s="47">
        <v>40031113</v>
      </c>
      <c r="C67" s="47">
        <v>40031127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フフ…逃がしませんよ…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攻撃頻度UP＋クリティカル！</v>
      </c>
      <c r="F67" s="47">
        <v>40031127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8"/>
        <v>40031113_40031128</v>
      </c>
      <c r="B68" s="47">
        <v>40031113</v>
      </c>
      <c r="C68" s="47">
        <v>40031128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鞭打ちの刑です…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種族アニマルに大ダメージ</v>
      </c>
      <c r="F68" s="47">
        <v>40031128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68" s="47"/>
      <c r="Q68" s="47"/>
      <c r="R68" s="47"/>
    </row>
    <row r="69" spans="1:18" ht="21" customHeight="1" x14ac:dyDescent="0.15">
      <c r="A69" s="39" t="str">
        <f t="shared" si="8"/>
        <v>40031114_40031129</v>
      </c>
      <c r="B69" s="47">
        <v>40031114</v>
      </c>
      <c r="C69" s="47">
        <v>40031129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私に武力で勝てると…？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状態異常無効＋5ターンの間攻撃力50％DOWN</v>
      </c>
      <c r="F69" s="47">
        <v>40031129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8"/>
        <v>40031114_40031158</v>
      </c>
      <c r="B70" s="47">
        <v>40031114</v>
      </c>
      <c r="C70" s="47">
        <v>40031158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ゆっくり楽しみましょう…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70" s="47">
        <v>40031130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8"/>
        <v>40031114_40031159</v>
      </c>
      <c r="B71" s="47">
        <v>40031114</v>
      </c>
      <c r="C71" s="47">
        <v>40031159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苦しむ顔を見せなさい…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71" s="47">
        <v>40031131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8"/>
        <v>40031114_40031160</v>
      </c>
      <c r="B72" s="47">
        <v>40031114</v>
      </c>
      <c r="C72" s="47">
        <v>40031160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悲鳴を聞かせなさい…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解除するまでウィルス＋全体攻撃</v>
      </c>
      <c r="F72" s="47">
        <v>40031132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8"/>
        <v>40031114_40031133</v>
      </c>
      <c r="B73" s="47">
        <v>40031114</v>
      </c>
      <c r="C73" s="47">
        <v>40031133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八つ裂きの刑です…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青属性に大ダメージの全体攻撃</v>
      </c>
      <c r="F73" s="47">
        <v>40031133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3" s="47"/>
      <c r="Q73" s="47"/>
      <c r="R73" s="47"/>
    </row>
    <row r="74" spans="1:18" ht="21" customHeight="1" x14ac:dyDescent="0.15">
      <c r="A74" s="39" t="str">
        <f t="shared" si="8"/>
        <v>40031114_40031134</v>
      </c>
      <c r="B74" s="47">
        <v>40031114</v>
      </c>
      <c r="C74" s="47">
        <v>40031134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全て私のもの…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ハートパネルを吸収し、回復</v>
      </c>
      <c r="F74" s="47">
        <v>40031134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8"/>
        <v>40031114_40031135</v>
      </c>
      <c r="B75" s="47">
        <v>40031114</v>
      </c>
      <c r="C75" s="47">
        <v>40031135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伏したまえ…！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5" s="47">
        <v>40031135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8"/>
        <v>40031115_40031161</v>
      </c>
      <c r="B76" s="47">
        <v>40031115</v>
      </c>
      <c r="C76" s="47">
        <v>40031161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ハァ〜ン？まだわかりませんかァ？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</v>
      </c>
      <c r="F76" s="47">
        <v>40031136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8"/>
        <v>40031115_40031162</v>
      </c>
      <c r="B77" s="47">
        <v>40031115</v>
      </c>
      <c r="C77" s="47">
        <v>40031162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私の策は完璧なんですよ？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 xml:space="preserve">時限式ダメージパネル大量発生 </v>
      </c>
      <c r="F77" s="47">
        <v>40031137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8"/>
        <v>40031115_40031138</v>
      </c>
      <c r="B78" s="47">
        <v>40031115</v>
      </c>
      <c r="C78" s="47">
        <v>40031138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足掻いても無駄なんですよ！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1ターン黄パネル無効＋クリティカル</v>
      </c>
      <c r="F78" s="47">
        <v>40031138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8"/>
        <v>40031115_40031139</v>
      </c>
      <c r="B79" s="47">
        <v>40031115</v>
      </c>
      <c r="C79" s="47">
        <v>40031139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動かないで下さいね？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 xml:space="preserve">1ターン青パネル無効＋クリティカル </v>
      </c>
      <c r="F79" s="47">
        <v>40031139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8"/>
        <v>40031115_40031140</v>
      </c>
      <c r="B80" s="47">
        <v>40031115</v>
      </c>
      <c r="C80" s="47">
        <v>40031140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残念ですが手遅れですよ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1ターンハートパネル無効</v>
      </c>
      <c r="F80" s="47">
        <v>40031140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8"/>
        <v>40031115_40031141</v>
      </c>
      <c r="B81" s="47">
        <v>40031115</v>
      </c>
      <c r="C81" s="47">
        <v>40031141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さぁ、観念しなさい…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単体攻撃（次のターンにクリティカル攻撃！）</v>
      </c>
      <c r="F81" s="47">
        <v>40031141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8"/>
        <v>40031115_40031142</v>
      </c>
      <c r="B82" s="47">
        <v>40031115</v>
      </c>
      <c r="C82" s="47">
        <v>40031142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あぁ…いい顔だ…！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2" s="47">
        <v>40031142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8"/>
        <v>40031115_40031147</v>
      </c>
      <c r="B83" s="47">
        <v>40031115</v>
      </c>
      <c r="C83" s="47">
        <v>40031147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ハハッ！痛いですかァ？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3" s="47">
        <v>40031147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3" s="47"/>
      <c r="Q83" s="47"/>
      <c r="R83" s="47"/>
    </row>
    <row r="84" spans="1:18" ht="21" customHeight="1" x14ac:dyDescent="0.15">
      <c r="A84" s="39" t="str">
        <f t="shared" si="8"/>
        <v>40031115_40031148</v>
      </c>
      <c r="B84" s="47">
        <v>40031115</v>
      </c>
      <c r="C84" s="47">
        <v>40031148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もっと鳴きなさい…！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4" s="47">
        <v>40031148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84" s="47"/>
      <c r="Q84" s="47"/>
      <c r="R8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0"/>
  <sheetViews>
    <sheetView showGridLines="0" tabSelected="1" zoomScale="132" zoomScaleNormal="132" zoomScalePageLayoutView="132" workbookViewId="0">
      <pane ySplit="1" topLeftCell="A41" activePane="bottomLeft" state="frozenSplit"/>
      <selection pane="bottomLeft" activeCell="E53" sqref="E5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8" style="49" customWidth="1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40031100</v>
      </c>
      <c r="B2" s="47" t="s">
        <v>265</v>
      </c>
      <c r="C2" s="50">
        <v>3</v>
      </c>
      <c r="D2" s="50" t="s">
        <v>127</v>
      </c>
      <c r="E2" s="105" t="s">
        <v>272</v>
      </c>
      <c r="F2" s="106" t="s">
        <v>323</v>
      </c>
      <c r="G2" s="63" t="str">
        <f>IFERROR(LEFT(B2,FIND("],",B2)),B2)</f>
        <v>[effect:fix_speed, target:myself, turn:1]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33</v>
      </c>
      <c r="L2" s="63" t="str">
        <f>IFERROR(VLOOKUP(MID(G2,J2,K2-J2),[6]skilldef!$C:$D,2,FALSE),"-") &amp; " / " &amp; IFERROR(VLOOKUP(MID(G2,H2,I2-H2),[6]skilldef!$A:$B,2,FALSE),"-")</f>
        <v>自分自身に / 行動値設定</v>
      </c>
      <c r="M2" s="63" t="str">
        <f>IFERROR(RIGHT(B2,LEN(B2)-FIND("],",B2)-1),"none")</f>
        <v xml:space="preserve">[effect:enhance_enemy, target:myself, turn:3, status:defense, val:1500, calc:add, animation:enemy_enhance_defense]    </v>
      </c>
      <c r="N2" s="48" t="str">
        <f>IFERROR(LEFT(M2,FIND("],",M2)+S12),M2)</f>
        <v xml:space="preserve">[effect:enhance_enemy, target:myself, turn:3, status:defense, val:1500, calc:add, animation:enemy_enhance_defense]    </v>
      </c>
      <c r="O2" s="63">
        <f>FIND("effect:",N2)+7</f>
        <v>9</v>
      </c>
      <c r="P2" s="63">
        <f>IFERROR(FIND(",",N2),LEN(N2))</f>
        <v>22</v>
      </c>
      <c r="Q2" s="63">
        <f>FIND("target:",N2)+7</f>
        <v>31</v>
      </c>
      <c r="R2" s="63">
        <f>FIND(",",N2,P2+1)</f>
        <v>37</v>
      </c>
      <c r="S2" s="63" t="str">
        <f>IFERROR(VLOOKUP(MID(N2,Q2,R2-Q2),[6]skilldef!$C:$D,2,FALSE),"-") &amp; " / " &amp; IFERROR(VLOOKUP(MID(N2,O2,P2-O2),[6]skilldef!$A:$B,2,FALSE),"-")</f>
        <v>自分自身に / ステータス強化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40031101</v>
      </c>
      <c r="B3" s="47" t="s">
        <v>381</v>
      </c>
      <c r="C3" s="50">
        <v>3</v>
      </c>
      <c r="D3" s="50" t="s">
        <v>127</v>
      </c>
      <c r="E3" s="105" t="s">
        <v>309</v>
      </c>
      <c r="F3" s="106" t="s">
        <v>324</v>
      </c>
      <c r="G3" s="63" t="str">
        <f t="shared" ref="G3:G48" si="0">IFERROR(LEFT(B3,FIND("],",B3)),B3)</f>
        <v>[effect:spread, val:0.25]</v>
      </c>
      <c r="H3" s="63">
        <f t="shared" ref="H3:H48" si="1">FIND("effect:",G3)+7</f>
        <v>9</v>
      </c>
      <c r="I3" s="63">
        <f t="shared" ref="I3:I48" si="2">IFERROR(FIND(",",G3),LEN(G3))</f>
        <v>15</v>
      </c>
      <c r="J3" s="63" t="e">
        <f t="shared" ref="J3:J48" si="3">FIND("target:",G3)+7</f>
        <v>#VALUE!</v>
      </c>
      <c r="K3" s="63" t="e">
        <f t="shared" ref="K3:K48" si="4">FIND(",",G3,I3+1)</f>
        <v>#VALUE!</v>
      </c>
      <c r="L3" s="63" t="str">
        <f>IFERROR(VLOOKUP(MID(G3,J3,K3-J3),[6]skilldef!$C:$D,2,FALSE),"-") &amp; " / " &amp; IFERROR(VLOOKUP(MID(G3,H3,I3-H3),[6]skilldef!$A:$B,2,FALSE),"-")</f>
        <v>- / 全体攻撃</v>
      </c>
      <c r="M3" s="63" t="str">
        <f t="shared" ref="M3:M48" si="5">IFERROR(RIGHT(B3,LEN(B3)-FIND("],",B3)-1),"none")</f>
        <v>[effect:virus, turn:1, rate:1, val:0.8, animation:enemy_virus]</v>
      </c>
      <c r="N3" s="48" t="str">
        <f t="shared" ref="N3:N32" si="6">IFERROR(LEFT(M3,FIND("],",M3)+S13),M3)</f>
        <v>[effect:virus, turn:1, rate:1, val:0.8, animation:enemy_virus]</v>
      </c>
      <c r="O3" s="63">
        <f t="shared" ref="O3:O48" si="7">FIND("effect:",N3)+7</f>
        <v>9</v>
      </c>
      <c r="P3" s="63">
        <f t="shared" ref="P3:P48" si="8">IFERROR(FIND(",",N3),LEN(N3))</f>
        <v>14</v>
      </c>
      <c r="Q3" s="63" t="e">
        <f t="shared" ref="Q3:Q48" si="9">FIND("target:",N3)+7</f>
        <v>#VALUE!</v>
      </c>
      <c r="R3" s="63">
        <f t="shared" ref="R3:R48" si="10">FIND(",",N3,P3+1)</f>
        <v>22</v>
      </c>
      <c r="S3" s="63" t="str">
        <f>IFERROR(VLOOKUP(MID(N3,Q3,R3-Q3),[6]skilldef!$C:$D,2,FALSE),"-") &amp; " / " &amp; IFERROR(VLOOKUP(MID(N3,O3,P3-O3),[6]skilldef!$A:$B,2,FALSE),"-")</f>
        <v>- / ウィルス</v>
      </c>
      <c r="T3" s="48" t="str">
        <f t="shared" ref="T3:T48" si="11">IFERROR(RIGHT(M3,LEN(M3)-FIND("],",M3)-1),"none")</f>
        <v>none</v>
      </c>
      <c r="U3" s="63" t="e">
        <f t="shared" ref="U3:U48" si="12">FIND("effect:",T3)+7</f>
        <v>#VALUE!</v>
      </c>
      <c r="V3" s="63">
        <f t="shared" ref="V3:V48" si="13">IFERROR(FIND(",",T3),LEN(T3))</f>
        <v>4</v>
      </c>
      <c r="W3" s="63" t="e">
        <f t="shared" ref="W3:W48" si="14">FIND("target:",T3)+7</f>
        <v>#VALUE!</v>
      </c>
      <c r="X3" s="63" t="e">
        <f t="shared" ref="X3:X48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40031102</v>
      </c>
      <c r="B4" s="47" t="s">
        <v>258</v>
      </c>
      <c r="C4" s="50">
        <v>3</v>
      </c>
      <c r="D4" s="50" t="s">
        <v>127</v>
      </c>
      <c r="E4" s="105" t="s">
        <v>289</v>
      </c>
      <c r="F4" s="106" t="s">
        <v>325</v>
      </c>
      <c r="G4" s="63" t="str">
        <f t="shared" si="0"/>
        <v>[effect:freq_turn, target:myself, turn:-1, val:1, animation:enemy_freq_turn]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IFERROR(VLOOKUP(MID(G4,J4,K4-J4),[6]skilldef!$C:$D,2,FALSE),"-") &amp; " / " &amp; IFERROR(VLOOKUP(MID(G4,H4,I4-H4),[6]skilldef!$A:$B,2,FALSE),"-")</f>
        <v>自分自身に / 攻撃頻度がUP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40031105</v>
      </c>
      <c r="B5" s="47" t="s">
        <v>259</v>
      </c>
      <c r="C5" s="50">
        <v>3</v>
      </c>
      <c r="D5" s="50" t="s">
        <v>127</v>
      </c>
      <c r="E5" s="51" t="s">
        <v>291</v>
      </c>
      <c r="F5" s="51" t="s">
        <v>416</v>
      </c>
      <c r="G5" s="63" t="str">
        <f t="shared" si="0"/>
        <v>[effect:fix_speed, target:myself, turn:2]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33</v>
      </c>
      <c r="L5" s="63" t="str">
        <f>IFERROR(VLOOKUP(MID(G5,J5,K5-J5),[6]skilldef!$C:$D,2,FALSE),"-") &amp; " / " &amp; IFERROR(VLOOKUP(MID(G5,H5,I5-H5),[6]skilldef!$A:$B,2,FALSE),"-")</f>
        <v>自分自身に / 行動値設定</v>
      </c>
      <c r="M5" s="63" t="str">
        <f t="shared" si="5"/>
        <v xml:space="preserve">[effect:force_change_block, new_block:block_red, target:block_green, count:5, val:0, no_effect_msg:no_effect_msg_change_block_jammer, animation:change_block]    </v>
      </c>
      <c r="N5" s="48" t="str">
        <f t="shared" si="6"/>
        <v xml:space="preserve">[effect:force_change_block, new_block:block_red, target:block_green, count:5, val:0, no_effect_msg:no_effect_msg_change_block_jammer, animation:change_block]    </v>
      </c>
      <c r="O5" s="63">
        <f t="shared" si="7"/>
        <v>9</v>
      </c>
      <c r="P5" s="63">
        <f t="shared" si="8"/>
        <v>27</v>
      </c>
      <c r="Q5" s="63">
        <f t="shared" si="9"/>
        <v>57</v>
      </c>
      <c r="R5" s="63">
        <f t="shared" si="10"/>
        <v>48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40031104</v>
      </c>
      <c r="B6" s="47" t="s">
        <v>312</v>
      </c>
      <c r="C6" s="50">
        <v>3</v>
      </c>
      <c r="D6" s="50" t="s">
        <v>127</v>
      </c>
      <c r="E6" s="51" t="s">
        <v>298</v>
      </c>
      <c r="F6" s="51" t="s">
        <v>326</v>
      </c>
      <c r="G6" s="63" t="str">
        <f t="shared" si="0"/>
        <v>[effect:spread, val:0.26]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全体攻撃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40031103</v>
      </c>
      <c r="B7" s="47" t="s">
        <v>382</v>
      </c>
      <c r="C7" s="50">
        <v>3</v>
      </c>
      <c r="D7" s="50" t="s">
        <v>127</v>
      </c>
      <c r="E7" s="51" t="s">
        <v>307</v>
      </c>
      <c r="F7" s="51" t="s">
        <v>402</v>
      </c>
      <c r="G7" s="63" t="str">
        <f t="shared" si="0"/>
        <v>[effect:fix_speed, target:myself, turn:1]</v>
      </c>
      <c r="H7" s="63">
        <f t="shared" si="1"/>
        <v>9</v>
      </c>
      <c r="I7" s="63">
        <f t="shared" si="2"/>
        <v>18</v>
      </c>
      <c r="J7" s="63">
        <f t="shared" si="3"/>
        <v>27</v>
      </c>
      <c r="K7" s="63">
        <f t="shared" si="4"/>
        <v>33</v>
      </c>
      <c r="L7" s="63" t="str">
        <f>IFERROR(VLOOKUP(MID(G7,J7,K7-J7),[6]skilldef!$C:$D,2,FALSE),"-") &amp; " / " &amp; IFERROR(VLOOKUP(MID(G7,H7,I7-H7),[6]skilldef!$A:$B,2,FALSE),"-")</f>
        <v>自分自身に / 行動値設定</v>
      </c>
      <c r="M7" s="63" t="str">
        <f t="shared" si="5"/>
        <v xml:space="preserve">[effect:virus, turn:2, rate:1, val:0.8, animation:enemy_virus]    </v>
      </c>
      <c r="N7" s="48" t="str">
        <f>IFERROR(LEFT(M7,FIND("],",M7)+S17),M7)</f>
        <v xml:space="preserve">[effect:virus, turn:2, rate:1, val:0.8, animation:enemy_virus]    </v>
      </c>
      <c r="O7" s="63">
        <f t="shared" si="7"/>
        <v>9</v>
      </c>
      <c r="P7" s="63">
        <f t="shared" si="8"/>
        <v>14</v>
      </c>
      <c r="Q7" s="63" t="e">
        <f t="shared" si="9"/>
        <v>#VALUE!</v>
      </c>
      <c r="R7" s="63">
        <f t="shared" si="10"/>
        <v>22</v>
      </c>
      <c r="S7" s="63" t="str">
        <f>IFERROR(VLOOKUP(MID(N7,Q7,R7-Q7),[6]skilldef!$C:$D,2,FALSE),"-") &amp; " / " &amp; IFERROR(VLOOKUP(MID(N7,O7,P7-O7),[6]skilldef!$A:$B,2,FALSE),"-")</f>
        <v>- / ウィルス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40031106</v>
      </c>
      <c r="B8" s="47" t="s">
        <v>313</v>
      </c>
      <c r="C8" s="50">
        <v>3</v>
      </c>
      <c r="D8" s="50" t="s">
        <v>127</v>
      </c>
      <c r="E8" s="51" t="s">
        <v>290</v>
      </c>
      <c r="F8" s="51" t="s">
        <v>327</v>
      </c>
      <c r="G8" s="63" t="str">
        <f t="shared" si="0"/>
        <v>[effect:spread, val:0.26]</v>
      </c>
      <c r="H8" s="63">
        <f t="shared" si="1"/>
        <v>9</v>
      </c>
      <c r="I8" s="63">
        <f t="shared" si="2"/>
        <v>15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全体攻撃</v>
      </c>
      <c r="M8" s="63" t="str">
        <f t="shared" si="5"/>
        <v>none</v>
      </c>
      <c r="N8" s="48" t="str">
        <f>IFERROR(LEFT(M8,FIND("],",M8)+S18),M8)</f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40031107</v>
      </c>
      <c r="B9" s="47" t="s">
        <v>317</v>
      </c>
      <c r="C9" s="50">
        <v>3</v>
      </c>
      <c r="D9" s="50" t="s">
        <v>127</v>
      </c>
      <c r="E9" s="51" t="s">
        <v>311</v>
      </c>
      <c r="F9" s="51" t="s">
        <v>401</v>
      </c>
      <c r="G9" s="63" t="str">
        <f t="shared" si="0"/>
        <v>[effect:damage_anti_color, target:unit_all, color:red, val1:0.3, val2:0.4]</v>
      </c>
      <c r="H9" s="63">
        <f t="shared" si="1"/>
        <v>9</v>
      </c>
      <c r="I9" s="63">
        <f t="shared" si="2"/>
        <v>26</v>
      </c>
      <c r="J9" s="63">
        <f t="shared" si="3"/>
        <v>35</v>
      </c>
      <c r="K9" s="63">
        <f t="shared" si="4"/>
        <v>43</v>
      </c>
      <c r="L9" s="63" t="str">
        <f>IFERROR(VLOOKUP(MID(G9,J9,K9-J9),[6]skilldef!$C:$D,2,FALSE),"-") &amp; " / " &amp; IFERROR(VLOOKUP(MID(G9,H9,I9-H9),[6]skilldef!$A:$B,2,FALSE),"-")</f>
        <v>味方全体に / 属性キラー</v>
      </c>
      <c r="M9" s="63" t="str">
        <f t="shared" si="5"/>
        <v>none</v>
      </c>
      <c r="N9" s="48" t="str">
        <f>IFERROR(LEFT(M9,FIND("],",M9)+S19),M9)</f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40031108</v>
      </c>
      <c r="B10" s="47" t="s">
        <v>260</v>
      </c>
      <c r="C10" s="50">
        <v>3</v>
      </c>
      <c r="D10" s="50" t="s">
        <v>127</v>
      </c>
      <c r="E10" s="51" t="s">
        <v>420</v>
      </c>
      <c r="F10" s="51" t="s">
        <v>328</v>
      </c>
      <c r="G10" s="63" t="str">
        <f t="shared" si="0"/>
        <v>[effect:fix_speed, target:myself, turn:1]</v>
      </c>
      <c r="H10" s="63">
        <f t="shared" si="1"/>
        <v>9</v>
      </c>
      <c r="I10" s="63">
        <f t="shared" si="2"/>
        <v>18</v>
      </c>
      <c r="J10" s="63">
        <f t="shared" si="3"/>
        <v>27</v>
      </c>
      <c r="K10" s="63">
        <f t="shared" si="4"/>
        <v>33</v>
      </c>
      <c r="L10" s="63" t="str">
        <f>IFERROR(VLOOKUP(MID(G10,J10,K10-J10),[6]skilldef!$C:$D,2,FALSE),"-") &amp; " / " &amp; IFERROR(VLOOKUP(MID(G10,H10,I10-H10),[6]skilldef!$A:$B,2,FALSE),"-")</f>
        <v>自分自身に / 行動値設定</v>
      </c>
      <c r="M10" s="63" t="str">
        <f t="shared" si="5"/>
        <v>[effect:tolerance, target:myself, turn:-1, tolerance_effect:all, count:-1, animation:enemy_tolerance]</v>
      </c>
      <c r="N10" s="48" t="str">
        <f>IFERROR(LEFT(M10,FIND("],",M10)+#REF!),M10)</f>
        <v>[effect:tolerance, target:myself, turn:-1, tolerance_effect:all, count:-1, animation:enemy_tolerance]</v>
      </c>
      <c r="O10" s="63">
        <f t="shared" si="7"/>
        <v>9</v>
      </c>
      <c r="P10" s="63">
        <f t="shared" si="8"/>
        <v>18</v>
      </c>
      <c r="Q10" s="63">
        <f t="shared" si="9"/>
        <v>27</v>
      </c>
      <c r="R10" s="63">
        <f t="shared" si="10"/>
        <v>33</v>
      </c>
      <c r="S10" s="63" t="str">
        <f>IFERROR(VLOOKUP(MID(N10,Q10,R10-Q10),[6]skilldef!$C:$D,2,FALSE),"-") &amp; " / " &amp; IFERROR(VLOOKUP(MID(N10,O10,P10-O10),[6]skilldef!$A:$B,2,FALSE),"-")</f>
        <v>自分自身に / 状態異常耐性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40031109</v>
      </c>
      <c r="B11" s="47" t="s">
        <v>266</v>
      </c>
      <c r="C11" s="50">
        <v>3</v>
      </c>
      <c r="D11" s="50" t="s">
        <v>127</v>
      </c>
      <c r="E11" s="51" t="s">
        <v>306</v>
      </c>
      <c r="F11" s="51" t="s">
        <v>329</v>
      </c>
      <c r="G11" s="63" t="str">
        <f t="shared" si="0"/>
        <v xml:space="preserve">[effect:enhance_enemy, target:myself, turn:3, status:defense, val:3000, calc:add, animation:enemy_enhance_defense]    </v>
      </c>
      <c r="H11" s="63">
        <f t="shared" si="1"/>
        <v>9</v>
      </c>
      <c r="I11" s="63">
        <f t="shared" si="2"/>
        <v>22</v>
      </c>
      <c r="J11" s="63">
        <f t="shared" si="3"/>
        <v>31</v>
      </c>
      <c r="K11" s="63">
        <f t="shared" si="4"/>
        <v>37</v>
      </c>
      <c r="L11" s="63" t="str">
        <f>IFERROR(VLOOKUP(MID(G11,J11,K11-J11),[6]skilldef!$C:$D,2,FALSE),"-") &amp; " / " &amp; IFERROR(VLOOKUP(MID(G11,H11,I11-H11),[6]skilldef!$A:$B,2,FALSE),"-")</f>
        <v>自分自身に / ステータス強化</v>
      </c>
      <c r="M11" s="63" t="str">
        <f t="shared" si="5"/>
        <v>none</v>
      </c>
      <c r="N11" s="48" t="str">
        <f t="shared" ref="N11:N19" si="16">IFERROR(LEFT(M11,FIND("],",M11)+S21),M11)</f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40031110</v>
      </c>
      <c r="B12" s="47" t="s">
        <v>261</v>
      </c>
      <c r="C12" s="50">
        <v>3</v>
      </c>
      <c r="D12" s="50" t="s">
        <v>127</v>
      </c>
      <c r="E12" s="51" t="s">
        <v>274</v>
      </c>
      <c r="F12" s="51" t="s">
        <v>330</v>
      </c>
      <c r="G12" s="63" t="str">
        <f t="shared" si="0"/>
        <v xml:space="preserve">[effect:enhance_enemy, target:myself, turn:-1, status:attack, val:0.1, calc:mul, animation:enemy_enhance_attack]    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37</v>
      </c>
      <c r="L12" s="63" t="str">
        <f>IFERROR(VLOOKUP(MID(G12,J12,K12-J12),[6]skilldef!$C:$D,2,FALSE),"-") &amp; " / " &amp; IFERROR(VLOOKUP(MID(G12,H12,I12-H12),[6]skilldef!$A:$B,2,FALSE),"-")</f>
        <v>自分自身に / ステータス強化</v>
      </c>
      <c r="M12" s="63" t="str">
        <f t="shared" si="5"/>
        <v>none</v>
      </c>
      <c r="N12" s="48" t="str">
        <f t="shared" si="1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40031111</v>
      </c>
      <c r="B13" s="47" t="s">
        <v>300</v>
      </c>
      <c r="C13" s="50">
        <v>3</v>
      </c>
      <c r="D13" s="50" t="s">
        <v>127</v>
      </c>
      <c r="E13" s="51" t="s">
        <v>275</v>
      </c>
      <c r="F13" s="51" t="s">
        <v>409</v>
      </c>
      <c r="G13" s="63" t="str">
        <f t="shared" si="0"/>
        <v>[effect:degrade_unit, target:unit_all, turn:3, status:attack, val:0.3, calc:mul]</v>
      </c>
      <c r="H13" s="63">
        <f t="shared" si="1"/>
        <v>9</v>
      </c>
      <c r="I13" s="63">
        <f t="shared" si="2"/>
        <v>21</v>
      </c>
      <c r="J13" s="63">
        <f t="shared" si="3"/>
        <v>30</v>
      </c>
      <c r="K13" s="63">
        <f t="shared" si="4"/>
        <v>38</v>
      </c>
      <c r="L13" s="63" t="str">
        <f>IFERROR(VLOOKUP(MID(G13,J13,K13-J13),[6]skilldef!$C:$D,2,FALSE),"-") &amp; " / " &amp; IFERROR(VLOOKUP(MID(G13,H13,I13-H13),[6]skilldef!$A:$B,2,FALSE),"-")</f>
        <v>味方全体に / ステータスDOWN</v>
      </c>
      <c r="M13" s="63" t="str">
        <f t="shared" si="5"/>
        <v>[effect:enhance_enemy, target:myself, turn:-1, status:attack, val:0.15, calc:mul, animation:enemy_enhance_attack]</v>
      </c>
      <c r="N13" s="48" t="str">
        <f t="shared" si="16"/>
        <v>[effect:enhance_enemy, target:myself, turn:-1, status:attack, val:0.15, calc:mul, animation:enemy_enhance_attack]</v>
      </c>
      <c r="O13" s="63">
        <f t="shared" si="7"/>
        <v>9</v>
      </c>
      <c r="P13" s="63">
        <f t="shared" si="8"/>
        <v>22</v>
      </c>
      <c r="Q13" s="63">
        <f t="shared" si="9"/>
        <v>31</v>
      </c>
      <c r="R13" s="63">
        <f t="shared" si="10"/>
        <v>37</v>
      </c>
      <c r="S13" s="63" t="str">
        <f>IFERROR(VLOOKUP(MID(N13,Q13,R13-Q13),[6]skilldef!$C:$D,2,FALSE),"-") &amp; " / " &amp; IFERROR(VLOOKUP(MID(N13,O13,P13-O13),[6]skilldef!$A:$B,2,FALSE),"-")</f>
        <v>自分自身に / ステータス強化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40031112</v>
      </c>
      <c r="B14" s="47" t="s">
        <v>262</v>
      </c>
      <c r="C14" s="50">
        <v>3</v>
      </c>
      <c r="D14" s="50" t="s">
        <v>127</v>
      </c>
      <c r="E14" s="51" t="s">
        <v>273</v>
      </c>
      <c r="F14" s="51" t="s">
        <v>330</v>
      </c>
      <c r="G14" s="63" t="str">
        <f t="shared" si="0"/>
        <v xml:space="preserve">[effect:enhance_enemy, target:myself, turn:-1, status:attack, val:0.2, calc:mul, animation:enemy_enhance_attack]    </v>
      </c>
      <c r="H14" s="63">
        <f t="shared" si="1"/>
        <v>9</v>
      </c>
      <c r="I14" s="63">
        <f t="shared" si="2"/>
        <v>22</v>
      </c>
      <c r="J14" s="63">
        <f t="shared" si="3"/>
        <v>31</v>
      </c>
      <c r="K14" s="63">
        <f t="shared" si="4"/>
        <v>37</v>
      </c>
      <c r="L14" s="63" t="str">
        <f>IFERROR(VLOOKUP(MID(G14,J14,K14-J14),[6]skilldef!$C:$D,2,FALSE),"-") &amp; " / " &amp; IFERROR(VLOOKUP(MID(G14,H14,I14-H14),[6]skilldef!$A:$B,2,FALSE),"-")</f>
        <v>自分自身に / ステータス強化</v>
      </c>
      <c r="M14" s="63" t="str">
        <f t="shared" si="5"/>
        <v>none</v>
      </c>
      <c r="N14" s="48" t="str">
        <f t="shared" si="1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40031113</v>
      </c>
      <c r="B15" s="47" t="s">
        <v>263</v>
      </c>
      <c r="C15" s="50">
        <v>3</v>
      </c>
      <c r="D15" s="50" t="s">
        <v>127</v>
      </c>
      <c r="E15" s="51" t="s">
        <v>283</v>
      </c>
      <c r="F15" s="51" t="s">
        <v>330</v>
      </c>
      <c r="G15" s="63" t="str">
        <f t="shared" si="0"/>
        <v xml:space="preserve">[effect:enhance_enemy, target:myself, turn:-1, status:attack, val:0.25, calc:mul, animation:enemy_enhance_attack]    </v>
      </c>
      <c r="H15" s="63">
        <f t="shared" si="1"/>
        <v>9</v>
      </c>
      <c r="I15" s="63">
        <f t="shared" si="2"/>
        <v>22</v>
      </c>
      <c r="J15" s="63">
        <f t="shared" si="3"/>
        <v>31</v>
      </c>
      <c r="K15" s="63">
        <f t="shared" si="4"/>
        <v>37</v>
      </c>
      <c r="L15" s="63" t="str">
        <f>IFERROR(VLOOKUP(MID(G15,J15,K15-J15),[6]skilldef!$C:$D,2,FALSE),"-") &amp; " / " &amp; IFERROR(VLOOKUP(MID(G15,H15,I15-H15),[6]skilldef!$A:$B,2,FALSE),"-")</f>
        <v>自分自身に / ステータス強化</v>
      </c>
      <c r="M15" s="63" t="str">
        <f t="shared" si="5"/>
        <v>none</v>
      </c>
      <c r="N15" s="48" t="str">
        <f t="shared" si="1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40031114</v>
      </c>
      <c r="B16" s="47" t="s">
        <v>264</v>
      </c>
      <c r="C16" s="50">
        <v>3</v>
      </c>
      <c r="D16" s="50" t="s">
        <v>127</v>
      </c>
      <c r="E16" s="51" t="s">
        <v>293</v>
      </c>
      <c r="F16" s="51" t="s">
        <v>330</v>
      </c>
      <c r="G16" s="63" t="str">
        <f t="shared" si="0"/>
        <v xml:space="preserve">[effect:enhance_enemy, target:myself, turn:-1, status:attack, val:0.3, calc:mul, animation:enemy_enhance_attack]    </v>
      </c>
      <c r="H16" s="63">
        <f t="shared" si="1"/>
        <v>9</v>
      </c>
      <c r="I16" s="63">
        <f t="shared" si="2"/>
        <v>22</v>
      </c>
      <c r="J16" s="63">
        <f t="shared" si="3"/>
        <v>31</v>
      </c>
      <c r="K16" s="63">
        <f t="shared" si="4"/>
        <v>37</v>
      </c>
      <c r="L16" s="63" t="str">
        <f>IFERROR(VLOOKUP(MID(G16,J16,K16-J16),[6]skilldef!$C:$D,2,FALSE),"-") &amp; " / " &amp; IFERROR(VLOOKUP(MID(G16,H16,I16-H16),[6]skilldef!$A:$B,2,FALSE),"-")</f>
        <v>自分自身に / ステータス強化</v>
      </c>
      <c r="M16" s="63" t="str">
        <f t="shared" si="5"/>
        <v>none</v>
      </c>
      <c r="N16" s="48" t="str">
        <f t="shared" si="1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40031116</v>
      </c>
      <c r="B17" s="47" t="s">
        <v>295</v>
      </c>
      <c r="C17" s="50">
        <v>3</v>
      </c>
      <c r="D17" s="50" t="s">
        <v>127</v>
      </c>
      <c r="E17" s="51" t="s">
        <v>267</v>
      </c>
      <c r="F17" s="51" t="s">
        <v>331</v>
      </c>
      <c r="G17" s="63" t="str">
        <f t="shared" si="0"/>
        <v>[effect:fix_speed, target:myself, turn:2]</v>
      </c>
      <c r="H17" s="63">
        <f t="shared" si="1"/>
        <v>9</v>
      </c>
      <c r="I17" s="63">
        <f t="shared" si="2"/>
        <v>18</v>
      </c>
      <c r="J17" s="63">
        <f t="shared" si="3"/>
        <v>27</v>
      </c>
      <c r="K17" s="63">
        <f t="shared" si="4"/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5"/>
        <v>[effect:tolerance, target:myself, turn:-1, tolerance_effect:all, count:-1, animation:enemy_tolerance]</v>
      </c>
      <c r="N17" s="48" t="str">
        <f t="shared" si="16"/>
        <v>[effect:tolerance, target:myself, turn:-1, tolerance_effect:all, count:-1, animation:enemy_tolerance]</v>
      </c>
      <c r="O17" s="63">
        <f t="shared" si="7"/>
        <v>9</v>
      </c>
      <c r="P17" s="63">
        <f t="shared" si="8"/>
        <v>18</v>
      </c>
      <c r="Q17" s="63">
        <f t="shared" si="9"/>
        <v>27</v>
      </c>
      <c r="R17" s="63">
        <f t="shared" si="10"/>
        <v>33</v>
      </c>
      <c r="S17" s="63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40031117</v>
      </c>
      <c r="B18" s="47" t="s">
        <v>284</v>
      </c>
      <c r="C18" s="50">
        <v>3</v>
      </c>
      <c r="D18" s="50" t="s">
        <v>127</v>
      </c>
      <c r="E18" s="51" t="s">
        <v>270</v>
      </c>
      <c r="F18" s="49" t="s">
        <v>332</v>
      </c>
      <c r="G18" s="63" t="str">
        <f t="shared" si="0"/>
        <v>[effect:freq_turn, target:myself, turn:-1, val:1, animation:enemy_freq_turn]</v>
      </c>
      <c r="H18" s="63">
        <f t="shared" si="1"/>
        <v>9</v>
      </c>
      <c r="I18" s="63">
        <f t="shared" si="2"/>
        <v>18</v>
      </c>
      <c r="J18" s="63">
        <f t="shared" si="3"/>
        <v>27</v>
      </c>
      <c r="K18" s="63">
        <f t="shared" si="4"/>
        <v>33</v>
      </c>
      <c r="L18" s="63" t="str">
        <f>IFERROR(VLOOKUP(MID(G18,J18,K18-J18),[6]skilldef!$C:$D,2,FALSE),"-") &amp; " / " &amp; IFERROR(VLOOKUP(MID(G18,H18,I18-H18),[6]skilldef!$A:$B,2,FALSE),"-")</f>
        <v>自分自身に / 攻撃頻度がUP</v>
      </c>
      <c r="M18" s="63" t="str">
        <f t="shared" si="5"/>
        <v xml:space="preserve">[effect:enhance_enemy, target:myself, turn:-1, status:attack, val:0.2, calc:mul, animation:enemy_enhance_attack]    </v>
      </c>
      <c r="N18" s="48" t="str">
        <f t="shared" si="16"/>
        <v xml:space="preserve">[effect:enhance_enemy, target:myself, turn:-1, status:attack, val:0.2, calc:mul, animation:enemy_enhance_attack]    </v>
      </c>
      <c r="O18" s="63">
        <f t="shared" si="7"/>
        <v>9</v>
      </c>
      <c r="P18" s="63">
        <f t="shared" si="8"/>
        <v>22</v>
      </c>
      <c r="Q18" s="63">
        <f t="shared" si="9"/>
        <v>31</v>
      </c>
      <c r="R18" s="63">
        <f t="shared" si="10"/>
        <v>37</v>
      </c>
      <c r="S18" s="63" t="str">
        <f>IFERROR(VLOOKUP(MID(N18,Q18,R18-Q18),[6]skilldef!$C:$D,2,FALSE),"-") &amp; " / " &amp; IFERROR(VLOOKUP(MID(N18,O18,P18-O18),[6]skilldef!$A:$B,2,FALSE),"-")</f>
        <v>自分自身に / ステータス強化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40031118</v>
      </c>
      <c r="B19" s="47" t="s">
        <v>383</v>
      </c>
      <c r="C19" s="50">
        <v>3</v>
      </c>
      <c r="D19" s="50" t="s">
        <v>127</v>
      </c>
      <c r="E19" s="51" t="s">
        <v>268</v>
      </c>
      <c r="F19" s="51" t="s">
        <v>333</v>
      </c>
      <c r="G19" s="63" t="str">
        <f t="shared" si="0"/>
        <v>[effect:fix_speed, target:myself, turn:1]</v>
      </c>
      <c r="H19" s="63">
        <f t="shared" si="1"/>
        <v>9</v>
      </c>
      <c r="I19" s="63">
        <f t="shared" si="2"/>
        <v>18</v>
      </c>
      <c r="J19" s="63">
        <f t="shared" si="3"/>
        <v>27</v>
      </c>
      <c r="K19" s="63">
        <f t="shared" si="4"/>
        <v>33</v>
      </c>
      <c r="L19" s="63" t="str">
        <f>IFERROR(VLOOKUP(MID(G19,J19,K19-J19),[6]skilldef!$C:$D,2,FALSE),"-") &amp; " / " &amp; IFERROR(VLOOKUP(MID(G19,H19,I19-H19),[6]skilldef!$A:$B,2,FALSE),"-")</f>
        <v>自分自身に / 行動値設定</v>
      </c>
      <c r="M19" s="63" t="str">
        <f t="shared" si="5"/>
        <v xml:space="preserve">[effect:virus, turn:8, rate:1, val:0.7, animation:enemy_virus]    </v>
      </c>
      <c r="N19" s="48" t="str">
        <f t="shared" si="16"/>
        <v xml:space="preserve">[effect:virus, turn:8, rate:1, val:0.7, animation:enemy_virus]    </v>
      </c>
      <c r="O19" s="63">
        <f t="shared" si="7"/>
        <v>9</v>
      </c>
      <c r="P19" s="63">
        <f t="shared" si="8"/>
        <v>14</v>
      </c>
      <c r="Q19" s="63" t="e">
        <f t="shared" si="9"/>
        <v>#VALUE!</v>
      </c>
      <c r="R19" s="63">
        <f t="shared" si="10"/>
        <v>22</v>
      </c>
      <c r="S19" s="63" t="str">
        <f>IFERROR(VLOOKUP(MID(N19,Q19,R19-Q19),[6]skilldef!$C:$D,2,FALSE),"-") &amp; " / " &amp; IFERROR(VLOOKUP(MID(N19,O19,P19-O19),[6]skilldef!$A:$B,2,FALSE),"-")</f>
        <v>- / ウィルス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40031119</v>
      </c>
      <c r="B20" s="47" t="s">
        <v>276</v>
      </c>
      <c r="C20" s="50">
        <v>3</v>
      </c>
      <c r="D20" s="50" t="s">
        <v>127</v>
      </c>
      <c r="E20" s="51" t="s">
        <v>286</v>
      </c>
      <c r="F20" s="51" t="s">
        <v>345</v>
      </c>
      <c r="G20" s="63" t="str">
        <f t="shared" ref="G20" si="17">IFERROR(LEFT(B20,FIND("],",B20)),B20)</f>
        <v>[effect:rush, count:5, val:0.23]</v>
      </c>
      <c r="H20" s="63">
        <f t="shared" ref="H20" si="18">FIND("effect:",G20)+7</f>
        <v>9</v>
      </c>
      <c r="I20" s="63">
        <f t="shared" ref="I20" si="19">IFERROR(FIND(",",G20),LEN(G20))</f>
        <v>13</v>
      </c>
      <c r="J20" s="63" t="e">
        <f t="shared" ref="J20" si="20">FIND("target:",G20)+7</f>
        <v>#VALUE!</v>
      </c>
      <c r="K20" s="63">
        <f t="shared" ref="K20" si="21">FIND(",",G20,I20+1)</f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ref="M20" si="22">IFERROR(RIGHT(B20,LEN(B20)-FIND("],",B20)-1),"none")</f>
        <v>none</v>
      </c>
      <c r="N20" s="48" t="str">
        <f>IFERROR(LEFT(M20,FIND("],",M20)+S29),M20)</f>
        <v>none</v>
      </c>
      <c r="O20" s="63" t="e">
        <f t="shared" ref="O20" si="23">FIND("effect:",N20)+7</f>
        <v>#VALUE!</v>
      </c>
      <c r="P20" s="63">
        <f t="shared" ref="P20" si="24">IFERROR(FIND(",",N20),LEN(N20))</f>
        <v>4</v>
      </c>
      <c r="Q20" s="63" t="e">
        <f t="shared" ref="Q20" si="25">FIND("target:",N20)+7</f>
        <v>#VALUE!</v>
      </c>
      <c r="R20" s="63" t="e">
        <f t="shared" ref="R20" si="26">FIND(",",N20,P20+1)</f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ref="T20" si="27">IFERROR(RIGHT(M20,LEN(M20)-FIND("],",M20)-1),"none")</f>
        <v>none</v>
      </c>
      <c r="U20" s="63" t="e">
        <f t="shared" ref="U20" si="28">FIND("effect:",T20)+7</f>
        <v>#VALUE!</v>
      </c>
      <c r="V20" s="63">
        <f t="shared" ref="V20" si="29">IFERROR(FIND(",",T20),LEN(T20))</f>
        <v>4</v>
      </c>
      <c r="W20" s="63" t="e">
        <f t="shared" ref="W20" si="30">FIND("target:",T20)+7</f>
        <v>#VALUE!</v>
      </c>
      <c r="X20" s="63" t="e">
        <f t="shared" ref="X20" si="31">FIND(",",T20,V20+1)</f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40031120</v>
      </c>
      <c r="B21" s="47" t="s">
        <v>314</v>
      </c>
      <c r="C21" s="50">
        <v>3</v>
      </c>
      <c r="D21" s="50" t="s">
        <v>127</v>
      </c>
      <c r="E21" s="51" t="s">
        <v>271</v>
      </c>
      <c r="F21" s="51" t="s">
        <v>334</v>
      </c>
      <c r="G21" s="63" t="str">
        <f t="shared" si="0"/>
        <v>[effect:dis_panel, target:block_blue, turn:2, animation:enemy_dis_blue]</v>
      </c>
      <c r="H21" s="63">
        <f t="shared" si="1"/>
        <v>9</v>
      </c>
      <c r="I21" s="63">
        <f t="shared" si="2"/>
        <v>18</v>
      </c>
      <c r="J21" s="63">
        <f t="shared" si="3"/>
        <v>27</v>
      </c>
      <c r="K21" s="63">
        <f t="shared" si="4"/>
        <v>37</v>
      </c>
      <c r="L21" s="63" t="str">
        <f>IFERROR(VLOOKUP(MID(G21,J21,K21-J21),[6]skilldef!$C:$D,2,FALSE),"-") &amp; " / " &amp; IFERROR(VLOOKUP(MID(G21,H21,I21-H21),[6]skilldef!$A:$B,2,FALSE),"-")</f>
        <v>青パネルを / ディスパネル</v>
      </c>
      <c r="M21" s="63" t="str">
        <f t="shared" si="5"/>
        <v>[effect:force_change_block, new_block:block_blue, target:block_all, count:0, val:0, no_effect_msg:no_effect_msg_change_block_jammer, animation:change_block]</v>
      </c>
      <c r="N21" s="48" t="str">
        <f>IFERROR(LEFT(M21,FIND("],",M21)+S31),M21)</f>
        <v>[effect:force_change_block, new_block:block_blue, target:block_all, count:0, val:0, no_effect_msg:no_effect_msg_change_block_jammer, animation:change_block]</v>
      </c>
      <c r="O21" s="63">
        <f t="shared" si="7"/>
        <v>9</v>
      </c>
      <c r="P21" s="63">
        <f t="shared" si="8"/>
        <v>27</v>
      </c>
      <c r="Q21" s="63">
        <f t="shared" si="9"/>
        <v>58</v>
      </c>
      <c r="R21" s="63">
        <f t="shared" si="10"/>
        <v>49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40031121</v>
      </c>
      <c r="B22" s="47" t="s">
        <v>315</v>
      </c>
      <c r="C22" s="50">
        <v>3</v>
      </c>
      <c r="D22" s="50" t="s">
        <v>127</v>
      </c>
      <c r="E22" s="51" t="s">
        <v>269</v>
      </c>
      <c r="F22" s="51" t="s">
        <v>344</v>
      </c>
      <c r="G22" s="63" t="str">
        <f t="shared" si="0"/>
        <v>[effect:critical, val:2.4]</v>
      </c>
      <c r="H22" s="63">
        <f t="shared" si="1"/>
        <v>9</v>
      </c>
      <c r="I22" s="63">
        <f t="shared" si="2"/>
        <v>17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IFERROR(VLOOKUP(MID(G22,J22,K22-J22),[6]skilldef!$C:$D,2,FALSE),"-") &amp; " / " &amp; IFERROR(VLOOKUP(MID(G22,H22,I22-H22),[6]skilldef!$A:$B,2,FALSE),"-")</f>
        <v>- / 大攻撃</v>
      </c>
      <c r="M22" s="63" t="str">
        <f t="shared" si="5"/>
        <v>none</v>
      </c>
      <c r="N22" s="48" t="str">
        <f>IFERROR(LEFT(M22,FIND("],",M22)+S32),M22)</f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40031123</v>
      </c>
      <c r="B23" s="47" t="s">
        <v>294</v>
      </c>
      <c r="C23" s="50">
        <v>3</v>
      </c>
      <c r="D23" s="50" t="s">
        <v>127</v>
      </c>
      <c r="E23" s="51" t="s">
        <v>348</v>
      </c>
      <c r="F23" s="51" t="s">
        <v>405</v>
      </c>
      <c r="G23" s="63" t="str">
        <f t="shared" si="0"/>
        <v>[effect:fix_speed, target:myself, turn:2]</v>
      </c>
      <c r="H23" s="63">
        <f t="shared" si="1"/>
        <v>9</v>
      </c>
      <c r="I23" s="63">
        <f t="shared" si="2"/>
        <v>18</v>
      </c>
      <c r="J23" s="63">
        <f t="shared" si="3"/>
        <v>27</v>
      </c>
      <c r="K23" s="63">
        <f t="shared" si="4"/>
        <v>33</v>
      </c>
      <c r="L23" s="63" t="str">
        <f>IFERROR(VLOOKUP(MID(G23,J23,K23-J23),[6]skilldef!$C:$D,2,FALSE),"-") &amp; " / " &amp; IFERROR(VLOOKUP(MID(G23,H23,I23-H23),[6]skilldef!$A:$B,2,FALSE),"-")</f>
        <v>自分自身に / 行動値設定</v>
      </c>
      <c r="M23" s="63" t="str">
        <f t="shared" si="5"/>
        <v>[effect:enemy_counter, target:myself, invoke_condition:unit_all, counter_target:attacker, turn:-1, val:0.05, animation:enemy_counter],[effect:tolerance, target:myself, turn:-1, tolerance_effect:all, count:-1, animation:enemy_tolerance]</v>
      </c>
      <c r="N23" s="48" t="str">
        <f t="shared" si="6"/>
        <v>[effect:enemy_counter, target:myself, invoke_condition:unit_all, counter_target:attacker, turn:-1, val:0.05, animation:enemy_counter],[effect:tolerance, target:myself, turn:-1, tolerance_effect:all, count:-1, animation:enemy_tolerance]</v>
      </c>
      <c r="O23" s="63">
        <f t="shared" si="7"/>
        <v>9</v>
      </c>
      <c r="P23" s="63">
        <f t="shared" si="8"/>
        <v>22</v>
      </c>
      <c r="Q23" s="63">
        <f t="shared" si="9"/>
        <v>31</v>
      </c>
      <c r="R23" s="63">
        <f t="shared" si="10"/>
        <v>37</v>
      </c>
      <c r="S23" s="63" t="str">
        <f>IFERROR(VLOOKUP(MID(N23,Q23,R23-Q23),[6]skilldef!$C:$D,2,FALSE),"-") &amp; " / " &amp; IFERROR(VLOOKUP(MID(N23,O23,P23-O23),[6]skilldef!$A:$B,2,FALSE),"-")</f>
        <v>自分自身に / カウンター</v>
      </c>
      <c r="T23" s="48" t="str">
        <f t="shared" si="11"/>
        <v>[effect:tolerance, target:myself, turn:-1, tolerance_effect:all, count:-1, animation:enemy_tolerance]</v>
      </c>
      <c r="U23" s="63">
        <f t="shared" si="12"/>
        <v>9</v>
      </c>
      <c r="V23" s="63">
        <f t="shared" si="13"/>
        <v>18</v>
      </c>
      <c r="W23" s="63">
        <f t="shared" si="14"/>
        <v>27</v>
      </c>
      <c r="X23" s="63">
        <f t="shared" si="15"/>
        <v>33</v>
      </c>
      <c r="Y23" s="63" t="str">
        <f>IFERROR(VLOOKUP(MID(T23,W23,X23-W23),[6]skilldef!$C:$D,2,FALSE),"-") &amp; " / " &amp; IFERROR(VLOOKUP(MID(T23,U23,V23-U23),[6]skilldef!$A:$B,2,FALSE),"-")</f>
        <v>自分自身に / 状態異常耐性</v>
      </c>
      <c r="Z23" s="50"/>
      <c r="AA23" s="52"/>
      <c r="AB23" s="50"/>
    </row>
    <row r="24" spans="1:28" ht="21" customHeight="1" x14ac:dyDescent="0.15">
      <c r="A24" s="47">
        <v>40031124</v>
      </c>
      <c r="B24" s="47" t="s">
        <v>384</v>
      </c>
      <c r="C24" s="50">
        <v>3</v>
      </c>
      <c r="D24" s="50" t="s">
        <v>127</v>
      </c>
      <c r="E24" s="51" t="s">
        <v>370</v>
      </c>
      <c r="F24" s="51" t="s">
        <v>389</v>
      </c>
      <c r="G24" s="63" t="str">
        <f t="shared" si="0"/>
        <v>[effect:spread, val:0.26]</v>
      </c>
      <c r="H24" s="63">
        <f t="shared" si="1"/>
        <v>9</v>
      </c>
      <c r="I24" s="63">
        <f t="shared" si="2"/>
        <v>15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全体攻撃</v>
      </c>
      <c r="M24" s="63" t="str">
        <f t="shared" si="5"/>
        <v>[effect:virus, turn:-1, rate:1, val:0.6, animation:enemy_virus]</v>
      </c>
      <c r="N24" s="48" t="str">
        <f t="shared" si="6"/>
        <v>[effect:virus, turn:-1, rate:1, val:0.6, animation:enemy_virus]</v>
      </c>
      <c r="O24" s="63">
        <f t="shared" si="7"/>
        <v>9</v>
      </c>
      <c r="P24" s="63">
        <f t="shared" si="8"/>
        <v>14</v>
      </c>
      <c r="Q24" s="63" t="e">
        <f t="shared" si="9"/>
        <v>#VALUE!</v>
      </c>
      <c r="R24" s="63">
        <f t="shared" si="10"/>
        <v>23</v>
      </c>
      <c r="S24" s="63" t="str">
        <f>IFERROR(VLOOKUP(MID(N24,Q24,R24-Q24),[6]skilldef!$C:$D,2,FALSE),"-") &amp; " / " &amp; IFERROR(VLOOKUP(MID(N24,O24,P24-O24),[6]skilldef!$A:$B,2,FALSE),"-")</f>
        <v>- / ウィルス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40031125</v>
      </c>
      <c r="B25" s="47" t="s">
        <v>385</v>
      </c>
      <c r="C25" s="50">
        <v>3</v>
      </c>
      <c r="D25" s="50" t="s">
        <v>127</v>
      </c>
      <c r="E25" s="51" t="s">
        <v>350</v>
      </c>
      <c r="F25" s="51" t="s">
        <v>389</v>
      </c>
      <c r="G25" s="63" t="str">
        <f t="shared" si="0"/>
        <v>[effect:spread, val:0.26]</v>
      </c>
      <c r="H25" s="63">
        <f t="shared" si="1"/>
        <v>9</v>
      </c>
      <c r="I25" s="63">
        <f t="shared" si="2"/>
        <v>15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全体攻撃</v>
      </c>
      <c r="M25" s="63" t="str">
        <f t="shared" si="5"/>
        <v>[effect:virus, turn:-1, rate:1, val:0.7, animation:enemy_virus]</v>
      </c>
      <c r="N25" s="48" t="str">
        <f t="shared" si="6"/>
        <v>[effect:virus, turn:-1, rate:1, val:0.7, animation:enemy_virus]</v>
      </c>
      <c r="O25" s="63">
        <f t="shared" si="7"/>
        <v>9</v>
      </c>
      <c r="P25" s="63">
        <f t="shared" si="8"/>
        <v>14</v>
      </c>
      <c r="Q25" s="63" t="e">
        <f t="shared" si="9"/>
        <v>#VALUE!</v>
      </c>
      <c r="R25" s="63">
        <f t="shared" si="10"/>
        <v>23</v>
      </c>
      <c r="S25" s="63" t="str">
        <f>IFERROR(VLOOKUP(MID(N25,Q25,R25-Q25),[6]skilldef!$C:$D,2,FALSE),"-") &amp; " / " &amp; IFERROR(VLOOKUP(MID(N25,O25,P25-O25),[6]skilldef!$A:$B,2,FALSE),"-")</f>
        <v>- / ウィルス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40031126</v>
      </c>
      <c r="B26" s="47" t="s">
        <v>386</v>
      </c>
      <c r="C26" s="50">
        <v>3</v>
      </c>
      <c r="D26" s="50" t="s">
        <v>127</v>
      </c>
      <c r="E26" s="51" t="s">
        <v>351</v>
      </c>
      <c r="F26" s="51" t="s">
        <v>389</v>
      </c>
      <c r="G26" s="63" t="str">
        <f t="shared" si="0"/>
        <v>[effect:spread, val:0.26]</v>
      </c>
      <c r="H26" s="63">
        <f t="shared" si="1"/>
        <v>9</v>
      </c>
      <c r="I26" s="63">
        <f t="shared" si="2"/>
        <v>15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5"/>
        <v>[effect:virus, turn:-1, rate:1, val:0.75, animation:enemy_virus]</v>
      </c>
      <c r="N26" s="48" t="str">
        <f t="shared" si="6"/>
        <v>[effect:virus, turn:-1, rate:1, val:0.75, animation:enemy_virus]</v>
      </c>
      <c r="O26" s="63">
        <f t="shared" si="7"/>
        <v>9</v>
      </c>
      <c r="P26" s="63">
        <f t="shared" si="8"/>
        <v>14</v>
      </c>
      <c r="Q26" s="63" t="e">
        <f t="shared" si="9"/>
        <v>#VALUE!</v>
      </c>
      <c r="R26" s="63">
        <f t="shared" si="10"/>
        <v>23</v>
      </c>
      <c r="S26" s="63" t="str">
        <f>IFERROR(VLOOKUP(MID(N26,Q26,R26-Q26),[6]skilldef!$C:$D,2,FALSE),"-") &amp; " / " &amp; IFERROR(VLOOKUP(MID(N26,O26,P26-O26),[6]skilldef!$A:$B,2,FALSE),"-")</f>
        <v>- / ウィルス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40031127</v>
      </c>
      <c r="B27" s="47" t="s">
        <v>277</v>
      </c>
      <c r="C27" s="50">
        <v>3</v>
      </c>
      <c r="D27" s="50" t="s">
        <v>127</v>
      </c>
      <c r="E27" s="51" t="s">
        <v>358</v>
      </c>
      <c r="F27" s="51" t="s">
        <v>343</v>
      </c>
      <c r="G27" s="63" t="str">
        <f t="shared" si="0"/>
        <v>[effect:critical, val:2]</v>
      </c>
      <c r="H27" s="63">
        <f t="shared" si="1"/>
        <v>9</v>
      </c>
      <c r="I27" s="63">
        <f t="shared" si="2"/>
        <v>17</v>
      </c>
      <c r="J27" s="63" t="e">
        <f t="shared" si="3"/>
        <v>#VALUE!</v>
      </c>
      <c r="K27" s="63" t="e">
        <f t="shared" si="4"/>
        <v>#VALUE!</v>
      </c>
      <c r="L27" s="63" t="str">
        <f>IFERROR(VLOOKUP(MID(G27,J27,K27-J27),[6]skilldef!$C:$D,2,FALSE),"-") &amp; " / " &amp; IFERROR(VLOOKUP(MID(G27,H27,I27-H27),[6]skilldef!$A:$B,2,FALSE),"-")</f>
        <v>- / 大攻撃</v>
      </c>
      <c r="M27" s="63" t="str">
        <f t="shared" si="5"/>
        <v>[effect:freq_turn, target:myself, turn:-1, val:1, animation:enemy_freq_turn]</v>
      </c>
      <c r="N27" s="48" t="str">
        <f t="shared" si="6"/>
        <v>[effect:freq_turn, target:myself, turn:-1, val:1, animation:enemy_freq_turn]</v>
      </c>
      <c r="O27" s="63">
        <f t="shared" si="7"/>
        <v>9</v>
      </c>
      <c r="P27" s="63">
        <f t="shared" si="8"/>
        <v>18</v>
      </c>
      <c r="Q27" s="63">
        <f t="shared" si="9"/>
        <v>27</v>
      </c>
      <c r="R27" s="63">
        <f t="shared" si="10"/>
        <v>33</v>
      </c>
      <c r="S27" s="63" t="str">
        <f>IFERROR(VLOOKUP(MID(N27,Q27,R27-Q27),[6]skilldef!$C:$D,2,FALSE),"-") &amp; " / " &amp; IFERROR(VLOOKUP(MID(N27,O27,P27-O27),[6]skilldef!$A:$B,2,FALSE),"-")</f>
        <v>自分自身に / 攻撃頻度がUP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40031128</v>
      </c>
      <c r="B28" s="47" t="s">
        <v>308</v>
      </c>
      <c r="C28" s="50">
        <v>3</v>
      </c>
      <c r="D28" s="50" t="s">
        <v>127</v>
      </c>
      <c r="E28" s="51" t="s">
        <v>352</v>
      </c>
      <c r="F28" s="51" t="s">
        <v>421</v>
      </c>
      <c r="G28" s="63" t="str">
        <f t="shared" si="0"/>
        <v xml:space="preserve">[effect:damage_anti_tribe, target:unit_one, tribe:animal, val1:1.2, val2:1] </v>
      </c>
      <c r="H28" s="63">
        <f t="shared" si="1"/>
        <v>9</v>
      </c>
      <c r="I28" s="63">
        <f t="shared" si="2"/>
        <v>26</v>
      </c>
      <c r="J28" s="63">
        <f t="shared" si="3"/>
        <v>35</v>
      </c>
      <c r="K28" s="63">
        <f t="shared" si="4"/>
        <v>43</v>
      </c>
      <c r="L28" s="63" t="str">
        <f>IFERROR(VLOOKUP(MID(G28,J28,K28-J28),[6]skilldef!$C:$D,2,FALSE),"-") &amp; " / " &amp; IFERROR(VLOOKUP(MID(G28,H28,I28-H28),[6]skilldef!$A:$B,2,FALSE),"-")</f>
        <v>味方単体に / 種族キラー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40031129</v>
      </c>
      <c r="B29" s="47" t="s">
        <v>299</v>
      </c>
      <c r="C29" s="50">
        <v>3</v>
      </c>
      <c r="D29" s="50" t="s">
        <v>127</v>
      </c>
      <c r="E29" s="51" t="s">
        <v>359</v>
      </c>
      <c r="F29" s="51" t="s">
        <v>408</v>
      </c>
      <c r="G29" s="63" t="str">
        <f t="shared" si="0"/>
        <v>[effect:degrade_unit, target:unit_all, turn:5, status:attack, val:0.5, calc:mul]</v>
      </c>
      <c r="H29" s="63">
        <f t="shared" si="1"/>
        <v>9</v>
      </c>
      <c r="I29" s="63">
        <f t="shared" si="2"/>
        <v>21</v>
      </c>
      <c r="J29" s="63">
        <f t="shared" si="3"/>
        <v>30</v>
      </c>
      <c r="K29" s="63">
        <f t="shared" si="4"/>
        <v>38</v>
      </c>
      <c r="L29" s="63" t="str">
        <f>IFERROR(VLOOKUP(MID(G29,J29,K29-J29),[6]skilldef!$C:$D,2,FALSE),"-") &amp; " / " &amp; IFERROR(VLOOKUP(MID(G29,H29,I29-H29),[6]skilldef!$A:$B,2,FALSE),"-")</f>
        <v>味方全体に / ステータスDOWN</v>
      </c>
      <c r="M29" s="63" t="str">
        <f t="shared" si="5"/>
        <v>[effect:tolerance, target:myself, turn:-1, tolerance_effect:all, count:-1, animation:enemy_tolerance]</v>
      </c>
      <c r="N29" s="48" t="str">
        <f t="shared" si="6"/>
        <v>[effect:tolerance, target:myself, turn:-1, tolerance_effect:all, count:-1, animation:enemy_tolerance]</v>
      </c>
      <c r="O29" s="63">
        <f t="shared" si="7"/>
        <v>9</v>
      </c>
      <c r="P29" s="63">
        <f t="shared" si="8"/>
        <v>18</v>
      </c>
      <c r="Q29" s="63">
        <f t="shared" si="9"/>
        <v>27</v>
      </c>
      <c r="R29" s="63">
        <f t="shared" si="10"/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40031130</v>
      </c>
      <c r="B30" s="47" t="s">
        <v>393</v>
      </c>
      <c r="C30" s="50">
        <v>3</v>
      </c>
      <c r="D30" s="50" t="s">
        <v>127</v>
      </c>
      <c r="E30" s="51" t="s">
        <v>349</v>
      </c>
      <c r="F30" s="51" t="s">
        <v>389</v>
      </c>
      <c r="G30" s="63" t="str">
        <f t="shared" si="0"/>
        <v>[effect:spread, val:0.26]</v>
      </c>
      <c r="H30" s="63">
        <f t="shared" si="1"/>
        <v>9</v>
      </c>
      <c r="I30" s="63">
        <f t="shared" si="2"/>
        <v>15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全体攻撃</v>
      </c>
      <c r="M30" s="63" t="str">
        <f t="shared" si="5"/>
        <v>[effect:virus, turn:-1, rate:1, val:0.6, animation:enemy_virus]</v>
      </c>
      <c r="N30" s="48" t="str">
        <f t="shared" si="6"/>
        <v>[effect:virus, turn:-1, rate:1, val:0.6, animation:enemy_virus]</v>
      </c>
      <c r="O30" s="63">
        <f t="shared" si="7"/>
        <v>9</v>
      </c>
      <c r="P30" s="63">
        <f t="shared" si="8"/>
        <v>14</v>
      </c>
      <c r="Q30" s="63" t="e">
        <f t="shared" si="9"/>
        <v>#VALUE!</v>
      </c>
      <c r="R30" s="63">
        <f t="shared" si="10"/>
        <v>23</v>
      </c>
      <c r="S30" s="63" t="str">
        <f>IFERROR(VLOOKUP(MID(N30,Q30,R30-Q30),[6]skilldef!$C:$D,2,FALSE),"-") &amp; " / " &amp; IFERROR(VLOOKUP(MID(N30,O30,P30-O30),[6]skilldef!$A:$B,2,FALSE),"-")</f>
        <v>- / ウィルス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40031131</v>
      </c>
      <c r="B31" s="47" t="s">
        <v>387</v>
      </c>
      <c r="C31" s="50">
        <v>3</v>
      </c>
      <c r="D31" s="50" t="s">
        <v>127</v>
      </c>
      <c r="E31" s="51" t="s">
        <v>353</v>
      </c>
      <c r="F31" s="51" t="s">
        <v>389</v>
      </c>
      <c r="G31" s="63" t="str">
        <f t="shared" si="0"/>
        <v>[effect:spread, val:0.26]</v>
      </c>
      <c r="H31" s="63">
        <f t="shared" si="1"/>
        <v>9</v>
      </c>
      <c r="I31" s="63">
        <f t="shared" si="2"/>
        <v>15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全体攻撃</v>
      </c>
      <c r="M31" s="63" t="str">
        <f t="shared" si="5"/>
        <v>[effect:virus, turn:-1, rate:1, val:0.7, animation:enemy_virus]</v>
      </c>
      <c r="N31" s="48" t="str">
        <f t="shared" si="6"/>
        <v>[effect:virus, turn:-1, rate:1, val:0.7, animation:enemy_virus]</v>
      </c>
      <c r="O31" s="63">
        <f t="shared" si="7"/>
        <v>9</v>
      </c>
      <c r="P31" s="63">
        <f t="shared" si="8"/>
        <v>14</v>
      </c>
      <c r="Q31" s="63" t="e">
        <f t="shared" si="9"/>
        <v>#VALUE!</v>
      </c>
      <c r="R31" s="63">
        <f t="shared" si="10"/>
        <v>23</v>
      </c>
      <c r="S31" s="63" t="str">
        <f>IFERROR(VLOOKUP(MID(N31,Q31,R31-Q31),[6]skilldef!$C:$D,2,FALSE),"-") &amp; " / " &amp; IFERROR(VLOOKUP(MID(N31,O31,P31-O31),[6]skilldef!$A:$B,2,FALSE),"-")</f>
        <v>- / ウィルス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40031132</v>
      </c>
      <c r="B32" s="47" t="s">
        <v>388</v>
      </c>
      <c r="C32" s="50">
        <v>3</v>
      </c>
      <c r="D32" s="50" t="s">
        <v>127</v>
      </c>
      <c r="E32" s="51" t="s">
        <v>354</v>
      </c>
      <c r="F32" s="51" t="s">
        <v>389</v>
      </c>
      <c r="G32" s="63" t="str">
        <f t="shared" si="0"/>
        <v>[effect:spread, val:0.26]</v>
      </c>
      <c r="H32" s="63">
        <f t="shared" si="1"/>
        <v>9</v>
      </c>
      <c r="I32" s="63">
        <f t="shared" si="2"/>
        <v>15</v>
      </c>
      <c r="J32" s="63" t="e">
        <f t="shared" si="3"/>
        <v>#VALUE!</v>
      </c>
      <c r="K32" s="63" t="e">
        <f t="shared" si="4"/>
        <v>#VALUE!</v>
      </c>
      <c r="L32" s="63" t="str">
        <f>IFERROR(VLOOKUP(MID(G32,J32,K32-J32),[6]skilldef!$C:$D,2,FALSE),"-") &amp; " / " &amp; IFERROR(VLOOKUP(MID(G32,H32,I32-H32),[6]skilldef!$A:$B,2,FALSE),"-")</f>
        <v>- / 全体攻撃</v>
      </c>
      <c r="M32" s="63" t="str">
        <f t="shared" si="5"/>
        <v>[effect:virus, turn:-1, rate:1, val:0.75, animation:enemy_virus]</v>
      </c>
      <c r="N32" s="48" t="str">
        <f t="shared" si="6"/>
        <v>[effect:virus, turn:-1, rate:1, val:0.75, animation:enemy_virus]</v>
      </c>
      <c r="O32" s="63">
        <f t="shared" si="7"/>
        <v>9</v>
      </c>
      <c r="P32" s="63">
        <f t="shared" si="8"/>
        <v>14</v>
      </c>
      <c r="Q32" s="63" t="e">
        <f t="shared" si="9"/>
        <v>#VALUE!</v>
      </c>
      <c r="R32" s="63">
        <f t="shared" si="10"/>
        <v>23</v>
      </c>
      <c r="S32" s="63" t="str">
        <f>IFERROR(VLOOKUP(MID(N32,Q32,R32-Q32),[6]skilldef!$C:$D,2,FALSE),"-") &amp; " / " &amp; IFERROR(VLOOKUP(MID(N32,O32,P32-O32),[6]skilldef!$A:$B,2,FALSE),"-")</f>
        <v>- / ウィルス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40031133</v>
      </c>
      <c r="B33" s="47" t="s">
        <v>310</v>
      </c>
      <c r="C33" s="50">
        <v>3</v>
      </c>
      <c r="D33" s="50" t="s">
        <v>127</v>
      </c>
      <c r="E33" s="51" t="s">
        <v>355</v>
      </c>
      <c r="F33" s="51" t="s">
        <v>407</v>
      </c>
      <c r="G33" s="63" t="str">
        <f t="shared" si="0"/>
        <v>[effect:damage_anti_color, target:unit_all, color:blue, val1:0.4, val2:0.25]</v>
      </c>
      <c r="H33" s="63">
        <f t="shared" si="1"/>
        <v>9</v>
      </c>
      <c r="I33" s="63">
        <f t="shared" si="2"/>
        <v>26</v>
      </c>
      <c r="J33" s="63">
        <f t="shared" si="3"/>
        <v>35</v>
      </c>
      <c r="K33" s="63">
        <f t="shared" si="4"/>
        <v>43</v>
      </c>
      <c r="L33" s="63" t="str">
        <f>IFERROR(VLOOKUP(MID(G33,J33,K33-J33),[6]skilldef!$C:$D,2,FALSE),"-") &amp; " / " &amp; IFERROR(VLOOKUP(MID(G33,H33,I33-H33),[6]skilldef!$A:$B,2,FALSE),"-")</f>
        <v>味方全体に / 属性キラー</v>
      </c>
      <c r="M33" s="63" t="str">
        <f t="shared" si="5"/>
        <v>none</v>
      </c>
      <c r="N33" s="48" t="str">
        <f>IFERROR(LEFT(M33,FIND("],",M33)+#REF!),M33)</f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40031134</v>
      </c>
      <c r="B34" s="47" t="s">
        <v>285</v>
      </c>
      <c r="C34" s="50">
        <v>3</v>
      </c>
      <c r="D34" s="50" t="s">
        <v>127</v>
      </c>
      <c r="E34" s="51" t="s">
        <v>356</v>
      </c>
      <c r="F34" s="51" t="s">
        <v>335</v>
      </c>
      <c r="G34" s="63" t="str">
        <f t="shared" si="0"/>
        <v>[effect:break_heal_ratio, target:myself, val:0.05, lowest_val:5000, count:-1, block_color:block_heart, block01:block_heart, animation:enemy_heal]</v>
      </c>
      <c r="H34" s="63">
        <f t="shared" si="1"/>
        <v>9</v>
      </c>
      <c r="I34" s="63">
        <f t="shared" si="2"/>
        <v>25</v>
      </c>
      <c r="J34" s="63">
        <f t="shared" si="3"/>
        <v>34</v>
      </c>
      <c r="K34" s="63">
        <f t="shared" si="4"/>
        <v>40</v>
      </c>
      <c r="L34" s="63" t="str">
        <f>IFERROR(VLOOKUP(MID(G34,J34,K34-J34),[6]skilldef!$C:$D,2,FALSE),"-") &amp; " / " &amp; IFERROR(VLOOKUP(MID(G34,H34,I34-H34),[6]skilldef!$A:$B,2,FALSE),"-")</f>
        <v>自分自身に / -</v>
      </c>
      <c r="M34" s="63" t="str">
        <f t="shared" si="5"/>
        <v>none</v>
      </c>
      <c r="N34" s="48" t="str">
        <f t="shared" ref="N34:N35" si="32">IFERROR(LEFT(M34,FIND("],",M34)+S43),M34)</f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40031135</v>
      </c>
      <c r="B35" s="47" t="s">
        <v>316</v>
      </c>
      <c r="C35" s="50">
        <v>3</v>
      </c>
      <c r="D35" s="50" t="s">
        <v>127</v>
      </c>
      <c r="E35" s="51" t="s">
        <v>322</v>
      </c>
      <c r="F35" s="51" t="s">
        <v>342</v>
      </c>
      <c r="G35" s="63" t="str">
        <f t="shared" si="0"/>
        <v>[effect:critical, val:2]</v>
      </c>
      <c r="H35" s="63">
        <f t="shared" si="1"/>
        <v>9</v>
      </c>
      <c r="I35" s="63">
        <f t="shared" si="2"/>
        <v>17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大攻撃</v>
      </c>
      <c r="M35" s="63" t="str">
        <f t="shared" si="5"/>
        <v>none</v>
      </c>
      <c r="N35" s="48" t="str">
        <f t="shared" si="32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40031136</v>
      </c>
      <c r="B36" s="47" t="s">
        <v>417</v>
      </c>
      <c r="C36" s="50">
        <v>3</v>
      </c>
      <c r="D36" s="50" t="s">
        <v>127</v>
      </c>
      <c r="E36" s="51" t="s">
        <v>360</v>
      </c>
      <c r="F36" s="51" t="s">
        <v>336</v>
      </c>
      <c r="G36" s="63" t="str">
        <f t="shared" si="0"/>
        <v>[effect:enemy_message, val1:1.5]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 t="e">
        <f t="shared" si="4"/>
        <v>#VALUE!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[effect:degrade_fever, val:1000, animation:fevergauge_down],[effect:tolerance, target:myself, turn:-1, tolerance_effect:all, count:-1, animation:enemy_tolerance]</v>
      </c>
      <c r="N36" s="48" t="str">
        <f>IFERROR(LEFT(M36,FIND("],",M36)+#REF!),M36)</f>
        <v>[effect:degrade_fever, val:1000, animation:fevergauge_down],[effect:tolerance, target:myself, turn:-1, tolerance_effect:all, count:-1, animation:enemy_tolerance]</v>
      </c>
      <c r="O36" s="63">
        <f t="shared" si="7"/>
        <v>9</v>
      </c>
      <c r="P36" s="63">
        <f t="shared" si="8"/>
        <v>22</v>
      </c>
      <c r="Q36" s="63">
        <f t="shared" si="9"/>
        <v>87</v>
      </c>
      <c r="R36" s="63">
        <f t="shared" si="10"/>
        <v>32</v>
      </c>
      <c r="S36" s="63" t="str">
        <f>IFERROR(VLOOKUP(MID(N36,Q36,R36-Q36),[6]skilldef!$C:$D,2,FALSE),"-") &amp; " / " &amp; IFERROR(VLOOKUP(MID(N36,O36,P36-O36),[6]skilldef!$A:$B,2,FALSE),"-")</f>
        <v>- / フィーバーゲージ減少</v>
      </c>
      <c r="T36" s="48" t="str">
        <f t="shared" si="11"/>
        <v>[effect:tolerance, target:myself, turn:-1, tolerance_effect:all, count:-1, animation:enemy_tolerance]</v>
      </c>
      <c r="U36" s="63">
        <f t="shared" si="12"/>
        <v>9</v>
      </c>
      <c r="V36" s="63">
        <f t="shared" si="13"/>
        <v>18</v>
      </c>
      <c r="W36" s="63">
        <f t="shared" si="14"/>
        <v>27</v>
      </c>
      <c r="X36" s="63">
        <f t="shared" si="15"/>
        <v>33</v>
      </c>
      <c r="Y36" s="63" t="str">
        <f>IFERROR(VLOOKUP(MID(T36,W36,X36-W36),[6]skilldef!$C:$D,2,FALSE),"-") &amp; " / " &amp; IFERROR(VLOOKUP(MID(T36,U36,V36-U36),[6]skilldef!$A:$B,2,FALSE),"-")</f>
        <v>自分自身に / 状態異常耐性</v>
      </c>
      <c r="Z36" s="50"/>
      <c r="AA36" s="52"/>
      <c r="AB36" s="50"/>
    </row>
    <row r="37" spans="1:28" ht="21" customHeight="1" x14ac:dyDescent="0.15">
      <c r="A37" s="47">
        <v>40031137</v>
      </c>
      <c r="B37" s="47" t="s">
        <v>425</v>
      </c>
      <c r="C37" s="50">
        <v>3</v>
      </c>
      <c r="D37" s="50" t="s">
        <v>127</v>
      </c>
      <c r="E37" s="51" t="s">
        <v>361</v>
      </c>
      <c r="F37" s="160" t="s">
        <v>337</v>
      </c>
      <c r="G37" s="63" t="str">
        <f t="shared" si="0"/>
        <v>[effect:force_change_block, new_block:time_bomb, target:block_all, ignore01:block_positive, ignore02:block_negative, color:block_red, count:3, val:0.1, animation:change_block]</v>
      </c>
      <c r="H37" s="63">
        <f t="shared" si="1"/>
        <v>9</v>
      </c>
      <c r="I37" s="63">
        <f t="shared" si="2"/>
        <v>27</v>
      </c>
      <c r="J37" s="63">
        <f t="shared" si="3"/>
        <v>57</v>
      </c>
      <c r="K37" s="63">
        <f t="shared" si="4"/>
        <v>48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>[effect:force_change_block, new_block:time_bomb, target:block_all, ignore01:block_positive, ignore02:block_negative, color:block_blue, count:3, val:0.1, animation:change_block],[effect:force_change_block, new_block:time_bomb, target:block_all, ignore01:block_positive, ignore02:block_negative, color:block_yellow, count:3, val:0.1, animation:change_block],[effect:force_change_block, new_block:time_bomb, target:block_all, ignore01:block_positive, ignore02:block_negative, color:block_green, count:3, val:0.1, animation:change_block],[effect:force_change_block, new_block:time_bomb, target:block_all, ignore01:block_positive, ignore02:block_negative, color:block_heart, count:3, val:0.1, animation:change_block]</v>
      </c>
      <c r="N37" s="48" t="str">
        <f>IFERROR(LEFT(M37,FIND("],",M37)+S45),M37)</f>
        <v>[effect:force_change_block, new_block:time_bomb, target:block_all, ignore01:block_positive, ignore02:block_negative, color:block_blue, count:3, val:0.1, animation:change_block],[effect:force_change_block, new_block:time_bomb, target:block_all, ignore01:block_positive, ignore02:block_negative, color:block_yellow, count:3, val:0.1, animation:change_block],[effect:force_change_block, new_block:time_bomb, target:block_all, ignore01:block_positive, ignore02:block_negative, color:block_green, count:3, val:0.1, animation:change_block],[effect:force_change_block, new_block:time_bomb, target:block_all, ignore01:block_positive, ignore02:block_negative, color:block_heart, count:3, val:0.1, animation:change_block]</v>
      </c>
      <c r="O37" s="63">
        <f t="shared" si="7"/>
        <v>9</v>
      </c>
      <c r="P37" s="63">
        <f t="shared" si="8"/>
        <v>27</v>
      </c>
      <c r="Q37" s="63">
        <f t="shared" si="9"/>
        <v>57</v>
      </c>
      <c r="R37" s="63">
        <f t="shared" si="10"/>
        <v>48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[effect:force_change_block, new_block:time_bomb, target:block_all, ignore01:block_positive, ignore02:block_negative, color:block_yellow, count:3, val:0.1, animation:change_block],[effect:force_change_block, new_block:time_bomb, target:block_all, ignore01:block_positive, ignore02:block_negative, color:block_green, count:3, val:0.1, animation:change_block],[effect:force_change_block, new_block:time_bomb, target:block_all, ignore01:block_positive, ignore02:block_negative, color:block_heart, count:3, val:0.1, animation:change_block]</v>
      </c>
      <c r="U37" s="63">
        <f t="shared" si="12"/>
        <v>9</v>
      </c>
      <c r="V37" s="63">
        <f t="shared" si="13"/>
        <v>27</v>
      </c>
      <c r="W37" s="63">
        <f t="shared" si="14"/>
        <v>57</v>
      </c>
      <c r="X37" s="63">
        <f t="shared" si="15"/>
        <v>48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40031138</v>
      </c>
      <c r="B38" s="47" t="s">
        <v>301</v>
      </c>
      <c r="C38" s="50">
        <v>3</v>
      </c>
      <c r="D38" s="50" t="s">
        <v>127</v>
      </c>
      <c r="E38" s="51" t="s">
        <v>362</v>
      </c>
      <c r="F38" s="51" t="s">
        <v>338</v>
      </c>
      <c r="G38" s="63" t="str">
        <f t="shared" si="0"/>
        <v>[effect:dis_panel, target:block_yellow, turn:1, animation:enemy_dis_yellow]</v>
      </c>
      <c r="H38" s="63">
        <f t="shared" si="1"/>
        <v>9</v>
      </c>
      <c r="I38" s="63">
        <f t="shared" si="2"/>
        <v>18</v>
      </c>
      <c r="J38" s="63">
        <f t="shared" si="3"/>
        <v>27</v>
      </c>
      <c r="K38" s="63">
        <f t="shared" si="4"/>
        <v>39</v>
      </c>
      <c r="L38" s="63" t="str">
        <f>IFERROR(VLOOKUP(MID(G38,J38,K38-J38),[6]skilldef!$C:$D,2,FALSE),"-") &amp; " / " &amp; IFERROR(VLOOKUP(MID(G38,H38,I38-H38),[6]skilldef!$A:$B,2,FALSE),"-")</f>
        <v>黄色パネルを / ディスパネル</v>
      </c>
      <c r="M38" s="63" t="str">
        <f t="shared" si="5"/>
        <v>[effect:critical, val:2]</v>
      </c>
      <c r="N38" s="48" t="str">
        <f>IFERROR(LEFT(M38,FIND("],",M38)+S46),M38)</f>
        <v>[effect:critical, val:2]</v>
      </c>
      <c r="O38" s="63">
        <f t="shared" si="7"/>
        <v>9</v>
      </c>
      <c r="P38" s="63">
        <f t="shared" si="8"/>
        <v>17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大攻撃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40031139</v>
      </c>
      <c r="B39" s="47" t="s">
        <v>302</v>
      </c>
      <c r="C39" s="50">
        <v>3</v>
      </c>
      <c r="D39" s="50" t="s">
        <v>127</v>
      </c>
      <c r="E39" s="51" t="s">
        <v>363</v>
      </c>
      <c r="F39" s="51" t="s">
        <v>339</v>
      </c>
      <c r="G39" s="63" t="str">
        <f t="shared" si="0"/>
        <v>[effect:dis_panel, target:block_blue, turn:1, animation:enemy_dis_blue]</v>
      </c>
      <c r="H39" s="63">
        <f t="shared" si="1"/>
        <v>9</v>
      </c>
      <c r="I39" s="63">
        <f t="shared" si="2"/>
        <v>18</v>
      </c>
      <c r="J39" s="63">
        <f t="shared" si="3"/>
        <v>27</v>
      </c>
      <c r="K39" s="63">
        <f t="shared" si="4"/>
        <v>37</v>
      </c>
      <c r="L39" s="63" t="str">
        <f>IFERROR(VLOOKUP(MID(G39,J39,K39-J39),[6]skilldef!$C:$D,2,FALSE),"-") &amp; " / " &amp; IFERROR(VLOOKUP(MID(G39,H39,I39-H39),[6]skilldef!$A:$B,2,FALSE),"-")</f>
        <v>青パネルを / ディスパネル</v>
      </c>
      <c r="M39" s="63" t="str">
        <f t="shared" si="5"/>
        <v>[effect:critical, val:2]</v>
      </c>
      <c r="N39" s="48" t="str">
        <f>IFERROR(LEFT(M39,FIND("],",M39)+S47),M39)</f>
        <v>[effect:critical, val:2]</v>
      </c>
      <c r="O39" s="63">
        <f t="shared" si="7"/>
        <v>9</v>
      </c>
      <c r="P39" s="63">
        <f t="shared" si="8"/>
        <v>17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大攻撃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40031140</v>
      </c>
      <c r="B40" s="47" t="s">
        <v>303</v>
      </c>
      <c r="C40" s="50">
        <v>3</v>
      </c>
      <c r="D40" s="50" t="s">
        <v>127</v>
      </c>
      <c r="E40" s="51" t="s">
        <v>364</v>
      </c>
      <c r="F40" s="51" t="s">
        <v>403</v>
      </c>
      <c r="G40" s="63" t="str">
        <f t="shared" si="0"/>
        <v xml:space="preserve">[effect:dis_heart, turn:1, animation:enemy_dis_heart]    </v>
      </c>
      <c r="H40" s="63">
        <f t="shared" si="1"/>
        <v>9</v>
      </c>
      <c r="I40" s="63">
        <f t="shared" si="2"/>
        <v>18</v>
      </c>
      <c r="J40" s="63" t="e">
        <f t="shared" si="3"/>
        <v>#VALUE!</v>
      </c>
      <c r="K40" s="63">
        <f t="shared" si="4"/>
        <v>26</v>
      </c>
      <c r="L40" s="63" t="str">
        <f>IFERROR(VLOOKUP(MID(G40,J40,K40-J40),[6]skilldef!$C:$D,2,FALSE),"-") &amp; " / " &amp; IFERROR(VLOOKUP(MID(G40,H40,I40-H40),[6]skilldef!$A:$B,2,FALSE),"-")</f>
        <v>- / ディスハート</v>
      </c>
      <c r="M40" s="63" t="str">
        <f t="shared" si="5"/>
        <v>none</v>
      </c>
      <c r="N40" s="48" t="str">
        <f>IFERROR(LEFT(M40,FIND("],",M40)+S48),M40)</f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40031141</v>
      </c>
      <c r="B41" s="47" t="s">
        <v>304</v>
      </c>
      <c r="C41" s="50">
        <v>3</v>
      </c>
      <c r="D41" s="50" t="s">
        <v>127</v>
      </c>
      <c r="E41" s="51" t="s">
        <v>368</v>
      </c>
      <c r="F41" s="51" t="s">
        <v>341</v>
      </c>
      <c r="G41" s="63" t="str">
        <f t="shared" si="0"/>
        <v>[effect:critical, val:1]</v>
      </c>
      <c r="H41" s="63">
        <f t="shared" si="1"/>
        <v>9</v>
      </c>
      <c r="I41" s="63">
        <f t="shared" si="2"/>
        <v>17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大攻撃</v>
      </c>
      <c r="M41" s="63" t="str">
        <f t="shared" si="5"/>
        <v>none</v>
      </c>
      <c r="N41" s="48" t="str">
        <f>IFERROR(LEFT(M41,FIND("],",M41)+#REF!),M41)</f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40031142</v>
      </c>
      <c r="B42" s="47" t="s">
        <v>305</v>
      </c>
      <c r="C42" s="50">
        <v>3</v>
      </c>
      <c r="D42" s="50" t="s">
        <v>127</v>
      </c>
      <c r="E42" s="51" t="s">
        <v>357</v>
      </c>
      <c r="F42" s="51" t="s">
        <v>340</v>
      </c>
      <c r="G42" s="63" t="str">
        <f t="shared" si="0"/>
        <v>[effect:critical, val:2.5]</v>
      </c>
      <c r="H42" s="63">
        <f t="shared" si="1"/>
        <v>9</v>
      </c>
      <c r="I42" s="63">
        <f t="shared" si="2"/>
        <v>17</v>
      </c>
      <c r="J42" s="63" t="e">
        <f t="shared" si="3"/>
        <v>#VALUE!</v>
      </c>
      <c r="K42" s="63" t="e">
        <f t="shared" si="4"/>
        <v>#VALUE!</v>
      </c>
      <c r="L42" s="63" t="str">
        <f>IFERROR(VLOOKUP(MID(G42,J42,K42-J42),[6]skilldef!$C:$D,2,FALSE),"-") &amp; " / " &amp; IFERROR(VLOOKUP(MID(G42,H42,I42-H42),[6]skilldef!$A:$B,2,FALSE),"-")</f>
        <v>- / 大攻撃</v>
      </c>
      <c r="M42" s="63" t="str">
        <f t="shared" si="5"/>
        <v>none</v>
      </c>
      <c r="N42" s="48" t="str">
        <f>IFERROR(LEFT(M42,FIND("],",M42)+S49),M42)</f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40031144</v>
      </c>
      <c r="B43" s="47" t="s">
        <v>278</v>
      </c>
      <c r="C43" s="50">
        <v>3</v>
      </c>
      <c r="D43" s="50" t="s">
        <v>127</v>
      </c>
      <c r="E43" s="51" t="s">
        <v>367</v>
      </c>
      <c r="F43" s="51" t="s">
        <v>404</v>
      </c>
      <c r="G43" s="63" t="str">
        <f t="shared" si="0"/>
        <v>[effect:fix_speed, target:myself, turn:2]</v>
      </c>
      <c r="H43" s="63">
        <f t="shared" si="1"/>
        <v>9</v>
      </c>
      <c r="I43" s="63">
        <f t="shared" si="2"/>
        <v>18</v>
      </c>
      <c r="J43" s="63">
        <f t="shared" si="3"/>
        <v>27</v>
      </c>
      <c r="K43" s="63">
        <f t="shared" si="4"/>
        <v>33</v>
      </c>
      <c r="L43" s="63" t="str">
        <f>IFERROR(VLOOKUP(MID(G43,J43,K43-J43),[6]skilldef!$C:$D,2,FALSE),"-") &amp; " / " &amp; IFERROR(VLOOKUP(MID(G43,H43,I43-H43),[6]skilldef!$A:$B,2,FALSE),"-")</f>
        <v>自分自身に / 行動値設定</v>
      </c>
      <c r="M43" s="63" t="str">
        <f t="shared" si="5"/>
        <v>[effect:enemy_counter, target:myself, invoke_condition:unit_all, counter_target:attacker, turn:-1, val:0.05, animation:enemy_counter],[effect:tolerance, target:myself, turn:-1, tolerance_effect:all, count:-1, animation:enemy_tolerance]</v>
      </c>
      <c r="N43" s="48" t="str">
        <f>IFERROR(LEFT(M43,FIND("],",M43)+S50),M43)</f>
        <v>[effect:enemy_counter, target:myself, invoke_condition:unit_all, counter_target:attacker, turn:-1, val:0.05, animation:enemy_counter],[effect:tolerance, target:myself, turn:-1, tolerance_effect:all, count:-1, animation:enemy_tolerance]</v>
      </c>
      <c r="O43" s="63">
        <f t="shared" si="7"/>
        <v>9</v>
      </c>
      <c r="P43" s="63">
        <f t="shared" si="8"/>
        <v>22</v>
      </c>
      <c r="Q43" s="63">
        <f t="shared" si="9"/>
        <v>31</v>
      </c>
      <c r="R43" s="63">
        <f t="shared" si="10"/>
        <v>37</v>
      </c>
      <c r="S43" s="63" t="str">
        <f>IFERROR(VLOOKUP(MID(N43,Q43,R43-Q43),[6]skilldef!$C:$D,2,FALSE),"-") &amp; " / " &amp; IFERROR(VLOOKUP(MID(N43,O43,P43-O43),[6]skilldef!$A:$B,2,FALSE),"-")</f>
        <v>自分自身に / カウンター</v>
      </c>
      <c r="T43" s="48" t="str">
        <f t="shared" si="11"/>
        <v>[effect:tolerance, target:myself, turn:-1, tolerance_effect:all, count:-1, animation:enemy_tolerance]</v>
      </c>
      <c r="U43" s="63">
        <f t="shared" si="12"/>
        <v>9</v>
      </c>
      <c r="V43" s="63">
        <f t="shared" si="13"/>
        <v>18</v>
      </c>
      <c r="W43" s="63">
        <f t="shared" si="14"/>
        <v>27</v>
      </c>
      <c r="X43" s="63">
        <f t="shared" si="15"/>
        <v>33</v>
      </c>
      <c r="Y43" s="63" t="str">
        <f>IFERROR(VLOOKUP(MID(T43,W43,X43-W43),[6]skilldef!$C:$D,2,FALSE),"-") &amp; " / " &amp; IFERROR(VLOOKUP(MID(T43,U43,V43-U43),[6]skilldef!$A:$B,2,FALSE),"-")</f>
        <v>自分自身に / 状態異常耐性</v>
      </c>
      <c r="Z43" s="50"/>
      <c r="AA43" s="52"/>
      <c r="AB43" s="50"/>
    </row>
    <row r="44" spans="1:28" ht="21" customHeight="1" x14ac:dyDescent="0.15">
      <c r="A44" s="47">
        <v>40031145</v>
      </c>
      <c r="B44" s="47" t="s">
        <v>278</v>
      </c>
      <c r="C44" s="50">
        <v>3</v>
      </c>
      <c r="D44" s="50" t="s">
        <v>127</v>
      </c>
      <c r="E44" s="51" t="s">
        <v>366</v>
      </c>
      <c r="F44" s="51" t="s">
        <v>405</v>
      </c>
      <c r="G44" s="63" t="str">
        <f t="shared" si="0"/>
        <v>[effect:fix_speed, target:myself, turn:2]</v>
      </c>
      <c r="H44" s="63">
        <f t="shared" si="1"/>
        <v>9</v>
      </c>
      <c r="I44" s="63">
        <f t="shared" si="2"/>
        <v>18</v>
      </c>
      <c r="J44" s="63">
        <f t="shared" si="3"/>
        <v>27</v>
      </c>
      <c r="K44" s="63">
        <f t="shared" si="4"/>
        <v>33</v>
      </c>
      <c r="L44" s="63" t="str">
        <f>IFERROR(VLOOKUP(MID(G44,J44,K44-J44),[6]skilldef!$C:$D,2,FALSE),"-") &amp; " / " &amp; IFERROR(VLOOKUP(MID(G44,H44,I44-H44),[6]skilldef!$A:$B,2,FALSE),"-")</f>
        <v>自分自身に / 行動値設定</v>
      </c>
      <c r="M44" s="63" t="str">
        <f t="shared" si="5"/>
        <v>[effect:enemy_counter, target:myself, invoke_condition:unit_all, counter_target:attacker, turn:-1, val:0.05, animation:enemy_counter],[effect:tolerance, target:myself, turn:-1, tolerance_effect:all, count:-1, animation:enemy_tolerance]</v>
      </c>
      <c r="N44" s="48" t="str">
        <f>IFERROR(LEFT(M44,FIND("],",M44)+S51),M44)</f>
        <v>[effect:enemy_counter, target:myself, invoke_condition:unit_all, counter_target:attacker, turn:-1, val:0.05, animation:enemy_counter],[effect:tolerance, target:myself, turn:-1, tolerance_effect:all, count:-1, animation:enemy_tolerance]</v>
      </c>
      <c r="O44" s="63">
        <f t="shared" si="7"/>
        <v>9</v>
      </c>
      <c r="P44" s="63">
        <f t="shared" si="8"/>
        <v>22</v>
      </c>
      <c r="Q44" s="63">
        <f t="shared" si="9"/>
        <v>31</v>
      </c>
      <c r="R44" s="63">
        <f t="shared" si="10"/>
        <v>37</v>
      </c>
      <c r="S44" s="63" t="str">
        <f>IFERROR(VLOOKUP(MID(N44,Q44,R44-Q44),[6]skilldef!$C:$D,2,FALSE),"-") &amp; " / " &amp; IFERROR(VLOOKUP(MID(N44,O44,P44-O44),[6]skilldef!$A:$B,2,FALSE),"-")</f>
        <v>自分自身に / カウンター</v>
      </c>
      <c r="T44" s="48" t="str">
        <f t="shared" si="11"/>
        <v>[effect:tolerance, target:myself, turn:-1, tolerance_effect:all, count:-1, animation:enemy_tolerance]</v>
      </c>
      <c r="U44" s="63">
        <f t="shared" si="12"/>
        <v>9</v>
      </c>
      <c r="V44" s="63">
        <f t="shared" si="13"/>
        <v>18</v>
      </c>
      <c r="W44" s="63">
        <f t="shared" si="14"/>
        <v>27</v>
      </c>
      <c r="X44" s="63">
        <f t="shared" si="15"/>
        <v>33</v>
      </c>
      <c r="Y44" s="63" t="str">
        <f>IFERROR(VLOOKUP(MID(T44,W44,X44-W44),[6]skilldef!$C:$D,2,FALSE),"-") &amp; " / " &amp; IFERROR(VLOOKUP(MID(T44,U44,V44-U44),[6]skilldef!$A:$B,2,FALSE),"-")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47">
        <v>40031147</v>
      </c>
      <c r="B45" s="47" t="s">
        <v>320</v>
      </c>
      <c r="C45" s="50">
        <v>3</v>
      </c>
      <c r="D45" s="50" t="s">
        <v>127</v>
      </c>
      <c r="E45" s="51" t="s">
        <v>369</v>
      </c>
      <c r="F45" s="51" t="s">
        <v>256</v>
      </c>
      <c r="G45" s="63" t="str">
        <f t="shared" si="0"/>
        <v>[effect:spread, val:0.4]</v>
      </c>
      <c r="H45" s="63">
        <f t="shared" si="1"/>
        <v>9</v>
      </c>
      <c r="I45" s="63">
        <f t="shared" si="2"/>
        <v>15</v>
      </c>
      <c r="J45" s="63" t="e">
        <f t="shared" si="3"/>
        <v>#VALUE!</v>
      </c>
      <c r="K45" s="63" t="e">
        <f t="shared" si="4"/>
        <v>#VALUE!</v>
      </c>
      <c r="L45" s="63" t="str">
        <f>IFERROR(VLOOKUP(MID(G45,J45,K45-J45),[6]skilldef!$C:$D,2,FALSE),"-") &amp; " / " &amp; IFERROR(VLOOKUP(MID(G45,H45,I45-H45),[6]skilldef!$A:$B,2,FALSE),"-")</f>
        <v>- / 全体攻撃</v>
      </c>
      <c r="M45" s="63" t="str">
        <f t="shared" si="5"/>
        <v>none</v>
      </c>
      <c r="N45" s="48" t="str">
        <f t="shared" ref="N45:N48" si="33">IFERROR(LEFT(M45,FIND("],",M45)+S53),M45)</f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40031148</v>
      </c>
      <c r="B46" s="47" t="s">
        <v>321</v>
      </c>
      <c r="C46" s="50">
        <v>3</v>
      </c>
      <c r="D46" s="50" t="s">
        <v>127</v>
      </c>
      <c r="E46" s="51" t="s">
        <v>365</v>
      </c>
      <c r="F46" s="51" t="s">
        <v>340</v>
      </c>
      <c r="G46" s="63" t="str">
        <f t="shared" si="0"/>
        <v>[effect:critical, val:1.5]</v>
      </c>
      <c r="H46" s="63">
        <f t="shared" si="1"/>
        <v>9</v>
      </c>
      <c r="I46" s="63">
        <f t="shared" si="2"/>
        <v>17</v>
      </c>
      <c r="J46" s="63" t="e">
        <f t="shared" si="3"/>
        <v>#VALUE!</v>
      </c>
      <c r="K46" s="63" t="e">
        <f t="shared" si="4"/>
        <v>#VALUE!</v>
      </c>
      <c r="L46" s="63" t="str">
        <f>IFERROR(VLOOKUP(MID(G46,J46,K46-J46),[6]skilldef!$C:$D,2,FALSE),"-") &amp; " / " &amp; IFERROR(VLOOKUP(MID(G46,H46,I46-H46),[6]skilldef!$A:$B,2,FALSE),"-")</f>
        <v>- / 大攻撃</v>
      </c>
      <c r="M46" s="63" t="str">
        <f t="shared" si="5"/>
        <v>none</v>
      </c>
      <c r="N46" s="48" t="str">
        <f t="shared" si="33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40031149</v>
      </c>
      <c r="B47" s="47" t="s">
        <v>422</v>
      </c>
      <c r="C47" s="50">
        <v>3</v>
      </c>
      <c r="D47" s="50" t="s">
        <v>127</v>
      </c>
      <c r="E47" s="51" t="s">
        <v>296</v>
      </c>
      <c r="F47" s="51" t="s">
        <v>347</v>
      </c>
      <c r="G47" s="63" t="str">
        <f t="shared" si="0"/>
        <v xml:space="preserve">[effect:force_change_block, new_block:time_bomb, target:block_all, ignore01:block_positive, ignore02:block_negative, color:block_red, count:6, val:0.2, min_time_count:2, max_time_count:2, animation:change_block] </v>
      </c>
      <c r="H47" s="63">
        <f t="shared" si="1"/>
        <v>9</v>
      </c>
      <c r="I47" s="63">
        <f t="shared" si="2"/>
        <v>27</v>
      </c>
      <c r="J47" s="63">
        <f t="shared" si="3"/>
        <v>57</v>
      </c>
      <c r="K47" s="63">
        <f t="shared" si="4"/>
        <v>48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5"/>
        <v>none</v>
      </c>
      <c r="N47" s="48" t="str">
        <f t="shared" si="33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40031150</v>
      </c>
      <c r="B48" s="47" t="s">
        <v>279</v>
      </c>
      <c r="C48" s="50">
        <v>3</v>
      </c>
      <c r="D48" s="50" t="s">
        <v>127</v>
      </c>
      <c r="E48" s="51" t="s">
        <v>257</v>
      </c>
      <c r="F48" s="51" t="s">
        <v>257</v>
      </c>
      <c r="G48" s="63" t="str">
        <f t="shared" si="0"/>
        <v>[effect:critical, val:2]</v>
      </c>
      <c r="H48" s="63">
        <f t="shared" si="1"/>
        <v>9</v>
      </c>
      <c r="I48" s="63">
        <f t="shared" si="2"/>
        <v>17</v>
      </c>
      <c r="J48" s="63" t="e">
        <f t="shared" si="3"/>
        <v>#VALUE!</v>
      </c>
      <c r="K48" s="63" t="e">
        <f t="shared" si="4"/>
        <v>#VALUE!</v>
      </c>
      <c r="L48" s="63" t="str">
        <f>IFERROR(VLOOKUP(MID(G48,J48,K48-J48),[6]skilldef!$C:$D,2,FALSE),"-") &amp; " / " &amp; IFERROR(VLOOKUP(MID(G48,H48,I48-H48),[6]skilldef!$A:$B,2,FALSE),"-")</f>
        <v>- / 大攻撃</v>
      </c>
      <c r="M48" s="63" t="str">
        <f t="shared" si="5"/>
        <v>none</v>
      </c>
      <c r="N48" s="48" t="str">
        <f t="shared" si="33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40031151</v>
      </c>
      <c r="B49" s="47" t="s">
        <v>288</v>
      </c>
      <c r="C49" s="50">
        <v>3</v>
      </c>
      <c r="D49" s="50" t="s">
        <v>127</v>
      </c>
      <c r="E49" s="51" t="s">
        <v>287</v>
      </c>
      <c r="F49" s="51" t="s">
        <v>346</v>
      </c>
      <c r="G49" s="63" t="str">
        <f t="shared" ref="G49" si="34">IFERROR(LEFT(B49,FIND("],",B49)),B49)</f>
        <v>[effect:rush, count:8, val:0.15]</v>
      </c>
      <c r="H49" s="63">
        <f t="shared" ref="H49" si="35">FIND("effect:",G49)+7</f>
        <v>9</v>
      </c>
      <c r="I49" s="63">
        <f t="shared" ref="I49" si="36">IFERROR(FIND(",",G49),LEN(G49))</f>
        <v>13</v>
      </c>
      <c r="J49" s="63" t="e">
        <f t="shared" ref="J49" si="37">FIND("target:",G49)+7</f>
        <v>#VALUE!</v>
      </c>
      <c r="K49" s="63">
        <f t="shared" ref="K49" si="38">FIND(",",G49,I49+1)</f>
        <v>22</v>
      </c>
      <c r="L49" s="63" t="str">
        <f>IFERROR(VLOOKUP(MID(G49,J49,K49-J49),[6]skilldef!$C:$D,2,FALSE),"-") &amp; " / " &amp; IFERROR(VLOOKUP(MID(G49,H49,I49-H49),[6]skilldef!$A:$B,2,FALSE),"-")</f>
        <v>- / 連続攻撃</v>
      </c>
      <c r="M49" s="63" t="str">
        <f t="shared" ref="M49" si="39">IFERROR(RIGHT(B49,LEN(B49)-FIND("],",B49)-1),"none")</f>
        <v>none</v>
      </c>
      <c r="N49" s="48" t="str">
        <f>IFERROR(LEFT(M49,FIND("],",M49)+S58),M49)</f>
        <v>none</v>
      </c>
      <c r="O49" s="63" t="e">
        <f t="shared" ref="O49" si="40">FIND("effect:",N49)+7</f>
        <v>#VALUE!</v>
      </c>
      <c r="P49" s="63">
        <f t="shared" ref="P49" si="41">IFERROR(FIND(",",N49),LEN(N49))</f>
        <v>4</v>
      </c>
      <c r="Q49" s="63" t="e">
        <f t="shared" ref="Q49" si="42">FIND("target:",N49)+7</f>
        <v>#VALUE!</v>
      </c>
      <c r="R49" s="63" t="e">
        <f t="shared" ref="R49" si="43">FIND(",",N49,P49+1)</f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ref="T49" si="44">IFERROR(RIGHT(M49,LEN(M49)-FIND("],",M49)-1),"none")</f>
        <v>none</v>
      </c>
      <c r="U49" s="63" t="e">
        <f t="shared" ref="U49" si="45">FIND("effect:",T49)+7</f>
        <v>#VALUE!</v>
      </c>
      <c r="V49" s="63">
        <f t="shared" ref="V49" si="46">IFERROR(FIND(",",T49),LEN(T49))</f>
        <v>4</v>
      </c>
      <c r="W49" s="63" t="e">
        <f t="shared" ref="W49" si="47">FIND("target:",T49)+7</f>
        <v>#VALUE!</v>
      </c>
      <c r="X49" s="63" t="e">
        <f t="shared" ref="X49" si="48">FIND(",",T49,V49+1)</f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40031152</v>
      </c>
      <c r="B50" s="47" t="s">
        <v>318</v>
      </c>
      <c r="C50" s="50">
        <v>3</v>
      </c>
      <c r="D50" s="50" t="s">
        <v>127</v>
      </c>
      <c r="E50" s="105" t="s">
        <v>309</v>
      </c>
      <c r="F50" s="106" t="s">
        <v>406</v>
      </c>
      <c r="G50" s="63" t="str">
        <f t="shared" ref="G50:G60" si="49">IFERROR(LEFT(B50,FIND("],",B50)),B50)</f>
        <v>[effect:spread, val:0.25]</v>
      </c>
      <c r="H50" s="63">
        <f t="shared" ref="H50:H60" si="50">FIND("effect:",G50)+7</f>
        <v>9</v>
      </c>
      <c r="I50" s="63">
        <f t="shared" ref="I50:I60" si="51">IFERROR(FIND(",",G50),LEN(G50))</f>
        <v>15</v>
      </c>
      <c r="J50" s="63" t="e">
        <f t="shared" ref="J50:J60" si="52">FIND("target:",G50)+7</f>
        <v>#VALUE!</v>
      </c>
      <c r="K50" s="63" t="e">
        <f t="shared" ref="K50:K60" si="53">FIND(",",G50,I50+1)</f>
        <v>#VALUE!</v>
      </c>
      <c r="L50" s="63" t="str">
        <f>IFERROR(VLOOKUP(MID(G50,J50,K50-J50),[6]skilldef!$C:$D,2,FALSE),"-") &amp; " / " &amp; IFERROR(VLOOKUP(MID(G50,H50,I50-H50),[6]skilldef!$A:$B,2,FALSE),"-")</f>
        <v>- / 全体攻撃</v>
      </c>
      <c r="M50" s="63" t="str">
        <f t="shared" ref="M50:M60" si="54">IFERROR(RIGHT(B50,LEN(B50)-FIND("],",B50)-1),"none")</f>
        <v>[effect:virus, turn:3, rate:1, val:0.1, animation:enemy_virus]</v>
      </c>
      <c r="N50" s="48" t="str">
        <f t="shared" ref="N50" si="55">IFERROR(LEFT(M50,FIND("],",M50)+S60),M50)</f>
        <v>[effect:virus, turn:3, rate:1, val:0.1, animation:enemy_virus]</v>
      </c>
      <c r="O50" s="63">
        <f t="shared" ref="O50:O60" si="56">FIND("effect:",N50)+7</f>
        <v>9</v>
      </c>
      <c r="P50" s="63">
        <f t="shared" ref="P50:P60" si="57">IFERROR(FIND(",",N50),LEN(N50))</f>
        <v>14</v>
      </c>
      <c r="Q50" s="63" t="e">
        <f t="shared" ref="Q50:Q60" si="58">FIND("target:",N50)+7</f>
        <v>#VALUE!</v>
      </c>
      <c r="R50" s="63">
        <f t="shared" ref="R50:R60" si="59">FIND(",",N50,P50+1)</f>
        <v>22</v>
      </c>
      <c r="S50" s="63" t="str">
        <f>IFERROR(VLOOKUP(MID(N50,Q50,R50-Q50),[6]skilldef!$C:$D,2,FALSE),"-") &amp; " / " &amp; IFERROR(VLOOKUP(MID(N50,O50,P50-O50),[6]skilldef!$A:$B,2,FALSE),"-")</f>
        <v>- / ウィルス</v>
      </c>
      <c r="T50" s="48" t="str">
        <f t="shared" ref="T50:T60" si="60">IFERROR(RIGHT(M50,LEN(M50)-FIND("],",M50)-1),"none")</f>
        <v>none</v>
      </c>
      <c r="U50" s="63" t="e">
        <f t="shared" ref="U50:U60" si="61">FIND("effect:",T50)+7</f>
        <v>#VALUE!</v>
      </c>
      <c r="V50" s="63">
        <f t="shared" ref="V50:V60" si="62">IFERROR(FIND(",",T50),LEN(T50))</f>
        <v>4</v>
      </c>
      <c r="W50" s="63" t="e">
        <f t="shared" ref="W50:W60" si="63">FIND("target:",T50)+7</f>
        <v>#VALUE!</v>
      </c>
      <c r="X50" s="63" t="e">
        <f t="shared" ref="X50:X60" si="64">FIND(",",T50,V50+1)</f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40031153</v>
      </c>
      <c r="B51" s="47" t="s">
        <v>424</v>
      </c>
      <c r="C51" s="50">
        <v>3</v>
      </c>
      <c r="D51" s="50" t="s">
        <v>127</v>
      </c>
      <c r="E51" s="51" t="s">
        <v>307</v>
      </c>
      <c r="F51" s="51" t="s">
        <v>423</v>
      </c>
      <c r="G51" s="63" t="str">
        <f t="shared" si="49"/>
        <v>[effect:fix_speed, target:myself, turn:1]</v>
      </c>
      <c r="H51" s="63">
        <f t="shared" si="50"/>
        <v>9</v>
      </c>
      <c r="I51" s="63">
        <f t="shared" si="51"/>
        <v>18</v>
      </c>
      <c r="J51" s="63">
        <f t="shared" si="52"/>
        <v>27</v>
      </c>
      <c r="K51" s="63">
        <f t="shared" si="53"/>
        <v>33</v>
      </c>
      <c r="L51" s="63" t="str">
        <f>IFERROR(VLOOKUP(MID(G51,J51,K51-J51),[6]skilldef!$C:$D,2,FALSE),"-") &amp; " / " &amp; IFERROR(VLOOKUP(MID(G51,H51,I51-H51),[6]skilldef!$A:$B,2,FALSE),"-")</f>
        <v>自分自身に / 行動値設定</v>
      </c>
      <c r="M51" s="63" t="str">
        <f t="shared" si="54"/>
        <v xml:space="preserve">[effect:virus, turn:3, rate:1, val:0.1, animation:enemy_virus]    </v>
      </c>
      <c r="N51" s="48" t="str">
        <f>IFERROR(LEFT(M51,FIND("],",M51)+S61),M51)</f>
        <v xml:space="preserve">[effect:virus, turn:3, rate:1, val:0.1, animation:enemy_virus]    </v>
      </c>
      <c r="O51" s="63">
        <f t="shared" si="56"/>
        <v>9</v>
      </c>
      <c r="P51" s="63">
        <f t="shared" si="57"/>
        <v>14</v>
      </c>
      <c r="Q51" s="63" t="e">
        <f t="shared" si="58"/>
        <v>#VALUE!</v>
      </c>
      <c r="R51" s="63">
        <f t="shared" si="59"/>
        <v>22</v>
      </c>
      <c r="S51" s="63" t="str">
        <f>IFERROR(VLOOKUP(MID(N51,Q51,R51-Q51),[6]skilldef!$C:$D,2,FALSE),"-") &amp; " / " &amp; IFERROR(VLOOKUP(MID(N51,O51,P51-O51),[6]skilldef!$A:$B,2,FALSE),"-")</f>
        <v>- / ウィルス</v>
      </c>
      <c r="T51" s="48" t="str">
        <f t="shared" si="60"/>
        <v>none</v>
      </c>
      <c r="U51" s="63" t="e">
        <f t="shared" si="61"/>
        <v>#VALUE!</v>
      </c>
      <c r="V51" s="63">
        <f t="shared" si="62"/>
        <v>4</v>
      </c>
      <c r="W51" s="63" t="e">
        <f t="shared" si="63"/>
        <v>#VALUE!</v>
      </c>
      <c r="X51" s="63" t="e">
        <f t="shared" si="64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40031154</v>
      </c>
      <c r="B52" s="47" t="s">
        <v>319</v>
      </c>
      <c r="C52" s="50">
        <v>3</v>
      </c>
      <c r="D52" s="50" t="s">
        <v>127</v>
      </c>
      <c r="E52" s="51" t="s">
        <v>268</v>
      </c>
      <c r="F52" s="51" t="s">
        <v>333</v>
      </c>
      <c r="G52" s="63" t="str">
        <f t="shared" si="49"/>
        <v>[effect:fix_speed, target:myself, turn:1]</v>
      </c>
      <c r="H52" s="63">
        <f t="shared" si="50"/>
        <v>9</v>
      </c>
      <c r="I52" s="63">
        <f t="shared" si="51"/>
        <v>18</v>
      </c>
      <c r="J52" s="63">
        <f t="shared" si="52"/>
        <v>27</v>
      </c>
      <c r="K52" s="63">
        <f t="shared" si="53"/>
        <v>33</v>
      </c>
      <c r="L52" s="63" t="str">
        <f>IFERROR(VLOOKUP(MID(G52,J52,K52-J52),[6]skilldef!$C:$D,2,FALSE),"-") &amp; " / " &amp; IFERROR(VLOOKUP(MID(G52,H52,I52-H52),[6]skilldef!$A:$B,2,FALSE),"-")</f>
        <v>自分自身に / 行動値設定</v>
      </c>
      <c r="M52" s="63" t="str">
        <f t="shared" si="54"/>
        <v xml:space="preserve">[effect:virus, turn:8, rate:1, val:0.12, animation:enemy_virus]    </v>
      </c>
      <c r="N52" s="48" t="str">
        <f t="shared" ref="N52:N60" si="65">IFERROR(LEFT(M52,FIND("],",M52)+S62),M52)</f>
        <v xml:space="preserve">[effect:virus, turn:8, rate:1, val:0.12, animation:enemy_virus]    </v>
      </c>
      <c r="O52" s="63">
        <f t="shared" si="56"/>
        <v>9</v>
      </c>
      <c r="P52" s="63">
        <f t="shared" si="57"/>
        <v>14</v>
      </c>
      <c r="Q52" s="63" t="e">
        <f t="shared" si="58"/>
        <v>#VALUE!</v>
      </c>
      <c r="R52" s="63">
        <f t="shared" si="59"/>
        <v>22</v>
      </c>
      <c r="S52" s="63" t="str">
        <f>IFERROR(VLOOKUP(MID(N52,Q52,R52-Q52),[6]skilldef!$C:$D,2,FALSE),"-") &amp; " / " &amp; IFERROR(VLOOKUP(MID(N52,O52,P52-O52),[6]skilldef!$A:$B,2,FALSE),"-")</f>
        <v>- / ウィルス</v>
      </c>
      <c r="T52" s="48" t="str">
        <f t="shared" si="60"/>
        <v>none</v>
      </c>
      <c r="U52" s="63" t="e">
        <f t="shared" si="61"/>
        <v>#VALUE!</v>
      </c>
      <c r="V52" s="63">
        <f t="shared" si="62"/>
        <v>4</v>
      </c>
      <c r="W52" s="63" t="e">
        <f t="shared" si="63"/>
        <v>#VALUE!</v>
      </c>
      <c r="X52" s="63" t="e">
        <f t="shared" si="64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40031155</v>
      </c>
      <c r="B53" s="47" t="s">
        <v>394</v>
      </c>
      <c r="C53" s="50">
        <v>3</v>
      </c>
      <c r="D53" s="50" t="s">
        <v>127</v>
      </c>
      <c r="E53" s="51" t="s">
        <v>370</v>
      </c>
      <c r="F53" s="51" t="s">
        <v>389</v>
      </c>
      <c r="G53" s="63" t="str">
        <f t="shared" si="49"/>
        <v>[effect:spread, val:0.26]</v>
      </c>
      <c r="H53" s="63">
        <f t="shared" si="50"/>
        <v>9</v>
      </c>
      <c r="I53" s="63">
        <f t="shared" si="51"/>
        <v>15</v>
      </c>
      <c r="J53" s="63" t="e">
        <f t="shared" si="52"/>
        <v>#VALUE!</v>
      </c>
      <c r="K53" s="63" t="e">
        <f t="shared" si="53"/>
        <v>#VALUE!</v>
      </c>
      <c r="L53" s="63" t="str">
        <f>IFERROR(VLOOKUP(MID(G53,J53,K53-J53),[6]skilldef!$C:$D,2,FALSE),"-") &amp; " / " &amp; IFERROR(VLOOKUP(MID(G53,H53,I53-H53),[6]skilldef!$A:$B,2,FALSE),"-")</f>
        <v>- / 全体攻撃</v>
      </c>
      <c r="M53" s="63" t="str">
        <f t="shared" si="54"/>
        <v>[effect:virus, turn:-1, rate:1, val:0.13, animation:enemy_virus]</v>
      </c>
      <c r="N53" s="48" t="str">
        <f t="shared" si="65"/>
        <v>[effect:virus, turn:-1, rate:1, val:0.13, animation:enemy_virus]</v>
      </c>
      <c r="O53" s="63">
        <f t="shared" si="56"/>
        <v>9</v>
      </c>
      <c r="P53" s="63">
        <f t="shared" si="57"/>
        <v>14</v>
      </c>
      <c r="Q53" s="63" t="e">
        <f t="shared" si="58"/>
        <v>#VALUE!</v>
      </c>
      <c r="R53" s="63">
        <f t="shared" si="59"/>
        <v>23</v>
      </c>
      <c r="S53" s="63" t="str">
        <f>IFERROR(VLOOKUP(MID(N53,Q53,R53-Q53),[6]skilldef!$C:$D,2,FALSE),"-") &amp; " / " &amp; IFERROR(VLOOKUP(MID(N53,O53,P53-O53),[6]skilldef!$A:$B,2,FALSE),"-")</f>
        <v>- / ウィルス</v>
      </c>
      <c r="T53" s="48" t="str">
        <f t="shared" si="60"/>
        <v>none</v>
      </c>
      <c r="U53" s="63" t="e">
        <f t="shared" si="61"/>
        <v>#VALUE!</v>
      </c>
      <c r="V53" s="63">
        <f t="shared" si="62"/>
        <v>4</v>
      </c>
      <c r="W53" s="63" t="e">
        <f t="shared" si="63"/>
        <v>#VALUE!</v>
      </c>
      <c r="X53" s="63" t="e">
        <f t="shared" si="64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40031156</v>
      </c>
      <c r="B54" s="47" t="s">
        <v>395</v>
      </c>
      <c r="C54" s="50">
        <v>3</v>
      </c>
      <c r="D54" s="50" t="s">
        <v>127</v>
      </c>
      <c r="E54" s="51" t="s">
        <v>350</v>
      </c>
      <c r="F54" s="51" t="s">
        <v>389</v>
      </c>
      <c r="G54" s="63" t="str">
        <f t="shared" si="49"/>
        <v>[effect:spread, val:0.26]</v>
      </c>
      <c r="H54" s="63">
        <f t="shared" si="50"/>
        <v>9</v>
      </c>
      <c r="I54" s="63">
        <f t="shared" si="51"/>
        <v>15</v>
      </c>
      <c r="J54" s="63" t="e">
        <f t="shared" si="52"/>
        <v>#VALUE!</v>
      </c>
      <c r="K54" s="63" t="e">
        <f t="shared" si="53"/>
        <v>#VALUE!</v>
      </c>
      <c r="L54" s="63" t="str">
        <f>IFERROR(VLOOKUP(MID(G54,J54,K54-J54),[6]skilldef!$C:$D,2,FALSE),"-") &amp; " / " &amp; IFERROR(VLOOKUP(MID(G54,H54,I54-H54),[6]skilldef!$A:$B,2,FALSE),"-")</f>
        <v>- / 全体攻撃</v>
      </c>
      <c r="M54" s="63" t="str">
        <f t="shared" si="54"/>
        <v>[effect:virus, turn:-1, rate:1, val:0.14, animation:enemy_virus]</v>
      </c>
      <c r="N54" s="48" t="str">
        <f t="shared" si="65"/>
        <v>[effect:virus, turn:-1, rate:1, val:0.14, animation:enemy_virus]</v>
      </c>
      <c r="O54" s="63">
        <f t="shared" si="56"/>
        <v>9</v>
      </c>
      <c r="P54" s="63">
        <f t="shared" si="57"/>
        <v>14</v>
      </c>
      <c r="Q54" s="63" t="e">
        <f t="shared" si="58"/>
        <v>#VALUE!</v>
      </c>
      <c r="R54" s="63">
        <f t="shared" si="59"/>
        <v>23</v>
      </c>
      <c r="S54" s="63" t="str">
        <f>IFERROR(VLOOKUP(MID(N54,Q54,R54-Q54),[6]skilldef!$C:$D,2,FALSE),"-") &amp; " / " &amp; IFERROR(VLOOKUP(MID(N54,O54,P54-O54),[6]skilldef!$A:$B,2,FALSE),"-")</f>
        <v>- / ウィルス</v>
      </c>
      <c r="T54" s="48" t="str">
        <f t="shared" si="60"/>
        <v>none</v>
      </c>
      <c r="U54" s="63" t="e">
        <f t="shared" si="61"/>
        <v>#VALUE!</v>
      </c>
      <c r="V54" s="63">
        <f t="shared" si="62"/>
        <v>4</v>
      </c>
      <c r="W54" s="63" t="e">
        <f t="shared" si="63"/>
        <v>#VALUE!</v>
      </c>
      <c r="X54" s="63" t="e">
        <f t="shared" si="64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40031157</v>
      </c>
      <c r="B55" s="47" t="s">
        <v>396</v>
      </c>
      <c r="C55" s="50">
        <v>3</v>
      </c>
      <c r="D55" s="50" t="s">
        <v>127</v>
      </c>
      <c r="E55" s="51" t="s">
        <v>351</v>
      </c>
      <c r="F55" s="51" t="s">
        <v>389</v>
      </c>
      <c r="G55" s="63" t="str">
        <f t="shared" si="49"/>
        <v>[effect:spread, val:0.26]</v>
      </c>
      <c r="H55" s="63">
        <f t="shared" si="50"/>
        <v>9</v>
      </c>
      <c r="I55" s="63">
        <f t="shared" si="51"/>
        <v>15</v>
      </c>
      <c r="J55" s="63" t="e">
        <f t="shared" si="52"/>
        <v>#VALUE!</v>
      </c>
      <c r="K55" s="63" t="e">
        <f t="shared" si="53"/>
        <v>#VALUE!</v>
      </c>
      <c r="L55" s="63" t="str">
        <f>IFERROR(VLOOKUP(MID(G55,J55,K55-J55),[6]skilldef!$C:$D,2,FALSE),"-") &amp; " / " &amp; IFERROR(VLOOKUP(MID(G55,H55,I55-H55),[6]skilldef!$A:$B,2,FALSE),"-")</f>
        <v>- / 全体攻撃</v>
      </c>
      <c r="M55" s="63" t="str">
        <f t="shared" si="54"/>
        <v>[effect:virus, turn:-1, rate:1, val:0.15, animation:enemy_virus]</v>
      </c>
      <c r="N55" s="48" t="str">
        <f t="shared" si="65"/>
        <v>[effect:virus, turn:-1, rate:1, val:0.15, animation:enemy_virus]</v>
      </c>
      <c r="O55" s="63">
        <f t="shared" si="56"/>
        <v>9</v>
      </c>
      <c r="P55" s="63">
        <f t="shared" si="57"/>
        <v>14</v>
      </c>
      <c r="Q55" s="63" t="e">
        <f t="shared" si="58"/>
        <v>#VALUE!</v>
      </c>
      <c r="R55" s="63">
        <f t="shared" si="59"/>
        <v>23</v>
      </c>
      <c r="S55" s="63" t="str">
        <f>IFERROR(VLOOKUP(MID(N55,Q55,R55-Q55),[6]skilldef!$C:$D,2,FALSE),"-") &amp; " / " &amp; IFERROR(VLOOKUP(MID(N55,O55,P55-O55),[6]skilldef!$A:$B,2,FALSE),"-")</f>
        <v>- / ウィルス</v>
      </c>
      <c r="T55" s="48" t="str">
        <f t="shared" si="60"/>
        <v>none</v>
      </c>
      <c r="U55" s="63" t="e">
        <f t="shared" si="61"/>
        <v>#VALUE!</v>
      </c>
      <c r="V55" s="63">
        <f t="shared" si="62"/>
        <v>4</v>
      </c>
      <c r="W55" s="63" t="e">
        <f t="shared" si="63"/>
        <v>#VALUE!</v>
      </c>
      <c r="X55" s="63" t="e">
        <f t="shared" si="64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40031158</v>
      </c>
      <c r="B56" s="47" t="s">
        <v>397</v>
      </c>
      <c r="C56" s="50">
        <v>3</v>
      </c>
      <c r="D56" s="50" t="s">
        <v>127</v>
      </c>
      <c r="E56" s="51" t="s">
        <v>349</v>
      </c>
      <c r="F56" s="51" t="s">
        <v>389</v>
      </c>
      <c r="G56" s="63" t="str">
        <f t="shared" si="49"/>
        <v>[effect:spread, val:0.26]</v>
      </c>
      <c r="H56" s="63">
        <f t="shared" si="50"/>
        <v>9</v>
      </c>
      <c r="I56" s="63">
        <f t="shared" si="51"/>
        <v>15</v>
      </c>
      <c r="J56" s="63" t="e">
        <f t="shared" si="52"/>
        <v>#VALUE!</v>
      </c>
      <c r="K56" s="63" t="e">
        <f t="shared" si="53"/>
        <v>#VALUE!</v>
      </c>
      <c r="L56" s="63" t="str">
        <f>IFERROR(VLOOKUP(MID(G56,J56,K56-J56),[6]skilldef!$C:$D,2,FALSE),"-") &amp; " / " &amp; IFERROR(VLOOKUP(MID(G56,H56,I56-H56),[6]skilldef!$A:$B,2,FALSE),"-")</f>
        <v>- / 全体攻撃</v>
      </c>
      <c r="M56" s="63" t="str">
        <f t="shared" si="54"/>
        <v>[effect:virus, turn:-1, rate:1, val:0.16, animation:enemy_virus]</v>
      </c>
      <c r="N56" s="48" t="str">
        <f t="shared" si="65"/>
        <v>[effect:virus, turn:-1, rate:1, val:0.16, animation:enemy_virus]</v>
      </c>
      <c r="O56" s="63">
        <f t="shared" si="56"/>
        <v>9</v>
      </c>
      <c r="P56" s="63">
        <f t="shared" si="57"/>
        <v>14</v>
      </c>
      <c r="Q56" s="63" t="e">
        <f t="shared" si="58"/>
        <v>#VALUE!</v>
      </c>
      <c r="R56" s="63">
        <f t="shared" si="59"/>
        <v>23</v>
      </c>
      <c r="S56" s="63" t="str">
        <f>IFERROR(VLOOKUP(MID(N56,Q56,R56-Q56),[6]skilldef!$C:$D,2,FALSE),"-") &amp; " / " &amp; IFERROR(VLOOKUP(MID(N56,O56,P56-O56),[6]skilldef!$A:$B,2,FALSE),"-")</f>
        <v>- / ウィルス</v>
      </c>
      <c r="T56" s="48" t="str">
        <f t="shared" si="60"/>
        <v>none</v>
      </c>
      <c r="U56" s="63" t="e">
        <f t="shared" si="61"/>
        <v>#VALUE!</v>
      </c>
      <c r="V56" s="63">
        <f t="shared" si="62"/>
        <v>4</v>
      </c>
      <c r="W56" s="63" t="e">
        <f t="shared" si="63"/>
        <v>#VALUE!</v>
      </c>
      <c r="X56" s="63" t="e">
        <f t="shared" si="64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40031159</v>
      </c>
      <c r="B57" s="47" t="s">
        <v>398</v>
      </c>
      <c r="C57" s="50">
        <v>3</v>
      </c>
      <c r="D57" s="50" t="s">
        <v>127</v>
      </c>
      <c r="E57" s="51" t="s">
        <v>353</v>
      </c>
      <c r="F57" s="51" t="s">
        <v>389</v>
      </c>
      <c r="G57" s="63" t="str">
        <f t="shared" si="49"/>
        <v>[effect:spread, val:0.26]</v>
      </c>
      <c r="H57" s="63">
        <f t="shared" si="50"/>
        <v>9</v>
      </c>
      <c r="I57" s="63">
        <f t="shared" si="51"/>
        <v>15</v>
      </c>
      <c r="J57" s="63" t="e">
        <f t="shared" si="52"/>
        <v>#VALUE!</v>
      </c>
      <c r="K57" s="63" t="e">
        <f t="shared" si="53"/>
        <v>#VALUE!</v>
      </c>
      <c r="L57" s="63" t="str">
        <f>IFERROR(VLOOKUP(MID(G57,J57,K57-J57),[6]skilldef!$C:$D,2,FALSE),"-") &amp; " / " &amp; IFERROR(VLOOKUP(MID(G57,H57,I57-H57),[6]skilldef!$A:$B,2,FALSE),"-")</f>
        <v>- / 全体攻撃</v>
      </c>
      <c r="M57" s="63" t="str">
        <f t="shared" si="54"/>
        <v>[effect:virus, turn:-1, rate:1, val:0.17, animation:enemy_virus]</v>
      </c>
      <c r="N57" s="48" t="str">
        <f t="shared" si="65"/>
        <v>[effect:virus, turn:-1, rate:1, val:0.17, animation:enemy_virus]</v>
      </c>
      <c r="O57" s="63">
        <f t="shared" si="56"/>
        <v>9</v>
      </c>
      <c r="P57" s="63">
        <f t="shared" si="57"/>
        <v>14</v>
      </c>
      <c r="Q57" s="63" t="e">
        <f t="shared" si="58"/>
        <v>#VALUE!</v>
      </c>
      <c r="R57" s="63">
        <f t="shared" si="59"/>
        <v>23</v>
      </c>
      <c r="S57" s="63" t="str">
        <f>IFERROR(VLOOKUP(MID(N57,Q57,R57-Q57),[6]skilldef!$C:$D,2,FALSE),"-") &amp; " / " &amp; IFERROR(VLOOKUP(MID(N57,O57,P57-O57),[6]skilldef!$A:$B,2,FALSE),"-")</f>
        <v>- / ウィルス</v>
      </c>
      <c r="T57" s="48" t="str">
        <f t="shared" si="60"/>
        <v>none</v>
      </c>
      <c r="U57" s="63" t="e">
        <f t="shared" si="61"/>
        <v>#VALUE!</v>
      </c>
      <c r="V57" s="63">
        <f t="shared" si="62"/>
        <v>4</v>
      </c>
      <c r="W57" s="63" t="e">
        <f t="shared" si="63"/>
        <v>#VALUE!</v>
      </c>
      <c r="X57" s="63" t="e">
        <f t="shared" si="64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40031160</v>
      </c>
      <c r="B58" s="47" t="s">
        <v>399</v>
      </c>
      <c r="C58" s="50">
        <v>3</v>
      </c>
      <c r="D58" s="50" t="s">
        <v>127</v>
      </c>
      <c r="E58" s="51" t="s">
        <v>354</v>
      </c>
      <c r="F58" s="51" t="s">
        <v>389</v>
      </c>
      <c r="G58" s="63" t="str">
        <f t="shared" si="49"/>
        <v>[effect:spread, val:0.26]</v>
      </c>
      <c r="H58" s="63">
        <f t="shared" si="50"/>
        <v>9</v>
      </c>
      <c r="I58" s="63">
        <f t="shared" si="51"/>
        <v>15</v>
      </c>
      <c r="J58" s="63" t="e">
        <f t="shared" si="52"/>
        <v>#VALUE!</v>
      </c>
      <c r="K58" s="63" t="e">
        <f t="shared" si="53"/>
        <v>#VALUE!</v>
      </c>
      <c r="L58" s="63" t="str">
        <f>IFERROR(VLOOKUP(MID(G58,J58,K58-J58),[6]skilldef!$C:$D,2,FALSE),"-") &amp; " / " &amp; IFERROR(VLOOKUP(MID(G58,H58,I58-H58),[6]skilldef!$A:$B,2,FALSE),"-")</f>
        <v>- / 全体攻撃</v>
      </c>
      <c r="M58" s="63" t="str">
        <f t="shared" si="54"/>
        <v>[effect:virus, turn:-1, rate:1, val:0.18, animation:enemy_virus]</v>
      </c>
      <c r="N58" s="48" t="str">
        <f t="shared" si="65"/>
        <v>[effect:virus, turn:-1, rate:1, val:0.18, animation:enemy_virus]</v>
      </c>
      <c r="O58" s="63">
        <f t="shared" si="56"/>
        <v>9</v>
      </c>
      <c r="P58" s="63">
        <f t="shared" si="57"/>
        <v>14</v>
      </c>
      <c r="Q58" s="63" t="e">
        <f t="shared" si="58"/>
        <v>#VALUE!</v>
      </c>
      <c r="R58" s="63">
        <f t="shared" si="59"/>
        <v>23</v>
      </c>
      <c r="S58" s="63" t="str">
        <f>IFERROR(VLOOKUP(MID(N58,Q58,R58-Q58),[6]skilldef!$C:$D,2,FALSE),"-") &amp; " / " &amp; IFERROR(VLOOKUP(MID(N58,O58,P58-O58),[6]skilldef!$A:$B,2,FALSE),"-")</f>
        <v>- / ウィルス</v>
      </c>
      <c r="T58" s="48" t="str">
        <f t="shared" si="60"/>
        <v>none</v>
      </c>
      <c r="U58" s="63" t="e">
        <f t="shared" si="61"/>
        <v>#VALUE!</v>
      </c>
      <c r="V58" s="63">
        <f t="shared" si="62"/>
        <v>4</v>
      </c>
      <c r="W58" s="63" t="e">
        <f t="shared" si="63"/>
        <v>#VALUE!</v>
      </c>
      <c r="X58" s="63" t="e">
        <f t="shared" si="64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40031161</v>
      </c>
      <c r="B59" s="47" t="s">
        <v>418</v>
      </c>
      <c r="C59" s="50">
        <v>3</v>
      </c>
      <c r="D59" s="50" t="s">
        <v>127</v>
      </c>
      <c r="E59" s="51" t="s">
        <v>360</v>
      </c>
      <c r="F59" s="51" t="s">
        <v>336</v>
      </c>
      <c r="G59" s="63" t="str">
        <f t="shared" si="49"/>
        <v>[effect:enemy_message, val1:1.5]</v>
      </c>
      <c r="H59" s="63">
        <f t="shared" si="50"/>
        <v>9</v>
      </c>
      <c r="I59" s="63">
        <f t="shared" si="51"/>
        <v>22</v>
      </c>
      <c r="J59" s="63" t="e">
        <f t="shared" si="52"/>
        <v>#VALUE!</v>
      </c>
      <c r="K59" s="63" t="e">
        <f t="shared" si="53"/>
        <v>#VALUE!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54"/>
        <v>[effect:degrade_fever, val:500, animation:fevergauge_down],[effect:tolerance, target:myself, turn:-1, tolerance_effect:all, count:-1, animation:enemy_tolerance]</v>
      </c>
      <c r="N59" s="48" t="str">
        <f t="shared" si="65"/>
        <v>[effect:degrade_fever, val:500, animation:fevergauge_down]</v>
      </c>
      <c r="O59" s="63">
        <f t="shared" si="56"/>
        <v>9</v>
      </c>
      <c r="P59" s="63">
        <f t="shared" si="57"/>
        <v>22</v>
      </c>
      <c r="Q59" s="63" t="e">
        <f t="shared" si="58"/>
        <v>#VALUE!</v>
      </c>
      <c r="R59" s="63">
        <f t="shared" si="59"/>
        <v>31</v>
      </c>
      <c r="S59" s="63" t="str">
        <f>IFERROR(VLOOKUP(MID(N59,Q59,R59-Q59),[6]skilldef!$C:$D,2,FALSE),"-") &amp; " / " &amp; IFERROR(VLOOKUP(MID(N59,O59,P59-O59),[6]skilldef!$A:$B,2,FALSE),"-")</f>
        <v>- / フィーバーゲージ減少</v>
      </c>
      <c r="T59" s="48" t="str">
        <f t="shared" si="60"/>
        <v>[effect:tolerance, target:myself, turn:-1, tolerance_effect:all, count:-1, animation:enemy_tolerance]</v>
      </c>
      <c r="U59" s="63">
        <f t="shared" si="61"/>
        <v>9</v>
      </c>
      <c r="V59" s="63">
        <f t="shared" si="62"/>
        <v>18</v>
      </c>
      <c r="W59" s="63">
        <f t="shared" si="63"/>
        <v>27</v>
      </c>
      <c r="X59" s="63">
        <f t="shared" si="64"/>
        <v>33</v>
      </c>
      <c r="Y59" s="63" t="str">
        <f>IFERROR(VLOOKUP(MID(T59,W59,X59-W59),[6]skilldef!$C:$D,2,FALSE),"-") &amp; " / " &amp; IFERROR(VLOOKUP(MID(T59,U59,V59-U59),[6]skilldef!$A:$B,2,FALSE),"-")</f>
        <v>自分自身に / 状態異常耐性</v>
      </c>
      <c r="Z59" s="50"/>
      <c r="AA59" s="52"/>
      <c r="AB59" s="50"/>
    </row>
    <row r="60" spans="1:28" ht="21" customHeight="1" x14ac:dyDescent="0.15">
      <c r="A60" s="47">
        <v>40031162</v>
      </c>
      <c r="B60" s="47" t="s">
        <v>426</v>
      </c>
      <c r="C60" s="50">
        <v>3</v>
      </c>
      <c r="D60" s="50" t="s">
        <v>127</v>
      </c>
      <c r="E60" s="51" t="s">
        <v>361</v>
      </c>
      <c r="F60" s="160" t="s">
        <v>337</v>
      </c>
      <c r="G60" s="63" t="str">
        <f t="shared" si="49"/>
        <v>[effect:force_change_block, new_block:time_bomb, target:block_all, ignore01:block_positive, ignore02:block_negative, color:block_red, count:2, val:0.1, animation:change_block]</v>
      </c>
      <c r="H60" s="63">
        <f t="shared" si="50"/>
        <v>9</v>
      </c>
      <c r="I60" s="63">
        <f t="shared" si="51"/>
        <v>27</v>
      </c>
      <c r="J60" s="63">
        <f t="shared" si="52"/>
        <v>57</v>
      </c>
      <c r="K60" s="63">
        <f t="shared" si="53"/>
        <v>48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54"/>
        <v>[effect:force_change_block, new_block:time_bomb, target:block_all, ignore01:block_positive, ignore02:block_negative, color:block_blue, count:2, val:0.1, animation:change_block],[effect:force_change_block, new_block:time_bomb, target:block_all, ignore01:block_positive, ignore02:block_negative, color:block_yellow, count:2, val:0.1, animation:change_block],[effect:force_change_block, new_block:time_bomb, target:block_all, ignore01:block_positive, ignore02:block_negative, color:block_green, count:2, val:0.1, animation:change_block],[effect:force_change_block, new_block:time_bomb, target:block_all, ignore01:block_positive, ignore02:block_negative, color:block_heart, count:2, val:0.1, animation:change_block]</v>
      </c>
      <c r="N60" s="48" t="str">
        <f t="shared" si="65"/>
        <v>[effect:force_change_block, new_block:time_bomb, target:block_all, ignore01:block_positive, ignore02:block_negative, color:block_blue, count:2, val:0.1, animation:change_block]</v>
      </c>
      <c r="O60" s="63">
        <f t="shared" si="56"/>
        <v>9</v>
      </c>
      <c r="P60" s="63">
        <f t="shared" si="57"/>
        <v>27</v>
      </c>
      <c r="Q60" s="63">
        <f t="shared" si="58"/>
        <v>57</v>
      </c>
      <c r="R60" s="63">
        <f t="shared" si="59"/>
        <v>48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60"/>
        <v>[effect:force_change_block, new_block:time_bomb, target:block_all, ignore01:block_positive, ignore02:block_negative, color:block_yellow, count:2, val:0.1, animation:change_block],[effect:force_change_block, new_block:time_bomb, target:block_all, ignore01:block_positive, ignore02:block_negative, color:block_green, count:2, val:0.1, animation:change_block],[effect:force_change_block, new_block:time_bomb, target:block_all, ignore01:block_positive, ignore02:block_negative, color:block_heart, count:2, val:0.1, animation:change_block]</v>
      </c>
      <c r="U60" s="63">
        <f t="shared" si="61"/>
        <v>9</v>
      </c>
      <c r="V60" s="63">
        <f t="shared" si="62"/>
        <v>27</v>
      </c>
      <c r="W60" s="63">
        <f t="shared" si="63"/>
        <v>57</v>
      </c>
      <c r="X60" s="63">
        <f t="shared" si="64"/>
        <v>48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0"/>
  <sheetViews>
    <sheetView showGridLines="0" zoomScale="146" zoomScaleNormal="146" zoomScalePageLayoutView="146" workbookViewId="0">
      <pane ySplit="1" topLeftCell="A41" activePane="bottomLeft" state="frozenSplit"/>
      <selection pane="bottomLeft" activeCell="E55" sqref="E5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40031100</v>
      </c>
      <c r="B2" s="47">
        <v>1</v>
      </c>
      <c r="C2" s="47">
        <v>100</v>
      </c>
      <c r="D2" s="47">
        <v>100</v>
      </c>
      <c r="E2" s="47" t="s">
        <v>281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50" si="0">D2</f>
        <v>100</v>
      </c>
    </row>
    <row r="3" spans="1:11" ht="21" customHeight="1" x14ac:dyDescent="0.15">
      <c r="A3" s="47">
        <v>40031101</v>
      </c>
      <c r="B3" s="48">
        <v>0</v>
      </c>
      <c r="C3" s="48">
        <v>50</v>
      </c>
      <c r="D3" s="48">
        <v>100</v>
      </c>
      <c r="E3" s="48" t="s">
        <v>280</v>
      </c>
      <c r="F3" s="48" t="s">
        <v>53</v>
      </c>
      <c r="G3" s="48" t="s">
        <v>53</v>
      </c>
      <c r="H3" s="48">
        <v>2</v>
      </c>
      <c r="I3" s="48" t="s">
        <v>53</v>
      </c>
      <c r="J3" s="48">
        <f t="shared" si="0"/>
        <v>100</v>
      </c>
    </row>
    <row r="4" spans="1:11" ht="21" customHeight="1" x14ac:dyDescent="0.15">
      <c r="A4" s="47">
        <v>40031102</v>
      </c>
      <c r="B4" s="48">
        <v>0</v>
      </c>
      <c r="C4" s="48">
        <v>50</v>
      </c>
      <c r="D4" s="48">
        <v>100</v>
      </c>
      <c r="E4" s="48">
        <v>50</v>
      </c>
      <c r="F4" s="48" t="s">
        <v>53</v>
      </c>
      <c r="G4" s="48">
        <v>1</v>
      </c>
      <c r="H4" s="48" t="s">
        <v>281</v>
      </c>
      <c r="I4" s="48" t="s">
        <v>282</v>
      </c>
      <c r="J4" s="48">
        <f t="shared" si="0"/>
        <v>100</v>
      </c>
    </row>
    <row r="5" spans="1:11" ht="21" customHeight="1" x14ac:dyDescent="0.15">
      <c r="A5" s="47">
        <v>40031103</v>
      </c>
      <c r="B5" s="48">
        <v>1</v>
      </c>
      <c r="C5" s="48">
        <v>100</v>
      </c>
      <c r="D5" s="48">
        <v>100</v>
      </c>
      <c r="E5" s="48" t="s">
        <v>280</v>
      </c>
      <c r="F5" s="48" t="s">
        <v>53</v>
      </c>
      <c r="G5" s="48">
        <v>1</v>
      </c>
      <c r="H5" s="48" t="s">
        <v>281</v>
      </c>
      <c r="I5" s="48" t="s">
        <v>282</v>
      </c>
      <c r="J5" s="48">
        <f t="shared" si="0"/>
        <v>100</v>
      </c>
    </row>
    <row r="6" spans="1:11" ht="21" customHeight="1" x14ac:dyDescent="0.15">
      <c r="A6" s="47">
        <v>40031104</v>
      </c>
      <c r="B6" s="48">
        <v>0</v>
      </c>
      <c r="C6" s="48">
        <v>80</v>
      </c>
      <c r="D6" s="48">
        <v>70</v>
      </c>
      <c r="E6" s="48" t="s">
        <v>280</v>
      </c>
      <c r="F6" s="48" t="s">
        <v>53</v>
      </c>
      <c r="G6" s="48" t="s">
        <v>53</v>
      </c>
      <c r="H6" s="48" t="s">
        <v>281</v>
      </c>
      <c r="I6" s="48" t="s">
        <v>282</v>
      </c>
      <c r="J6" s="48">
        <f t="shared" si="0"/>
        <v>70</v>
      </c>
    </row>
    <row r="7" spans="1:11" ht="21" customHeight="1" x14ac:dyDescent="0.15">
      <c r="A7" s="47">
        <v>40031105</v>
      </c>
      <c r="B7" s="48">
        <v>1</v>
      </c>
      <c r="C7" s="48">
        <v>100</v>
      </c>
      <c r="D7" s="48">
        <v>100</v>
      </c>
      <c r="E7" s="48" t="s">
        <v>280</v>
      </c>
      <c r="F7" s="48" t="s">
        <v>53</v>
      </c>
      <c r="G7" s="48">
        <v>1</v>
      </c>
      <c r="H7" s="48" t="s">
        <v>281</v>
      </c>
      <c r="I7" s="48" t="s">
        <v>282</v>
      </c>
      <c r="J7" s="48">
        <f t="shared" si="0"/>
        <v>100</v>
      </c>
    </row>
    <row r="8" spans="1:11" ht="21" customHeight="1" x14ac:dyDescent="0.15">
      <c r="A8" s="47">
        <v>40031106</v>
      </c>
      <c r="B8" s="48">
        <v>0</v>
      </c>
      <c r="C8" s="48">
        <v>80</v>
      </c>
      <c r="D8" s="48">
        <v>70</v>
      </c>
      <c r="E8" s="48" t="s">
        <v>280</v>
      </c>
      <c r="F8" s="48" t="s">
        <v>53</v>
      </c>
      <c r="G8" s="48" t="s">
        <v>53</v>
      </c>
      <c r="H8" s="48" t="s">
        <v>281</v>
      </c>
      <c r="I8" s="48" t="s">
        <v>282</v>
      </c>
      <c r="J8" s="48">
        <f t="shared" si="0"/>
        <v>70</v>
      </c>
    </row>
    <row r="9" spans="1:11" ht="21" customHeight="1" x14ac:dyDescent="0.15">
      <c r="A9" s="47">
        <v>40031107</v>
      </c>
      <c r="B9" s="48">
        <v>0</v>
      </c>
      <c r="C9" s="48">
        <v>90</v>
      </c>
      <c r="D9" s="48">
        <v>100</v>
      </c>
      <c r="E9" s="48" t="s">
        <v>280</v>
      </c>
      <c r="F9" s="48" t="s">
        <v>53</v>
      </c>
      <c r="G9" s="48" t="s">
        <v>53</v>
      </c>
      <c r="H9" s="48">
        <v>2</v>
      </c>
      <c r="I9" s="48" t="s">
        <v>282</v>
      </c>
      <c r="J9" s="48">
        <f t="shared" si="0"/>
        <v>100</v>
      </c>
    </row>
    <row r="10" spans="1:11" ht="21" customHeight="1" x14ac:dyDescent="0.15">
      <c r="A10" s="47">
        <v>40031108</v>
      </c>
      <c r="B10" s="48">
        <v>1</v>
      </c>
      <c r="C10" s="48">
        <v>100</v>
      </c>
      <c r="D10" s="48">
        <v>100</v>
      </c>
      <c r="E10" s="48" t="s">
        <v>280</v>
      </c>
      <c r="F10" s="48" t="s">
        <v>53</v>
      </c>
      <c r="G10" s="48">
        <v>1</v>
      </c>
      <c r="H10" s="48" t="s">
        <v>281</v>
      </c>
      <c r="I10" s="48" t="s">
        <v>282</v>
      </c>
      <c r="J10" s="48">
        <f t="shared" si="0"/>
        <v>100</v>
      </c>
    </row>
    <row r="11" spans="1:11" ht="21" customHeight="1" x14ac:dyDescent="0.15">
      <c r="A11" s="47">
        <v>40031109</v>
      </c>
      <c r="B11" s="48">
        <v>0</v>
      </c>
      <c r="C11" s="48">
        <v>120</v>
      </c>
      <c r="D11" s="48">
        <v>100</v>
      </c>
      <c r="E11" s="48" t="s">
        <v>280</v>
      </c>
      <c r="F11" s="48" t="s">
        <v>53</v>
      </c>
      <c r="G11" s="48">
        <v>1</v>
      </c>
      <c r="H11" s="48" t="s">
        <v>281</v>
      </c>
      <c r="I11" s="48">
        <v>308</v>
      </c>
      <c r="J11" s="48">
        <f t="shared" si="0"/>
        <v>100</v>
      </c>
    </row>
    <row r="12" spans="1:11" ht="21" customHeight="1" x14ac:dyDescent="0.15">
      <c r="A12" s="47">
        <v>40031110</v>
      </c>
      <c r="B12" s="48">
        <v>0</v>
      </c>
      <c r="C12" s="48">
        <v>80</v>
      </c>
      <c r="D12" s="48">
        <v>100</v>
      </c>
      <c r="E12" s="48" t="s">
        <v>280</v>
      </c>
      <c r="F12" s="48" t="s">
        <v>53</v>
      </c>
      <c r="G12" s="48">
        <v>1</v>
      </c>
      <c r="H12" s="48">
        <v>2</v>
      </c>
      <c r="I12" s="48" t="s">
        <v>282</v>
      </c>
      <c r="J12" s="48">
        <f t="shared" si="0"/>
        <v>100</v>
      </c>
    </row>
    <row r="13" spans="1:11" ht="21" customHeight="1" x14ac:dyDescent="0.15">
      <c r="A13" s="47">
        <v>40031111</v>
      </c>
      <c r="B13" s="48">
        <v>0</v>
      </c>
      <c r="C13" s="48">
        <v>70</v>
      </c>
      <c r="D13" s="48">
        <v>100</v>
      </c>
      <c r="E13" s="48" t="s">
        <v>280</v>
      </c>
      <c r="F13" s="48" t="s">
        <v>53</v>
      </c>
      <c r="G13" s="48">
        <v>1</v>
      </c>
      <c r="H13" s="48">
        <v>2</v>
      </c>
      <c r="I13" s="48" t="s">
        <v>282</v>
      </c>
      <c r="J13" s="48">
        <f t="shared" si="0"/>
        <v>100</v>
      </c>
    </row>
    <row r="14" spans="1:11" ht="21" customHeight="1" x14ac:dyDescent="0.15">
      <c r="A14" s="47">
        <v>40031112</v>
      </c>
      <c r="B14" s="48">
        <v>0</v>
      </c>
      <c r="C14" s="48">
        <v>60</v>
      </c>
      <c r="D14" s="48">
        <v>100</v>
      </c>
      <c r="E14" s="48" t="s">
        <v>280</v>
      </c>
      <c r="F14" s="48" t="s">
        <v>53</v>
      </c>
      <c r="G14" s="48">
        <v>1</v>
      </c>
      <c r="H14" s="48">
        <v>2</v>
      </c>
      <c r="I14" s="48" t="s">
        <v>282</v>
      </c>
      <c r="J14" s="48">
        <f t="shared" si="0"/>
        <v>100</v>
      </c>
    </row>
    <row r="15" spans="1:11" ht="21" customHeight="1" x14ac:dyDescent="0.15">
      <c r="A15" s="47">
        <v>40031113</v>
      </c>
      <c r="B15" s="48">
        <v>0</v>
      </c>
      <c r="C15" s="48">
        <v>50</v>
      </c>
      <c r="D15" s="48">
        <v>100</v>
      </c>
      <c r="E15" s="48" t="s">
        <v>280</v>
      </c>
      <c r="F15" s="48" t="s">
        <v>53</v>
      </c>
      <c r="G15" s="48">
        <v>1</v>
      </c>
      <c r="H15" s="48">
        <v>2</v>
      </c>
      <c r="I15" s="48" t="s">
        <v>282</v>
      </c>
      <c r="J15" s="48">
        <f t="shared" si="0"/>
        <v>100</v>
      </c>
    </row>
    <row r="16" spans="1:11" ht="21" customHeight="1" x14ac:dyDescent="0.15">
      <c r="A16" s="47">
        <v>40031114</v>
      </c>
      <c r="B16" s="48">
        <v>0</v>
      </c>
      <c r="C16" s="48">
        <v>40</v>
      </c>
      <c r="D16" s="48">
        <v>100</v>
      </c>
      <c r="E16" s="48" t="s">
        <v>280</v>
      </c>
      <c r="F16" s="48" t="s">
        <v>53</v>
      </c>
      <c r="G16" s="48">
        <v>1</v>
      </c>
      <c r="H16" s="48">
        <v>2</v>
      </c>
      <c r="I16" s="48" t="s">
        <v>282</v>
      </c>
      <c r="J16" s="48">
        <f t="shared" si="0"/>
        <v>100</v>
      </c>
    </row>
    <row r="17" spans="1:10" ht="21" customHeight="1" x14ac:dyDescent="0.15">
      <c r="A17" s="47">
        <v>40031115</v>
      </c>
      <c r="B17" s="48">
        <v>0</v>
      </c>
      <c r="C17" s="48">
        <v>100</v>
      </c>
      <c r="D17" s="48">
        <v>100</v>
      </c>
      <c r="E17" s="48" t="s">
        <v>280</v>
      </c>
      <c r="F17" s="48" t="s">
        <v>53</v>
      </c>
      <c r="G17" s="48">
        <v>0</v>
      </c>
      <c r="H17" s="48" t="s">
        <v>281</v>
      </c>
      <c r="I17" s="48">
        <v>0</v>
      </c>
      <c r="J17" s="48">
        <f t="shared" si="0"/>
        <v>100</v>
      </c>
    </row>
    <row r="18" spans="1:10" ht="21" customHeight="1" x14ac:dyDescent="0.15">
      <c r="A18" s="47">
        <v>40031116</v>
      </c>
      <c r="B18" s="48">
        <v>1</v>
      </c>
      <c r="C18" s="48">
        <v>100</v>
      </c>
      <c r="D18" s="48">
        <v>100</v>
      </c>
      <c r="E18" s="48" t="s">
        <v>280</v>
      </c>
      <c r="F18" s="48" t="s">
        <v>53</v>
      </c>
      <c r="G18" s="48">
        <v>1</v>
      </c>
      <c r="H18" s="48" t="s">
        <v>281</v>
      </c>
      <c r="I18" s="48" t="s">
        <v>282</v>
      </c>
      <c r="J18" s="48">
        <f t="shared" si="0"/>
        <v>100</v>
      </c>
    </row>
    <row r="19" spans="1:10" ht="21" customHeight="1" x14ac:dyDescent="0.15">
      <c r="A19" s="47">
        <v>40031117</v>
      </c>
      <c r="B19" s="48">
        <v>0</v>
      </c>
      <c r="C19" s="48">
        <v>120</v>
      </c>
      <c r="D19" s="48">
        <v>100</v>
      </c>
      <c r="E19" s="48" t="s">
        <v>280</v>
      </c>
      <c r="F19" s="48" t="s">
        <v>53</v>
      </c>
      <c r="G19" s="48">
        <v>1</v>
      </c>
      <c r="H19" s="48" t="s">
        <v>281</v>
      </c>
      <c r="I19" s="48">
        <v>153</v>
      </c>
      <c r="J19" s="48">
        <f t="shared" si="0"/>
        <v>100</v>
      </c>
    </row>
    <row r="20" spans="1:10" ht="21" customHeight="1" x14ac:dyDescent="0.15">
      <c r="A20" s="47">
        <v>40031118</v>
      </c>
      <c r="B20" s="48">
        <v>0</v>
      </c>
      <c r="C20" s="48">
        <v>100</v>
      </c>
      <c r="D20" s="48">
        <v>100</v>
      </c>
      <c r="E20" s="48" t="s">
        <v>280</v>
      </c>
      <c r="F20" s="48" t="s">
        <v>53</v>
      </c>
      <c r="G20" s="48">
        <v>1</v>
      </c>
      <c r="H20" s="48">
        <v>1</v>
      </c>
      <c r="I20" s="48" t="s">
        <v>282</v>
      </c>
      <c r="J20" s="48">
        <f t="shared" si="0"/>
        <v>100</v>
      </c>
    </row>
    <row r="21" spans="1:10" ht="21" customHeight="1" x14ac:dyDescent="0.15">
      <c r="A21" s="47">
        <v>40031119</v>
      </c>
      <c r="B21" s="48">
        <v>0</v>
      </c>
      <c r="C21" s="48">
        <v>50</v>
      </c>
      <c r="D21" s="48">
        <v>45</v>
      </c>
      <c r="E21" s="48" t="s">
        <v>280</v>
      </c>
      <c r="F21" s="48" t="s">
        <v>53</v>
      </c>
      <c r="G21" s="48" t="s">
        <v>53</v>
      </c>
      <c r="H21" s="48" t="s">
        <v>281</v>
      </c>
      <c r="I21" s="48" t="s">
        <v>282</v>
      </c>
      <c r="J21" s="48">
        <f t="shared" si="0"/>
        <v>45</v>
      </c>
    </row>
    <row r="22" spans="1:10" ht="21" customHeight="1" x14ac:dyDescent="0.15">
      <c r="A22" s="47">
        <v>40031120</v>
      </c>
      <c r="B22" s="48">
        <v>0</v>
      </c>
      <c r="C22" s="48">
        <v>90</v>
      </c>
      <c r="D22" s="48">
        <v>100</v>
      </c>
      <c r="E22" s="48">
        <v>50</v>
      </c>
      <c r="F22" s="48" t="s">
        <v>53</v>
      </c>
      <c r="G22" s="48">
        <v>1</v>
      </c>
      <c r="H22" s="48" t="s">
        <v>281</v>
      </c>
      <c r="I22" s="48" t="s">
        <v>282</v>
      </c>
      <c r="J22" s="48">
        <f t="shared" si="0"/>
        <v>100</v>
      </c>
    </row>
    <row r="23" spans="1:10" ht="21" customHeight="1" x14ac:dyDescent="0.15">
      <c r="A23" s="47">
        <v>40031121</v>
      </c>
      <c r="B23" s="48">
        <v>0</v>
      </c>
      <c r="C23" s="48">
        <v>80</v>
      </c>
      <c r="D23" s="48">
        <v>100</v>
      </c>
      <c r="E23" s="48">
        <v>50</v>
      </c>
      <c r="F23" s="48" t="s">
        <v>53</v>
      </c>
      <c r="G23" s="48">
        <v>1</v>
      </c>
      <c r="H23" s="48" t="s">
        <v>281</v>
      </c>
      <c r="I23" s="48" t="s">
        <v>282</v>
      </c>
      <c r="J23" s="48">
        <f t="shared" si="0"/>
        <v>100</v>
      </c>
    </row>
    <row r="24" spans="1:10" ht="21" customHeight="1" x14ac:dyDescent="0.15">
      <c r="A24" s="47">
        <v>40031122</v>
      </c>
      <c r="B24" s="48">
        <v>0</v>
      </c>
      <c r="C24" s="48">
        <v>100</v>
      </c>
      <c r="D24" s="48">
        <v>100</v>
      </c>
      <c r="E24" s="48" t="s">
        <v>280</v>
      </c>
      <c r="F24" s="48" t="s">
        <v>53</v>
      </c>
      <c r="G24" s="48">
        <v>0</v>
      </c>
      <c r="H24" s="48" t="s">
        <v>281</v>
      </c>
      <c r="I24" s="48">
        <v>0</v>
      </c>
      <c r="J24" s="48">
        <f t="shared" si="0"/>
        <v>100</v>
      </c>
    </row>
    <row r="25" spans="1:10" ht="21" customHeight="1" x14ac:dyDescent="0.15">
      <c r="A25" s="47">
        <v>40031123</v>
      </c>
      <c r="B25" s="48">
        <v>1</v>
      </c>
      <c r="C25" s="48">
        <v>100</v>
      </c>
      <c r="D25" s="48">
        <v>100</v>
      </c>
      <c r="E25" s="48" t="s">
        <v>280</v>
      </c>
      <c r="F25" s="48" t="s">
        <v>53</v>
      </c>
      <c r="G25" s="48">
        <v>1</v>
      </c>
      <c r="H25" s="48" t="s">
        <v>281</v>
      </c>
      <c r="I25" s="48" t="s">
        <v>282</v>
      </c>
      <c r="J25" s="48">
        <f t="shared" si="0"/>
        <v>100</v>
      </c>
    </row>
    <row r="26" spans="1:10" ht="21" customHeight="1" x14ac:dyDescent="0.15">
      <c r="A26" s="47">
        <v>40031124</v>
      </c>
      <c r="B26" s="48">
        <v>0</v>
      </c>
      <c r="C26" s="48">
        <v>80</v>
      </c>
      <c r="D26" s="48">
        <v>100</v>
      </c>
      <c r="E26" s="48" t="s">
        <v>280</v>
      </c>
      <c r="F26" s="48" t="s">
        <v>53</v>
      </c>
      <c r="G26" s="48">
        <v>1</v>
      </c>
      <c r="H26" s="48">
        <v>2</v>
      </c>
      <c r="I26" s="48" t="s">
        <v>282</v>
      </c>
      <c r="J26" s="48">
        <f t="shared" si="0"/>
        <v>100</v>
      </c>
    </row>
    <row r="27" spans="1:10" ht="21" customHeight="1" x14ac:dyDescent="0.15">
      <c r="A27" s="47">
        <v>40031125</v>
      </c>
      <c r="B27" s="48">
        <v>0</v>
      </c>
      <c r="C27" s="48">
        <v>70</v>
      </c>
      <c r="D27" s="48">
        <v>100</v>
      </c>
      <c r="E27" s="48" t="s">
        <v>280</v>
      </c>
      <c r="F27" s="48" t="s">
        <v>53</v>
      </c>
      <c r="G27" s="48">
        <v>1</v>
      </c>
      <c r="H27" s="48">
        <v>2</v>
      </c>
      <c r="I27" s="48" t="s">
        <v>282</v>
      </c>
      <c r="J27" s="48">
        <f t="shared" si="0"/>
        <v>100</v>
      </c>
    </row>
    <row r="28" spans="1:10" ht="21" customHeight="1" x14ac:dyDescent="0.15">
      <c r="A28" s="47">
        <v>40031126</v>
      </c>
      <c r="B28" s="48">
        <v>0</v>
      </c>
      <c r="C28" s="48">
        <v>60</v>
      </c>
      <c r="D28" s="48">
        <v>100</v>
      </c>
      <c r="E28" s="48" t="s">
        <v>280</v>
      </c>
      <c r="F28" s="48" t="s">
        <v>53</v>
      </c>
      <c r="G28" s="48">
        <v>1</v>
      </c>
      <c r="H28" s="48">
        <v>2</v>
      </c>
      <c r="I28" s="48" t="s">
        <v>282</v>
      </c>
      <c r="J28" s="48">
        <f t="shared" si="0"/>
        <v>100</v>
      </c>
    </row>
    <row r="29" spans="1:10" ht="21" customHeight="1" x14ac:dyDescent="0.15">
      <c r="A29" s="47">
        <v>40031127</v>
      </c>
      <c r="B29" s="48">
        <v>0</v>
      </c>
      <c r="C29" s="48">
        <v>50</v>
      </c>
      <c r="D29" s="48">
        <v>100</v>
      </c>
      <c r="E29" s="48">
        <v>50</v>
      </c>
      <c r="F29" s="48" t="s">
        <v>53</v>
      </c>
      <c r="G29" s="48">
        <v>1</v>
      </c>
      <c r="H29" s="48">
        <v>1</v>
      </c>
      <c r="I29" s="48" t="s">
        <v>282</v>
      </c>
      <c r="J29" s="48">
        <f t="shared" si="0"/>
        <v>100</v>
      </c>
    </row>
    <row r="30" spans="1:10" ht="21" customHeight="1" x14ac:dyDescent="0.15">
      <c r="A30" s="47">
        <v>40031128</v>
      </c>
      <c r="B30" s="48">
        <v>0</v>
      </c>
      <c r="C30" s="48">
        <v>30</v>
      </c>
      <c r="D30" s="48">
        <v>60</v>
      </c>
      <c r="E30" s="48" t="s">
        <v>280</v>
      </c>
      <c r="F30" s="48" t="s">
        <v>53</v>
      </c>
      <c r="G30" s="48" t="s">
        <v>53</v>
      </c>
      <c r="H30" s="48">
        <v>1</v>
      </c>
      <c r="I30" s="48" t="s">
        <v>282</v>
      </c>
      <c r="J30" s="48">
        <f t="shared" si="0"/>
        <v>60</v>
      </c>
    </row>
    <row r="31" spans="1:10" ht="21" customHeight="1" x14ac:dyDescent="0.15">
      <c r="A31" s="47">
        <v>40031129</v>
      </c>
      <c r="B31" s="48">
        <v>1</v>
      </c>
      <c r="C31" s="48">
        <v>100</v>
      </c>
      <c r="D31" s="48">
        <v>100</v>
      </c>
      <c r="E31" s="48" t="s">
        <v>280</v>
      </c>
      <c r="F31" s="48" t="s">
        <v>53</v>
      </c>
      <c r="G31" s="48">
        <v>1</v>
      </c>
      <c r="H31" s="48" t="s">
        <v>281</v>
      </c>
      <c r="I31" s="48" t="s">
        <v>282</v>
      </c>
      <c r="J31" s="48">
        <f t="shared" si="0"/>
        <v>100</v>
      </c>
    </row>
    <row r="32" spans="1:10" ht="21" customHeight="1" x14ac:dyDescent="0.15">
      <c r="A32" s="47">
        <v>40031130</v>
      </c>
      <c r="B32" s="48">
        <v>0</v>
      </c>
      <c r="C32" s="48">
        <v>80</v>
      </c>
      <c r="D32" s="48">
        <v>100</v>
      </c>
      <c r="E32" s="48" t="s">
        <v>280</v>
      </c>
      <c r="F32" s="48" t="s">
        <v>53</v>
      </c>
      <c r="G32" s="48">
        <v>1</v>
      </c>
      <c r="H32" s="48">
        <v>2</v>
      </c>
      <c r="I32" s="48" t="s">
        <v>282</v>
      </c>
      <c r="J32" s="48">
        <f t="shared" si="0"/>
        <v>100</v>
      </c>
    </row>
    <row r="33" spans="1:10" ht="21" customHeight="1" x14ac:dyDescent="0.15">
      <c r="A33" s="47">
        <v>40031131</v>
      </c>
      <c r="B33" s="48">
        <v>0</v>
      </c>
      <c r="C33" s="48">
        <v>70</v>
      </c>
      <c r="D33" s="48">
        <v>100</v>
      </c>
      <c r="E33" s="48" t="s">
        <v>280</v>
      </c>
      <c r="F33" s="48" t="s">
        <v>53</v>
      </c>
      <c r="G33" s="48">
        <v>1</v>
      </c>
      <c r="H33" s="48">
        <v>2</v>
      </c>
      <c r="I33" s="48" t="s">
        <v>282</v>
      </c>
      <c r="J33" s="48">
        <f t="shared" si="0"/>
        <v>100</v>
      </c>
    </row>
    <row r="34" spans="1:10" ht="21" customHeight="1" x14ac:dyDescent="0.15">
      <c r="A34" s="47">
        <v>40031132</v>
      </c>
      <c r="B34" s="48">
        <v>0</v>
      </c>
      <c r="C34" s="48">
        <v>60</v>
      </c>
      <c r="D34" s="48">
        <v>100</v>
      </c>
      <c r="E34" s="48" t="s">
        <v>280</v>
      </c>
      <c r="F34" s="48" t="s">
        <v>53</v>
      </c>
      <c r="G34" s="48">
        <v>1</v>
      </c>
      <c r="H34" s="48">
        <v>2</v>
      </c>
      <c r="I34" s="48" t="s">
        <v>282</v>
      </c>
      <c r="J34" s="48">
        <f t="shared" si="0"/>
        <v>100</v>
      </c>
    </row>
    <row r="35" spans="1:10" ht="21" customHeight="1" x14ac:dyDescent="0.15">
      <c r="A35" s="47">
        <v>40031133</v>
      </c>
      <c r="B35" s="48">
        <v>0</v>
      </c>
      <c r="C35" s="48">
        <v>30</v>
      </c>
      <c r="D35" s="48">
        <v>60</v>
      </c>
      <c r="E35" s="48" t="s">
        <v>280</v>
      </c>
      <c r="F35" s="48" t="s">
        <v>53</v>
      </c>
      <c r="G35" s="48" t="s">
        <v>53</v>
      </c>
      <c r="H35" s="48">
        <v>1</v>
      </c>
      <c r="I35" s="48" t="s">
        <v>282</v>
      </c>
      <c r="J35" s="48">
        <f t="shared" si="0"/>
        <v>60</v>
      </c>
    </row>
    <row r="36" spans="1:10" ht="21" customHeight="1" x14ac:dyDescent="0.15">
      <c r="A36" s="47">
        <v>40031134</v>
      </c>
      <c r="B36" s="48">
        <v>0</v>
      </c>
      <c r="C36" s="48">
        <v>91</v>
      </c>
      <c r="D36" s="48">
        <v>100</v>
      </c>
      <c r="E36" s="48">
        <v>50</v>
      </c>
      <c r="F36" s="48" t="s">
        <v>53</v>
      </c>
      <c r="G36" s="48">
        <v>1</v>
      </c>
      <c r="H36" s="48">
        <v>1</v>
      </c>
      <c r="I36" s="48" t="s">
        <v>282</v>
      </c>
      <c r="J36" s="48">
        <f t="shared" si="0"/>
        <v>100</v>
      </c>
    </row>
    <row r="37" spans="1:10" ht="21" customHeight="1" x14ac:dyDescent="0.15">
      <c r="A37" s="47">
        <v>40031135</v>
      </c>
      <c r="B37" s="48">
        <v>0</v>
      </c>
      <c r="C37" s="48">
        <v>90</v>
      </c>
      <c r="D37" s="48">
        <v>100</v>
      </c>
      <c r="E37" s="48">
        <v>50</v>
      </c>
      <c r="F37" s="48" t="s">
        <v>53</v>
      </c>
      <c r="G37" s="48">
        <v>1</v>
      </c>
      <c r="H37" s="48">
        <v>1</v>
      </c>
      <c r="I37" s="48" t="s">
        <v>282</v>
      </c>
      <c r="J37" s="48">
        <f t="shared" si="0"/>
        <v>100</v>
      </c>
    </row>
    <row r="38" spans="1:10" ht="21" customHeight="1" x14ac:dyDescent="0.15">
      <c r="A38" s="47">
        <v>40031136</v>
      </c>
      <c r="B38" s="48">
        <v>1</v>
      </c>
      <c r="C38" s="48">
        <v>100</v>
      </c>
      <c r="D38" s="48">
        <v>100</v>
      </c>
      <c r="E38" s="48" t="s">
        <v>280</v>
      </c>
      <c r="F38" s="48" t="s">
        <v>53</v>
      </c>
      <c r="G38" s="48">
        <v>1</v>
      </c>
      <c r="H38" s="48">
        <v>1</v>
      </c>
      <c r="I38" s="48" t="s">
        <v>282</v>
      </c>
      <c r="J38" s="48">
        <f t="shared" si="0"/>
        <v>100</v>
      </c>
    </row>
    <row r="39" spans="1:10" ht="21" customHeight="1" x14ac:dyDescent="0.15">
      <c r="A39" s="47">
        <v>40031137</v>
      </c>
      <c r="B39" s="48">
        <v>0</v>
      </c>
      <c r="C39" s="48">
        <v>90</v>
      </c>
      <c r="D39" s="48">
        <v>100</v>
      </c>
      <c r="E39" s="48" t="s">
        <v>280</v>
      </c>
      <c r="F39" s="48" t="s">
        <v>53</v>
      </c>
      <c r="G39" s="48">
        <v>1</v>
      </c>
      <c r="H39" s="48">
        <v>1</v>
      </c>
      <c r="I39" s="48" t="s">
        <v>282</v>
      </c>
      <c r="J39" s="48">
        <f t="shared" si="0"/>
        <v>100</v>
      </c>
    </row>
    <row r="40" spans="1:10" ht="21" customHeight="1" x14ac:dyDescent="0.15">
      <c r="A40" s="47">
        <v>40031138</v>
      </c>
      <c r="B40" s="48">
        <v>0</v>
      </c>
      <c r="C40" s="48">
        <v>80</v>
      </c>
      <c r="D40" s="48">
        <v>100</v>
      </c>
      <c r="E40" s="48" t="s">
        <v>280</v>
      </c>
      <c r="F40" s="48" t="s">
        <v>53</v>
      </c>
      <c r="G40" s="48">
        <v>1</v>
      </c>
      <c r="H40" s="48">
        <v>2</v>
      </c>
      <c r="I40" s="48" t="s">
        <v>282</v>
      </c>
      <c r="J40" s="48">
        <f t="shared" si="0"/>
        <v>100</v>
      </c>
    </row>
    <row r="41" spans="1:10" ht="21" customHeight="1" x14ac:dyDescent="0.15">
      <c r="A41" s="47">
        <v>40031139</v>
      </c>
      <c r="B41" s="48">
        <v>0</v>
      </c>
      <c r="C41" s="48">
        <v>70</v>
      </c>
      <c r="D41" s="48">
        <v>100</v>
      </c>
      <c r="E41" s="48" t="s">
        <v>280</v>
      </c>
      <c r="F41" s="48" t="s">
        <v>53</v>
      </c>
      <c r="G41" s="48">
        <v>1</v>
      </c>
      <c r="H41" s="48">
        <v>3</v>
      </c>
      <c r="I41" s="48" t="s">
        <v>282</v>
      </c>
      <c r="J41" s="48">
        <f t="shared" si="0"/>
        <v>100</v>
      </c>
    </row>
    <row r="42" spans="1:10" ht="21" customHeight="1" x14ac:dyDescent="0.15">
      <c r="A42" s="47">
        <v>40031140</v>
      </c>
      <c r="B42" s="48">
        <v>0</v>
      </c>
      <c r="C42" s="48">
        <v>60</v>
      </c>
      <c r="D42" s="48">
        <v>100</v>
      </c>
      <c r="E42" s="48" t="s">
        <v>280</v>
      </c>
      <c r="F42" s="48" t="s">
        <v>53</v>
      </c>
      <c r="G42" s="48">
        <v>1</v>
      </c>
      <c r="H42" s="48">
        <v>4</v>
      </c>
      <c r="I42" s="48" t="s">
        <v>282</v>
      </c>
      <c r="J42" s="48">
        <f t="shared" si="0"/>
        <v>100</v>
      </c>
    </row>
    <row r="43" spans="1:10" ht="21" customHeight="1" x14ac:dyDescent="0.15">
      <c r="A43" s="47">
        <v>40031141</v>
      </c>
      <c r="B43" s="48">
        <v>0</v>
      </c>
      <c r="C43" s="48">
        <v>50</v>
      </c>
      <c r="D43" s="48">
        <v>100</v>
      </c>
      <c r="E43" s="48" t="s">
        <v>280</v>
      </c>
      <c r="F43" s="48" t="s">
        <v>53</v>
      </c>
      <c r="G43" s="48">
        <v>1</v>
      </c>
      <c r="H43" s="48">
        <v>5</v>
      </c>
      <c r="I43" s="48" t="s">
        <v>282</v>
      </c>
      <c r="J43" s="48">
        <f t="shared" si="0"/>
        <v>100</v>
      </c>
    </row>
    <row r="44" spans="1:10" ht="21" customHeight="1" x14ac:dyDescent="0.15">
      <c r="A44" s="47">
        <v>40031142</v>
      </c>
      <c r="B44" s="48">
        <v>0</v>
      </c>
      <c r="C44" s="48">
        <v>40</v>
      </c>
      <c r="D44" s="48">
        <v>100</v>
      </c>
      <c r="E44" s="48" t="s">
        <v>280</v>
      </c>
      <c r="F44" s="48" t="s">
        <v>53</v>
      </c>
      <c r="G44" s="48">
        <v>1</v>
      </c>
      <c r="H44" s="48">
        <v>6</v>
      </c>
      <c r="I44" s="48" t="s">
        <v>282</v>
      </c>
      <c r="J44" s="48">
        <f t="shared" si="0"/>
        <v>100</v>
      </c>
    </row>
    <row r="45" spans="1:10" ht="21" customHeight="1" x14ac:dyDescent="0.15">
      <c r="A45" s="47">
        <v>40031143</v>
      </c>
      <c r="B45" s="48">
        <v>0</v>
      </c>
      <c r="C45" s="48">
        <v>30</v>
      </c>
      <c r="D45" s="48">
        <v>100</v>
      </c>
      <c r="E45" s="48" t="s">
        <v>280</v>
      </c>
      <c r="F45" s="48" t="s">
        <v>53</v>
      </c>
      <c r="G45" s="48">
        <v>1</v>
      </c>
      <c r="H45" s="48">
        <v>7</v>
      </c>
      <c r="I45" s="48" t="s">
        <v>282</v>
      </c>
      <c r="J45" s="48">
        <f t="shared" si="0"/>
        <v>100</v>
      </c>
    </row>
    <row r="46" spans="1:10" ht="21" customHeight="1" x14ac:dyDescent="0.15">
      <c r="A46" s="47">
        <v>40031147</v>
      </c>
      <c r="B46" s="48">
        <v>0</v>
      </c>
      <c r="C46" s="48">
        <v>10</v>
      </c>
      <c r="D46" s="48">
        <v>50</v>
      </c>
      <c r="E46" s="48" t="s">
        <v>280</v>
      </c>
      <c r="F46" s="48" t="s">
        <v>53</v>
      </c>
      <c r="G46" s="48" t="s">
        <v>53</v>
      </c>
      <c r="H46" s="48">
        <v>1</v>
      </c>
      <c r="I46" s="48" t="s">
        <v>282</v>
      </c>
      <c r="J46" s="48">
        <f t="shared" si="0"/>
        <v>50</v>
      </c>
    </row>
    <row r="47" spans="1:10" ht="21" customHeight="1" x14ac:dyDescent="0.15">
      <c r="A47" s="47">
        <v>40031148</v>
      </c>
      <c r="B47" s="48">
        <v>0</v>
      </c>
      <c r="C47" s="48">
        <v>9</v>
      </c>
      <c r="D47" s="48">
        <v>90</v>
      </c>
      <c r="E47" s="48" t="s">
        <v>280</v>
      </c>
      <c r="F47" s="48" t="s">
        <v>53</v>
      </c>
      <c r="G47" s="48" t="s">
        <v>53</v>
      </c>
      <c r="H47" s="48">
        <v>1</v>
      </c>
      <c r="I47" s="48" t="s">
        <v>282</v>
      </c>
      <c r="J47" s="48">
        <f t="shared" si="0"/>
        <v>90</v>
      </c>
    </row>
    <row r="48" spans="1:10" ht="21" customHeight="1" x14ac:dyDescent="0.15">
      <c r="A48" s="47">
        <v>40031149</v>
      </c>
      <c r="B48" s="48">
        <v>0</v>
      </c>
      <c r="C48" s="48">
        <v>100</v>
      </c>
      <c r="D48" s="48">
        <v>70</v>
      </c>
      <c r="E48" s="48" t="s">
        <v>297</v>
      </c>
      <c r="F48" s="48" t="s">
        <v>169</v>
      </c>
      <c r="G48" s="48" t="s">
        <v>169</v>
      </c>
      <c r="H48" s="48" t="s">
        <v>297</v>
      </c>
      <c r="I48" s="48" t="s">
        <v>169</v>
      </c>
      <c r="J48" s="48">
        <f t="shared" si="0"/>
        <v>70</v>
      </c>
    </row>
    <row r="49" spans="1:10" ht="21" customHeight="1" x14ac:dyDescent="0.15">
      <c r="A49" s="47">
        <v>40031150</v>
      </c>
      <c r="B49" s="48">
        <v>1</v>
      </c>
      <c r="C49" s="48">
        <v>120</v>
      </c>
      <c r="D49" s="48">
        <v>100</v>
      </c>
      <c r="E49" s="48" t="s">
        <v>371</v>
      </c>
      <c r="F49" s="48" t="s">
        <v>371</v>
      </c>
      <c r="G49" s="48">
        <v>1</v>
      </c>
      <c r="H49" s="48" t="s">
        <v>371</v>
      </c>
      <c r="I49" s="48">
        <v>1137</v>
      </c>
      <c r="J49" s="48">
        <f t="shared" si="0"/>
        <v>100</v>
      </c>
    </row>
    <row r="50" spans="1:10" ht="21" customHeight="1" x14ac:dyDescent="0.15">
      <c r="A50" s="47">
        <v>40031151</v>
      </c>
      <c r="B50" s="48">
        <v>1</v>
      </c>
      <c r="C50" s="48">
        <v>110</v>
      </c>
      <c r="D50" s="48">
        <v>100</v>
      </c>
      <c r="E50" s="48" t="s">
        <v>371</v>
      </c>
      <c r="F50" s="48" t="s">
        <v>371</v>
      </c>
      <c r="G50" s="48">
        <v>1</v>
      </c>
      <c r="H50" s="48" t="s">
        <v>371</v>
      </c>
      <c r="I50" s="48">
        <v>1138</v>
      </c>
      <c r="J50" s="48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Q27" sqref="Q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40031</v>
      </c>
      <c r="B2" s="57">
        <v>1</v>
      </c>
      <c r="C2" s="71" t="str">
        <f t="shared" ref="C2:C18" si="0">A2&amp; "_"&amp;B2</f>
        <v>40031_1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40000</v>
      </c>
      <c r="H2" s="57" t="s">
        <v>371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v>40031</v>
      </c>
      <c r="B3" s="57">
        <v>1</v>
      </c>
      <c r="C3" s="71" t="str">
        <f t="shared" si="0"/>
        <v>40031_1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372</v>
      </c>
      <c r="G3" s="57">
        <v>30</v>
      </c>
      <c r="H3" s="57" t="s">
        <v>371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57" t="s">
        <v>171</v>
      </c>
    </row>
    <row r="4" spans="1:18" x14ac:dyDescent="0.15">
      <c r="A4" s="57">
        <v>40031</v>
      </c>
      <c r="B4" s="57">
        <v>1</v>
      </c>
      <c r="C4" s="71" t="str">
        <f t="shared" si="0"/>
        <v>40031_1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373</v>
      </c>
      <c r="G4" s="57">
        <v>337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57" t="s">
        <v>171</v>
      </c>
    </row>
    <row r="5" spans="1:18" x14ac:dyDescent="0.15">
      <c r="A5" s="57">
        <v>40031</v>
      </c>
      <c r="B5" s="57">
        <v>1</v>
      </c>
      <c r="C5" s="71" t="str">
        <f t="shared" si="0"/>
        <v>40031_1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373</v>
      </c>
      <c r="G5" s="57">
        <v>338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57" t="s">
        <v>171</v>
      </c>
    </row>
    <row r="6" spans="1:18" x14ac:dyDescent="0.15">
      <c r="A6" s="57">
        <v>40031</v>
      </c>
      <c r="B6" s="57">
        <v>1</v>
      </c>
      <c r="C6" s="71" t="str">
        <f t="shared" si="0"/>
        <v>40031_1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373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170</v>
      </c>
      <c r="R6" s="57" t="s">
        <v>171</v>
      </c>
    </row>
    <row r="7" spans="1:18" x14ac:dyDescent="0.15">
      <c r="A7" s="57">
        <v>40031</v>
      </c>
      <c r="B7" s="57">
        <v>1</v>
      </c>
      <c r="C7" s="71" t="str">
        <f t="shared" si="0"/>
        <v>40031_1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373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170</v>
      </c>
      <c r="R7" s="57" t="s">
        <v>171</v>
      </c>
    </row>
    <row r="8" spans="1:18" x14ac:dyDescent="0.15">
      <c r="A8" s="57">
        <v>40031</v>
      </c>
      <c r="B8" s="57">
        <v>1</v>
      </c>
      <c r="C8" s="71" t="str">
        <f t="shared" si="0"/>
        <v>40031_1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373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170</v>
      </c>
      <c r="R8" s="57" t="s">
        <v>171</v>
      </c>
    </row>
    <row r="9" spans="1:18" x14ac:dyDescent="0.15">
      <c r="A9" s="57">
        <v>40031</v>
      </c>
      <c r="B9" s="57">
        <v>1</v>
      </c>
      <c r="C9" s="71" t="str">
        <f t="shared" si="0"/>
        <v>40031_1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373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 x14ac:dyDescent="0.15">
      <c r="A10" s="57">
        <v>40031</v>
      </c>
      <c r="B10" s="57">
        <v>1</v>
      </c>
      <c r="C10" s="71" t="str">
        <f t="shared" si="0"/>
        <v>40031_1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373</v>
      </c>
      <c r="G10" s="57">
        <v>1131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170</v>
      </c>
      <c r="R10" s="57" t="s">
        <v>171</v>
      </c>
    </row>
    <row r="11" spans="1:18" ht="16" thickBot="1" x14ac:dyDescent="0.2">
      <c r="A11" s="163">
        <v>40031</v>
      </c>
      <c r="B11" s="163">
        <v>1</v>
      </c>
      <c r="C11" s="164" t="str">
        <f t="shared" si="0"/>
        <v>40031_1</v>
      </c>
      <c r="D11" s="11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3">
        <v>10</v>
      </c>
      <c r="F11" s="163" t="s">
        <v>373</v>
      </c>
      <c r="G11" s="163">
        <v>350</v>
      </c>
      <c r="H11" s="163">
        <v>1</v>
      </c>
      <c r="I11" s="163">
        <v>1</v>
      </c>
      <c r="J11" s="163">
        <v>1</v>
      </c>
      <c r="K11" s="163">
        <v>0</v>
      </c>
      <c r="L11" s="163">
        <v>0</v>
      </c>
      <c r="M11" s="163">
        <v>0</v>
      </c>
      <c r="N11" s="163">
        <v>0</v>
      </c>
      <c r="O11" s="163">
        <v>1</v>
      </c>
      <c r="P11" s="163">
        <v>150</v>
      </c>
      <c r="Q11" s="163" t="s">
        <v>170</v>
      </c>
      <c r="R11" s="163" t="s">
        <v>171</v>
      </c>
    </row>
    <row r="12" spans="1:18" ht="16" thickTop="1" x14ac:dyDescent="0.15">
      <c r="A12" s="161">
        <v>40031</v>
      </c>
      <c r="B12" s="161">
        <v>2</v>
      </c>
      <c r="C12" s="162" t="str">
        <f t="shared" si="0"/>
        <v>40031_2</v>
      </c>
      <c r="D12" s="10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1">
        <v>1</v>
      </c>
      <c r="F12" s="161" t="s">
        <v>373</v>
      </c>
      <c r="G12" s="161">
        <v>338</v>
      </c>
      <c r="H12" s="161">
        <v>1</v>
      </c>
      <c r="I12" s="161">
        <v>1</v>
      </c>
      <c r="J12" s="161">
        <v>1</v>
      </c>
      <c r="K12" s="161">
        <v>0</v>
      </c>
      <c r="L12" s="161">
        <v>0</v>
      </c>
      <c r="M12" s="161">
        <v>0</v>
      </c>
      <c r="N12" s="161">
        <v>0</v>
      </c>
      <c r="O12" s="161">
        <v>1</v>
      </c>
      <c r="P12" s="161">
        <v>50</v>
      </c>
      <c r="Q12" s="161" t="s">
        <v>170</v>
      </c>
      <c r="R12" s="161" t="s">
        <v>171</v>
      </c>
    </row>
    <row r="13" spans="1:18" x14ac:dyDescent="0.15">
      <c r="A13" s="57">
        <v>40031</v>
      </c>
      <c r="B13" s="57">
        <v>2</v>
      </c>
      <c r="C13" s="71" t="str">
        <f t="shared" si="0"/>
        <v>40031_2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373</v>
      </c>
      <c r="G13" s="5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57" t="s">
        <v>171</v>
      </c>
    </row>
    <row r="14" spans="1:18" x14ac:dyDescent="0.15">
      <c r="A14" s="57">
        <v>40031</v>
      </c>
      <c r="B14" s="57">
        <v>2</v>
      </c>
      <c r="C14" s="71" t="str">
        <f t="shared" si="0"/>
        <v>40031_2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373</v>
      </c>
      <c r="G14" s="5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57" t="s">
        <v>171</v>
      </c>
    </row>
    <row r="15" spans="1:18" x14ac:dyDescent="0.15">
      <c r="A15" s="57">
        <v>40031</v>
      </c>
      <c r="B15" s="57">
        <v>2</v>
      </c>
      <c r="C15" s="71" t="str">
        <f t="shared" si="0"/>
        <v>40031_2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373</v>
      </c>
      <c r="G15" s="5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57" t="s">
        <v>171</v>
      </c>
    </row>
    <row r="16" spans="1:18" x14ac:dyDescent="0.15">
      <c r="A16" s="57">
        <v>40031</v>
      </c>
      <c r="B16" s="57">
        <v>2</v>
      </c>
      <c r="C16" s="71" t="str">
        <f t="shared" si="0"/>
        <v>40031_2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373</v>
      </c>
      <c r="G16" s="5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57" t="s">
        <v>171</v>
      </c>
    </row>
    <row r="17" spans="1:18" x14ac:dyDescent="0.15">
      <c r="A17" s="57">
        <v>40031</v>
      </c>
      <c r="B17" s="57">
        <v>2</v>
      </c>
      <c r="C17" s="71" t="str">
        <f t="shared" si="0"/>
        <v>40031_2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373</v>
      </c>
      <c r="G17" s="57">
        <v>1131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170</v>
      </c>
      <c r="R17" s="57" t="s">
        <v>171</v>
      </c>
    </row>
    <row r="18" spans="1:18" x14ac:dyDescent="0.15">
      <c r="A18" s="57">
        <v>40031</v>
      </c>
      <c r="B18" s="57">
        <v>2</v>
      </c>
      <c r="C18" s="71" t="str">
        <f t="shared" si="0"/>
        <v>40031_2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7</v>
      </c>
      <c r="F18" s="57" t="s">
        <v>373</v>
      </c>
      <c r="G18" s="57">
        <v>350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120</v>
      </c>
      <c r="Q18" s="57" t="s">
        <v>170</v>
      </c>
      <c r="R18" s="57" t="s">
        <v>171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34" sqref="L3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126</v>
      </c>
      <c r="K1" s="78" t="s">
        <v>187</v>
      </c>
      <c r="L1" s="92" t="s">
        <v>186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6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150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126</v>
      </c>
      <c r="L1" s="78" t="s">
        <v>187</v>
      </c>
      <c r="M1" s="92" t="s">
        <v>186</v>
      </c>
      <c r="N1" s="80" t="s">
        <v>196</v>
      </c>
    </row>
    <row r="2" spans="1:14" ht="28" x14ac:dyDescent="0.15">
      <c r="A2" s="81" t="s">
        <v>197</v>
      </c>
      <c r="B2" s="82">
        <f>floors!$C$2</f>
        <v>40031</v>
      </c>
      <c r="C2" s="83" t="str">
        <f ca="1">VLOOKUP($B2,OFFSET([2]quests!$A$1,0,0,COUNTA([2]quests!$A:$A),MATCH(C$1,[2]quests!$1:$1,0)-MATCH($B$1,[2]quests!$1:$1,0)+1),MATCH(C$1,[2]quests!$1:$1,0)-MATCH($B$1,[2]quests!$1:$1,0)+1,FALSE)</f>
        <v>董卓襲来！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【超絶級】董卓襲来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降臨31</v>
      </c>
      <c r="H2" s="85">
        <v>1</v>
      </c>
      <c r="I2" s="90">
        <f>ROW()-1</f>
        <v>1</v>
      </c>
      <c r="J2" s="86" t="str">
        <f>B2&amp;TEXT(I2,"00")</f>
        <v>4003101</v>
      </c>
      <c r="K2" s="84" t="s">
        <v>127</v>
      </c>
      <c r="L2" s="87" t="s">
        <v>199</v>
      </c>
      <c r="M2" s="179" t="s">
        <v>391</v>
      </c>
      <c r="N2" s="57" t="s">
        <v>200</v>
      </c>
    </row>
    <row r="3" spans="1:14" ht="42" x14ac:dyDescent="0.15">
      <c r="A3" s="81" t="s">
        <v>197</v>
      </c>
      <c r="B3" s="82">
        <f>floors!$C$2</f>
        <v>40031</v>
      </c>
      <c r="C3" s="83" t="str">
        <f ca="1">VLOOKUP($B3,OFFSET([2]quests!$A$1,0,0,COUNTA([2]quests!$A:$A),MATCH(C$1,[2]quests!$1:$1,0)-MATCH($B$1,[2]quests!$1:$1,0)+1),MATCH(C$1,[2]quests!$1:$1,0)-MATCH($B$1,[2]quests!$1:$1,0)+1,FALSE)</f>
        <v>董卓襲来！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【超絶級】董卓襲来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降臨31</v>
      </c>
      <c r="H3" s="85">
        <v>2</v>
      </c>
      <c r="I3" s="90">
        <f t="shared" ref="I3:I11" si="0">ROW()-1</f>
        <v>2</v>
      </c>
      <c r="J3" s="86" t="str">
        <f t="shared" ref="J3:J11" si="1">B3&amp;TEXT(I3,"00")</f>
        <v>4003102</v>
      </c>
      <c r="K3" s="84" t="s">
        <v>127</v>
      </c>
      <c r="L3" s="87" t="s">
        <v>199</v>
      </c>
      <c r="M3" s="165" t="s">
        <v>375</v>
      </c>
      <c r="N3" s="57" t="s">
        <v>200</v>
      </c>
    </row>
    <row r="4" spans="1:14" ht="28" x14ac:dyDescent="0.15">
      <c r="A4" s="81" t="s">
        <v>197</v>
      </c>
      <c r="B4" s="82">
        <f>floors!$C$2</f>
        <v>40031</v>
      </c>
      <c r="C4" s="83" t="str">
        <f ca="1">VLOOKUP($B4,OFFSET([2]quests!$A$1,0,0,COUNTA([2]quests!$A:$A),MATCH(C$1,[2]quests!$1:$1,0)-MATCH($B$1,[2]quests!$1:$1,0)+1),MATCH(C$1,[2]quests!$1:$1,0)-MATCH($B$1,[2]quests!$1:$1,0)+1,FALSE)</f>
        <v>董卓襲来！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降臨31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【超絶級】董卓襲来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降臨31</v>
      </c>
      <c r="H4" s="85">
        <v>2</v>
      </c>
      <c r="I4" s="90">
        <f t="shared" si="0"/>
        <v>3</v>
      </c>
      <c r="J4" s="86" t="str">
        <f t="shared" si="1"/>
        <v>4003103</v>
      </c>
      <c r="K4" s="84" t="s">
        <v>127</v>
      </c>
      <c r="L4" s="87" t="s">
        <v>199</v>
      </c>
      <c r="M4" s="179" t="s">
        <v>392</v>
      </c>
      <c r="N4" s="57" t="s">
        <v>200</v>
      </c>
    </row>
    <row r="5" spans="1:14" ht="42" x14ac:dyDescent="0.15">
      <c r="A5" s="81" t="s">
        <v>197</v>
      </c>
      <c r="B5" s="82">
        <f>floors!$C$2</f>
        <v>40031</v>
      </c>
      <c r="C5" s="83" t="str">
        <f ca="1">VLOOKUP($B5,OFFSET([2]quests!$A$1,0,0,COUNTA([2]quests!$A:$A),MATCH(C$1,[2]quests!$1:$1,0)-MATCH($B$1,[2]quests!$1:$1,0)+1),MATCH(C$1,[2]quests!$1:$1,0)-MATCH($B$1,[2]quests!$1:$1,0)+1,FALSE)</f>
        <v>董卓襲来！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降臨31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【超絶級】董卓襲来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降臨31</v>
      </c>
      <c r="H5" s="85">
        <v>3</v>
      </c>
      <c r="I5" s="90">
        <f t="shared" si="0"/>
        <v>4</v>
      </c>
      <c r="J5" s="86" t="str">
        <f t="shared" si="1"/>
        <v>4003104</v>
      </c>
      <c r="K5" s="84" t="s">
        <v>127</v>
      </c>
      <c r="L5" s="87" t="s">
        <v>199</v>
      </c>
      <c r="M5" s="165" t="s">
        <v>377</v>
      </c>
      <c r="N5" s="57" t="s">
        <v>200</v>
      </c>
    </row>
    <row r="6" spans="1:14" ht="28" x14ac:dyDescent="0.15">
      <c r="A6" s="81" t="s">
        <v>197</v>
      </c>
      <c r="B6" s="82">
        <f>floors!$C$2</f>
        <v>40031</v>
      </c>
      <c r="C6" s="83" t="str">
        <f ca="1">VLOOKUP($B6,OFFSET([2]quests!$A$1,0,0,COUNTA([2]quests!$A:$A),MATCH(C$1,[2]quests!$1:$1,0)-MATCH($B$1,[2]quests!$1:$1,0)+1),MATCH(C$1,[2]quests!$1:$1,0)-MATCH($B$1,[2]quests!$1:$1,0)+1,FALSE)</f>
        <v>董卓襲来！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降臨31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【超絶級】董卓襲来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降臨31</v>
      </c>
      <c r="H6" s="85">
        <v>3</v>
      </c>
      <c r="I6" s="90">
        <f t="shared" si="0"/>
        <v>5</v>
      </c>
      <c r="J6" s="86" t="str">
        <f t="shared" si="1"/>
        <v>4003105</v>
      </c>
      <c r="K6" s="84" t="s">
        <v>127</v>
      </c>
      <c r="L6" s="87" t="s">
        <v>199</v>
      </c>
      <c r="M6" s="165" t="s">
        <v>378</v>
      </c>
      <c r="N6" s="57" t="s">
        <v>200</v>
      </c>
    </row>
    <row r="7" spans="1:14" ht="28" x14ac:dyDescent="0.15">
      <c r="A7" s="81" t="s">
        <v>197</v>
      </c>
      <c r="B7" s="82">
        <f>floors!$C$2</f>
        <v>40031</v>
      </c>
      <c r="C7" s="83" t="str">
        <f ca="1">VLOOKUP($B7,OFFSET([2]quests!$A$1,0,0,COUNTA([2]quests!$A:$A),MATCH(C$1,[2]quests!$1:$1,0)-MATCH($B$1,[2]quests!$1:$1,0)+1),MATCH(C$1,[2]quests!$1:$1,0)-MATCH($B$1,[2]quests!$1:$1,0)+1,FALSE)</f>
        <v>董卓襲来！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降臨31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【超絶級】董卓襲来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降臨31</v>
      </c>
      <c r="H7" s="85">
        <v>4</v>
      </c>
      <c r="I7" s="90">
        <f t="shared" si="0"/>
        <v>6</v>
      </c>
      <c r="J7" s="86" t="str">
        <f t="shared" si="1"/>
        <v>4003106</v>
      </c>
      <c r="K7" s="84" t="s">
        <v>127</v>
      </c>
      <c r="L7" s="87" t="s">
        <v>199</v>
      </c>
      <c r="M7" s="179" t="s">
        <v>390</v>
      </c>
      <c r="N7" s="57" t="s">
        <v>200</v>
      </c>
    </row>
    <row r="8" spans="1:14" s="183" customFormat="1" ht="42" x14ac:dyDescent="0.15">
      <c r="A8" s="81" t="s">
        <v>197</v>
      </c>
      <c r="B8" s="82">
        <f>floors!$C$2</f>
        <v>40031</v>
      </c>
      <c r="C8" s="83" t="str">
        <f ca="1">VLOOKUP($B8,OFFSET([2]quests!$A$1,0,0,COUNTA([2]quests!$A:$A),MATCH(C$1,[2]quests!$1:$1,0)-MATCH($B$1,[2]quests!$1:$1,0)+1),MATCH(C$1,[2]quests!$1:$1,0)-MATCH($B$1,[2]quests!$1:$1,0)+1,FALSE)</f>
        <v>董卓襲来！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降臨31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【超絶級】董卓襲来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降臨31</v>
      </c>
      <c r="H8" s="85">
        <v>4</v>
      </c>
      <c r="I8" s="90">
        <f t="shared" si="0"/>
        <v>7</v>
      </c>
      <c r="J8" s="86" t="str">
        <f t="shared" si="1"/>
        <v>4003107</v>
      </c>
      <c r="K8" s="84" t="s">
        <v>127</v>
      </c>
      <c r="L8" s="87" t="s">
        <v>199</v>
      </c>
      <c r="M8" s="179" t="s">
        <v>400</v>
      </c>
      <c r="N8" s="57" t="s">
        <v>200</v>
      </c>
    </row>
    <row r="9" spans="1:14" ht="42" x14ac:dyDescent="0.15">
      <c r="A9" s="166" t="s">
        <v>201</v>
      </c>
      <c r="B9" s="167">
        <f>floors!$C$2</f>
        <v>40031</v>
      </c>
      <c r="C9" s="83" t="str">
        <f ca="1">VLOOKUP($B9,OFFSET([2]quests!$A$1,0,0,COUNTA([2]quests!$A:$A),MATCH(C$1,[2]quests!$1:$1,0)-MATCH($B$1,[2]quests!$1:$1,0)+1),MATCH(C$1,[2]quests!$1:$1,0)-MATCH($B$1,[2]quests!$1:$1,0)+1,FALSE)</f>
        <v>董卓襲来！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降臨31</v>
      </c>
      <c r="E9" s="168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【超絶級】董卓襲来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降臨31</v>
      </c>
      <c r="H9" s="85">
        <v>0</v>
      </c>
      <c r="I9" s="169">
        <f t="shared" si="0"/>
        <v>8</v>
      </c>
      <c r="J9" s="170" t="str">
        <f t="shared" si="1"/>
        <v>4003108</v>
      </c>
      <c r="K9" s="168" t="s">
        <v>127</v>
      </c>
      <c r="L9" s="171" t="s">
        <v>411</v>
      </c>
      <c r="M9" s="172" t="s">
        <v>410</v>
      </c>
      <c r="N9" s="161" t="s">
        <v>200</v>
      </c>
    </row>
    <row r="10" spans="1:14" ht="42" x14ac:dyDescent="0.15">
      <c r="A10" s="184" t="s">
        <v>201</v>
      </c>
      <c r="B10" s="185">
        <f>floors!$C$2</f>
        <v>40031</v>
      </c>
      <c r="C10" s="181" t="str">
        <f ca="1">VLOOKUP($B10,OFFSET([2]quests!$A$1,0,0,COUNTA([2]quests!$A:$A),MATCH(C$1,[2]quests!$1:$1,0)-MATCH($B$1,[2]quests!$1:$1,0)+1),MATCH(C$1,[2]quests!$1:$1,0)-MATCH($B$1,[2]quests!$1:$1,0)+1,FALSE)</f>
        <v>董卓襲来！</v>
      </c>
      <c r="D10" s="181" t="str">
        <f ca="1">VLOOKUP($B10,OFFSET([2]quests!$A$1,0,0,COUNTA([2]quests!$A:$A),MATCH(D$1,[2]quests!$1:$1,0)-MATCH($B$1,[2]quests!$1:$1,0)+1),MATCH(D$1,[2]quests!$1:$1,0)-MATCH($B$1,[2]quests!$1:$1,0)+1,FALSE)</f>
        <v>降臨31</v>
      </c>
      <c r="E10" s="186">
        <v>1</v>
      </c>
      <c r="F10" s="1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【超絶級】董卓襲来</v>
      </c>
      <c r="G10" s="181" t="str">
        <f ca="1">VLOOKUP($B10&amp;"_"&amp;$E10,OFFSET([2]stages!$A$1,0,0,COUNTA([2]stages!$A:$A),MATCH(G$1,[2]stages!$2:$2,0)-MATCH("temp_stage",[2]stages!$2:$2,0)+1),MATCH(G$1,[2]stages!$2:$2,0)-MATCH("temp_stage",[2]stages!$2:$2,0)+1,FALSE)</f>
        <v>降臨31</v>
      </c>
      <c r="H10" s="182">
        <v>0</v>
      </c>
      <c r="I10" s="187">
        <f t="shared" si="0"/>
        <v>9</v>
      </c>
      <c r="J10" s="188" t="str">
        <f t="shared" si="1"/>
        <v>4003109</v>
      </c>
      <c r="K10" s="186" t="s">
        <v>127</v>
      </c>
      <c r="L10" s="189" t="s">
        <v>413</v>
      </c>
      <c r="M10" s="190" t="s">
        <v>412</v>
      </c>
      <c r="N10" s="191" t="s">
        <v>200</v>
      </c>
    </row>
    <row r="11" spans="1:14" s="195" customFormat="1" ht="57" thickBot="1" x14ac:dyDescent="0.2">
      <c r="A11" s="173" t="s">
        <v>201</v>
      </c>
      <c r="B11" s="174">
        <f>floors!$C$2</f>
        <v>40031</v>
      </c>
      <c r="C11" s="192" t="str">
        <f ca="1">VLOOKUP($B11,OFFSET([2]quests!$A$1,0,0,COUNTA([2]quests!$A:$A),MATCH(C$1,[2]quests!$1:$1,0)-MATCH($B$1,[2]quests!$1:$1,0)+1),MATCH(C$1,[2]quests!$1:$1,0)-MATCH($B$1,[2]quests!$1:$1,0)+1,FALSE)</f>
        <v>董卓襲来！</v>
      </c>
      <c r="D11" s="192" t="str">
        <f ca="1">VLOOKUP($B11,OFFSET([2]quests!$A$1,0,0,COUNTA([2]quests!$A:$A),MATCH(D$1,[2]quests!$1:$1,0)-MATCH($B$1,[2]quests!$1:$1,0)+1),MATCH(D$1,[2]quests!$1:$1,0)-MATCH($B$1,[2]quests!$1:$1,0)+1,FALSE)</f>
        <v>降臨31</v>
      </c>
      <c r="E11" s="175">
        <v>1</v>
      </c>
      <c r="F11" s="192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【超絶級】董卓襲来</v>
      </c>
      <c r="G11" s="192" t="str">
        <f ca="1">VLOOKUP($B11&amp;"_"&amp;$E11,OFFSET([2]stages!$A$1,0,0,COUNTA([2]stages!$A:$A),MATCH(G$1,[2]stages!$2:$2,0)-MATCH("temp_stage",[2]stages!$2:$2,0)+1),MATCH(G$1,[2]stages!$2:$2,0)-MATCH("temp_stage",[2]stages!$2:$2,0)+1,FALSE)</f>
        <v>降臨31</v>
      </c>
      <c r="H11" s="193">
        <v>0</v>
      </c>
      <c r="I11" s="176">
        <f t="shared" si="0"/>
        <v>10</v>
      </c>
      <c r="J11" s="177" t="str">
        <f t="shared" si="1"/>
        <v>4003110</v>
      </c>
      <c r="K11" s="175" t="s">
        <v>127</v>
      </c>
      <c r="L11" s="178" t="s">
        <v>415</v>
      </c>
      <c r="M11" s="194" t="s">
        <v>414</v>
      </c>
      <c r="N11" s="163" t="s">
        <v>200</v>
      </c>
    </row>
    <row r="12" spans="1:14" ht="43" thickTop="1" x14ac:dyDescent="0.15">
      <c r="A12" s="166" t="s">
        <v>197</v>
      </c>
      <c r="B12" s="167">
        <f>floors!$C$2</f>
        <v>40031</v>
      </c>
      <c r="C12" s="83" t="str">
        <f ca="1">VLOOKUP($B12,OFFSET([2]quests!$A$1,0,0,COUNTA([2]quests!$A:$A),MATCH(C$1,[2]quests!$1:$1,0)-MATCH($B$1,[2]quests!$1:$1,0)+1),MATCH(C$1,[2]quests!$1:$1,0)-MATCH($B$1,[2]quests!$1:$1,0)+1,FALSE)</f>
        <v>董卓襲来！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降臨31</v>
      </c>
      <c r="E12" s="168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【ウィザード級】董卓襲来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降臨31</v>
      </c>
      <c r="H12" s="85">
        <v>1</v>
      </c>
      <c r="I12" s="169">
        <f>ROW()-1</f>
        <v>11</v>
      </c>
      <c r="J12" s="170" t="str">
        <f>B12&amp;TEXT(I12,"00")</f>
        <v>4003111</v>
      </c>
      <c r="K12" s="168" t="s">
        <v>198</v>
      </c>
      <c r="L12" s="171" t="s">
        <v>199</v>
      </c>
      <c r="M12" s="172" t="s">
        <v>374</v>
      </c>
      <c r="N12" s="161" t="s">
        <v>200</v>
      </c>
    </row>
    <row r="13" spans="1:14" ht="42" x14ac:dyDescent="0.15">
      <c r="A13" s="81" t="s">
        <v>197</v>
      </c>
      <c r="B13" s="82">
        <f>floors!$C$2</f>
        <v>40031</v>
      </c>
      <c r="C13" s="83" t="str">
        <f ca="1">VLOOKUP($B13,OFFSET([2]quests!$A$1,0,0,COUNTA([2]quests!$A:$A),MATCH(C$1,[2]quests!$1:$1,0)-MATCH($B$1,[2]quests!$1:$1,0)+1),MATCH(C$1,[2]quests!$1:$1,0)-MATCH($B$1,[2]quests!$1:$1,0)+1,FALSE)</f>
        <v>董卓襲来！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降臨31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【ウィザード級】董卓襲来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降臨31</v>
      </c>
      <c r="H13" s="85">
        <v>2</v>
      </c>
      <c r="I13" s="90">
        <f t="shared" ref="I13:I21" si="2">ROW()-1</f>
        <v>12</v>
      </c>
      <c r="J13" s="86" t="str">
        <f t="shared" ref="J13:J18" si="3">B13&amp;TEXT(I13,"00")</f>
        <v>4003112</v>
      </c>
      <c r="K13" s="84" t="s">
        <v>127</v>
      </c>
      <c r="L13" s="87" t="s">
        <v>199</v>
      </c>
      <c r="M13" s="165" t="s">
        <v>375</v>
      </c>
      <c r="N13" s="57" t="s">
        <v>200</v>
      </c>
    </row>
    <row r="14" spans="1:14" ht="42" x14ac:dyDescent="0.15">
      <c r="A14" s="81" t="s">
        <v>197</v>
      </c>
      <c r="B14" s="82">
        <f>floors!$C$2</f>
        <v>40031</v>
      </c>
      <c r="C14" s="83" t="str">
        <f ca="1">VLOOKUP($B14,OFFSET([2]quests!$A$1,0,0,COUNTA([2]quests!$A:$A),MATCH(C$1,[2]quests!$1:$1,0)-MATCH($B$1,[2]quests!$1:$1,0)+1),MATCH(C$1,[2]quests!$1:$1,0)-MATCH($B$1,[2]quests!$1:$1,0)+1,FALSE)</f>
        <v>董卓襲来！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降臨31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【ウィザード級】董卓襲来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降臨31</v>
      </c>
      <c r="H14" s="85">
        <v>2</v>
      </c>
      <c r="I14" s="90">
        <f t="shared" si="2"/>
        <v>13</v>
      </c>
      <c r="J14" s="86" t="str">
        <f t="shared" si="3"/>
        <v>4003113</v>
      </c>
      <c r="K14" s="84" t="s">
        <v>127</v>
      </c>
      <c r="L14" s="87" t="s">
        <v>199</v>
      </c>
      <c r="M14" s="165" t="s">
        <v>376</v>
      </c>
      <c r="N14" s="57" t="s">
        <v>200</v>
      </c>
    </row>
    <row r="15" spans="1:14" ht="42" x14ac:dyDescent="0.15">
      <c r="A15" s="81" t="s">
        <v>197</v>
      </c>
      <c r="B15" s="82">
        <f>floors!$C$2</f>
        <v>40031</v>
      </c>
      <c r="C15" s="83" t="str">
        <f ca="1">VLOOKUP($B15,OFFSET([2]quests!$A$1,0,0,COUNTA([2]quests!$A:$A),MATCH(C$1,[2]quests!$1:$1,0)-MATCH($B$1,[2]quests!$1:$1,0)+1),MATCH(C$1,[2]quests!$1:$1,0)-MATCH($B$1,[2]quests!$1:$1,0)+1,FALSE)</f>
        <v>董卓襲来！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降臨31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【ウィザード級】董卓襲来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降臨31</v>
      </c>
      <c r="H15" s="85">
        <v>3</v>
      </c>
      <c r="I15" s="90">
        <f t="shared" si="2"/>
        <v>14</v>
      </c>
      <c r="J15" s="86" t="str">
        <f t="shared" si="3"/>
        <v>4003114</v>
      </c>
      <c r="K15" s="84" t="s">
        <v>127</v>
      </c>
      <c r="L15" s="87" t="s">
        <v>199</v>
      </c>
      <c r="M15" s="165" t="s">
        <v>377</v>
      </c>
      <c r="N15" s="57" t="s">
        <v>200</v>
      </c>
    </row>
    <row r="16" spans="1:14" ht="28" x14ac:dyDescent="0.15">
      <c r="A16" s="81" t="s">
        <v>197</v>
      </c>
      <c r="B16" s="82">
        <f>floors!$C$2</f>
        <v>40031</v>
      </c>
      <c r="C16" s="83" t="str">
        <f ca="1">VLOOKUP($B16,OFFSET([2]quests!$A$1,0,0,COUNTA([2]quests!$A:$A),MATCH(C$1,[2]quests!$1:$1,0)-MATCH($B$1,[2]quests!$1:$1,0)+1),MATCH(C$1,[2]quests!$1:$1,0)-MATCH($B$1,[2]quests!$1:$1,0)+1,FALSE)</f>
        <v>董卓襲来！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降臨31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【ウィザード級】董卓襲来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降臨31</v>
      </c>
      <c r="H16" s="85">
        <v>3</v>
      </c>
      <c r="I16" s="90">
        <f t="shared" si="2"/>
        <v>15</v>
      </c>
      <c r="J16" s="86" t="str">
        <f t="shared" si="3"/>
        <v>4003115</v>
      </c>
      <c r="K16" s="84" t="s">
        <v>127</v>
      </c>
      <c r="L16" s="87" t="s">
        <v>199</v>
      </c>
      <c r="M16" s="165" t="s">
        <v>419</v>
      </c>
      <c r="N16" s="57" t="s">
        <v>200</v>
      </c>
    </row>
    <row r="17" spans="1:14" ht="28" x14ac:dyDescent="0.15">
      <c r="A17" s="81" t="s">
        <v>197</v>
      </c>
      <c r="B17" s="82">
        <f>floors!$C$2</f>
        <v>40031</v>
      </c>
      <c r="C17" s="83" t="str">
        <f ca="1">VLOOKUP($B17,OFFSET([2]quests!$A$1,0,0,COUNTA([2]quests!$A:$A),MATCH(C$1,[2]quests!$1:$1,0)-MATCH($B$1,[2]quests!$1:$1,0)+1),MATCH(C$1,[2]quests!$1:$1,0)-MATCH($B$1,[2]quests!$1:$1,0)+1,FALSE)</f>
        <v>董卓襲来！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降臨31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【ウィザード級】董卓襲来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降臨31</v>
      </c>
      <c r="H17" s="85">
        <v>4</v>
      </c>
      <c r="I17" s="90">
        <f t="shared" si="2"/>
        <v>16</v>
      </c>
      <c r="J17" s="86" t="str">
        <f t="shared" si="3"/>
        <v>4003116</v>
      </c>
      <c r="K17" s="84" t="s">
        <v>127</v>
      </c>
      <c r="L17" s="87" t="s">
        <v>199</v>
      </c>
      <c r="M17" s="165" t="s">
        <v>379</v>
      </c>
      <c r="N17" s="57" t="s">
        <v>200</v>
      </c>
    </row>
    <row r="18" spans="1:14" ht="42" x14ac:dyDescent="0.15">
      <c r="A18" s="81" t="s">
        <v>197</v>
      </c>
      <c r="B18" s="82">
        <f>floors!$C$2</f>
        <v>40031</v>
      </c>
      <c r="C18" s="83" t="str">
        <f ca="1">VLOOKUP($B18,OFFSET([2]quests!$A$1,0,0,COUNTA([2]quests!$A:$A),MATCH(C$1,[2]quests!$1:$1,0)-MATCH($B$1,[2]quests!$1:$1,0)+1),MATCH(C$1,[2]quests!$1:$1,0)-MATCH($B$1,[2]quests!$1:$1,0)+1,FALSE)</f>
        <v>董卓襲来！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降臨31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【ウィザード級】董卓襲来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降臨31</v>
      </c>
      <c r="H18" s="85">
        <v>4</v>
      </c>
      <c r="I18" s="90">
        <f t="shared" si="2"/>
        <v>17</v>
      </c>
      <c r="J18" s="86" t="str">
        <f t="shared" si="3"/>
        <v>4003117</v>
      </c>
      <c r="K18" s="84" t="s">
        <v>127</v>
      </c>
      <c r="L18" s="87" t="s">
        <v>199</v>
      </c>
      <c r="M18" s="165" t="s">
        <v>380</v>
      </c>
      <c r="N18" s="57" t="s">
        <v>200</v>
      </c>
    </row>
    <row r="19" spans="1:14" ht="42" x14ac:dyDescent="0.15">
      <c r="A19" s="81" t="s">
        <v>201</v>
      </c>
      <c r="B19" s="82">
        <f>floors!$C$2</f>
        <v>40031</v>
      </c>
      <c r="C19" s="83" t="str">
        <f ca="1">VLOOKUP($B19,OFFSET([2]quests!$A$1,0,0,COUNTA([2]quests!$A:$A),MATCH(C$1,[2]quests!$1:$1,0)-MATCH($B$1,[2]quests!$1:$1,0)+1),MATCH(C$1,[2]quests!$1:$1,0)-MATCH($B$1,[2]quests!$1:$1,0)+1,FALSE)</f>
        <v>董卓襲来！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降臨31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【ウィザード級】董卓襲来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降臨31</v>
      </c>
      <c r="H19" s="180">
        <v>0</v>
      </c>
      <c r="I19" s="90">
        <f t="shared" si="2"/>
        <v>18</v>
      </c>
      <c r="J19" s="86" t="str">
        <f t="shared" ref="J19:J21" si="4">B19&amp;TEXT(I19,"00")</f>
        <v>4003118</v>
      </c>
      <c r="K19" s="84" t="s">
        <v>127</v>
      </c>
      <c r="L19" s="87" t="s">
        <v>411</v>
      </c>
      <c r="M19" s="165" t="s">
        <v>410</v>
      </c>
      <c r="N19" s="57" t="s">
        <v>200</v>
      </c>
    </row>
    <row r="20" spans="1:14" ht="42" x14ac:dyDescent="0.15">
      <c r="A20" s="81" t="s">
        <v>201</v>
      </c>
      <c r="B20" s="82">
        <f>floors!$C$2</f>
        <v>40031</v>
      </c>
      <c r="C20" s="83" t="str">
        <f ca="1">VLOOKUP($B20,OFFSET([2]quests!$A$1,0,0,COUNTA([2]quests!$A:$A),MATCH(C$1,[2]quests!$1:$1,0)-MATCH($B$1,[2]quests!$1:$1,0)+1),MATCH(C$1,[2]quests!$1:$1,0)-MATCH($B$1,[2]quests!$1:$1,0)+1,FALSE)</f>
        <v>董卓襲来！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降臨31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【ウィザード級】董卓襲来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降臨31</v>
      </c>
      <c r="H20" s="85">
        <v>0</v>
      </c>
      <c r="I20" s="90">
        <f t="shared" si="2"/>
        <v>19</v>
      </c>
      <c r="J20" s="86" t="str">
        <f t="shared" si="4"/>
        <v>4003119</v>
      </c>
      <c r="K20" s="84" t="s">
        <v>127</v>
      </c>
      <c r="L20" s="87" t="s">
        <v>413</v>
      </c>
      <c r="M20" s="165" t="s">
        <v>412</v>
      </c>
      <c r="N20" s="57" t="s">
        <v>200</v>
      </c>
    </row>
    <row r="21" spans="1:14" ht="56" x14ac:dyDescent="0.15">
      <c r="A21" s="81" t="s">
        <v>201</v>
      </c>
      <c r="B21" s="82">
        <f>floors!$C$2</f>
        <v>40031</v>
      </c>
      <c r="C21" s="83" t="str">
        <f ca="1">VLOOKUP($B21,OFFSET([2]quests!$A$1,0,0,COUNTA([2]quests!$A:$A),MATCH(C$1,[2]quests!$1:$1,0)-MATCH($B$1,[2]quests!$1:$1,0)+1),MATCH(C$1,[2]quests!$1:$1,0)-MATCH($B$1,[2]quests!$1:$1,0)+1,FALSE)</f>
        <v>董卓襲来！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降臨31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【ウィザード級】董卓襲来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降臨31</v>
      </c>
      <c r="H21" s="85">
        <v>0</v>
      </c>
      <c r="I21" s="90">
        <f t="shared" si="2"/>
        <v>20</v>
      </c>
      <c r="J21" s="86" t="str">
        <f t="shared" si="4"/>
        <v>4003120</v>
      </c>
      <c r="K21" s="84" t="s">
        <v>127</v>
      </c>
      <c r="L21" s="87" t="s">
        <v>415</v>
      </c>
      <c r="M21" s="165" t="s">
        <v>414</v>
      </c>
      <c r="N21" s="57" t="s">
        <v>200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40031_2_everyone_no_continue_1</v>
      </c>
      <c r="B2" s="82">
        <v>40031</v>
      </c>
      <c r="C2" s="83" t="str">
        <f ca="1">VLOOKUP($B2,OFFSET([2]quests!$A$1,0,0,COUNTA([2]quests!$A:$A),MATCH(C$1,[2]quests!$1:$1,0)-MATCH($B$1,[2]quests!$1:$1,0)+1),MATCH(C$1,[2]quests!$1:$1,0)-MATCH($B$1,[2]quests!$1:$1,0)+1,FALSE)</f>
        <v>董卓襲来！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降臨31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【ウィザード級】董卓襲来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降臨31</v>
      </c>
      <c r="H2" s="85" t="s">
        <v>227</v>
      </c>
      <c r="I2" s="84" t="s">
        <v>231</v>
      </c>
      <c r="J2" s="84">
        <v>1</v>
      </c>
      <c r="K2" s="84">
        <v>100</v>
      </c>
      <c r="L2" s="84" t="s">
        <v>228</v>
      </c>
      <c r="M2" s="84">
        <v>1131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董卓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229</v>
      </c>
      <c r="X2" s="99" t="s">
        <v>230</v>
      </c>
    </row>
    <row r="3" spans="1:24" x14ac:dyDescent="0.15">
      <c r="A3" s="96" t="str">
        <f>B3&amp;"_"&amp;E3&amp;"_"&amp;H3&amp;"_"&amp;I3&amp;"_"&amp;J3</f>
        <v>40031_2_everyone_full_member_1</v>
      </c>
      <c r="B3" s="82">
        <v>40031</v>
      </c>
      <c r="C3" s="83" t="str">
        <f ca="1">VLOOKUP($B3,OFFSET([2]quests!$A$1,0,0,COUNTA([2]quests!$A:$A),MATCH(C$1,[2]quests!$1:$1,0)-MATCH($B$1,[2]quests!$1:$1,0)+1),MATCH(C$1,[2]quests!$1:$1,0)-MATCH($B$1,[2]quests!$1:$1,0)+1,FALSE)</f>
        <v>董卓襲来！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降臨31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【ウィザード級】董卓襲来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降臨31</v>
      </c>
      <c r="H3" s="85" t="s">
        <v>227</v>
      </c>
      <c r="I3" s="84" t="s">
        <v>292</v>
      </c>
      <c r="J3" s="84">
        <v>1</v>
      </c>
      <c r="K3" s="84">
        <v>100</v>
      </c>
      <c r="L3" s="84" t="s">
        <v>228</v>
      </c>
      <c r="M3" s="84">
        <v>1131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董卓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229</v>
      </c>
      <c r="X3" s="99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2017-04-04T09:10:01Z</dcterms:modified>
</cp:coreProperties>
</file>