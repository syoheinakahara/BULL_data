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1460" windowWidth="25140" windowHeight="1406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enemy_habitats!$B$1:$AH$9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1" l="1"/>
  <c r="C6" i="21"/>
  <c r="D6" i="21"/>
  <c r="F6" i="21"/>
  <c r="G6" i="21"/>
  <c r="I6" i="21"/>
  <c r="J6" i="21"/>
  <c r="AA6" i="1"/>
  <c r="AA7" i="1"/>
  <c r="O33" i="9"/>
  <c r="N33" i="9"/>
  <c r="M33" i="9"/>
  <c r="L33" i="9"/>
  <c r="K33" i="9"/>
  <c r="J33" i="9"/>
  <c r="I33" i="9"/>
  <c r="H33" i="9"/>
  <c r="G33" i="9"/>
  <c r="E33" i="9"/>
  <c r="D33" i="9"/>
  <c r="A33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G10" i="2"/>
  <c r="H10" i="2"/>
  <c r="E10" i="2"/>
  <c r="D10" i="2"/>
  <c r="A10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G5" i="2"/>
  <c r="H5" i="2"/>
  <c r="E5" i="2"/>
  <c r="D5" i="2"/>
  <c r="A5" i="2"/>
  <c r="B5" i="2"/>
  <c r="E25" i="9"/>
  <c r="W6" i="7"/>
  <c r="R6" i="7"/>
  <c r="Q6" i="7"/>
  <c r="P6" i="7"/>
  <c r="O6" i="7"/>
  <c r="N6" i="7"/>
  <c r="H6" i="7"/>
  <c r="G2" i="2"/>
  <c r="A2" i="2"/>
  <c r="G3" i="2"/>
  <c r="A3" i="2"/>
  <c r="G4" i="2"/>
  <c r="A4" i="2"/>
  <c r="J6" i="7"/>
  <c r="I6" i="7"/>
  <c r="D6" i="7"/>
  <c r="F6" i="7"/>
  <c r="E6" i="7"/>
  <c r="A6" i="7"/>
  <c r="E18" i="9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22" i="1"/>
  <c r="AD22" i="1"/>
  <c r="AG22" i="1"/>
  <c r="AE22" i="1"/>
  <c r="AC22" i="1"/>
  <c r="E12" i="9"/>
  <c r="V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E10" i="9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AA20" i="1"/>
  <c r="E8" i="9"/>
  <c r="V20" i="1"/>
  <c r="Q20" i="1"/>
  <c r="P20" i="1"/>
  <c r="O20" i="1"/>
  <c r="N20" i="1"/>
  <c r="M20" i="1"/>
  <c r="J20" i="1"/>
  <c r="I20" i="1"/>
  <c r="D20" i="1"/>
  <c r="F20" i="1"/>
  <c r="E20" i="1"/>
  <c r="A20" i="1"/>
  <c r="AB19" i="1"/>
  <c r="AD19" i="1"/>
  <c r="AG19" i="1"/>
  <c r="AE19" i="1"/>
  <c r="AC19" i="1"/>
  <c r="E6" i="9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AA18" i="1"/>
  <c r="E4" i="9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E3" i="9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E2" i="9"/>
  <c r="V16" i="1"/>
  <c r="Q16" i="1"/>
  <c r="P16" i="1"/>
  <c r="O16" i="1"/>
  <c r="N16" i="1"/>
  <c r="M16" i="1"/>
  <c r="J16" i="1"/>
  <c r="I16" i="1"/>
  <c r="D16" i="1"/>
  <c r="F16" i="1"/>
  <c r="E16" i="1"/>
  <c r="A16" i="1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J3" i="1"/>
  <c r="I3" i="1"/>
  <c r="D3" i="1"/>
  <c r="F3" i="1"/>
  <c r="E3" i="1"/>
  <c r="A3" i="1"/>
  <c r="AB2" i="1"/>
  <c r="AD2" i="1"/>
  <c r="AG2" i="1"/>
  <c r="AE2" i="1"/>
  <c r="AC2" i="1"/>
  <c r="V2" i="1"/>
  <c r="Q2" i="1"/>
  <c r="P2" i="1"/>
  <c r="O2" i="1"/>
  <c r="N2" i="1"/>
  <c r="M2" i="1"/>
  <c r="J2" i="1"/>
  <c r="I2" i="1"/>
  <c r="D2" i="1"/>
  <c r="F2" i="1"/>
  <c r="E2" i="1"/>
  <c r="A2" i="1"/>
  <c r="B7" i="21"/>
  <c r="I7" i="21"/>
  <c r="J7" i="21"/>
  <c r="G7" i="21"/>
  <c r="F7" i="21"/>
  <c r="D7" i="21"/>
  <c r="C7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4" i="11"/>
  <c r="O4" i="9"/>
  <c r="N4" i="9"/>
  <c r="M4" i="9"/>
  <c r="L4" i="9"/>
  <c r="K4" i="9"/>
  <c r="J4" i="9"/>
  <c r="I4" i="9"/>
  <c r="H4" i="9"/>
  <c r="G4" i="9"/>
  <c r="D4" i="9"/>
  <c r="A4" i="9"/>
  <c r="M4" i="10"/>
  <c r="T4" i="10"/>
  <c r="W4" i="10"/>
  <c r="V4" i="10"/>
  <c r="X4" i="10"/>
  <c r="U4" i="10"/>
  <c r="Y4" i="10"/>
  <c r="M16" i="10"/>
  <c r="M25" i="10"/>
  <c r="N25" i="10"/>
  <c r="Q25" i="10"/>
  <c r="P25" i="10"/>
  <c r="R25" i="10"/>
  <c r="O25" i="10"/>
  <c r="S25" i="10"/>
  <c r="N16" i="10"/>
  <c r="Q16" i="10"/>
  <c r="P16" i="10"/>
  <c r="R16" i="10"/>
  <c r="O16" i="10"/>
  <c r="S16" i="10"/>
  <c r="N4" i="10"/>
  <c r="Q4" i="10"/>
  <c r="P4" i="10"/>
  <c r="R4" i="10"/>
  <c r="O4" i="10"/>
  <c r="S4" i="10"/>
  <c r="G4" i="10"/>
  <c r="J4" i="10"/>
  <c r="I4" i="10"/>
  <c r="K4" i="10"/>
  <c r="H4" i="10"/>
  <c r="L4" i="10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W2" i="7"/>
  <c r="J16" i="11"/>
  <c r="O22" i="9"/>
  <c r="N22" i="9"/>
  <c r="M22" i="9"/>
  <c r="L22" i="9"/>
  <c r="K22" i="9"/>
  <c r="J22" i="9"/>
  <c r="I22" i="9"/>
  <c r="H22" i="9"/>
  <c r="G22" i="9"/>
  <c r="E22" i="9"/>
  <c r="D22" i="9"/>
  <c r="A22" i="9"/>
  <c r="A3" i="9"/>
  <c r="D3" i="9"/>
  <c r="G3" i="9"/>
  <c r="H3" i="9"/>
  <c r="I3" i="9"/>
  <c r="J3" i="9"/>
  <c r="K3" i="9"/>
  <c r="L3" i="9"/>
  <c r="M3" i="9"/>
  <c r="N3" i="9"/>
  <c r="J3" i="11"/>
  <c r="O3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9" i="11"/>
  <c r="O9" i="9"/>
  <c r="A10" i="9"/>
  <c r="D10" i="9"/>
  <c r="G10" i="9"/>
  <c r="H10" i="9"/>
  <c r="I10" i="9"/>
  <c r="J10" i="9"/>
  <c r="K10" i="9"/>
  <c r="L10" i="9"/>
  <c r="M10" i="9"/>
  <c r="N10" i="9"/>
  <c r="J10" i="11"/>
  <c r="O10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4" i="11"/>
  <c r="O14" i="9"/>
  <c r="A15" i="9"/>
  <c r="D15" i="9"/>
  <c r="E15" i="9"/>
  <c r="G15" i="9"/>
  <c r="H15" i="9"/>
  <c r="I15" i="9"/>
  <c r="J15" i="9"/>
  <c r="K15" i="9"/>
  <c r="L15" i="9"/>
  <c r="M15" i="9"/>
  <c r="N15" i="9"/>
  <c r="J15" i="11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D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3" i="9"/>
  <c r="D23" i="9"/>
  <c r="E23" i="9"/>
  <c r="G23" i="9"/>
  <c r="H23" i="9"/>
  <c r="I23" i="9"/>
  <c r="J23" i="9"/>
  <c r="K23" i="9"/>
  <c r="L23" i="9"/>
  <c r="M23" i="9"/>
  <c r="N23" i="9"/>
  <c r="J22" i="11"/>
  <c r="O23" i="9"/>
  <c r="A24" i="9"/>
  <c r="D24" i="9"/>
  <c r="E24" i="9"/>
  <c r="G24" i="9"/>
  <c r="H24" i="9"/>
  <c r="I24" i="9"/>
  <c r="J24" i="9"/>
  <c r="K24" i="9"/>
  <c r="L24" i="9"/>
  <c r="M24" i="9"/>
  <c r="N24" i="9"/>
  <c r="J23" i="11"/>
  <c r="O24" i="9"/>
  <c r="A25" i="9"/>
  <c r="D25" i="9"/>
  <c r="G25" i="9"/>
  <c r="H25" i="9"/>
  <c r="I25" i="9"/>
  <c r="J25" i="9"/>
  <c r="K25" i="9"/>
  <c r="L25" i="9"/>
  <c r="M25" i="9"/>
  <c r="N25" i="9"/>
  <c r="J24" i="11"/>
  <c r="O25" i="9"/>
  <c r="A26" i="9"/>
  <c r="D26" i="9"/>
  <c r="E26" i="9"/>
  <c r="G26" i="9"/>
  <c r="H26" i="9"/>
  <c r="I26" i="9"/>
  <c r="J26" i="9"/>
  <c r="K26" i="9"/>
  <c r="L26" i="9"/>
  <c r="M26" i="9"/>
  <c r="N26" i="9"/>
  <c r="J25" i="11"/>
  <c r="O26" i="9"/>
  <c r="A27" i="9"/>
  <c r="D27" i="9"/>
  <c r="E27" i="9"/>
  <c r="G27" i="9"/>
  <c r="H27" i="9"/>
  <c r="I27" i="9"/>
  <c r="J27" i="9"/>
  <c r="K27" i="9"/>
  <c r="L27" i="9"/>
  <c r="M27" i="9"/>
  <c r="N27" i="9"/>
  <c r="J26" i="11"/>
  <c r="O27" i="9"/>
  <c r="A28" i="9"/>
  <c r="D28" i="9"/>
  <c r="E28" i="9"/>
  <c r="G28" i="9"/>
  <c r="H28" i="9"/>
  <c r="I28" i="9"/>
  <c r="J28" i="9"/>
  <c r="K28" i="9"/>
  <c r="L28" i="9"/>
  <c r="M28" i="9"/>
  <c r="N28" i="9"/>
  <c r="J27" i="11"/>
  <c r="O28" i="9"/>
  <c r="A29" i="9"/>
  <c r="D29" i="9"/>
  <c r="E29" i="9"/>
  <c r="G29" i="9"/>
  <c r="H29" i="9"/>
  <c r="I29" i="9"/>
  <c r="J29" i="9"/>
  <c r="K29" i="9"/>
  <c r="L29" i="9"/>
  <c r="M29" i="9"/>
  <c r="N29" i="9"/>
  <c r="J28" i="11"/>
  <c r="O29" i="9"/>
  <c r="A30" i="9"/>
  <c r="D30" i="9"/>
  <c r="E30" i="9"/>
  <c r="G30" i="9"/>
  <c r="H30" i="9"/>
  <c r="I30" i="9"/>
  <c r="J30" i="9"/>
  <c r="K30" i="9"/>
  <c r="L30" i="9"/>
  <c r="M30" i="9"/>
  <c r="N30" i="9"/>
  <c r="J29" i="11"/>
  <c r="O30" i="9"/>
  <c r="A31" i="9"/>
  <c r="D31" i="9"/>
  <c r="E31" i="9"/>
  <c r="G31" i="9"/>
  <c r="H31" i="9"/>
  <c r="I31" i="9"/>
  <c r="J31" i="9"/>
  <c r="K31" i="9"/>
  <c r="L31" i="9"/>
  <c r="M31" i="9"/>
  <c r="N31" i="9"/>
  <c r="J30" i="11"/>
  <c r="O31" i="9"/>
  <c r="A32" i="9"/>
  <c r="D32" i="9"/>
  <c r="E32" i="9"/>
  <c r="G32" i="9"/>
  <c r="H32" i="9"/>
  <c r="I32" i="9"/>
  <c r="J32" i="9"/>
  <c r="K32" i="9"/>
  <c r="L32" i="9"/>
  <c r="M32" i="9"/>
  <c r="N32" i="9"/>
  <c r="J31" i="11"/>
  <c r="O32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AA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AA11" i="1"/>
  <c r="V11" i="1"/>
  <c r="Q11" i="1"/>
  <c r="P11" i="1"/>
  <c r="O11" i="1"/>
  <c r="N11" i="1"/>
  <c r="M11" i="1"/>
  <c r="J11" i="1"/>
  <c r="I11" i="1"/>
  <c r="D11" i="1"/>
  <c r="F11" i="1"/>
  <c r="E11" i="1"/>
  <c r="A11" i="1"/>
  <c r="H4" i="2"/>
  <c r="E4" i="2"/>
  <c r="D4" i="2"/>
  <c r="B4" i="2"/>
  <c r="H3" i="2"/>
  <c r="E3" i="2"/>
  <c r="D3" i="2"/>
  <c r="B3" i="2"/>
  <c r="V9" i="1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B10" i="1"/>
  <c r="AE10" i="1"/>
  <c r="AD10" i="1"/>
  <c r="AC10" i="1"/>
  <c r="AB9" i="1"/>
  <c r="AE9" i="1"/>
  <c r="AD9" i="1"/>
  <c r="AC9" i="1"/>
  <c r="V10" i="1"/>
  <c r="Q10" i="1"/>
  <c r="P10" i="1"/>
  <c r="O10" i="1"/>
  <c r="N10" i="1"/>
  <c r="M10" i="1"/>
  <c r="Q9" i="1"/>
  <c r="P9" i="1"/>
  <c r="O9" i="1"/>
  <c r="N9" i="1"/>
  <c r="M9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9" i="1"/>
  <c r="H2" i="7"/>
  <c r="J2" i="7"/>
  <c r="E8" i="16"/>
  <c r="E7" i="16"/>
  <c r="E6" i="16"/>
  <c r="E5" i="16"/>
  <c r="E4" i="16"/>
  <c r="E3" i="16"/>
  <c r="E2" i="16"/>
  <c r="A10" i="1"/>
  <c r="A9" i="1"/>
  <c r="AG10" i="1"/>
  <c r="A2" i="9"/>
  <c r="J10" i="1"/>
  <c r="I10" i="1"/>
  <c r="D10" i="1"/>
  <c r="F10" i="1"/>
  <c r="E10" i="1"/>
  <c r="A2" i="7"/>
  <c r="I2" i="7"/>
  <c r="D2" i="7"/>
  <c r="F2" i="7"/>
  <c r="E2" i="7"/>
  <c r="J9" i="1"/>
  <c r="I9" i="1"/>
  <c r="D2" i="2"/>
  <c r="E2" i="2"/>
  <c r="H2" i="2"/>
  <c r="D9" i="1"/>
  <c r="E9" i="1"/>
  <c r="F9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<sst xmlns="http://schemas.openxmlformats.org/spreadsheetml/2006/main" count="904" uniqueCount="323">
  <si>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</si>
  <si>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</si>
  <si>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</si>
  <si>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</si>
  <si>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</si>
  <si>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</si>
  <si>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</si>
  <si>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</si>
  <si>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</si>
  <si>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</si>
  <si>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</si>
  <si>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</si>
  <si>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</si>
  <si>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</si>
  <si>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</si>
  <si>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</si>
  <si>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</si>
  <si>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</si>
  <si>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</si>
  <si>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</si>
  <si>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</si>
  <si>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</si>
  <si>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</si>
  <si>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</si>
  <si>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</si>
  <si>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</si>
  <si>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</si>
  <si>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</si>
  <si>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</si>
  <si>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</si>
  <si>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</si>
  <si>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</si>
  <si>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</si>
  <si>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</si>
  <si>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</si>
  <si>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</si>
  <si>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</si>
  <si>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</si>
  <si>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</si>
  <si>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</si>
  <si>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</si>
  <si>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</si>
  <si>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</si>
  <si>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</si>
  <si>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</si>
  <si>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</si>
  <si>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</si>
  <si>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</si>
  <si>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</si>
  <si>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</si>
  <si>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</si>
  <si>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</si>
  <si>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</si>
  <si>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</si>
  <si>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</si>
  <si>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</si>
  <si>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</si>
  <si>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</si>
  <si>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</si>
  <si>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</si>
  <si>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</si>
  <si>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</si>
  <si>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</si>
  <si>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</si>
  <si>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</si>
  <si>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</si>
  <si>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</si>
  <si>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</si>
  <si>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</si>
  <si>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</si>
  <si>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</si>
  <si>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</si>
  <si>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</si>
  <si>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</si>
  <si>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</si>
  <si>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</si>
  <si>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</si>
  <si>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</si>
  <si>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</si>
  <si>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</si>
  <si>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</si>
  <si>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</si>
  <si>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</si>
  <si>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</si>
  <si>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</si>
  <si>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</si>
  <si>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</si>
  <si>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</si>
  <si>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</si>
  <si>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</si>
  <si>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</si>
  <si>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</si>
  <si>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</si>
  <si>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</si>
  <si>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</si>
  <si>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</si>
  <si>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</si>
  <si>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</si>
  <si>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</si>
  <si>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</si>
  <si>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</si>
  <si>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</si>
  <si>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</si>
  <si>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</si>
  <si>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</si>
  <si>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</si>
  <si>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</si>
  <si>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</si>
  <si>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</si>
  <si>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</si>
  <si>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</si>
  <si>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</si>
  <si>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</si>
  <si>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</si>
  <si>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</si>
  <si>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</si>
  <si>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</si>
  <si>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</si>
  <si>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</si>
  <si>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</si>
  <si>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</si>
  <si>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</si>
  <si>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</si>
  <si>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</si>
  <si>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</si>
  <si>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</si>
  <si>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</si>
  <si>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</si>
  <si>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</si>
  <si>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</si>
  <si>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</si>
  <si>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</si>
  <si>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</si>
  <si>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</si>
  <si>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</si>
  <si>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</si>
  <si>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</si>
  <si>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</si>
  <si>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</si>
  <si>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</si>
  <si>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</si>
  <si>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</si>
  <si>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</si>
  <si>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</si>
  <si>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</si>
  <si>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</si>
  <si>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</si>
  <si>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</si>
  <si>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</si>
  <si>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</si>
  <si>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</si>
  <si>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</si>
  <si>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</si>
  <si>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</si>
  <si>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</si>
  <si>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</si>
  <si>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</si>
  <si>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</si>
  <si>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</si>
  <si>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</si>
  <si>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</si>
  <si>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</si>
  <si>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</si>
  <si>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</si>
  <si>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</si>
  <si>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</si>
  <si>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</si>
  <si>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</si>
  <si>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</si>
  <si>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</si>
  <si>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</si>
  <si>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</si>
  <si>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</si>
  <si>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</si>
  <si>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</si>
  <si>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</si>
  <si>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</si>
  <si>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</si>
  <si>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</si>
  <si>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</si>
  <si>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</si>
  <si>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</si>
  <si>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</si>
  <si>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</si>
  <si>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</si>
  <si>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</si>
  <si>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</si>
  <si>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</si>
  <si>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</si>
  <si>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</si>
  <si>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</si>
  <si>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</si>
  <si>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</si>
  <si>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</si>
  <si>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</si>
  <si>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</si>
  <si>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</si>
  <si>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</si>
  <si>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</si>
  <si>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</si>
  <si>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</si>
  <si>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</si>
  <si>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</si>
  <si>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</si>
  <si>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</si>
  <si>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</si>
  <si>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</si>
  <si>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</si>
  <si>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</si>
  <si>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</si>
  <si>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</si>
  <si>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</si>
  <si>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</si>
  <si>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</si>
  <si>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[effect:freq_turn, target:myself, turn:-1, val:1, animation:enemy_freq_turn]</t>
    <phoneticPr fontId="5"/>
  </si>
  <si>
    <t>この戦闘の間攻撃頻度が1ターンにUP</t>
    <phoneticPr fontId="5"/>
  </si>
  <si>
    <t>笑止！命ガ惜シクナイヨウダナ！</t>
    <phoneticPr fontId="5"/>
  </si>
  <si>
    <t>崩天牙撃</t>
    <phoneticPr fontId="5"/>
  </si>
  <si>
    <t>2回連続攻撃</t>
    <phoneticPr fontId="5"/>
  </si>
  <si>
    <t>跡形モナク消シ去ッテヤロウ！</t>
    <phoneticPr fontId="5"/>
  </si>
  <si>
    <t>足掻イテミセロ！</t>
    <phoneticPr fontId="5"/>
  </si>
  <si>
    <t>我ガ前ニ立ツカ…　愚カナリ</t>
    <phoneticPr fontId="5"/>
  </si>
  <si>
    <t>[effect:break_enchance_enemy, val:0.05, lowest_val:0.2, count :-1, status:attack, turn:-1, block01:block_red, block02:block_blue, block03:block_yellow, block04:block_heart, block05:crash, target:myself, calc:mul, animation:enemy_enhance_attack],[effect:change_panel_ratio, turn:1, block_type:green, val:0.6, animation:block_incidence04],[effect:enemy_message, val2:4]</t>
    <phoneticPr fontId="5"/>
  </si>
  <si>
    <t>null</t>
  </si>
  <si>
    <t>null</t>
    <phoneticPr fontId="5"/>
  </si>
  <si>
    <t>null</t>
    <phoneticPr fontId="5"/>
  </si>
  <si>
    <t>足リヌッ！足リヌワッ！</t>
    <phoneticPr fontId="5"/>
  </si>
  <si>
    <t>link</t>
  </si>
  <si>
    <t>unit</t>
  </si>
  <si>
    <t>old</t>
    <phoneticPr fontId="5"/>
  </si>
  <si>
    <t>[effect:damage_anti_color, target:unit_one, color:red, val1:2.2, val2:0.8]</t>
    <phoneticPr fontId="5"/>
  </si>
  <si>
    <t>[effect:damage_anti_color, target:unit_one, color:red, val1:2.2, val2:0.8]</t>
    <phoneticPr fontId="5"/>
  </si>
  <si>
    <t>[effect:damage_anti_tribe, target:unit_one, tribe:human, val1:2.2, val2:0.8]</t>
    <phoneticPr fontId="5"/>
  </si>
  <si>
    <t>アルマゲドン</t>
    <phoneticPr fontId="5"/>
  </si>
  <si>
    <t>オメガドライブ</t>
    <phoneticPr fontId="5"/>
  </si>
  <si>
    <t>[effect:damage_anti_color, target:unit_one, color:red, val1:2.2, val2:0.8],[effect:fix_speed, target:myself, turn:3]</t>
    <phoneticPr fontId="5"/>
  </si>
  <si>
    <t>[effect:damage_anti_color, target:unit_one, color:yellow, val1:2.2, val2:0.8],[effect:fix_speed, target:myself, turn:3]</t>
    <phoneticPr fontId="5"/>
  </si>
  <si>
    <t>[effect:damage_anti_tribe, target:unit_one, tribe:human, val1:2.2, val2:0.8],[effect:fix_speed, target:myself, turn:2]</t>
    <phoneticPr fontId="5"/>
  </si>
  <si>
    <t>スネークバレット</t>
    <phoneticPr fontId="5"/>
  </si>
  <si>
    <t>[effect:fix_speed, target:enemy_green, turn:3],[effect:fix_speed, target:enemy_blue, turn:3],[effect:fix_speed, target:enemy_yellow, turn:2]</t>
    <phoneticPr fontId="5"/>
  </si>
  <si>
    <t>工夫ガ足リンッ！</t>
    <phoneticPr fontId="5"/>
  </si>
  <si>
    <t>[effect:rush, count:2, val:1]</t>
    <phoneticPr fontId="5"/>
  </si>
  <si>
    <t>赤属性のユニットに大ダメージ</t>
    <phoneticPr fontId="5"/>
  </si>
  <si>
    <t>黄属性のユニットに大ダメージ</t>
    <phoneticPr fontId="5"/>
  </si>
  <si>
    <t>種族ヒューマンのユニットに大ダメージ</t>
    <phoneticPr fontId="5"/>
  </si>
  <si>
    <t>どらごんぱわー！</t>
    <phoneticPr fontId="5"/>
  </si>
  <si>
    <t>どらごんぱんち！</t>
    <phoneticPr fontId="5"/>
  </si>
  <si>
    <t>ケキャ！邪魔ケキャ！</t>
    <phoneticPr fontId="5"/>
  </si>
  <si>
    <t>マンイーター</t>
    <phoneticPr fontId="5"/>
  </si>
  <si>
    <t>塵芥トナリ果テロッッ！！</t>
    <phoneticPr fontId="5"/>
  </si>
  <si>
    <t>[effect:break_attack, val:0.5, lowest_val:2, count:30, block:block_green, target:unit_one]</t>
    <phoneticPr fontId="5"/>
  </si>
  <si>
    <t>強奪の龍息【朱】</t>
    <phoneticPr fontId="5"/>
  </si>
  <si>
    <t>強奪の龍息【蒼】</t>
    <phoneticPr fontId="5"/>
  </si>
  <si>
    <t>強奪の龍息【翠】</t>
    <phoneticPr fontId="5"/>
  </si>
  <si>
    <t>簒奪の龍息【朱】</t>
    <phoneticPr fontId="5"/>
  </si>
  <si>
    <t>簒奪の龍息【蒼】</t>
    <phoneticPr fontId="5"/>
  </si>
  <si>
    <t>簒奪の龍息【翠】</t>
    <phoneticPr fontId="5"/>
  </si>
  <si>
    <t>剥奪の龍息【朱】</t>
    <phoneticPr fontId="5"/>
  </si>
  <si>
    <t>剥奪の龍息【蒼】</t>
    <phoneticPr fontId="5"/>
  </si>
  <si>
    <t>剥奪の龍息【翠】</t>
    <phoneticPr fontId="5"/>
  </si>
  <si>
    <t>邪龍睥睨</t>
    <phoneticPr fontId="5"/>
  </si>
  <si>
    <t>大蛇の大牙</t>
    <phoneticPr fontId="5"/>
  </si>
  <si>
    <t>赤属性のユニットに大ダメージ</t>
    <phoneticPr fontId="5"/>
  </si>
  <si>
    <t>赤属性のユニットに大ダメージ</t>
    <phoneticPr fontId="5"/>
  </si>
  <si>
    <t>種族ヒューマンのユニットに大ダメージ</t>
    <phoneticPr fontId="5"/>
  </si>
  <si>
    <t>攻撃力＆防御力UP</t>
    <phoneticPr fontId="5"/>
  </si>
  <si>
    <t>破壊因子</t>
    <phoneticPr fontId="5"/>
  </si>
  <si>
    <t>こちらを排除しようと襲いかかる！</t>
    <phoneticPr fontId="5"/>
  </si>
  <si>
    <t>[effect:critical, val:1],[effect:hungup, target:unit_one, turn:2, rate:1, animation:hungup01]</t>
    <phoneticPr fontId="5"/>
  </si>
  <si>
    <t>[effect:critical, val:1],[effect:hungup, target:unit_all, turn:1, rate:1, animation:hungup01]</t>
    <phoneticPr fontId="5"/>
  </si>
  <si>
    <t>[effect:break_attack, val:0.07, lowest_val:1, count:20, block:block_red, target:unit_one]</t>
    <phoneticPr fontId="5"/>
  </si>
  <si>
    <t>[effect:break_attack, val:0.07, lowest_val:1, count:20, block:block_blue, target:unit_one]</t>
    <phoneticPr fontId="5"/>
  </si>
  <si>
    <t>[effect:break_attack, val:0.07, lowest_val:1, count:20, block:block_green, target:unit_one]</t>
    <phoneticPr fontId="5"/>
  </si>
  <si>
    <t>[effect:break_attack, val:0.07, lowest_val:1, count:23, block01:block_red, block02:block_heart,  target:unit_one]</t>
    <phoneticPr fontId="5"/>
  </si>
  <si>
    <t>[effect:break_attack, val:0.07, lowest_val:1, count:23, block01:block_blue, block02:block_heart, target:unit_one]</t>
    <phoneticPr fontId="5"/>
  </si>
  <si>
    <t>[effect:break_attack, val:0.07, lowest_val:1, count:23, block01:block_green, block02:block_heart, target:unit_one]</t>
    <phoneticPr fontId="5"/>
  </si>
  <si>
    <t>[effect:break_attack, val:0.07, lowest_val:1, count:23, block01:block_red, block02:block_yellow,  target:unit_one]</t>
    <phoneticPr fontId="5"/>
  </si>
  <si>
    <t>[effect:break_attack, val:0.07, lowest_val:1, count:23, block01:block_blue, block02:block_yellow, target:unit_one]</t>
    <phoneticPr fontId="5"/>
  </si>
  <si>
    <t>[effect:break_attack, val:0.07, lowest_val:1, count:23, block01:block_green, block02:block_yellow, target:unit_one]</t>
    <phoneticPr fontId="5"/>
  </si>
  <si>
    <t>単体攻撃＋ユニット1体を2ターンスキルバインド</t>
    <phoneticPr fontId="5"/>
  </si>
  <si>
    <t>単体攻撃＋ユニット全体を1ターンスキルバインド</t>
    <phoneticPr fontId="5"/>
  </si>
  <si>
    <t>無駄ダ！</t>
    <phoneticPr fontId="5"/>
  </si>
  <si>
    <t>我ガ力ノ為ノ贄トナレ…</t>
    <phoneticPr fontId="5"/>
  </si>
  <si>
    <t>[effect:enhance_enemy, target:enemy_all, turn:5, status:attack, val:0.2, calc:mul, animation:enemy_enhance_attack],[effect:fix_speed, target:myself, turn:2]</t>
    <phoneticPr fontId="5"/>
  </si>
  <si>
    <t>5ターン敵ユニットの攻撃力UP</t>
    <phoneticPr fontId="5"/>
  </si>
  <si>
    <t>[effect:degrade_unit, target:unit_all, turn:5, status:attack, val:0.7, calc:mul],[effect:fix_speed, target:myself, turn:2]</t>
    <phoneticPr fontId="5"/>
  </si>
  <si>
    <t>[effect:degrade_unit, target:unit_all, turn:5, status:action, val:1, calc:add, animation:enemy_tap_down],[effect:fix_speed, target:myself, turn:1]</t>
    <phoneticPr fontId="5"/>
  </si>
  <si>
    <t>5ターンパネルタップ回数を1減少</t>
    <phoneticPr fontId="5"/>
  </si>
  <si>
    <t>防御力大UP＋5ターンパネルタップ回数を2減少</t>
    <phoneticPr fontId="5"/>
  </si>
  <si>
    <t>[effect:remove_enhancement, target:unit_all, target_effect:all, target_type:buff, animation:frozen_wave],[effect:tolerance, target:myself, turn:-1, tolerance_effect:all, count:-1, animation:enemy_tolerance],[effect:degrade_unit, target:unit_all, turn:5, status:attack, val:0.5]</t>
    <phoneticPr fontId="5"/>
  </si>
  <si>
    <t>[effect:remove_enhancement, target:unit_all, target_effect:all, target_type:buff, animation:frozen_wave],[effect:tolerance, target:myself, turn:-1, tolerance_effect:all, count:-1, animation:enemy_tolerance],[effect:degrade_unit, target:unit_all, turn:5, status:heal, val:0.5, animation:degrade_unit_all_heal]</t>
    <phoneticPr fontId="5"/>
  </si>
  <si>
    <t>ラーフとリンドブルムは自分の苦手属性に
対して属性キラーをしてきます
パーティを緑属性で固めて行きましょう</t>
    <phoneticPr fontId="5"/>
  </si>
  <si>
    <t>最初に攻撃力DOWNとパネルタップ回数
DOWNを使用してきます
それらに有効なスキルで対抗しましょう</t>
    <phoneticPr fontId="5"/>
  </si>
  <si>
    <t>ケツァルクアトルは攻撃力UPを使用します
攻撃力DOWNスキルで対処するか
フィーバーで一気に突破しましょう</t>
    <phoneticPr fontId="5"/>
  </si>
  <si>
    <t>テュポーンの1ゲージ目は　最初に
パネルタップ回数DOWNを使用します
対抗スキルで乗り切りましょう</t>
    <phoneticPr fontId="5"/>
  </si>
  <si>
    <t>テュポーンの2ゲージ目は　最初に
攻撃力DOWNを使用した上で
パネル吸収攻撃を頻繁に発動してきます</t>
    <phoneticPr fontId="5"/>
  </si>
  <si>
    <t>テュポーンの3ゲージ目は　最初に
回復力DOWNを使用します
さらにHP50％以下で大技を発動します</t>
    <phoneticPr fontId="5"/>
  </si>
  <si>
    <t>フェルニゲシュはヒューマンキラー
をしてきます
パーティ編成に注意しましょう</t>
    <phoneticPr fontId="5"/>
  </si>
  <si>
    <t>ラーフとリンドブルムは自分の苦手属性に
対して属性キラーをしてきます
パーティを緑属性で固めて行きましょう</t>
    <phoneticPr fontId="5"/>
  </si>
  <si>
    <t>全てのプラス効果を解除＋5ターン攻撃力が50%DOWN</t>
    <phoneticPr fontId="5"/>
  </si>
  <si>
    <t>全てのプラス効果を解除＋5ターン回復力が50%DOWN</t>
    <phoneticPr fontId="5"/>
  </si>
  <si>
    <t>緑パネル以外を吸収して攻撃力UP
1ターンの間緑パネルの出現率大UP</t>
    <phoneticPr fontId="5"/>
  </si>
  <si>
    <t>デルタクラスター</t>
    <phoneticPr fontId="5"/>
  </si>
  <si>
    <t>[effect:enhance_enemy, target:myself, turn:-1, status:attack, val:0.2, animation:enemy_enhance_attack],[effect:enhance_enemy, target:myself, turn:-1, status:defense, val:1440, calc:add, animation:enemy_enhance_defense]</t>
    <phoneticPr fontId="5"/>
  </si>
  <si>
    <t>[effect:enhance_enemy, target:myself, turn:-1, status:defense, val:2880, calc:add, animation:enemy_enhance_defense],[effect:tolerance, target:myself, turn:-1, tolerance_effect:all, count:-1, animation:enemy_tolerance],[effect:degrade_unit, target:unit_all, turn:5, status:action, val:2, calc:add, animation:enemy_tap_down],[effect:fix_speed, target:myself, turn:2]</t>
    <phoneticPr fontId="5"/>
  </si>
  <si>
    <t>赤パネル吸収攻撃（最大20個まで）</t>
    <phoneticPr fontId="5"/>
  </si>
  <si>
    <t>青パネル吸収攻撃（最大20個まで）</t>
    <phoneticPr fontId="5"/>
  </si>
  <si>
    <t>緑パネル吸収攻撃（最大20個まで）</t>
    <phoneticPr fontId="5"/>
  </si>
  <si>
    <t>赤＆ハートパネル吸収攻撃（最大23個まで）</t>
    <phoneticPr fontId="5"/>
  </si>
  <si>
    <t>青＆ハートパネル吸収攻撃（最大23個まで）</t>
    <phoneticPr fontId="5"/>
  </si>
  <si>
    <t>緑＆ハートパネル吸収攻撃（最大23個まで）</t>
    <phoneticPr fontId="5"/>
  </si>
  <si>
    <t>赤＆黄パネル吸収攻撃（最大23個まで）</t>
    <phoneticPr fontId="5"/>
  </si>
  <si>
    <t>青＆黄パネル吸収攻撃（最大23個まで）</t>
    <phoneticPr fontId="5"/>
  </si>
  <si>
    <t>緑＆黄パネル吸収攻撃（最大23個まで）</t>
    <phoneticPr fontId="5"/>
  </si>
  <si>
    <t>強力な緑パネル吸収攻撃（最大30個まで）</t>
    <phoneticPr fontId="5"/>
  </si>
  <si>
    <t>テュポーンの3ゲージ目は　最初に
回復力DOWNを使用します
さらにHP50％以下で大技を発動します</t>
    <phoneticPr fontId="5"/>
  </si>
  <si>
    <t>フェルニゲシュはヒューマンキラー
をしてきます
パーティ編成に注意しましょう</t>
    <phoneticPr fontId="5"/>
  </si>
  <si>
    <t>ウロボロスはヒューマンキラー
をしてきます
パーティ編成に注意しましょう</t>
    <phoneticPr fontId="5"/>
  </si>
  <si>
    <t>ケツァルクアトルとヨルムンガンドは自分の
苦手属性に対して属性キラーをしてきます
パーティを緑属性で固めて行きましょう</t>
    <phoneticPr fontId="5"/>
  </si>
  <si>
    <t>テュポーンの2ゲージ目は　最初に
回復力DOWNを使用します
さらにHP50％以下で大技を発動します</t>
    <phoneticPr fontId="5"/>
  </si>
  <si>
    <t>1ターン防御力UP＆次ターンにパネル吸収して攻撃力UP</t>
    <phoneticPr fontId="5"/>
  </si>
  <si>
    <t>[effect:enhance_enemy, target:myself, turn:1, status:defense, val:10000, calc:add, animation:enemy_enhance_defense]</t>
    <phoneticPr fontId="5"/>
  </si>
  <si>
    <t>5ターン攻撃力が70%DOWN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</si>
</sst>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00"/>
        <bgColor indexed="2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6" fillId="31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0" fillId="0" borderId="23" xfId="0" applyBorder="1"/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13" borderId="12" xfId="0" applyFont="1" applyFill="1" applyBorder="1"/>
    <xf numFmtId="0" fontId="0" fillId="0" borderId="24" xfId="0" applyBorder="1"/>
    <xf numFmtId="0" fontId="0" fillId="0" borderId="25" xfId="0" applyBorder="1"/>
    <xf numFmtId="0" fontId="27" fillId="13" borderId="7" xfId="0" applyFont="1" applyFill="1" applyBorder="1"/>
    <xf numFmtId="0" fontId="0" fillId="0" borderId="26" xfId="0" applyBorder="1"/>
    <xf numFmtId="0" fontId="0" fillId="0" borderId="27" xfId="0" applyBorder="1"/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27" fillId="13" borderId="2" xfId="0" applyFont="1" applyFill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3" borderId="30" xfId="0" applyFill="1" applyBorder="1"/>
    <xf numFmtId="0" fontId="6" fillId="5" borderId="30" xfId="0" applyFont="1" applyFill="1" applyBorder="1" applyAlignment="1">
      <alignment vertical="center"/>
    </xf>
    <xf numFmtId="0" fontId="27" fillId="13" borderId="30" xfId="0" applyFont="1" applyFill="1" applyBorder="1"/>
    <xf numFmtId="0" fontId="0" fillId="0" borderId="31" xfId="0" applyBorder="1"/>
    <xf numFmtId="0" fontId="6" fillId="32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29" fillId="0" borderId="12" xfId="0" applyFont="1" applyFill="1" applyBorder="1" applyAlignment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47001</v>
          </cell>
        </row>
        <row r="198">
          <cell r="A198">
            <v>47002</v>
          </cell>
        </row>
        <row r="199">
          <cell r="A199">
            <v>49001</v>
          </cell>
        </row>
        <row r="200">
          <cell r="A200">
            <v>49002</v>
          </cell>
        </row>
        <row r="201">
          <cell r="A201">
            <v>49003</v>
          </cell>
        </row>
        <row r="202">
          <cell r="A202">
            <v>49004</v>
          </cell>
        </row>
        <row r="203">
          <cell r="A203">
            <v>49005</v>
          </cell>
        </row>
        <row r="204">
          <cell r="A204">
            <v>49006</v>
          </cell>
        </row>
        <row r="205">
          <cell r="A205">
            <v>50001</v>
          </cell>
        </row>
        <row r="206">
          <cell r="A206">
            <v>50002</v>
          </cell>
        </row>
        <row r="207">
          <cell r="A207">
            <v>50003</v>
          </cell>
        </row>
        <row r="208">
          <cell r="A208">
            <v>50004</v>
          </cell>
        </row>
        <row r="209">
          <cell r="A209">
            <v>50005</v>
          </cell>
        </row>
        <row r="210">
          <cell r="A210">
            <v>51001</v>
          </cell>
        </row>
        <row r="211">
          <cell r="A211">
            <v>51002</v>
          </cell>
        </row>
        <row r="212">
          <cell r="A212">
            <v>60001</v>
          </cell>
        </row>
        <row r="213">
          <cell r="A213">
            <v>60002</v>
          </cell>
        </row>
        <row r="214">
          <cell r="A214">
            <v>60003</v>
          </cell>
        </row>
        <row r="215">
          <cell r="A215">
            <v>60004</v>
          </cell>
        </row>
        <row r="216">
          <cell r="A216">
            <v>60005</v>
          </cell>
        </row>
        <row r="217">
          <cell r="A217">
            <v>60006</v>
          </cell>
        </row>
        <row r="218">
          <cell r="A218">
            <v>60007</v>
          </cell>
        </row>
        <row r="219">
          <cell r="A219">
            <v>60010</v>
          </cell>
        </row>
        <row r="220">
          <cell r="A220">
            <v>60011</v>
          </cell>
        </row>
        <row r="221">
          <cell r="A221">
            <v>61011</v>
          </cell>
        </row>
        <row r="222">
          <cell r="A222">
            <v>60012</v>
          </cell>
        </row>
        <row r="223">
          <cell r="A223">
            <v>60013</v>
          </cell>
        </row>
        <row r="224">
          <cell r="A224">
            <v>65534</v>
          </cell>
        </row>
        <row r="225">
          <cell r="A225">
            <v>65535</v>
          </cell>
        </row>
        <row r="226">
          <cell r="A226">
            <v>60021</v>
          </cell>
        </row>
        <row r="227">
          <cell r="A227">
            <v>60022</v>
          </cell>
        </row>
        <row r="228">
          <cell r="A228">
            <v>60023</v>
          </cell>
        </row>
        <row r="229">
          <cell r="A22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47001_1</v>
          </cell>
        </row>
        <row r="625">
          <cell r="A625" t="str">
            <v>47001_2</v>
          </cell>
        </row>
        <row r="626">
          <cell r="A626" t="str">
            <v>47002_1</v>
          </cell>
        </row>
        <row r="627">
          <cell r="A627" t="str">
            <v>47002_2</v>
          </cell>
        </row>
        <row r="628">
          <cell r="A628" t="str">
            <v>49001_1</v>
          </cell>
        </row>
        <row r="629">
          <cell r="A629" t="str">
            <v>49002_1</v>
          </cell>
        </row>
        <row r="630">
          <cell r="A630" t="str">
            <v>49002_2</v>
          </cell>
        </row>
        <row r="631">
          <cell r="A631" t="str">
            <v>49003_1</v>
          </cell>
        </row>
        <row r="632">
          <cell r="A632" t="str">
            <v>49003_2</v>
          </cell>
        </row>
        <row r="633">
          <cell r="A633" t="str">
            <v>49004_1</v>
          </cell>
        </row>
        <row r="634">
          <cell r="A634" t="str">
            <v>49004_2</v>
          </cell>
        </row>
        <row r="635">
          <cell r="A635" t="str">
            <v>49004_3</v>
          </cell>
        </row>
        <row r="636">
          <cell r="A636" t="str">
            <v>49005_1</v>
          </cell>
        </row>
        <row r="637">
          <cell r="A637" t="str">
            <v>49006_1</v>
          </cell>
        </row>
        <row r="638">
          <cell r="A638" t="str">
            <v>49006_2</v>
          </cell>
        </row>
        <row r="639">
          <cell r="A639" t="str">
            <v>50001_1</v>
          </cell>
        </row>
        <row r="640">
          <cell r="A640" t="str">
            <v>50002_1</v>
          </cell>
        </row>
        <row r="641">
          <cell r="A641" t="str">
            <v>50003_1</v>
          </cell>
        </row>
        <row r="642">
          <cell r="A642" t="str">
            <v>50004_1</v>
          </cell>
        </row>
        <row r="643">
          <cell r="A643" t="str">
            <v>50005_1</v>
          </cell>
        </row>
        <row r="644">
          <cell r="A644" t="str">
            <v>51001_1</v>
          </cell>
        </row>
        <row r="645">
          <cell r="A645" t="str">
            <v>51002_1</v>
          </cell>
        </row>
        <row r="646">
          <cell r="A646" t="str">
            <v>60001_1</v>
          </cell>
        </row>
        <row r="647">
          <cell r="A647" t="str">
            <v>60002_1</v>
          </cell>
        </row>
        <row r="648">
          <cell r="A648" t="str">
            <v>60002_2</v>
          </cell>
        </row>
        <row r="649">
          <cell r="A649" t="str">
            <v>60003_1</v>
          </cell>
        </row>
        <row r="650">
          <cell r="A650" t="str">
            <v>60003_2</v>
          </cell>
        </row>
        <row r="651">
          <cell r="A651" t="str">
            <v>60003_3</v>
          </cell>
        </row>
        <row r="652">
          <cell r="A652" t="str">
            <v>60004_1</v>
          </cell>
        </row>
        <row r="653">
          <cell r="A653" t="str">
            <v>60005_1</v>
          </cell>
        </row>
        <row r="654">
          <cell r="A654" t="str">
            <v>60006_1</v>
          </cell>
        </row>
        <row r="655">
          <cell r="A655" t="str">
            <v>60006_2</v>
          </cell>
        </row>
        <row r="656">
          <cell r="A656" t="str">
            <v>60006_3</v>
          </cell>
        </row>
        <row r="657">
          <cell r="A657" t="str">
            <v>60007_1</v>
          </cell>
        </row>
        <row r="658">
          <cell r="A658" t="str">
            <v>60007_2</v>
          </cell>
        </row>
        <row r="659">
          <cell r="A659" t="str">
            <v>60007_3</v>
          </cell>
        </row>
        <row r="660">
          <cell r="A660" t="str">
            <v>60010_1</v>
          </cell>
        </row>
        <row r="661">
          <cell r="A661" t="str">
            <v>60011_1</v>
          </cell>
        </row>
        <row r="662">
          <cell r="A662" t="str">
            <v>60011_2</v>
          </cell>
        </row>
        <row r="663">
          <cell r="A663" t="str">
            <v>61011_1</v>
          </cell>
        </row>
        <row r="664">
          <cell r="A664" t="str">
            <v>60012_1</v>
          </cell>
        </row>
        <row r="665">
          <cell r="A665" t="str">
            <v>60013_1</v>
          </cell>
        </row>
        <row r="666">
          <cell r="A666" t="str">
            <v>60013_2</v>
          </cell>
        </row>
        <row r="667">
          <cell r="A667" t="str">
            <v>60013_3</v>
          </cell>
        </row>
        <row r="668">
          <cell r="A668" t="str">
            <v>65535_1</v>
          </cell>
        </row>
        <row r="669">
          <cell r="A669" t="str">
            <v>65535_2</v>
          </cell>
        </row>
        <row r="670">
          <cell r="A670" t="str">
            <v>65535_3</v>
          </cell>
        </row>
        <row r="671">
          <cell r="A671" t="str">
            <v>65535_4</v>
          </cell>
        </row>
        <row r="672">
          <cell r="A672" t="str">
            <v>65535_5</v>
          </cell>
        </row>
        <row r="673">
          <cell r="A673" t="str">
            <v>65535_6</v>
          </cell>
        </row>
        <row r="674">
          <cell r="A674" t="str">
            <v>65535_7</v>
          </cell>
        </row>
        <row r="675">
          <cell r="A675" t="str">
            <v>65535_8</v>
          </cell>
        </row>
        <row r="676">
          <cell r="A676" t="str">
            <v>60021_3</v>
          </cell>
        </row>
        <row r="677">
          <cell r="A677" t="str">
            <v>60022_3</v>
          </cell>
        </row>
        <row r="678">
          <cell r="A678" t="str">
            <v>60023_3</v>
          </cell>
        </row>
        <row r="679">
          <cell r="A67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3" sqref="B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229</v>
      </c>
      <c r="B2" s="57" t="s">
        <v>107</v>
      </c>
      <c r="C2" s="63">
        <v>40019</v>
      </c>
      <c r="D2" s="57" t="s">
        <v>108</v>
      </c>
      <c r="E2" s="56" t="str">
        <f>B2&amp;C2&amp;D2</f>
        <v>floors_40019.tmp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229</v>
      </c>
      <c r="B3" s="57" t="s">
        <v>110</v>
      </c>
      <c r="C3" s="63">
        <v>40019</v>
      </c>
      <c r="D3" s="57" t="s">
        <v>108</v>
      </c>
      <c r="E3" s="56" t="str">
        <f>B3&amp;C3&amp;D3</f>
        <v>enemy_habitats_40019.tmp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229</v>
      </c>
      <c r="B4" s="57" t="s">
        <v>112</v>
      </c>
      <c r="C4" s="63">
        <v>40019</v>
      </c>
      <c r="D4" s="57" t="s">
        <v>108</v>
      </c>
      <c r="E4" s="56" t="str">
        <f>B4&amp;C4&amp;D4</f>
        <v>enemy_habitat_S_40019.tmp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229</v>
      </c>
      <c r="B5" s="57" t="s">
        <v>114</v>
      </c>
      <c r="C5" s="63">
        <v>40019</v>
      </c>
      <c r="D5" s="57" t="s">
        <v>108</v>
      </c>
      <c r="E5" s="56" t="str">
        <f>B5&amp;C5&amp;D5</f>
        <v>enemy_skill_sets_40019.tmp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229</v>
      </c>
      <c r="B6" s="57" t="s">
        <v>116</v>
      </c>
      <c r="C6" s="63">
        <v>40019</v>
      </c>
      <c r="D6" s="57" t="s">
        <v>117</v>
      </c>
      <c r="E6" s="56" t="str">
        <f t="shared" ref="E6:E10" si="0">B6&amp;C6&amp;D6</f>
        <v>enemy_skills_tmp_40019.tmp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229</v>
      </c>
      <c r="B7" s="57" t="s">
        <v>118</v>
      </c>
      <c r="C7" s="63">
        <v>40019</v>
      </c>
      <c r="D7" s="57" t="s">
        <v>108</v>
      </c>
      <c r="E7" s="56" t="str">
        <f>B7&amp;C7&amp;D7</f>
        <v>enemy_skills_i18n_40019.tmp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229</v>
      </c>
      <c r="B8" s="57" t="s">
        <v>120</v>
      </c>
      <c r="C8" s="63">
        <v>40019</v>
      </c>
      <c r="D8" s="57" t="s">
        <v>121</v>
      </c>
      <c r="E8" s="56" t="str">
        <f t="shared" si="0"/>
        <v>enemy_skill_triggers_40019.tmp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229</v>
      </c>
      <c r="B9" s="68" t="s">
        <v>178</v>
      </c>
      <c r="C9" s="63">
        <v>40019</v>
      </c>
      <c r="D9" s="68" t="s">
        <v>172</v>
      </c>
      <c r="E9" s="69" t="str">
        <f t="shared" si="0"/>
        <v>stage_bug_bonuses_40019.tmp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</row>
    <row r="10" spans="1:30" s="76" customFormat="1" x14ac:dyDescent="0.15">
      <c r="A10" s="61" t="s">
        <v>229</v>
      </c>
      <c r="B10" s="68" t="s">
        <v>202</v>
      </c>
      <c r="C10" s="63">
        <v>40019</v>
      </c>
      <c r="D10" s="68" t="s">
        <v>181</v>
      </c>
      <c r="E10" s="69" t="str">
        <f t="shared" si="0"/>
        <v>stage_hints_data_c_40019.tmp</v>
      </c>
      <c r="F10" s="68" t="s">
        <v>210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75" t="s">
        <v>185</v>
      </c>
    </row>
    <row r="11" spans="1:30" s="76" customFormat="1" x14ac:dyDescent="0.15">
      <c r="A11" s="61" t="s">
        <v>229</v>
      </c>
      <c r="B11" s="68" t="s">
        <v>203</v>
      </c>
      <c r="C11" s="63">
        <v>40019</v>
      </c>
      <c r="D11" s="68" t="s">
        <v>172</v>
      </c>
      <c r="E11" s="69" t="str">
        <f t="shared" ref="E11:E12" si="1">B11&amp;C11&amp;D11</f>
        <v>stage_hints_data_f_40019.tmp</v>
      </c>
      <c r="F11" s="68" t="s">
        <v>212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75" t="s">
        <v>185</v>
      </c>
    </row>
    <row r="12" spans="1:30" s="76" customFormat="1" x14ac:dyDescent="0.15">
      <c r="A12" s="123" t="s">
        <v>229</v>
      </c>
      <c r="B12" s="68" t="s">
        <v>204</v>
      </c>
      <c r="C12" s="63">
        <v>40019</v>
      </c>
      <c r="D12" s="68" t="s">
        <v>172</v>
      </c>
      <c r="E12" s="69" t="str">
        <f t="shared" si="1"/>
        <v>stage_hints_i18n_40019.tmp</v>
      </c>
      <c r="F12" s="68" t="s">
        <v>213</v>
      </c>
      <c r="G12" s="74" t="s">
        <v>205</v>
      </c>
      <c r="H12" s="96" t="s">
        <v>206</v>
      </c>
      <c r="I12" s="73" t="s">
        <v>207</v>
      </c>
      <c r="J12" s="97" t="s">
        <v>208</v>
      </c>
      <c r="K12" s="75" t="s">
        <v>209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H13" sqref="H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40019_1-1</v>
      </c>
      <c r="B2" s="16" t="str">
        <f>IF(COUNTIF(enemy_habitats!$H:$H,A2),"OK","NG")</f>
        <v>OK</v>
      </c>
      <c r="C2" s="7">
        <v>40019</v>
      </c>
      <c r="D2" s="11" t="str">
        <f ca="1">VLOOKUP($C2,OFFSET([2]quests!$A$1,0,0,COUNTA([2]quests!$A:$A),MATCH(D$1,[2]quests!$1:$1,0)-MATCH($C$1,[2]quests!$1:$1,0)+1),MATCH(D$1,[2]quests!$1:$1,0)-MATCH($C$1,[2]quests!$1:$1,0)+1,FALSE)</f>
        <v>テュポーン襲来！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降臨19</v>
      </c>
      <c r="F2" s="21">
        <v>1</v>
      </c>
      <c r="G2" s="23" t="str">
        <f t="shared" ref="G2:G10" si="1">C2&amp;"_"&amp;F2</f>
        <v>40019_1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【超絶級】テュポーン襲来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40019_1-2</v>
      </c>
      <c r="B3" s="16" t="str">
        <f>IF(COUNTIF(enemy_habitats!$H:$H,A3),"OK","NG")</f>
        <v>OK</v>
      </c>
      <c r="C3" s="7">
        <v>40019</v>
      </c>
      <c r="D3" s="11" t="str">
        <f ca="1">VLOOKUP($C3,OFFSET([2]quests!$A$1,0,0,COUNTA([2]quests!$A:$A),MATCH(D$1,[2]quests!$1:$1,0)-MATCH($C$1,[2]quests!$1:$1,0)+1),MATCH(D$1,[2]quests!$1:$1,0)-MATCH($C$1,[2]quests!$1:$1,0)+1,FALSE)</f>
        <v>テュポーン襲来！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降臨19</v>
      </c>
      <c r="F3" s="21">
        <v>1</v>
      </c>
      <c r="G3" s="23" t="str">
        <f t="shared" si="1"/>
        <v>40019_1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【超絶級】テュポーン襲来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40019_1-3</v>
      </c>
      <c r="B4" s="16" t="str">
        <f>IF(COUNTIF(enemy_habitats!$H:$H,A4),"OK","NG")</f>
        <v>OK</v>
      </c>
      <c r="C4" s="7">
        <v>40019</v>
      </c>
      <c r="D4" s="11" t="str">
        <f ca="1">VLOOKUP($C4,OFFSET([2]quests!$A$1,0,0,COUNTA([2]quests!$A:$A),MATCH(D$1,[2]quests!$1:$1,0)-MATCH($C$1,[2]quests!$1:$1,0)+1),MATCH(D$1,[2]quests!$1:$1,0)-MATCH($C$1,[2]quests!$1:$1,0)+1,FALSE)</f>
        <v>テュポーン襲来！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降臨19</v>
      </c>
      <c r="F4" s="21">
        <v>1</v>
      </c>
      <c r="G4" s="23" t="str">
        <f t="shared" si="1"/>
        <v>40019_1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【超絶級】テュポーン襲来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40019_2-1</v>
      </c>
      <c r="B5" s="16" t="str">
        <f>IF(COUNTIF(enemy_habitats!$H:$H,A5),"OK","NG")</f>
        <v>OK</v>
      </c>
      <c r="C5" s="7">
        <v>40019</v>
      </c>
      <c r="D5" s="11" t="str">
        <f ca="1">VLOOKUP($C5,OFFSET([2]quests!$A$1,0,0,COUNTA([2]quests!$A:$A),MATCH(D$1,[2]quests!$1:$1,0)-MATCH($C$1,[2]quests!$1:$1,0)+1),MATCH(D$1,[2]quests!$1:$1,0)-MATCH($C$1,[2]quests!$1:$1,0)+1,FALSE)</f>
        <v>テュポーン襲来！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降臨19</v>
      </c>
      <c r="F5" s="21">
        <v>2</v>
      </c>
      <c r="G5" s="23" t="str">
        <f t="shared" si="1"/>
        <v>40019_2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【ウィザード級】テュポーン襲来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40019_2-2</v>
      </c>
      <c r="B6" s="16" t="str">
        <f>IF(COUNTIF(enemy_habitats!$H:$H,A6),"OK","NG")</f>
        <v>OK</v>
      </c>
      <c r="C6" s="7">
        <v>40019</v>
      </c>
      <c r="D6" s="11" t="str">
        <f ca="1">VLOOKUP($C6,OFFSET([2]quests!$A$1,0,0,COUNTA([2]quests!$A:$A),MATCH(D$1,[2]quests!$1:$1,0)-MATCH($C$1,[2]quests!$1:$1,0)+1),MATCH(D$1,[2]quests!$1:$1,0)-MATCH($C$1,[2]quests!$1:$1,0)+1,FALSE)</f>
        <v>テュポーン襲来！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降臨19</v>
      </c>
      <c r="F6" s="21">
        <v>2</v>
      </c>
      <c r="G6" s="23" t="str">
        <f t="shared" si="1"/>
        <v>40019_2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【ウィザード級】テュポーン襲来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40019_2-3</v>
      </c>
      <c r="B7" s="16" t="str">
        <f>IF(COUNTIF(enemy_habitats!$H:$H,A7),"OK","NG")</f>
        <v>OK</v>
      </c>
      <c r="C7" s="7">
        <v>40019</v>
      </c>
      <c r="D7" s="11" t="str">
        <f ca="1">VLOOKUP($C7,OFFSET([2]quests!$A$1,0,0,COUNTA([2]quests!$A:$A),MATCH(D$1,[2]quests!$1:$1,0)-MATCH($C$1,[2]quests!$1:$1,0)+1),MATCH(D$1,[2]quests!$1:$1,0)-MATCH($C$1,[2]quests!$1:$1,0)+1,FALSE)</f>
        <v>テュポーン襲来！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降臨19</v>
      </c>
      <c r="F7" s="21">
        <v>2</v>
      </c>
      <c r="G7" s="23" t="str">
        <f t="shared" si="1"/>
        <v>40019_2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【ウィザード級】テュポーン襲来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40019_3-1</v>
      </c>
      <c r="B8" s="16" t="str">
        <f>IF(COUNTIF(enemy_habitats!$H:$H,A8),"OK","NG")</f>
        <v>OK</v>
      </c>
      <c r="C8" s="7">
        <v>40019</v>
      </c>
      <c r="D8" s="11" t="str">
        <f ca="1">VLOOKUP($C8,OFFSET([2]quests!$A$1,0,0,COUNTA([2]quests!$A:$A),MATCH(D$1,[2]quests!$1:$1,0)-MATCH($C$1,[2]quests!$1:$1,0)+1),MATCH(D$1,[2]quests!$1:$1,0)-MATCH($C$1,[2]quests!$1:$1,0)+1,FALSE)</f>
        <v>テュポーン襲来！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降臨19</v>
      </c>
      <c r="F8" s="21">
        <v>3</v>
      </c>
      <c r="G8" s="23" t="str">
        <f t="shared" si="1"/>
        <v>40019_3</v>
      </c>
      <c r="H8" s="15" t="str">
        <f ca="1">VLOOKUP($G8,OFFSET([2]stages!$A$1,0,0,COUNTA([2]stages!$A:$A),MATCH(H$1,[2]stages!$2:$2,0)-MATCH($G$1,[2]stages!$2:$2,0)+1),MATCH(H$1,[2]stages!$2:$2,0)-MATCH($G$1,[2]stages!$2:$2,0)+1,FALSE)</f>
        <v>【ノーコンテニュー】テュポーン襲来</v>
      </c>
      <c r="I8" s="21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40019_3-2</v>
      </c>
      <c r="B9" s="16" t="str">
        <f>IF(COUNTIF(enemy_habitats!$H:$H,A9),"OK","NG")</f>
        <v>OK</v>
      </c>
      <c r="C9" s="7">
        <v>40019</v>
      </c>
      <c r="D9" s="11" t="str">
        <f ca="1">VLOOKUP($C9,OFFSET([2]quests!$A$1,0,0,COUNTA([2]quests!$A:$A),MATCH(D$1,[2]quests!$1:$1,0)-MATCH($C$1,[2]quests!$1:$1,0)+1),MATCH(D$1,[2]quests!$1:$1,0)-MATCH($C$1,[2]quests!$1:$1,0)+1,FALSE)</f>
        <v>テュポーン襲来！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降臨19</v>
      </c>
      <c r="F9" s="21">
        <v>3</v>
      </c>
      <c r="G9" s="23" t="str">
        <f t="shared" si="1"/>
        <v>40019_3</v>
      </c>
      <c r="H9" s="15" t="str">
        <f ca="1">VLOOKUP($G9,OFFSET([2]stages!$A$1,0,0,COUNTA([2]stages!$A:$A),MATCH(H$1,[2]stages!$2:$2,0)-MATCH($G$1,[2]stages!$2:$2,0)+1),MATCH(H$1,[2]stages!$2:$2,0)-MATCH($G$1,[2]stages!$2:$2,0)+1,FALSE)</f>
        <v>【ノーコンテニュー】テュポーン襲来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40019_3-3</v>
      </c>
      <c r="B10" s="16" t="str">
        <f>IF(COUNTIF(enemy_habitats!$H:$H,A10),"OK","NG")</f>
        <v>OK</v>
      </c>
      <c r="C10" s="7">
        <v>40019</v>
      </c>
      <c r="D10" s="11" t="str">
        <f ca="1">VLOOKUP($C10,OFFSET([2]quests!$A$1,0,0,COUNTA([2]quests!$A:$A),MATCH(D$1,[2]quests!$1:$1,0)-MATCH($C$1,[2]quests!$1:$1,0)+1),MATCH(D$1,[2]quests!$1:$1,0)-MATCH($C$1,[2]quests!$1:$1,0)+1,FALSE)</f>
        <v>テュポーン襲来！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降臨19</v>
      </c>
      <c r="F10" s="21">
        <v>3</v>
      </c>
      <c r="G10" s="23" t="str">
        <f t="shared" si="1"/>
        <v>40019_3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【ノーコンテニュー】テュポーン襲来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2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8" sqref="W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8" si="0">B2&amp;"_"&amp;C2&amp;"-"&amp;G2&amp;"/"&amp;L2&amp;"&lt;lv"&amp;R2&amp;"&gt;s"&amp;AA2</f>
        <v>40019_1-1/280&lt;lv80&gt;s3</v>
      </c>
      <c r="B2" s="22">
        <v>40019</v>
      </c>
      <c r="C2" s="21">
        <v>1</v>
      </c>
      <c r="D2" s="2" t="str">
        <f t="shared" ref="D2:D8" si="1">B2&amp;"_"&amp;C2</f>
        <v>40019_1</v>
      </c>
      <c r="E2" s="4" t="str">
        <f ca="1">VLOOKUP($B2,OFFSET([2]quests!$A$1,0,0,COUNTA([2]quests!$A:$A),MATCH(E$1,[2]quests!$1:$1,0)-MATCH($B$1,[2]quests!$1:$1,0)+1),MATCH(E$1,[2]quests!$1:$1,0)-MATCH($B$1,[2]quests!$1:$1,0)+1,FALSE)</f>
        <v>テュポーン襲来！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2" s="21">
        <v>1</v>
      </c>
      <c r="H2" s="15" t="str">
        <f t="shared" ref="H2:H8" si="2">B2&amp;"_"&amp;C2&amp;"-"&amp;G2</f>
        <v>40019_1-1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280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リンドブルム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5">
        <v>0.3</v>
      </c>
      <c r="T2" s="25">
        <v>0.7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赤属性のユニットに大ダメージ</v>
      </c>
      <c r="W2" s="62">
        <v>40019001</v>
      </c>
      <c r="X2" s="6">
        <v>1</v>
      </c>
      <c r="Y2" s="6">
        <v>100</v>
      </c>
      <c r="Z2" s="6">
        <v>0</v>
      </c>
      <c r="AA2" s="121">
        <v>3</v>
      </c>
      <c r="AB2" s="24">
        <f t="shared" ref="AB2:AB8" si="3">L2</f>
        <v>280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リンドブルム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Drop2W</v>
      </c>
      <c r="AF2" s="7">
        <v>1</v>
      </c>
      <c r="AG2" s="24">
        <f t="shared" ref="AG2:AG8" ca="1" si="4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 t="shared" si="0"/>
        <v>40019_1-1/282&lt;lv80&gt;s3</v>
      </c>
      <c r="B3" s="22">
        <v>40019</v>
      </c>
      <c r="C3" s="21">
        <v>1</v>
      </c>
      <c r="D3" s="2" t="str">
        <f t="shared" si="1"/>
        <v>40019_1</v>
      </c>
      <c r="E3" s="4" t="str">
        <f ca="1">VLOOKUP($B3,OFFSET([2]quests!$A$1,0,0,COUNTA([2]quests!$A:$A),MATCH(E$1,[2]quests!$1:$1,0)-MATCH($B$1,[2]quests!$1:$1,0)+1),MATCH(E$1,[2]quests!$1:$1,0)-MATCH($B$1,[2]quests!$1:$1,0)+1,FALSE)</f>
        <v>テュポーン襲来！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3" s="21">
        <v>1</v>
      </c>
      <c r="H3" s="15" t="str">
        <f t="shared" si="2"/>
        <v>40019_1-1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282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ラーフ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0.3</v>
      </c>
      <c r="T3" s="25">
        <v>0.9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黄属性のユニットに大ダメージ</v>
      </c>
      <c r="W3" s="62">
        <v>40019002</v>
      </c>
      <c r="X3" s="6">
        <v>1</v>
      </c>
      <c r="Y3" s="6">
        <v>100</v>
      </c>
      <c r="Z3" s="6">
        <v>0</v>
      </c>
      <c r="AA3" s="121">
        <v>3</v>
      </c>
      <c r="AB3" s="24">
        <f t="shared" si="3"/>
        <v>282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ラーフ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Drop2W</v>
      </c>
      <c r="AF3" s="7">
        <v>1</v>
      </c>
      <c r="AG3" s="24">
        <f t="shared" ca="1" si="4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si="0"/>
        <v>40019_1-1/284&lt;lv80&gt;s3</v>
      </c>
      <c r="B4" s="22">
        <v>40019</v>
      </c>
      <c r="C4" s="21">
        <v>1</v>
      </c>
      <c r="D4" s="2" t="str">
        <f t="shared" si="1"/>
        <v>40019_1</v>
      </c>
      <c r="E4" s="4" t="str">
        <f ca="1">VLOOKUP($B4,OFFSET([2]quests!$A$1,0,0,COUNTA([2]quests!$A:$A),MATCH(E$1,[2]quests!$1:$1,0)-MATCH($B$1,[2]quests!$1:$1,0)+1),MATCH(E$1,[2]quests!$1:$1,0)-MATCH($B$1,[2]quests!$1:$1,0)+1,FALSE)</f>
        <v>テュポーン襲来！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4" s="21">
        <v>1</v>
      </c>
      <c r="H4" s="15" t="str">
        <f t="shared" si="2"/>
        <v>40019_1-1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284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フェルニゲシュ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0.5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種族ヒューマンのユニットに大ダメージ</v>
      </c>
      <c r="W4" s="62">
        <v>40019010</v>
      </c>
      <c r="X4" s="6">
        <v>1</v>
      </c>
      <c r="Y4" s="6">
        <v>100</v>
      </c>
      <c r="Z4" s="6">
        <v>1</v>
      </c>
      <c r="AA4" s="121">
        <v>3</v>
      </c>
      <c r="AB4" s="24">
        <f t="shared" si="3"/>
        <v>284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フェルニゲシュ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Drop2W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si="0"/>
        <v>40019_1-2/217&lt;lv80&gt;s2</v>
      </c>
      <c r="B5" s="22">
        <v>40019</v>
      </c>
      <c r="C5" s="21">
        <v>1</v>
      </c>
      <c r="D5" s="2" t="str">
        <f t="shared" si="1"/>
        <v>40019_1</v>
      </c>
      <c r="E5" s="4" t="str">
        <f ca="1">VLOOKUP($B5,OFFSET([2]quests!$A$1,0,0,COUNTA([2]quests!$A:$A),MATCH(E$1,[2]quests!$1:$1,0)-MATCH($B$1,[2]quests!$1:$1,0)+1),MATCH(E$1,[2]quests!$1:$1,0)-MATCH($B$1,[2]quests!$1:$1,0)+1,FALSE)</f>
        <v>テュポーン襲来！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5" s="21">
        <v>2</v>
      </c>
      <c r="H5" s="15" t="str">
        <f t="shared" si="2"/>
        <v>40019_1-2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217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ケツァクアトル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5">
        <v>0.5</v>
      </c>
      <c r="T5" s="25">
        <v>0.7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赤属性のユニットに大ダメージ</v>
      </c>
      <c r="W5" s="62">
        <v>40019011</v>
      </c>
      <c r="X5" s="6">
        <v>1</v>
      </c>
      <c r="Y5" s="6">
        <v>100</v>
      </c>
      <c r="Z5" s="6">
        <v>0</v>
      </c>
      <c r="AA5" s="121">
        <v>2</v>
      </c>
      <c r="AB5" s="24">
        <f t="shared" si="3"/>
        <v>217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ケツァクアトル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ca="1" si="0"/>
        <v>40019_1-2/229&lt;lv80&gt;s2</v>
      </c>
      <c r="B6" s="22">
        <v>40019</v>
      </c>
      <c r="C6" s="21">
        <v>1</v>
      </c>
      <c r="D6" s="2" t="str">
        <f t="shared" si="1"/>
        <v>40019_1</v>
      </c>
      <c r="E6" s="4" t="str">
        <f ca="1">VLOOKUP($B6,OFFSET([2]quests!$A$1,0,0,COUNTA([2]quests!$A:$A),MATCH(E$1,[2]quests!$1:$1,0)-MATCH($B$1,[2]quests!$1:$1,0)+1),MATCH(E$1,[2]quests!$1:$1,0)-MATCH($B$1,[2]quests!$1:$1,0)+1,FALSE)</f>
        <v>テュポーン襲来！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6" s="21">
        <v>2</v>
      </c>
      <c r="H6" s="15" t="str">
        <f t="shared" si="2"/>
        <v>40019_1-2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229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ヨルムンガンド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80</v>
      </c>
      <c r="S6" s="25">
        <v>0.8</v>
      </c>
      <c r="T6" s="2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赤属性のユニットに大ダメージ</v>
      </c>
      <c r="W6" s="62">
        <v>40019012</v>
      </c>
      <c r="X6" s="6">
        <v>1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f t="shared" si="3"/>
        <v>229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ヨルムンガンド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ca="1" si="0"/>
        <v>40019_1-2/259&lt;lv80&gt;s2</v>
      </c>
      <c r="B7" s="22">
        <v>40019</v>
      </c>
      <c r="C7" s="21">
        <v>1</v>
      </c>
      <c r="D7" s="2" t="str">
        <f t="shared" si="1"/>
        <v>40019_1</v>
      </c>
      <c r="E7" s="4" t="str">
        <f ca="1">VLOOKUP($B7,OFFSET([2]quests!$A$1,0,0,COUNTA([2]quests!$A:$A),MATCH(E$1,[2]quests!$1:$1,0)-MATCH($B$1,[2]quests!$1:$1,0)+1),MATCH(E$1,[2]quests!$1:$1,0)-MATCH($B$1,[2]quests!$1:$1,0)+1,FALSE)</f>
        <v>テュポーン襲来！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7" s="21">
        <v>2</v>
      </c>
      <c r="H7" s="15" t="str">
        <f t="shared" si="2"/>
        <v>40019_1-2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259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ウロボロス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80</v>
      </c>
      <c r="S7" s="25">
        <v>1</v>
      </c>
      <c r="T7" s="25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種族ヒューマンのユニットに大ダメージ</v>
      </c>
      <c r="W7" s="62">
        <v>40019013</v>
      </c>
      <c r="X7" s="6">
        <v>1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259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ウロボロス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40019_1-3/740&lt;lv80&gt;s2</v>
      </c>
      <c r="B8" s="22">
        <v>40019</v>
      </c>
      <c r="C8" s="21">
        <v>1</v>
      </c>
      <c r="D8" s="2" t="str">
        <f t="shared" si="1"/>
        <v>40019_1</v>
      </c>
      <c r="E8" s="4" t="str">
        <f ca="1">VLOOKUP($B8,OFFSET([2]quests!$A$1,0,0,COUNTA([2]quests!$A:$A),MATCH(E$1,[2]quests!$1:$1,0)-MATCH($B$1,[2]quests!$1:$1,0)+1),MATCH(E$1,[2]quests!$1:$1,0)-MATCH($B$1,[2]quests!$1:$1,0)+1,FALSE)</f>
        <v>テュポーン襲来！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8" s="21">
        <v>3</v>
      </c>
      <c r="H8" s="15" t="str">
        <f t="shared" si="2"/>
        <v>40019_1-3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740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テュポーン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1.3</v>
      </c>
      <c r="T8" s="25">
        <v>0.7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防御力大UP＋5ターンパネルタップ回数を2減少</v>
      </c>
      <c r="W8" s="62">
        <v>40019007</v>
      </c>
      <c r="X8" s="6">
        <v>1</v>
      </c>
      <c r="Y8" s="6">
        <v>100</v>
      </c>
      <c r="Z8" s="6">
        <v>1</v>
      </c>
      <c r="AA8" s="121">
        <v>2</v>
      </c>
      <c r="AB8" s="24">
        <f t="shared" si="3"/>
        <v>740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テュポーン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7">
        <v>1</v>
      </c>
      <c r="AG8" s="24">
        <f t="shared" ca="1" si="4"/>
        <v>5</v>
      </c>
      <c r="AH8" s="8">
        <v>15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ref="A9:A15" si="5">B9&amp;"_"&amp;C9&amp;"-"&amp;G9&amp;"/"&amp;L9&amp;"&lt;lv"&amp;R9&amp;"&gt;s"&amp;AA9</f>
        <v>40019_2-1/280&lt;lv80&gt;s3</v>
      </c>
      <c r="B9" s="22">
        <v>40019</v>
      </c>
      <c r="C9" s="21">
        <v>2</v>
      </c>
      <c r="D9" s="2" t="str">
        <f t="shared" ref="D9:D15" si="6">B9&amp;"_"&amp;C9</f>
        <v>40019_2</v>
      </c>
      <c r="E9" s="4" t="str">
        <f ca="1">VLOOKUP($B9,OFFSET([2]quests!$A$1,0,0,COUNTA([2]quests!$A:$A),MATCH(E$1,[2]quests!$1:$1,0)-MATCH($B$1,[2]quests!$1:$1,0)+1),MATCH(E$1,[2]quests!$1:$1,0)-MATCH($B$1,[2]quests!$1:$1,0)+1,FALSE)</f>
        <v>テュポーン襲来！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【ウィザード級】テュポーン襲来</v>
      </c>
      <c r="G9" s="21">
        <v>1</v>
      </c>
      <c r="H9" s="15" t="str">
        <f t="shared" ref="H9:H15" si="7">B9&amp;"_"&amp;C9&amp;"-"&amp;G9</f>
        <v>40019_2-1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280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リンドブルム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80</v>
      </c>
      <c r="S9" s="25">
        <v>0.7</v>
      </c>
      <c r="T9" s="25">
        <v>1.1000000000000001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赤属性のユニットに大ダメージ</v>
      </c>
      <c r="W9" s="62">
        <v>40019001</v>
      </c>
      <c r="X9" s="6">
        <v>1</v>
      </c>
      <c r="Y9" s="6">
        <v>100</v>
      </c>
      <c r="Z9" s="6">
        <v>0</v>
      </c>
      <c r="AA9" s="121">
        <v>3</v>
      </c>
      <c r="AB9" s="24">
        <f t="shared" ref="AB9:AB15" si="8">L9</f>
        <v>280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リンドブルム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Drop2W</v>
      </c>
      <c r="AF9" s="7">
        <v>1</v>
      </c>
      <c r="AG9" s="24">
        <f t="shared" ref="AG9:AG15" ca="1" si="9">AD9</f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si="5"/>
        <v>40019_2-1/282&lt;lv80&gt;s3</v>
      </c>
      <c r="B10" s="22">
        <v>40019</v>
      </c>
      <c r="C10" s="21">
        <v>2</v>
      </c>
      <c r="D10" s="2" t="str">
        <f t="shared" si="6"/>
        <v>40019_2</v>
      </c>
      <c r="E10" s="4" t="str">
        <f ca="1">VLOOKUP($B10,OFFSET([2]quests!$A$1,0,0,COUNTA([2]quests!$A:$A),MATCH(E$1,[2]quests!$1:$1,0)-MATCH($B$1,[2]quests!$1:$1,0)+1),MATCH(E$1,[2]quests!$1:$1,0)-MATCH($B$1,[2]quests!$1:$1,0)+1,FALSE)</f>
        <v>テュポーン襲来！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【ウィザード級】テュポーン襲来</v>
      </c>
      <c r="G10" s="21">
        <v>1</v>
      </c>
      <c r="H10" s="15" t="str">
        <f t="shared" si="7"/>
        <v>40019_2-1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282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ラーフ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80</v>
      </c>
      <c r="S10" s="25">
        <v>0.7</v>
      </c>
      <c r="T10" s="25">
        <v>1.5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黄属性のユニットに大ダメージ</v>
      </c>
      <c r="W10" s="62">
        <v>40019002</v>
      </c>
      <c r="X10" s="6">
        <v>1</v>
      </c>
      <c r="Y10" s="6">
        <v>100</v>
      </c>
      <c r="Z10" s="6">
        <v>0</v>
      </c>
      <c r="AA10" s="121">
        <v>3</v>
      </c>
      <c r="AB10" s="24">
        <f t="shared" si="8"/>
        <v>282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ラーフ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Drop2W</v>
      </c>
      <c r="AF10" s="7">
        <v>1</v>
      </c>
      <c r="AG10" s="24">
        <f t="shared" ca="1" si="9"/>
        <v>3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 x14ac:dyDescent="0.15">
      <c r="A11" s="16" t="str">
        <f t="shared" ca="1" si="5"/>
        <v>40019_2-1/284&lt;lv80&gt;s2</v>
      </c>
      <c r="B11" s="22">
        <v>40019</v>
      </c>
      <c r="C11" s="21">
        <v>2</v>
      </c>
      <c r="D11" s="2" t="str">
        <f t="shared" si="6"/>
        <v>40019_2</v>
      </c>
      <c r="E11" s="4" t="str">
        <f ca="1">VLOOKUP($B11,OFFSET([2]quests!$A$1,0,0,COUNTA([2]quests!$A:$A),MATCH(E$1,[2]quests!$1:$1,0)-MATCH($B$1,[2]quests!$1:$1,0)+1),MATCH(E$1,[2]quests!$1:$1,0)-MATCH($B$1,[2]quests!$1:$1,0)+1,FALSE)</f>
        <v>テュポーン襲来！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【ウィザード級】テュポーン襲来</v>
      </c>
      <c r="G11" s="21">
        <v>1</v>
      </c>
      <c r="H11" s="15" t="str">
        <f t="shared" si="7"/>
        <v>40019_2-1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284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フェルニゲシュ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80</v>
      </c>
      <c r="S11" s="25">
        <v>1</v>
      </c>
      <c r="T11" s="25">
        <v>1.2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こちらを排除しようと襲いかかる！</v>
      </c>
      <c r="W11" s="62">
        <v>40019003</v>
      </c>
      <c r="X11" s="6">
        <v>1</v>
      </c>
      <c r="Y11" s="6">
        <v>100</v>
      </c>
      <c r="Z11" s="6">
        <v>1</v>
      </c>
      <c r="AA11" s="17">
        <f ca="1">VLOOKUP($L11,OFFSET([3]enemies!$A$1,0,0,COUNTA([3]enemies!$A:$A),MATCH(AA$1,[3]enemies!$1:$1,0)-MATCH($L$1,[3]enemies!$1:$1,0)+1),MATCH(AA$1,[3]enemies!$1:$1,0)-MATCH($L$1,[3]enemies!$1:$1,0)+1,FALSE)</f>
        <v>2</v>
      </c>
      <c r="AB11" s="24">
        <f t="shared" si="8"/>
        <v>284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フェルニゲシュ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Drop2W</v>
      </c>
      <c r="AF11" s="7">
        <v>1</v>
      </c>
      <c r="AG11" s="24">
        <f t="shared" ca="1" si="9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 x14ac:dyDescent="0.15">
      <c r="A12" s="16" t="str">
        <f t="shared" si="5"/>
        <v>40019_2-2/217&lt;lv80&gt;s2</v>
      </c>
      <c r="B12" s="22">
        <v>40019</v>
      </c>
      <c r="C12" s="21">
        <v>2</v>
      </c>
      <c r="D12" s="2" t="str">
        <f t="shared" si="6"/>
        <v>40019_2</v>
      </c>
      <c r="E12" s="4" t="str">
        <f ca="1">VLOOKUP($B12,OFFSET([2]quests!$A$1,0,0,COUNTA([2]quests!$A:$A),MATCH(E$1,[2]quests!$1:$1,0)-MATCH($B$1,[2]quests!$1:$1,0)+1),MATCH(E$1,[2]quests!$1:$1,0)-MATCH($B$1,[2]quests!$1:$1,0)+1,FALSE)</f>
        <v>テュポーン襲来！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【ウィザード級】テュポーン襲来</v>
      </c>
      <c r="G12" s="21">
        <v>2</v>
      </c>
      <c r="H12" s="15" t="str">
        <f t="shared" si="7"/>
        <v>40019_2-2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217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ケツァクアトル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80</v>
      </c>
      <c r="S12" s="25">
        <v>1.3</v>
      </c>
      <c r="T12" s="25">
        <v>1.1000000000000001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5ターン敵ユニットの攻撃力UP</v>
      </c>
      <c r="W12" s="62">
        <v>40019004</v>
      </c>
      <c r="X12" s="6">
        <v>1</v>
      </c>
      <c r="Y12" s="6">
        <v>100</v>
      </c>
      <c r="Z12" s="6">
        <v>0</v>
      </c>
      <c r="AA12" s="121">
        <v>2</v>
      </c>
      <c r="AB12" s="24">
        <f t="shared" si="8"/>
        <v>217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ケツァクアトル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2" s="7">
        <v>1</v>
      </c>
      <c r="AG12" s="24">
        <f t="shared" ca="1" si="9"/>
        <v>3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 x14ac:dyDescent="0.15">
      <c r="A13" s="16" t="str">
        <f t="shared" ca="1" si="5"/>
        <v>40019_2-2/229&lt;lv80&gt;s2</v>
      </c>
      <c r="B13" s="22">
        <v>40019</v>
      </c>
      <c r="C13" s="21">
        <v>2</v>
      </c>
      <c r="D13" s="2" t="str">
        <f t="shared" si="6"/>
        <v>40019_2</v>
      </c>
      <c r="E13" s="4" t="str">
        <f ca="1">VLOOKUP($B13,OFFSET([2]quests!$A$1,0,0,COUNTA([2]quests!$A:$A),MATCH(E$1,[2]quests!$1:$1,0)-MATCH($B$1,[2]quests!$1:$1,0)+1),MATCH(E$1,[2]quests!$1:$1,0)-MATCH($B$1,[2]quests!$1:$1,0)+1,FALSE)</f>
        <v>テュポーン襲来！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【ウィザード級】テュポーン襲来</v>
      </c>
      <c r="G13" s="21">
        <v>2</v>
      </c>
      <c r="H13" s="15" t="str">
        <f t="shared" si="7"/>
        <v>40019_2-2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229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ヨルムンガンド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80</v>
      </c>
      <c r="S13" s="25">
        <v>2.1</v>
      </c>
      <c r="T13" s="25">
        <v>1.4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5ターン攻撃力が70%DOWN</v>
      </c>
      <c r="W13" s="62">
        <v>40019005</v>
      </c>
      <c r="X13" s="6">
        <v>1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f t="shared" si="8"/>
        <v>229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ヨルムンガンド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3" s="7">
        <v>1</v>
      </c>
      <c r="AG13" s="24">
        <f t="shared" ca="1" si="9"/>
        <v>3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 x14ac:dyDescent="0.15">
      <c r="A14" s="16" t="str">
        <f t="shared" si="5"/>
        <v>40019_2-2/259&lt;lv80&gt;s1</v>
      </c>
      <c r="B14" s="22">
        <v>40019</v>
      </c>
      <c r="C14" s="21">
        <v>2</v>
      </c>
      <c r="D14" s="2" t="str">
        <f t="shared" si="6"/>
        <v>40019_2</v>
      </c>
      <c r="E14" s="4" t="str">
        <f ca="1">VLOOKUP($B14,OFFSET([2]quests!$A$1,0,0,COUNTA([2]quests!$A:$A),MATCH(E$1,[2]quests!$1:$1,0)-MATCH($B$1,[2]quests!$1:$1,0)+1),MATCH(E$1,[2]quests!$1:$1,0)-MATCH($B$1,[2]quests!$1:$1,0)+1,FALSE)</f>
        <v>テュポーン襲来！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【ウィザード級】テュポーン襲来</v>
      </c>
      <c r="G14" s="21">
        <v>2</v>
      </c>
      <c r="H14" s="15" t="str">
        <f t="shared" si="7"/>
        <v>40019_2-2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259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ウロボロス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80</v>
      </c>
      <c r="S14" s="25">
        <v>2</v>
      </c>
      <c r="T14" s="25">
        <v>0.9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5ターンパネルタップ回数を1減少</v>
      </c>
      <c r="W14" s="62">
        <v>40019006</v>
      </c>
      <c r="X14" s="6">
        <v>1</v>
      </c>
      <c r="Y14" s="6">
        <v>100</v>
      </c>
      <c r="Z14" s="6">
        <v>1</v>
      </c>
      <c r="AA14" s="121">
        <v>1</v>
      </c>
      <c r="AB14" s="24">
        <f t="shared" si="8"/>
        <v>259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ウロボロス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7">
        <v>1</v>
      </c>
      <c r="AG14" s="24">
        <f t="shared" ca="1" si="9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 x14ac:dyDescent="0.15">
      <c r="A15" s="16" t="str">
        <f t="shared" si="5"/>
        <v>40019_2-3/740&lt;lv80&gt;s2</v>
      </c>
      <c r="B15" s="22">
        <v>40019</v>
      </c>
      <c r="C15" s="21">
        <v>2</v>
      </c>
      <c r="D15" s="2" t="str">
        <f t="shared" si="6"/>
        <v>40019_2</v>
      </c>
      <c r="E15" s="4" t="str">
        <f ca="1">VLOOKUP($B15,OFFSET([2]quests!$A$1,0,0,COUNTA([2]quests!$A:$A),MATCH(E$1,[2]quests!$1:$1,0)-MATCH($B$1,[2]quests!$1:$1,0)+1),MATCH(E$1,[2]quests!$1:$1,0)-MATCH($B$1,[2]quests!$1:$1,0)+1,FALSE)</f>
        <v>テュポーン襲来！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【ウィザード級】テュポーン襲来</v>
      </c>
      <c r="G15" s="21">
        <v>3</v>
      </c>
      <c r="H15" s="15" t="str">
        <f t="shared" si="7"/>
        <v>40019_2-3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2</v>
      </c>
      <c r="L15" s="20">
        <v>740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テュポーン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dragon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80</v>
      </c>
      <c r="S15" s="25">
        <v>1.6</v>
      </c>
      <c r="T15" s="25">
        <v>0.8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防御力大UP＋5ターンパネルタップ回数を2減少</v>
      </c>
      <c r="W15" s="62">
        <v>40019007</v>
      </c>
      <c r="X15" s="6">
        <v>1</v>
      </c>
      <c r="Y15" s="6">
        <v>100</v>
      </c>
      <c r="Z15" s="6">
        <v>1</v>
      </c>
      <c r="AA15" s="121">
        <v>2</v>
      </c>
      <c r="AB15" s="24">
        <f t="shared" si="8"/>
        <v>740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テュポーン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5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5" s="7">
        <v>1</v>
      </c>
      <c r="AG15" s="24">
        <f t="shared" ca="1" si="9"/>
        <v>5</v>
      </c>
      <c r="AH15" s="8">
        <v>30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  <row r="16" spans="1:40" ht="21" customHeight="1" x14ac:dyDescent="0.15">
      <c r="A16" s="16" t="str">
        <f t="shared" ref="A16:A22" si="10">B16&amp;"_"&amp;C16&amp;"-"&amp;G16&amp;"/"&amp;L16&amp;"&lt;lv"&amp;R16&amp;"&gt;s"&amp;AA16</f>
        <v>40019_3-1/280&lt;lv80&gt;s3</v>
      </c>
      <c r="B16" s="22">
        <v>40019</v>
      </c>
      <c r="C16" s="21">
        <v>3</v>
      </c>
      <c r="D16" s="2" t="str">
        <f t="shared" ref="D16:D22" si="11">B16&amp;"_"&amp;C16</f>
        <v>40019_3</v>
      </c>
      <c r="E16" s="4" t="str">
        <f ca="1">VLOOKUP($B16,OFFSET([2]quests!$A$1,0,0,COUNTA([2]quests!$A:$A),MATCH(E$1,[2]quests!$1:$1,0)-MATCH($B$1,[2]quests!$1:$1,0)+1),MATCH(E$1,[2]quests!$1:$1,0)-MATCH($B$1,[2]quests!$1:$1,0)+1,FALSE)</f>
        <v>テュポーン襲来！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【ノーコンテニュー】テュポーン襲来</v>
      </c>
      <c r="G16" s="21">
        <v>1</v>
      </c>
      <c r="H16" s="15" t="str">
        <f t="shared" ref="H16:H22" si="12">B16&amp;"_"&amp;C16&amp;"-"&amp;G16</f>
        <v>40019_3-1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280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リンドブルム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80</v>
      </c>
      <c r="S16" s="25">
        <v>0.7</v>
      </c>
      <c r="T16" s="25">
        <v>1.1000000000000001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赤属性のユニットに大ダメージ</v>
      </c>
      <c r="W16" s="62">
        <v>40019001</v>
      </c>
      <c r="X16" s="6">
        <v>1</v>
      </c>
      <c r="Y16" s="6">
        <v>100</v>
      </c>
      <c r="Z16" s="6">
        <v>0</v>
      </c>
      <c r="AA16" s="121">
        <v>3</v>
      </c>
      <c r="AB16" s="24">
        <f t="shared" ref="AB16:AB22" si="13">L16</f>
        <v>280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リンドブルム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Drop2W</v>
      </c>
      <c r="AF16" s="7">
        <v>1</v>
      </c>
      <c r="AG16" s="24">
        <f t="shared" ref="AG16:AG22" ca="1" si="14">AD16</f>
        <v>3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70">
        <v>1</v>
      </c>
    </row>
    <row r="17" spans="1:40" ht="21" customHeight="1" x14ac:dyDescent="0.15">
      <c r="A17" s="16" t="str">
        <f t="shared" si="10"/>
        <v>40019_3-1/282&lt;lv80&gt;s3</v>
      </c>
      <c r="B17" s="22">
        <v>40019</v>
      </c>
      <c r="C17" s="21">
        <v>3</v>
      </c>
      <c r="D17" s="2" t="str">
        <f t="shared" si="11"/>
        <v>40019_3</v>
      </c>
      <c r="E17" s="4" t="str">
        <f ca="1">VLOOKUP($B17,OFFSET([2]quests!$A$1,0,0,COUNTA([2]quests!$A:$A),MATCH(E$1,[2]quests!$1:$1,0)-MATCH($B$1,[2]quests!$1:$1,0)+1),MATCH(E$1,[2]quests!$1:$1,0)-MATCH($B$1,[2]quests!$1:$1,0)+1,FALSE)</f>
        <v>テュポーン襲来！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【ノーコンテニュー】テュポーン襲来</v>
      </c>
      <c r="G17" s="21">
        <v>1</v>
      </c>
      <c r="H17" s="15" t="str">
        <f t="shared" si="12"/>
        <v>40019_3-1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282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ラーフ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dragon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80</v>
      </c>
      <c r="S17" s="25">
        <v>0.7</v>
      </c>
      <c r="T17" s="25">
        <v>1.5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黄属性のユニットに大ダメージ</v>
      </c>
      <c r="W17" s="62">
        <v>40019002</v>
      </c>
      <c r="X17" s="6">
        <v>1</v>
      </c>
      <c r="Y17" s="6">
        <v>100</v>
      </c>
      <c r="Z17" s="6">
        <v>0</v>
      </c>
      <c r="AA17" s="121">
        <v>3</v>
      </c>
      <c r="AB17" s="24">
        <f t="shared" si="13"/>
        <v>282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ラーフ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Drop2W</v>
      </c>
      <c r="AF17" s="7">
        <v>1</v>
      </c>
      <c r="AG17" s="24">
        <f t="shared" ca="1" si="14"/>
        <v>3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70">
        <v>1</v>
      </c>
    </row>
    <row r="18" spans="1:40" ht="21" customHeight="1" x14ac:dyDescent="0.15">
      <c r="A18" s="16" t="str">
        <f t="shared" ca="1" si="10"/>
        <v>40019_3-1/284&lt;lv80&gt;s2</v>
      </c>
      <c r="B18" s="22">
        <v>40019</v>
      </c>
      <c r="C18" s="21">
        <v>3</v>
      </c>
      <c r="D18" s="2" t="str">
        <f t="shared" si="11"/>
        <v>40019_3</v>
      </c>
      <c r="E18" s="4" t="str">
        <f ca="1">VLOOKUP($B18,OFFSET([2]quests!$A$1,0,0,COUNTA([2]quests!$A:$A),MATCH(E$1,[2]quests!$1:$1,0)-MATCH($B$1,[2]quests!$1:$1,0)+1),MATCH(E$1,[2]quests!$1:$1,0)-MATCH($B$1,[2]quests!$1:$1,0)+1,FALSE)</f>
        <v>テュポーン襲来！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【ノーコンテニュー】テュポーン襲来</v>
      </c>
      <c r="G18" s="21">
        <v>1</v>
      </c>
      <c r="H18" s="15" t="str">
        <f t="shared" si="12"/>
        <v>40019_3-1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284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フェルニゲシュ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80</v>
      </c>
      <c r="S18" s="25">
        <v>1</v>
      </c>
      <c r="T18" s="25">
        <v>1.2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こちらを排除しようと襲いかかる！</v>
      </c>
      <c r="W18" s="62">
        <v>40019003</v>
      </c>
      <c r="X18" s="6">
        <v>1</v>
      </c>
      <c r="Y18" s="6">
        <v>100</v>
      </c>
      <c r="Z18" s="6">
        <v>1</v>
      </c>
      <c r="AA18" s="17">
        <f ca="1">VLOOKUP($L18,OFFSET([3]enemies!$A$1,0,0,COUNTA([3]enemies!$A:$A),MATCH(AA$1,[3]enemies!$1:$1,0)-MATCH($L$1,[3]enemies!$1:$1,0)+1),MATCH(AA$1,[3]enemies!$1:$1,0)-MATCH($L$1,[3]enemies!$1:$1,0)+1,FALSE)</f>
        <v>2</v>
      </c>
      <c r="AB18" s="24">
        <f t="shared" si="13"/>
        <v>284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フェルニゲシュ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Drop2W</v>
      </c>
      <c r="AF18" s="7">
        <v>1</v>
      </c>
      <c r="AG18" s="24">
        <f t="shared" ca="1" si="14"/>
        <v>3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70">
        <v>1</v>
      </c>
    </row>
    <row r="19" spans="1:40" ht="21" customHeight="1" x14ac:dyDescent="0.15">
      <c r="A19" s="16" t="str">
        <f t="shared" si="10"/>
        <v>40019_3-2/217&lt;lv80&gt;s2</v>
      </c>
      <c r="B19" s="22">
        <v>40019</v>
      </c>
      <c r="C19" s="21">
        <v>3</v>
      </c>
      <c r="D19" s="2" t="str">
        <f t="shared" si="11"/>
        <v>40019_3</v>
      </c>
      <c r="E19" s="4" t="str">
        <f ca="1">VLOOKUP($B19,OFFSET([2]quests!$A$1,0,0,COUNTA([2]quests!$A:$A),MATCH(E$1,[2]quests!$1:$1,0)-MATCH($B$1,[2]quests!$1:$1,0)+1),MATCH(E$1,[2]quests!$1:$1,0)-MATCH($B$1,[2]quests!$1:$1,0)+1,FALSE)</f>
        <v>テュポーン襲来！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【ノーコンテニュー】テュポーン襲来</v>
      </c>
      <c r="G19" s="21">
        <v>2</v>
      </c>
      <c r="H19" s="15" t="str">
        <f t="shared" si="12"/>
        <v>40019_3-2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217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ケツァクアトル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dragon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5">
        <v>80</v>
      </c>
      <c r="S19" s="25">
        <v>1.3</v>
      </c>
      <c r="T19" s="25">
        <v>1.1000000000000001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5ターン敵ユニットの攻撃力UP</v>
      </c>
      <c r="W19" s="62">
        <v>40019004</v>
      </c>
      <c r="X19" s="6">
        <v>1</v>
      </c>
      <c r="Y19" s="6">
        <v>100</v>
      </c>
      <c r="Z19" s="6">
        <v>0</v>
      </c>
      <c r="AA19" s="121">
        <v>2</v>
      </c>
      <c r="AB19" s="24">
        <f t="shared" si="13"/>
        <v>217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ケツァクアトル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9" s="7">
        <v>1</v>
      </c>
      <c r="AG19" s="24">
        <f t="shared" ca="1" si="14"/>
        <v>3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70">
        <v>1</v>
      </c>
    </row>
    <row r="20" spans="1:40" ht="21" customHeight="1" x14ac:dyDescent="0.15">
      <c r="A20" s="16" t="str">
        <f t="shared" ca="1" si="10"/>
        <v>40019_3-2/229&lt;lv80&gt;s2</v>
      </c>
      <c r="B20" s="22">
        <v>40019</v>
      </c>
      <c r="C20" s="21">
        <v>3</v>
      </c>
      <c r="D20" s="2" t="str">
        <f t="shared" si="11"/>
        <v>40019_3</v>
      </c>
      <c r="E20" s="4" t="str">
        <f ca="1">VLOOKUP($B20,OFFSET([2]quests!$A$1,0,0,COUNTA([2]quests!$A:$A),MATCH(E$1,[2]quests!$1:$1,0)-MATCH($B$1,[2]quests!$1:$1,0)+1),MATCH(E$1,[2]quests!$1:$1,0)-MATCH($B$1,[2]quests!$1:$1,0)+1,FALSE)</f>
        <v>テュポーン襲来！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【ノーコンテニュー】テュポーン襲来</v>
      </c>
      <c r="G20" s="21">
        <v>2</v>
      </c>
      <c r="H20" s="15" t="str">
        <f t="shared" si="12"/>
        <v>40019_3-2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229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ヨルムンガンド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PremiumS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dragon</v>
      </c>
      <c r="Q20" s="17">
        <f ca="1">VLOOKUP($L20,OFFSET([3]enemies!$A$1,0,0,COUNTA([3]enemies!$A:$A),MATCH(Q$1,[3]enemies!$1:$1,0)-MATCH($L$1,[3]enemies!$1:$1,0)+1),MATCH(Q$1,[3]enemies!$1:$1,0)-MATCH($L$1,[3]enemies!$1:$1,0)+1,FALSE)</f>
        <v>20</v>
      </c>
      <c r="R20" s="5">
        <v>80</v>
      </c>
      <c r="S20" s="25">
        <v>2.1</v>
      </c>
      <c r="T20" s="25">
        <v>1.4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5ターン攻撃力が70%DOWN</v>
      </c>
      <c r="W20" s="62">
        <v>40019005</v>
      </c>
      <c r="X20" s="6">
        <v>1</v>
      </c>
      <c r="Y20" s="6">
        <v>100</v>
      </c>
      <c r="Z20" s="6">
        <v>0</v>
      </c>
      <c r="AA20" s="17">
        <f ca="1">VLOOKUP($L20,OFFSET([3]enemies!$A$1,0,0,COUNTA([3]enemies!$A:$A),MATCH(AA$1,[3]enemies!$1:$1,0)-MATCH($L$1,[3]enemies!$1:$1,0)+1),MATCH(AA$1,[3]enemies!$1:$1,0)-MATCH($L$1,[3]enemies!$1:$1,0)+1,FALSE)</f>
        <v>2</v>
      </c>
      <c r="AB20" s="24">
        <f t="shared" si="13"/>
        <v>229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ヨルムンガンド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3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0" s="7">
        <v>1</v>
      </c>
      <c r="AG20" s="24">
        <f t="shared" ca="1" si="14"/>
        <v>3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70">
        <v>1</v>
      </c>
    </row>
    <row r="21" spans="1:40" ht="21" customHeight="1" x14ac:dyDescent="0.15">
      <c r="A21" s="16" t="str">
        <f t="shared" si="10"/>
        <v>40019_3-2/259&lt;lv80&gt;s1</v>
      </c>
      <c r="B21" s="22">
        <v>40019</v>
      </c>
      <c r="C21" s="21">
        <v>3</v>
      </c>
      <c r="D21" s="2" t="str">
        <f t="shared" si="11"/>
        <v>40019_3</v>
      </c>
      <c r="E21" s="4" t="str">
        <f ca="1">VLOOKUP($B21,OFFSET([2]quests!$A$1,0,0,COUNTA([2]quests!$A:$A),MATCH(E$1,[2]quests!$1:$1,0)-MATCH($B$1,[2]quests!$1:$1,0)+1),MATCH(E$1,[2]quests!$1:$1,0)-MATCH($B$1,[2]quests!$1:$1,0)+1,FALSE)</f>
        <v>テュポーン襲来！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【ノーコンテニュー】テュポーン襲来</v>
      </c>
      <c r="G21" s="21">
        <v>2</v>
      </c>
      <c r="H21" s="15" t="str">
        <f t="shared" si="12"/>
        <v>40019_3-2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259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ウロボロス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PremiumS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dragon</v>
      </c>
      <c r="Q21" s="17">
        <f ca="1">VLOOKUP($L21,OFFSET([3]enemies!$A$1,0,0,COUNTA([3]enemies!$A:$A),MATCH(Q$1,[3]enemies!$1:$1,0)-MATCH($L$1,[3]enemies!$1:$1,0)+1),MATCH(Q$1,[3]enemies!$1:$1,0)-MATCH($L$1,[3]enemies!$1:$1,0)+1,FALSE)</f>
        <v>20</v>
      </c>
      <c r="R21" s="5">
        <v>80</v>
      </c>
      <c r="S21" s="25">
        <v>2</v>
      </c>
      <c r="T21" s="25">
        <v>0.9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5ターンパネルタップ回数を1減少</v>
      </c>
      <c r="W21" s="62">
        <v>40019006</v>
      </c>
      <c r="X21" s="6">
        <v>1</v>
      </c>
      <c r="Y21" s="6">
        <v>100</v>
      </c>
      <c r="Z21" s="6">
        <v>1</v>
      </c>
      <c r="AA21" s="121">
        <v>1</v>
      </c>
      <c r="AB21" s="24">
        <f t="shared" si="13"/>
        <v>259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ウロボロス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1" s="7">
        <v>1</v>
      </c>
      <c r="AG21" s="24">
        <f t="shared" ca="1" si="14"/>
        <v>3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70">
        <v>1</v>
      </c>
    </row>
    <row r="22" spans="1:40" ht="21" customHeight="1" x14ac:dyDescent="0.15">
      <c r="A22" s="16" t="str">
        <f t="shared" si="10"/>
        <v>40019_3-3/740&lt;lv80&gt;s2</v>
      </c>
      <c r="B22" s="22">
        <v>40019</v>
      </c>
      <c r="C22" s="21">
        <v>3</v>
      </c>
      <c r="D22" s="2" t="str">
        <f t="shared" si="11"/>
        <v>40019_3</v>
      </c>
      <c r="E22" s="4" t="str">
        <f ca="1">VLOOKUP($B22,OFFSET([2]quests!$A$1,0,0,COUNTA([2]quests!$A:$A),MATCH(E$1,[2]quests!$1:$1,0)-MATCH($B$1,[2]quests!$1:$1,0)+1),MATCH(E$1,[2]quests!$1:$1,0)-MATCH($B$1,[2]quests!$1:$1,0)+1,FALSE)</f>
        <v>テュポーン襲来！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【ノーコンテニュー】テュポーン襲来</v>
      </c>
      <c r="G22" s="21">
        <v>3</v>
      </c>
      <c r="H22" s="15" t="str">
        <f t="shared" si="12"/>
        <v>40019_3-3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>
        <v>3</v>
      </c>
      <c r="L22" s="20">
        <v>740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テュポーン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DropWizS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dragon</v>
      </c>
      <c r="Q22" s="17">
        <f ca="1">VLOOKUP($L22,OFFSET([3]enemies!$A$1,0,0,COUNTA([3]enemies!$A:$A),MATCH(Q$1,[3]enemies!$1:$1,0)-MATCH($L$1,[3]enemies!$1:$1,0)+1),MATCH(Q$1,[3]enemies!$1:$1,0)-MATCH($L$1,[3]enemies!$1:$1,0)+1,FALSE)</f>
        <v>60</v>
      </c>
      <c r="R22" s="5">
        <v>80</v>
      </c>
      <c r="S22" s="25">
        <v>1.6</v>
      </c>
      <c r="T22" s="25">
        <v>0.8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防御力大UP＋5ターンパネルタップ回数を2減少</v>
      </c>
      <c r="W22" s="62">
        <v>40019007</v>
      </c>
      <c r="X22" s="6">
        <v>1</v>
      </c>
      <c r="Y22" s="6">
        <v>100</v>
      </c>
      <c r="Z22" s="6">
        <v>1</v>
      </c>
      <c r="AA22" s="121">
        <v>2</v>
      </c>
      <c r="AB22" s="24">
        <f t="shared" si="13"/>
        <v>740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テュポーン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5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2" s="7">
        <v>1</v>
      </c>
      <c r="AG22" s="24">
        <f t="shared" ca="1" si="14"/>
        <v>5</v>
      </c>
      <c r="AH22" s="8">
        <v>100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70">
        <v>1</v>
      </c>
    </row>
  </sheetData>
  <sheetProtection selectLockedCells="1" selectUnlockedCells="1"/>
  <autoFilter ref="B1:AH9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zoomScale="165" zoomScaleNormal="165" zoomScalePageLayoutView="16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11" sqref="M1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40019_1-3/741&lt;lv80&gt;sq1st2</v>
      </c>
      <c r="B2" s="22">
        <v>40019</v>
      </c>
      <c r="C2" s="21">
        <v>1</v>
      </c>
      <c r="D2" s="2" t="str">
        <f>B2&amp;"_"&amp;C2</f>
        <v>40019_1</v>
      </c>
      <c r="E2" s="4" t="str">
        <f ca="1">VLOOKUP($B2,OFFSET([2]quests!$A$1,0,0,COUNTA([2]quests!$A:$A),MATCH(E$1,[2]quests!$1:$1,0)-MATCH($B$1,[2]quests!$1:$1,0)+1),MATCH(E$1,[2]quests!$1:$1,0)-MATCH($B$1,[2]quests!$1:$1,0)+1,FALSE)</f>
        <v>テュポーン襲来！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【超絶級】テュポーン襲来 </v>
      </c>
      <c r="G2" s="21">
        <v>3</v>
      </c>
      <c r="H2" s="15" t="str">
        <f>B2&amp;"_"&amp;C2&amp;"-"&amp;G2</f>
        <v>40019_1-3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741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皆滅の戦鬼 テュポーン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1.9</v>
      </c>
      <c r="U2" s="25">
        <v>0.5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全てのプラス効果を解除＋5ターン回復力が50%DOWN</v>
      </c>
      <c r="X2" s="98">
        <v>40019009</v>
      </c>
      <c r="Y2" s="99">
        <v>1</v>
      </c>
    </row>
    <row r="3" spans="1:25" ht="21" customHeight="1" x14ac:dyDescent="0.15">
      <c r="A3" s="16" t="str">
        <f>B3&amp;"_"&amp;C3&amp;"-"&amp;G3&amp;"/"&amp;M3&amp;"&lt;lv"&amp;S3&amp;"&gt;sq"&amp;K3&amp;"st"&amp;L3</f>
        <v>40019_2-3/741&lt;lv80&gt;sq2st2</v>
      </c>
      <c r="B3" s="22">
        <v>40019</v>
      </c>
      <c r="C3" s="21">
        <v>2</v>
      </c>
      <c r="D3" s="2" t="str">
        <f>B3&amp;"_"&amp;C3</f>
        <v>40019_2</v>
      </c>
      <c r="E3" s="4" t="str">
        <f ca="1">VLOOKUP($B3,OFFSET([2]quests!$A$1,0,0,COUNTA([2]quests!$A:$A),MATCH(E$1,[2]quests!$1:$1,0)-MATCH($B$1,[2]quests!$1:$1,0)+1),MATCH(E$1,[2]quests!$1:$1,0)-MATCH($B$1,[2]quests!$1:$1,0)+1,FALSE)</f>
        <v>テュポーン襲来！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【ウィザード級】テュポーン襲来</v>
      </c>
      <c r="G3" s="21">
        <v>3</v>
      </c>
      <c r="H3" s="15" t="str">
        <f>B3&amp;"_"&amp;C3&amp;"-"&amp;G3</f>
        <v>40019_2-3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741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皆滅の戦鬼 テュポーン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1.6</v>
      </c>
      <c r="U3" s="25">
        <v>0.7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全てのプラス効果を解除＋5ターン攻撃力が50%DOWN</v>
      </c>
      <c r="X3" s="98">
        <v>40019008</v>
      </c>
      <c r="Y3" s="99">
        <v>1</v>
      </c>
    </row>
    <row r="4" spans="1:25" ht="21" customHeight="1" x14ac:dyDescent="0.15">
      <c r="A4" s="16" t="str">
        <f>B4&amp;"_"&amp;C4&amp;"-"&amp;G4&amp;"/"&amp;M4&amp;"&lt;lv"&amp;S4&amp;"&gt;sq"&amp;K4&amp;"st"&amp;L4</f>
        <v>40019_2-3/741&lt;lv80&gt;sq2st3</v>
      </c>
      <c r="B4" s="22">
        <v>40019</v>
      </c>
      <c r="C4" s="21">
        <v>2</v>
      </c>
      <c r="D4" s="2" t="str">
        <f>B4&amp;"_"&amp;C4</f>
        <v>40019_2</v>
      </c>
      <c r="E4" s="4" t="str">
        <f ca="1">VLOOKUP($B4,OFFSET([2]quests!$A$1,0,0,COUNTA([2]quests!$A:$A),MATCH(E$1,[2]quests!$1:$1,0)-MATCH($B$1,[2]quests!$1:$1,0)+1),MATCH(E$1,[2]quests!$1:$1,0)-MATCH($B$1,[2]quests!$1:$1,0)+1,FALSE)</f>
        <v>テュポーン襲来！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【ウィザード級】テュポーン襲来</v>
      </c>
      <c r="G4" s="21">
        <v>3</v>
      </c>
      <c r="H4" s="15" t="str">
        <f>B4&amp;"_"&amp;C4&amp;"-"&amp;G4</f>
        <v>40019_2-3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741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皆滅の戦鬼 テュポーン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dragon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1.9</v>
      </c>
      <c r="U4" s="25">
        <v>0.8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全てのプラス効果を解除＋5ターン回復力が50%DOWN</v>
      </c>
      <c r="X4" s="98">
        <v>40019009</v>
      </c>
      <c r="Y4" s="99">
        <v>1</v>
      </c>
    </row>
    <row r="5" spans="1:25" ht="21" customHeight="1" x14ac:dyDescent="0.15">
      <c r="A5" s="16" t="str">
        <f>B5&amp;"_"&amp;C5&amp;"-"&amp;G5&amp;"/"&amp;M5&amp;"&lt;lv"&amp;S5&amp;"&gt;sq"&amp;K5&amp;"st"&amp;L5</f>
        <v>40019_3-3/741&lt;lv80&gt;sq3st2</v>
      </c>
      <c r="B5" s="22">
        <v>40019</v>
      </c>
      <c r="C5" s="21">
        <v>3</v>
      </c>
      <c r="D5" s="2" t="str">
        <f>B5&amp;"_"&amp;C5</f>
        <v>40019_3</v>
      </c>
      <c r="E5" s="4" t="str">
        <f ca="1">VLOOKUP($B5,OFFSET([2]quests!$A$1,0,0,COUNTA([2]quests!$A:$A),MATCH(E$1,[2]quests!$1:$1,0)-MATCH($B$1,[2]quests!$1:$1,0)+1),MATCH(E$1,[2]quests!$1:$1,0)-MATCH($B$1,[2]quests!$1:$1,0)+1,FALSE)</f>
        <v>テュポーン襲来！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【ノーコンテニュー】テュポーン襲来</v>
      </c>
      <c r="G5" s="21">
        <v>3</v>
      </c>
      <c r="H5" s="15" t="str">
        <f>B5&amp;"_"&amp;C5&amp;"-"&amp;G5</f>
        <v>40019_3-3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741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皆滅の戦鬼 テュポーン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1.6</v>
      </c>
      <c r="U5" s="25">
        <v>0.7</v>
      </c>
      <c r="V5" s="5">
        <v>0</v>
      </c>
      <c r="W5" s="4" t="str">
        <f ca="1">VLOOKUP($X5,OFFSET(enemy_skill_sets!$B$1,0,0,COUNTA(enemy_skill_sets!$B:$B),MATCH(N$1,enemy_skill_sets!$1:$1,0)-MATCH($X$1,enemy_skill_sets!$1:$1,0)+2),MATCH(N$1,enemy_skill_sets!$1:$1,0)-MATCH($X$1,enemy_skill_sets!$1:$1,0)+2,FALSE)</f>
        <v>全てのプラス効果を解除＋5ターン攻撃力が50%DOWN</v>
      </c>
      <c r="X5" s="98">
        <v>40019008</v>
      </c>
      <c r="Y5" s="99">
        <v>1</v>
      </c>
    </row>
    <row r="6" spans="1:25" ht="21" customHeight="1" x14ac:dyDescent="0.15">
      <c r="A6" s="16" t="str">
        <f>B6&amp;"_"&amp;C6&amp;"-"&amp;G6&amp;"/"&amp;M6&amp;"&lt;lv"&amp;S6&amp;"&gt;sq"&amp;K6&amp;"st"&amp;L6</f>
        <v>40019_3-3/741&lt;lv80&gt;sq3st3</v>
      </c>
      <c r="B6" s="22">
        <v>40019</v>
      </c>
      <c r="C6" s="21">
        <v>3</v>
      </c>
      <c r="D6" s="2" t="str">
        <f>B6&amp;"_"&amp;C6</f>
        <v>40019_3</v>
      </c>
      <c r="E6" s="4" t="str">
        <f ca="1">VLOOKUP($B6,OFFSET([2]quests!$A$1,0,0,COUNTA([2]quests!$A:$A),MATCH(E$1,[2]quests!$1:$1,0)-MATCH($B$1,[2]quests!$1:$1,0)+1),MATCH(E$1,[2]quests!$1:$1,0)-MATCH($B$1,[2]quests!$1:$1,0)+1,FALSE)</f>
        <v>テュポーン襲来！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【ノーコンテニュー】テュポーン襲来</v>
      </c>
      <c r="G6" s="21">
        <v>3</v>
      </c>
      <c r="H6" s="15" t="str">
        <f>B6&amp;"_"&amp;C6&amp;"-"&amp;G6</f>
        <v>40019_3-3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38">
        <v>3</v>
      </c>
      <c r="M6" s="20">
        <v>741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皆滅の戦鬼 テュポーン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dragon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1.9</v>
      </c>
      <c r="U6" s="25">
        <v>0.8</v>
      </c>
      <c r="V6" s="5">
        <v>0</v>
      </c>
      <c r="W6" s="4" t="str">
        <f ca="1">VLOOKUP($X6,OFFSET(enemy_skill_sets!$B$1,0,0,COUNTA(enemy_skill_sets!$B:$B),MATCH(N$1,enemy_skill_sets!$1:$1,0)-MATCH($X$1,enemy_skill_sets!$1:$1,0)+2),MATCH(N$1,enemy_skill_sets!$1:$1,0)-MATCH($X$1,enemy_skill_sets!$1:$1,0)+2,FALSE)</f>
        <v>全てのプラス効果を解除＋5ターン回復力が50%DOWN</v>
      </c>
      <c r="X6" s="98">
        <v>40019009</v>
      </c>
      <c r="Y6" s="99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1"/>
  <sheetViews>
    <sheetView showGridLines="0" zoomScale="75" zoomScaleNormal="75" zoomScalePageLayoutView="75" workbookViewId="0">
      <pane ySplit="1" topLeftCell="A6" activePane="bottomLeft" state="frozenSplit"/>
      <selection pane="bottomLeft" activeCell="F18" sqref="F1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40019001</v>
      </c>
      <c r="B2" s="47" t="s">
        <v>235</v>
      </c>
      <c r="C2" s="50">
        <v>3</v>
      </c>
      <c r="D2" s="50" t="s">
        <v>128</v>
      </c>
      <c r="E2" s="51" t="s">
        <v>302</v>
      </c>
      <c r="F2" s="51" t="s">
        <v>242</v>
      </c>
      <c r="G2" s="64" t="str">
        <f t="shared" ref="G2:G9" si="0">IFERROR(LEFT(B2,FIND("],",B2)),B2)</f>
        <v>[effect:damage_anti_color, target:unit_one, color:red, val1:2.2, val2:0.8]</v>
      </c>
      <c r="H2" s="64">
        <f t="shared" ref="H2:H31" si="1">FIND("effect:",G2)+7</f>
        <v>9</v>
      </c>
      <c r="I2" s="64">
        <f t="shared" ref="I2:I9" si="2">IFERROR(FIND(",",G2),LEN(G2))</f>
        <v>26</v>
      </c>
      <c r="J2" s="64">
        <f t="shared" ref="J2:J9" si="3">FIND("target:",G2)+7</f>
        <v>35</v>
      </c>
      <c r="K2" s="64">
        <f t="shared" ref="K2:K9" si="4">FIND(",",G2,I2+1)</f>
        <v>43</v>
      </c>
      <c r="L2" s="64" t="str">
        <f>IFERROR(VLOOKUP(MID(G2,J2,K2-J2),[5]skilldef!$C:$D,2,FALSE),"-") &amp; " / " &amp; IFERROR(VLOOKUP(MID(G2,H2,I2-H2),[5]skilldef!$A:$B,2,FALSE),"-")</f>
        <v>味方単体に / 属性キラー</v>
      </c>
      <c r="M2" s="64" t="str">
        <f t="shared" ref="M2:M9" si="5">IFERROR(RIGHT(B2,LEN(B2)-FIND("],",B2)-1),"none")</f>
        <v>[effect:fix_speed, target:myself, turn:3]</v>
      </c>
      <c r="N2" s="48" t="str">
        <f>IFERROR(LEFT(M2,FIND("],",M2)+S13),M2)</f>
        <v>[effect:fix_speed, target:myself, turn:3]</v>
      </c>
      <c r="O2" s="64">
        <f t="shared" ref="O2:O31" si="6">FIND("effect:",N2)+7</f>
        <v>9</v>
      </c>
      <c r="P2" s="64">
        <f t="shared" ref="P2:P9" si="7">IFERROR(FIND(",",N2),LEN(N2))</f>
        <v>18</v>
      </c>
      <c r="Q2" s="64">
        <f t="shared" ref="Q2:Q9" si="8">FIND("target:",N2)+7</f>
        <v>27</v>
      </c>
      <c r="R2" s="64">
        <f t="shared" ref="R2:R9" si="9">FIND(",",N2,P2+1)</f>
        <v>33</v>
      </c>
      <c r="S2" s="64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9" si="10">IFERROR(RIGHT(M2,LEN(M2)-FIND("],",M2)-1),"none")</f>
        <v>none</v>
      </c>
      <c r="U2" s="64" t="e">
        <f t="shared" ref="U2:U31" si="11">FIND("effect:",T2)+7</f>
        <v>#VALUE!</v>
      </c>
      <c r="V2" s="64">
        <f t="shared" ref="V2:V9" si="12">IFERROR(FIND(",",T2),LEN(T2))</f>
        <v>4</v>
      </c>
      <c r="W2" s="64" t="e">
        <f t="shared" ref="W2:W9" si="13">FIND("target:",T2)+7</f>
        <v>#VALUE!</v>
      </c>
      <c r="X2" s="64" t="e">
        <f t="shared" ref="X2:X9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40019002</v>
      </c>
      <c r="B3" s="47" t="s">
        <v>236</v>
      </c>
      <c r="C3" s="50">
        <v>3</v>
      </c>
      <c r="D3" s="50" t="s">
        <v>128</v>
      </c>
      <c r="E3" s="51" t="s">
        <v>233</v>
      </c>
      <c r="F3" s="51" t="s">
        <v>243</v>
      </c>
      <c r="G3" s="64" t="str">
        <f t="shared" si="0"/>
        <v>[effect:damage_anti_color, target:unit_one, color:yellow, val1:2.2, val2:0.8]</v>
      </c>
      <c r="H3" s="64">
        <f t="shared" si="1"/>
        <v>9</v>
      </c>
      <c r="I3" s="64">
        <f t="shared" si="2"/>
        <v>26</v>
      </c>
      <c r="J3" s="64">
        <f t="shared" si="3"/>
        <v>35</v>
      </c>
      <c r="K3" s="64">
        <f t="shared" si="4"/>
        <v>43</v>
      </c>
      <c r="L3" s="64" t="str">
        <f>IFERROR(VLOOKUP(MID(G3,J3,K3-J3),[5]skilldef!$C:$D,2,FALSE),"-") &amp; " / " &amp; IFERROR(VLOOKUP(MID(G3,H3,I3-H3),[5]skilldef!$A:$B,2,FALSE),"-")</f>
        <v>味方単体に / 属性キラー</v>
      </c>
      <c r="M3" s="64" t="str">
        <f t="shared" si="5"/>
        <v>[effect:fix_speed, target:myself, turn:3]</v>
      </c>
      <c r="N3" s="48" t="str">
        <f>IFERROR(LEFT(M3,FIND("],",M3)+S14),M3)</f>
        <v>[effect:fix_speed, target:myself, turn:3]</v>
      </c>
      <c r="O3" s="64">
        <f t="shared" si="6"/>
        <v>9</v>
      </c>
      <c r="P3" s="64">
        <f t="shared" si="7"/>
        <v>18</v>
      </c>
      <c r="Q3" s="64">
        <f t="shared" si="8"/>
        <v>27</v>
      </c>
      <c r="R3" s="64">
        <f t="shared" si="9"/>
        <v>33</v>
      </c>
      <c r="S3" s="64" t="str">
        <f>IFERROR(VLOOKUP(MID(N3,Q3,R3-Q3),[5]skilldef!$C:$D,2,FALSE),"-") &amp; " / " &amp; IFERROR(VLOOKUP(MID(N3,O3,P3-O3),[5]skilldef!$A:$B,2,FALSE),"-")</f>
        <v>自分自身に / 行動値設定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40019003</v>
      </c>
      <c r="B4" s="47" t="s">
        <v>239</v>
      </c>
      <c r="C4" s="50">
        <v>3</v>
      </c>
      <c r="D4" s="50" t="s">
        <v>128</v>
      </c>
      <c r="E4" s="51" t="s">
        <v>247</v>
      </c>
      <c r="F4" s="51" t="s">
        <v>267</v>
      </c>
      <c r="G4" s="64" t="str">
        <f t="shared" ref="G4" si="15">IFERROR(LEFT(B4,FIND("],",B4)),B4)</f>
        <v>[effect:fix_speed, target:enemy_green, turn:3]</v>
      </c>
      <c r="H4" s="64">
        <f t="shared" ref="H4" si="16">FIND("effect:",G4)+7</f>
        <v>9</v>
      </c>
      <c r="I4" s="64">
        <f t="shared" ref="I4" si="17">IFERROR(FIND(",",G4),LEN(G4))</f>
        <v>18</v>
      </c>
      <c r="J4" s="64">
        <f t="shared" ref="J4" si="18">FIND("target:",G4)+7</f>
        <v>27</v>
      </c>
      <c r="K4" s="64">
        <f t="shared" ref="K4" si="19">FIND(",",G4,I4+1)</f>
        <v>38</v>
      </c>
      <c r="L4" s="64" t="str">
        <f>IFERROR(VLOOKUP(MID(G4,J4,K4-J4),[5]skilldef!$C:$D,2,FALSE),"-") &amp; " / " &amp; IFERROR(VLOOKUP(MID(G4,H4,I4-H4),[5]skilldef!$A:$B,2,FALSE),"-")</f>
        <v>緑の敵に / 行動値設定</v>
      </c>
      <c r="M4" s="64" t="str">
        <f t="shared" ref="M4" si="20">IFERROR(RIGHT(B4,LEN(B4)-FIND("],",B4)-1),"none")</f>
        <v>[effect:fix_speed, target:enemy_blue, turn:3],[effect:fix_speed, target:enemy_yellow, turn:2]</v>
      </c>
      <c r="N4" s="48" t="str">
        <f>IFERROR(LEFT(M4,FIND("],",M4)+S16),M4)</f>
        <v>[effect:fix_speed, target:enemy_blue, turn:3],[effect:fix_speed, target:enemy_yellow, turn:2]</v>
      </c>
      <c r="O4" s="64">
        <f t="shared" ref="O4" si="21">FIND("effect:",N4)+7</f>
        <v>9</v>
      </c>
      <c r="P4" s="64">
        <f t="shared" ref="P4" si="22">IFERROR(FIND(",",N4),LEN(N4))</f>
        <v>18</v>
      </c>
      <c r="Q4" s="64">
        <f t="shared" ref="Q4" si="23">FIND("target:",N4)+7</f>
        <v>27</v>
      </c>
      <c r="R4" s="64">
        <f t="shared" ref="R4" si="24">FIND(",",N4,P4+1)</f>
        <v>37</v>
      </c>
      <c r="S4" s="64" t="str">
        <f>IFERROR(VLOOKUP(MID(N4,Q4,R4-Q4),[5]skilldef!$C:$D,2,FALSE),"-") &amp; " / " &amp; IFERROR(VLOOKUP(MID(N4,O4,P4-O4),[5]skilldef!$A:$B,2,FALSE),"-")</f>
        <v>青の敵に / 行動値設定</v>
      </c>
      <c r="T4" s="48" t="str">
        <f t="shared" ref="T4" si="25">IFERROR(RIGHT(M4,LEN(M4)-FIND("],",M4)-1),"none")</f>
        <v>[effect:fix_speed, target:enemy_yellow, turn:2]</v>
      </c>
      <c r="U4" s="64">
        <f t="shared" ref="U4" si="26">FIND("effect:",T4)+7</f>
        <v>9</v>
      </c>
      <c r="V4" s="64">
        <f t="shared" ref="V4" si="27">IFERROR(FIND(",",T4),LEN(T4))</f>
        <v>18</v>
      </c>
      <c r="W4" s="64">
        <f t="shared" ref="W4" si="28">FIND("target:",T4)+7</f>
        <v>27</v>
      </c>
      <c r="X4" s="64">
        <f t="shared" ref="X4" si="29">FIND(",",T4,V4+1)</f>
        <v>39</v>
      </c>
      <c r="Y4" s="64" t="str">
        <f>IFERROR(VLOOKUP(MID(T4,W4,X4-W4),[5]skilldef!$C:$D,2,FALSE),"-") &amp; " / " &amp; IFERROR(VLOOKUP(MID(T4,U4,V4-U4),[5]skilldef!$A:$B,2,FALSE),"-")</f>
        <v>黄の敵に / 行動値設定</v>
      </c>
      <c r="Z4" s="50"/>
      <c r="AA4" s="52"/>
      <c r="AB4" s="50"/>
    </row>
    <row r="5" spans="1:28" ht="21" customHeight="1" x14ac:dyDescent="0.15">
      <c r="A5" s="47">
        <v>40019004</v>
      </c>
      <c r="B5" s="47" t="s">
        <v>237</v>
      </c>
      <c r="C5" s="50">
        <v>3</v>
      </c>
      <c r="D5" s="50" t="s">
        <v>128</v>
      </c>
      <c r="E5" s="51" t="s">
        <v>234</v>
      </c>
      <c r="F5" s="51" t="s">
        <v>244</v>
      </c>
      <c r="G5" s="64" t="str">
        <f t="shared" si="0"/>
        <v>[effect:damage_anti_tribe, target:unit_one, tribe:human, val1:2.2, val2:0.8]</v>
      </c>
      <c r="H5" s="64">
        <f t="shared" si="1"/>
        <v>9</v>
      </c>
      <c r="I5" s="64">
        <f t="shared" si="2"/>
        <v>26</v>
      </c>
      <c r="J5" s="64">
        <f t="shared" si="3"/>
        <v>35</v>
      </c>
      <c r="K5" s="64">
        <f t="shared" si="4"/>
        <v>43</v>
      </c>
      <c r="L5" s="64" t="str">
        <f>IFERROR(VLOOKUP(MID(G5,J5,K5-J5),[5]skilldef!$C:$D,2,FALSE),"-") &amp; " / " &amp; IFERROR(VLOOKUP(MID(G5,H5,I5-H5),[5]skilldef!$A:$B,2,FALSE),"-")</f>
        <v>味方単体に / 種族キラー</v>
      </c>
      <c r="M5" s="64" t="str">
        <f t="shared" si="5"/>
        <v>[effect:fix_speed, target:myself, turn:2]</v>
      </c>
      <c r="N5" s="48" t="str">
        <f>IFERROR(LEFT(M5,FIND("],",M5)+S15),M5)</f>
        <v>[effect:fix_speed, target:myself, turn:2]</v>
      </c>
      <c r="O5" s="64">
        <f t="shared" si="6"/>
        <v>9</v>
      </c>
      <c r="P5" s="64">
        <f t="shared" si="7"/>
        <v>18</v>
      </c>
      <c r="Q5" s="64">
        <f t="shared" si="8"/>
        <v>27</v>
      </c>
      <c r="R5" s="64">
        <f t="shared" si="9"/>
        <v>33</v>
      </c>
      <c r="S5" s="64" t="str">
        <f>IFERROR(VLOOKUP(MID(N5,Q5,R5-Q5),[5]skilldef!$C:$D,2,FALSE),"-") &amp; " / " &amp; IFERROR(VLOOKUP(MID(N5,O5,P5-O5),[5]skilldef!$A:$B,2,FALSE),"-")</f>
        <v>自分自身に / 行動値設定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40019005</v>
      </c>
      <c r="B6" s="47" t="s">
        <v>283</v>
      </c>
      <c r="C6" s="50">
        <v>3</v>
      </c>
      <c r="D6" s="50" t="s">
        <v>128</v>
      </c>
      <c r="E6" s="51" t="s">
        <v>245</v>
      </c>
      <c r="F6" s="51" t="s">
        <v>284</v>
      </c>
      <c r="G6" s="64" t="str">
        <f t="shared" si="0"/>
        <v>[effect:enhance_enemy, target:enemy_all, turn:5, status:attack, val:0.2, calc:mul, animation:enemy_enhance_attack]</v>
      </c>
      <c r="H6" s="64">
        <f t="shared" si="1"/>
        <v>9</v>
      </c>
      <c r="I6" s="64">
        <f t="shared" si="2"/>
        <v>22</v>
      </c>
      <c r="J6" s="64">
        <f t="shared" si="3"/>
        <v>31</v>
      </c>
      <c r="K6" s="64">
        <f t="shared" si="4"/>
        <v>40</v>
      </c>
      <c r="L6" s="64" t="str">
        <f>IFERROR(VLOOKUP(MID(G6,J6,K6-J6),[5]skilldef!$C:$D,2,FALSE),"-") &amp; " / " &amp; IFERROR(VLOOKUP(MID(G6,H6,I6-H6),[5]skilldef!$A:$B,2,FALSE),"-")</f>
        <v>敵全体に / ステータス強化</v>
      </c>
      <c r="M6" s="64" t="str">
        <f t="shared" si="5"/>
        <v>[effect:fix_speed, target:myself, turn:2]</v>
      </c>
      <c r="N6" s="48" t="str">
        <f>IFERROR(LEFT(M6,FIND("],",M6)+S16),M6)</f>
        <v>[effect:fix_speed, target:myself, turn:2]</v>
      </c>
      <c r="O6" s="64">
        <f t="shared" si="6"/>
        <v>9</v>
      </c>
      <c r="P6" s="64">
        <f t="shared" si="7"/>
        <v>18</v>
      </c>
      <c r="Q6" s="64">
        <f t="shared" si="8"/>
        <v>27</v>
      </c>
      <c r="R6" s="64">
        <f t="shared" si="9"/>
        <v>33</v>
      </c>
      <c r="S6" s="64" t="str">
        <f>IFERROR(VLOOKUP(MID(N6,Q6,R6-Q6),[5]skilldef!$C:$D,2,FALSE),"-") &amp; " / " &amp; IFERROR(VLOOKUP(MID(N6,O6,P6-O6),[5]skilldef!$A:$B,2,FALSE),"-")</f>
        <v>自分自身に / 行動値設定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40019006</v>
      </c>
      <c r="B7" s="47" t="s">
        <v>230</v>
      </c>
      <c r="C7" s="50">
        <v>3</v>
      </c>
      <c r="D7" s="50" t="s">
        <v>128</v>
      </c>
      <c r="E7" s="51" t="s">
        <v>246</v>
      </c>
      <c r="F7" s="51" t="s">
        <v>262</v>
      </c>
      <c r="G7" s="64" t="str">
        <f t="shared" si="0"/>
        <v>[effect:damage_anti_color, target:unit_one, color:red, val1:2.2, val2:0.8]</v>
      </c>
      <c r="H7" s="64">
        <f t="shared" si="1"/>
        <v>9</v>
      </c>
      <c r="I7" s="64">
        <f t="shared" si="2"/>
        <v>26</v>
      </c>
      <c r="J7" s="64">
        <f t="shared" si="3"/>
        <v>35</v>
      </c>
      <c r="K7" s="64">
        <f t="shared" si="4"/>
        <v>43</v>
      </c>
      <c r="L7" s="64" t="str">
        <f>IFERROR(VLOOKUP(MID(G7,J7,K7-J7),[5]skilldef!$C:$D,2,FALSE),"-") &amp; " / " &amp; IFERROR(VLOOKUP(MID(G7,H7,I7-H7),[5]skilldef!$A:$B,2,FALSE),"-")</f>
        <v>味方単体に / 属性キラー</v>
      </c>
      <c r="M7" s="64" t="str">
        <f t="shared" si="5"/>
        <v>none</v>
      </c>
      <c r="N7" s="48" t="str">
        <f>IFERROR(LEFT(M7,FIND("],",M7)+S17),M7)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40019007</v>
      </c>
      <c r="B8" s="47" t="s">
        <v>285</v>
      </c>
      <c r="C8" s="50">
        <v>3</v>
      </c>
      <c r="D8" s="50" t="s">
        <v>128</v>
      </c>
      <c r="E8" s="51" t="s">
        <v>261</v>
      </c>
      <c r="F8" s="51" t="s">
        <v>322</v>
      </c>
      <c r="G8" s="64" t="str">
        <f t="shared" si="0"/>
        <v>[effect:degrade_unit, target:unit_all, turn:5, status:attack, val:0.7, calc:mul]</v>
      </c>
      <c r="H8" s="64">
        <f t="shared" si="1"/>
        <v>9</v>
      </c>
      <c r="I8" s="64">
        <f t="shared" si="2"/>
        <v>21</v>
      </c>
      <c r="J8" s="64">
        <f t="shared" si="3"/>
        <v>30</v>
      </c>
      <c r="K8" s="64">
        <f t="shared" si="4"/>
        <v>38</v>
      </c>
      <c r="L8" s="64" t="str">
        <f>IFERROR(VLOOKUP(MID(G8,J8,K8-J8),[5]skilldef!$C:$D,2,FALSE),"-") &amp; " / " &amp; IFERROR(VLOOKUP(MID(G8,H8,I8-H8),[5]skilldef!$A:$B,2,FALSE),"-")</f>
        <v>味方全体に / ステータスDOWN</v>
      </c>
      <c r="M8" s="64" t="str">
        <f t="shared" si="5"/>
        <v>[effect:fix_speed, target:myself, turn:2]</v>
      </c>
      <c r="N8" s="48" t="str">
        <f>IFERROR(LEFT(M8,FIND("],",M8)+S18),M8)</f>
        <v>[effect:fix_speed, target:myself, turn:2]</v>
      </c>
      <c r="O8" s="64">
        <f t="shared" si="6"/>
        <v>9</v>
      </c>
      <c r="P8" s="64">
        <f t="shared" si="7"/>
        <v>18</v>
      </c>
      <c r="Q8" s="64">
        <f t="shared" si="8"/>
        <v>27</v>
      </c>
      <c r="R8" s="64">
        <f t="shared" si="9"/>
        <v>33</v>
      </c>
      <c r="S8" s="64" t="str">
        <f>IFERROR(VLOOKUP(MID(N8,Q8,R8-Q8),[5]skilldef!$C:$D,2,FALSE),"-") &amp; " / " &amp; IFERROR(VLOOKUP(MID(N8,O8,P8-O8),[5]skilldef!$A:$B,2,FALSE),"-")</f>
        <v>自分自身に / 行動値設定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40019008</v>
      </c>
      <c r="B9" s="47" t="s">
        <v>231</v>
      </c>
      <c r="C9" s="50">
        <v>3</v>
      </c>
      <c r="D9" s="50" t="s">
        <v>128</v>
      </c>
      <c r="E9" s="51" t="s">
        <v>238</v>
      </c>
      <c r="F9" s="51" t="s">
        <v>263</v>
      </c>
      <c r="G9" s="64" t="str">
        <f t="shared" si="0"/>
        <v>[effect:damage_anti_color, target:unit_one, color:red, val1:2.2, val2:0.8]</v>
      </c>
      <c r="H9" s="64">
        <f t="shared" si="1"/>
        <v>9</v>
      </c>
      <c r="I9" s="64">
        <f t="shared" si="2"/>
        <v>26</v>
      </c>
      <c r="J9" s="64">
        <f t="shared" si="3"/>
        <v>35</v>
      </c>
      <c r="K9" s="64">
        <f t="shared" si="4"/>
        <v>43</v>
      </c>
      <c r="L9" s="64" t="str">
        <f>IFERROR(VLOOKUP(MID(G9,J9,K9-J9),[5]skilldef!$C:$D,2,FALSE),"-") &amp; " / " &amp; IFERROR(VLOOKUP(MID(G9,H9,I9-H9),[5]skilldef!$A:$B,2,FALSE),"-")</f>
        <v>味方単体に / 属性キラー</v>
      </c>
      <c r="M9" s="64" t="str">
        <f t="shared" si="5"/>
        <v>none</v>
      </c>
      <c r="N9" s="48" t="str">
        <f>IFERROR(LEFT(M9,FIND("],",M9)+#REF!),M9)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40019009</v>
      </c>
      <c r="B10" s="47" t="s">
        <v>286</v>
      </c>
      <c r="C10" s="50">
        <v>3</v>
      </c>
      <c r="D10" s="50" t="s">
        <v>128</v>
      </c>
      <c r="E10" s="51" t="s">
        <v>260</v>
      </c>
      <c r="F10" s="51" t="s">
        <v>287</v>
      </c>
      <c r="G10" s="64" t="str">
        <f t="shared" ref="G10" si="30">IFERROR(LEFT(B10,FIND("],",B10)),B10)</f>
        <v>[effect:degrade_unit, target:unit_all, turn:5, status:action, val:1, calc:add, animation:enemy_tap_down]</v>
      </c>
      <c r="H10" s="64">
        <f t="shared" si="1"/>
        <v>9</v>
      </c>
      <c r="I10" s="64">
        <f t="shared" ref="I10" si="31">IFERROR(FIND(",",G10),LEN(G10))</f>
        <v>21</v>
      </c>
      <c r="J10" s="64">
        <f t="shared" ref="J10" si="32">FIND("target:",G10)+7</f>
        <v>30</v>
      </c>
      <c r="K10" s="64">
        <f t="shared" ref="K10" si="33">FIND(",",G10,I10+1)</f>
        <v>38</v>
      </c>
      <c r="L10" s="64" t="str">
        <f>IFERROR(VLOOKUP(MID(G10,J10,K10-J10),[5]skilldef!$C:$D,2,FALSE),"-") &amp; " / " &amp; IFERROR(VLOOKUP(MID(G10,H10,I10-H10),[5]skilldef!$A:$B,2,FALSE),"-")</f>
        <v>味方全体に / ステータスDOWN</v>
      </c>
      <c r="M10" s="64" t="str">
        <f t="shared" ref="M10" si="34">IFERROR(RIGHT(B10,LEN(B10)-FIND("],",B10)-1),"none")</f>
        <v>[effect:fix_speed, target:myself, turn:1]</v>
      </c>
      <c r="N10" s="48" t="str">
        <f t="shared" ref="N10:N18" si="35">IFERROR(LEFT(M10,FIND("],",M10)+S19),M10)</f>
        <v>[effect:fix_speed, target:myself, turn:1]</v>
      </c>
      <c r="O10" s="64">
        <f t="shared" si="6"/>
        <v>9</v>
      </c>
      <c r="P10" s="64">
        <f t="shared" ref="P10" si="36">IFERROR(FIND(",",N10),LEN(N10))</f>
        <v>18</v>
      </c>
      <c r="Q10" s="64">
        <f t="shared" ref="Q10" si="37">FIND("target:",N10)+7</f>
        <v>27</v>
      </c>
      <c r="R10" s="64">
        <f t="shared" ref="R10" si="38">FIND(",",N10,P10+1)</f>
        <v>33</v>
      </c>
      <c r="S10" s="64" t="str">
        <f>IFERROR(VLOOKUP(MID(N10,Q10,R10-Q10),[5]skilldef!$C:$D,2,FALSE),"-") &amp; " / " &amp; IFERROR(VLOOKUP(MID(N10,O10,P10-O10),[5]skilldef!$A:$B,2,FALSE),"-")</f>
        <v>自分自身に / 行動値設定</v>
      </c>
      <c r="T10" s="48" t="str">
        <f t="shared" ref="T10" si="39">IFERROR(RIGHT(M10,LEN(M10)-FIND("],",M10)-1),"none")</f>
        <v>none</v>
      </c>
      <c r="U10" s="64" t="e">
        <f t="shared" si="11"/>
        <v>#VALUE!</v>
      </c>
      <c r="V10" s="64">
        <f t="shared" ref="V10" si="40">IFERROR(FIND(",",T10),LEN(T10))</f>
        <v>4</v>
      </c>
      <c r="W10" s="64" t="e">
        <f t="shared" ref="W10" si="41">FIND("target:",T10)+7</f>
        <v>#VALUE!</v>
      </c>
      <c r="X10" s="64" t="e">
        <f t="shared" ref="X10" si="42">FIND(",",T10,V10+1)</f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40019010</v>
      </c>
      <c r="B11" s="47" t="s">
        <v>232</v>
      </c>
      <c r="C11" s="50">
        <v>3</v>
      </c>
      <c r="D11" s="50" t="s">
        <v>128</v>
      </c>
      <c r="E11" s="51" t="s">
        <v>248</v>
      </c>
      <c r="F11" s="51" t="s">
        <v>264</v>
      </c>
      <c r="G11" s="64" t="str">
        <f t="shared" ref="G11" si="43">IFERROR(LEFT(B11,FIND("],",B11)),B11)</f>
        <v>[effect:damage_anti_tribe, target:unit_one, tribe:human, val1:2.2, val2:0.8]</v>
      </c>
      <c r="H11" s="64">
        <f t="shared" si="1"/>
        <v>9</v>
      </c>
      <c r="I11" s="64">
        <f t="shared" ref="I11" si="44">IFERROR(FIND(",",G11),LEN(G11))</f>
        <v>26</v>
      </c>
      <c r="J11" s="64">
        <f t="shared" ref="J11" si="45">FIND("target:",G11)+7</f>
        <v>35</v>
      </c>
      <c r="K11" s="64">
        <f t="shared" ref="K11" si="46">FIND(",",G11,I11+1)</f>
        <v>43</v>
      </c>
      <c r="L11" s="64" t="str">
        <f>IFERROR(VLOOKUP(MID(G11,J11,K11-J11),[5]skilldef!$C:$D,2,FALSE),"-") &amp; " / " &amp; IFERROR(VLOOKUP(MID(G11,H11,I11-H11),[5]skilldef!$A:$B,2,FALSE),"-")</f>
        <v>味方単体に / 種族キラー</v>
      </c>
      <c r="M11" s="64" t="str">
        <f t="shared" ref="M11" si="47">IFERROR(RIGHT(B11,LEN(B11)-FIND("],",B11)-1),"none")</f>
        <v>none</v>
      </c>
      <c r="N11" s="48" t="str">
        <f t="shared" si="35"/>
        <v>none</v>
      </c>
      <c r="O11" s="64" t="e">
        <f t="shared" si="6"/>
        <v>#VALUE!</v>
      </c>
      <c r="P11" s="64">
        <f t="shared" ref="P11" si="48">IFERROR(FIND(",",N11),LEN(N11))</f>
        <v>4</v>
      </c>
      <c r="Q11" s="64" t="e">
        <f t="shared" ref="Q11" si="49">FIND("target:",N11)+7</f>
        <v>#VALUE!</v>
      </c>
      <c r="R11" s="64" t="e">
        <f t="shared" ref="R11" si="50">FIND(",",N11,P11+1)</f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ref="T11" si="51">IFERROR(RIGHT(M11,LEN(M11)-FIND("],",M11)-1),"none")</f>
        <v>none</v>
      </c>
      <c r="U11" s="64" t="e">
        <f t="shared" si="11"/>
        <v>#VALUE!</v>
      </c>
      <c r="V11" s="64">
        <f t="shared" ref="V11" si="52">IFERROR(FIND(",",T11),LEN(T11))</f>
        <v>4</v>
      </c>
      <c r="W11" s="64" t="e">
        <f t="shared" ref="W11" si="53">FIND("target:",T11)+7</f>
        <v>#VALUE!</v>
      </c>
      <c r="X11" s="64" t="e">
        <f t="shared" ref="X11" si="54">FIND(",",T11,V11+1)</f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40019011</v>
      </c>
      <c r="B12" s="47" t="s">
        <v>304</v>
      </c>
      <c r="C12" s="50">
        <v>3</v>
      </c>
      <c r="D12" s="50" t="s">
        <v>128</v>
      </c>
      <c r="E12" s="51" t="s">
        <v>221</v>
      </c>
      <c r="F12" s="51" t="s">
        <v>288</v>
      </c>
      <c r="G12" s="64" t="str">
        <f t="shared" ref="G12:G17" si="55">IFERROR(LEFT(B12,FIND("],",B12)),B12)</f>
        <v>[effect:enhance_enemy, target:myself, turn:-1, status:defense, val:2880, calc:add, animation:enemy_enhance_defense]</v>
      </c>
      <c r="H12" s="64">
        <f t="shared" si="1"/>
        <v>9</v>
      </c>
      <c r="I12" s="64">
        <f t="shared" ref="I12:I17" si="56">IFERROR(FIND(",",G12),LEN(G12))</f>
        <v>22</v>
      </c>
      <c r="J12" s="64">
        <f t="shared" ref="J12:J17" si="57">FIND("target:",G12)+7</f>
        <v>31</v>
      </c>
      <c r="K12" s="64">
        <f t="shared" ref="K12:K17" si="58">FIND(",",G12,I12+1)</f>
        <v>37</v>
      </c>
      <c r="L12" s="64" t="str">
        <f>IFERROR(VLOOKUP(MID(G12,J12,K12-J12),[5]skilldef!$C:$D,2,FALSE),"-") &amp; " / " &amp; IFERROR(VLOOKUP(MID(G12,H12,I12-H12),[5]skilldef!$A:$B,2,FALSE),"-")</f>
        <v>自分自身に / ステータス強化</v>
      </c>
      <c r="M12" s="64" t="str">
        <f t="shared" ref="M12:M17" si="59">IFERROR(RIGHT(B12,LEN(B12)-FIND("],",B12)-1),"none")</f>
        <v>[effect:tolerance, target:myself, turn:-1, tolerance_effect:all, count:-1, animation:enemy_tolerance],[effect:degrade_unit, target:unit_all, turn:5, status:action, val:2, calc:add, animation:enemy_tap_down],[effect:fix_speed, target:myself, turn:2]</v>
      </c>
      <c r="N12" s="48" t="str">
        <f t="shared" si="35"/>
        <v>[effect:tolerance, target:myself, turn:-1, tolerance_effect:all, count:-1, animation:enemy_tolerance],[effect:degrade_unit, target:unit_all, turn:5, status:action, val:2, calc:add, animation:enemy_tap_down],[effect:fix_speed, target:myself, turn:2]</v>
      </c>
      <c r="O12" s="64">
        <f t="shared" si="6"/>
        <v>9</v>
      </c>
      <c r="P12" s="64">
        <f t="shared" ref="P12:P17" si="60">IFERROR(FIND(",",N12),LEN(N12))</f>
        <v>18</v>
      </c>
      <c r="Q12" s="64">
        <f t="shared" ref="Q12:Q17" si="61">FIND("target:",N12)+7</f>
        <v>27</v>
      </c>
      <c r="R12" s="64">
        <f t="shared" ref="R12:R17" si="62">FIND(",",N12,P12+1)</f>
        <v>33</v>
      </c>
      <c r="S12" s="64" t="str">
        <f>IFERROR(VLOOKUP(MID(N12,Q12,R12-Q12),[5]skilldef!$C:$D,2,FALSE),"-") &amp; " / " &amp; IFERROR(VLOOKUP(MID(N12,O12,P12-O12),[5]skilldef!$A:$B,2,FALSE),"-")</f>
        <v>自分自身に / 状態異常耐性</v>
      </c>
      <c r="T12" s="48" t="str">
        <f t="shared" ref="T12:T17" si="63">IFERROR(RIGHT(M12,LEN(M12)-FIND("],",M12)-1),"none")</f>
        <v>[effect:degrade_unit, target:unit_all, turn:5, status:action, val:2, calc:add, animation:enemy_tap_down],[effect:fix_speed, target:myself, turn:2]</v>
      </c>
      <c r="U12" s="64">
        <f t="shared" si="11"/>
        <v>9</v>
      </c>
      <c r="V12" s="64">
        <f t="shared" ref="V12:V17" si="64">IFERROR(FIND(",",T12),LEN(T12))</f>
        <v>21</v>
      </c>
      <c r="W12" s="64">
        <f t="shared" ref="W12:W17" si="65">FIND("target:",T12)+7</f>
        <v>30</v>
      </c>
      <c r="X12" s="64">
        <f t="shared" ref="X12:X17" si="66">FIND(",",T12,V12+1)</f>
        <v>38</v>
      </c>
      <c r="Y12" s="64" t="str">
        <f>IFERROR(VLOOKUP(MID(T12,W12,X12-W12),[5]skilldef!$C:$D,2,FALSE),"-") &amp; " / " &amp; IFERROR(VLOOKUP(MID(T12,U12,V12-U12),[5]skilldef!$A:$B,2,FALSE),"-")</f>
        <v>味方全体に / ステータスDOWN</v>
      </c>
      <c r="Z12" s="50"/>
      <c r="AA12" s="52"/>
      <c r="AB12" s="50"/>
    </row>
    <row r="13" spans="1:28" ht="21" customHeight="1" x14ac:dyDescent="0.15">
      <c r="A13" s="47">
        <v>40019012</v>
      </c>
      <c r="B13" s="47" t="s">
        <v>270</v>
      </c>
      <c r="C13" s="50">
        <v>3</v>
      </c>
      <c r="D13" s="50" t="s">
        <v>128</v>
      </c>
      <c r="E13" s="51" t="s">
        <v>257</v>
      </c>
      <c r="F13" s="51" t="s">
        <v>305</v>
      </c>
      <c r="G13" s="64" t="str">
        <f t="shared" si="55"/>
        <v>[effect:break_attack, val:0.07, lowest_val:1, count:20, block:block_red, target:unit_one]</v>
      </c>
      <c r="H13" s="64">
        <f t="shared" si="1"/>
        <v>9</v>
      </c>
      <c r="I13" s="64">
        <f t="shared" si="56"/>
        <v>21</v>
      </c>
      <c r="J13" s="64">
        <f t="shared" si="57"/>
        <v>81</v>
      </c>
      <c r="K13" s="64">
        <f t="shared" si="58"/>
        <v>31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9"/>
        <v>none</v>
      </c>
      <c r="N13" s="48" t="str">
        <f t="shared" si="35"/>
        <v>none</v>
      </c>
      <c r="O13" s="64" t="e">
        <f t="shared" si="6"/>
        <v>#VALUE!</v>
      </c>
      <c r="P13" s="64">
        <f t="shared" si="60"/>
        <v>4</v>
      </c>
      <c r="Q13" s="64" t="e">
        <f t="shared" si="61"/>
        <v>#VALUE!</v>
      </c>
      <c r="R13" s="64" t="e">
        <f t="shared" si="62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63"/>
        <v>none</v>
      </c>
      <c r="U13" s="64" t="e">
        <f t="shared" si="11"/>
        <v>#VALUE!</v>
      </c>
      <c r="V13" s="64">
        <f t="shared" si="64"/>
        <v>4</v>
      </c>
      <c r="W13" s="64" t="e">
        <f t="shared" si="65"/>
        <v>#VALUE!</v>
      </c>
      <c r="X13" s="64" t="e">
        <f t="shared" si="66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40019013</v>
      </c>
      <c r="B14" s="47" t="s">
        <v>271</v>
      </c>
      <c r="C14" s="50">
        <v>3</v>
      </c>
      <c r="D14" s="50" t="s">
        <v>128</v>
      </c>
      <c r="E14" s="51" t="s">
        <v>258</v>
      </c>
      <c r="F14" s="51" t="s">
        <v>306</v>
      </c>
      <c r="G14" s="64" t="str">
        <f t="shared" si="55"/>
        <v>[effect:break_attack, val:0.07, lowest_val:1, count:20, block:block_blue, target:unit_one]</v>
      </c>
      <c r="H14" s="64">
        <f t="shared" si="1"/>
        <v>9</v>
      </c>
      <c r="I14" s="64">
        <f t="shared" si="56"/>
        <v>21</v>
      </c>
      <c r="J14" s="64">
        <f t="shared" si="57"/>
        <v>82</v>
      </c>
      <c r="K14" s="64">
        <f t="shared" si="58"/>
        <v>31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9"/>
        <v>none</v>
      </c>
      <c r="N14" s="48" t="str">
        <f t="shared" si="35"/>
        <v>none</v>
      </c>
      <c r="O14" s="64" t="e">
        <f t="shared" si="6"/>
        <v>#VALUE!</v>
      </c>
      <c r="P14" s="64">
        <f t="shared" si="60"/>
        <v>4</v>
      </c>
      <c r="Q14" s="64" t="e">
        <f t="shared" si="61"/>
        <v>#VALUE!</v>
      </c>
      <c r="R14" s="64" t="e">
        <f t="shared" si="62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63"/>
        <v>none</v>
      </c>
      <c r="U14" s="64" t="e">
        <f t="shared" si="11"/>
        <v>#VALUE!</v>
      </c>
      <c r="V14" s="64">
        <f t="shared" si="64"/>
        <v>4</v>
      </c>
      <c r="W14" s="64" t="e">
        <f t="shared" si="65"/>
        <v>#VALUE!</v>
      </c>
      <c r="X14" s="64" t="e">
        <f t="shared" si="66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40019014</v>
      </c>
      <c r="B15" s="47" t="s">
        <v>272</v>
      </c>
      <c r="C15" s="50">
        <v>3</v>
      </c>
      <c r="D15" s="50" t="s">
        <v>128</v>
      </c>
      <c r="E15" s="51" t="s">
        <v>259</v>
      </c>
      <c r="F15" s="51" t="s">
        <v>307</v>
      </c>
      <c r="G15" s="64" t="str">
        <f t="shared" si="55"/>
        <v>[effect:break_attack, val:0.07, lowest_val:1, count:20, block:block_green, target:unit_one]</v>
      </c>
      <c r="H15" s="64">
        <f t="shared" si="1"/>
        <v>9</v>
      </c>
      <c r="I15" s="64">
        <f t="shared" si="56"/>
        <v>21</v>
      </c>
      <c r="J15" s="64">
        <f t="shared" si="57"/>
        <v>83</v>
      </c>
      <c r="K15" s="64">
        <f t="shared" si="58"/>
        <v>31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9"/>
        <v>none</v>
      </c>
      <c r="N15" s="48" t="str">
        <f t="shared" si="35"/>
        <v>none</v>
      </c>
      <c r="O15" s="64" t="e">
        <f t="shared" si="6"/>
        <v>#VALUE!</v>
      </c>
      <c r="P15" s="64">
        <f t="shared" si="60"/>
        <v>4</v>
      </c>
      <c r="Q15" s="64" t="e">
        <f t="shared" si="61"/>
        <v>#VALUE!</v>
      </c>
      <c r="R15" s="64" t="e">
        <f t="shared" si="62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63"/>
        <v>none</v>
      </c>
      <c r="U15" s="64" t="e">
        <f t="shared" si="11"/>
        <v>#VALUE!</v>
      </c>
      <c r="V15" s="64">
        <f t="shared" si="64"/>
        <v>4</v>
      </c>
      <c r="W15" s="64" t="e">
        <f t="shared" si="65"/>
        <v>#VALUE!</v>
      </c>
      <c r="X15" s="64" t="e">
        <f t="shared" si="66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40019015</v>
      </c>
      <c r="B16" s="47" t="s">
        <v>268</v>
      </c>
      <c r="C16" s="50">
        <v>3</v>
      </c>
      <c r="D16" s="50" t="s">
        <v>128</v>
      </c>
      <c r="E16" s="51" t="s">
        <v>281</v>
      </c>
      <c r="F16" s="51" t="s">
        <v>279</v>
      </c>
      <c r="G16" s="64" t="str">
        <f t="shared" si="55"/>
        <v>[effect:critical, val:1]</v>
      </c>
      <c r="H16" s="64">
        <f t="shared" si="1"/>
        <v>9</v>
      </c>
      <c r="I16" s="64">
        <f t="shared" si="56"/>
        <v>17</v>
      </c>
      <c r="J16" s="64" t="e">
        <f t="shared" si="57"/>
        <v>#VALUE!</v>
      </c>
      <c r="K16" s="64" t="e">
        <f t="shared" si="58"/>
        <v>#VALUE!</v>
      </c>
      <c r="L16" s="64" t="str">
        <f>IFERROR(VLOOKUP(MID(G16,J16,K16-J16),[5]skilldef!$C:$D,2,FALSE),"-") &amp; " / " &amp; IFERROR(VLOOKUP(MID(G16,H16,I16-H16),[5]skilldef!$A:$B,2,FALSE),"-")</f>
        <v>- / 大攻撃</v>
      </c>
      <c r="M16" s="64" t="str">
        <f t="shared" si="59"/>
        <v>[effect:hungup, target:unit_one, turn:2, rate:1, animation:hungup01]</v>
      </c>
      <c r="N16" s="48" t="str">
        <f t="shared" si="35"/>
        <v>[effect:hungup, target:unit_one, turn:2, rate:1, animation:hungup01]</v>
      </c>
      <c r="O16" s="64">
        <f t="shared" si="6"/>
        <v>9</v>
      </c>
      <c r="P16" s="64">
        <f t="shared" si="60"/>
        <v>15</v>
      </c>
      <c r="Q16" s="64">
        <f t="shared" si="61"/>
        <v>24</v>
      </c>
      <c r="R16" s="64">
        <f t="shared" si="62"/>
        <v>32</v>
      </c>
      <c r="S16" s="64" t="str">
        <f>IFERROR(VLOOKUP(MID(N16,Q16,R16-Q16),[5]skilldef!$C:$D,2,FALSE),"-") &amp; " / " &amp; IFERROR(VLOOKUP(MID(N16,O16,P16-O16),[5]skilldef!$A:$B,2,FALSE),"-")</f>
        <v>味方単体に / ハングアップ</v>
      </c>
      <c r="T16" s="48" t="str">
        <f t="shared" si="63"/>
        <v>none</v>
      </c>
      <c r="U16" s="64" t="e">
        <f t="shared" si="11"/>
        <v>#VALUE!</v>
      </c>
      <c r="V16" s="64">
        <f t="shared" si="64"/>
        <v>4</v>
      </c>
      <c r="W16" s="64" t="e">
        <f t="shared" si="65"/>
        <v>#VALUE!</v>
      </c>
      <c r="X16" s="64" t="e">
        <f t="shared" si="66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40019016</v>
      </c>
      <c r="B17" s="47" t="s">
        <v>214</v>
      </c>
      <c r="C17" s="50">
        <v>3</v>
      </c>
      <c r="D17" s="50" t="s">
        <v>128</v>
      </c>
      <c r="E17" s="51" t="s">
        <v>226</v>
      </c>
      <c r="F17" s="51" t="s">
        <v>215</v>
      </c>
      <c r="G17" s="64" t="str">
        <f t="shared" si="55"/>
        <v>[effect:freq_turn, target:myself, turn:-1, val:1, animation:enemy_freq_turn]</v>
      </c>
      <c r="H17" s="64">
        <f t="shared" si="1"/>
        <v>9</v>
      </c>
      <c r="I17" s="64">
        <f t="shared" si="56"/>
        <v>18</v>
      </c>
      <c r="J17" s="64">
        <f t="shared" si="57"/>
        <v>27</v>
      </c>
      <c r="K17" s="64">
        <f t="shared" si="58"/>
        <v>33</v>
      </c>
      <c r="L17" s="64" t="str">
        <f>IFERROR(VLOOKUP(MID(G17,J17,K17-J17),[5]skilldef!$C:$D,2,FALSE),"-") &amp; " / " &amp; IFERROR(VLOOKUP(MID(G17,H17,I17-H17),[5]skilldef!$A:$B,2,FALSE),"-")</f>
        <v>自分自身に / 攻撃頻度がUP</v>
      </c>
      <c r="M17" s="64" t="str">
        <f t="shared" si="59"/>
        <v>none</v>
      </c>
      <c r="N17" s="48" t="str">
        <f t="shared" si="35"/>
        <v>none</v>
      </c>
      <c r="O17" s="64" t="e">
        <f t="shared" si="6"/>
        <v>#VALUE!</v>
      </c>
      <c r="P17" s="64">
        <f t="shared" si="60"/>
        <v>4</v>
      </c>
      <c r="Q17" s="64" t="e">
        <f t="shared" si="61"/>
        <v>#VALUE!</v>
      </c>
      <c r="R17" s="64" t="e">
        <f t="shared" si="62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63"/>
        <v>none</v>
      </c>
      <c r="U17" s="64" t="e">
        <f t="shared" si="11"/>
        <v>#VALUE!</v>
      </c>
      <c r="V17" s="64">
        <f t="shared" si="64"/>
        <v>4</v>
      </c>
      <c r="W17" s="64" t="e">
        <f t="shared" si="65"/>
        <v>#VALUE!</v>
      </c>
      <c r="X17" s="64" t="e">
        <f t="shared" si="66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40019017</v>
      </c>
      <c r="B18" s="47" t="s">
        <v>289</v>
      </c>
      <c r="C18" s="50">
        <v>3</v>
      </c>
      <c r="D18" s="50" t="s">
        <v>128</v>
      </c>
      <c r="E18" s="51" t="s">
        <v>216</v>
      </c>
      <c r="F18" s="51" t="s">
        <v>299</v>
      </c>
      <c r="G18" s="64" t="str">
        <f t="shared" ref="G18" si="67">IFERROR(LEFT(B18,FIND("],",B18)),B18)</f>
        <v>[effect:remove_enhancement, target:unit_all, target_effect:all, target_type:buff, animation:frozen_wave]</v>
      </c>
      <c r="H18" s="64">
        <f t="shared" si="1"/>
        <v>9</v>
      </c>
      <c r="I18" s="64">
        <f t="shared" ref="I18" si="68">IFERROR(FIND(",",G18),LEN(G18))</f>
        <v>27</v>
      </c>
      <c r="J18" s="64">
        <f t="shared" ref="J18" si="69">FIND("target:",G18)+7</f>
        <v>36</v>
      </c>
      <c r="K18" s="64">
        <f t="shared" ref="K18" si="70">FIND(",",G18,I18+1)</f>
        <v>44</v>
      </c>
      <c r="L18" s="64" t="str">
        <f>IFERROR(VLOOKUP(MID(G18,J18,K18-J18),[5]skilldef!$C:$D,2,FALSE),"-") &amp; " / " &amp; IFERROR(VLOOKUP(MID(G18,H18,I18-H18),[5]skilldef!$A:$B,2,FALSE),"-")</f>
        <v>味方全体に / -</v>
      </c>
      <c r="M18" s="64" t="str">
        <f t="shared" ref="M18" si="71">IFERROR(RIGHT(B18,LEN(B18)-FIND("],",B18)-1),"none")</f>
        <v>[effect:tolerance, target:myself, turn:-1, tolerance_effect:all, count:-1, animation:enemy_tolerance],[effect:degrade_unit, target:unit_all, turn:5, status:attack, val:0.5]</v>
      </c>
      <c r="N18" s="48" t="str">
        <f t="shared" si="35"/>
        <v>[effect:tolerance, target:myself, turn:-1, tolerance_effect:all, count:-1, animation:enemy_tolerance],[effect:degrade_unit, target:unit_all, turn:5, status:attack, val:0.5]</v>
      </c>
      <c r="O18" s="64">
        <f t="shared" si="6"/>
        <v>9</v>
      </c>
      <c r="P18" s="64">
        <f t="shared" ref="P18" si="72">IFERROR(FIND(",",N18),LEN(N18))</f>
        <v>18</v>
      </c>
      <c r="Q18" s="64">
        <f t="shared" ref="Q18" si="73">FIND("target:",N18)+7</f>
        <v>27</v>
      </c>
      <c r="R18" s="64">
        <f t="shared" ref="R18" si="74">FIND(",",N18,P18+1)</f>
        <v>33</v>
      </c>
      <c r="S18" s="64" t="str">
        <f>IFERROR(VLOOKUP(MID(N18,Q18,R18-Q18),[5]skilldef!$C:$D,2,FALSE),"-") &amp; " / " &amp; IFERROR(VLOOKUP(MID(N18,O18,P18-O18),[5]skilldef!$A:$B,2,FALSE),"-")</f>
        <v>自分自身に / 状態異常耐性</v>
      </c>
      <c r="T18" s="48" t="str">
        <f t="shared" ref="T18" si="75">IFERROR(RIGHT(M18,LEN(M18)-FIND("],",M18)-1),"none")</f>
        <v>[effect:degrade_unit, target:unit_all, turn:5, status:attack, val:0.5]</v>
      </c>
      <c r="U18" s="64">
        <f t="shared" si="11"/>
        <v>9</v>
      </c>
      <c r="V18" s="64">
        <f t="shared" ref="V18" si="76">IFERROR(FIND(",",T18),LEN(T18))</f>
        <v>21</v>
      </c>
      <c r="W18" s="64">
        <f t="shared" ref="W18" si="77">FIND("target:",T18)+7</f>
        <v>30</v>
      </c>
      <c r="X18" s="64">
        <f t="shared" ref="X18" si="78">FIND(",",T18,V18+1)</f>
        <v>38</v>
      </c>
      <c r="Y18" s="64" t="str">
        <f>IFERROR(VLOOKUP(MID(T18,W18,X18-W18),[5]skilldef!$C:$D,2,FALSE),"-") &amp; " / " &amp; IFERROR(VLOOKUP(MID(T18,U18,V18-U18),[5]skilldef!$A:$B,2,FALSE),"-")</f>
        <v>味方全体に / ステータスDOWN</v>
      </c>
      <c r="Z18" s="50"/>
      <c r="AA18" s="52"/>
      <c r="AB18" s="50"/>
    </row>
    <row r="19" spans="1:28" ht="21" customHeight="1" x14ac:dyDescent="0.15">
      <c r="A19" s="47">
        <v>40019018</v>
      </c>
      <c r="B19" s="47" t="s">
        <v>273</v>
      </c>
      <c r="C19" s="50">
        <v>3</v>
      </c>
      <c r="D19" s="50" t="s">
        <v>128</v>
      </c>
      <c r="E19" s="51" t="s">
        <v>254</v>
      </c>
      <c r="F19" s="51" t="s">
        <v>308</v>
      </c>
      <c r="G19" s="64" t="str">
        <f t="shared" ref="G19:G22" si="79">IFERROR(LEFT(B19,FIND("],",B19)),B19)</f>
        <v>[effect:break_attack, val:0.07, lowest_val:1, count:23, block01:block_red, block02:block_heart,  target:unit_one]</v>
      </c>
      <c r="H19" s="64">
        <f t="shared" si="1"/>
        <v>9</v>
      </c>
      <c r="I19" s="64">
        <f t="shared" ref="I19:I22" si="80">IFERROR(FIND(",",G19),LEN(G19))</f>
        <v>21</v>
      </c>
      <c r="J19" s="64">
        <f t="shared" ref="J19:J22" si="81">FIND("target:",G19)+7</f>
        <v>105</v>
      </c>
      <c r="K19" s="64">
        <f t="shared" ref="K19:K22" si="82">FIND(",",G19,I19+1)</f>
        <v>31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ref="M19:M22" si="83">IFERROR(RIGHT(B19,LEN(B19)-FIND("],",B19)-1),"none")</f>
        <v>none</v>
      </c>
      <c r="N19" s="48" t="str">
        <f t="shared" ref="N19:N22" si="84">IFERROR(LEFT(M19,FIND("],",M19)+S29),M19)</f>
        <v>none</v>
      </c>
      <c r="O19" s="64" t="e">
        <f t="shared" si="6"/>
        <v>#VALUE!</v>
      </c>
      <c r="P19" s="64">
        <f t="shared" ref="P19:P22" si="85">IFERROR(FIND(",",N19),LEN(N19))</f>
        <v>4</v>
      </c>
      <c r="Q19" s="64" t="e">
        <f t="shared" ref="Q19:Q22" si="86">FIND("target:",N19)+7</f>
        <v>#VALUE!</v>
      </c>
      <c r="R19" s="64" t="e">
        <f t="shared" ref="R19:R22" si="87">FIND(",",N19,P19+1)</f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ref="T19:T22" si="88">IFERROR(RIGHT(M19,LEN(M19)-FIND("],",M19)-1),"none")</f>
        <v>none</v>
      </c>
      <c r="U19" s="64" t="e">
        <f t="shared" si="11"/>
        <v>#VALUE!</v>
      </c>
      <c r="V19" s="64">
        <f t="shared" ref="V19:V22" si="89">IFERROR(FIND(",",T19),LEN(T19))</f>
        <v>4</v>
      </c>
      <c r="W19" s="64" t="e">
        <f t="shared" ref="W19:W22" si="90">FIND("target:",T19)+7</f>
        <v>#VALUE!</v>
      </c>
      <c r="X19" s="64" t="e">
        <f t="shared" ref="X19:X22" si="91">FIND(",",T19,V19+1)</f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40019019</v>
      </c>
      <c r="B20" s="47" t="s">
        <v>274</v>
      </c>
      <c r="C20" s="50">
        <v>3</v>
      </c>
      <c r="D20" s="50" t="s">
        <v>128</v>
      </c>
      <c r="E20" s="51" t="s">
        <v>255</v>
      </c>
      <c r="F20" s="51" t="s">
        <v>309</v>
      </c>
      <c r="G20" s="64" t="str">
        <f t="shared" si="79"/>
        <v>[effect:break_attack, val:0.07, lowest_val:1, count:23, block01:block_blue, block02:block_heart, target:unit_one]</v>
      </c>
      <c r="H20" s="64">
        <f t="shared" si="1"/>
        <v>9</v>
      </c>
      <c r="I20" s="64">
        <f t="shared" si="80"/>
        <v>21</v>
      </c>
      <c r="J20" s="64">
        <f t="shared" si="81"/>
        <v>105</v>
      </c>
      <c r="K20" s="64">
        <f t="shared" si="82"/>
        <v>31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si="83"/>
        <v>none</v>
      </c>
      <c r="N20" s="48" t="str">
        <f t="shared" si="84"/>
        <v>none</v>
      </c>
      <c r="O20" s="64" t="e">
        <f t="shared" si="6"/>
        <v>#VALUE!</v>
      </c>
      <c r="P20" s="64">
        <f t="shared" si="85"/>
        <v>4</v>
      </c>
      <c r="Q20" s="64" t="e">
        <f t="shared" si="86"/>
        <v>#VALUE!</v>
      </c>
      <c r="R20" s="64" t="e">
        <f t="shared" si="87"/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si="88"/>
        <v>none</v>
      </c>
      <c r="U20" s="64" t="e">
        <f t="shared" si="11"/>
        <v>#VALUE!</v>
      </c>
      <c r="V20" s="64">
        <f t="shared" si="89"/>
        <v>4</v>
      </c>
      <c r="W20" s="64" t="e">
        <f t="shared" si="90"/>
        <v>#VALUE!</v>
      </c>
      <c r="X20" s="64" t="e">
        <f t="shared" si="91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40019020</v>
      </c>
      <c r="B21" s="47" t="s">
        <v>275</v>
      </c>
      <c r="C21" s="50">
        <v>3</v>
      </c>
      <c r="D21" s="50" t="s">
        <v>128</v>
      </c>
      <c r="E21" s="51" t="s">
        <v>256</v>
      </c>
      <c r="F21" s="51" t="s">
        <v>310</v>
      </c>
      <c r="G21" s="64" t="str">
        <f t="shared" si="79"/>
        <v>[effect:break_attack, val:0.07, lowest_val:1, count:23, block01:block_green, block02:block_heart, target:unit_one]</v>
      </c>
      <c r="H21" s="64">
        <f t="shared" si="1"/>
        <v>9</v>
      </c>
      <c r="I21" s="64">
        <f t="shared" si="80"/>
        <v>21</v>
      </c>
      <c r="J21" s="64">
        <f t="shared" si="81"/>
        <v>106</v>
      </c>
      <c r="K21" s="64">
        <f t="shared" si="82"/>
        <v>31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si="83"/>
        <v>none</v>
      </c>
      <c r="N21" s="48" t="str">
        <f t="shared" si="84"/>
        <v>none</v>
      </c>
      <c r="O21" s="64" t="e">
        <f t="shared" si="6"/>
        <v>#VALUE!</v>
      </c>
      <c r="P21" s="64">
        <f t="shared" si="85"/>
        <v>4</v>
      </c>
      <c r="Q21" s="64" t="e">
        <f t="shared" si="86"/>
        <v>#VALUE!</v>
      </c>
      <c r="R21" s="64" t="e">
        <f t="shared" si="87"/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88"/>
        <v>none</v>
      </c>
      <c r="U21" s="64" t="e">
        <f t="shared" si="11"/>
        <v>#VALUE!</v>
      </c>
      <c r="V21" s="64">
        <f t="shared" si="89"/>
        <v>4</v>
      </c>
      <c r="W21" s="64" t="e">
        <f t="shared" si="90"/>
        <v>#VALUE!</v>
      </c>
      <c r="X21" s="64" t="e">
        <f t="shared" si="91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40019021</v>
      </c>
      <c r="B22" s="47" t="s">
        <v>303</v>
      </c>
      <c r="C22" s="50">
        <v>3</v>
      </c>
      <c r="D22" s="50" t="s">
        <v>128</v>
      </c>
      <c r="E22" s="51" t="s">
        <v>240</v>
      </c>
      <c r="F22" s="51" t="s">
        <v>265</v>
      </c>
      <c r="G22" s="64" t="str">
        <f t="shared" si="79"/>
        <v>[effect:enhance_enemy, target:myself, turn:-1, status:attack, val:0.2, animation:enemy_enhance_attack]</v>
      </c>
      <c r="H22" s="64">
        <f t="shared" si="1"/>
        <v>9</v>
      </c>
      <c r="I22" s="64">
        <f t="shared" si="80"/>
        <v>22</v>
      </c>
      <c r="J22" s="64">
        <f t="shared" si="81"/>
        <v>31</v>
      </c>
      <c r="K22" s="64">
        <f t="shared" si="82"/>
        <v>37</v>
      </c>
      <c r="L22" s="64" t="str">
        <f>IFERROR(VLOOKUP(MID(G22,J22,K22-J22),[5]skilldef!$C:$D,2,FALSE),"-") &amp; " / " &amp; IFERROR(VLOOKUP(MID(G22,H22,I22-H22),[5]skilldef!$A:$B,2,FALSE),"-")</f>
        <v>自分自身に / ステータス強化</v>
      </c>
      <c r="M22" s="64" t="str">
        <f t="shared" si="83"/>
        <v>[effect:enhance_enemy, target:myself, turn:-1, status:defense, val:1440, calc:add, animation:enemy_enhance_defense]</v>
      </c>
      <c r="N22" s="48" t="str">
        <f t="shared" si="84"/>
        <v>[effect:enhance_enemy, target:myself, turn:-1, status:defense, val:1440, calc:add, animation:enemy_enhance_defense]</v>
      </c>
      <c r="O22" s="64">
        <f t="shared" si="6"/>
        <v>9</v>
      </c>
      <c r="P22" s="64">
        <f t="shared" si="85"/>
        <v>22</v>
      </c>
      <c r="Q22" s="64">
        <f t="shared" si="86"/>
        <v>31</v>
      </c>
      <c r="R22" s="64">
        <f t="shared" si="87"/>
        <v>37</v>
      </c>
      <c r="S22" s="64" t="str">
        <f>IFERROR(VLOOKUP(MID(N22,Q22,R22-Q22),[5]skilldef!$C:$D,2,FALSE),"-") &amp; " / " &amp; IFERROR(VLOOKUP(MID(N22,O22,P22-O22),[5]skilldef!$A:$B,2,FALSE),"-")</f>
        <v>自分自身に / ステータス強化</v>
      </c>
      <c r="T22" s="48" t="str">
        <f t="shared" si="88"/>
        <v>none</v>
      </c>
      <c r="U22" s="64" t="e">
        <f t="shared" si="11"/>
        <v>#VALUE!</v>
      </c>
      <c r="V22" s="64">
        <f t="shared" si="89"/>
        <v>4</v>
      </c>
      <c r="W22" s="64" t="e">
        <f t="shared" si="90"/>
        <v>#VALUE!</v>
      </c>
      <c r="X22" s="64" t="e">
        <f t="shared" si="91"/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40019022</v>
      </c>
      <c r="B23" s="47" t="s">
        <v>241</v>
      </c>
      <c r="C23" s="50">
        <v>3</v>
      </c>
      <c r="D23" s="50" t="s">
        <v>128</v>
      </c>
      <c r="E23" s="51" t="s">
        <v>217</v>
      </c>
      <c r="F23" s="51" t="s">
        <v>218</v>
      </c>
      <c r="G23" s="64" t="str">
        <f t="shared" ref="G23:G28" si="92">IFERROR(LEFT(B23,FIND("],",B23)),B23)</f>
        <v>[effect:rush, count:2, val:1]</v>
      </c>
      <c r="H23" s="64">
        <f t="shared" si="1"/>
        <v>9</v>
      </c>
      <c r="I23" s="64">
        <f t="shared" ref="I23:I28" si="93">IFERROR(FIND(",",G23),LEN(G23))</f>
        <v>13</v>
      </c>
      <c r="J23" s="64" t="e">
        <f t="shared" ref="J23:J28" si="94">FIND("target:",G23)+7</f>
        <v>#VALUE!</v>
      </c>
      <c r="K23" s="64">
        <f t="shared" ref="K23:K28" si="95">FIND(",",G23,I23+1)</f>
        <v>22</v>
      </c>
      <c r="L23" s="64" t="str">
        <f>IFERROR(VLOOKUP(MID(G23,J23,K23-J23),[5]skilldef!$C:$D,2,FALSE),"-") &amp; " / " &amp; IFERROR(VLOOKUP(MID(G23,H23,I23-H23),[5]skilldef!$A:$B,2,FALSE),"-")</f>
        <v>- / 連続攻撃</v>
      </c>
      <c r="M23" s="64" t="str">
        <f t="shared" ref="M23:M28" si="96">IFERROR(RIGHT(B23,LEN(B23)-FIND("],",B23)-1),"none")</f>
        <v>none</v>
      </c>
      <c r="N23" s="48" t="str">
        <f t="shared" ref="N23" si="97">IFERROR(LEFT(M23,FIND("],",M23)+S33),M23)</f>
        <v>none</v>
      </c>
      <c r="O23" s="64" t="e">
        <f t="shared" si="6"/>
        <v>#VALUE!</v>
      </c>
      <c r="P23" s="64">
        <f t="shared" ref="P23:P28" si="98">IFERROR(FIND(",",N23),LEN(N23))</f>
        <v>4</v>
      </c>
      <c r="Q23" s="64" t="e">
        <f t="shared" ref="Q23:Q28" si="99">FIND("target:",N23)+7</f>
        <v>#VALUE!</v>
      </c>
      <c r="R23" s="64" t="e">
        <f t="shared" ref="R23:R28" si="100">FIND(",",N23,P23+1)</f>
        <v>#VALUE!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ref="T23:T28" si="101">IFERROR(RIGHT(M23,LEN(M23)-FIND("],",M23)-1),"none")</f>
        <v>none</v>
      </c>
      <c r="U23" s="64" t="e">
        <f t="shared" si="11"/>
        <v>#VALUE!</v>
      </c>
      <c r="V23" s="64">
        <f t="shared" ref="V23:V28" si="102">IFERROR(FIND(",",T23),LEN(T23))</f>
        <v>4</v>
      </c>
      <c r="W23" s="64" t="e">
        <f t="shared" ref="W23:W28" si="103">FIND("target:",T23)+7</f>
        <v>#VALUE!</v>
      </c>
      <c r="X23" s="64" t="e">
        <f t="shared" ref="X23:X28" si="104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40019023</v>
      </c>
      <c r="B24" s="47" t="s">
        <v>290</v>
      </c>
      <c r="C24" s="50">
        <v>3</v>
      </c>
      <c r="D24" s="50" t="s">
        <v>128</v>
      </c>
      <c r="E24" s="51" t="s">
        <v>219</v>
      </c>
      <c r="F24" s="51" t="s">
        <v>300</v>
      </c>
      <c r="G24" s="64" t="str">
        <f t="shared" si="92"/>
        <v>[effect:remove_enhancement, target:unit_all, target_effect:all, target_type:buff, animation:frozen_wave]</v>
      </c>
      <c r="H24" s="64">
        <f t="shared" si="1"/>
        <v>9</v>
      </c>
      <c r="I24" s="64">
        <f t="shared" si="93"/>
        <v>27</v>
      </c>
      <c r="J24" s="64">
        <f t="shared" si="94"/>
        <v>36</v>
      </c>
      <c r="K24" s="64">
        <f t="shared" si="95"/>
        <v>44</v>
      </c>
      <c r="L24" s="64" t="str">
        <f>IFERROR(VLOOKUP(MID(G24,J24,K24-J24),[5]skilldef!$C:$D,2,FALSE),"-") &amp; " / " &amp; IFERROR(VLOOKUP(MID(G24,H24,I24-H24),[5]skilldef!$A:$B,2,FALSE),"-")</f>
        <v>味方全体に / -</v>
      </c>
      <c r="M24" s="64" t="str">
        <f t="shared" si="96"/>
        <v>[effect:tolerance, target:myself, turn:-1, tolerance_effect:all, count:-1, animation:enemy_tolerance],[effect:degrade_unit, target:unit_all, turn:5, status:heal, val:0.5, animation:degrade_unit_all_heal]</v>
      </c>
      <c r="N24" s="48" t="str">
        <f>IFERROR(LEFT(M24,FIND("],",M24)+S33),M24)</f>
        <v>[effect:tolerance, target:myself, turn:-1, tolerance_effect:all, count:-1, animation:enemy_tolerance]</v>
      </c>
      <c r="O24" s="64">
        <f t="shared" si="6"/>
        <v>9</v>
      </c>
      <c r="P24" s="64">
        <f t="shared" si="98"/>
        <v>18</v>
      </c>
      <c r="Q24" s="64">
        <f t="shared" si="99"/>
        <v>27</v>
      </c>
      <c r="R24" s="64">
        <f t="shared" si="100"/>
        <v>33</v>
      </c>
      <c r="S24" s="64" t="str">
        <f>IFERROR(VLOOKUP(MID(N24,Q24,R24-Q24),[5]skilldef!$C:$D,2,FALSE),"-") &amp; " / " &amp; IFERROR(VLOOKUP(MID(N24,O24,P24-O24),[5]skilldef!$A:$B,2,FALSE),"-")</f>
        <v>自分自身に / 状態異常耐性</v>
      </c>
      <c r="T24" s="48" t="str">
        <f t="shared" si="101"/>
        <v>[effect:degrade_unit, target:unit_all, turn:5, status:heal, val:0.5, animation:degrade_unit_all_heal]</v>
      </c>
      <c r="U24" s="64">
        <f t="shared" si="11"/>
        <v>9</v>
      </c>
      <c r="V24" s="64">
        <f t="shared" si="102"/>
        <v>21</v>
      </c>
      <c r="W24" s="64">
        <f t="shared" si="103"/>
        <v>30</v>
      </c>
      <c r="X24" s="64">
        <f t="shared" si="104"/>
        <v>38</v>
      </c>
      <c r="Y24" s="64" t="str">
        <f>IFERROR(VLOOKUP(MID(T24,W24,X24-W24),[5]skilldef!$C:$D,2,FALSE),"-") &amp; " / " &amp; IFERROR(VLOOKUP(MID(T24,U24,V24-U24),[5]skilldef!$A:$B,2,FALSE),"-")</f>
        <v>味方全体に / ステータスDOWN</v>
      </c>
      <c r="Z24" s="50"/>
      <c r="AA24" s="52"/>
      <c r="AB24" s="50"/>
    </row>
    <row r="25" spans="1:28" ht="21" customHeight="1" x14ac:dyDescent="0.15">
      <c r="A25" s="47">
        <v>40019024</v>
      </c>
      <c r="B25" s="47" t="s">
        <v>276</v>
      </c>
      <c r="C25" s="50">
        <v>3</v>
      </c>
      <c r="D25" s="50" t="s">
        <v>128</v>
      </c>
      <c r="E25" s="51" t="s">
        <v>251</v>
      </c>
      <c r="F25" s="51" t="s">
        <v>311</v>
      </c>
      <c r="G25" s="64" t="str">
        <f t="shared" si="92"/>
        <v>[effect:break_attack, val:0.07, lowest_val:1, count:23, block01:block_red, block02:block_yellow,  target:unit_one]</v>
      </c>
      <c r="H25" s="64">
        <f t="shared" si="1"/>
        <v>9</v>
      </c>
      <c r="I25" s="64">
        <f t="shared" si="93"/>
        <v>21</v>
      </c>
      <c r="J25" s="64">
        <f t="shared" si="94"/>
        <v>106</v>
      </c>
      <c r="K25" s="64">
        <f t="shared" si="95"/>
        <v>31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96"/>
        <v>none</v>
      </c>
      <c r="N25" s="48" t="str">
        <f t="shared" ref="N25:N27" si="105">IFERROR(LEFT(M25,FIND("],",M25)+S35),M25)</f>
        <v>none</v>
      </c>
      <c r="O25" s="64" t="e">
        <f t="shared" si="6"/>
        <v>#VALUE!</v>
      </c>
      <c r="P25" s="64">
        <f t="shared" si="98"/>
        <v>4</v>
      </c>
      <c r="Q25" s="64" t="e">
        <f t="shared" si="99"/>
        <v>#VALUE!</v>
      </c>
      <c r="R25" s="64" t="e">
        <f t="shared" si="100"/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si="101"/>
        <v>none</v>
      </c>
      <c r="U25" s="64" t="e">
        <f t="shared" si="11"/>
        <v>#VALUE!</v>
      </c>
      <c r="V25" s="64">
        <f t="shared" si="102"/>
        <v>4</v>
      </c>
      <c r="W25" s="64" t="e">
        <f t="shared" si="103"/>
        <v>#VALUE!</v>
      </c>
      <c r="X25" s="64" t="e">
        <f t="shared" si="10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40019025</v>
      </c>
      <c r="B26" s="47" t="s">
        <v>277</v>
      </c>
      <c r="C26" s="50">
        <v>3</v>
      </c>
      <c r="D26" s="50" t="s">
        <v>128</v>
      </c>
      <c r="E26" s="51" t="s">
        <v>252</v>
      </c>
      <c r="F26" s="51" t="s">
        <v>312</v>
      </c>
      <c r="G26" s="64" t="str">
        <f t="shared" si="92"/>
        <v>[effect:break_attack, val:0.07, lowest_val:1, count:23, block01:block_blue, block02:block_yellow, target:unit_one]</v>
      </c>
      <c r="H26" s="64">
        <f t="shared" si="1"/>
        <v>9</v>
      </c>
      <c r="I26" s="64">
        <f t="shared" si="93"/>
        <v>21</v>
      </c>
      <c r="J26" s="64">
        <f t="shared" si="94"/>
        <v>106</v>
      </c>
      <c r="K26" s="64">
        <f t="shared" si="95"/>
        <v>31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96"/>
        <v>none</v>
      </c>
      <c r="N26" s="48" t="str">
        <f t="shared" si="105"/>
        <v>none</v>
      </c>
      <c r="O26" s="64" t="e">
        <f t="shared" si="6"/>
        <v>#VALUE!</v>
      </c>
      <c r="P26" s="64">
        <f t="shared" si="98"/>
        <v>4</v>
      </c>
      <c r="Q26" s="64" t="e">
        <f t="shared" si="99"/>
        <v>#VALUE!</v>
      </c>
      <c r="R26" s="64" t="e">
        <f t="shared" si="100"/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01"/>
        <v>none</v>
      </c>
      <c r="U26" s="64" t="e">
        <f t="shared" si="11"/>
        <v>#VALUE!</v>
      </c>
      <c r="V26" s="64">
        <f t="shared" si="102"/>
        <v>4</v>
      </c>
      <c r="W26" s="64" t="e">
        <f t="shared" si="103"/>
        <v>#VALUE!</v>
      </c>
      <c r="X26" s="64" t="e">
        <f t="shared" si="104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40019026</v>
      </c>
      <c r="B27" s="47" t="s">
        <v>278</v>
      </c>
      <c r="C27" s="50">
        <v>3</v>
      </c>
      <c r="D27" s="50" t="s">
        <v>128</v>
      </c>
      <c r="E27" s="51" t="s">
        <v>253</v>
      </c>
      <c r="F27" s="51" t="s">
        <v>313</v>
      </c>
      <c r="G27" s="64" t="str">
        <f t="shared" si="92"/>
        <v>[effect:break_attack, val:0.07, lowest_val:1, count:23, block01:block_green, block02:block_yellow, target:unit_one]</v>
      </c>
      <c r="H27" s="64">
        <f t="shared" si="1"/>
        <v>9</v>
      </c>
      <c r="I27" s="64">
        <f t="shared" si="93"/>
        <v>21</v>
      </c>
      <c r="J27" s="64">
        <f t="shared" si="94"/>
        <v>107</v>
      </c>
      <c r="K27" s="64">
        <f t="shared" si="95"/>
        <v>31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96"/>
        <v>none</v>
      </c>
      <c r="N27" s="48" t="str">
        <f t="shared" si="105"/>
        <v>none</v>
      </c>
      <c r="O27" s="64" t="e">
        <f t="shared" si="6"/>
        <v>#VALUE!</v>
      </c>
      <c r="P27" s="64">
        <f t="shared" si="98"/>
        <v>4</v>
      </c>
      <c r="Q27" s="64" t="e">
        <f t="shared" si="99"/>
        <v>#VALUE!</v>
      </c>
      <c r="R27" s="64" t="e">
        <f t="shared" si="100"/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01"/>
        <v>none</v>
      </c>
      <c r="U27" s="64" t="e">
        <f t="shared" si="11"/>
        <v>#VALUE!</v>
      </c>
      <c r="V27" s="64">
        <f t="shared" si="102"/>
        <v>4</v>
      </c>
      <c r="W27" s="64" t="e">
        <f t="shared" si="103"/>
        <v>#VALUE!</v>
      </c>
      <c r="X27" s="64" t="e">
        <f t="shared" si="104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40019027</v>
      </c>
      <c r="B28" s="47" t="s">
        <v>269</v>
      </c>
      <c r="C28" s="50">
        <v>3</v>
      </c>
      <c r="D28" s="50" t="s">
        <v>128</v>
      </c>
      <c r="E28" s="51" t="s">
        <v>220</v>
      </c>
      <c r="F28" s="51" t="s">
        <v>280</v>
      </c>
      <c r="G28" s="64" t="str">
        <f t="shared" si="92"/>
        <v>[effect:critical, val:1]</v>
      </c>
      <c r="H28" s="64">
        <f t="shared" si="1"/>
        <v>9</v>
      </c>
      <c r="I28" s="64">
        <f t="shared" si="93"/>
        <v>17</v>
      </c>
      <c r="J28" s="64" t="e">
        <f t="shared" si="94"/>
        <v>#VALUE!</v>
      </c>
      <c r="K28" s="64" t="e">
        <f t="shared" si="95"/>
        <v>#VALUE!</v>
      </c>
      <c r="L28" s="64" t="str">
        <f>IFERROR(VLOOKUP(MID(G28,J28,K28-J28),[5]skilldef!$C:$D,2,FALSE),"-") &amp; " / " &amp; IFERROR(VLOOKUP(MID(G28,H28,I28-H28),[5]skilldef!$A:$B,2,FALSE),"-")</f>
        <v>- / 大攻撃</v>
      </c>
      <c r="M28" s="64" t="str">
        <f t="shared" si="96"/>
        <v>[effect:hungup, target:unit_all, turn:1, rate:1, animation:hungup01]</v>
      </c>
      <c r="N28" s="48" t="str">
        <f>IFERROR(LEFT(M28,FIND("],",M28)+S37),M28)</f>
        <v>[effect:hungup, target:unit_all, turn:1, rate:1, animation:hungup01]</v>
      </c>
      <c r="O28" s="64">
        <f t="shared" si="6"/>
        <v>9</v>
      </c>
      <c r="P28" s="64">
        <f t="shared" si="98"/>
        <v>15</v>
      </c>
      <c r="Q28" s="64">
        <f t="shared" si="99"/>
        <v>24</v>
      </c>
      <c r="R28" s="64">
        <f t="shared" si="100"/>
        <v>32</v>
      </c>
      <c r="S28" s="64" t="str">
        <f>IFERROR(VLOOKUP(MID(N28,Q28,R28-Q28),[5]skilldef!$C:$D,2,FALSE),"-") &amp; " / " &amp; IFERROR(VLOOKUP(MID(N28,O28,P28-O28),[5]skilldef!$A:$B,2,FALSE),"-")</f>
        <v>味方全体に / ハングアップ</v>
      </c>
      <c r="T28" s="48" t="str">
        <f t="shared" si="101"/>
        <v>none</v>
      </c>
      <c r="U28" s="64" t="e">
        <f t="shared" si="11"/>
        <v>#VALUE!</v>
      </c>
      <c r="V28" s="64">
        <f t="shared" si="102"/>
        <v>4</v>
      </c>
      <c r="W28" s="64" t="e">
        <f t="shared" si="103"/>
        <v>#VALUE!</v>
      </c>
      <c r="X28" s="64" t="e">
        <f t="shared" si="104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40019028</v>
      </c>
      <c r="B29" s="47" t="s">
        <v>321</v>
      </c>
      <c r="C29" s="50">
        <v>3</v>
      </c>
      <c r="D29" s="50" t="s">
        <v>128</v>
      </c>
      <c r="E29" s="51" t="s">
        <v>282</v>
      </c>
      <c r="F29" s="51" t="s">
        <v>320</v>
      </c>
      <c r="G29" s="64" t="str">
        <f t="shared" ref="G29" si="106">IFERROR(LEFT(B29,FIND("],",B29)),B29)</f>
        <v>[effect:enhance_enemy, target:myself, turn:1, status:defense, val:10000, calc:add, animation:enemy_enhance_defense]</v>
      </c>
      <c r="H29" s="64">
        <f t="shared" si="1"/>
        <v>9</v>
      </c>
      <c r="I29" s="64">
        <f t="shared" ref="I29" si="107">IFERROR(FIND(",",G29),LEN(G29))</f>
        <v>22</v>
      </c>
      <c r="J29" s="64">
        <f t="shared" ref="J29" si="108">FIND("target:",G29)+7</f>
        <v>31</v>
      </c>
      <c r="K29" s="64">
        <f t="shared" ref="K29" si="109">FIND(",",G29,I29+1)</f>
        <v>37</v>
      </c>
      <c r="L29" s="64" t="str">
        <f>IFERROR(VLOOKUP(MID(G29,J29,K29-J29),[5]skilldef!$C:$D,2,FALSE),"-") &amp; " / " &amp; IFERROR(VLOOKUP(MID(G29,H29,I29-H29),[5]skilldef!$A:$B,2,FALSE),"-")</f>
        <v>自分自身に / ステータス強化</v>
      </c>
      <c r="M29" s="64" t="str">
        <f t="shared" ref="M29" si="110">IFERROR(RIGHT(B29,LEN(B29)-FIND("],",B29)-1),"none")</f>
        <v>none</v>
      </c>
      <c r="N29" s="48" t="str">
        <f>IFERROR(LEFT(M29,FIND("],",M29)+S38),M29)</f>
        <v>none</v>
      </c>
      <c r="O29" s="64" t="e">
        <f t="shared" si="6"/>
        <v>#VALUE!</v>
      </c>
      <c r="P29" s="64">
        <f t="shared" ref="P29" si="111">IFERROR(FIND(",",N29),LEN(N29))</f>
        <v>4</v>
      </c>
      <c r="Q29" s="64" t="e">
        <f t="shared" ref="Q29" si="112">FIND("target:",N29)+7</f>
        <v>#VALUE!</v>
      </c>
      <c r="R29" s="64" t="e">
        <f t="shared" ref="R29" si="113">FIND(",",N29,P29+1)</f>
        <v>#VALUE!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ref="T29" si="114">IFERROR(RIGHT(M29,LEN(M29)-FIND("],",M29)-1),"none")</f>
        <v>none</v>
      </c>
      <c r="U29" s="64" t="e">
        <f t="shared" si="11"/>
        <v>#VALUE!</v>
      </c>
      <c r="V29" s="64">
        <f t="shared" ref="V29" si="115">IFERROR(FIND(",",T29),LEN(T29))</f>
        <v>4</v>
      </c>
      <c r="W29" s="64" t="e">
        <f t="shared" ref="W29" si="116">FIND("target:",T29)+7</f>
        <v>#VALUE!</v>
      </c>
      <c r="X29" s="64" t="e">
        <f t="shared" ref="X29" si="117">FIND(",",T29,V29+1)</f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40019029</v>
      </c>
      <c r="B30" s="47" t="s">
        <v>222</v>
      </c>
      <c r="C30" s="50">
        <v>3</v>
      </c>
      <c r="D30" s="50" t="s">
        <v>128</v>
      </c>
      <c r="E30" s="51" t="s">
        <v>266</v>
      </c>
      <c r="F30" s="51" t="s">
        <v>301</v>
      </c>
      <c r="G30" s="64" t="str">
        <f t="shared" ref="G30" si="118">IFERROR(LEFT(B30,FIND("],",B30)),B30)</f>
        <v>[effect:break_enchance_enemy, val:0.05, lowest_val:0.2, count :-1, status:attack, turn:-1, block01:block_red, block02:block_blue, block03:block_yellow, block04:block_heart, block05:crash, target:myself, calc:mul, animation:enemy_enhance_attack]</v>
      </c>
      <c r="H30" s="64">
        <f t="shared" si="1"/>
        <v>9</v>
      </c>
      <c r="I30" s="64">
        <f t="shared" ref="I30" si="119">IFERROR(FIND(",",G30),LEN(G30))</f>
        <v>29</v>
      </c>
      <c r="J30" s="64">
        <f t="shared" ref="J30" si="120">FIND("target:",G30)+7</f>
        <v>196</v>
      </c>
      <c r="K30" s="64">
        <f t="shared" ref="K30" si="121">FIND(",",G30,I30+1)</f>
        <v>39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" si="122">IFERROR(RIGHT(B30,LEN(B30)-FIND("],",B30)-1),"none")</f>
        <v>[effect:change_panel_ratio, turn:1, block_type:green, val:0.6, animation:block_incidence04],[effect:enemy_message, val2:4]</v>
      </c>
      <c r="N30" s="48" t="str">
        <f>IFERROR(LEFT(M30,FIND("],",M30)+S39),M30)</f>
        <v>[effect:change_panel_ratio, turn:1, block_type:green, val:0.6, animation:block_incidence04]</v>
      </c>
      <c r="O30" s="64">
        <f t="shared" si="6"/>
        <v>9</v>
      </c>
      <c r="P30" s="64">
        <f t="shared" ref="P30" si="123">IFERROR(FIND(",",N30),LEN(N30))</f>
        <v>27</v>
      </c>
      <c r="Q30" s="64" t="e">
        <f t="shared" ref="Q30" si="124">FIND("target:",N30)+7</f>
        <v>#VALUE!</v>
      </c>
      <c r="R30" s="64">
        <f t="shared" ref="R30" si="125">FIND(",",N30,P30+1)</f>
        <v>35</v>
      </c>
      <c r="S30" s="64" t="str">
        <f>IFERROR(VLOOKUP(MID(N30,Q30,R30-Q30),[5]skilldef!$C:$D,2,FALSE),"-") &amp; " / " &amp; IFERROR(VLOOKUP(MID(N30,O30,P30-O30),[5]skilldef!$A:$B,2,FALSE),"-")</f>
        <v>- / -</v>
      </c>
      <c r="T30" s="48" t="str">
        <f t="shared" ref="T30" si="126">IFERROR(RIGHT(M30,LEN(M30)-FIND("],",M30)-1),"none")</f>
        <v>[effect:enemy_message, val2:4]</v>
      </c>
      <c r="U30" s="64">
        <f t="shared" si="11"/>
        <v>9</v>
      </c>
      <c r="V30" s="64">
        <f t="shared" ref="V30" si="127">IFERROR(FIND(",",T30),LEN(T30))</f>
        <v>22</v>
      </c>
      <c r="W30" s="64" t="e">
        <f t="shared" ref="W30" si="128">FIND("target:",T30)+7</f>
        <v>#VALUE!</v>
      </c>
      <c r="X30" s="64" t="e">
        <f t="shared" ref="X30" si="129">FIND(",",T30,V30+1)</f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40019030</v>
      </c>
      <c r="B31" s="47" t="s">
        <v>250</v>
      </c>
      <c r="C31" s="50">
        <v>3</v>
      </c>
      <c r="D31" s="50" t="s">
        <v>128</v>
      </c>
      <c r="E31" s="51" t="s">
        <v>249</v>
      </c>
      <c r="F31" s="51" t="s">
        <v>314</v>
      </c>
      <c r="G31" s="64" t="str">
        <f t="shared" ref="G31" si="130">IFERROR(LEFT(B31,FIND("],",B31)),B31)</f>
        <v>[effect:break_attack, val:0.5, lowest_val:2, count:30, block:block_green, target:unit_one]</v>
      </c>
      <c r="H31" s="64">
        <f t="shared" si="1"/>
        <v>9</v>
      </c>
      <c r="I31" s="64">
        <f t="shared" ref="I31" si="131">IFERROR(FIND(",",G31),LEN(G31))</f>
        <v>21</v>
      </c>
      <c r="J31" s="64">
        <f t="shared" ref="J31" si="132">FIND("target:",G31)+7</f>
        <v>82</v>
      </c>
      <c r="K31" s="64">
        <f t="shared" ref="K31" si="133">FIND(",",G31,I31+1)</f>
        <v>30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ref="M31" si="134">IFERROR(RIGHT(B31,LEN(B31)-FIND("],",B31)-1),"none")</f>
        <v>none</v>
      </c>
      <c r="N31" s="48" t="str">
        <f>IFERROR(LEFT(M31,FIND("],",M31)+S40),M31)</f>
        <v>none</v>
      </c>
      <c r="O31" s="64" t="e">
        <f t="shared" si="6"/>
        <v>#VALUE!</v>
      </c>
      <c r="P31" s="64">
        <f t="shared" ref="P31" si="135">IFERROR(FIND(",",N31),LEN(N31))</f>
        <v>4</v>
      </c>
      <c r="Q31" s="64" t="e">
        <f t="shared" ref="Q31" si="136">FIND("target:",N31)+7</f>
        <v>#VALUE!</v>
      </c>
      <c r="R31" s="64" t="e">
        <f t="shared" ref="R31" si="137">FIND(",",N31,P31+1)</f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ref="T31" si="138">IFERROR(RIGHT(M31,LEN(M31)-FIND("],",M31)-1),"none")</f>
        <v>none</v>
      </c>
      <c r="U31" s="64" t="e">
        <f t="shared" si="11"/>
        <v>#VALUE!</v>
      </c>
      <c r="V31" s="64">
        <f t="shared" ref="V31" si="139">IFERROR(FIND(",",T31),LEN(T31))</f>
        <v>4</v>
      </c>
      <c r="W31" s="64" t="e">
        <f t="shared" ref="W31" si="140">FIND("target:",T31)+7</f>
        <v>#VALUE!</v>
      </c>
      <c r="X31" s="64" t="e">
        <f t="shared" ref="X31" si="141">FIND(",",T31,V31+1)</f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1"/>
  <sheetViews>
    <sheetView showGridLines="0" zoomScale="75" zoomScaleNormal="75" zoomScalePageLayoutView="75" workbookViewId="0">
      <pane ySplit="1" topLeftCell="A5" activePane="bottomLeft" state="frozenSplit"/>
      <selection pane="bottomLeft" activeCell="A18" sqref="A1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40019001</v>
      </c>
      <c r="B2" s="47">
        <v>0</v>
      </c>
      <c r="C2" s="47" t="s">
        <v>89</v>
      </c>
      <c r="D2" s="47">
        <v>100</v>
      </c>
      <c r="E2" s="47" t="s">
        <v>224</v>
      </c>
      <c r="F2" s="47" t="s">
        <v>90</v>
      </c>
      <c r="G2" s="47" t="s">
        <v>90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40019002</v>
      </c>
      <c r="B3" s="47">
        <v>0</v>
      </c>
      <c r="C3" s="47" t="s">
        <v>89</v>
      </c>
      <c r="D3" s="47">
        <v>100</v>
      </c>
      <c r="E3" s="47" t="s">
        <v>224</v>
      </c>
      <c r="F3" s="47" t="s">
        <v>90</v>
      </c>
      <c r="G3" s="47" t="s">
        <v>90</v>
      </c>
      <c r="H3" s="47" t="s">
        <v>90</v>
      </c>
      <c r="I3" s="47" t="s">
        <v>90</v>
      </c>
      <c r="J3" s="48">
        <f t="shared" ref="J3:J31" si="1">D3</f>
        <v>100</v>
      </c>
    </row>
    <row r="4" spans="1:11" ht="21" customHeight="1" x14ac:dyDescent="0.15">
      <c r="A4" s="47">
        <v>40019003</v>
      </c>
      <c r="B4" s="47">
        <v>1</v>
      </c>
      <c r="C4" s="47" t="s">
        <v>89</v>
      </c>
      <c r="D4" s="47">
        <v>100</v>
      </c>
      <c r="E4" s="47" t="s">
        <v>89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ref="J4" si="2">D4</f>
        <v>100</v>
      </c>
    </row>
    <row r="5" spans="1:11" ht="21" customHeight="1" x14ac:dyDescent="0.15">
      <c r="A5" s="47">
        <v>40019004</v>
      </c>
      <c r="B5" s="47">
        <v>0</v>
      </c>
      <c r="C5" s="47" t="s">
        <v>89</v>
      </c>
      <c r="D5" s="47">
        <v>100</v>
      </c>
      <c r="E5" s="47" t="s">
        <v>224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40019005</v>
      </c>
      <c r="B6" s="47">
        <v>1</v>
      </c>
      <c r="C6" s="47" t="s">
        <v>89</v>
      </c>
      <c r="D6" s="47">
        <v>100</v>
      </c>
      <c r="E6" s="47" t="s">
        <v>224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40019006</v>
      </c>
      <c r="B7" s="47">
        <v>0</v>
      </c>
      <c r="C7" s="47" t="s">
        <v>89</v>
      </c>
      <c r="D7" s="47">
        <v>100</v>
      </c>
      <c r="E7" s="47" t="s">
        <v>224</v>
      </c>
      <c r="F7" s="47" t="s">
        <v>90</v>
      </c>
      <c r="G7" s="47" t="s">
        <v>90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 x14ac:dyDescent="0.15">
      <c r="A8" s="47">
        <v>40019007</v>
      </c>
      <c r="B8" s="47">
        <v>1</v>
      </c>
      <c r="C8" s="47" t="s">
        <v>89</v>
      </c>
      <c r="D8" s="47">
        <v>100</v>
      </c>
      <c r="E8" s="47" t="s">
        <v>224</v>
      </c>
      <c r="F8" s="47" t="s">
        <v>90</v>
      </c>
      <c r="G8" s="47">
        <v>1</v>
      </c>
      <c r="H8" s="47" t="s">
        <v>90</v>
      </c>
      <c r="I8" s="47" t="s">
        <v>90</v>
      </c>
      <c r="J8" s="48">
        <f t="shared" si="1"/>
        <v>100</v>
      </c>
    </row>
    <row r="9" spans="1:11" ht="21" customHeight="1" x14ac:dyDescent="0.15">
      <c r="A9" s="47">
        <v>40019008</v>
      </c>
      <c r="B9" s="47">
        <v>0</v>
      </c>
      <c r="C9" s="47" t="s">
        <v>89</v>
      </c>
      <c r="D9" s="47">
        <v>100</v>
      </c>
      <c r="E9" s="47" t="s">
        <v>224</v>
      </c>
      <c r="F9" s="47" t="s">
        <v>90</v>
      </c>
      <c r="G9" s="47" t="s">
        <v>90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40019009</v>
      </c>
      <c r="B10" s="47">
        <v>1</v>
      </c>
      <c r="C10" s="47" t="s">
        <v>89</v>
      </c>
      <c r="D10" s="47">
        <v>100</v>
      </c>
      <c r="E10" s="47" t="s">
        <v>224</v>
      </c>
      <c r="F10" s="47" t="s">
        <v>90</v>
      </c>
      <c r="G10" s="47">
        <v>1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 x14ac:dyDescent="0.15">
      <c r="A11" s="47">
        <v>40019010</v>
      </c>
      <c r="B11" s="47">
        <v>0</v>
      </c>
      <c r="C11" s="47" t="s">
        <v>89</v>
      </c>
      <c r="D11" s="47">
        <v>100</v>
      </c>
      <c r="E11" s="47" t="s">
        <v>224</v>
      </c>
      <c r="F11" s="47" t="s">
        <v>90</v>
      </c>
      <c r="G11" s="47" t="s">
        <v>90</v>
      </c>
      <c r="H11" s="47" t="s">
        <v>90</v>
      </c>
      <c r="I11" s="47" t="s">
        <v>90</v>
      </c>
      <c r="J11" s="48">
        <f t="shared" si="1"/>
        <v>100</v>
      </c>
    </row>
    <row r="12" spans="1:11" ht="21" customHeight="1" x14ac:dyDescent="0.15">
      <c r="A12" s="47">
        <v>40019011</v>
      </c>
      <c r="B12" s="47">
        <v>1</v>
      </c>
      <c r="C12" s="47" t="s">
        <v>89</v>
      </c>
      <c r="D12" s="47">
        <v>100</v>
      </c>
      <c r="E12" s="47" t="s">
        <v>224</v>
      </c>
      <c r="F12" s="47" t="s">
        <v>90</v>
      </c>
      <c r="G12" s="47">
        <v>1</v>
      </c>
      <c r="H12" s="47" t="s">
        <v>90</v>
      </c>
      <c r="I12" s="47" t="s">
        <v>90</v>
      </c>
      <c r="J12" s="48">
        <f t="shared" si="1"/>
        <v>100</v>
      </c>
    </row>
    <row r="13" spans="1:11" ht="21" customHeight="1" x14ac:dyDescent="0.15">
      <c r="A13" s="47">
        <v>40019012</v>
      </c>
      <c r="B13" s="47">
        <v>0</v>
      </c>
      <c r="C13" s="47">
        <v>4</v>
      </c>
      <c r="D13" s="47">
        <v>40</v>
      </c>
      <c r="E13" s="47" t="s">
        <v>224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1"/>
        <v>40</v>
      </c>
    </row>
    <row r="14" spans="1:11" ht="21" customHeight="1" x14ac:dyDescent="0.15">
      <c r="A14" s="47">
        <v>40019013</v>
      </c>
      <c r="B14" s="47">
        <v>0</v>
      </c>
      <c r="C14" s="47">
        <v>3</v>
      </c>
      <c r="D14" s="47">
        <v>40</v>
      </c>
      <c r="E14" s="47" t="s">
        <v>224</v>
      </c>
      <c r="F14" s="47" t="s">
        <v>90</v>
      </c>
      <c r="G14" s="47" t="s">
        <v>90</v>
      </c>
      <c r="H14" s="47" t="s">
        <v>90</v>
      </c>
      <c r="I14" s="47" t="s">
        <v>90</v>
      </c>
      <c r="J14" s="48">
        <f t="shared" si="1"/>
        <v>40</v>
      </c>
    </row>
    <row r="15" spans="1:11" ht="21" customHeight="1" x14ac:dyDescent="0.15">
      <c r="A15" s="47">
        <v>40019014</v>
      </c>
      <c r="B15" s="47">
        <v>0</v>
      </c>
      <c r="C15" s="47">
        <v>2</v>
      </c>
      <c r="D15" s="47">
        <v>40</v>
      </c>
      <c r="E15" s="47" t="s">
        <v>224</v>
      </c>
      <c r="F15" s="47" t="s">
        <v>90</v>
      </c>
      <c r="G15" s="47" t="s">
        <v>90</v>
      </c>
      <c r="H15" s="47" t="s">
        <v>90</v>
      </c>
      <c r="I15" s="47" t="s">
        <v>90</v>
      </c>
      <c r="J15" s="48">
        <f t="shared" si="1"/>
        <v>40</v>
      </c>
    </row>
    <row r="16" spans="1:11" ht="21" customHeight="1" x14ac:dyDescent="0.15">
      <c r="A16" s="47">
        <v>40019015</v>
      </c>
      <c r="B16" s="47">
        <v>0</v>
      </c>
      <c r="C16" s="47">
        <v>1</v>
      </c>
      <c r="D16" s="47">
        <v>100</v>
      </c>
      <c r="E16" s="47" t="s">
        <v>224</v>
      </c>
      <c r="F16" s="47" t="s">
        <v>90</v>
      </c>
      <c r="G16" s="47" t="s">
        <v>90</v>
      </c>
      <c r="H16" s="47" t="s">
        <v>90</v>
      </c>
      <c r="I16" s="47" t="s">
        <v>90</v>
      </c>
      <c r="J16" s="48">
        <f t="shared" si="1"/>
        <v>100</v>
      </c>
    </row>
    <row r="17" spans="1:10" ht="21" customHeight="1" x14ac:dyDescent="0.15">
      <c r="A17" s="47">
        <v>40019016</v>
      </c>
      <c r="B17" s="47">
        <v>0</v>
      </c>
      <c r="C17" s="47">
        <v>5</v>
      </c>
      <c r="D17" s="47">
        <v>100</v>
      </c>
      <c r="E17" s="47">
        <v>50</v>
      </c>
      <c r="F17" s="47" t="s">
        <v>90</v>
      </c>
      <c r="G17" s="47">
        <v>1</v>
      </c>
      <c r="H17" s="47" t="s">
        <v>90</v>
      </c>
      <c r="I17" s="47" t="s">
        <v>90</v>
      </c>
      <c r="J17" s="48">
        <f t="shared" si="1"/>
        <v>100</v>
      </c>
    </row>
    <row r="18" spans="1:10" ht="21" customHeight="1" x14ac:dyDescent="0.15">
      <c r="A18" s="47">
        <v>40019017</v>
      </c>
      <c r="B18" s="47">
        <v>1</v>
      </c>
      <c r="C18" s="47" t="s">
        <v>89</v>
      </c>
      <c r="D18" s="47">
        <v>100</v>
      </c>
      <c r="E18" s="47" t="s">
        <v>224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 x14ac:dyDescent="0.15">
      <c r="A19" s="47">
        <v>40019018</v>
      </c>
      <c r="B19" s="47">
        <v>0</v>
      </c>
      <c r="C19" s="47">
        <v>4</v>
      </c>
      <c r="D19" s="47">
        <v>40</v>
      </c>
      <c r="E19" s="47" t="s">
        <v>224</v>
      </c>
      <c r="F19" s="47" t="s">
        <v>90</v>
      </c>
      <c r="G19" s="47" t="s">
        <v>90</v>
      </c>
      <c r="H19" s="47" t="s">
        <v>90</v>
      </c>
      <c r="I19" s="47" t="s">
        <v>90</v>
      </c>
      <c r="J19" s="48">
        <f t="shared" si="1"/>
        <v>40</v>
      </c>
    </row>
    <row r="20" spans="1:10" ht="21" customHeight="1" x14ac:dyDescent="0.15">
      <c r="A20" s="47">
        <v>40019019</v>
      </c>
      <c r="B20" s="47">
        <v>0</v>
      </c>
      <c r="C20" s="47">
        <v>3</v>
      </c>
      <c r="D20" s="47">
        <v>40</v>
      </c>
      <c r="E20" s="47" t="s">
        <v>224</v>
      </c>
      <c r="F20" s="47" t="s">
        <v>90</v>
      </c>
      <c r="G20" s="47" t="s">
        <v>90</v>
      </c>
      <c r="H20" s="47" t="s">
        <v>90</v>
      </c>
      <c r="I20" s="47" t="s">
        <v>90</v>
      </c>
      <c r="J20" s="48">
        <f t="shared" si="1"/>
        <v>40</v>
      </c>
    </row>
    <row r="21" spans="1:10" ht="21" customHeight="1" x14ac:dyDescent="0.15">
      <c r="A21" s="47">
        <v>40019020</v>
      </c>
      <c r="B21" s="47">
        <v>0</v>
      </c>
      <c r="C21" s="47">
        <v>2</v>
      </c>
      <c r="D21" s="47">
        <v>40</v>
      </c>
      <c r="E21" s="47" t="s">
        <v>224</v>
      </c>
      <c r="F21" s="47" t="s">
        <v>90</v>
      </c>
      <c r="G21" s="47" t="s">
        <v>90</v>
      </c>
      <c r="H21" s="47" t="s">
        <v>90</v>
      </c>
      <c r="I21" s="47" t="s">
        <v>90</v>
      </c>
      <c r="J21" s="48">
        <f t="shared" si="1"/>
        <v>40</v>
      </c>
    </row>
    <row r="22" spans="1:10" ht="21" customHeight="1" x14ac:dyDescent="0.15">
      <c r="A22" s="47">
        <v>40019021</v>
      </c>
      <c r="B22" s="47">
        <v>0</v>
      </c>
      <c r="C22" s="47">
        <v>6</v>
      </c>
      <c r="D22" s="47">
        <v>100</v>
      </c>
      <c r="E22" s="47">
        <v>50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1"/>
        <v>100</v>
      </c>
    </row>
    <row r="23" spans="1:10" ht="21" customHeight="1" x14ac:dyDescent="0.15">
      <c r="A23" s="47">
        <v>40019022</v>
      </c>
      <c r="B23" s="47">
        <v>0</v>
      </c>
      <c r="C23" s="47">
        <v>5</v>
      </c>
      <c r="D23" s="47">
        <v>100</v>
      </c>
      <c r="E23" s="47">
        <v>50</v>
      </c>
      <c r="F23" s="47" t="s">
        <v>90</v>
      </c>
      <c r="G23" s="47" t="s">
        <v>225</v>
      </c>
      <c r="H23" s="47" t="s">
        <v>90</v>
      </c>
      <c r="I23" s="47" t="s">
        <v>90</v>
      </c>
      <c r="J23" s="48">
        <f t="shared" si="1"/>
        <v>100</v>
      </c>
    </row>
    <row r="24" spans="1:10" ht="21" customHeight="1" x14ac:dyDescent="0.15">
      <c r="A24" s="47">
        <v>40019023</v>
      </c>
      <c r="B24" s="47">
        <v>1</v>
      </c>
      <c r="C24" s="47" t="s">
        <v>89</v>
      </c>
      <c r="D24" s="47">
        <v>100</v>
      </c>
      <c r="E24" s="47" t="s">
        <v>224</v>
      </c>
      <c r="F24" s="47" t="s">
        <v>90</v>
      </c>
      <c r="G24" s="47">
        <v>1</v>
      </c>
      <c r="H24" s="47" t="s">
        <v>90</v>
      </c>
      <c r="I24" s="47" t="s">
        <v>90</v>
      </c>
      <c r="J24" s="48">
        <f t="shared" si="1"/>
        <v>100</v>
      </c>
    </row>
    <row r="25" spans="1:10" ht="21" customHeight="1" x14ac:dyDescent="0.15">
      <c r="A25" s="47">
        <v>40019024</v>
      </c>
      <c r="B25" s="47">
        <v>0</v>
      </c>
      <c r="C25" s="47" t="s">
        <v>89</v>
      </c>
      <c r="D25" s="47">
        <v>40</v>
      </c>
      <c r="E25" s="47" t="s">
        <v>224</v>
      </c>
      <c r="F25" s="47" t="s">
        <v>90</v>
      </c>
      <c r="G25" s="47" t="s">
        <v>90</v>
      </c>
      <c r="H25" s="47" t="s">
        <v>90</v>
      </c>
      <c r="I25" s="47" t="s">
        <v>90</v>
      </c>
      <c r="J25" s="48">
        <f t="shared" si="1"/>
        <v>40</v>
      </c>
    </row>
    <row r="26" spans="1:10" ht="21" customHeight="1" x14ac:dyDescent="0.15">
      <c r="A26" s="47">
        <v>40019025</v>
      </c>
      <c r="B26" s="47">
        <v>0</v>
      </c>
      <c r="C26" s="47" t="s">
        <v>89</v>
      </c>
      <c r="D26" s="47">
        <v>40</v>
      </c>
      <c r="E26" s="47" t="s">
        <v>224</v>
      </c>
      <c r="F26" s="47" t="s">
        <v>90</v>
      </c>
      <c r="G26" s="47" t="s">
        <v>90</v>
      </c>
      <c r="H26" s="47" t="s">
        <v>90</v>
      </c>
      <c r="I26" s="47" t="s">
        <v>90</v>
      </c>
      <c r="J26" s="48">
        <f t="shared" si="1"/>
        <v>40</v>
      </c>
    </row>
    <row r="27" spans="1:10" ht="21" customHeight="1" x14ac:dyDescent="0.15">
      <c r="A27" s="47">
        <v>40019026</v>
      </c>
      <c r="B27" s="47">
        <v>0</v>
      </c>
      <c r="C27" s="47" t="s">
        <v>89</v>
      </c>
      <c r="D27" s="47">
        <v>40</v>
      </c>
      <c r="E27" s="47" t="s">
        <v>224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1"/>
        <v>40</v>
      </c>
    </row>
    <row r="28" spans="1:10" ht="21" customHeight="1" x14ac:dyDescent="0.15">
      <c r="A28" s="47">
        <v>40019027</v>
      </c>
      <c r="B28" s="47">
        <v>0</v>
      </c>
      <c r="C28" s="47" t="s">
        <v>89</v>
      </c>
      <c r="D28" s="47">
        <v>100</v>
      </c>
      <c r="E28" s="47" t="s">
        <v>224</v>
      </c>
      <c r="F28" s="47" t="s">
        <v>90</v>
      </c>
      <c r="G28" s="47" t="s">
        <v>90</v>
      </c>
      <c r="H28" s="47" t="s">
        <v>90</v>
      </c>
      <c r="I28" s="47" t="s">
        <v>90</v>
      </c>
      <c r="J28" s="48">
        <f t="shared" si="1"/>
        <v>100</v>
      </c>
    </row>
    <row r="29" spans="1:10" ht="21" customHeight="1" x14ac:dyDescent="0.15">
      <c r="A29" s="47">
        <v>40019028</v>
      </c>
      <c r="B29" s="47">
        <v>0</v>
      </c>
      <c r="C29" s="47">
        <v>3</v>
      </c>
      <c r="D29" s="47">
        <v>100</v>
      </c>
      <c r="E29" s="47">
        <v>50</v>
      </c>
      <c r="F29" s="47" t="s">
        <v>90</v>
      </c>
      <c r="G29" s="47">
        <v>1</v>
      </c>
      <c r="H29" s="47" t="s">
        <v>90</v>
      </c>
      <c r="I29" s="47" t="s">
        <v>90</v>
      </c>
      <c r="J29" s="48">
        <f t="shared" si="1"/>
        <v>100</v>
      </c>
    </row>
    <row r="30" spans="1:10" ht="21" customHeight="1" x14ac:dyDescent="0.15">
      <c r="A30" s="47">
        <v>40019029</v>
      </c>
      <c r="B30" s="47">
        <v>0</v>
      </c>
      <c r="C30" s="47">
        <v>2</v>
      </c>
      <c r="D30" s="47">
        <v>100</v>
      </c>
      <c r="E30" s="47">
        <v>50</v>
      </c>
      <c r="F30" s="47" t="s">
        <v>90</v>
      </c>
      <c r="G30" s="47">
        <v>1</v>
      </c>
      <c r="H30" s="47" t="s">
        <v>90</v>
      </c>
      <c r="I30" s="47" t="s">
        <v>90</v>
      </c>
      <c r="J30" s="48">
        <f t="shared" si="1"/>
        <v>100</v>
      </c>
    </row>
    <row r="31" spans="1:10" ht="21" customHeight="1" x14ac:dyDescent="0.15">
      <c r="A31" s="47">
        <v>40019030</v>
      </c>
      <c r="B31" s="47">
        <v>0</v>
      </c>
      <c r="C31" s="47">
        <v>1</v>
      </c>
      <c r="D31" s="47">
        <v>100</v>
      </c>
      <c r="E31" s="47">
        <v>50</v>
      </c>
      <c r="F31" s="47" t="s">
        <v>90</v>
      </c>
      <c r="G31" s="47">
        <v>1</v>
      </c>
      <c r="H31" s="47" t="s">
        <v>90</v>
      </c>
      <c r="I31" s="47" t="s">
        <v>90</v>
      </c>
      <c r="J31" s="48">
        <f t="shared" si="1"/>
        <v>100</v>
      </c>
    </row>
  </sheetData>
  <autoFilter ref="A1:G1"/>
  <phoneticPr fontId="5"/>
  <conditionalFormatting sqref="K1:K3 K5:K1048576">
    <cfRule type="duplicateValues" dxfId="1" priority="2"/>
  </conditionalFormatting>
  <conditionalFormatting sqref="K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6"/>
  <sheetViews>
    <sheetView showGridLines="0" workbookViewId="0">
      <pane xSplit="5" ySplit="1" topLeftCell="F6" activePane="bottomRight" state="frozen"/>
      <selection pane="topRight"/>
      <selection pane="bottomLeft"/>
      <selection pane="bottomRight" activeCell="C32" sqref="C3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40019001_40019001</v>
      </c>
      <c r="B2" s="47">
        <v>40019001</v>
      </c>
      <c r="C2" s="47">
        <v>40019001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デルタクラスター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2" s="47">
        <v>40019001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2" si="1">B3&amp;"_"&amp;C3</f>
        <v>40019002_40019002</v>
      </c>
      <c r="B3" s="47">
        <v>40019002</v>
      </c>
      <c r="C3" s="47">
        <v>40019002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アルマゲドン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3" s="47">
        <v>40019002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40019003_40019003</v>
      </c>
      <c r="B4" s="47">
        <v>40019003</v>
      </c>
      <c r="C4" s="47">
        <v>40019003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ケキャ！邪魔ケキャ！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こちらを排除しようと襲いかかる！</v>
      </c>
      <c r="F4" s="47">
        <v>40019003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40019003_40019004</v>
      </c>
      <c r="B5" s="47">
        <v>40019003</v>
      </c>
      <c r="C5" s="47">
        <v>40019004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オメガドライブ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5" s="47">
        <v>40019004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40019004_40019005</v>
      </c>
      <c r="B6" s="47">
        <v>40019004</v>
      </c>
      <c r="C6" s="47">
        <v>40019005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どらごんぱわー！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5ターン敵ユニットの攻撃力UP</v>
      </c>
      <c r="F6" s="47">
        <v>40019005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40019004_40019006</v>
      </c>
      <c r="B7" s="47">
        <v>40019004</v>
      </c>
      <c r="C7" s="47">
        <v>40019006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どらごんぱんち！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7" s="47">
        <v>40019006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40019005_40019007</v>
      </c>
      <c r="B8" s="47">
        <v>40019005</v>
      </c>
      <c r="C8" s="47">
        <v>40019007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大蛇の大牙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5ターン攻撃力が70%DOWN</v>
      </c>
      <c r="F8" s="47">
        <v>40019007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40019005_40019008</v>
      </c>
      <c r="B9" s="47">
        <v>40019005</v>
      </c>
      <c r="C9" s="47">
        <v>40019008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スネークバレット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9" s="47">
        <v>40019008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40019006_40019009</v>
      </c>
      <c r="B10" s="47">
        <v>40019006</v>
      </c>
      <c r="C10" s="47">
        <v>40019009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邪龍睥睨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5ターンパネルタップ回数を1減少</v>
      </c>
      <c r="F10" s="47">
        <v>40019009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40019006_40019010</v>
      </c>
      <c r="B11" s="47">
        <v>40019006</v>
      </c>
      <c r="C11" s="47">
        <v>40019010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マンイーター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11" s="47">
        <v>40019010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40019007_40019011</v>
      </c>
      <c r="B12" s="47">
        <v>40019007</v>
      </c>
      <c r="C12" s="47">
        <v>40019011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我ガ前ニ立ツカ…　愚カナリ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防御力大UP＋5ターンパネルタップ回数を2減少</v>
      </c>
      <c r="F12" s="47">
        <v>40019011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40019007_40019012</v>
      </c>
      <c r="B13" s="47">
        <v>40019007</v>
      </c>
      <c r="C13" s="47">
        <v>40019012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剥奪の龍息【朱】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赤パネル吸収攻撃（最大20個まで）</v>
      </c>
      <c r="F13" s="47">
        <v>40019012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7"/>
      <c r="Q13" s="47"/>
      <c r="R13" s="47"/>
    </row>
    <row r="14" spans="1:18" ht="21" customHeight="1" x14ac:dyDescent="0.15">
      <c r="A14" s="39" t="str">
        <f t="shared" si="1"/>
        <v>40019007_40019013</v>
      </c>
      <c r="B14" s="47">
        <v>40019007</v>
      </c>
      <c r="C14" s="47">
        <v>40019013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剥奪の龍息【蒼】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青パネル吸収攻撃（最大20個まで）</v>
      </c>
      <c r="F14" s="47">
        <v>40019013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7"/>
      <c r="Q14" s="47"/>
      <c r="R14" s="47"/>
    </row>
    <row r="15" spans="1:18" ht="21" customHeight="1" x14ac:dyDescent="0.15">
      <c r="A15" s="39" t="str">
        <f t="shared" si="1"/>
        <v>40019007_40019014</v>
      </c>
      <c r="B15" s="47">
        <v>40019007</v>
      </c>
      <c r="C15" s="47">
        <v>40019014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剥奪の龍息【翠】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緑パネル吸収攻撃（最大20個まで）</v>
      </c>
      <c r="F15" s="47">
        <v>40019014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5" s="47"/>
      <c r="Q15" s="47"/>
      <c r="R15" s="47"/>
    </row>
    <row r="16" spans="1:18" ht="21" customHeight="1" x14ac:dyDescent="0.15">
      <c r="A16" s="39" t="str">
        <f t="shared" si="1"/>
        <v>40019007_40019015</v>
      </c>
      <c r="B16" s="47">
        <v>40019007</v>
      </c>
      <c r="C16" s="47">
        <v>40019015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無駄ダ！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単体攻撃＋ユニット1体を2ターンスキルバインド</v>
      </c>
      <c r="F16" s="47">
        <v>40019015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40019007_40019016</v>
      </c>
      <c r="B17" s="47">
        <v>40019007</v>
      </c>
      <c r="C17" s="47">
        <v>40019016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足リヌッ！足リヌワッ！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この戦闘の間攻撃頻度が1ターンにUP</v>
      </c>
      <c r="F17" s="47">
        <v>40019016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40019008_40019017</v>
      </c>
      <c r="B18" s="47">
        <v>40019008</v>
      </c>
      <c r="C18" s="47">
        <v>40019017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笑止！命ガ惜シクナイヨウダナ！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全てのプラス効果を解除＋5ターン攻撃力が50%DOWN</v>
      </c>
      <c r="F18" s="47">
        <v>40019017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40019008_40019018</v>
      </c>
      <c r="B19" s="47">
        <v>40019008</v>
      </c>
      <c r="C19" s="47">
        <v>40019018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簒奪の龍息【朱】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赤＆ハートパネル吸収攻撃（最大23個まで）</v>
      </c>
      <c r="F19" s="47">
        <v>40019018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7"/>
      <c r="Q19" s="47"/>
      <c r="R19" s="47"/>
    </row>
    <row r="20" spans="1:18" ht="21" customHeight="1" x14ac:dyDescent="0.15">
      <c r="A20" s="39" t="str">
        <f t="shared" si="1"/>
        <v>40019008_40019019</v>
      </c>
      <c r="B20" s="47">
        <v>40019008</v>
      </c>
      <c r="C20" s="47">
        <v>40019019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簒奪の龍息【蒼】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青＆ハートパネル吸収攻撃（最大23個まで）</v>
      </c>
      <c r="F20" s="47">
        <v>40019019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si="1"/>
        <v>40019008_40019020</v>
      </c>
      <c r="B21" s="47">
        <v>40019008</v>
      </c>
      <c r="C21" s="47">
        <v>40019020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簒奪の龍息【翠】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緑＆ハートパネル吸収攻撃（最大23個まで）</v>
      </c>
      <c r="F21" s="47">
        <v>40019020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1" s="47"/>
      <c r="Q21" s="47"/>
      <c r="R21" s="47"/>
    </row>
    <row r="22" spans="1:18" ht="21" customHeight="1" x14ac:dyDescent="0.15">
      <c r="A22" s="39" t="str">
        <f t="shared" ref="A22" si="3">B22&amp;"_"&amp;C22</f>
        <v>40019008_40019015</v>
      </c>
      <c r="B22" s="47">
        <v>40019008</v>
      </c>
      <c r="C22" s="47">
        <v>40019015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無駄ダ！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単体攻撃＋ユニット1体を2ターンスキルバインド</v>
      </c>
      <c r="F22" s="47">
        <v>40019015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40019008_40019021</v>
      </c>
      <c r="B23" s="47">
        <v>40019008</v>
      </c>
      <c r="C23" s="47">
        <v>40019021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工夫ガ足リンッ！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攻撃力＆防御力UP</v>
      </c>
      <c r="F23" s="47">
        <v>40019021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40019008_40019022</v>
      </c>
      <c r="B24" s="47">
        <v>40019008</v>
      </c>
      <c r="C24" s="47">
        <v>40019022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崩天牙撃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4" s="47">
        <v>40019022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40019009_40019023</v>
      </c>
      <c r="B25" s="47">
        <v>40019009</v>
      </c>
      <c r="C25" s="47">
        <v>40019023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跡形モナク消シ去ッテヤロウ！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全てのプラス効果を解除＋5ターン回復力が50%DOWN</v>
      </c>
      <c r="F25" s="47">
        <v>40019023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40019009_40019024</v>
      </c>
      <c r="B26" s="47">
        <v>40019009</v>
      </c>
      <c r="C26" s="47">
        <v>40019024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強奪の龍息【朱】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赤＆黄パネル吸収攻撃（最大23個まで）</v>
      </c>
      <c r="F26" s="47">
        <v>40019024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47"/>
      <c r="Q26" s="47"/>
      <c r="R26" s="47"/>
    </row>
    <row r="27" spans="1:18" ht="21" customHeight="1" x14ac:dyDescent="0.15">
      <c r="A27" s="39" t="str">
        <f t="shared" si="1"/>
        <v>40019009_40019025</v>
      </c>
      <c r="B27" s="47">
        <v>40019009</v>
      </c>
      <c r="C27" s="47">
        <v>40019025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強奪の龍息【蒼】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青＆黄パネル吸収攻撃（最大23個まで）</v>
      </c>
      <c r="F27" s="47">
        <v>40019025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7" s="47"/>
      <c r="Q27" s="47"/>
      <c r="R27" s="47"/>
    </row>
    <row r="28" spans="1:18" ht="21" customHeight="1" x14ac:dyDescent="0.15">
      <c r="A28" s="39" t="str">
        <f t="shared" si="1"/>
        <v>40019009_40019026</v>
      </c>
      <c r="B28" s="47">
        <v>40019009</v>
      </c>
      <c r="C28" s="47">
        <v>40019026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強奪の龍息【翠】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緑＆黄パネル吸収攻撃（最大23個まで）</v>
      </c>
      <c r="F28" s="47">
        <v>40019026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7"/>
      <c r="Q28" s="47"/>
      <c r="R28" s="47"/>
    </row>
    <row r="29" spans="1:18" ht="21" customHeight="1" x14ac:dyDescent="0.15">
      <c r="A29" s="39" t="str">
        <f t="shared" si="1"/>
        <v>40019009_40019027</v>
      </c>
      <c r="B29" s="47">
        <v>40019009</v>
      </c>
      <c r="C29" s="47">
        <v>40019027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足掻イテミセロ！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単体攻撃＋ユニット全体を1ターンスキルバインド</v>
      </c>
      <c r="F29" s="47">
        <v>40019027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40019009_40019028</v>
      </c>
      <c r="B30" s="47">
        <v>40019009</v>
      </c>
      <c r="C30" s="47">
        <v>40019028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我ガ力ノ為ノ贄トナレ…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1ターン防御力UP＆次ターンにパネル吸収して攻撃力UP</v>
      </c>
      <c r="F30" s="47">
        <v>40019028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40019009_40019029</v>
      </c>
      <c r="B31" s="47">
        <v>40019009</v>
      </c>
      <c r="C31" s="47">
        <v>40019029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破壊因子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緑パネル以外を吸収して攻撃力UP_x000D_1ターンの間緑パネルの出現率大UP</v>
      </c>
      <c r="F31" s="47">
        <v>40019029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40019009_40019030</v>
      </c>
      <c r="B32" s="47">
        <v>40019009</v>
      </c>
      <c r="C32" s="47">
        <v>40019030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塵芥トナリ果テロッッ！！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強力な緑パネル吸収攻撃（最大30個まで）</v>
      </c>
      <c r="F32" s="47">
        <v>40019030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" si="4">B33&amp;"_"&amp;C33</f>
        <v>40019010_40019004</v>
      </c>
      <c r="B33" s="47">
        <v>40019010</v>
      </c>
      <c r="C33" s="47">
        <v>40019004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オメガドライブ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33" s="47">
        <v>40019004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36" si="5">B34&amp;"_"&amp;C34</f>
        <v>40019011_40019006</v>
      </c>
      <c r="B34" s="47">
        <v>40019011</v>
      </c>
      <c r="C34" s="47">
        <v>40019006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どらごんぱんち！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34" s="47">
        <v>40019006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5"/>
        <v>40019012_40019008</v>
      </c>
      <c r="B35" s="47">
        <v>40019012</v>
      </c>
      <c r="C35" s="47">
        <v>40019008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スネークバレット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35" s="47">
        <v>40019008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5"/>
        <v>40019013_40019010</v>
      </c>
      <c r="B36" s="47">
        <v>40019013</v>
      </c>
      <c r="C36" s="47">
        <v>40019010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マンイーター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36" s="47">
        <v>40019010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tabSelected="1" workbookViewId="0">
      <selection activeCell="E26" sqref="E2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100">
        <f>floors!$C$2</f>
        <v>40019</v>
      </c>
      <c r="B2" s="101">
        <v>1</v>
      </c>
      <c r="C2" s="102" t="str">
        <f>A2&amp; "_"&amp;B2</f>
        <v>40019_1</v>
      </c>
      <c r="D2" s="103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1">
        <v>1</v>
      </c>
      <c r="F2" s="101" t="s">
        <v>169</v>
      </c>
      <c r="G2" s="104">
        <v>40000</v>
      </c>
      <c r="H2" s="101" t="s">
        <v>223</v>
      </c>
      <c r="I2" s="101">
        <v>1</v>
      </c>
      <c r="J2" s="101">
        <v>1</v>
      </c>
      <c r="K2" s="101">
        <v>0</v>
      </c>
      <c r="L2" s="101">
        <v>0</v>
      </c>
      <c r="M2" s="101">
        <v>0</v>
      </c>
      <c r="N2" s="101">
        <v>0</v>
      </c>
      <c r="O2" s="101">
        <v>1</v>
      </c>
      <c r="P2" s="101">
        <v>150</v>
      </c>
      <c r="Q2" s="101" t="s">
        <v>170</v>
      </c>
      <c r="R2" s="105" t="s">
        <v>171</v>
      </c>
    </row>
    <row r="3" spans="1:18" x14ac:dyDescent="0.15">
      <c r="A3" s="106">
        <f>floors!$C$2</f>
        <v>40019</v>
      </c>
      <c r="B3" s="57">
        <v>1</v>
      </c>
      <c r="C3" s="71" t="str">
        <f t="shared" ref="C3:C11" si="0">A3&amp; "_"&amp;B3</f>
        <v>40019_1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227</v>
      </c>
      <c r="G3" s="107">
        <v>30</v>
      </c>
      <c r="H3" s="57" t="s">
        <v>223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108" t="s">
        <v>171</v>
      </c>
    </row>
    <row r="4" spans="1:18" x14ac:dyDescent="0.15">
      <c r="A4" s="106">
        <f>floors!$C$2</f>
        <v>40019</v>
      </c>
      <c r="B4" s="57">
        <v>1</v>
      </c>
      <c r="C4" s="71" t="str">
        <f t="shared" si="0"/>
        <v>40019_1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228</v>
      </c>
      <c r="G4" s="107">
        <v>345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170</v>
      </c>
      <c r="R4" s="108" t="s">
        <v>171</v>
      </c>
    </row>
    <row r="5" spans="1:18" x14ac:dyDescent="0.15">
      <c r="A5" s="106">
        <f>floors!$C$2</f>
        <v>40019</v>
      </c>
      <c r="B5" s="57">
        <v>1</v>
      </c>
      <c r="C5" s="71" t="str">
        <f t="shared" si="0"/>
        <v>40019_1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228</v>
      </c>
      <c r="G5" s="107">
        <v>346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170</v>
      </c>
      <c r="R5" s="108" t="s">
        <v>171</v>
      </c>
    </row>
    <row r="6" spans="1:18" x14ac:dyDescent="0.15">
      <c r="A6" s="106">
        <f>floors!$C$2</f>
        <v>40019</v>
      </c>
      <c r="B6" s="57">
        <v>1</v>
      </c>
      <c r="C6" s="71" t="str">
        <f t="shared" si="0"/>
        <v>40019_1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228</v>
      </c>
      <c r="G6" s="10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63">
        <v>100</v>
      </c>
      <c r="Q6" s="57" t="s">
        <v>170</v>
      </c>
      <c r="R6" s="108" t="s">
        <v>171</v>
      </c>
    </row>
    <row r="7" spans="1:18" x14ac:dyDescent="0.15">
      <c r="A7" s="106">
        <f>floors!$C$2</f>
        <v>40019</v>
      </c>
      <c r="B7" s="57">
        <v>1</v>
      </c>
      <c r="C7" s="71" t="str">
        <f t="shared" si="0"/>
        <v>40019_1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228</v>
      </c>
      <c r="G7" s="10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63">
        <v>100</v>
      </c>
      <c r="Q7" s="57" t="s">
        <v>170</v>
      </c>
      <c r="R7" s="108" t="s">
        <v>171</v>
      </c>
    </row>
    <row r="8" spans="1:18" x14ac:dyDescent="0.15">
      <c r="A8" s="106">
        <f>floors!$C$2</f>
        <v>40019</v>
      </c>
      <c r="B8" s="57">
        <v>1</v>
      </c>
      <c r="C8" s="71" t="str">
        <f t="shared" si="0"/>
        <v>40019_1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228</v>
      </c>
      <c r="G8" s="10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63">
        <v>100</v>
      </c>
      <c r="Q8" s="57" t="s">
        <v>170</v>
      </c>
      <c r="R8" s="108" t="s">
        <v>171</v>
      </c>
    </row>
    <row r="9" spans="1:18" x14ac:dyDescent="0.15">
      <c r="A9" s="106">
        <f>floors!$C$2</f>
        <v>40019</v>
      </c>
      <c r="B9" s="57">
        <v>1</v>
      </c>
      <c r="C9" s="71" t="str">
        <f t="shared" si="0"/>
        <v>40019_1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228</v>
      </c>
      <c r="G9" s="10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108" t="s">
        <v>171</v>
      </c>
    </row>
    <row r="10" spans="1:18" x14ac:dyDescent="0.15">
      <c r="A10" s="106">
        <f>floors!$C$2</f>
        <v>40019</v>
      </c>
      <c r="B10" s="57">
        <v>1</v>
      </c>
      <c r="C10" s="71" t="str">
        <f t="shared" si="0"/>
        <v>40019_1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228</v>
      </c>
      <c r="G10" s="107">
        <v>740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63">
        <v>100</v>
      </c>
      <c r="Q10" s="57" t="s">
        <v>170</v>
      </c>
      <c r="R10" s="108" t="s">
        <v>171</v>
      </c>
    </row>
    <row r="11" spans="1:18" x14ac:dyDescent="0.15">
      <c r="A11" s="109">
        <f>floors!$C$2</f>
        <v>40019</v>
      </c>
      <c r="B11" s="110">
        <v>1</v>
      </c>
      <c r="C11" s="111" t="str">
        <f t="shared" si="0"/>
        <v>40019_1</v>
      </c>
      <c r="D11" s="112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0">
        <v>10</v>
      </c>
      <c r="F11" s="110" t="s">
        <v>228</v>
      </c>
      <c r="G11" s="113">
        <v>354</v>
      </c>
      <c r="H11" s="110">
        <v>1</v>
      </c>
      <c r="I11" s="110">
        <v>1</v>
      </c>
      <c r="J11" s="110">
        <v>1</v>
      </c>
      <c r="K11" s="110">
        <v>0</v>
      </c>
      <c r="L11" s="110">
        <v>0</v>
      </c>
      <c r="M11" s="110">
        <v>0</v>
      </c>
      <c r="N11" s="110">
        <v>0</v>
      </c>
      <c r="O11" s="110">
        <v>1</v>
      </c>
      <c r="P11" s="110">
        <v>150</v>
      </c>
      <c r="Q11" s="110" t="s">
        <v>170</v>
      </c>
      <c r="R11" s="114" t="s">
        <v>171</v>
      </c>
    </row>
    <row r="12" spans="1:18" x14ac:dyDescent="0.15">
      <c r="A12" s="106">
        <f>floors!$C$2</f>
        <v>40019</v>
      </c>
      <c r="B12" s="57">
        <v>2</v>
      </c>
      <c r="C12" s="71" t="str">
        <f t="shared" ref="C12:C18" si="1">A12&amp; "_"&amp;B12</f>
        <v>40019_2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</v>
      </c>
      <c r="F12" s="57" t="s">
        <v>228</v>
      </c>
      <c r="G12" s="107">
        <v>346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50</v>
      </c>
      <c r="Q12" s="57" t="s">
        <v>170</v>
      </c>
      <c r="R12" s="108" t="s">
        <v>171</v>
      </c>
    </row>
    <row r="13" spans="1:18" x14ac:dyDescent="0.15">
      <c r="A13" s="106">
        <f>floors!$C$2</f>
        <v>40019</v>
      </c>
      <c r="B13" s="57">
        <v>2</v>
      </c>
      <c r="C13" s="71" t="str">
        <f t="shared" si="1"/>
        <v>40019_2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2</v>
      </c>
      <c r="F13" s="57" t="s">
        <v>228</v>
      </c>
      <c r="G13" s="107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170</v>
      </c>
      <c r="R13" s="108" t="s">
        <v>171</v>
      </c>
    </row>
    <row r="14" spans="1:18" x14ac:dyDescent="0.15">
      <c r="A14" s="106">
        <f>floors!$C$2</f>
        <v>40019</v>
      </c>
      <c r="B14" s="57">
        <v>2</v>
      </c>
      <c r="C14" s="71" t="str">
        <f t="shared" si="1"/>
        <v>40019_2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3</v>
      </c>
      <c r="F14" s="57" t="s">
        <v>228</v>
      </c>
      <c r="G14" s="107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108" t="s">
        <v>171</v>
      </c>
    </row>
    <row r="15" spans="1:18" x14ac:dyDescent="0.15">
      <c r="A15" s="106">
        <f>floors!$C$2</f>
        <v>40019</v>
      </c>
      <c r="B15" s="57">
        <v>2</v>
      </c>
      <c r="C15" s="71" t="str">
        <f t="shared" si="1"/>
        <v>40019_2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4</v>
      </c>
      <c r="F15" s="57" t="s">
        <v>228</v>
      </c>
      <c r="G15" s="107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108" t="s">
        <v>171</v>
      </c>
    </row>
    <row r="16" spans="1:18" x14ac:dyDescent="0.15">
      <c r="A16" s="106">
        <f>floors!$C$2</f>
        <v>40019</v>
      </c>
      <c r="B16" s="57">
        <v>2</v>
      </c>
      <c r="C16" s="71" t="str">
        <f t="shared" si="1"/>
        <v>40019_2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5</v>
      </c>
      <c r="F16" s="57" t="s">
        <v>228</v>
      </c>
      <c r="G16" s="107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170</v>
      </c>
      <c r="R16" s="108" t="s">
        <v>171</v>
      </c>
    </row>
    <row r="17" spans="1:18" x14ac:dyDescent="0.15">
      <c r="A17" s="106">
        <f>floors!$C$2</f>
        <v>40019</v>
      </c>
      <c r="B17" s="57">
        <v>2</v>
      </c>
      <c r="C17" s="71" t="str">
        <f t="shared" si="1"/>
        <v>40019_2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6</v>
      </c>
      <c r="F17" s="57" t="s">
        <v>228</v>
      </c>
      <c r="G17" s="107">
        <v>740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170</v>
      </c>
      <c r="R17" s="108" t="s">
        <v>171</v>
      </c>
    </row>
    <row r="18" spans="1:18" ht="16" thickBot="1" x14ac:dyDescent="0.2">
      <c r="A18" s="115">
        <f>floors!$C$2</f>
        <v>40019</v>
      </c>
      <c r="B18" s="116">
        <v>2</v>
      </c>
      <c r="C18" s="117" t="str">
        <f t="shared" si="1"/>
        <v>40019_2</v>
      </c>
      <c r="D18" s="1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6">
        <v>7</v>
      </c>
      <c r="F18" s="116" t="s">
        <v>228</v>
      </c>
      <c r="G18" s="119">
        <v>354</v>
      </c>
      <c r="H18" s="116">
        <v>1</v>
      </c>
      <c r="I18" s="116">
        <v>1</v>
      </c>
      <c r="J18" s="116">
        <v>1</v>
      </c>
      <c r="K18" s="116">
        <v>0</v>
      </c>
      <c r="L18" s="116">
        <v>0</v>
      </c>
      <c r="M18" s="116">
        <v>0</v>
      </c>
      <c r="N18" s="116">
        <v>0</v>
      </c>
      <c r="O18" s="116">
        <v>1</v>
      </c>
      <c r="P18" s="116">
        <v>120</v>
      </c>
      <c r="Q18" s="116" t="s">
        <v>170</v>
      </c>
      <c r="R18" s="120" t="s">
        <v>171</v>
      </c>
    </row>
    <row r="19" spans="1:18" x14ac:dyDescent="0.15">
      <c r="A19" s="100">
        <f>floors!$C$2</f>
        <v>40019</v>
      </c>
      <c r="B19" s="101">
        <v>3</v>
      </c>
      <c r="C19" s="102" t="str">
        <f>A19&amp; "_"&amp;B19</f>
        <v>40019_3</v>
      </c>
      <c r="D19" s="103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01">
        <v>1</v>
      </c>
      <c r="F19" s="101" t="s">
        <v>169</v>
      </c>
      <c r="G19" s="104">
        <v>40000</v>
      </c>
      <c r="H19" s="101" t="s">
        <v>223</v>
      </c>
      <c r="I19" s="101">
        <v>1</v>
      </c>
      <c r="J19" s="101">
        <v>1</v>
      </c>
      <c r="K19" s="101">
        <v>0</v>
      </c>
      <c r="L19" s="101">
        <v>0</v>
      </c>
      <c r="M19" s="101">
        <v>0</v>
      </c>
      <c r="N19" s="101">
        <v>0</v>
      </c>
      <c r="O19" s="101">
        <v>1</v>
      </c>
      <c r="P19" s="101">
        <v>150</v>
      </c>
      <c r="Q19" s="101" t="s">
        <v>170</v>
      </c>
      <c r="R19" s="105" t="s">
        <v>171</v>
      </c>
    </row>
    <row r="20" spans="1:18" x14ac:dyDescent="0.15">
      <c r="A20" s="106">
        <f>floors!$C$2</f>
        <v>40019</v>
      </c>
      <c r="B20" s="57">
        <v>3</v>
      </c>
      <c r="C20" s="71" t="str">
        <f t="shared" ref="C20:C26" si="2">A20&amp; "_"&amp;B20</f>
        <v>40019_3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4</v>
      </c>
      <c r="F20" s="57" t="s">
        <v>228</v>
      </c>
      <c r="G20" s="107">
        <v>346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150</v>
      </c>
      <c r="Q20" s="57" t="s">
        <v>170</v>
      </c>
      <c r="R20" s="108" t="s">
        <v>171</v>
      </c>
    </row>
    <row r="21" spans="1:18" x14ac:dyDescent="0.15">
      <c r="A21" s="106">
        <f>floors!$C$2</f>
        <v>40019</v>
      </c>
      <c r="B21" s="57">
        <v>3</v>
      </c>
      <c r="C21" s="71" t="str">
        <f t="shared" si="2"/>
        <v>40019_3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5</v>
      </c>
      <c r="F21" s="57" t="s">
        <v>228</v>
      </c>
      <c r="G21" s="107">
        <v>607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100</v>
      </c>
      <c r="Q21" s="57" t="s">
        <v>170</v>
      </c>
      <c r="R21" s="108" t="s">
        <v>171</v>
      </c>
    </row>
    <row r="22" spans="1:18" x14ac:dyDescent="0.15">
      <c r="A22" s="106">
        <f>floors!$C$2</f>
        <v>40019</v>
      </c>
      <c r="B22" s="57">
        <v>3</v>
      </c>
      <c r="C22" s="71" t="str">
        <f t="shared" si="2"/>
        <v>40019_3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6</v>
      </c>
      <c r="F22" s="57" t="s">
        <v>228</v>
      </c>
      <c r="G22" s="107">
        <v>608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100</v>
      </c>
      <c r="Q22" s="57" t="s">
        <v>170</v>
      </c>
      <c r="R22" s="108" t="s">
        <v>171</v>
      </c>
    </row>
    <row r="23" spans="1:18" x14ac:dyDescent="0.15">
      <c r="A23" s="106">
        <f>floors!$C$2</f>
        <v>40019</v>
      </c>
      <c r="B23" s="57">
        <v>3</v>
      </c>
      <c r="C23" s="71" t="str">
        <f t="shared" si="2"/>
        <v>40019_3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7</v>
      </c>
      <c r="F23" s="57" t="s">
        <v>228</v>
      </c>
      <c r="G23" s="107">
        <v>609</v>
      </c>
      <c r="H23" s="57">
        <v>1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100</v>
      </c>
      <c r="Q23" s="57" t="s">
        <v>170</v>
      </c>
      <c r="R23" s="108" t="s">
        <v>171</v>
      </c>
    </row>
    <row r="24" spans="1:18" x14ac:dyDescent="0.15">
      <c r="A24" s="106">
        <f>floors!$C$2</f>
        <v>40019</v>
      </c>
      <c r="B24" s="57">
        <v>3</v>
      </c>
      <c r="C24" s="71" t="str">
        <f t="shared" si="2"/>
        <v>40019_3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8</v>
      </c>
      <c r="F24" s="57" t="s">
        <v>228</v>
      </c>
      <c r="G24" s="107">
        <v>125</v>
      </c>
      <c r="H24" s="57">
        <v>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30</v>
      </c>
      <c r="Q24" s="57" t="s">
        <v>170</v>
      </c>
      <c r="R24" s="108" t="s">
        <v>171</v>
      </c>
    </row>
    <row r="25" spans="1:18" x14ac:dyDescent="0.15">
      <c r="A25" s="106">
        <f>floors!$C$2</f>
        <v>40019</v>
      </c>
      <c r="B25" s="57">
        <v>3</v>
      </c>
      <c r="C25" s="71" t="str">
        <f t="shared" si="2"/>
        <v>40019_3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9</v>
      </c>
      <c r="F25" s="57" t="s">
        <v>228</v>
      </c>
      <c r="G25" s="107">
        <v>740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250</v>
      </c>
      <c r="Q25" s="57" t="s">
        <v>170</v>
      </c>
      <c r="R25" s="108" t="s">
        <v>171</v>
      </c>
    </row>
    <row r="26" spans="1:18" ht="16" thickBot="1" x14ac:dyDescent="0.2">
      <c r="A26" s="115">
        <f>floors!$C$2</f>
        <v>40019</v>
      </c>
      <c r="B26" s="116">
        <v>3</v>
      </c>
      <c r="C26" s="117" t="str">
        <f t="shared" si="2"/>
        <v>40019_3</v>
      </c>
      <c r="D26" s="1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16">
        <v>10</v>
      </c>
      <c r="F26" s="116" t="s">
        <v>228</v>
      </c>
      <c r="G26" s="119">
        <v>354</v>
      </c>
      <c r="H26" s="116">
        <v>1</v>
      </c>
      <c r="I26" s="116">
        <v>1</v>
      </c>
      <c r="J26" s="116">
        <v>1</v>
      </c>
      <c r="K26" s="116">
        <v>0</v>
      </c>
      <c r="L26" s="116">
        <v>0</v>
      </c>
      <c r="M26" s="116">
        <v>0</v>
      </c>
      <c r="N26" s="116">
        <v>0</v>
      </c>
      <c r="O26" s="116">
        <v>1</v>
      </c>
      <c r="P26" s="116">
        <v>120</v>
      </c>
      <c r="Q26" s="116" t="s">
        <v>170</v>
      </c>
      <c r="R26" s="120" t="s">
        <v>171</v>
      </c>
    </row>
  </sheetData>
  <phoneticPr fontId="5"/>
  <dataValidations count="1">
    <dataValidation type="list" allowBlank="1" showInputMessage="1" showErrorMessage="1" sqref="F2 F1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E5" sqref="E5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3" t="s">
        <v>189</v>
      </c>
      <c r="C1" s="78" t="s">
        <v>190</v>
      </c>
      <c r="D1" s="78" t="s">
        <v>33</v>
      </c>
      <c r="E1" s="73" t="s">
        <v>191</v>
      </c>
      <c r="F1" s="78" t="s">
        <v>192</v>
      </c>
      <c r="G1" s="78" t="s">
        <v>33</v>
      </c>
      <c r="H1" s="73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  <row r="2" spans="1:13" x14ac:dyDescent="0.15">
      <c r="A2" s="82" t="s">
        <v>201</v>
      </c>
      <c r="B2" s="83">
        <f>floors!$C$2</f>
        <v>40019</v>
      </c>
      <c r="C2" s="84" t="str">
        <f ca="1">VLOOKUP($B2,OFFSET([2]quests!$A$1,0,0,COUNTA([2]quests!$A:$A),MATCH(C$1,[2]quests!$1:$1,0)-MATCH($B$1,[2]quests!$1:$1,0)+1),MATCH(C$1,[2]quests!$1:$1,0)-MATCH($B$1,[2]quests!$1:$1,0)+1,FALSE)</f>
        <v>テュポーン襲来！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降臨19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降臨19</v>
      </c>
      <c r="H2" s="86">
        <v>0</v>
      </c>
      <c r="I2">
        <v>12</v>
      </c>
      <c r="J2" s="85" t="s">
        <v>198</v>
      </c>
      <c r="K2" s="94" t="str">
        <f>VLOOKUP(I2,[6]stage_hints!$A:$C,3,FALSE)</f>
        <v>ユニットのお気に入り登録</v>
      </c>
      <c r="L2" s="95" t="str">
        <f>VLOOKUP(I2,[6]stage_hints!$A:$D,4,FALSE)</f>
        <v>大事なユニットを誤って消さないように_x000D_フォルダから「お気に入り登録」しましょう</v>
      </c>
      <c r="M2" s="57" t="s">
        <v>211</v>
      </c>
    </row>
    <row r="3" spans="1:13" x14ac:dyDescent="0.15">
      <c r="A3" s="82" t="s">
        <v>201</v>
      </c>
      <c r="B3" s="83">
        <f>floors!$C$2</f>
        <v>40019</v>
      </c>
      <c r="C3" s="84" t="str">
        <f ca="1">VLOOKUP($B3,OFFSET([2]quests!$A$1,0,0,COUNTA([2]quests!$A:$A),MATCH(C$1,[2]quests!$1:$1,0)-MATCH($B$1,[2]quests!$1:$1,0)+1),MATCH(C$1,[2]quests!$1:$1,0)-MATCH($B$1,[2]quests!$1:$1,0)+1,FALSE)</f>
        <v>テュポーン襲来！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降臨19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降臨19</v>
      </c>
      <c r="H3" s="86">
        <v>0</v>
      </c>
      <c r="I3">
        <v>17</v>
      </c>
      <c r="J3" s="85" t="s">
        <v>198</v>
      </c>
      <c r="K3" s="94" t="str">
        <f>VLOOKUP(I3,[6]stage_hints!$A:$C,3,FALSE)</f>
        <v>リンクガチャ</v>
      </c>
      <c r="L3" s="95" t="str">
        <f>VLOOKUP(I3,[6]stage_hints!$A:$D,4,FALSE)</f>
        <v>無料のリンクガチャを回して_x000D_経験値素材や売却素材を獲得しましょう</v>
      </c>
      <c r="M3" s="57" t="s">
        <v>211</v>
      </c>
    </row>
    <row r="4" spans="1:13" x14ac:dyDescent="0.15">
      <c r="A4" s="82" t="s">
        <v>201</v>
      </c>
      <c r="B4" s="83">
        <f>floors!$C$2</f>
        <v>40019</v>
      </c>
      <c r="C4" s="84" t="str">
        <f ca="1">VLOOKUP($B4,OFFSET([2]quests!$A$1,0,0,COUNTA([2]quests!$A:$A),MATCH(C$1,[2]quests!$1:$1,0)-MATCH($B$1,[2]quests!$1:$1,0)+1),MATCH(C$1,[2]quests!$1:$1,0)-MATCH($B$1,[2]quests!$1:$1,0)+1,FALSE)</f>
        <v>テュポーン襲来！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降臨19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降臨19</v>
      </c>
      <c r="H4" s="86">
        <v>0</v>
      </c>
      <c r="I4">
        <v>19</v>
      </c>
      <c r="J4" s="85" t="s">
        <v>198</v>
      </c>
      <c r="K4" s="94" t="str">
        <f>VLOOKUP(I4,[6]stage_hints!$A:$C,3,FALSE)</f>
        <v>ソロ専用チャレンジタワー</v>
      </c>
      <c r="L4" s="95" t="str">
        <f>VLOOKUP(I4,[6]stage_hints!$A:$D,4,FALSE)</f>
        <v>ソロ専用の「チャレンジタワー」では_x000D_各フロアごとにクリア報酬がもらえます</v>
      </c>
      <c r="M4" s="57" t="s">
        <v>211</v>
      </c>
    </row>
    <row r="5" spans="1:13" x14ac:dyDescent="0.15">
      <c r="A5" s="82" t="s">
        <v>201</v>
      </c>
      <c r="B5" s="83">
        <f>floors!$C$2</f>
        <v>40019</v>
      </c>
      <c r="C5" s="84" t="str">
        <f ca="1">VLOOKUP($B5,OFFSET([2]quests!$A$1,0,0,COUNTA([2]quests!$A:$A),MATCH(C$1,[2]quests!$1:$1,0)-MATCH($B$1,[2]quests!$1:$1,0)+1),MATCH(C$1,[2]quests!$1:$1,0)-MATCH($B$1,[2]quests!$1:$1,0)+1,FALSE)</f>
        <v>テュポーン襲来！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降臨19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降臨19</v>
      </c>
      <c r="H5" s="86">
        <v>0</v>
      </c>
      <c r="I5">
        <v>21</v>
      </c>
      <c r="J5" s="85" t="s">
        <v>198</v>
      </c>
      <c r="K5" s="94" t="str">
        <f>VLOOKUP(I5,[6]stage_hints!$A:$C,3,FALSE)</f>
        <v>スキルを有効に</v>
      </c>
      <c r="L5" s="95" t="str">
        <f>VLOOKUP(I5,[6]stage_hints!$A:$D,4,FALSE)</f>
        <v>ターン経過でユニットのスキルが使えます_x000D_強力スキルでバトルを有利に進めましょう</v>
      </c>
      <c r="M5" s="57" t="s">
        <v>211</v>
      </c>
    </row>
    <row r="6" spans="1:13" x14ac:dyDescent="0.15">
      <c r="A6" s="82" t="s">
        <v>201</v>
      </c>
      <c r="B6" s="83">
        <f>floors!$C$2</f>
        <v>40019</v>
      </c>
      <c r="C6" s="84" t="str">
        <f ca="1">VLOOKUP($B6,OFFSET([2]quests!$A$1,0,0,COUNTA([2]quests!$A:$A),MATCH(C$1,[2]quests!$1:$1,0)-MATCH($B$1,[2]quests!$1:$1,0)+1),MATCH(C$1,[2]quests!$1:$1,0)-MATCH($B$1,[2]quests!$1:$1,0)+1,FALSE)</f>
        <v>テュポーン襲来！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降臨19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降臨19</v>
      </c>
      <c r="H6" s="86">
        <v>0</v>
      </c>
      <c r="I6">
        <v>29</v>
      </c>
      <c r="J6" s="85" t="s">
        <v>198</v>
      </c>
      <c r="K6" s="94" t="str">
        <f>VLOOKUP(I6,[6]stage_hints!$A:$C,3,FALSE)</f>
        <v>「バグ」のメリット</v>
      </c>
      <c r="L6" s="95" t="str">
        <f>VLOOKUP(I6,[6]stage_hints!$A:$D,4,FALSE)</f>
        <v>ユニットの「バグ」を増やすと_x000D_報酬をもらえる確率がアップします</v>
      </c>
      <c r="M6" s="57" t="s">
        <v>211</v>
      </c>
    </row>
    <row r="7" spans="1:13" x14ac:dyDescent="0.15">
      <c r="A7" s="82" t="s">
        <v>201</v>
      </c>
      <c r="B7" s="83">
        <f>floors!$C$2</f>
        <v>40019</v>
      </c>
      <c r="C7" s="84" t="str">
        <f ca="1">VLOOKUP($B7,OFFSET([2]quests!$A$1,0,0,COUNTA([2]quests!$A:$A),MATCH(C$1,[2]quests!$1:$1,0)-MATCH($B$1,[2]quests!$1:$1,0)+1),MATCH(C$1,[2]quests!$1:$1,0)-MATCH($B$1,[2]quests!$1:$1,0)+1,FALSE)</f>
        <v>テュポーン襲来！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降臨19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降臨19</v>
      </c>
      <c r="H7" s="86">
        <v>0</v>
      </c>
      <c r="I7">
        <v>30</v>
      </c>
      <c r="J7" s="85" t="s">
        <v>198</v>
      </c>
      <c r="K7" s="94" t="str">
        <f>VLOOKUP(I7,[6]stage_hints!$A:$C,3,FALSE)</f>
        <v>「バグ」の増やし方</v>
      </c>
      <c r="L7" s="95" t="str">
        <f>VLOOKUP(I7,[6]stage_hints!$A:$D,4,FALSE)</f>
        <v>同じユニット同士を強化で合成すると_x000D_「バグ」を増やすことができます</v>
      </c>
      <c r="M7" s="57" t="s">
        <v>211</v>
      </c>
    </row>
    <row r="8" spans="1:13" x14ac:dyDescent="0.15">
      <c r="A8" s="82" t="s">
        <v>201</v>
      </c>
      <c r="B8" s="83">
        <f>floors!$C$2</f>
        <v>40019</v>
      </c>
      <c r="C8" s="84" t="str">
        <f ca="1">VLOOKUP($B8,OFFSET([2]quests!$A$1,0,0,COUNTA([2]quests!$A:$A),MATCH(C$1,[2]quests!$1:$1,0)-MATCH($B$1,[2]quests!$1:$1,0)+1),MATCH(C$1,[2]quests!$1:$1,0)-MATCH($B$1,[2]quests!$1:$1,0)+1,FALSE)</f>
        <v>テュポーン襲来！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降臨19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降臨19</v>
      </c>
      <c r="H8" s="86">
        <v>0</v>
      </c>
      <c r="I8">
        <v>32</v>
      </c>
      <c r="J8" s="85" t="s">
        <v>198</v>
      </c>
      <c r="K8" s="94" t="str">
        <f>VLOOKUP(I8,[6]stage_hints!$A:$C,3,FALSE)</f>
        <v>敵の連続攻撃には</v>
      </c>
      <c r="L8" s="95" t="str">
        <f>VLOOKUP(I8,[6]stage_hints!$A:$D,4,FALSE)</f>
        <v>カウンタースキルを持つユニットがいれば_x000D_ダメージ回数分の反撃ができます</v>
      </c>
      <c r="M8" s="57" t="s">
        <v>211</v>
      </c>
    </row>
    <row r="9" spans="1:13" x14ac:dyDescent="0.15">
      <c r="A9" s="82" t="s">
        <v>201</v>
      </c>
      <c r="B9" s="83">
        <f>floors!$C$2</f>
        <v>40019</v>
      </c>
      <c r="C9" s="84" t="str">
        <f ca="1">VLOOKUP($B9,OFFSET([2]quests!$A$1,0,0,COUNTA([2]quests!$A:$A),MATCH(C$1,[2]quests!$1:$1,0)-MATCH($B$1,[2]quests!$1:$1,0)+1),MATCH(C$1,[2]quests!$1:$1,0)-MATCH($B$1,[2]quests!$1:$1,0)+1,FALSE)</f>
        <v>テュポーン襲来！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降臨19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降臨19</v>
      </c>
      <c r="H9" s="86">
        <v>0</v>
      </c>
      <c r="I9">
        <v>33</v>
      </c>
      <c r="J9" s="85" t="s">
        <v>198</v>
      </c>
      <c r="K9" s="94" t="str">
        <f>VLOOKUP(I9,[6]stage_hints!$A:$C,3,FALSE)</f>
        <v>敵のカウンター攻撃には</v>
      </c>
      <c r="L9" s="95" t="str">
        <f>VLOOKUP(I9,[6]stage_hints!$A:$D,4,FALSE)</f>
        <v>カウンターブレイクスキルを持っていれば_x000D_敵のカウンターを解除して攻撃ができます</v>
      </c>
      <c r="M9" s="57" t="s">
        <v>211</v>
      </c>
    </row>
    <row r="10" spans="1:13" x14ac:dyDescent="0.15">
      <c r="A10" s="82" t="s">
        <v>201</v>
      </c>
      <c r="B10" s="83">
        <f>floors!$C$2</f>
        <v>40019</v>
      </c>
      <c r="C10" s="84" t="str">
        <f ca="1">VLOOKUP($B10,OFFSET([2]quests!$A$1,0,0,COUNTA([2]quests!$A:$A),MATCH(C$1,[2]quests!$1:$1,0)-MATCH($B$1,[2]quests!$1:$1,0)+1),MATCH(C$1,[2]quests!$1:$1,0)-MATCH($B$1,[2]quests!$1:$1,0)+1,FALSE)</f>
        <v>テュポーン襲来！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降臨19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降臨19</v>
      </c>
      <c r="H10" s="86">
        <v>0</v>
      </c>
      <c r="I10">
        <v>34</v>
      </c>
      <c r="J10" s="85" t="s">
        <v>198</v>
      </c>
      <c r="K10" s="94" t="str">
        <f>VLOOKUP(I10,[6]stage_hints!$A:$C,3,FALSE)</f>
        <v>ステータスをスキルで下げられたら</v>
      </c>
      <c r="L10" s="95" t="str">
        <f>VLOOKUP(I10,[6]stage_hints!$A:$D,4,FALSE)</f>
        <v>ステータスダウンのスキルを受けたら_x000D_ステータスアップスキルで上書きしましょう</v>
      </c>
      <c r="M10" s="57" t="s">
        <v>211</v>
      </c>
    </row>
    <row r="11" spans="1:13" x14ac:dyDescent="0.15">
      <c r="A11" s="82" t="s">
        <v>201</v>
      </c>
      <c r="B11" s="83">
        <f>floors!$C$2</f>
        <v>40019</v>
      </c>
      <c r="C11" s="84" t="str">
        <f ca="1">VLOOKUP($B11,OFFSET([2]quests!$A$1,0,0,COUNTA([2]quests!$A:$A),MATCH(C$1,[2]quests!$1:$1,0)-MATCH($B$1,[2]quests!$1:$1,0)+1),MATCH(C$1,[2]quests!$1:$1,0)-MATCH($B$1,[2]quests!$1:$1,0)+1,FALSE)</f>
        <v>テュポーン襲来！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降臨19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降臨19</v>
      </c>
      <c r="H11" s="86">
        <v>0</v>
      </c>
      <c r="I11">
        <v>35</v>
      </c>
      <c r="J11" s="85" t="s">
        <v>198</v>
      </c>
      <c r="K11" s="94" t="str">
        <f>VLOOKUP(I11,[6]stage_hints!$A:$C,3,FALSE)</f>
        <v>敵のステータスがスキルで上がったら</v>
      </c>
      <c r="L11" s="95" t="str">
        <f>VLOOKUP(I11,[6]stage_hints!$A:$D,4,FALSE)</f>
        <v>敵のステータスがスキルでアップしたときは_x000D_ステータスダウンスキルで上書きしましょう</v>
      </c>
      <c r="M11" s="57" t="s">
        <v>211</v>
      </c>
    </row>
    <row r="12" spans="1:13" x14ac:dyDescent="0.15">
      <c r="A12" s="82" t="s">
        <v>201</v>
      </c>
      <c r="B12" s="83">
        <f>floors!$C$2</f>
        <v>40019</v>
      </c>
      <c r="C12" s="84" t="str">
        <f ca="1">VLOOKUP($B12,OFFSET([2]quests!$A$1,0,0,COUNTA([2]quests!$A:$A),MATCH(C$1,[2]quests!$1:$1,0)-MATCH($B$1,[2]quests!$1:$1,0)+1),MATCH(C$1,[2]quests!$1:$1,0)-MATCH($B$1,[2]quests!$1:$1,0)+1,FALSE)</f>
        <v>テュポーン襲来！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降臨19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降臨19</v>
      </c>
      <c r="H12" s="86">
        <v>0</v>
      </c>
      <c r="I12">
        <v>36</v>
      </c>
      <c r="J12" s="85" t="s">
        <v>198</v>
      </c>
      <c r="K12" s="94" t="str">
        <f>VLOOKUP(I12,[6]stage_hints!$A:$C,3,FALSE)</f>
        <v>チャレンジタワーのボス</v>
      </c>
      <c r="L12" s="95" t="str">
        <f>VLOOKUP(I12,[6]stage_hints!$A:$D,4,FALSE)</f>
        <v>チャレンジタワーでのみ登場するボスは_x000D_一定確率で獲得することができます</v>
      </c>
      <c r="M12" s="57" t="s">
        <v>211</v>
      </c>
    </row>
    <row r="13" spans="1:13" x14ac:dyDescent="0.15">
      <c r="A13" s="82" t="s">
        <v>201</v>
      </c>
      <c r="B13" s="83">
        <f>floors!$C$2</f>
        <v>40019</v>
      </c>
      <c r="C13" s="84" t="str">
        <f ca="1">VLOOKUP($B13,OFFSET([2]quests!$A$1,0,0,COUNTA([2]quests!$A:$A),MATCH(C$1,[2]quests!$1:$1,0)-MATCH($B$1,[2]quests!$1:$1,0)+1),MATCH(C$1,[2]quests!$1:$1,0)-MATCH($B$1,[2]quests!$1:$1,0)+1,FALSE)</f>
        <v>テュポーン襲来！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降臨19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降臨19</v>
      </c>
      <c r="H13" s="86">
        <v>0</v>
      </c>
      <c r="I13">
        <v>37</v>
      </c>
      <c r="J13" s="85" t="s">
        <v>198</v>
      </c>
      <c r="K13" s="94" t="str">
        <f>VLOOKUP(I13,[6]stage_hints!$A:$C,3,FALSE)</f>
        <v>限界突破値の引き継ぎ</v>
      </c>
      <c r="L13" s="95" t="str">
        <f>VLOOKUP(I13,[6]stage_hints!$A:$D,4,FALSE)</f>
        <v>同じユニットを強化で合成すると_x000D_限界突破値を引き継げます（覚醒前後も可）</v>
      </c>
      <c r="M13" s="57" t="s">
        <v>211</v>
      </c>
    </row>
    <row r="14" spans="1:13" x14ac:dyDescent="0.15">
      <c r="A14" s="82" t="s">
        <v>201</v>
      </c>
      <c r="B14" s="83">
        <f>floors!$C$2</f>
        <v>40019</v>
      </c>
      <c r="C14" s="84" t="str">
        <f ca="1">VLOOKUP($B14,OFFSET([2]quests!$A$1,0,0,COUNTA([2]quests!$A:$A),MATCH(C$1,[2]quests!$1:$1,0)-MATCH($B$1,[2]quests!$1:$1,0)+1),MATCH(C$1,[2]quests!$1:$1,0)-MATCH($B$1,[2]quests!$1:$1,0)+1,FALSE)</f>
        <v>テュポーン襲来！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降臨19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降臨19</v>
      </c>
      <c r="H14" s="86">
        <v>0</v>
      </c>
      <c r="I14">
        <v>39</v>
      </c>
      <c r="J14" s="85" t="s">
        <v>198</v>
      </c>
      <c r="K14" s="94" t="str">
        <f>VLOOKUP(I14,[6]stage_hints!$A:$C,3,FALSE)</f>
        <v>システム適合者を確認</v>
      </c>
      <c r="L14" s="95" t="str">
        <f>VLOOKUP(I14,[6]stage_hints!$A:$D,4,FALSE)</f>
        <v>ALICEが「アナタ」を呼んでいます</v>
      </c>
      <c r="M14" s="57" t="s">
        <v>211</v>
      </c>
    </row>
    <row r="15" spans="1:13" x14ac:dyDescent="0.15">
      <c r="A15" s="82" t="s">
        <v>201</v>
      </c>
      <c r="B15" s="83">
        <f>floors!$C$2</f>
        <v>40019</v>
      </c>
      <c r="C15" s="84" t="str">
        <f ca="1">VLOOKUP($B15,OFFSET([2]quests!$A$1,0,0,COUNTA([2]quests!$A:$A),MATCH(C$1,[2]quests!$1:$1,0)-MATCH($B$1,[2]quests!$1:$1,0)+1),MATCH(C$1,[2]quests!$1:$1,0)-MATCH($B$1,[2]quests!$1:$1,0)+1,FALSE)</f>
        <v>テュポーン襲来！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降臨19</v>
      </c>
      <c r="E15" s="88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降臨19</v>
      </c>
      <c r="H15" s="86">
        <v>0</v>
      </c>
      <c r="I15">
        <v>12</v>
      </c>
      <c r="J15" s="85" t="s">
        <v>198</v>
      </c>
      <c r="K15" s="94" t="str">
        <f>VLOOKUP(I15,[6]stage_hints!$A:$C,3,FALSE)</f>
        <v>ユニットのお気に入り登録</v>
      </c>
      <c r="L15" s="95" t="str">
        <f>VLOOKUP(I15,[6]stage_hints!$A:$D,4,FALSE)</f>
        <v>大事なユニットを誤って消さないように_x000D_フォルダから「お気に入り登録」しましょう</v>
      </c>
      <c r="M15" s="57" t="s">
        <v>211</v>
      </c>
    </row>
    <row r="16" spans="1:13" x14ac:dyDescent="0.15">
      <c r="A16" s="82" t="s">
        <v>201</v>
      </c>
      <c r="B16" s="83">
        <f>floors!$C$2</f>
        <v>40019</v>
      </c>
      <c r="C16" s="84" t="str">
        <f ca="1">VLOOKUP($B16,OFFSET([2]quests!$A$1,0,0,COUNTA([2]quests!$A:$A),MATCH(C$1,[2]quests!$1:$1,0)-MATCH($B$1,[2]quests!$1:$1,0)+1),MATCH(C$1,[2]quests!$1:$1,0)-MATCH($B$1,[2]quests!$1:$1,0)+1,FALSE)</f>
        <v>テュポーン襲来！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降臨19</v>
      </c>
      <c r="E16" s="88">
        <v>2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降臨19</v>
      </c>
      <c r="H16" s="86">
        <v>0</v>
      </c>
      <c r="I16">
        <v>17</v>
      </c>
      <c r="J16" s="85" t="s">
        <v>198</v>
      </c>
      <c r="K16" s="94" t="str">
        <f>VLOOKUP(I16,[6]stage_hints!$A:$C,3,FALSE)</f>
        <v>リンクガチャ</v>
      </c>
      <c r="L16" s="95" t="str">
        <f>VLOOKUP(I16,[6]stage_hints!$A:$D,4,FALSE)</f>
        <v>無料のリンクガチャを回して_x000D_経験値素材や売却素材を獲得しましょう</v>
      </c>
      <c r="M16" s="57" t="s">
        <v>211</v>
      </c>
    </row>
    <row r="17" spans="1:13" x14ac:dyDescent="0.15">
      <c r="A17" s="82" t="s">
        <v>201</v>
      </c>
      <c r="B17" s="83">
        <f>floors!$C$2</f>
        <v>40019</v>
      </c>
      <c r="C17" s="84" t="str">
        <f ca="1">VLOOKUP($B17,OFFSET([2]quests!$A$1,0,0,COUNTA([2]quests!$A:$A),MATCH(C$1,[2]quests!$1:$1,0)-MATCH($B$1,[2]quests!$1:$1,0)+1),MATCH(C$1,[2]quests!$1:$1,0)-MATCH($B$1,[2]quests!$1:$1,0)+1,FALSE)</f>
        <v>テュポーン襲来！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降臨19</v>
      </c>
      <c r="E17" s="88">
        <v>2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降臨19</v>
      </c>
      <c r="H17" s="86">
        <v>0</v>
      </c>
      <c r="I17">
        <v>19</v>
      </c>
      <c r="J17" s="85" t="s">
        <v>198</v>
      </c>
      <c r="K17" s="94" t="str">
        <f>VLOOKUP(I17,[6]stage_hints!$A:$C,3,FALSE)</f>
        <v>ソロ専用チャレンジタワー</v>
      </c>
      <c r="L17" s="95" t="str">
        <f>VLOOKUP(I17,[6]stage_hints!$A:$D,4,FALSE)</f>
        <v>ソロ専用の「チャレンジタワー」では_x000D_各フロアごとにクリア報酬がもらえます</v>
      </c>
      <c r="M17" s="57" t="s">
        <v>211</v>
      </c>
    </row>
    <row r="18" spans="1:13" x14ac:dyDescent="0.15">
      <c r="A18" s="82" t="s">
        <v>201</v>
      </c>
      <c r="B18" s="83">
        <f>floors!$C$2</f>
        <v>40019</v>
      </c>
      <c r="C18" s="84" t="str">
        <f ca="1">VLOOKUP($B18,OFFSET([2]quests!$A$1,0,0,COUNTA([2]quests!$A:$A),MATCH(C$1,[2]quests!$1:$1,0)-MATCH($B$1,[2]quests!$1:$1,0)+1),MATCH(C$1,[2]quests!$1:$1,0)-MATCH($B$1,[2]quests!$1:$1,0)+1,FALSE)</f>
        <v>テュポーン襲来！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降臨19</v>
      </c>
      <c r="E18" s="88">
        <v>2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降臨19</v>
      </c>
      <c r="H18" s="86">
        <v>0</v>
      </c>
      <c r="I18">
        <v>21</v>
      </c>
      <c r="J18" s="85" t="s">
        <v>198</v>
      </c>
      <c r="K18" s="94" t="str">
        <f>VLOOKUP(I18,[6]stage_hints!$A:$C,3,FALSE)</f>
        <v>スキルを有効に</v>
      </c>
      <c r="L18" s="95" t="str">
        <f>VLOOKUP(I18,[6]stage_hints!$A:$D,4,FALSE)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2" t="s">
        <v>201</v>
      </c>
      <c r="B19" s="83">
        <f>floors!$C$2</f>
        <v>40019</v>
      </c>
      <c r="C19" s="84" t="str">
        <f ca="1">VLOOKUP($B19,OFFSET([2]quests!$A$1,0,0,COUNTA([2]quests!$A:$A),MATCH(C$1,[2]quests!$1:$1,0)-MATCH($B$1,[2]quests!$1:$1,0)+1),MATCH(C$1,[2]quests!$1:$1,0)-MATCH($B$1,[2]quests!$1:$1,0)+1,FALSE)</f>
        <v>テュポーン襲来！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降臨19</v>
      </c>
      <c r="E19" s="88">
        <v>2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降臨19</v>
      </c>
      <c r="H19" s="86">
        <v>0</v>
      </c>
      <c r="I19">
        <v>29</v>
      </c>
      <c r="J19" s="85" t="s">
        <v>198</v>
      </c>
      <c r="K19" s="94" t="str">
        <f>VLOOKUP(I19,[6]stage_hints!$A:$C,3,FALSE)</f>
        <v>「バグ」のメリット</v>
      </c>
      <c r="L19" s="95" t="str">
        <f>VLOOKUP(I19,[6]stage_hints!$A:$D,4,FALSE)</f>
        <v>ユニットの「バグ」を増やすと_x000D_報酬をもらえる確率がアップします</v>
      </c>
      <c r="M19" s="57" t="s">
        <v>211</v>
      </c>
    </row>
    <row r="20" spans="1:13" x14ac:dyDescent="0.15">
      <c r="A20" s="82" t="s">
        <v>201</v>
      </c>
      <c r="B20" s="83">
        <f>floors!$C$2</f>
        <v>40019</v>
      </c>
      <c r="C20" s="84" t="str">
        <f ca="1">VLOOKUP($B20,OFFSET([2]quests!$A$1,0,0,COUNTA([2]quests!$A:$A),MATCH(C$1,[2]quests!$1:$1,0)-MATCH($B$1,[2]quests!$1:$1,0)+1),MATCH(C$1,[2]quests!$1:$1,0)-MATCH($B$1,[2]quests!$1:$1,0)+1,FALSE)</f>
        <v>テュポーン襲来！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降臨19</v>
      </c>
      <c r="E20" s="88">
        <v>2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降臨19</v>
      </c>
      <c r="H20" s="86">
        <v>0</v>
      </c>
      <c r="I20">
        <v>30</v>
      </c>
      <c r="J20" s="85" t="s">
        <v>198</v>
      </c>
      <c r="K20" s="94" t="str">
        <f>VLOOKUP(I20,[6]stage_hints!$A:$C,3,FALSE)</f>
        <v>「バグ」の増やし方</v>
      </c>
      <c r="L20" s="95" t="str">
        <f>VLOOKUP(I20,[6]stage_hints!$A:$D,4,FALSE)</f>
        <v>同じユニット同士を強化で合成すると_x000D_「バグ」を増やすことができます</v>
      </c>
      <c r="M20" s="57" t="s">
        <v>211</v>
      </c>
    </row>
    <row r="21" spans="1:13" x14ac:dyDescent="0.15">
      <c r="A21" s="82" t="s">
        <v>201</v>
      </c>
      <c r="B21" s="83">
        <f>floors!$C$2</f>
        <v>40019</v>
      </c>
      <c r="C21" s="84" t="str">
        <f ca="1">VLOOKUP($B21,OFFSET([2]quests!$A$1,0,0,COUNTA([2]quests!$A:$A),MATCH(C$1,[2]quests!$1:$1,0)-MATCH($B$1,[2]quests!$1:$1,0)+1),MATCH(C$1,[2]quests!$1:$1,0)-MATCH($B$1,[2]quests!$1:$1,0)+1,FALSE)</f>
        <v>テュポーン襲来！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降臨19</v>
      </c>
      <c r="E21" s="88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降臨19</v>
      </c>
      <c r="H21" s="86">
        <v>0</v>
      </c>
      <c r="I21">
        <v>32</v>
      </c>
      <c r="J21" s="85" t="s">
        <v>198</v>
      </c>
      <c r="K21" s="94" t="str">
        <f>VLOOKUP(I21,[6]stage_hints!$A:$C,3,FALSE)</f>
        <v>敵の連続攻撃には</v>
      </c>
      <c r="L21" s="95" t="str">
        <f>VLOOKUP(I21,[6]stage_hints!$A:$D,4,FALSE)</f>
        <v>カウンタースキルを持つユニットがいれば_x000D_ダメージ回数分の反撃ができます</v>
      </c>
      <c r="M21" s="57" t="s">
        <v>211</v>
      </c>
    </row>
    <row r="22" spans="1:13" x14ac:dyDescent="0.15">
      <c r="A22" s="82" t="s">
        <v>201</v>
      </c>
      <c r="B22" s="83">
        <f>floors!$C$2</f>
        <v>40019</v>
      </c>
      <c r="C22" s="84" t="str">
        <f ca="1">VLOOKUP($B22,OFFSET([2]quests!$A$1,0,0,COUNTA([2]quests!$A:$A),MATCH(C$1,[2]quests!$1:$1,0)-MATCH($B$1,[2]quests!$1:$1,0)+1),MATCH(C$1,[2]quests!$1:$1,0)-MATCH($B$1,[2]quests!$1:$1,0)+1,FALSE)</f>
        <v>テュポーン襲来！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降臨19</v>
      </c>
      <c r="E22" s="88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降臨19</v>
      </c>
      <c r="H22" s="86">
        <v>0</v>
      </c>
      <c r="I22">
        <v>33</v>
      </c>
      <c r="J22" s="85" t="s">
        <v>198</v>
      </c>
      <c r="K22" s="94" t="str">
        <f>VLOOKUP(I22,[6]stage_hints!$A:$C,3,FALSE)</f>
        <v>敵のカウンター攻撃には</v>
      </c>
      <c r="L22" s="95" t="str">
        <f>VLOOKUP(I22,[6]stage_hints!$A:$D,4,FALSE)</f>
        <v>カウンターブレイクスキルを持っていれば_x000D_敵のカウンターを解除して攻撃ができます</v>
      </c>
      <c r="M22" s="57" t="s">
        <v>211</v>
      </c>
    </row>
    <row r="23" spans="1:13" x14ac:dyDescent="0.15">
      <c r="A23" s="82" t="s">
        <v>201</v>
      </c>
      <c r="B23" s="83">
        <f>floors!$C$2</f>
        <v>40019</v>
      </c>
      <c r="C23" s="84" t="str">
        <f ca="1">VLOOKUP($B23,OFFSET([2]quests!$A$1,0,0,COUNTA([2]quests!$A:$A),MATCH(C$1,[2]quests!$1:$1,0)-MATCH($B$1,[2]quests!$1:$1,0)+1),MATCH(C$1,[2]quests!$1:$1,0)-MATCH($B$1,[2]quests!$1:$1,0)+1,FALSE)</f>
        <v>テュポーン襲来！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降臨19</v>
      </c>
      <c r="E23" s="88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降臨19</v>
      </c>
      <c r="H23" s="86">
        <v>0</v>
      </c>
      <c r="I23">
        <v>34</v>
      </c>
      <c r="J23" s="85" t="s">
        <v>198</v>
      </c>
      <c r="K23" s="94" t="str">
        <f>VLOOKUP(I23,[6]stage_hints!$A:$C,3,FALSE)</f>
        <v>ステータスをスキルで下げられたら</v>
      </c>
      <c r="L23" s="95" t="str">
        <f>VLOOKUP(I23,[6]stage_hints!$A:$D,4,FALSE)</f>
        <v>ステータスダウンのスキルを受けたら_x000D_ステータスアップスキルで上書きしましょう</v>
      </c>
      <c r="M23" s="57" t="s">
        <v>211</v>
      </c>
    </row>
    <row r="24" spans="1:13" x14ac:dyDescent="0.15">
      <c r="A24" s="82" t="s">
        <v>201</v>
      </c>
      <c r="B24" s="83">
        <f>floors!$C$2</f>
        <v>40019</v>
      </c>
      <c r="C24" s="84" t="str">
        <f ca="1">VLOOKUP($B24,OFFSET([2]quests!$A$1,0,0,COUNTA([2]quests!$A:$A),MATCH(C$1,[2]quests!$1:$1,0)-MATCH($B$1,[2]quests!$1:$1,0)+1),MATCH(C$1,[2]quests!$1:$1,0)-MATCH($B$1,[2]quests!$1:$1,0)+1,FALSE)</f>
        <v>テュポーン襲来！</v>
      </c>
      <c r="D24" s="84" t="str">
        <f ca="1">VLOOKUP($B24,OFFSET([2]quests!$A$1,0,0,COUNTA([2]quests!$A:$A),MATCH(D$1,[2]quests!$1:$1,0)-MATCH($B$1,[2]quests!$1:$1,0)+1),MATCH(D$1,[2]quests!$1:$1,0)-MATCH($B$1,[2]quests!$1:$1,0)+1,FALSE)</f>
        <v>降臨19</v>
      </c>
      <c r="E24" s="88">
        <v>2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降臨19</v>
      </c>
      <c r="H24" s="86">
        <v>0</v>
      </c>
      <c r="I24">
        <v>35</v>
      </c>
      <c r="J24" s="85" t="s">
        <v>198</v>
      </c>
      <c r="K24" s="94" t="str">
        <f>VLOOKUP(I24,[6]stage_hints!$A:$C,3,FALSE)</f>
        <v>敵のステータスがスキルで上がったら</v>
      </c>
      <c r="L24" s="95" t="str">
        <f>VLOOKUP(I24,[6]stage_hints!$A:$D,4,FALSE)</f>
        <v>敵のステータスがスキルでアップしたときは_x000D_ステータスダウンスキルで上書きしましょう</v>
      </c>
      <c r="M24" s="57" t="s">
        <v>211</v>
      </c>
    </row>
    <row r="25" spans="1:13" x14ac:dyDescent="0.15">
      <c r="A25" s="82" t="s">
        <v>201</v>
      </c>
      <c r="B25" s="83">
        <f>floors!$C$2</f>
        <v>40019</v>
      </c>
      <c r="C25" s="84" t="str">
        <f ca="1">VLOOKUP($B25,OFFSET([2]quests!$A$1,0,0,COUNTA([2]quests!$A:$A),MATCH(C$1,[2]quests!$1:$1,0)-MATCH($B$1,[2]quests!$1:$1,0)+1),MATCH(C$1,[2]quests!$1:$1,0)-MATCH($B$1,[2]quests!$1:$1,0)+1,FALSE)</f>
        <v>テュポーン襲来！</v>
      </c>
      <c r="D25" s="84" t="str">
        <f ca="1">VLOOKUP($B25,OFFSET([2]quests!$A$1,0,0,COUNTA([2]quests!$A:$A),MATCH(D$1,[2]quests!$1:$1,0)-MATCH($B$1,[2]quests!$1:$1,0)+1),MATCH(D$1,[2]quests!$1:$1,0)-MATCH($B$1,[2]quests!$1:$1,0)+1,FALSE)</f>
        <v>降臨19</v>
      </c>
      <c r="E25" s="88">
        <v>2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降臨19</v>
      </c>
      <c r="H25" s="86">
        <v>0</v>
      </c>
      <c r="I25">
        <v>36</v>
      </c>
      <c r="J25" s="85" t="s">
        <v>198</v>
      </c>
      <c r="K25" s="94" t="str">
        <f>VLOOKUP(I25,[6]stage_hints!$A:$C,3,FALSE)</f>
        <v>チャレンジタワーのボス</v>
      </c>
      <c r="L25" s="95" t="str">
        <f>VLOOKUP(I25,[6]stage_hints!$A:$D,4,FALSE)</f>
        <v>チャレンジタワーでのみ登場するボスは_x000D_一定確率で獲得することができます</v>
      </c>
      <c r="M25" s="57" t="s">
        <v>211</v>
      </c>
    </row>
    <row r="26" spans="1:13" x14ac:dyDescent="0.15">
      <c r="A26" s="82" t="s">
        <v>201</v>
      </c>
      <c r="B26" s="83">
        <f>floors!$C$2</f>
        <v>40019</v>
      </c>
      <c r="C26" s="84" t="str">
        <f ca="1">VLOOKUP($B26,OFFSET([2]quests!$A$1,0,0,COUNTA([2]quests!$A:$A),MATCH(C$1,[2]quests!$1:$1,0)-MATCH($B$1,[2]quests!$1:$1,0)+1),MATCH(C$1,[2]quests!$1:$1,0)-MATCH($B$1,[2]quests!$1:$1,0)+1,FALSE)</f>
        <v>テュポーン襲来！</v>
      </c>
      <c r="D26" s="84" t="str">
        <f ca="1">VLOOKUP($B26,OFFSET([2]quests!$A$1,0,0,COUNTA([2]quests!$A:$A),MATCH(D$1,[2]quests!$1:$1,0)-MATCH($B$1,[2]quests!$1:$1,0)+1),MATCH(D$1,[2]quests!$1:$1,0)-MATCH($B$1,[2]quests!$1:$1,0)+1,FALSE)</f>
        <v>降臨19</v>
      </c>
      <c r="E26" s="88">
        <v>2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降臨19</v>
      </c>
      <c r="H26" s="86">
        <v>0</v>
      </c>
      <c r="I26">
        <v>37</v>
      </c>
      <c r="J26" s="85" t="s">
        <v>198</v>
      </c>
      <c r="K26" s="94" t="str">
        <f>VLOOKUP(I26,[6]stage_hints!$A:$C,3,FALSE)</f>
        <v>限界突破値の引き継ぎ</v>
      </c>
      <c r="L26" s="95" t="str">
        <f>VLOOKUP(I26,[6]stage_hints!$A:$D,4,FALSE)</f>
        <v>同じユニットを強化で合成すると_x000D_限界突破値を引き継げます（覚醒前後も可）</v>
      </c>
      <c r="M26" s="57" t="s">
        <v>211</v>
      </c>
    </row>
    <row r="27" spans="1:13" x14ac:dyDescent="0.15">
      <c r="A27" s="82" t="s">
        <v>201</v>
      </c>
      <c r="B27" s="83">
        <f>floors!$C$2</f>
        <v>40019</v>
      </c>
      <c r="C27" s="84" t="str">
        <f ca="1">VLOOKUP($B27,OFFSET([2]quests!$A$1,0,0,COUNTA([2]quests!$A:$A),MATCH(C$1,[2]quests!$1:$1,0)-MATCH($B$1,[2]quests!$1:$1,0)+1),MATCH(C$1,[2]quests!$1:$1,0)-MATCH($B$1,[2]quests!$1:$1,0)+1,FALSE)</f>
        <v>テュポーン襲来！</v>
      </c>
      <c r="D27" s="84" t="str">
        <f ca="1">VLOOKUP($B27,OFFSET([2]quests!$A$1,0,0,COUNTA([2]quests!$A:$A),MATCH(D$1,[2]quests!$1:$1,0)-MATCH($B$1,[2]quests!$1:$1,0)+1),MATCH(D$1,[2]quests!$1:$1,0)-MATCH($B$1,[2]quests!$1:$1,0)+1,FALSE)</f>
        <v>降臨19</v>
      </c>
      <c r="E27" s="88">
        <v>2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降臨19</v>
      </c>
      <c r="H27" s="86">
        <v>0</v>
      </c>
      <c r="I27">
        <v>39</v>
      </c>
      <c r="J27" s="85" t="s">
        <v>198</v>
      </c>
      <c r="K27" s="94" t="str">
        <f>VLOOKUP(I27,[6]stage_hints!$A:$C,3,FALSE)</f>
        <v>システム適合者を確認</v>
      </c>
      <c r="L27" s="95" t="str">
        <f>VLOOKUP(I27,[6]stage_hints!$A:$D,4,FALSE)</f>
        <v>ALICEが「アナタ」を呼んでいます</v>
      </c>
      <c r="M27" s="57" t="s">
        <v>211</v>
      </c>
    </row>
    <row r="28" spans="1:13" x14ac:dyDescent="0.15">
      <c r="A28" s="82" t="s">
        <v>201</v>
      </c>
      <c r="B28" s="83">
        <f>floors!$C$2</f>
        <v>40019</v>
      </c>
      <c r="C28" s="84" t="str">
        <f ca="1">VLOOKUP($B28,OFFSET([2]quests!$A$1,0,0,COUNTA([2]quests!$A:$A),MATCH(C$1,[2]quests!$1:$1,0)-MATCH($B$1,[2]quests!$1:$1,0)+1),MATCH(C$1,[2]quests!$1:$1,0)-MATCH($B$1,[2]quests!$1:$1,0)+1,FALSE)</f>
        <v>テュポーン襲来！</v>
      </c>
      <c r="D28" s="84" t="str">
        <f ca="1">VLOOKUP($B28,OFFSET([2]quests!$A$1,0,0,COUNTA([2]quests!$A:$A),MATCH(D$1,[2]quests!$1:$1,0)-MATCH($B$1,[2]quests!$1:$1,0)+1),MATCH(D$1,[2]quests!$1:$1,0)-MATCH($B$1,[2]quests!$1:$1,0)+1,FALSE)</f>
        <v>降臨19</v>
      </c>
      <c r="E28" s="88">
        <v>3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降臨19</v>
      </c>
      <c r="H28" s="86">
        <v>0</v>
      </c>
      <c r="I28">
        <v>12</v>
      </c>
      <c r="J28" s="85" t="s">
        <v>198</v>
      </c>
      <c r="K28" s="94" t="str">
        <f>VLOOKUP(I28,[6]stage_hints!$A:$C,3,FALSE)</f>
        <v>ユニットのお気に入り登録</v>
      </c>
      <c r="L28" s="95" t="str">
        <f>VLOOKUP(I28,[6]stage_hints!$A:$D,4,FALSE)</f>
        <v>大事なユニットを誤って消さないように_x000D_フォルダから「お気に入り登録」しましょう</v>
      </c>
      <c r="M28" s="57" t="s">
        <v>211</v>
      </c>
    </row>
    <row r="29" spans="1:13" x14ac:dyDescent="0.15">
      <c r="A29" s="82" t="s">
        <v>201</v>
      </c>
      <c r="B29" s="83">
        <f>floors!$C$2</f>
        <v>40019</v>
      </c>
      <c r="C29" s="84" t="str">
        <f ca="1">VLOOKUP($B29,OFFSET([2]quests!$A$1,0,0,COUNTA([2]quests!$A:$A),MATCH(C$1,[2]quests!$1:$1,0)-MATCH($B$1,[2]quests!$1:$1,0)+1),MATCH(C$1,[2]quests!$1:$1,0)-MATCH($B$1,[2]quests!$1:$1,0)+1,FALSE)</f>
        <v>テュポーン襲来！</v>
      </c>
      <c r="D29" s="84" t="str">
        <f ca="1">VLOOKUP($B29,OFFSET([2]quests!$A$1,0,0,COUNTA([2]quests!$A:$A),MATCH(D$1,[2]quests!$1:$1,0)-MATCH($B$1,[2]quests!$1:$1,0)+1),MATCH(D$1,[2]quests!$1:$1,0)-MATCH($B$1,[2]quests!$1:$1,0)+1,FALSE)</f>
        <v>降臨19</v>
      </c>
      <c r="E29" s="88">
        <v>3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降臨19</v>
      </c>
      <c r="H29" s="86">
        <v>0</v>
      </c>
      <c r="I29">
        <v>17</v>
      </c>
      <c r="J29" s="85" t="s">
        <v>198</v>
      </c>
      <c r="K29" s="94" t="str">
        <f>VLOOKUP(I29,[6]stage_hints!$A:$C,3,FALSE)</f>
        <v>リンクガチャ</v>
      </c>
      <c r="L29" s="95" t="str">
        <f>VLOOKUP(I29,[6]stage_hints!$A:$D,4,FALSE)</f>
        <v>無料のリンクガチャを回して_x000D_経験値素材や売却素材を獲得しましょう</v>
      </c>
      <c r="M29" s="57" t="s">
        <v>211</v>
      </c>
    </row>
    <row r="30" spans="1:13" x14ac:dyDescent="0.15">
      <c r="A30" s="82" t="s">
        <v>201</v>
      </c>
      <c r="B30" s="83">
        <f>floors!$C$2</f>
        <v>40019</v>
      </c>
      <c r="C30" s="84" t="str">
        <f ca="1">VLOOKUP($B30,OFFSET([2]quests!$A$1,0,0,COUNTA([2]quests!$A:$A),MATCH(C$1,[2]quests!$1:$1,0)-MATCH($B$1,[2]quests!$1:$1,0)+1),MATCH(C$1,[2]quests!$1:$1,0)-MATCH($B$1,[2]quests!$1:$1,0)+1,FALSE)</f>
        <v>テュポーン襲来！</v>
      </c>
      <c r="D30" s="84" t="str">
        <f ca="1">VLOOKUP($B30,OFFSET([2]quests!$A$1,0,0,COUNTA([2]quests!$A:$A),MATCH(D$1,[2]quests!$1:$1,0)-MATCH($B$1,[2]quests!$1:$1,0)+1),MATCH(D$1,[2]quests!$1:$1,0)-MATCH($B$1,[2]quests!$1:$1,0)+1,FALSE)</f>
        <v>降臨19</v>
      </c>
      <c r="E30" s="88">
        <v>3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降臨19</v>
      </c>
      <c r="H30" s="86">
        <v>0</v>
      </c>
      <c r="I30">
        <v>19</v>
      </c>
      <c r="J30" s="85" t="s">
        <v>198</v>
      </c>
      <c r="K30" s="94" t="str">
        <f>VLOOKUP(I30,[6]stage_hints!$A:$C,3,FALSE)</f>
        <v>ソロ専用チャレンジタワー</v>
      </c>
      <c r="L30" s="95" t="str">
        <f>VLOOKUP(I30,[6]stage_hints!$A:$D,4,FALSE)</f>
        <v>ソロ専用の「チャレンジタワー」では_x000D_各フロアごとにクリア報酬がもらえます</v>
      </c>
      <c r="M30" s="57" t="s">
        <v>211</v>
      </c>
    </row>
    <row r="31" spans="1:13" x14ac:dyDescent="0.15">
      <c r="A31" s="82" t="s">
        <v>201</v>
      </c>
      <c r="B31" s="83">
        <f>floors!$C$2</f>
        <v>40019</v>
      </c>
      <c r="C31" s="84" t="str">
        <f ca="1">VLOOKUP($B31,OFFSET([2]quests!$A$1,0,0,COUNTA([2]quests!$A:$A),MATCH(C$1,[2]quests!$1:$1,0)-MATCH($B$1,[2]quests!$1:$1,0)+1),MATCH(C$1,[2]quests!$1:$1,0)-MATCH($B$1,[2]quests!$1:$1,0)+1,FALSE)</f>
        <v>テュポーン襲来！</v>
      </c>
      <c r="D31" s="84" t="str">
        <f ca="1">VLOOKUP($B31,OFFSET([2]quests!$A$1,0,0,COUNTA([2]quests!$A:$A),MATCH(D$1,[2]quests!$1:$1,0)-MATCH($B$1,[2]quests!$1:$1,0)+1),MATCH(D$1,[2]quests!$1:$1,0)-MATCH($B$1,[2]quests!$1:$1,0)+1,FALSE)</f>
        <v>降臨19</v>
      </c>
      <c r="E31" s="88">
        <v>3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降臨19</v>
      </c>
      <c r="H31" s="86">
        <v>0</v>
      </c>
      <c r="I31">
        <v>21</v>
      </c>
      <c r="J31" s="85" t="s">
        <v>198</v>
      </c>
      <c r="K31" s="94" t="str">
        <f>VLOOKUP(I31,[6]stage_hints!$A:$C,3,FALSE)</f>
        <v>スキルを有効に</v>
      </c>
      <c r="L31" s="95" t="str">
        <f>VLOOKUP(I31,[6]stage_hints!$A:$D,4,FALSE)</f>
        <v>ターン経過でユニットのスキルが使えます_x000D_強力スキルでバトルを有利に進めましょう</v>
      </c>
      <c r="M31" s="57" t="s">
        <v>211</v>
      </c>
    </row>
    <row r="32" spans="1:13" x14ac:dyDescent="0.15">
      <c r="A32" s="82" t="s">
        <v>201</v>
      </c>
      <c r="B32" s="83">
        <f>floors!$C$2</f>
        <v>40019</v>
      </c>
      <c r="C32" s="84" t="str">
        <f ca="1">VLOOKUP($B32,OFFSET([2]quests!$A$1,0,0,COUNTA([2]quests!$A:$A),MATCH(C$1,[2]quests!$1:$1,0)-MATCH($B$1,[2]quests!$1:$1,0)+1),MATCH(C$1,[2]quests!$1:$1,0)-MATCH($B$1,[2]quests!$1:$1,0)+1,FALSE)</f>
        <v>テュポーン襲来！</v>
      </c>
      <c r="D32" s="84" t="str">
        <f ca="1">VLOOKUP($B32,OFFSET([2]quests!$A$1,0,0,COUNTA([2]quests!$A:$A),MATCH(D$1,[2]quests!$1:$1,0)-MATCH($B$1,[2]quests!$1:$1,0)+1),MATCH(D$1,[2]quests!$1:$1,0)-MATCH($B$1,[2]quests!$1:$1,0)+1,FALSE)</f>
        <v>降臨19</v>
      </c>
      <c r="E32" s="88">
        <v>3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降臨19</v>
      </c>
      <c r="H32" s="86">
        <v>0</v>
      </c>
      <c r="I32">
        <v>29</v>
      </c>
      <c r="J32" s="85" t="s">
        <v>198</v>
      </c>
      <c r="K32" s="94" t="str">
        <f>VLOOKUP(I32,[6]stage_hints!$A:$C,3,FALSE)</f>
        <v>「バグ」のメリット</v>
      </c>
      <c r="L32" s="95" t="str">
        <f>VLOOKUP(I32,[6]stage_hints!$A:$D,4,FALSE)</f>
        <v>ユニットの「バグ」を増やすと_x000D_報酬をもらえる確率がアップします</v>
      </c>
      <c r="M32" s="57" t="s">
        <v>211</v>
      </c>
    </row>
    <row r="33" spans="1:13" x14ac:dyDescent="0.15">
      <c r="A33" s="82" t="s">
        <v>201</v>
      </c>
      <c r="B33" s="83">
        <f>floors!$C$2</f>
        <v>40019</v>
      </c>
      <c r="C33" s="84" t="str">
        <f ca="1">VLOOKUP($B33,OFFSET([2]quests!$A$1,0,0,COUNTA([2]quests!$A:$A),MATCH(C$1,[2]quests!$1:$1,0)-MATCH($B$1,[2]quests!$1:$1,0)+1),MATCH(C$1,[2]quests!$1:$1,0)-MATCH($B$1,[2]quests!$1:$1,0)+1,FALSE)</f>
        <v>テュポーン襲来！</v>
      </c>
      <c r="D33" s="84" t="str">
        <f ca="1">VLOOKUP($B33,OFFSET([2]quests!$A$1,0,0,COUNTA([2]quests!$A:$A),MATCH(D$1,[2]quests!$1:$1,0)-MATCH($B$1,[2]quests!$1:$1,0)+1),MATCH(D$1,[2]quests!$1:$1,0)-MATCH($B$1,[2]quests!$1:$1,0)+1,FALSE)</f>
        <v>降臨19</v>
      </c>
      <c r="E33" s="88">
        <v>3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降臨19</v>
      </c>
      <c r="H33" s="86">
        <v>0</v>
      </c>
      <c r="I33">
        <v>30</v>
      </c>
      <c r="J33" s="85" t="s">
        <v>198</v>
      </c>
      <c r="K33" s="94" t="str">
        <f>VLOOKUP(I33,[6]stage_hints!$A:$C,3,FALSE)</f>
        <v>「バグ」の増やし方</v>
      </c>
      <c r="L33" s="95" t="str">
        <f>VLOOKUP(I33,[6]stage_hints!$A:$D,4,FALSE)</f>
        <v>同じユニット同士を強化で合成すると_x000D_「バグ」を増やすことができます</v>
      </c>
      <c r="M33" s="57" t="s">
        <v>211</v>
      </c>
    </row>
    <row r="34" spans="1:13" x14ac:dyDescent="0.15">
      <c r="A34" s="82" t="s">
        <v>201</v>
      </c>
      <c r="B34" s="83">
        <f>floors!$C$2</f>
        <v>40019</v>
      </c>
      <c r="C34" s="84" t="str">
        <f ca="1">VLOOKUP($B34,OFFSET([2]quests!$A$1,0,0,COUNTA([2]quests!$A:$A),MATCH(C$1,[2]quests!$1:$1,0)-MATCH($B$1,[2]quests!$1:$1,0)+1),MATCH(C$1,[2]quests!$1:$1,0)-MATCH($B$1,[2]quests!$1:$1,0)+1,FALSE)</f>
        <v>テュポーン襲来！</v>
      </c>
      <c r="D34" s="84" t="str">
        <f ca="1">VLOOKUP($B34,OFFSET([2]quests!$A$1,0,0,COUNTA([2]quests!$A:$A),MATCH(D$1,[2]quests!$1:$1,0)-MATCH($B$1,[2]quests!$1:$1,0)+1),MATCH(D$1,[2]quests!$1:$1,0)-MATCH($B$1,[2]quests!$1:$1,0)+1,FALSE)</f>
        <v>降臨19</v>
      </c>
      <c r="E34" s="88">
        <v>3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降臨19</v>
      </c>
      <c r="H34" s="86">
        <v>0</v>
      </c>
      <c r="I34">
        <v>32</v>
      </c>
      <c r="J34" s="85" t="s">
        <v>198</v>
      </c>
      <c r="K34" s="94" t="str">
        <f>VLOOKUP(I34,[6]stage_hints!$A:$C,3,FALSE)</f>
        <v>敵の連続攻撃には</v>
      </c>
      <c r="L34" s="95" t="str">
        <f>VLOOKUP(I34,[6]stage_hints!$A:$D,4,FALSE)</f>
        <v>カウンタースキルを持つユニットがいれば_x000D_ダメージ回数分の反撃ができます</v>
      </c>
      <c r="M34" s="57" t="s">
        <v>211</v>
      </c>
    </row>
    <row r="35" spans="1:13" x14ac:dyDescent="0.15">
      <c r="A35" s="82" t="s">
        <v>201</v>
      </c>
      <c r="B35" s="83">
        <f>floors!$C$2</f>
        <v>40019</v>
      </c>
      <c r="C35" s="84" t="str">
        <f ca="1">VLOOKUP($B35,OFFSET([2]quests!$A$1,0,0,COUNTA([2]quests!$A:$A),MATCH(C$1,[2]quests!$1:$1,0)-MATCH($B$1,[2]quests!$1:$1,0)+1),MATCH(C$1,[2]quests!$1:$1,0)-MATCH($B$1,[2]quests!$1:$1,0)+1,FALSE)</f>
        <v>テュポーン襲来！</v>
      </c>
      <c r="D35" s="84" t="str">
        <f ca="1">VLOOKUP($B35,OFFSET([2]quests!$A$1,0,0,COUNTA([2]quests!$A:$A),MATCH(D$1,[2]quests!$1:$1,0)-MATCH($B$1,[2]quests!$1:$1,0)+1),MATCH(D$1,[2]quests!$1:$1,0)-MATCH($B$1,[2]quests!$1:$1,0)+1,FALSE)</f>
        <v>降臨19</v>
      </c>
      <c r="E35" s="88">
        <v>3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降臨19</v>
      </c>
      <c r="H35" s="86">
        <v>0</v>
      </c>
      <c r="I35">
        <v>33</v>
      </c>
      <c r="J35" s="85" t="s">
        <v>198</v>
      </c>
      <c r="K35" s="94" t="str">
        <f>VLOOKUP(I35,[6]stage_hints!$A:$C,3,FALSE)</f>
        <v>敵のカウンター攻撃には</v>
      </c>
      <c r="L35" s="95" t="str">
        <f>VLOOKUP(I35,[6]stage_hints!$A:$D,4,FALSE)</f>
        <v>カウンターブレイクスキルを持っていれば_x000D_敵のカウンターを解除して攻撃ができます</v>
      </c>
      <c r="M35" s="57" t="s">
        <v>211</v>
      </c>
    </row>
    <row r="36" spans="1:13" x14ac:dyDescent="0.15">
      <c r="A36" s="82" t="s">
        <v>201</v>
      </c>
      <c r="B36" s="83">
        <f>floors!$C$2</f>
        <v>40019</v>
      </c>
      <c r="C36" s="84" t="str">
        <f ca="1">VLOOKUP($B36,OFFSET([2]quests!$A$1,0,0,COUNTA([2]quests!$A:$A),MATCH(C$1,[2]quests!$1:$1,0)-MATCH($B$1,[2]quests!$1:$1,0)+1),MATCH(C$1,[2]quests!$1:$1,0)-MATCH($B$1,[2]quests!$1:$1,0)+1,FALSE)</f>
        <v>テュポーン襲来！</v>
      </c>
      <c r="D36" s="84" t="str">
        <f ca="1">VLOOKUP($B36,OFFSET([2]quests!$A$1,0,0,COUNTA([2]quests!$A:$A),MATCH(D$1,[2]quests!$1:$1,0)-MATCH($B$1,[2]quests!$1:$1,0)+1),MATCH(D$1,[2]quests!$1:$1,0)-MATCH($B$1,[2]quests!$1:$1,0)+1,FALSE)</f>
        <v>降臨19</v>
      </c>
      <c r="E36" s="88">
        <v>3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降臨19</v>
      </c>
      <c r="H36" s="86">
        <v>0</v>
      </c>
      <c r="I36">
        <v>34</v>
      </c>
      <c r="J36" s="85" t="s">
        <v>198</v>
      </c>
      <c r="K36" s="94" t="str">
        <f>VLOOKUP(I36,[6]stage_hints!$A:$C,3,FALSE)</f>
        <v>ステータスをスキルで下げられたら</v>
      </c>
      <c r="L36" s="95" t="str">
        <f>VLOOKUP(I36,[6]stage_hints!$A:$D,4,FALSE)</f>
        <v>ステータスダウンのスキルを受けたら_x000D_ステータスアップスキルで上書きしましょう</v>
      </c>
      <c r="M36" s="57" t="s">
        <v>211</v>
      </c>
    </row>
    <row r="37" spans="1:13" x14ac:dyDescent="0.15">
      <c r="A37" s="82" t="s">
        <v>201</v>
      </c>
      <c r="B37" s="83">
        <f>floors!$C$2</f>
        <v>40019</v>
      </c>
      <c r="C37" s="84" t="str">
        <f ca="1">VLOOKUP($B37,OFFSET([2]quests!$A$1,0,0,COUNTA([2]quests!$A:$A),MATCH(C$1,[2]quests!$1:$1,0)-MATCH($B$1,[2]quests!$1:$1,0)+1),MATCH(C$1,[2]quests!$1:$1,0)-MATCH($B$1,[2]quests!$1:$1,0)+1,FALSE)</f>
        <v>テュポーン襲来！</v>
      </c>
      <c r="D37" s="84" t="str">
        <f ca="1">VLOOKUP($B37,OFFSET([2]quests!$A$1,0,0,COUNTA([2]quests!$A:$A),MATCH(D$1,[2]quests!$1:$1,0)-MATCH($B$1,[2]quests!$1:$1,0)+1),MATCH(D$1,[2]quests!$1:$1,0)-MATCH($B$1,[2]quests!$1:$1,0)+1,FALSE)</f>
        <v>降臨19</v>
      </c>
      <c r="E37" s="88">
        <v>3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降臨19</v>
      </c>
      <c r="H37" s="86">
        <v>0</v>
      </c>
      <c r="I37">
        <v>35</v>
      </c>
      <c r="J37" s="85" t="s">
        <v>198</v>
      </c>
      <c r="K37" s="94" t="str">
        <f>VLOOKUP(I37,[6]stage_hints!$A:$C,3,FALSE)</f>
        <v>敵のステータスがスキルで上がったら</v>
      </c>
      <c r="L37" s="95" t="str">
        <f>VLOOKUP(I37,[6]stage_hints!$A:$D,4,FALSE)</f>
        <v>敵のステータスがスキルでアップしたときは_x000D_ステータスダウンスキルで上書きしましょう</v>
      </c>
      <c r="M37" s="57" t="s">
        <v>211</v>
      </c>
    </row>
    <row r="38" spans="1:13" x14ac:dyDescent="0.15">
      <c r="A38" s="82" t="s">
        <v>201</v>
      </c>
      <c r="B38" s="83">
        <f>floors!$C$2</f>
        <v>40019</v>
      </c>
      <c r="C38" s="84" t="str">
        <f ca="1">VLOOKUP($B38,OFFSET([2]quests!$A$1,0,0,COUNTA([2]quests!$A:$A),MATCH(C$1,[2]quests!$1:$1,0)-MATCH($B$1,[2]quests!$1:$1,0)+1),MATCH(C$1,[2]quests!$1:$1,0)-MATCH($B$1,[2]quests!$1:$1,0)+1,FALSE)</f>
        <v>テュポーン襲来！</v>
      </c>
      <c r="D38" s="84" t="str">
        <f ca="1">VLOOKUP($B38,OFFSET([2]quests!$A$1,0,0,COUNTA([2]quests!$A:$A),MATCH(D$1,[2]quests!$1:$1,0)-MATCH($B$1,[2]quests!$1:$1,0)+1),MATCH(D$1,[2]quests!$1:$1,0)-MATCH($B$1,[2]quests!$1:$1,0)+1,FALSE)</f>
        <v>降臨19</v>
      </c>
      <c r="E38" s="88">
        <v>3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降臨19</v>
      </c>
      <c r="H38" s="86">
        <v>0</v>
      </c>
      <c r="I38">
        <v>36</v>
      </c>
      <c r="J38" s="85" t="s">
        <v>198</v>
      </c>
      <c r="K38" s="94" t="str">
        <f>VLOOKUP(I38,[6]stage_hints!$A:$C,3,FALSE)</f>
        <v>チャレンジタワーのボス</v>
      </c>
      <c r="L38" s="95" t="str">
        <f>VLOOKUP(I38,[6]stage_hints!$A:$D,4,FALSE)</f>
        <v>チャレンジタワーでのみ登場するボスは_x000D_一定確率で獲得することができます</v>
      </c>
      <c r="M38" s="57" t="s">
        <v>211</v>
      </c>
    </row>
    <row r="39" spans="1:13" x14ac:dyDescent="0.15">
      <c r="A39" s="82" t="s">
        <v>201</v>
      </c>
      <c r="B39" s="83">
        <f>floors!$C$2</f>
        <v>40019</v>
      </c>
      <c r="C39" s="84" t="str">
        <f ca="1">VLOOKUP($B39,OFFSET([2]quests!$A$1,0,0,COUNTA([2]quests!$A:$A),MATCH(C$1,[2]quests!$1:$1,0)-MATCH($B$1,[2]quests!$1:$1,0)+1),MATCH(C$1,[2]quests!$1:$1,0)-MATCH($B$1,[2]quests!$1:$1,0)+1,FALSE)</f>
        <v>テュポーン襲来！</v>
      </c>
      <c r="D39" s="84" t="str">
        <f ca="1">VLOOKUP($B39,OFFSET([2]quests!$A$1,0,0,COUNTA([2]quests!$A:$A),MATCH(D$1,[2]quests!$1:$1,0)-MATCH($B$1,[2]quests!$1:$1,0)+1),MATCH(D$1,[2]quests!$1:$1,0)-MATCH($B$1,[2]quests!$1:$1,0)+1,FALSE)</f>
        <v>降臨19</v>
      </c>
      <c r="E39" s="88">
        <v>3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降臨19</v>
      </c>
      <c r="H39" s="86">
        <v>0</v>
      </c>
      <c r="I39">
        <v>37</v>
      </c>
      <c r="J39" s="85" t="s">
        <v>198</v>
      </c>
      <c r="K39" s="94" t="str">
        <f>VLOOKUP(I39,[6]stage_hints!$A:$C,3,FALSE)</f>
        <v>限界突破値の引き継ぎ</v>
      </c>
      <c r="L39" s="95" t="str">
        <f>VLOOKUP(I39,[6]stage_hints!$A:$D,4,FALSE)</f>
        <v>同じユニットを強化で合成すると_x000D_限界突破値を引き継げます（覚醒前後も可）</v>
      </c>
      <c r="M39" s="57" t="s">
        <v>211</v>
      </c>
    </row>
    <row r="40" spans="1:13" x14ac:dyDescent="0.15">
      <c r="A40" s="82" t="s">
        <v>201</v>
      </c>
      <c r="B40" s="83">
        <f>floors!$C$2</f>
        <v>40019</v>
      </c>
      <c r="C40" s="84" t="str">
        <f ca="1">VLOOKUP($B40,OFFSET([2]quests!$A$1,0,0,COUNTA([2]quests!$A:$A),MATCH(C$1,[2]quests!$1:$1,0)-MATCH($B$1,[2]quests!$1:$1,0)+1),MATCH(C$1,[2]quests!$1:$1,0)-MATCH($B$1,[2]quests!$1:$1,0)+1,FALSE)</f>
        <v>テュポーン襲来！</v>
      </c>
      <c r="D40" s="84" t="str">
        <f ca="1">VLOOKUP($B40,OFFSET([2]quests!$A$1,0,0,COUNTA([2]quests!$A:$A),MATCH(D$1,[2]quests!$1:$1,0)-MATCH($B$1,[2]quests!$1:$1,0)+1),MATCH(D$1,[2]quests!$1:$1,0)-MATCH($B$1,[2]quests!$1:$1,0)+1,FALSE)</f>
        <v>降臨19</v>
      </c>
      <c r="E40" s="88">
        <v>3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降臨19</v>
      </c>
      <c r="H40" s="86">
        <v>0</v>
      </c>
      <c r="I40">
        <v>39</v>
      </c>
      <c r="J40" s="85" t="s">
        <v>198</v>
      </c>
      <c r="K40" s="94" t="str">
        <f>VLOOKUP(I40,[6]stage_hints!$A:$C,3,FALSE)</f>
        <v>システム適合者を確認</v>
      </c>
      <c r="L40" s="95" t="str">
        <f>VLOOKUP(I40,[6]stage_hints!$A:$D,4,FALSE)</f>
        <v>ALICEが「アナタ」を呼んでいます</v>
      </c>
      <c r="M40" s="57" t="s">
        <v>211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3" t="s">
        <v>151</v>
      </c>
      <c r="C1" s="78" t="s">
        <v>190</v>
      </c>
      <c r="D1" s="78" t="s">
        <v>33</v>
      </c>
      <c r="E1" s="73" t="s">
        <v>191</v>
      </c>
      <c r="F1" s="78" t="s">
        <v>18</v>
      </c>
      <c r="G1" s="78" t="s">
        <v>33</v>
      </c>
      <c r="H1" s="73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42" x14ac:dyDescent="0.15">
      <c r="A2" s="82" t="s">
        <v>197</v>
      </c>
      <c r="B2" s="83">
        <f>floors!$C$2</f>
        <v>40019</v>
      </c>
      <c r="C2" s="84" t="str">
        <f ca="1">VLOOKUP($B2,OFFSET([2]quests!$A$1,0,0,COUNTA([2]quests!$A:$A),MATCH(C$1,[2]quests!$1:$1,0)-MATCH($B$1,[2]quests!$1:$1,0)+1),MATCH(C$1,[2]quests!$1:$1,0)-MATCH($B$1,[2]quests!$1:$1,0)+1,FALSE)</f>
        <v>テュポーン襲来！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降臨19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降臨19</v>
      </c>
      <c r="H2" s="124">
        <v>1</v>
      </c>
      <c r="I2" s="91">
        <f t="shared" ref="I2:I21" si="0">ROW()-1</f>
        <v>1</v>
      </c>
      <c r="J2" s="87" t="str">
        <f t="shared" ref="J2:J7" si="1">B2&amp;TEXT(I2,"00")</f>
        <v>4001901</v>
      </c>
      <c r="K2" s="85" t="s">
        <v>198</v>
      </c>
      <c r="L2" s="88" t="s">
        <v>199</v>
      </c>
      <c r="M2" s="122" t="s">
        <v>316</v>
      </c>
      <c r="N2" s="57" t="s">
        <v>200</v>
      </c>
    </row>
    <row r="3" spans="1:14" ht="42" x14ac:dyDescent="0.15">
      <c r="A3" s="82" t="s">
        <v>197</v>
      </c>
      <c r="B3" s="83">
        <f>floors!$C$2</f>
        <v>40019</v>
      </c>
      <c r="C3" s="84" t="str">
        <f ca="1">VLOOKUP($B3,OFFSET([2]quests!$A$1,0,0,COUNTA([2]quests!$A:$A),MATCH(C$1,[2]quests!$1:$1,0)-MATCH($B$1,[2]quests!$1:$1,0)+1),MATCH(C$1,[2]quests!$1:$1,0)-MATCH($B$1,[2]quests!$1:$1,0)+1,FALSE)</f>
        <v>テュポーン襲来！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降臨19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降臨19</v>
      </c>
      <c r="H3" s="124">
        <v>1</v>
      </c>
      <c r="I3" s="91">
        <f t="shared" si="0"/>
        <v>2</v>
      </c>
      <c r="J3" s="87" t="str">
        <f t="shared" si="1"/>
        <v>4001902</v>
      </c>
      <c r="K3" s="85" t="s">
        <v>198</v>
      </c>
      <c r="L3" s="88" t="s">
        <v>199</v>
      </c>
      <c r="M3" s="122" t="s">
        <v>298</v>
      </c>
      <c r="N3" s="57" t="s">
        <v>200</v>
      </c>
    </row>
    <row r="4" spans="1:14" ht="42" x14ac:dyDescent="0.15">
      <c r="A4" s="82" t="s">
        <v>197</v>
      </c>
      <c r="B4" s="83">
        <f>floors!$C$2</f>
        <v>40019</v>
      </c>
      <c r="C4" s="84" t="str">
        <f ca="1">VLOOKUP($B4,OFFSET([2]quests!$A$1,0,0,COUNTA([2]quests!$A:$A),MATCH(C$1,[2]quests!$1:$1,0)-MATCH($B$1,[2]quests!$1:$1,0)+1),MATCH(C$1,[2]quests!$1:$1,0)-MATCH($B$1,[2]quests!$1:$1,0)+1,FALSE)</f>
        <v>テュポーン襲来！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降臨19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降臨19</v>
      </c>
      <c r="H4" s="124">
        <v>2</v>
      </c>
      <c r="I4" s="91">
        <f t="shared" si="0"/>
        <v>3</v>
      </c>
      <c r="J4" s="87" t="str">
        <f t="shared" si="1"/>
        <v>4001903</v>
      </c>
      <c r="K4" s="85" t="s">
        <v>198</v>
      </c>
      <c r="L4" s="88" t="s">
        <v>199</v>
      </c>
      <c r="M4" s="122" t="s">
        <v>317</v>
      </c>
      <c r="N4" s="57" t="s">
        <v>200</v>
      </c>
    </row>
    <row r="5" spans="1:14" ht="42" x14ac:dyDescent="0.15">
      <c r="A5" s="82" t="s">
        <v>197</v>
      </c>
      <c r="B5" s="83">
        <f>floors!$C$2</f>
        <v>40019</v>
      </c>
      <c r="C5" s="84" t="str">
        <f ca="1">VLOOKUP($B5,OFFSET([2]quests!$A$1,0,0,COUNTA([2]quests!$A:$A),MATCH(C$1,[2]quests!$1:$1,0)-MATCH($B$1,[2]quests!$1:$1,0)+1),MATCH(C$1,[2]quests!$1:$1,0)-MATCH($B$1,[2]quests!$1:$1,0)+1,FALSE)</f>
        <v>テュポーン襲来！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降臨19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降臨19</v>
      </c>
      <c r="H5" s="124">
        <v>2</v>
      </c>
      <c r="I5" s="91">
        <f t="shared" si="0"/>
        <v>4</v>
      </c>
      <c r="J5" s="87" t="str">
        <f t="shared" si="1"/>
        <v>4001904</v>
      </c>
      <c r="K5" s="85" t="s">
        <v>198</v>
      </c>
      <c r="L5" s="88" t="s">
        <v>199</v>
      </c>
      <c r="M5" s="122" t="s">
        <v>318</v>
      </c>
      <c r="N5" s="57" t="s">
        <v>200</v>
      </c>
    </row>
    <row r="6" spans="1:14" ht="42" x14ac:dyDescent="0.15">
      <c r="A6" s="82" t="s">
        <v>197</v>
      </c>
      <c r="B6" s="83">
        <f>floors!$C$2</f>
        <v>40019</v>
      </c>
      <c r="C6" s="84" t="str">
        <f ca="1">VLOOKUP($B6,OFFSET([2]quests!$A$1,0,0,COUNTA([2]quests!$A:$A),MATCH(C$1,[2]quests!$1:$1,0)-MATCH($B$1,[2]quests!$1:$1,0)+1),MATCH(C$1,[2]quests!$1:$1,0)-MATCH($B$1,[2]quests!$1:$1,0)+1,FALSE)</f>
        <v>テュポーン襲来！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降臨19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降臨19</v>
      </c>
      <c r="H6" s="124">
        <v>3</v>
      </c>
      <c r="I6" s="91">
        <f t="shared" si="0"/>
        <v>5</v>
      </c>
      <c r="J6" s="87" t="str">
        <f t="shared" si="1"/>
        <v>4001905</v>
      </c>
      <c r="K6" s="85" t="s">
        <v>198</v>
      </c>
      <c r="L6" s="88" t="s">
        <v>199</v>
      </c>
      <c r="M6" s="122" t="s">
        <v>294</v>
      </c>
      <c r="N6" s="57" t="s">
        <v>200</v>
      </c>
    </row>
    <row r="7" spans="1:14" ht="42" x14ac:dyDescent="0.15">
      <c r="A7" s="82" t="s">
        <v>197</v>
      </c>
      <c r="B7" s="83">
        <f>floors!$C$2</f>
        <v>40019</v>
      </c>
      <c r="C7" s="84" t="str">
        <f ca="1">VLOOKUP($B7,OFFSET([2]quests!$A$1,0,0,COUNTA([2]quests!$A:$A),MATCH(C$1,[2]quests!$1:$1,0)-MATCH($B$1,[2]quests!$1:$1,0)+1),MATCH(C$1,[2]quests!$1:$1,0)-MATCH($B$1,[2]quests!$1:$1,0)+1,FALSE)</f>
        <v>テュポーン襲来！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降臨19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【超絶級】テュポーン襲来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降臨19</v>
      </c>
      <c r="H7" s="124">
        <v>3</v>
      </c>
      <c r="I7" s="91">
        <f t="shared" si="0"/>
        <v>6</v>
      </c>
      <c r="J7" s="87" t="str">
        <f t="shared" si="1"/>
        <v>4001906</v>
      </c>
      <c r="K7" s="85" t="s">
        <v>198</v>
      </c>
      <c r="L7" s="88" t="s">
        <v>199</v>
      </c>
      <c r="M7" s="122" t="s">
        <v>319</v>
      </c>
      <c r="N7" s="57" t="s">
        <v>200</v>
      </c>
    </row>
    <row r="8" spans="1:14" ht="42" x14ac:dyDescent="0.15">
      <c r="A8" s="82" t="s">
        <v>197</v>
      </c>
      <c r="B8" s="83">
        <f>floors!$C$2</f>
        <v>40019</v>
      </c>
      <c r="C8" s="84" t="str">
        <f ca="1">VLOOKUP($B8,OFFSET([2]quests!$A$1,0,0,COUNTA([2]quests!$A:$A),MATCH(C$1,[2]quests!$1:$1,0)-MATCH($B$1,[2]quests!$1:$1,0)+1),MATCH(C$1,[2]quests!$1:$1,0)-MATCH($B$1,[2]quests!$1:$1,0)+1,FALSE)</f>
        <v>テュポーン襲来！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降臨19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降臨19</v>
      </c>
      <c r="H8" s="124">
        <v>1</v>
      </c>
      <c r="I8" s="91">
        <f t="shared" si="0"/>
        <v>7</v>
      </c>
      <c r="J8" s="87" t="str">
        <f t="shared" ref="J8:J14" si="2">B8&amp;TEXT(I8,"00")</f>
        <v>4001907</v>
      </c>
      <c r="K8" s="85" t="s">
        <v>128</v>
      </c>
      <c r="L8" s="88" t="s">
        <v>199</v>
      </c>
      <c r="M8" s="122" t="s">
        <v>297</v>
      </c>
      <c r="N8" s="57" t="s">
        <v>200</v>
      </c>
    </row>
    <row r="9" spans="1:14" ht="42" x14ac:dyDescent="0.15">
      <c r="A9" s="82" t="s">
        <v>197</v>
      </c>
      <c r="B9" s="83">
        <f>floors!$C$2</f>
        <v>40019</v>
      </c>
      <c r="C9" s="84" t="str">
        <f ca="1">VLOOKUP($B9,OFFSET([2]quests!$A$1,0,0,COUNTA([2]quests!$A:$A),MATCH(C$1,[2]quests!$1:$1,0)-MATCH($B$1,[2]quests!$1:$1,0)+1),MATCH(C$1,[2]quests!$1:$1,0)-MATCH($B$1,[2]quests!$1:$1,0)+1,FALSE)</f>
        <v>テュポーン襲来！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降臨19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降臨19</v>
      </c>
      <c r="H9" s="124">
        <v>1</v>
      </c>
      <c r="I9" s="91">
        <f t="shared" si="0"/>
        <v>8</v>
      </c>
      <c r="J9" s="87" t="str">
        <f t="shared" si="2"/>
        <v>4001908</v>
      </c>
      <c r="K9" s="85" t="s">
        <v>128</v>
      </c>
      <c r="L9" s="88" t="s">
        <v>199</v>
      </c>
      <c r="M9" s="122" t="s">
        <v>291</v>
      </c>
      <c r="N9" s="57" t="s">
        <v>200</v>
      </c>
    </row>
    <row r="10" spans="1:14" ht="42" x14ac:dyDescent="0.15">
      <c r="A10" s="82" t="s">
        <v>197</v>
      </c>
      <c r="B10" s="83">
        <f>floors!$C$2</f>
        <v>40019</v>
      </c>
      <c r="C10" s="84" t="str">
        <f ca="1">VLOOKUP($B10,OFFSET([2]quests!$A$1,0,0,COUNTA([2]quests!$A:$A),MATCH(C$1,[2]quests!$1:$1,0)-MATCH($B$1,[2]quests!$1:$1,0)+1),MATCH(C$1,[2]quests!$1:$1,0)-MATCH($B$1,[2]quests!$1:$1,0)+1,FALSE)</f>
        <v>テュポーン襲来！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降臨19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降臨19</v>
      </c>
      <c r="H10" s="124">
        <v>2</v>
      </c>
      <c r="I10" s="91">
        <f t="shared" si="0"/>
        <v>9</v>
      </c>
      <c r="J10" s="87" t="str">
        <f t="shared" si="2"/>
        <v>4001909</v>
      </c>
      <c r="K10" s="85" t="s">
        <v>128</v>
      </c>
      <c r="L10" s="88" t="s">
        <v>199</v>
      </c>
      <c r="M10" s="122" t="s">
        <v>292</v>
      </c>
      <c r="N10" s="57" t="s">
        <v>200</v>
      </c>
    </row>
    <row r="11" spans="1:14" ht="42" x14ac:dyDescent="0.15">
      <c r="A11" s="82" t="s">
        <v>197</v>
      </c>
      <c r="B11" s="83">
        <f>floors!$C$2</f>
        <v>40019</v>
      </c>
      <c r="C11" s="84" t="str">
        <f ca="1">VLOOKUP($B11,OFFSET([2]quests!$A$1,0,0,COUNTA([2]quests!$A:$A),MATCH(C$1,[2]quests!$1:$1,0)-MATCH($B$1,[2]quests!$1:$1,0)+1),MATCH(C$1,[2]quests!$1:$1,0)-MATCH($B$1,[2]quests!$1:$1,0)+1,FALSE)</f>
        <v>テュポーン襲来！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降臨19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降臨19</v>
      </c>
      <c r="H11" s="124">
        <v>2</v>
      </c>
      <c r="I11" s="91">
        <f t="shared" si="0"/>
        <v>10</v>
      </c>
      <c r="J11" s="87" t="str">
        <f t="shared" si="2"/>
        <v>4001910</v>
      </c>
      <c r="K11" s="85" t="s">
        <v>128</v>
      </c>
      <c r="L11" s="88" t="s">
        <v>199</v>
      </c>
      <c r="M11" s="122" t="s">
        <v>293</v>
      </c>
      <c r="N11" s="57" t="s">
        <v>200</v>
      </c>
    </row>
    <row r="12" spans="1:14" ht="42" x14ac:dyDescent="0.15">
      <c r="A12" s="82" t="s">
        <v>197</v>
      </c>
      <c r="B12" s="83">
        <f>floors!$C$2</f>
        <v>40019</v>
      </c>
      <c r="C12" s="84" t="str">
        <f ca="1">VLOOKUP($B12,OFFSET([2]quests!$A$1,0,0,COUNTA([2]quests!$A:$A),MATCH(C$1,[2]quests!$1:$1,0)-MATCH($B$1,[2]quests!$1:$1,0)+1),MATCH(C$1,[2]quests!$1:$1,0)-MATCH($B$1,[2]quests!$1:$1,0)+1,FALSE)</f>
        <v>テュポーン襲来！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降臨19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降臨19</v>
      </c>
      <c r="H12" s="124">
        <v>3</v>
      </c>
      <c r="I12" s="91">
        <f t="shared" si="0"/>
        <v>11</v>
      </c>
      <c r="J12" s="87" t="str">
        <f t="shared" si="2"/>
        <v>4001911</v>
      </c>
      <c r="K12" s="85" t="s">
        <v>128</v>
      </c>
      <c r="L12" s="88" t="s">
        <v>199</v>
      </c>
      <c r="M12" s="122" t="s">
        <v>294</v>
      </c>
      <c r="N12" s="57" t="s">
        <v>200</v>
      </c>
    </row>
    <row r="13" spans="1:14" ht="42" x14ac:dyDescent="0.15">
      <c r="A13" s="82" t="s">
        <v>197</v>
      </c>
      <c r="B13" s="83">
        <f>floors!$C$2</f>
        <v>40019</v>
      </c>
      <c r="C13" s="84" t="str">
        <f ca="1">VLOOKUP($B13,OFFSET([2]quests!$A$1,0,0,COUNTA([2]quests!$A:$A),MATCH(C$1,[2]quests!$1:$1,0)-MATCH($B$1,[2]quests!$1:$1,0)+1),MATCH(C$1,[2]quests!$1:$1,0)-MATCH($B$1,[2]quests!$1:$1,0)+1,FALSE)</f>
        <v>テュポーン襲来！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降臨19</v>
      </c>
      <c r="E13" s="85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降臨19</v>
      </c>
      <c r="H13" s="124">
        <v>3</v>
      </c>
      <c r="I13" s="91">
        <f t="shared" si="0"/>
        <v>12</v>
      </c>
      <c r="J13" s="87" t="str">
        <f t="shared" si="2"/>
        <v>4001912</v>
      </c>
      <c r="K13" s="85" t="s">
        <v>128</v>
      </c>
      <c r="L13" s="88" t="s">
        <v>199</v>
      </c>
      <c r="M13" s="122" t="s">
        <v>295</v>
      </c>
      <c r="N13" s="57" t="s">
        <v>200</v>
      </c>
    </row>
    <row r="14" spans="1:14" ht="42" x14ac:dyDescent="0.15">
      <c r="A14" s="82" t="s">
        <v>197</v>
      </c>
      <c r="B14" s="83">
        <f>floors!$C$2</f>
        <v>40019</v>
      </c>
      <c r="C14" s="84" t="str">
        <f ca="1">VLOOKUP($B14,OFFSET([2]quests!$A$1,0,0,COUNTA([2]quests!$A:$A),MATCH(C$1,[2]quests!$1:$1,0)-MATCH($B$1,[2]quests!$1:$1,0)+1),MATCH(C$1,[2]quests!$1:$1,0)-MATCH($B$1,[2]quests!$1:$1,0)+1,FALSE)</f>
        <v>テュポーン襲来！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降臨19</v>
      </c>
      <c r="E14" s="85">
        <v>2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【ウィザード級】テュポーン襲来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降臨19</v>
      </c>
      <c r="H14" s="124">
        <v>3</v>
      </c>
      <c r="I14" s="91">
        <f t="shared" si="0"/>
        <v>13</v>
      </c>
      <c r="J14" s="87" t="str">
        <f t="shared" si="2"/>
        <v>4001913</v>
      </c>
      <c r="K14" s="85" t="s">
        <v>128</v>
      </c>
      <c r="L14" s="88" t="s">
        <v>199</v>
      </c>
      <c r="M14" s="122" t="s">
        <v>296</v>
      </c>
      <c r="N14" s="57" t="s">
        <v>200</v>
      </c>
    </row>
    <row r="15" spans="1:14" ht="42" x14ac:dyDescent="0.15">
      <c r="A15" s="82" t="s">
        <v>197</v>
      </c>
      <c r="B15" s="83">
        <f>floors!$C$2</f>
        <v>40019</v>
      </c>
      <c r="C15" s="84" t="str">
        <f ca="1">VLOOKUP($B15,OFFSET([2]quests!$A$1,0,0,COUNTA([2]quests!$A:$A),MATCH(C$1,[2]quests!$1:$1,0)-MATCH($B$1,[2]quests!$1:$1,0)+1),MATCH(C$1,[2]quests!$1:$1,0)-MATCH($B$1,[2]quests!$1:$1,0)+1,FALSE)</f>
        <v>テュポーン襲来！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降臨19</v>
      </c>
      <c r="E15" s="85">
        <v>3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降臨19</v>
      </c>
      <c r="H15" s="124">
        <v>1</v>
      </c>
      <c r="I15" s="91">
        <f t="shared" si="0"/>
        <v>14</v>
      </c>
      <c r="J15" s="87" t="str">
        <f t="shared" ref="J15:J21" si="3">B15&amp;TEXT(I15,"00")</f>
        <v>4001914</v>
      </c>
      <c r="K15" s="85" t="s">
        <v>128</v>
      </c>
      <c r="L15" s="88" t="s">
        <v>199</v>
      </c>
      <c r="M15" s="122" t="s">
        <v>297</v>
      </c>
      <c r="N15" s="57" t="s">
        <v>200</v>
      </c>
    </row>
    <row r="16" spans="1:14" ht="42" x14ac:dyDescent="0.15">
      <c r="A16" s="82" t="s">
        <v>197</v>
      </c>
      <c r="B16" s="83">
        <f>floors!$C$2</f>
        <v>40019</v>
      </c>
      <c r="C16" s="84" t="str">
        <f ca="1">VLOOKUP($B16,OFFSET([2]quests!$A$1,0,0,COUNTA([2]quests!$A:$A),MATCH(C$1,[2]quests!$1:$1,0)-MATCH($B$1,[2]quests!$1:$1,0)+1),MATCH(C$1,[2]quests!$1:$1,0)-MATCH($B$1,[2]quests!$1:$1,0)+1,FALSE)</f>
        <v>テュポーン襲来！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降臨19</v>
      </c>
      <c r="E16" s="85">
        <v>3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降臨19</v>
      </c>
      <c r="H16" s="124">
        <v>1</v>
      </c>
      <c r="I16" s="91">
        <f t="shared" si="0"/>
        <v>15</v>
      </c>
      <c r="J16" s="87" t="str">
        <f t="shared" si="3"/>
        <v>4001915</v>
      </c>
      <c r="K16" s="85" t="s">
        <v>128</v>
      </c>
      <c r="L16" s="88" t="s">
        <v>199</v>
      </c>
      <c r="M16" s="122" t="s">
        <v>291</v>
      </c>
      <c r="N16" s="57" t="s">
        <v>200</v>
      </c>
    </row>
    <row r="17" spans="1:14" ht="42" x14ac:dyDescent="0.15">
      <c r="A17" s="82" t="s">
        <v>197</v>
      </c>
      <c r="B17" s="83">
        <f>floors!$C$2</f>
        <v>40019</v>
      </c>
      <c r="C17" s="84" t="str">
        <f ca="1">VLOOKUP($B17,OFFSET([2]quests!$A$1,0,0,COUNTA([2]quests!$A:$A),MATCH(C$1,[2]quests!$1:$1,0)-MATCH($B$1,[2]quests!$1:$1,0)+1),MATCH(C$1,[2]quests!$1:$1,0)-MATCH($B$1,[2]quests!$1:$1,0)+1,FALSE)</f>
        <v>テュポーン襲来！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降臨19</v>
      </c>
      <c r="E17" s="85">
        <v>3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降臨19</v>
      </c>
      <c r="H17" s="124">
        <v>2</v>
      </c>
      <c r="I17" s="91">
        <f t="shared" si="0"/>
        <v>16</v>
      </c>
      <c r="J17" s="87" t="str">
        <f t="shared" si="3"/>
        <v>4001916</v>
      </c>
      <c r="K17" s="85" t="s">
        <v>128</v>
      </c>
      <c r="L17" s="88" t="s">
        <v>199</v>
      </c>
      <c r="M17" s="122" t="s">
        <v>292</v>
      </c>
      <c r="N17" s="57" t="s">
        <v>200</v>
      </c>
    </row>
    <row r="18" spans="1:14" ht="42" x14ac:dyDescent="0.15">
      <c r="A18" s="82" t="s">
        <v>197</v>
      </c>
      <c r="B18" s="83">
        <f>floors!$C$2</f>
        <v>40019</v>
      </c>
      <c r="C18" s="84" t="str">
        <f ca="1">VLOOKUP($B18,OFFSET([2]quests!$A$1,0,0,COUNTA([2]quests!$A:$A),MATCH(C$1,[2]quests!$1:$1,0)-MATCH($B$1,[2]quests!$1:$1,0)+1),MATCH(C$1,[2]quests!$1:$1,0)-MATCH($B$1,[2]quests!$1:$1,0)+1,FALSE)</f>
        <v>テュポーン襲来！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降臨19</v>
      </c>
      <c r="E18" s="85">
        <v>3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降臨19</v>
      </c>
      <c r="H18" s="124">
        <v>2</v>
      </c>
      <c r="I18" s="91">
        <f t="shared" si="0"/>
        <v>17</v>
      </c>
      <c r="J18" s="87" t="str">
        <f t="shared" si="3"/>
        <v>4001917</v>
      </c>
      <c r="K18" s="85" t="s">
        <v>128</v>
      </c>
      <c r="L18" s="88" t="s">
        <v>199</v>
      </c>
      <c r="M18" s="122" t="s">
        <v>293</v>
      </c>
      <c r="N18" s="57" t="s">
        <v>200</v>
      </c>
    </row>
    <row r="19" spans="1:14" ht="42" x14ac:dyDescent="0.15">
      <c r="A19" s="82" t="s">
        <v>197</v>
      </c>
      <c r="B19" s="83">
        <f>floors!$C$2</f>
        <v>40019</v>
      </c>
      <c r="C19" s="84" t="str">
        <f ca="1">VLOOKUP($B19,OFFSET([2]quests!$A$1,0,0,COUNTA([2]quests!$A:$A),MATCH(C$1,[2]quests!$1:$1,0)-MATCH($B$1,[2]quests!$1:$1,0)+1),MATCH(C$1,[2]quests!$1:$1,0)-MATCH($B$1,[2]quests!$1:$1,0)+1,FALSE)</f>
        <v>テュポーン襲来！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降臨19</v>
      </c>
      <c r="E19" s="85">
        <v>3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降臨19</v>
      </c>
      <c r="H19" s="124">
        <v>3</v>
      </c>
      <c r="I19" s="91">
        <f t="shared" si="0"/>
        <v>18</v>
      </c>
      <c r="J19" s="87" t="str">
        <f t="shared" si="3"/>
        <v>4001918</v>
      </c>
      <c r="K19" s="85" t="s">
        <v>128</v>
      </c>
      <c r="L19" s="88" t="s">
        <v>199</v>
      </c>
      <c r="M19" s="122" t="s">
        <v>294</v>
      </c>
      <c r="N19" s="57" t="s">
        <v>200</v>
      </c>
    </row>
    <row r="20" spans="1:14" ht="42" x14ac:dyDescent="0.15">
      <c r="A20" s="82" t="s">
        <v>197</v>
      </c>
      <c r="B20" s="83">
        <f>floors!$C$2</f>
        <v>40019</v>
      </c>
      <c r="C20" s="84" t="str">
        <f ca="1">VLOOKUP($B20,OFFSET([2]quests!$A$1,0,0,COUNTA([2]quests!$A:$A),MATCH(C$1,[2]quests!$1:$1,0)-MATCH($B$1,[2]quests!$1:$1,0)+1),MATCH(C$1,[2]quests!$1:$1,0)-MATCH($B$1,[2]quests!$1:$1,0)+1,FALSE)</f>
        <v>テュポーン襲来！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降臨19</v>
      </c>
      <c r="E20" s="85">
        <v>3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降臨19</v>
      </c>
      <c r="H20" s="124">
        <v>3</v>
      </c>
      <c r="I20" s="91">
        <f t="shared" si="0"/>
        <v>19</v>
      </c>
      <c r="J20" s="87" t="str">
        <f t="shared" si="3"/>
        <v>4001919</v>
      </c>
      <c r="K20" s="85" t="s">
        <v>128</v>
      </c>
      <c r="L20" s="88" t="s">
        <v>199</v>
      </c>
      <c r="M20" s="122" t="s">
        <v>295</v>
      </c>
      <c r="N20" s="57" t="s">
        <v>200</v>
      </c>
    </row>
    <row r="21" spans="1:14" ht="42" x14ac:dyDescent="0.15">
      <c r="A21" s="82" t="s">
        <v>197</v>
      </c>
      <c r="B21" s="83">
        <f>floors!$C$2</f>
        <v>40019</v>
      </c>
      <c r="C21" s="84" t="str">
        <f ca="1">VLOOKUP($B21,OFFSET([2]quests!$A$1,0,0,COUNTA([2]quests!$A:$A),MATCH(C$1,[2]quests!$1:$1,0)-MATCH($B$1,[2]quests!$1:$1,0)+1),MATCH(C$1,[2]quests!$1:$1,0)-MATCH($B$1,[2]quests!$1:$1,0)+1,FALSE)</f>
        <v>テュポーン襲来！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降臨19</v>
      </c>
      <c r="E21" s="85">
        <v>3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【ノーコンテニュー】テュポーン襲来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降臨19</v>
      </c>
      <c r="H21" s="124">
        <v>3</v>
      </c>
      <c r="I21" s="91">
        <f t="shared" si="0"/>
        <v>20</v>
      </c>
      <c r="J21" s="87" t="str">
        <f t="shared" si="3"/>
        <v>4001920</v>
      </c>
      <c r="K21" s="85" t="s">
        <v>128</v>
      </c>
      <c r="L21" s="88" t="s">
        <v>199</v>
      </c>
      <c r="M21" s="122" t="s">
        <v>315</v>
      </c>
      <c r="N21" s="57" t="s">
        <v>200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2016-07-22T03:42:36Z</dcterms:modified>
</cp:coreProperties>
</file>