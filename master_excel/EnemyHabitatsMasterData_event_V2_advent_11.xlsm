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2080" yWindow="460" windowWidth="26720" windowHeight="1746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" l="1"/>
  <c r="AA2" i="1"/>
  <c r="A2" i="1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E23" i="9"/>
  <c r="D23" i="9"/>
  <c r="A23" i="9"/>
  <c r="E22" i="9"/>
  <c r="D22" i="9"/>
  <c r="A22" i="9"/>
  <c r="E21" i="9"/>
  <c r="D21" i="9"/>
  <c r="A21" i="9"/>
  <c r="E39" i="9"/>
  <c r="D39" i="9"/>
  <c r="A39" i="9"/>
  <c r="E38" i="9"/>
  <c r="D38" i="9"/>
  <c r="A38" i="9"/>
  <c r="E37" i="9"/>
  <c r="D37" i="9"/>
  <c r="A37" i="9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L27" i="19"/>
  <c r="K27" i="19"/>
  <c r="G27" i="19"/>
  <c r="F27" i="19"/>
  <c r="D27" i="19"/>
  <c r="C27" i="19"/>
  <c r="L26" i="19"/>
  <c r="K26" i="19"/>
  <c r="G26" i="19"/>
  <c r="F26" i="19"/>
  <c r="D26" i="19"/>
  <c r="C26" i="19"/>
  <c r="L25" i="19"/>
  <c r="K25" i="19"/>
  <c r="G25" i="19"/>
  <c r="F25" i="19"/>
  <c r="D25" i="19"/>
  <c r="C25" i="19"/>
  <c r="L24" i="19"/>
  <c r="K24" i="19"/>
  <c r="G24" i="19"/>
  <c r="F24" i="19"/>
  <c r="D24" i="19"/>
  <c r="C24" i="19"/>
  <c r="L23" i="19"/>
  <c r="K23" i="19"/>
  <c r="G23" i="19"/>
  <c r="F23" i="19"/>
  <c r="D23" i="19"/>
  <c r="C23" i="19"/>
  <c r="L22" i="19"/>
  <c r="K22" i="19"/>
  <c r="G22" i="19"/>
  <c r="F22" i="19"/>
  <c r="D22" i="19"/>
  <c r="C22" i="19"/>
  <c r="L21" i="19"/>
  <c r="K21" i="19"/>
  <c r="G21" i="19"/>
  <c r="F21" i="19"/>
  <c r="D21" i="19"/>
  <c r="C21" i="19"/>
  <c r="L20" i="19"/>
  <c r="K20" i="19"/>
  <c r="G20" i="19"/>
  <c r="F20" i="19"/>
  <c r="D20" i="19"/>
  <c r="C20" i="19"/>
  <c r="L19" i="19"/>
  <c r="K19" i="19"/>
  <c r="G19" i="19"/>
  <c r="F19" i="19"/>
  <c r="D19" i="19"/>
  <c r="C19" i="19"/>
  <c r="L18" i="19"/>
  <c r="K18" i="19"/>
  <c r="G18" i="19"/>
  <c r="F18" i="19"/>
  <c r="D18" i="19"/>
  <c r="C18" i="19"/>
  <c r="L17" i="19"/>
  <c r="K17" i="19"/>
  <c r="G17" i="19"/>
  <c r="F17" i="19"/>
  <c r="D17" i="19"/>
  <c r="C17" i="19"/>
  <c r="L16" i="19"/>
  <c r="K16" i="19"/>
  <c r="G16" i="19"/>
  <c r="F16" i="19"/>
  <c r="D16" i="19"/>
  <c r="C16" i="19"/>
  <c r="L15" i="19"/>
  <c r="K15" i="19"/>
  <c r="G15" i="19"/>
  <c r="F15" i="19"/>
  <c r="D15" i="19"/>
  <c r="C15" i="19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N2" i="22"/>
  <c r="G2" i="22"/>
  <c r="F2" i="22"/>
  <c r="D2" i="22"/>
  <c r="C2" i="22"/>
  <c r="A2" i="22"/>
  <c r="E19" i="9"/>
  <c r="D19" i="9"/>
  <c r="A19" i="9"/>
  <c r="E18" i="9"/>
  <c r="D18" i="9"/>
  <c r="A18" i="9"/>
  <c r="E17" i="9"/>
  <c r="D17" i="9"/>
  <c r="A17" i="9"/>
  <c r="E46" i="9"/>
  <c r="D46" i="9"/>
  <c r="A46" i="9"/>
  <c r="E45" i="9"/>
  <c r="D45" i="9"/>
  <c r="A45" i="9"/>
  <c r="E44" i="9"/>
  <c r="D44" i="9"/>
  <c r="A44" i="9"/>
  <c r="E43" i="9"/>
  <c r="D43" i="9"/>
  <c r="A43" i="9"/>
  <c r="E42" i="9"/>
  <c r="D42" i="9"/>
  <c r="A42" i="9"/>
  <c r="E41" i="9"/>
  <c r="D41" i="9"/>
  <c r="A41" i="9"/>
  <c r="E40" i="9"/>
  <c r="D40" i="9"/>
  <c r="A40" i="9"/>
  <c r="E36" i="9"/>
  <c r="D36" i="9"/>
  <c r="A36" i="9"/>
  <c r="E32" i="9"/>
  <c r="D32" i="9"/>
  <c r="A32" i="9"/>
  <c r="A34" i="9"/>
  <c r="D34" i="9"/>
  <c r="E34" i="9"/>
  <c r="A35" i="9"/>
  <c r="D35" i="9"/>
  <c r="E35" i="9"/>
  <c r="E30" i="9"/>
  <c r="D30" i="9"/>
  <c r="A30" i="9"/>
  <c r="J70" i="11"/>
  <c r="J69" i="11"/>
  <c r="J68" i="11"/>
  <c r="J67" i="11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H3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I3" i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2" i="1"/>
  <c r="I2" i="1"/>
  <c r="V2" i="1"/>
  <c r="E3" i="9"/>
  <c r="V4" i="1"/>
  <c r="E4" i="9"/>
  <c r="V5" i="1"/>
  <c r="E11" i="9"/>
  <c r="V6" i="1"/>
  <c r="E12" i="9"/>
  <c r="V7" i="1"/>
  <c r="E14" i="9"/>
  <c r="V8" i="1"/>
  <c r="V9" i="1"/>
  <c r="E2" i="9"/>
  <c r="V10" i="1"/>
  <c r="V11" i="1"/>
  <c r="V12" i="1"/>
  <c r="V13" i="1"/>
  <c r="V14" i="1"/>
  <c r="V15" i="1"/>
  <c r="V3" i="1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Y7" i="7"/>
  <c r="W7" i="7"/>
  <c r="R7" i="7"/>
  <c r="Q7" i="7"/>
  <c r="P7" i="7"/>
  <c r="O7" i="7"/>
  <c r="N7" i="7"/>
  <c r="H7" i="7"/>
  <c r="D7" i="7"/>
  <c r="F7" i="7"/>
  <c r="E7" i="7"/>
  <c r="A7" i="7"/>
  <c r="W6" i="7"/>
  <c r="R6" i="7"/>
  <c r="Q6" i="7"/>
  <c r="P6" i="7"/>
  <c r="O6" i="7"/>
  <c r="N6" i="7"/>
  <c r="H6" i="7"/>
  <c r="D6" i="7"/>
  <c r="F6" i="7"/>
  <c r="E6" i="7"/>
  <c r="A6" i="7"/>
  <c r="W5" i="7"/>
  <c r="R5" i="7"/>
  <c r="Q5" i="7"/>
  <c r="P5" i="7"/>
  <c r="O5" i="7"/>
  <c r="N5" i="7"/>
  <c r="H5" i="7"/>
  <c r="D5" i="7"/>
  <c r="F5" i="7"/>
  <c r="E5" i="7"/>
  <c r="A5" i="7"/>
  <c r="AB15" i="1"/>
  <c r="AD15" i="1"/>
  <c r="AG15" i="1"/>
  <c r="AE15" i="1"/>
  <c r="AC15" i="1"/>
  <c r="Q15" i="1"/>
  <c r="P15" i="1"/>
  <c r="O15" i="1"/>
  <c r="N15" i="1"/>
  <c r="M15" i="1"/>
  <c r="D15" i="1"/>
  <c r="F15" i="1"/>
  <c r="E15" i="1"/>
  <c r="A15" i="1"/>
  <c r="AB14" i="1"/>
  <c r="AD14" i="1"/>
  <c r="AG14" i="1"/>
  <c r="AE14" i="1"/>
  <c r="AC14" i="1"/>
  <c r="AA14" i="1"/>
  <c r="Q14" i="1"/>
  <c r="P14" i="1"/>
  <c r="O14" i="1"/>
  <c r="N14" i="1"/>
  <c r="M14" i="1"/>
  <c r="D14" i="1"/>
  <c r="F14" i="1"/>
  <c r="E14" i="1"/>
  <c r="A14" i="1"/>
  <c r="AB13" i="1"/>
  <c r="AD13" i="1"/>
  <c r="AG13" i="1"/>
  <c r="AE13" i="1"/>
  <c r="AC13" i="1"/>
  <c r="AA13" i="1"/>
  <c r="Q13" i="1"/>
  <c r="P13" i="1"/>
  <c r="O13" i="1"/>
  <c r="N13" i="1"/>
  <c r="M13" i="1"/>
  <c r="D13" i="1"/>
  <c r="F13" i="1"/>
  <c r="E13" i="1"/>
  <c r="A13" i="1"/>
  <c r="AB12" i="1"/>
  <c r="AD12" i="1"/>
  <c r="AG12" i="1"/>
  <c r="AE12" i="1"/>
  <c r="AC12" i="1"/>
  <c r="AA12" i="1"/>
  <c r="Q12" i="1"/>
  <c r="P12" i="1"/>
  <c r="O12" i="1"/>
  <c r="N12" i="1"/>
  <c r="M12" i="1"/>
  <c r="D12" i="1"/>
  <c r="F12" i="1"/>
  <c r="E12" i="1"/>
  <c r="A12" i="1"/>
  <c r="AB11" i="1"/>
  <c r="AD11" i="1"/>
  <c r="AG11" i="1"/>
  <c r="AE11" i="1"/>
  <c r="AC11" i="1"/>
  <c r="Q11" i="1"/>
  <c r="P11" i="1"/>
  <c r="O11" i="1"/>
  <c r="N11" i="1"/>
  <c r="M11" i="1"/>
  <c r="D11" i="1"/>
  <c r="F11" i="1"/>
  <c r="E11" i="1"/>
  <c r="A11" i="1"/>
  <c r="AB10" i="1"/>
  <c r="AD10" i="1"/>
  <c r="AG10" i="1"/>
  <c r="AE10" i="1"/>
  <c r="AC10" i="1"/>
  <c r="AA10" i="1"/>
  <c r="Q10" i="1"/>
  <c r="P10" i="1"/>
  <c r="O10" i="1"/>
  <c r="N10" i="1"/>
  <c r="M10" i="1"/>
  <c r="D10" i="1"/>
  <c r="F10" i="1"/>
  <c r="E10" i="1"/>
  <c r="A10" i="1"/>
  <c r="AB9" i="1"/>
  <c r="AD9" i="1"/>
  <c r="AG9" i="1"/>
  <c r="AE9" i="1"/>
  <c r="AC9" i="1"/>
  <c r="AA9" i="1"/>
  <c r="Q9" i="1"/>
  <c r="P9" i="1"/>
  <c r="O9" i="1"/>
  <c r="N9" i="1"/>
  <c r="M9" i="1"/>
  <c r="D9" i="1"/>
  <c r="F9" i="1"/>
  <c r="E9" i="1"/>
  <c r="A9" i="1"/>
  <c r="E5" i="9"/>
  <c r="E6" i="9"/>
  <c r="E7" i="9"/>
  <c r="E8" i="9"/>
  <c r="E9" i="9"/>
  <c r="E10" i="9"/>
  <c r="E13" i="9"/>
  <c r="E15" i="9"/>
  <c r="E16" i="9"/>
  <c r="E20" i="9"/>
  <c r="E24" i="9"/>
  <c r="E25" i="9"/>
  <c r="E26" i="9"/>
  <c r="E27" i="9"/>
  <c r="E28" i="9"/>
  <c r="E29" i="9"/>
  <c r="E31" i="9"/>
  <c r="E33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20" i="9"/>
  <c r="D24" i="9"/>
  <c r="D25" i="9"/>
  <c r="D26" i="9"/>
  <c r="D27" i="9"/>
  <c r="D28" i="9"/>
  <c r="D29" i="9"/>
  <c r="D31" i="9"/>
  <c r="D33" i="9"/>
  <c r="D2" i="9"/>
  <c r="B3" i="2"/>
  <c r="B4" i="2"/>
  <c r="B5" i="2"/>
  <c r="B2" i="2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L14" i="19"/>
  <c r="K14" i="19"/>
  <c r="G14" i="19"/>
  <c r="F14" i="19"/>
  <c r="D14" i="19"/>
  <c r="C14" i="19"/>
  <c r="L13" i="19"/>
  <c r="K13" i="19"/>
  <c r="G13" i="19"/>
  <c r="F13" i="19"/>
  <c r="D13" i="19"/>
  <c r="C13" i="19"/>
  <c r="L12" i="19"/>
  <c r="K12" i="19"/>
  <c r="G12" i="19"/>
  <c r="F12" i="19"/>
  <c r="D12" i="19"/>
  <c r="C12" i="19"/>
  <c r="L11" i="19"/>
  <c r="K11" i="19"/>
  <c r="G11" i="19"/>
  <c r="F11" i="19"/>
  <c r="D11" i="19"/>
  <c r="C11" i="19"/>
  <c r="L10" i="19"/>
  <c r="K10" i="19"/>
  <c r="G10" i="19"/>
  <c r="F10" i="19"/>
  <c r="D10" i="19"/>
  <c r="C10" i="19"/>
  <c r="L9" i="19"/>
  <c r="K9" i="19"/>
  <c r="G9" i="19"/>
  <c r="F9" i="19"/>
  <c r="D9" i="19"/>
  <c r="C9" i="19"/>
  <c r="L8" i="19"/>
  <c r="K8" i="19"/>
  <c r="G8" i="19"/>
  <c r="F8" i="19"/>
  <c r="D8" i="19"/>
  <c r="C8" i="19"/>
  <c r="L7" i="19"/>
  <c r="K7" i="19"/>
  <c r="G7" i="19"/>
  <c r="F7" i="19"/>
  <c r="D7" i="19"/>
  <c r="C7" i="19"/>
  <c r="L6" i="19"/>
  <c r="K6" i="19"/>
  <c r="G6" i="19"/>
  <c r="F6" i="19"/>
  <c r="D6" i="19"/>
  <c r="C6" i="19"/>
  <c r="L5" i="19"/>
  <c r="K5" i="19"/>
  <c r="G5" i="19"/>
  <c r="F5" i="19"/>
  <c r="D5" i="19"/>
  <c r="C5" i="19"/>
  <c r="L4" i="19"/>
  <c r="K4" i="19"/>
  <c r="G4" i="19"/>
  <c r="F4" i="19"/>
  <c r="D4" i="19"/>
  <c r="C4" i="19"/>
  <c r="L3" i="19"/>
  <c r="K3" i="19"/>
  <c r="G3" i="19"/>
  <c r="F3" i="19"/>
  <c r="D3" i="19"/>
  <c r="C3" i="19"/>
  <c r="L2" i="19"/>
  <c r="K2" i="19"/>
  <c r="G2" i="19"/>
  <c r="F2" i="19"/>
  <c r="D2" i="19"/>
  <c r="C2" i="19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33" i="9"/>
  <c r="A31" i="9"/>
  <c r="A29" i="9"/>
  <c r="A28" i="9"/>
  <c r="A27" i="9"/>
  <c r="A26" i="9"/>
  <c r="A25" i="9"/>
  <c r="A24" i="9"/>
  <c r="A20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Y4" i="7"/>
  <c r="W4" i="7"/>
  <c r="R4" i="7"/>
  <c r="Q4" i="7"/>
  <c r="P4" i="7"/>
  <c r="O4" i="7"/>
  <c r="N4" i="7"/>
  <c r="H4" i="7"/>
  <c r="D4" i="7"/>
  <c r="F4" i="7"/>
  <c r="E4" i="7"/>
  <c r="A4" i="7"/>
  <c r="W3" i="7"/>
  <c r="R3" i="7"/>
  <c r="Q3" i="7"/>
  <c r="P3" i="7"/>
  <c r="O3" i="7"/>
  <c r="N3" i="7"/>
  <c r="H3" i="7"/>
  <c r="D3" i="7"/>
  <c r="F3" i="7"/>
  <c r="E3" i="7"/>
  <c r="A3" i="7"/>
  <c r="W2" i="7"/>
  <c r="R2" i="7"/>
  <c r="Q2" i="7"/>
  <c r="P2" i="7"/>
  <c r="O2" i="7"/>
  <c r="N2" i="7"/>
  <c r="H2" i="7"/>
  <c r="D2" i="7"/>
  <c r="F2" i="7"/>
  <c r="E2" i="7"/>
  <c r="A2" i="7"/>
  <c r="AD8" i="1"/>
  <c r="AG8" i="1"/>
  <c r="AE8" i="1"/>
  <c r="AC8" i="1"/>
  <c r="Q8" i="1"/>
  <c r="P8" i="1"/>
  <c r="O8" i="1"/>
  <c r="N8" i="1"/>
  <c r="M8" i="1"/>
  <c r="D8" i="1"/>
  <c r="F8" i="1"/>
  <c r="E8" i="1"/>
  <c r="A8" i="1"/>
  <c r="AB7" i="1"/>
  <c r="AD7" i="1"/>
  <c r="AG7" i="1"/>
  <c r="AE7" i="1"/>
  <c r="AC7" i="1"/>
  <c r="AA7" i="1"/>
  <c r="Q7" i="1"/>
  <c r="P7" i="1"/>
  <c r="O7" i="1"/>
  <c r="N7" i="1"/>
  <c r="M7" i="1"/>
  <c r="D7" i="1"/>
  <c r="F7" i="1"/>
  <c r="E7" i="1"/>
  <c r="A7" i="1"/>
  <c r="AB6" i="1"/>
  <c r="AD6" i="1"/>
  <c r="AG6" i="1"/>
  <c r="AE6" i="1"/>
  <c r="AC6" i="1"/>
  <c r="AA6" i="1"/>
  <c r="Q6" i="1"/>
  <c r="P6" i="1"/>
  <c r="O6" i="1"/>
  <c r="N6" i="1"/>
  <c r="M6" i="1"/>
  <c r="D6" i="1"/>
  <c r="F6" i="1"/>
  <c r="E6" i="1"/>
  <c r="A6" i="1"/>
  <c r="AB5" i="1"/>
  <c r="AD5" i="1"/>
  <c r="AG5" i="1"/>
  <c r="AE5" i="1"/>
  <c r="AC5" i="1"/>
  <c r="AA5" i="1"/>
  <c r="Q5" i="1"/>
  <c r="P5" i="1"/>
  <c r="O5" i="1"/>
  <c r="N5" i="1"/>
  <c r="M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D4" i="1"/>
  <c r="F4" i="1"/>
  <c r="E4" i="1"/>
  <c r="AB3" i="1"/>
  <c r="AD3" i="1"/>
  <c r="AG3" i="1"/>
  <c r="AE3" i="1"/>
  <c r="AC3" i="1"/>
  <c r="AA3" i="1"/>
  <c r="Q3" i="1"/>
  <c r="P3" i="1"/>
  <c r="O3" i="1"/>
  <c r="N3" i="1"/>
  <c r="M3" i="1"/>
  <c r="D3" i="1"/>
  <c r="F3" i="1"/>
  <c r="E3" i="1"/>
  <c r="A3" i="1"/>
  <c r="AB2" i="1"/>
  <c r="AD2" i="1"/>
  <c r="AG2" i="1"/>
  <c r="AE2" i="1"/>
  <c r="AC2" i="1"/>
  <c r="Q2" i="1"/>
  <c r="P2" i="1"/>
  <c r="O2" i="1"/>
  <c r="N2" i="1"/>
  <c r="M2" i="1"/>
  <c r="D2" i="1"/>
  <c r="F2" i="1"/>
  <c r="E2" i="1"/>
  <c r="H5" i="2"/>
  <c r="E5" i="2"/>
  <c r="D5" i="2"/>
  <c r="H4" i="2"/>
  <c r="E4" i="2"/>
  <c r="D4" i="2"/>
  <c r="H3" i="2"/>
  <c r="E3" i="2"/>
  <c r="D3" i="2"/>
  <c r="H2" i="2"/>
  <c r="E2" i="2"/>
  <c r="D2" i="2"/>
  <c r="E13" i="16"/>
  <c r="E12" i="16"/>
  <c r="E11" i="16"/>
  <c r="E10" i="16"/>
  <c r="E9" i="16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<sst xmlns="http://schemas.openxmlformats.org/spreadsheetml/2006/main" count="1214" uniqueCount="408">
  <si>
    <t>quest_id</t>
  </si>
  <si>
    <t>stage_id</t>
  </si>
  <si>
    <t>character_id</t>
  </si>
  <si>
    <t>level</t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</si>
  <si>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</si>
  <si>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</si>
  <si>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</si>
  <si>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</si>
  <si>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</si>
  <si>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</si>
  <si>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</si>
  <si>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</si>
  <si>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</si>
  <si>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</si>
  <si>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</si>
  <si>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</si>
  <si>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name</t>
    <phoneticPr fontId="5"/>
  </si>
  <si>
    <t>skill_set_id</t>
  </si>
  <si>
    <t>temp_floor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</si>
  <si>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</si>
  <si>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</si>
  <si>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</si>
  <si>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</si>
  <si>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</si>
  <si>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</si>
  <si>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</si>
  <si>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</si>
  <si>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</si>
  <si>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</si>
  <si>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</si>
  <si>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</si>
  <si>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</si>
  <si>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</si>
  <si>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</si>
  <si>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</si>
  <si>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</si>
  <si>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</si>
  <si>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</si>
  <si>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</si>
  <si>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</si>
  <si>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</si>
  <si>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</si>
  <si>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</si>
  <si>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</si>
  <si>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</si>
  <si>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priority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</si>
  <si>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</si>
  <si>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</si>
  <si>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</si>
  <si>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</si>
  <si>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</si>
  <si>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</si>
  <si>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</si>
  <si>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</si>
  <si>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</si>
  <si>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</si>
  <si>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</si>
  <si>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</si>
  <si>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</si>
  <si>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</si>
  <si>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</si>
  <si>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</si>
  <si>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</si>
  <si>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</si>
  <si>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</si>
  <si>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</si>
  <si>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</si>
  <si>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</si>
  <si>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</si>
  <si>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</si>
  <si>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</si>
  <si>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</si>
  <si>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</si>
  <si>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</si>
  <si>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</si>
  <si>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</si>
  <si>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</si>
  <si>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</si>
  <si>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</si>
  <si>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</si>
  <si>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</si>
  <si>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</si>
  <si>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</si>
  <si>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</si>
  <si>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</si>
  <si>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</si>
  <si>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</si>
  <si>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</si>
  <si>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</si>
  <si>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ja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</si>
  <si>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</si>
  <si>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</si>
  <si>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</si>
  <si>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</si>
  <si>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</si>
  <si>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</si>
  <si>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</si>
  <si>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</si>
  <si>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</si>
  <si>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</si>
  <si>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</si>
  <si>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</si>
  <si>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</si>
  <si>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</si>
  <si>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</si>
  <si>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</si>
  <si>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</si>
  <si>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</si>
  <si>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</si>
  <si>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</si>
  <si>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</si>
  <si>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</si>
  <si>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</si>
  <si>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</si>
  <si>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</si>
  <si>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</si>
  <si>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</si>
  <si>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</si>
  <si>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</si>
  <si>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</si>
  <si>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</si>
  <si>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</si>
  <si>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</si>
  <si>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</si>
  <si>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</si>
  <si>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</si>
  <si>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</si>
  <si>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</si>
  <si>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</si>
  <si>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</si>
  <si>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</si>
  <si>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</si>
  <si>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</si>
  <si>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</si>
  <si>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</si>
  <si>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</si>
  <si>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</si>
  <si>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</si>
  <si>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</si>
  <si>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</si>
  <si>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</si>
  <si>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</si>
  <si>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name</t>
    <phoneticPr fontId="5"/>
  </si>
  <si>
    <t>tmp_hint_id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</si>
  <si>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</si>
  <si>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</si>
  <si>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</si>
  <si>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</si>
  <si>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</si>
  <si>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</si>
  <si>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</si>
  <si>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</si>
  <si>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</si>
  <si>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</si>
  <si>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</si>
  <si>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</si>
  <si>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</si>
  <si>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</si>
  <si>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</si>
  <si>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</si>
  <si>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</si>
  <si>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</si>
  <si>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</si>
  <si>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</si>
  <si>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</si>
  <si>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</si>
  <si>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</si>
  <si>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</si>
  <si>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</si>
  <si>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</si>
  <si>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</si>
  <si>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</si>
  <si>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</si>
  <si>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</si>
  <si>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</si>
  <si>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</si>
  <si>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</si>
  <si>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</si>
  <si>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</si>
  <si>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</si>
  <si>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</si>
  <si>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</si>
  <si>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</si>
  <si>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</si>
  <si>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</si>
  <si>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</si>
  <si>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</si>
  <si>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</si>
  <si>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</si>
  <si>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</si>
  <si>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</si>
  <si>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</si>
  <si>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</si>
  <si>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</si>
  <si>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</si>
  <si>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</si>
  <si>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temp_habitats</t>
    <phoneticPr fontId="5"/>
  </si>
  <si>
    <t>temp_stage</t>
    <phoneticPr fontId="5"/>
  </si>
  <si>
    <t>temp_floor</t>
    <phoneticPr fontId="5"/>
  </si>
  <si>
    <t>seq_no</t>
    <phoneticPr fontId="5"/>
  </si>
  <si>
    <t>color</t>
    <phoneticPr fontId="5"/>
  </si>
  <si>
    <t>drop_label</t>
    <phoneticPr fontId="5"/>
  </si>
  <si>
    <t>character_main_tribe_id</t>
    <phoneticPr fontId="5"/>
  </si>
  <si>
    <t>size</t>
    <phoneticPr fontId="5"/>
  </si>
  <si>
    <t>hp_coefficient</t>
    <phoneticPr fontId="5"/>
  </si>
  <si>
    <t>attack_coefficient</t>
    <phoneticPr fontId="5"/>
  </si>
  <si>
    <t>defense_correction</t>
    <phoneticPr fontId="5"/>
  </si>
  <si>
    <t>スキル</t>
    <phoneticPr fontId="5"/>
  </si>
  <si>
    <t>skill_set_id</t>
    <phoneticPr fontId="5"/>
  </si>
  <si>
    <t>rare</t>
    <phoneticPr fontId="5"/>
  </si>
  <si>
    <t>drop_label</t>
    <phoneticPr fontId="7"/>
  </si>
  <si>
    <t>null</t>
    <phoneticPr fontId="5"/>
  </si>
  <si>
    <t>temp_habitats</t>
    <phoneticPr fontId="5"/>
  </si>
  <si>
    <t>temp_stage</t>
    <phoneticPr fontId="5"/>
  </si>
  <si>
    <t>name</t>
    <phoneticPr fontId="5"/>
  </si>
  <si>
    <t>floor_id</t>
    <phoneticPr fontId="5"/>
  </si>
  <si>
    <t>temp_floor</t>
    <phoneticPr fontId="5"/>
  </si>
  <si>
    <t>seq_no</t>
    <phoneticPr fontId="5"/>
  </si>
  <si>
    <t>state_no</t>
    <phoneticPr fontId="5"/>
  </si>
  <si>
    <t>color</t>
    <phoneticPr fontId="5"/>
  </si>
  <si>
    <t>drop_label</t>
    <phoneticPr fontId="5"/>
  </si>
  <si>
    <t>character_main_tribe_id</t>
    <phoneticPr fontId="5"/>
  </si>
  <si>
    <t>size</t>
    <phoneticPr fontId="5"/>
  </si>
  <si>
    <t>hp_coefficient</t>
    <phoneticPr fontId="5"/>
  </si>
  <si>
    <t>attack_coefficient</t>
    <phoneticPr fontId="5"/>
  </si>
  <si>
    <t>defense_correction</t>
    <phoneticPr fontId="5"/>
  </si>
  <si>
    <t>スキル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</si>
  <si>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</si>
  <si>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</si>
  <si>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</si>
  <si>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</si>
  <si>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</si>
  <si>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name</t>
    <phoneticPr fontId="7"/>
  </si>
  <si>
    <t>comment</t>
    <phoneticPr fontId="7"/>
  </si>
  <si>
    <t>skill_trigger_id</t>
    <phoneticPr fontId="7"/>
  </si>
  <si>
    <t>skill_trigger_id</t>
    <phoneticPr fontId="7"/>
  </si>
  <si>
    <t>first_time</t>
    <phoneticPr fontId="5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</si>
  <si>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</si>
  <si>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</si>
  <si>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</si>
  <si>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</si>
  <si>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invoke_rate</t>
    <phoneticPr fontId="5"/>
  </si>
  <si>
    <t>hp_threshold</t>
    <phoneticPr fontId="5"/>
  </si>
  <si>
    <t>hp_threshold</t>
    <phoneticPr fontId="5"/>
  </si>
  <si>
    <t>hp_termination</t>
    <phoneticPr fontId="5"/>
  </si>
  <si>
    <t>hp_termination</t>
    <phoneticPr fontId="5"/>
  </si>
  <si>
    <t>invoke_times</t>
    <phoneticPr fontId="5"/>
  </si>
  <si>
    <t>every_time_count</t>
    <phoneticPr fontId="5"/>
  </si>
  <si>
    <t>every_time_count</t>
    <phoneticPr fontId="5"/>
  </si>
  <si>
    <t>neighbor_dead_id</t>
    <phoneticPr fontId="5"/>
  </si>
  <si>
    <t>neighbor_dead_id</t>
    <phoneticPr fontId="5"/>
  </si>
  <si>
    <t>invoke_weight</t>
    <phoneticPr fontId="5"/>
  </si>
  <si>
    <t>effect_param</t>
    <phoneticPr fontId="5"/>
  </si>
  <si>
    <t>[effect:nothing]</t>
    <phoneticPr fontId="5"/>
  </si>
  <si>
    <t>ショウイン</t>
    <phoneticPr fontId="5"/>
  </si>
  <si>
    <t>予備枠</t>
    <rPh sb="0" eb="2">
      <t>ヨb</t>
    </rPh>
    <rPh sb="2" eb="3">
      <t>ワk</t>
    </rPh>
    <phoneticPr fontId="5"/>
  </si>
  <si>
    <t>[effect:enhance_enemy, target:myself, turn:5, status:defense, val:2000, calc:add, animation:enemy_enhance_defense]</t>
    <phoneticPr fontId="5"/>
  </si>
  <si>
    <t>セキュリティウォール</t>
    <phoneticPr fontId="5"/>
  </si>
  <si>
    <t>[effect:rush, count:4, val:0.35]</t>
    <phoneticPr fontId="5"/>
  </si>
  <si>
    <t>超拡散アタック</t>
    <rPh sb="0" eb="3">
      <t>チョ</t>
    </rPh>
    <phoneticPr fontId="5"/>
  </si>
  <si>
    <t>ニムダ</t>
    <phoneticPr fontId="5"/>
  </si>
  <si>
    <t>[effect:charge, status:attack, val:1]</t>
    <phoneticPr fontId="5"/>
  </si>
  <si>
    <t>一点集中</t>
    <rPh sb="0" eb="2">
      <t>イッテン</t>
    </rPh>
    <rPh sb="2" eb="4">
      <t>シュウチュウ</t>
    </rPh>
    <phoneticPr fontId="7"/>
  </si>
  <si>
    <t>次のターン強力な攻撃</t>
    <rPh sb="0" eb="1">
      <t>ツギ</t>
    </rPh>
    <rPh sb="5" eb="7">
      <t>キョウリョク</t>
    </rPh>
    <rPh sb="8" eb="10">
      <t>コウゲキ</t>
    </rPh>
    <phoneticPr fontId="5"/>
  </si>
  <si>
    <t>[effect:nothing]</t>
    <phoneticPr fontId="5"/>
  </si>
  <si>
    <t>ja</t>
    <phoneticPr fontId="5"/>
  </si>
  <si>
    <t>マイ</t>
    <phoneticPr fontId="5"/>
  </si>
  <si>
    <t>マイ</t>
    <phoneticPr fontId="5"/>
  </si>
  <si>
    <t>[effect:nothing]</t>
    <phoneticPr fontId="5"/>
  </si>
  <si>
    <t>ja</t>
    <phoneticPr fontId="5"/>
  </si>
  <si>
    <t>マイ</t>
    <phoneticPr fontId="5"/>
  </si>
  <si>
    <t>[effect:damage_anti_tribe, target:unit_all, tribe:god, val1:0.7, val2:0.2]</t>
    <phoneticPr fontId="5"/>
  </si>
  <si>
    <t>鬼神一閃</t>
    <rPh sb="0" eb="4">
      <t>キs</t>
    </rPh>
    <phoneticPr fontId="5"/>
  </si>
  <si>
    <t>[effect:enhance_enemy, target:myself, turn:5, status:defense, val:2000, calc:add, animation:enemy_enhance_defense]</t>
    <phoneticPr fontId="5"/>
  </si>
  <si>
    <t>ja</t>
    <phoneticPr fontId="5"/>
  </si>
  <si>
    <t>護りの構え</t>
    <rPh sb="0" eb="3">
      <t>マモリ</t>
    </rPh>
    <rPh sb="3" eb="5">
      <t>カm</t>
    </rPh>
    <phoneticPr fontId="5"/>
  </si>
  <si>
    <t>[effect:critical, val:1.5]</t>
    <phoneticPr fontId="5"/>
  </si>
  <si>
    <t>[effect:critical, val:1.5]</t>
    <phoneticPr fontId="5"/>
  </si>
  <si>
    <t>ja</t>
    <phoneticPr fontId="5"/>
  </si>
  <si>
    <t>無形絶剣</t>
    <rPh sb="0" eb="2">
      <t>ムk</t>
    </rPh>
    <rPh sb="2" eb="4">
      <t>ゼt</t>
    </rPh>
    <phoneticPr fontId="5"/>
  </si>
  <si>
    <t>クリティカル攻撃</t>
    <rPh sb="6" eb="8">
      <t>コウゲk</t>
    </rPh>
    <phoneticPr fontId="5"/>
  </si>
  <si>
    <t>[effect:nothing]</t>
    <phoneticPr fontId="5"/>
  </si>
  <si>
    <t>土方歳三1</t>
    <rPh sb="0" eb="4">
      <t>ヒジカt</t>
    </rPh>
    <phoneticPr fontId="5"/>
  </si>
  <si>
    <t>[effect:nothing]</t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</si>
  <si>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animation:enemy_tolerance],[effect:enemy_counter, target:myself, invoke_condition:unit_all, counter_target:attacker, turn:1, val:1.5, animation:enemy_counter]</t>
    <phoneticPr fontId="5"/>
  </si>
  <si>
    <t>ja</t>
    <phoneticPr fontId="5"/>
  </si>
  <si>
    <t>返し刀の構え</t>
    <rPh sb="0" eb="2">
      <t>カ</t>
    </rPh>
    <rPh sb="2" eb="3">
      <t>カタナ</t>
    </rPh>
    <rPh sb="4" eb="6">
      <t>カマ</t>
    </rPh>
    <phoneticPr fontId="5"/>
  </si>
  <si>
    <t>[effect:enhance_enemy, target:myself, turn:3, status:attack, val:1.2, calc:mul, animation:enemy_enhance_attack]</t>
    <phoneticPr fontId="5"/>
  </si>
  <si>
    <t>攻めの構え</t>
    <rPh sb="0" eb="5">
      <t>セメン</t>
    </rPh>
    <phoneticPr fontId="5"/>
  </si>
  <si>
    <t>[effect:rush, count:3, val:0.4]</t>
    <phoneticPr fontId="5"/>
  </si>
  <si>
    <t>参の太刀</t>
    <rPh sb="0" eb="1">
      <t>サン</t>
    </rPh>
    <rPh sb="2" eb="4">
      <t>タチ</t>
    </rPh>
    <phoneticPr fontId="5"/>
  </si>
  <si>
    <t>土方歳三2</t>
    <rPh sb="0" eb="4">
      <t>ヒジカt</t>
    </rPh>
    <phoneticPr fontId="5"/>
  </si>
  <si>
    <t>熱々焼きゴテ</t>
    <rPh sb="0" eb="2">
      <t>アツアツ</t>
    </rPh>
    <rPh sb="2" eb="6">
      <t>ヤキ</t>
    </rPh>
    <phoneticPr fontId="5"/>
  </si>
  <si>
    <t>ガンテツ</t>
    <phoneticPr fontId="5"/>
  </si>
  <si>
    <t>[effect:virus, turn:-1, rate:1, val:0.05, animation:enemy_virus]</t>
    <phoneticPr fontId="5"/>
  </si>
  <si>
    <t>侵食性ウィルス</t>
    <rPh sb="0" eb="3">
      <t>シン</t>
    </rPh>
    <phoneticPr fontId="5"/>
  </si>
  <si>
    <t xml:space="preserve">[effect:spread, val:0.3]    </t>
    <phoneticPr fontId="5"/>
  </si>
  <si>
    <t>紅の一閃</t>
    <rPh sb="0" eb="2">
      <t>クレナイン</t>
    </rPh>
    <rPh sb="2" eb="4">
      <t>イッセン</t>
    </rPh>
    <phoneticPr fontId="5"/>
  </si>
  <si>
    <t>全体攻撃</t>
    <rPh sb="0" eb="4">
      <t>ゼン</t>
    </rPh>
    <phoneticPr fontId="5"/>
  </si>
  <si>
    <t>メリッサ</t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</si>
  <si>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t>
    <phoneticPr fontId="5"/>
  </si>
  <si>
    <t>闘気侵食</t>
    <rPh sb="0" eb="2">
      <t>トウキ</t>
    </rPh>
    <rPh sb="2" eb="4">
      <t>シン</t>
    </rPh>
    <phoneticPr fontId="5"/>
  </si>
  <si>
    <t>[effect:damage_anti_tribe, target:unit_all, tribe:god, val1:0.7, val2:0.3]</t>
    <phoneticPr fontId="5"/>
  </si>
  <si>
    <t>神をも斬り裂く太刀</t>
    <rPh sb="0" eb="1">
      <t>キs</t>
    </rPh>
    <rPh sb="3" eb="5">
      <t>kiri</t>
    </rPh>
    <rPh sb="5" eb="7">
      <t>キr</t>
    </rPh>
    <rPh sb="7" eb="9">
      <t>タチ</t>
    </rPh>
    <phoneticPr fontId="5"/>
  </si>
  <si>
    <t>無双連撃</t>
    <rPh sb="0" eb="4">
      <t>ムソ</t>
    </rPh>
    <phoneticPr fontId="5"/>
  </si>
  <si>
    <t>鬼1</t>
    <rPh sb="0" eb="1">
      <t>オン</t>
    </rPh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</si>
  <si>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val:0.15, animation:enemy_virus]</t>
    <phoneticPr fontId="5"/>
  </si>
  <si>
    <t>[effect:sleep, target:unit_one, turn:2, rate:0.75],[effect:sleep, target:unit_one, turn:2, rate:0.75]</t>
    <phoneticPr fontId="5"/>
  </si>
  <si>
    <t>ja</t>
    <phoneticPr fontId="5"/>
  </si>
  <si>
    <t>振舞い酒</t>
    <rPh sb="0" eb="2">
      <t>フルマ</t>
    </rPh>
    <phoneticPr fontId="5"/>
  </si>
  <si>
    <t xml:space="preserve">[effect:damage_anti_abnormal, target:unit_all, target_effect01:sleep, val1:0.5, val2:0.1]    </t>
    <phoneticPr fontId="5"/>
  </si>
  <si>
    <t>酔虎斬刀</t>
    <rPh sb="0" eb="2">
      <t>スイコ</t>
    </rPh>
    <rPh sb="2" eb="4">
      <t>ザン</t>
    </rPh>
    <phoneticPr fontId="5"/>
  </si>
  <si>
    <t>[effect:nothing]</t>
    <phoneticPr fontId="5"/>
  </si>
  <si>
    <t>ja</t>
    <phoneticPr fontId="5"/>
  </si>
  <si>
    <t>鬼2</t>
    <rPh sb="0" eb="1">
      <t>オン</t>
    </rPh>
    <phoneticPr fontId="5"/>
  </si>
  <si>
    <t>[effect:nothing]</t>
    <phoneticPr fontId="5"/>
  </si>
  <si>
    <t>ja</t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</si>
  <si>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animation:enemy_tolerance],[effect:enhance_enemy, target:myself, turn:5, status:defense, val:2000, calc:add, animation:enemy_enhance_defense],[effect:fix_speed, target:myself, turn:1]</t>
    <phoneticPr fontId="5"/>
  </si>
  <si>
    <t>闘気充実</t>
    <rPh sb="0" eb="2">
      <t>トウキ</t>
    </rPh>
    <rPh sb="2" eb="4">
      <t>10j</t>
    </rPh>
    <phoneticPr fontId="5"/>
  </si>
  <si>
    <t>[effect:rush, count:4, val:0.3]</t>
    <phoneticPr fontId="5"/>
  </si>
  <si>
    <t>闘気爆発</t>
    <rPh sb="0" eb="4">
      <t>ト</t>
    </rPh>
    <phoneticPr fontId="5"/>
  </si>
  <si>
    <t>[effect:remove_enhancement, target:unit_all, target_effect:enhance, target_type:buff, animation:frozen_wave]</t>
    <phoneticPr fontId="5"/>
  </si>
  <si>
    <t>真剣勝負よ！</t>
    <rPh sb="0" eb="4">
      <t>シンケンショウb</t>
    </rPh>
    <phoneticPr fontId="5"/>
  </si>
  <si>
    <t>こっちから行くわよ！</t>
    <rPh sb="5" eb="10">
      <t>イk</t>
    </rPh>
    <phoneticPr fontId="5"/>
  </si>
  <si>
    <t>まだまだ終わらないわ！</t>
    <rPh sb="4" eb="10">
      <t>オワラン</t>
    </rPh>
    <phoneticPr fontId="5"/>
  </si>
  <si>
    <t>これで終わらせてやるわ…！</t>
    <rPh sb="3" eb="13">
      <t>オワラs</t>
    </rPh>
    <phoneticPr fontId="5"/>
  </si>
  <si>
    <t>鬼3</t>
    <rPh sb="0" eb="1">
      <t>オン</t>
    </rPh>
    <phoneticPr fontId="5"/>
  </si>
  <si>
    <t>[effect:nothing]</t>
    <phoneticPr fontId="5"/>
  </si>
  <si>
    <t>ja</t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</si>
  <si>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</si>
  <si>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</si>
  <si>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</si>
  <si>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</si>
  <si>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</si>
  <si>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</si>
  <si>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</si>
  <si>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</si>
  <si>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</si>
  <si>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</si>
  <si>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floor_id</t>
    <phoneticPr fontId="5"/>
  </si>
  <si>
    <t>hint_id</t>
    <phoneticPr fontId="5"/>
  </si>
  <si>
    <t>language</t>
    <phoneticPr fontId="5"/>
  </si>
  <si>
    <t>title</t>
    <phoneticPr fontId="5"/>
  </si>
  <si>
    <t>hint</t>
    <phoneticPr fontId="5"/>
  </si>
  <si>
    <t>filename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</si>
  <si>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</si>
  <si>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</si>
  <si>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</si>
  <si>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</si>
  <si>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</si>
  <si>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</si>
  <si>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</si>
  <si>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</si>
  <si>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</si>
  <si>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</si>
  <si>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</si>
  <si>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old</t>
  </si>
  <si>
    <t>old</t>
    <phoneticPr fontId="5"/>
  </si>
  <si>
    <t>3回連続攻撃</t>
    <rPh sb="2" eb="4">
      <t>レンゾk</t>
    </rPh>
    <rPh sb="4" eb="6">
      <t>キョウリョk</t>
    </rPh>
    <phoneticPr fontId="5"/>
  </si>
  <si>
    <t>4回連続攻撃</t>
    <rPh sb="2" eb="6">
      <t>レンゾk</t>
    </rPh>
    <phoneticPr fontId="5"/>
  </si>
  <si>
    <t>3ターンの間攻撃力UP</t>
    <rPh sb="5" eb="6">
      <t>ア</t>
    </rPh>
    <rPh sb="6" eb="9">
      <t>コウゲk</t>
    </rPh>
    <phoneticPr fontId="5"/>
  </si>
  <si>
    <t>[effect:break_attack, val:0.1, lowest_val:3000, count:-1, block:block_green, target:unit_one]</t>
    <phoneticPr fontId="5"/>
  </si>
  <si>
    <t>[effect:break_attack, val:0.1, lowest_val:4000, count:-1, block:block_green, target:unit_one]</t>
    <phoneticPr fontId="5"/>
  </si>
  <si>
    <t>[effect:break_attack, val:0.1, lowest_val:5000, count:-1, block:block_green, target:unit_one]</t>
    <phoneticPr fontId="5"/>
  </si>
  <si>
    <t>[effect:enhance_enemy, target:myself, turn:3, status:attack, val:0.5, calc:mul, animation:enemy_enhance_attack]</t>
    <phoneticPr fontId="5"/>
  </si>
  <si>
    <t>緑パネル吸収攻撃</t>
    <rPh sb="0" eb="1">
      <t>ミドr</t>
    </rPh>
    <phoneticPr fontId="5"/>
  </si>
  <si>
    <t>緑パネル吸収攻撃(最大8個)</t>
    <rPh sb="0" eb="1">
      <t>ミドr</t>
    </rPh>
    <phoneticPr fontId="5"/>
  </si>
  <si>
    <t>[effect:break_attack, val:0.1, lowest_val:3000, count:8, block:block_green, target:unit_one]</t>
  </si>
  <si>
    <t>[effect:break_attack, val:0.1, lowest_val:4000, count:8, block:block_green, target:unit_one]</t>
    <phoneticPr fontId="5"/>
  </si>
  <si>
    <t>[effect:enemy_message],[effect:tolerance,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t>
    <phoneticPr fontId="5"/>
  </si>
  <si>
    <t>[effect:enemy_message],[effect:tolerance,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t>
    <phoneticPr fontId="5"/>
  </si>
  <si>
    <t>[effect:enemy_message],[effect:tolerance,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t>
    <phoneticPr fontId="5"/>
  </si>
  <si>
    <t>everyone</t>
    <phoneticPr fontId="5"/>
  </si>
  <si>
    <t>no_continue</t>
    <phoneticPr fontId="5"/>
  </si>
  <si>
    <t>unit</t>
    <phoneticPr fontId="7"/>
  </si>
  <si>
    <t>2016-5-27 0:00:00</t>
    <phoneticPr fontId="5"/>
  </si>
  <si>
    <t>2970-01-01 09:00:00</t>
    <phoneticPr fontId="5"/>
  </si>
  <si>
    <t>null</t>
  </si>
  <si>
    <t>link</t>
  </si>
  <si>
    <t>unit</t>
  </si>
  <si>
    <t>状態異常耐性＋解除するまでウィルス</t>
    <rPh sb="0" eb="6">
      <t>ジョ</t>
    </rPh>
    <phoneticPr fontId="5"/>
  </si>
  <si>
    <t>解除するまでウィルス</t>
    <phoneticPr fontId="5"/>
  </si>
  <si>
    <t>5ターン防御力UP</t>
    <rPh sb="4" eb="6">
      <t>カイマk</t>
    </rPh>
    <rPh sb="6" eb="7">
      <t>リョｋ</t>
    </rPh>
    <phoneticPr fontId="5"/>
  </si>
  <si>
    <t>3ターン攻撃力UP</t>
    <rPh sb="4" eb="7">
      <t>コウゲk</t>
    </rPh>
    <phoneticPr fontId="5"/>
  </si>
  <si>
    <t>状態異常耐性＋5ターン防御力UP</t>
    <rPh sb="0" eb="6">
      <t>カ</t>
    </rPh>
    <rPh sb="11" eb="13">
      <t>ボ</t>
    </rPh>
    <rPh sb="13" eb="14">
      <t>リョk</t>
    </rPh>
    <phoneticPr fontId="5"/>
  </si>
  <si>
    <t>種族ゴッドのユニットに大ダメージ</t>
    <phoneticPr fontId="5"/>
  </si>
  <si>
    <t>種族ゴッドのユニットに大ダメージ</t>
    <phoneticPr fontId="5"/>
  </si>
  <si>
    <t>種族ゴッドのユニットに大ダメージ</t>
    <phoneticPr fontId="5"/>
  </si>
  <si>
    <t>状態異常耐性＋1ターンカウンター</t>
    <phoneticPr fontId="5"/>
  </si>
  <si>
    <t>スリープ状態のユニットに大ダメージ</t>
    <phoneticPr fontId="5"/>
  </si>
  <si>
    <t>最大で2体のユニットにスリープ</t>
    <rPh sb="0" eb="2">
      <t>サイダ</t>
    </rPh>
    <rPh sb="3" eb="11">
      <t>ミカt</t>
    </rPh>
    <phoneticPr fontId="5"/>
  </si>
  <si>
    <t>全てのプラス効果を解除</t>
    <phoneticPr fontId="5"/>
  </si>
  <si>
    <t>3ターン攻撃力UP</t>
    <phoneticPr fontId="5"/>
  </si>
  <si>
    <t>土方歳三はHPが一定以下になると
強力な攻撃を行ってきます
フィーバーを使って倒し切りましょう</t>
    <phoneticPr fontId="5"/>
  </si>
  <si>
    <t>ウィルスは毎ターンダメージを受けます
ウィルス解除のスキルを持つユニットを
連れて行くと役に立つでしょう</t>
    <phoneticPr fontId="5"/>
  </si>
  <si>
    <t>ヨミは種族ゴッドに対して大ダメージの
攻撃を行ってきます
大ダメージを受けてしまう場合は
ユニットの構成を変えてみましょう</t>
    <phoneticPr fontId="5"/>
  </si>
  <si>
    <t>土方歳三はHPが一定以下になると
強力な攻撃を行ってきます
フィーバーを使って倒し切りましょう</t>
    <phoneticPr fontId="5"/>
  </si>
  <si>
    <t>ウィルスは毎ターンダメージを受けます
ウィルス解除のスキルを持つユニットを
連れて行くと役に立つでしょう</t>
    <phoneticPr fontId="5"/>
  </si>
  <si>
    <t>ウィルスは毎ターンダメージを受けます
ウィルス解除のスキルを持つユニットを
連れて行くと役に立つでしょう</t>
    <phoneticPr fontId="5"/>
  </si>
  <si>
    <t>ヨミは種族ゴッドに対して大ダメージの
攻撃を行ってきます
大ダメージを受けてしまう場合は
ユニットの構成を変えてみましょう</t>
    <phoneticPr fontId="5"/>
  </si>
  <si>
    <t>ウィルスは毎ターンダメージを受けます
ウィルス解除のスキルを持つユニットを
連れて行くと役に立つでしょう</t>
    <phoneticPr fontId="5"/>
  </si>
  <si>
    <t>ヨミは一定のHPを切ると緑パネル吸収攻撃で
大ダメージを与えてきます
緑パネルの処理に気をつけましょう</t>
    <rPh sb="18" eb="21">
      <t>ハカ</t>
    </rPh>
    <phoneticPr fontId="5"/>
  </si>
  <si>
    <t>[effect:tolerance, target:myself, turn:-1, tolerance_effect:virus, count:-1],[effect:tolerance, target:myself, turn:-1, tolerance_effect:sleep, count:-1],[effect:tolerance, target:myself, turn:-1, tolerance_effect:hungup, count:-1, animation:enemy_tolerance],[effect:enhance_enemy, target:myself, turn:5, status:defense, val:2000, calc:add, animation:enemy_enhance_defense],[effect:fix_speed, target:myself, turn:1]</t>
    <phoneticPr fontId="5"/>
  </si>
  <si>
    <t>これで終わらせてやるわ…！</t>
    <phoneticPr fontId="5"/>
  </si>
  <si>
    <t>[effect:break_attack, val:0.1, lowest_val:5000, count:8, block:block_green, target:unit_one]</t>
    <phoneticPr fontId="5"/>
  </si>
  <si>
    <t>ショウキ様…どうしてここに！?</t>
    <phoneticPr fontId="5"/>
  </si>
  <si>
    <t>疑ってるの？あたしの実力を！</t>
    <phoneticPr fontId="5"/>
  </si>
  <si>
    <t>ここからが…本気なんだからっ！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</si>
</sst>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72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0" borderId="0" xfId="0" applyFont="1" applyAlignment="1">
      <alignment wrapText="1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0" fontId="16" fillId="32" borderId="0" xfId="0" applyFont="1" applyFill="1" applyAlignment="1">
      <alignment vertical="center"/>
    </xf>
    <xf numFmtId="0" fontId="0" fillId="0" borderId="7" xfId="0" applyFill="1" applyBorder="1" applyAlignment="1">
      <alignment vertical="center"/>
    </xf>
    <xf numFmtId="0" fontId="0" fillId="0" borderId="12" xfId="0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27" fillId="0" borderId="12" xfId="0" applyFont="1" applyFill="1" applyBorder="1"/>
    <xf numFmtId="0" fontId="0" fillId="0" borderId="23" xfId="0" applyBorder="1"/>
    <xf numFmtId="0" fontId="0" fillId="3" borderId="7" xfId="0" applyFill="1" applyBorder="1"/>
    <xf numFmtId="0" fontId="0" fillId="0" borderId="24" xfId="0" applyBorder="1"/>
    <xf numFmtId="0" fontId="0" fillId="0" borderId="7" xfId="0" applyFill="1" applyBorder="1"/>
    <xf numFmtId="0" fontId="0" fillId="0" borderId="2" xfId="0" applyBorder="1"/>
    <xf numFmtId="0" fontId="0" fillId="3" borderId="2" xfId="0" applyFill="1" applyBorder="1"/>
    <xf numFmtId="0" fontId="6" fillId="5" borderId="2" xfId="0" applyFont="1" applyFill="1" applyBorder="1" applyAlignment="1">
      <alignment vertical="center"/>
    </xf>
    <xf numFmtId="0" fontId="27" fillId="0" borderId="2" xfId="0" applyFont="1" applyFill="1" applyBorder="1"/>
    <xf numFmtId="0" fontId="0" fillId="0" borderId="25" xfId="0" applyBorder="1"/>
    <xf numFmtId="0" fontId="0" fillId="0" borderId="26" xfId="0" applyBorder="1"/>
    <xf numFmtId="0" fontId="0" fillId="3" borderId="26" xfId="0" applyFill="1" applyBorder="1"/>
    <xf numFmtId="0" fontId="6" fillId="5" borderId="26" xfId="0" applyFont="1" applyFill="1" applyBorder="1" applyAlignment="1">
      <alignment vertical="center"/>
    </xf>
    <xf numFmtId="0" fontId="27" fillId="0" borderId="26" xfId="0" applyFont="1" applyFill="1" applyBorder="1"/>
    <xf numFmtId="0" fontId="0" fillId="0" borderId="27" xfId="0" applyBorder="1"/>
    <xf numFmtId="0" fontId="16" fillId="33" borderId="7" xfId="0" applyFont="1" applyFill="1" applyBorder="1" applyAlignment="1">
      <alignment horizontal="left" vertical="center" wrapText="1"/>
    </xf>
  </cellXfs>
  <cellStyles count="72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赤字強調" xfId="431"/>
    <cellStyle name="青字強調" xfId="43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30038</v>
          </cell>
        </row>
        <row r="155">
          <cell r="A155">
            <v>39001</v>
          </cell>
        </row>
        <row r="156">
          <cell r="A156">
            <v>39002</v>
          </cell>
        </row>
        <row r="157">
          <cell r="A157">
            <v>39003</v>
          </cell>
        </row>
        <row r="158">
          <cell r="A158">
            <v>39004</v>
          </cell>
        </row>
        <row r="159">
          <cell r="A159">
            <v>39005</v>
          </cell>
        </row>
        <row r="160">
          <cell r="A160">
            <v>39006</v>
          </cell>
        </row>
        <row r="161">
          <cell r="A161">
            <v>40001</v>
          </cell>
        </row>
        <row r="162">
          <cell r="A162">
            <v>40002</v>
          </cell>
        </row>
        <row r="163">
          <cell r="A163">
            <v>40003</v>
          </cell>
        </row>
        <row r="164">
          <cell r="A164">
            <v>40004</v>
          </cell>
        </row>
        <row r="165">
          <cell r="A165">
            <v>40005</v>
          </cell>
        </row>
        <row r="166">
          <cell r="A166">
            <v>40006</v>
          </cell>
        </row>
        <row r="167">
          <cell r="A167">
            <v>40007</v>
          </cell>
        </row>
        <row r="168">
          <cell r="A168">
            <v>40008</v>
          </cell>
        </row>
        <row r="169">
          <cell r="A169">
            <v>40009</v>
          </cell>
        </row>
        <row r="170">
          <cell r="A170">
            <v>40010</v>
          </cell>
        </row>
        <row r="171">
          <cell r="A171">
            <v>40011</v>
          </cell>
        </row>
        <row r="172">
          <cell r="A172">
            <v>40012</v>
          </cell>
        </row>
        <row r="173">
          <cell r="A173">
            <v>40013</v>
          </cell>
        </row>
        <row r="174">
          <cell r="A174">
            <v>40014</v>
          </cell>
        </row>
        <row r="175">
          <cell r="A175">
            <v>40015</v>
          </cell>
        </row>
        <row r="176">
          <cell r="A176">
            <v>40016</v>
          </cell>
        </row>
        <row r="177">
          <cell r="A177">
            <v>40017</v>
          </cell>
        </row>
        <row r="178">
          <cell r="A178">
            <v>40018</v>
          </cell>
        </row>
        <row r="179">
          <cell r="A179">
            <v>40019</v>
          </cell>
        </row>
        <row r="180">
          <cell r="A180">
            <v>40021</v>
          </cell>
        </row>
        <row r="181">
          <cell r="A181">
            <v>40022</v>
          </cell>
        </row>
        <row r="182">
          <cell r="A182">
            <v>48001</v>
          </cell>
        </row>
        <row r="183">
          <cell r="A183">
            <v>48002</v>
          </cell>
        </row>
        <row r="184">
          <cell r="A184">
            <v>41001</v>
          </cell>
        </row>
        <row r="185">
          <cell r="A185">
            <v>41002</v>
          </cell>
        </row>
        <row r="186">
          <cell r="A186">
            <v>41003</v>
          </cell>
        </row>
        <row r="187">
          <cell r="A187">
            <v>41004</v>
          </cell>
        </row>
        <row r="188">
          <cell r="A188">
            <v>41005</v>
          </cell>
        </row>
        <row r="189">
          <cell r="A189">
            <v>41006</v>
          </cell>
        </row>
        <row r="190">
          <cell r="A190">
            <v>41007</v>
          </cell>
        </row>
        <row r="191">
          <cell r="A191">
            <v>41008</v>
          </cell>
        </row>
        <row r="192">
          <cell r="A192">
            <v>41009</v>
          </cell>
        </row>
        <row r="193">
          <cell r="A193">
            <v>41010</v>
          </cell>
        </row>
        <row r="194">
          <cell r="A194">
            <v>41011</v>
          </cell>
        </row>
        <row r="195">
          <cell r="A195">
            <v>41012</v>
          </cell>
        </row>
        <row r="196">
          <cell r="A196">
            <v>41013</v>
          </cell>
        </row>
        <row r="197">
          <cell r="A197">
            <v>41014</v>
          </cell>
        </row>
        <row r="198">
          <cell r="A198">
            <v>47001</v>
          </cell>
        </row>
        <row r="199">
          <cell r="A199">
            <v>47002</v>
          </cell>
        </row>
        <row r="200">
          <cell r="A200">
            <v>49001</v>
          </cell>
        </row>
        <row r="201">
          <cell r="A201">
            <v>49002</v>
          </cell>
        </row>
        <row r="202">
          <cell r="A202">
            <v>49003</v>
          </cell>
        </row>
        <row r="203">
          <cell r="A203">
            <v>49004</v>
          </cell>
        </row>
        <row r="204">
          <cell r="A204">
            <v>49005</v>
          </cell>
        </row>
        <row r="205">
          <cell r="A205">
            <v>49006</v>
          </cell>
        </row>
        <row r="206">
          <cell r="A206">
            <v>50001</v>
          </cell>
        </row>
        <row r="207">
          <cell r="A207">
            <v>50002</v>
          </cell>
        </row>
        <row r="208">
          <cell r="A208">
            <v>50003</v>
          </cell>
        </row>
        <row r="209">
          <cell r="A209">
            <v>50004</v>
          </cell>
        </row>
        <row r="210">
          <cell r="A210">
            <v>50005</v>
          </cell>
        </row>
        <row r="211">
          <cell r="A211">
            <v>51001</v>
          </cell>
        </row>
        <row r="212">
          <cell r="A212">
            <v>51002</v>
          </cell>
        </row>
        <row r="213">
          <cell r="A213">
            <v>60001</v>
          </cell>
        </row>
        <row r="214">
          <cell r="A214">
            <v>60002</v>
          </cell>
        </row>
        <row r="215">
          <cell r="A215">
            <v>60003</v>
          </cell>
        </row>
        <row r="216">
          <cell r="A216">
            <v>60004</v>
          </cell>
        </row>
        <row r="217">
          <cell r="A217">
            <v>60005</v>
          </cell>
        </row>
        <row r="218">
          <cell r="A218">
            <v>60006</v>
          </cell>
        </row>
        <row r="219">
          <cell r="A219">
            <v>60007</v>
          </cell>
        </row>
        <row r="220">
          <cell r="A220">
            <v>60010</v>
          </cell>
        </row>
        <row r="221">
          <cell r="A221">
            <v>60011</v>
          </cell>
        </row>
        <row r="222">
          <cell r="A222">
            <v>61011</v>
          </cell>
        </row>
        <row r="223">
          <cell r="A223">
            <v>60012</v>
          </cell>
        </row>
        <row r="224">
          <cell r="A224">
            <v>60013</v>
          </cell>
        </row>
        <row r="225">
          <cell r="A225">
            <v>65534</v>
          </cell>
        </row>
        <row r="226">
          <cell r="A226">
            <v>65535</v>
          </cell>
        </row>
        <row r="227">
          <cell r="A227">
            <v>60021</v>
          </cell>
        </row>
        <row r="228">
          <cell r="A228">
            <v>60022</v>
          </cell>
        </row>
        <row r="229">
          <cell r="A229">
            <v>60023</v>
          </cell>
        </row>
        <row r="230">
          <cell r="A23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30038_1</v>
          </cell>
        </row>
        <row r="524">
          <cell r="A524" t="str">
            <v>30038_2</v>
          </cell>
        </row>
        <row r="525">
          <cell r="A525" t="str">
            <v>30038_3</v>
          </cell>
        </row>
        <row r="526">
          <cell r="A526" t="str">
            <v>39001_1</v>
          </cell>
        </row>
        <row r="527">
          <cell r="A527" t="str">
            <v>39001_2</v>
          </cell>
        </row>
        <row r="528">
          <cell r="A528" t="str">
            <v>39001_3</v>
          </cell>
        </row>
        <row r="529">
          <cell r="A529" t="str">
            <v>39001_4</v>
          </cell>
        </row>
        <row r="530">
          <cell r="A530" t="str">
            <v>39001_5</v>
          </cell>
        </row>
        <row r="531">
          <cell r="A531" t="str">
            <v>39002_1</v>
          </cell>
        </row>
        <row r="532">
          <cell r="A532" t="str">
            <v>39002_2</v>
          </cell>
        </row>
        <row r="533">
          <cell r="A533" t="str">
            <v>39002_3</v>
          </cell>
        </row>
        <row r="534">
          <cell r="A534" t="str">
            <v>39002_4</v>
          </cell>
        </row>
        <row r="535">
          <cell r="A535" t="str">
            <v>39003_1</v>
          </cell>
        </row>
        <row r="536">
          <cell r="A536" t="str">
            <v>39003_2</v>
          </cell>
        </row>
        <row r="537">
          <cell r="A537" t="str">
            <v>39003_3</v>
          </cell>
        </row>
        <row r="538">
          <cell r="A538" t="str">
            <v>39003_4</v>
          </cell>
        </row>
        <row r="539">
          <cell r="A539" t="str">
            <v>39004_1</v>
          </cell>
        </row>
        <row r="540">
          <cell r="A540" t="str">
            <v>39004_2</v>
          </cell>
        </row>
        <row r="541">
          <cell r="A541" t="str">
            <v>39004_3</v>
          </cell>
        </row>
        <row r="542">
          <cell r="A542" t="str">
            <v>39004_4</v>
          </cell>
        </row>
        <row r="543">
          <cell r="A543" t="str">
            <v>39005_1</v>
          </cell>
        </row>
        <row r="544">
          <cell r="A544" t="str">
            <v>39005_2</v>
          </cell>
        </row>
        <row r="545">
          <cell r="A545" t="str">
            <v>39005_3</v>
          </cell>
        </row>
        <row r="546">
          <cell r="A546" t="str">
            <v>39005_4</v>
          </cell>
        </row>
        <row r="547">
          <cell r="A547" t="str">
            <v>39005_5</v>
          </cell>
        </row>
        <row r="548">
          <cell r="A548" t="str">
            <v>39006_1</v>
          </cell>
        </row>
        <row r="549">
          <cell r="A549" t="str">
            <v>39006_2</v>
          </cell>
        </row>
        <row r="550">
          <cell r="A550" t="str">
            <v>39006_3</v>
          </cell>
        </row>
        <row r="551">
          <cell r="A551" t="str">
            <v>39006_4</v>
          </cell>
        </row>
        <row r="552">
          <cell r="A552" t="str">
            <v>40001_1</v>
          </cell>
        </row>
        <row r="553">
          <cell r="A553" t="str">
            <v>40002_1</v>
          </cell>
        </row>
        <row r="554">
          <cell r="A554" t="str">
            <v>40002_2</v>
          </cell>
        </row>
        <row r="555">
          <cell r="A555" t="str">
            <v>40002_3</v>
          </cell>
        </row>
        <row r="556">
          <cell r="A556" t="str">
            <v>40003_1</v>
          </cell>
        </row>
        <row r="557">
          <cell r="A557" t="str">
            <v>40004_1</v>
          </cell>
        </row>
        <row r="558">
          <cell r="A558" t="str">
            <v>40005_1</v>
          </cell>
        </row>
        <row r="559">
          <cell r="A559" t="str">
            <v>40006_1</v>
          </cell>
        </row>
        <row r="560">
          <cell r="A560" t="str">
            <v>40007_1</v>
          </cell>
        </row>
        <row r="561">
          <cell r="A561" t="str">
            <v>40008_1</v>
          </cell>
        </row>
        <row r="562">
          <cell r="A562" t="str">
            <v>40009_1</v>
          </cell>
        </row>
        <row r="563">
          <cell r="A563" t="str">
            <v>40010_1</v>
          </cell>
        </row>
        <row r="564">
          <cell r="A564" t="str">
            <v>40011_1</v>
          </cell>
        </row>
        <row r="565">
          <cell r="A565" t="str">
            <v>40012_1</v>
          </cell>
        </row>
        <row r="566">
          <cell r="A566" t="str">
            <v>40013_1</v>
          </cell>
        </row>
        <row r="567">
          <cell r="A567" t="str">
            <v>40014_1</v>
          </cell>
        </row>
        <row r="568">
          <cell r="A568" t="str">
            <v>40015_1</v>
          </cell>
        </row>
        <row r="569">
          <cell r="A569" t="str">
            <v>40016_1</v>
          </cell>
        </row>
        <row r="570">
          <cell r="A570" t="str">
            <v>40016_2</v>
          </cell>
        </row>
        <row r="571">
          <cell r="A571" t="str">
            <v>40017_1</v>
          </cell>
        </row>
        <row r="572">
          <cell r="A572" t="str">
            <v>40017_2</v>
          </cell>
        </row>
        <row r="573">
          <cell r="A573" t="str">
            <v>40017_3</v>
          </cell>
        </row>
        <row r="574">
          <cell r="A574" t="str">
            <v>40018_1</v>
          </cell>
        </row>
        <row r="575">
          <cell r="A575" t="str">
            <v>40018_2</v>
          </cell>
        </row>
        <row r="576">
          <cell r="A576" t="str">
            <v>40018_3</v>
          </cell>
        </row>
        <row r="577">
          <cell r="A577" t="str">
            <v>40019_1</v>
          </cell>
        </row>
        <row r="578">
          <cell r="A578" t="str">
            <v>40019_2</v>
          </cell>
        </row>
        <row r="579">
          <cell r="A579" t="str">
            <v>40019_3</v>
          </cell>
        </row>
        <row r="580">
          <cell r="A580" t="str">
            <v>40021_1</v>
          </cell>
        </row>
        <row r="581">
          <cell r="A581" t="str">
            <v>40021_2</v>
          </cell>
        </row>
        <row r="582">
          <cell r="A582" t="str">
            <v>40022_1</v>
          </cell>
        </row>
        <row r="583">
          <cell r="A583" t="str">
            <v>40022_2</v>
          </cell>
        </row>
        <row r="584">
          <cell r="A584" t="str">
            <v>48001_1</v>
          </cell>
        </row>
        <row r="585">
          <cell r="A585" t="str">
            <v>48002_1</v>
          </cell>
        </row>
        <row r="586">
          <cell r="A586" t="str">
            <v>48002_2</v>
          </cell>
        </row>
        <row r="587">
          <cell r="A587" t="str">
            <v>48002_3</v>
          </cell>
        </row>
        <row r="588">
          <cell r="A588" t="str">
            <v>41001_1</v>
          </cell>
        </row>
        <row r="589">
          <cell r="A589" t="str">
            <v>41001_2</v>
          </cell>
        </row>
        <row r="590">
          <cell r="A590" t="str">
            <v>41001_3</v>
          </cell>
        </row>
        <row r="591">
          <cell r="A591" t="str">
            <v>41002_1</v>
          </cell>
        </row>
        <row r="592">
          <cell r="A592" t="str">
            <v>41002_2</v>
          </cell>
        </row>
        <row r="593">
          <cell r="A593" t="str">
            <v>41002_3</v>
          </cell>
        </row>
        <row r="594">
          <cell r="A594" t="str">
            <v>41003_1</v>
          </cell>
        </row>
        <row r="595">
          <cell r="A595" t="str">
            <v>41003_2</v>
          </cell>
        </row>
        <row r="596">
          <cell r="A596" t="str">
            <v>41003_3</v>
          </cell>
        </row>
        <row r="597">
          <cell r="A597" t="str">
            <v>41004_1</v>
          </cell>
        </row>
        <row r="598">
          <cell r="A598" t="str">
            <v>41004_2</v>
          </cell>
        </row>
        <row r="599">
          <cell r="A599" t="str">
            <v>41004_3</v>
          </cell>
        </row>
        <row r="600">
          <cell r="A600" t="str">
            <v>41005_1</v>
          </cell>
        </row>
        <row r="601">
          <cell r="A601" t="str">
            <v>41005_2</v>
          </cell>
        </row>
        <row r="602">
          <cell r="A602" t="str">
            <v>41005_3</v>
          </cell>
        </row>
        <row r="603">
          <cell r="A603" t="str">
            <v>41006_1</v>
          </cell>
        </row>
        <row r="604">
          <cell r="A604" t="str">
            <v>41006_2</v>
          </cell>
        </row>
        <row r="605">
          <cell r="A605" t="str">
            <v>41006_3</v>
          </cell>
        </row>
        <row r="606">
          <cell r="A606" t="str">
            <v>41007_1</v>
          </cell>
        </row>
        <row r="607">
          <cell r="A607" t="str">
            <v>41007_2</v>
          </cell>
        </row>
        <row r="608">
          <cell r="A608" t="str">
            <v>41007_3</v>
          </cell>
        </row>
        <row r="609">
          <cell r="A609" t="str">
            <v>41008_1</v>
          </cell>
        </row>
        <row r="610">
          <cell r="A610" t="str">
            <v>41008_2</v>
          </cell>
        </row>
        <row r="611">
          <cell r="A611" t="str">
            <v>41008_3</v>
          </cell>
        </row>
        <row r="612">
          <cell r="A612" t="str">
            <v>41009_1</v>
          </cell>
        </row>
        <row r="613">
          <cell r="A613" t="str">
            <v>41009_2</v>
          </cell>
        </row>
        <row r="614">
          <cell r="A614" t="str">
            <v>41009_3</v>
          </cell>
        </row>
        <row r="615">
          <cell r="A615" t="str">
            <v>41010_1</v>
          </cell>
        </row>
        <row r="616">
          <cell r="A616" t="str">
            <v>41010_2</v>
          </cell>
        </row>
        <row r="617">
          <cell r="A617" t="str">
            <v>41010_3</v>
          </cell>
        </row>
        <row r="618">
          <cell r="A618" t="str">
            <v>41011_1</v>
          </cell>
        </row>
        <row r="619">
          <cell r="A619" t="str">
            <v>41011_2</v>
          </cell>
        </row>
        <row r="620">
          <cell r="A620" t="str">
            <v>41012_1</v>
          </cell>
        </row>
        <row r="621">
          <cell r="A621" t="str">
            <v>41012_2</v>
          </cell>
        </row>
        <row r="622">
          <cell r="A622" t="str">
            <v>41013_1</v>
          </cell>
        </row>
        <row r="623">
          <cell r="A623" t="str">
            <v>41013_2</v>
          </cell>
        </row>
        <row r="624">
          <cell r="A624" t="str">
            <v>41014_1</v>
          </cell>
        </row>
        <row r="625">
          <cell r="A625" t="str">
            <v>41014_2</v>
          </cell>
        </row>
        <row r="626">
          <cell r="A626" t="str">
            <v>47001_1</v>
          </cell>
        </row>
        <row r="627">
          <cell r="A627" t="str">
            <v>47001_2</v>
          </cell>
        </row>
        <row r="628">
          <cell r="A628" t="str">
            <v>47002_1</v>
          </cell>
        </row>
        <row r="629">
          <cell r="A629" t="str">
            <v>47002_2</v>
          </cell>
        </row>
        <row r="630">
          <cell r="A630" t="str">
            <v>49001_1</v>
          </cell>
        </row>
        <row r="631">
          <cell r="A631" t="str">
            <v>49002_1</v>
          </cell>
        </row>
        <row r="632">
          <cell r="A632" t="str">
            <v>49002_2</v>
          </cell>
        </row>
        <row r="633">
          <cell r="A633" t="str">
            <v>49003_1</v>
          </cell>
        </row>
        <row r="634">
          <cell r="A634" t="str">
            <v>49003_2</v>
          </cell>
        </row>
        <row r="635">
          <cell r="A635" t="str">
            <v>49004_1</v>
          </cell>
        </row>
        <row r="636">
          <cell r="A636" t="str">
            <v>49004_2</v>
          </cell>
        </row>
        <row r="637">
          <cell r="A637" t="str">
            <v>49004_3</v>
          </cell>
        </row>
        <row r="638">
          <cell r="A638" t="str">
            <v>49005_1</v>
          </cell>
        </row>
        <row r="639">
          <cell r="A639" t="str">
            <v>49006_1</v>
          </cell>
        </row>
        <row r="640">
          <cell r="A640" t="str">
            <v>49006_2</v>
          </cell>
        </row>
        <row r="641">
          <cell r="A641" t="str">
            <v>50001_1</v>
          </cell>
        </row>
        <row r="642">
          <cell r="A642" t="str">
            <v>50002_1</v>
          </cell>
        </row>
        <row r="643">
          <cell r="A643" t="str">
            <v>50003_1</v>
          </cell>
        </row>
        <row r="644">
          <cell r="A644" t="str">
            <v>50004_1</v>
          </cell>
        </row>
        <row r="645">
          <cell r="A645" t="str">
            <v>50005_1</v>
          </cell>
        </row>
        <row r="646">
          <cell r="A646" t="str">
            <v>51001_1</v>
          </cell>
        </row>
        <row r="647">
          <cell r="A647" t="str">
            <v>51002_1</v>
          </cell>
        </row>
        <row r="648">
          <cell r="A648" t="str">
            <v>60001_1</v>
          </cell>
        </row>
        <row r="649">
          <cell r="A649" t="str">
            <v>60002_1</v>
          </cell>
        </row>
        <row r="650">
          <cell r="A650" t="str">
            <v>60002_2</v>
          </cell>
        </row>
        <row r="651">
          <cell r="A651" t="str">
            <v>60003_1</v>
          </cell>
        </row>
        <row r="652">
          <cell r="A652" t="str">
            <v>60003_2</v>
          </cell>
        </row>
        <row r="653">
          <cell r="A653" t="str">
            <v>60003_3</v>
          </cell>
        </row>
        <row r="654">
          <cell r="A654" t="str">
            <v>60004_1</v>
          </cell>
        </row>
        <row r="655">
          <cell r="A655" t="str">
            <v>60005_1</v>
          </cell>
        </row>
        <row r="656">
          <cell r="A656" t="str">
            <v>60006_1</v>
          </cell>
        </row>
        <row r="657">
          <cell r="A657" t="str">
            <v>60006_2</v>
          </cell>
        </row>
        <row r="658">
          <cell r="A658" t="str">
            <v>60006_3</v>
          </cell>
        </row>
        <row r="659">
          <cell r="A659" t="str">
            <v>60007_1</v>
          </cell>
        </row>
        <row r="660">
          <cell r="A660" t="str">
            <v>60007_2</v>
          </cell>
        </row>
        <row r="661">
          <cell r="A661" t="str">
            <v>60007_3</v>
          </cell>
        </row>
        <row r="662">
          <cell r="A662" t="str">
            <v>60010_1</v>
          </cell>
        </row>
        <row r="663">
          <cell r="A663" t="str">
            <v>60011_1</v>
          </cell>
        </row>
        <row r="664">
          <cell r="A664" t="str">
            <v>60011_2</v>
          </cell>
        </row>
        <row r="665">
          <cell r="A665" t="str">
            <v>61011_1</v>
          </cell>
        </row>
        <row r="666">
          <cell r="A666" t="str">
            <v>60012_1</v>
          </cell>
        </row>
        <row r="667">
          <cell r="A667" t="str">
            <v>60013_1</v>
          </cell>
        </row>
        <row r="668">
          <cell r="A668" t="str">
            <v>60013_2</v>
          </cell>
        </row>
        <row r="669">
          <cell r="A669" t="str">
            <v>60013_3</v>
          </cell>
        </row>
        <row r="670">
          <cell r="A670" t="str">
            <v>65535_1</v>
          </cell>
        </row>
        <row r="671">
          <cell r="A671" t="str">
            <v>65535_2</v>
          </cell>
        </row>
        <row r="672">
          <cell r="A672" t="str">
            <v>65535_3</v>
          </cell>
        </row>
        <row r="673">
          <cell r="A673" t="str">
            <v>65535_4</v>
          </cell>
        </row>
        <row r="674">
          <cell r="A674" t="str">
            <v>65535_5</v>
          </cell>
        </row>
        <row r="675">
          <cell r="A675" t="str">
            <v>65535_6</v>
          </cell>
        </row>
        <row r="676">
          <cell r="A676" t="str">
            <v>65535_7</v>
          </cell>
        </row>
        <row r="677">
          <cell r="A677" t="str">
            <v>65535_8</v>
          </cell>
        </row>
        <row r="678">
          <cell r="A678" t="str">
            <v>60021_3</v>
          </cell>
        </row>
        <row r="679">
          <cell r="A679" t="str">
            <v>60022_3</v>
          </cell>
        </row>
        <row r="680">
          <cell r="A680" t="str">
            <v>60023_3</v>
          </cell>
        </row>
        <row r="681">
          <cell r="A681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 refreshError="1"/>
      <sheetData sheetId="1" refreshError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2" sqref="A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1" t="s">
        <v>90</v>
      </c>
      <c r="B1" s="46" t="s">
        <v>63</v>
      </c>
      <c r="C1" s="46" t="s">
        <v>64</v>
      </c>
      <c r="D1" s="46" t="s">
        <v>65</v>
      </c>
      <c r="E1" s="46" t="s">
        <v>66</v>
      </c>
      <c r="F1" s="46" t="s">
        <v>67</v>
      </c>
      <c r="G1" s="46" t="s">
        <v>68</v>
      </c>
      <c r="H1" s="46"/>
      <c r="I1" s="46"/>
      <c r="J1" s="46"/>
      <c r="K1" s="46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</row>
    <row r="2" spans="1:30" x14ac:dyDescent="0.15">
      <c r="A2" s="52" t="s">
        <v>357</v>
      </c>
      <c r="B2" s="48" t="s">
        <v>69</v>
      </c>
      <c r="C2" s="53">
        <v>41011</v>
      </c>
      <c r="D2" s="48" t="s">
        <v>70</v>
      </c>
      <c r="E2" s="47" t="str">
        <f>B2&amp;C2&amp;D2</f>
        <v>floors_41011.tmp</v>
      </c>
      <c r="F2" s="48" t="s">
        <v>71</v>
      </c>
      <c r="G2" s="49" t="s">
        <v>0</v>
      </c>
      <c r="H2" s="49" t="s">
        <v>1</v>
      </c>
      <c r="I2" s="49" t="s">
        <v>12</v>
      </c>
      <c r="J2" s="49" t="s">
        <v>13</v>
      </c>
      <c r="K2" s="49" t="s">
        <v>14</v>
      </c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</row>
    <row r="3" spans="1:30" x14ac:dyDescent="0.15">
      <c r="A3" s="52" t="s">
        <v>356</v>
      </c>
      <c r="B3" s="48" t="s">
        <v>72</v>
      </c>
      <c r="C3" s="53">
        <v>41011</v>
      </c>
      <c r="D3" s="48" t="s">
        <v>70</v>
      </c>
      <c r="E3" s="47" t="str">
        <f>B3&amp;C3&amp;D3</f>
        <v>enemy_habitats_41011.tmp</v>
      </c>
      <c r="F3" s="48" t="s">
        <v>73</v>
      </c>
      <c r="G3" s="49" t="s">
        <v>0</v>
      </c>
      <c r="H3" s="49" t="s">
        <v>1</v>
      </c>
      <c r="I3" s="49" t="s">
        <v>12</v>
      </c>
      <c r="J3" s="49" t="s">
        <v>2</v>
      </c>
      <c r="K3" s="49" t="s">
        <v>3</v>
      </c>
      <c r="L3" s="49" t="s">
        <v>33</v>
      </c>
      <c r="M3" s="49" t="s">
        <v>35</v>
      </c>
      <c r="N3" s="49" t="s">
        <v>37</v>
      </c>
      <c r="O3" s="49" t="s">
        <v>17</v>
      </c>
      <c r="P3" s="49" t="s">
        <v>4</v>
      </c>
      <c r="Q3" s="49" t="s">
        <v>5</v>
      </c>
      <c r="R3" s="49" t="s">
        <v>6</v>
      </c>
      <c r="S3" s="49" t="s">
        <v>7</v>
      </c>
      <c r="T3" s="49" t="s">
        <v>8</v>
      </c>
      <c r="U3" s="49" t="s">
        <v>9</v>
      </c>
      <c r="V3" s="49" t="s">
        <v>10</v>
      </c>
      <c r="W3" s="49" t="s">
        <v>11</v>
      </c>
      <c r="X3" s="49" t="s">
        <v>23</v>
      </c>
      <c r="Y3" s="49" t="s">
        <v>25</v>
      </c>
      <c r="Z3" s="49" t="s">
        <v>27</v>
      </c>
      <c r="AA3" s="49" t="s">
        <v>29</v>
      </c>
      <c r="AB3" s="49" t="s">
        <v>31</v>
      </c>
      <c r="AC3" s="49" t="s">
        <v>39</v>
      </c>
      <c r="AD3" s="49" t="s">
        <v>134</v>
      </c>
    </row>
    <row r="4" spans="1:30" x14ac:dyDescent="0.15">
      <c r="A4" s="52" t="s">
        <v>356</v>
      </c>
      <c r="B4" s="48" t="s">
        <v>74</v>
      </c>
      <c r="C4" s="53">
        <v>41011</v>
      </c>
      <c r="D4" s="48" t="s">
        <v>70</v>
      </c>
      <c r="E4" s="47" t="str">
        <f>B4&amp;C4&amp;D4</f>
        <v>enemy_habitat_S_41011.tmp</v>
      </c>
      <c r="F4" s="48" t="s">
        <v>75</v>
      </c>
      <c r="G4" s="49" t="s">
        <v>0</v>
      </c>
      <c r="H4" s="49" t="s">
        <v>1</v>
      </c>
      <c r="I4" s="49" t="s">
        <v>12</v>
      </c>
      <c r="J4" s="49" t="s">
        <v>39</v>
      </c>
      <c r="K4" s="49" t="s">
        <v>40</v>
      </c>
      <c r="L4" s="49" t="s">
        <v>41</v>
      </c>
      <c r="M4" s="49" t="s">
        <v>42</v>
      </c>
      <c r="N4" s="49" t="s">
        <v>43</v>
      </c>
      <c r="O4" s="49" t="s">
        <v>44</v>
      </c>
      <c r="P4" s="49" t="s">
        <v>34</v>
      </c>
      <c r="Q4" s="49" t="s">
        <v>36</v>
      </c>
      <c r="R4" s="49" t="s">
        <v>38</v>
      </c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</row>
    <row r="5" spans="1:30" x14ac:dyDescent="0.15">
      <c r="A5" s="52" t="s">
        <v>356</v>
      </c>
      <c r="B5" s="48" t="s">
        <v>76</v>
      </c>
      <c r="C5" s="53">
        <v>41011</v>
      </c>
      <c r="D5" s="48" t="s">
        <v>70</v>
      </c>
      <c r="E5" s="47" t="str">
        <f>B5&amp;C5&amp;D5</f>
        <v>enemy_skill_sets_41011.tmp</v>
      </c>
      <c r="F5" s="48" t="s">
        <v>77</v>
      </c>
      <c r="G5" s="50" t="s">
        <v>17</v>
      </c>
      <c r="H5" s="50" t="s">
        <v>62</v>
      </c>
      <c r="I5" s="50" t="s">
        <v>57</v>
      </c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</row>
    <row r="6" spans="1:30" x14ac:dyDescent="0.15">
      <c r="A6" s="52" t="s">
        <v>356</v>
      </c>
      <c r="B6" s="48" t="s">
        <v>78</v>
      </c>
      <c r="C6" s="53">
        <v>41011</v>
      </c>
      <c r="D6" s="48" t="s">
        <v>79</v>
      </c>
      <c r="E6" s="47" t="str">
        <f t="shared" ref="E6:E10" si="0">B6&amp;C6&amp;D6</f>
        <v>enemy_skills_tmp_41011.tmp</v>
      </c>
      <c r="F6" s="48" t="s">
        <v>53</v>
      </c>
      <c r="G6" s="49" t="s">
        <v>49</v>
      </c>
      <c r="H6" s="49" t="s">
        <v>50</v>
      </c>
      <c r="I6" s="49" t="s">
        <v>51</v>
      </c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</row>
    <row r="7" spans="1:30" x14ac:dyDescent="0.15">
      <c r="A7" s="52" t="s">
        <v>356</v>
      </c>
      <c r="B7" s="48" t="s">
        <v>80</v>
      </c>
      <c r="C7" s="53">
        <v>41011</v>
      </c>
      <c r="D7" s="48" t="s">
        <v>70</v>
      </c>
      <c r="E7" s="47" t="str">
        <f>B7&amp;C7&amp;D7</f>
        <v>enemy_skills_i18n_41011.tmp</v>
      </c>
      <c r="F7" s="48" t="s">
        <v>81</v>
      </c>
      <c r="G7" s="49" t="s">
        <v>49</v>
      </c>
      <c r="H7" s="49" t="s">
        <v>54</v>
      </c>
      <c r="I7" s="49" t="s">
        <v>55</v>
      </c>
      <c r="J7" s="49" t="s">
        <v>56</v>
      </c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</row>
    <row r="8" spans="1:30" x14ac:dyDescent="0.15">
      <c r="A8" s="52" t="s">
        <v>356</v>
      </c>
      <c r="B8" s="48" t="s">
        <v>82</v>
      </c>
      <c r="C8" s="53">
        <v>41011</v>
      </c>
      <c r="D8" s="48" t="s">
        <v>83</v>
      </c>
      <c r="E8" s="47" t="str">
        <f t="shared" si="0"/>
        <v>enemy_skill_triggers_41011.tmp</v>
      </c>
      <c r="F8" s="48" t="s">
        <v>84</v>
      </c>
      <c r="G8" s="49" t="s">
        <v>57</v>
      </c>
      <c r="H8" s="49" t="s">
        <v>58</v>
      </c>
      <c r="I8" s="49" t="s">
        <v>59</v>
      </c>
      <c r="J8" s="49" t="s">
        <v>60</v>
      </c>
      <c r="K8" s="49" t="s">
        <v>85</v>
      </c>
      <c r="L8" s="49" t="s">
        <v>61</v>
      </c>
      <c r="M8" s="49" t="s">
        <v>86</v>
      </c>
      <c r="N8" s="49" t="s">
        <v>87</v>
      </c>
      <c r="O8" s="49" t="s">
        <v>88</v>
      </c>
      <c r="P8" s="49" t="s">
        <v>45</v>
      </c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</row>
    <row r="9" spans="1:30" x14ac:dyDescent="0.15">
      <c r="A9" s="52" t="s">
        <v>356</v>
      </c>
      <c r="B9" s="58" t="s">
        <v>133</v>
      </c>
      <c r="C9" s="53">
        <v>41011</v>
      </c>
      <c r="D9" s="58" t="s">
        <v>127</v>
      </c>
      <c r="E9" s="59" t="str">
        <f t="shared" si="0"/>
        <v>stage_bug_bonuses_41011.tmp</v>
      </c>
      <c r="F9" s="58" t="s">
        <v>128</v>
      </c>
      <c r="G9" s="55" t="s">
        <v>110</v>
      </c>
      <c r="H9" s="55" t="s">
        <v>129</v>
      </c>
      <c r="I9" s="55" t="s">
        <v>130</v>
      </c>
      <c r="J9" s="57" t="s">
        <v>131</v>
      </c>
      <c r="K9" s="55" t="s">
        <v>132</v>
      </c>
      <c r="L9" s="55" t="s">
        <v>111</v>
      </c>
      <c r="M9" s="55" t="s">
        <v>112</v>
      </c>
      <c r="N9" s="55" t="s">
        <v>113</v>
      </c>
      <c r="O9" s="55" t="s">
        <v>114</v>
      </c>
      <c r="P9" s="55" t="s">
        <v>115</v>
      </c>
      <c r="Q9" s="55" t="s">
        <v>116</v>
      </c>
      <c r="R9" s="55" t="s">
        <v>117</v>
      </c>
      <c r="S9" s="55" t="s">
        <v>118</v>
      </c>
      <c r="T9" s="55" t="s">
        <v>119</v>
      </c>
      <c r="U9" s="55" t="s">
        <v>120</v>
      </c>
      <c r="V9" s="55" t="s">
        <v>121</v>
      </c>
      <c r="W9" s="55" t="s">
        <v>122</v>
      </c>
      <c r="X9" s="48"/>
      <c r="Y9" s="48"/>
      <c r="Z9" s="48"/>
      <c r="AA9" s="48"/>
      <c r="AB9" s="48"/>
      <c r="AC9" s="48"/>
      <c r="AD9" s="48"/>
    </row>
    <row r="10" spans="1:30" s="65" customFormat="1" x14ac:dyDescent="0.15">
      <c r="A10" s="52" t="s">
        <v>356</v>
      </c>
      <c r="B10" s="58" t="s">
        <v>150</v>
      </c>
      <c r="C10" s="53">
        <v>41011</v>
      </c>
      <c r="D10" s="58" t="s">
        <v>135</v>
      </c>
      <c r="E10" s="59" t="str">
        <f t="shared" si="0"/>
        <v>stage_hints_data_c_41011.tmp</v>
      </c>
      <c r="F10" s="58" t="s">
        <v>158</v>
      </c>
      <c r="G10" s="63" t="s">
        <v>136</v>
      </c>
      <c r="H10" s="63" t="s">
        <v>129</v>
      </c>
      <c r="I10" s="64" t="s">
        <v>137</v>
      </c>
      <c r="J10" s="57" t="s">
        <v>138</v>
      </c>
      <c r="K10" s="57" t="s">
        <v>139</v>
      </c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</row>
    <row r="11" spans="1:30" s="65" customFormat="1" x14ac:dyDescent="0.15">
      <c r="A11" s="52" t="s">
        <v>356</v>
      </c>
      <c r="B11" s="58" t="s">
        <v>151</v>
      </c>
      <c r="C11" s="53">
        <v>41011</v>
      </c>
      <c r="D11" s="58" t="s">
        <v>127</v>
      </c>
      <c r="E11" s="59" t="str">
        <f t="shared" ref="E11:E13" si="1">B11&amp;C11&amp;D11</f>
        <v>stage_hints_data_f_41011.tmp</v>
      </c>
      <c r="F11" s="58" t="s">
        <v>159</v>
      </c>
      <c r="G11" s="63" t="s">
        <v>136</v>
      </c>
      <c r="H11" s="63" t="s">
        <v>129</v>
      </c>
      <c r="I11" s="64" t="s">
        <v>137</v>
      </c>
      <c r="J11" s="57" t="s">
        <v>138</v>
      </c>
      <c r="K11" s="57" t="s">
        <v>139</v>
      </c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</row>
    <row r="12" spans="1:30" s="65" customFormat="1" x14ac:dyDescent="0.15">
      <c r="A12" s="52" t="s">
        <v>356</v>
      </c>
      <c r="B12" s="58" t="s">
        <v>152</v>
      </c>
      <c r="C12" s="53">
        <v>41011</v>
      </c>
      <c r="D12" s="58" t="s">
        <v>127</v>
      </c>
      <c r="E12" s="59" t="str">
        <f t="shared" si="1"/>
        <v>stage_hints_i18n_41011.tmp</v>
      </c>
      <c r="F12" s="58" t="s">
        <v>160</v>
      </c>
      <c r="G12" s="64" t="s">
        <v>153</v>
      </c>
      <c r="H12" s="85" t="s">
        <v>154</v>
      </c>
      <c r="I12" s="63" t="s">
        <v>155</v>
      </c>
      <c r="J12" s="93" t="s">
        <v>156</v>
      </c>
      <c r="K12" s="57" t="s">
        <v>157</v>
      </c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</row>
    <row r="13" spans="1:30" s="65" customFormat="1" x14ac:dyDescent="0.15">
      <c r="A13" s="52" t="s">
        <v>356</v>
      </c>
      <c r="B13" s="58" t="s">
        <v>195</v>
      </c>
      <c r="C13" s="53">
        <v>41011</v>
      </c>
      <c r="D13" s="58" t="s">
        <v>176</v>
      </c>
      <c r="E13" s="59" t="str">
        <f t="shared" si="1"/>
        <v>stage_bonuses_41011.tmp</v>
      </c>
      <c r="F13" s="58" t="s">
        <v>175</v>
      </c>
      <c r="G13" s="63" t="s">
        <v>177</v>
      </c>
      <c r="H13" s="63" t="s">
        <v>178</v>
      </c>
      <c r="I13" s="63" t="s">
        <v>179</v>
      </c>
      <c r="J13" s="63" t="s">
        <v>180</v>
      </c>
      <c r="K13" s="63" t="s">
        <v>181</v>
      </c>
      <c r="L13" s="63" t="s">
        <v>182</v>
      </c>
      <c r="M13" s="63" t="s">
        <v>183</v>
      </c>
      <c r="N13" s="63" t="s">
        <v>184</v>
      </c>
      <c r="O13" s="63" t="s">
        <v>185</v>
      </c>
      <c r="P13" s="63" t="s">
        <v>186</v>
      </c>
      <c r="Q13" s="63" t="s">
        <v>187</v>
      </c>
      <c r="R13" s="63" t="s">
        <v>188</v>
      </c>
      <c r="S13" s="63" t="s">
        <v>189</v>
      </c>
      <c r="T13" s="63" t="s">
        <v>190</v>
      </c>
      <c r="U13" s="63" t="s">
        <v>191</v>
      </c>
      <c r="V13" s="63" t="s">
        <v>192</v>
      </c>
      <c r="W13" s="63" t="s">
        <v>193</v>
      </c>
      <c r="X13" s="63" t="s">
        <v>194</v>
      </c>
      <c r="Y13" s="92"/>
      <c r="Z13" s="92"/>
      <c r="AA13" s="92"/>
      <c r="AB13" s="92"/>
      <c r="AC13" s="92"/>
      <c r="AD13" s="92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E21" sqref="E21"/>
    </sheetView>
  </sheetViews>
  <sheetFormatPr baseColWidth="12" defaultColWidth="13" defaultRowHeight="21" customHeight="1" outlineLevelCol="1" x14ac:dyDescent="0.15"/>
  <cols>
    <col min="1" max="1" width="8.83203125" style="16" bestFit="1" customWidth="1"/>
    <col min="2" max="2" width="7.6640625" style="16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6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3" t="s">
        <v>18</v>
      </c>
      <c r="B1" s="13" t="s">
        <v>22</v>
      </c>
      <c r="C1" s="1" t="s">
        <v>0</v>
      </c>
      <c r="D1" s="2" t="s">
        <v>16</v>
      </c>
      <c r="E1" s="12" t="s">
        <v>20</v>
      </c>
      <c r="F1" s="1" t="s">
        <v>1</v>
      </c>
      <c r="G1" s="18" t="s">
        <v>19</v>
      </c>
      <c r="H1" s="12" t="s">
        <v>21</v>
      </c>
      <c r="I1" s="1" t="s">
        <v>12</v>
      </c>
      <c r="J1" s="1" t="s">
        <v>13</v>
      </c>
      <c r="K1" s="1" t="s">
        <v>14</v>
      </c>
    </row>
    <row r="2" spans="1:11" ht="21" customHeight="1" x14ac:dyDescent="0.15">
      <c r="A2" s="13" t="str">
        <f>G2&amp;"-"&amp;I2</f>
        <v>41011_2-1</v>
      </c>
      <c r="B2" s="13" t="str">
        <f>IF(COUNTIF(enemy_habitats!$H:$H,A2),"OK","NG")</f>
        <v>OK</v>
      </c>
      <c r="C2" s="95">
        <v>41011</v>
      </c>
      <c r="D2" s="15" t="str">
        <f ca="1">VLOOKUP($C2,OFFSET([2]quests!$A$1,0,0,COUNTA([2]quests!$A:$A),MATCH(D$1,[2]quests!$1:$1,0)-MATCH($C$1,[2]quests!$1:$1,0)+1),MATCH(D$1,[2]quests!$1:$1,0)-MATCH($C$1,[2]quests!$1:$1,0)+1,FALSE)</f>
        <v>ヨミ襲来！</v>
      </c>
      <c r="E2" s="15" t="str">
        <f ca="1">VLOOKUP($C2,OFFSET([2]quests!$A$1,0,0,COUNTA([2]quests!$A:$A),MATCH(E$1,[2]quests!$1:$1,0)-MATCH($C$1,[2]quests!$1:$1,0)+1),MATCH(E$1,[2]quests!$1:$1,0)-MATCH($C$1,[2]quests!$1:$1,0)+1,FALSE)</f>
        <v>降臨1</v>
      </c>
      <c r="F2" s="96">
        <v>2</v>
      </c>
      <c r="G2" s="18" t="str">
        <f>C2&amp;"_"&amp;F2</f>
        <v>41011_2</v>
      </c>
      <c r="H2" s="12" t="str">
        <f ca="1">VLOOKUP($G2,OFFSET([2]stages!$A$1,0,0,COUNTA([2]stages!$A:$A),MATCH(H$1,[2]stages!$2:$2,0)-MATCH($G$1,[2]stages!$2:$2,0)+1),MATCH(H$1,[2]stages!$2:$2,0)-MATCH($G$1,[2]stages!$2:$2,0)+1,FALSE)</f>
        <v>【ウィザード級】ヨミ襲来</v>
      </c>
      <c r="I2" s="96">
        <v>1</v>
      </c>
      <c r="J2" s="29">
        <v>60</v>
      </c>
      <c r="K2" s="29">
        <v>60</v>
      </c>
    </row>
    <row r="3" spans="1:11" ht="21" customHeight="1" x14ac:dyDescent="0.15">
      <c r="A3" s="13" t="str">
        <f t="shared" ref="A3:A5" si="0">G3&amp;"-"&amp;I3</f>
        <v>41011_2-2</v>
      </c>
      <c r="B3" s="13" t="str">
        <f>IF(COUNTIF(enemy_habitats!$H:$H,A3),"OK","NG")</f>
        <v>OK</v>
      </c>
      <c r="C3" s="95">
        <v>41011</v>
      </c>
      <c r="D3" s="15" t="str">
        <f ca="1">VLOOKUP($C3,OFFSET([2]quests!$A$1,0,0,COUNTA([2]quests!$A:$A),MATCH(D$1,[2]quests!$1:$1,0)-MATCH($C$1,[2]quests!$1:$1,0)+1),MATCH(D$1,[2]quests!$1:$1,0)-MATCH($C$1,[2]quests!$1:$1,0)+1,FALSE)</f>
        <v>ヨミ襲来！</v>
      </c>
      <c r="E3" s="15" t="str">
        <f ca="1">VLOOKUP($C3,OFFSET([2]quests!$A$1,0,0,COUNTA([2]quests!$A:$A),MATCH(E$1,[2]quests!$1:$1,0)-MATCH($C$1,[2]quests!$1:$1,0)+1),MATCH(E$1,[2]quests!$1:$1,0)-MATCH($C$1,[2]quests!$1:$1,0)+1,FALSE)</f>
        <v>降臨1</v>
      </c>
      <c r="F3" s="96">
        <v>2</v>
      </c>
      <c r="G3" s="18" t="str">
        <f t="shared" ref="G3:G5" si="1">C3&amp;"_"&amp;F3</f>
        <v>41011_2</v>
      </c>
      <c r="H3" s="12" t="str">
        <f ca="1">VLOOKUP($G3,OFFSET([2]stages!$A$1,0,0,COUNTA([2]stages!$A:$A),MATCH(H$1,[2]stages!$2:$2,0)-MATCH($G$1,[2]stages!$2:$2,0)+1),MATCH(H$1,[2]stages!$2:$2,0)-MATCH($G$1,[2]stages!$2:$2,0)+1,FALSE)</f>
        <v>【ウィザード級】ヨミ襲来</v>
      </c>
      <c r="I3" s="96">
        <v>2</v>
      </c>
      <c r="J3" s="29">
        <v>60</v>
      </c>
      <c r="K3" s="29">
        <v>60</v>
      </c>
    </row>
    <row r="4" spans="1:11" ht="21" customHeight="1" x14ac:dyDescent="0.15">
      <c r="A4" s="13" t="str">
        <f t="shared" si="0"/>
        <v>41011_2-3</v>
      </c>
      <c r="B4" s="13" t="str">
        <f>IF(COUNTIF(enemy_habitats!$H:$H,A4),"OK","NG")</f>
        <v>OK</v>
      </c>
      <c r="C4" s="95">
        <v>41011</v>
      </c>
      <c r="D4" s="15" t="str">
        <f ca="1">VLOOKUP($C4,OFFSET([2]quests!$A$1,0,0,COUNTA([2]quests!$A:$A),MATCH(D$1,[2]quests!$1:$1,0)-MATCH($C$1,[2]quests!$1:$1,0)+1),MATCH(D$1,[2]quests!$1:$1,0)-MATCH($C$1,[2]quests!$1:$1,0)+1,FALSE)</f>
        <v>ヨミ襲来！</v>
      </c>
      <c r="E4" s="15" t="str">
        <f ca="1">VLOOKUP($C4,OFFSET([2]quests!$A$1,0,0,COUNTA([2]quests!$A:$A),MATCH(E$1,[2]quests!$1:$1,0)-MATCH($C$1,[2]quests!$1:$1,0)+1),MATCH(E$1,[2]quests!$1:$1,0)-MATCH($C$1,[2]quests!$1:$1,0)+1,FALSE)</f>
        <v>降臨1</v>
      </c>
      <c r="F4" s="96">
        <v>2</v>
      </c>
      <c r="G4" s="18" t="str">
        <f t="shared" si="1"/>
        <v>41011_2</v>
      </c>
      <c r="H4" s="12" t="str">
        <f ca="1">VLOOKUP($G4,OFFSET([2]stages!$A$1,0,0,COUNTA([2]stages!$A:$A),MATCH(H$1,[2]stages!$2:$2,0)-MATCH($G$1,[2]stages!$2:$2,0)+1),MATCH(H$1,[2]stages!$2:$2,0)-MATCH($G$1,[2]stages!$2:$2,0)+1,FALSE)</f>
        <v>【ウィザード級】ヨミ襲来</v>
      </c>
      <c r="I4" s="96">
        <v>3</v>
      </c>
      <c r="J4" s="29">
        <v>60</v>
      </c>
      <c r="K4" s="29">
        <v>60</v>
      </c>
    </row>
    <row r="5" spans="1:11" ht="21" customHeight="1" x14ac:dyDescent="0.15">
      <c r="A5" s="13" t="str">
        <f t="shared" si="0"/>
        <v>41011_2-4</v>
      </c>
      <c r="B5" s="13" t="str">
        <f>IF(COUNTIF(enemy_habitats!$H:$H,A5),"OK","NG")</f>
        <v>OK</v>
      </c>
      <c r="C5" s="95">
        <v>41011</v>
      </c>
      <c r="D5" s="15" t="str">
        <f ca="1">VLOOKUP($C5,OFFSET([2]quests!$A$1,0,0,COUNTA([2]quests!$A:$A),MATCH(D$1,[2]quests!$1:$1,0)-MATCH($C$1,[2]quests!$1:$1,0)+1),MATCH(D$1,[2]quests!$1:$1,0)-MATCH($C$1,[2]quests!$1:$1,0)+1,FALSE)</f>
        <v>ヨミ襲来！</v>
      </c>
      <c r="E5" s="15" t="str">
        <f ca="1">VLOOKUP($C5,OFFSET([2]quests!$A$1,0,0,COUNTA([2]quests!$A:$A),MATCH(E$1,[2]quests!$1:$1,0)-MATCH($C$1,[2]quests!$1:$1,0)+1),MATCH(E$1,[2]quests!$1:$1,0)-MATCH($C$1,[2]quests!$1:$1,0)+1,FALSE)</f>
        <v>降臨1</v>
      </c>
      <c r="F5" s="96">
        <v>2</v>
      </c>
      <c r="G5" s="18" t="str">
        <f t="shared" si="1"/>
        <v>41011_2</v>
      </c>
      <c r="H5" s="12" t="str">
        <f ca="1">VLOOKUP($G5,OFFSET([2]stages!$A$1,0,0,COUNTA([2]stages!$A:$A),MATCH(H$1,[2]stages!$2:$2,0)-MATCH($G$1,[2]stages!$2:$2,0)+1),MATCH(H$1,[2]stages!$2:$2,0)-MATCH($G$1,[2]stages!$2:$2,0)+1,FALSE)</f>
        <v>【ウィザード級】ヨミ襲来</v>
      </c>
      <c r="I5" s="96">
        <v>4</v>
      </c>
      <c r="J5" s="29">
        <v>60</v>
      </c>
      <c r="K5" s="29">
        <v>60</v>
      </c>
    </row>
    <row r="6" spans="1:11" ht="21" customHeight="1" x14ac:dyDescent="0.15">
      <c r="A6" s="13" t="str">
        <f>G6&amp;"-"&amp;I6</f>
        <v>41011_1-1</v>
      </c>
      <c r="B6" s="13" t="str">
        <f>IF(COUNTIF(enemy_habitats!$H:$H,A6),"OK","NG")</f>
        <v>OK</v>
      </c>
      <c r="C6" s="95">
        <v>41011</v>
      </c>
      <c r="D6" s="15" t="str">
        <f ca="1">VLOOKUP($C6,OFFSET([2]quests!$A$1,0,0,COUNTA([2]quests!$A:$A),MATCH(D$1,[2]quests!$1:$1,0)-MATCH($C$1,[2]quests!$1:$1,0)+1),MATCH(D$1,[2]quests!$1:$1,0)-MATCH($C$1,[2]quests!$1:$1,0)+1,FALSE)</f>
        <v>ヨミ襲来！</v>
      </c>
      <c r="E6" s="15" t="str">
        <f ca="1">VLOOKUP($C6,OFFSET([2]quests!$A$1,0,0,COUNTA([2]quests!$A:$A),MATCH(E$1,[2]quests!$1:$1,0)-MATCH($C$1,[2]quests!$1:$1,0)+1),MATCH(E$1,[2]quests!$1:$1,0)-MATCH($C$1,[2]quests!$1:$1,0)+1,FALSE)</f>
        <v>降臨1</v>
      </c>
      <c r="F6" s="96">
        <v>1</v>
      </c>
      <c r="G6" s="18" t="str">
        <f>C6&amp;"_"&amp;F6</f>
        <v>41011_1</v>
      </c>
      <c r="H6" s="12" t="str">
        <f ca="1">VLOOKUP($G6,OFFSET([2]stages!$A$1,0,0,COUNTA([2]stages!$A:$A),MATCH(H$1,[2]stages!$2:$2,0)-MATCH($G$1,[2]stages!$2:$2,0)+1),MATCH(H$1,[2]stages!$2:$2,0)-MATCH($G$1,[2]stages!$2:$2,0)+1,FALSE)</f>
        <v>【超絶級】ヨミ襲来</v>
      </c>
      <c r="I6" s="96">
        <v>1</v>
      </c>
      <c r="J6" s="29">
        <v>60</v>
      </c>
      <c r="K6" s="29">
        <v>60</v>
      </c>
    </row>
    <row r="7" spans="1:11" ht="21" customHeight="1" x14ac:dyDescent="0.15">
      <c r="A7" s="13" t="str">
        <f t="shared" ref="A7:A9" si="2">G7&amp;"-"&amp;I7</f>
        <v>41011_1-2</v>
      </c>
      <c r="B7" s="13" t="str">
        <f>IF(COUNTIF(enemy_habitats!$H:$H,A7),"OK","NG")</f>
        <v>OK</v>
      </c>
      <c r="C7" s="95">
        <v>41011</v>
      </c>
      <c r="D7" s="15" t="str">
        <f ca="1">VLOOKUP($C7,OFFSET([2]quests!$A$1,0,0,COUNTA([2]quests!$A:$A),MATCH(D$1,[2]quests!$1:$1,0)-MATCH($C$1,[2]quests!$1:$1,0)+1),MATCH(D$1,[2]quests!$1:$1,0)-MATCH($C$1,[2]quests!$1:$1,0)+1,FALSE)</f>
        <v>ヨミ襲来！</v>
      </c>
      <c r="E7" s="15" t="str">
        <f ca="1">VLOOKUP($C7,OFFSET([2]quests!$A$1,0,0,COUNTA([2]quests!$A:$A),MATCH(E$1,[2]quests!$1:$1,0)-MATCH($C$1,[2]quests!$1:$1,0)+1),MATCH(E$1,[2]quests!$1:$1,0)-MATCH($C$1,[2]quests!$1:$1,0)+1,FALSE)</f>
        <v>降臨1</v>
      </c>
      <c r="F7" s="96">
        <v>1</v>
      </c>
      <c r="G7" s="18" t="str">
        <f t="shared" ref="G7:G9" si="3">C7&amp;"_"&amp;F7</f>
        <v>41011_1</v>
      </c>
      <c r="H7" s="12" t="str">
        <f ca="1">VLOOKUP($G7,OFFSET([2]stages!$A$1,0,0,COUNTA([2]stages!$A:$A),MATCH(H$1,[2]stages!$2:$2,0)-MATCH($G$1,[2]stages!$2:$2,0)+1),MATCH(H$1,[2]stages!$2:$2,0)-MATCH($G$1,[2]stages!$2:$2,0)+1,FALSE)</f>
        <v>【超絶級】ヨミ襲来</v>
      </c>
      <c r="I7" s="96">
        <v>2</v>
      </c>
      <c r="J7" s="29">
        <v>60</v>
      </c>
      <c r="K7" s="29">
        <v>60</v>
      </c>
    </row>
    <row r="8" spans="1:11" ht="21" customHeight="1" x14ac:dyDescent="0.15">
      <c r="A8" s="13" t="str">
        <f t="shared" si="2"/>
        <v>41011_1-3</v>
      </c>
      <c r="B8" s="13" t="str">
        <f>IF(COUNTIF(enemy_habitats!$H:$H,A8),"OK","NG")</f>
        <v>OK</v>
      </c>
      <c r="C8" s="95">
        <v>41011</v>
      </c>
      <c r="D8" s="15" t="str">
        <f ca="1">VLOOKUP($C8,OFFSET([2]quests!$A$1,0,0,COUNTA([2]quests!$A:$A),MATCH(D$1,[2]quests!$1:$1,0)-MATCH($C$1,[2]quests!$1:$1,0)+1),MATCH(D$1,[2]quests!$1:$1,0)-MATCH($C$1,[2]quests!$1:$1,0)+1,FALSE)</f>
        <v>ヨミ襲来！</v>
      </c>
      <c r="E8" s="15" t="str">
        <f ca="1">VLOOKUP($C8,OFFSET([2]quests!$A$1,0,0,COUNTA([2]quests!$A:$A),MATCH(E$1,[2]quests!$1:$1,0)-MATCH($C$1,[2]quests!$1:$1,0)+1),MATCH(E$1,[2]quests!$1:$1,0)-MATCH($C$1,[2]quests!$1:$1,0)+1,FALSE)</f>
        <v>降臨1</v>
      </c>
      <c r="F8" s="96">
        <v>1</v>
      </c>
      <c r="G8" s="18" t="str">
        <f t="shared" si="3"/>
        <v>41011_1</v>
      </c>
      <c r="H8" s="12" t="str">
        <f ca="1">VLOOKUP($G8,OFFSET([2]stages!$A$1,0,0,COUNTA([2]stages!$A:$A),MATCH(H$1,[2]stages!$2:$2,0)-MATCH($G$1,[2]stages!$2:$2,0)+1),MATCH(H$1,[2]stages!$2:$2,0)-MATCH($G$1,[2]stages!$2:$2,0)+1,FALSE)</f>
        <v>【超絶級】ヨミ襲来</v>
      </c>
      <c r="I8" s="96">
        <v>3</v>
      </c>
      <c r="J8" s="29">
        <v>60</v>
      </c>
      <c r="K8" s="29">
        <v>60</v>
      </c>
    </row>
    <row r="9" spans="1:11" ht="21" customHeight="1" x14ac:dyDescent="0.15">
      <c r="A9" s="13" t="str">
        <f t="shared" si="2"/>
        <v>41011_1-4</v>
      </c>
      <c r="B9" s="13" t="str">
        <f>IF(COUNTIF(enemy_habitats!$H:$H,A9),"OK","NG")</f>
        <v>OK</v>
      </c>
      <c r="C9" s="95">
        <v>41011</v>
      </c>
      <c r="D9" s="15" t="str">
        <f ca="1">VLOOKUP($C9,OFFSET([2]quests!$A$1,0,0,COUNTA([2]quests!$A:$A),MATCH(D$1,[2]quests!$1:$1,0)-MATCH($C$1,[2]quests!$1:$1,0)+1),MATCH(D$1,[2]quests!$1:$1,0)-MATCH($C$1,[2]quests!$1:$1,0)+1,FALSE)</f>
        <v>ヨミ襲来！</v>
      </c>
      <c r="E9" s="15" t="str">
        <f ca="1">VLOOKUP($C9,OFFSET([2]quests!$A$1,0,0,COUNTA([2]quests!$A:$A),MATCH(E$1,[2]quests!$1:$1,0)-MATCH($C$1,[2]quests!$1:$1,0)+1),MATCH(E$1,[2]quests!$1:$1,0)-MATCH($C$1,[2]quests!$1:$1,0)+1,FALSE)</f>
        <v>降臨1</v>
      </c>
      <c r="F9" s="96">
        <v>1</v>
      </c>
      <c r="G9" s="18" t="str">
        <f t="shared" si="3"/>
        <v>41011_1</v>
      </c>
      <c r="H9" s="12" t="str">
        <f ca="1">VLOOKUP($G9,OFFSET([2]stages!$A$1,0,0,COUNTA([2]stages!$A:$A),MATCH(H$1,[2]stages!$2:$2,0)-MATCH($G$1,[2]stages!$2:$2,0)+1),MATCH(H$1,[2]stages!$2:$2,0)-MATCH($G$1,[2]stages!$2:$2,0)+1,FALSE)</f>
        <v>【超絶級】ヨミ襲来</v>
      </c>
      <c r="I9" s="96">
        <v>4</v>
      </c>
      <c r="J9" s="29">
        <v>60</v>
      </c>
      <c r="K9" s="29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5"/>
  <sheetViews>
    <sheetView showGridLines="0" tabSelected="1" workbookViewId="0">
      <pane xSplit="17" ySplit="1" topLeftCell="Y2" activePane="bottomRight" state="frozen"/>
      <selection pane="topRight" activeCell="N1" sqref="N1"/>
      <selection pane="bottomLeft" activeCell="A2" sqref="A2"/>
      <selection pane="bottomRight" activeCell="Z19" sqref="Z19"/>
    </sheetView>
  </sheetViews>
  <sheetFormatPr baseColWidth="12" defaultColWidth="13" defaultRowHeight="21" customHeight="1" outlineLevelCol="1" x14ac:dyDescent="0.15"/>
  <cols>
    <col min="1" max="1" width="15.83203125" style="16" bestFit="1" customWidth="1"/>
    <col min="2" max="2" width="10.83203125" style="3" bestFit="1" customWidth="1"/>
    <col min="3" max="3" width="10.6640625" style="3" bestFit="1" customWidth="1"/>
    <col min="4" max="4" width="13" style="11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9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0" bestFit="1" customWidth="1" outlineLevel="1"/>
    <col min="32" max="32" width="8" style="11" bestFit="1" customWidth="1" outlineLevel="1"/>
    <col min="33" max="33" width="12" style="11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0" s="27" customFormat="1" ht="21" customHeight="1" x14ac:dyDescent="0.15">
      <c r="A1" s="21" t="s">
        <v>196</v>
      </c>
      <c r="B1" s="20" t="s">
        <v>0</v>
      </c>
      <c r="C1" s="20" t="s">
        <v>1</v>
      </c>
      <c r="D1" s="22" t="s">
        <v>197</v>
      </c>
      <c r="E1" s="22" t="s">
        <v>142</v>
      </c>
      <c r="F1" s="22" t="s">
        <v>142</v>
      </c>
      <c r="G1" s="20" t="s">
        <v>138</v>
      </c>
      <c r="H1" s="22" t="s">
        <v>198</v>
      </c>
      <c r="I1" s="22" t="s">
        <v>13</v>
      </c>
      <c r="J1" s="22" t="s">
        <v>14</v>
      </c>
      <c r="K1" s="28" t="s">
        <v>199</v>
      </c>
      <c r="L1" s="28" t="s">
        <v>2</v>
      </c>
      <c r="M1" s="23" t="s">
        <v>142</v>
      </c>
      <c r="N1" s="22" t="s">
        <v>200</v>
      </c>
      <c r="O1" s="22" t="s">
        <v>201</v>
      </c>
      <c r="P1" s="24" t="s">
        <v>202</v>
      </c>
      <c r="Q1" s="22" t="s">
        <v>203</v>
      </c>
      <c r="R1" s="20" t="s">
        <v>3</v>
      </c>
      <c r="S1" s="20" t="s">
        <v>204</v>
      </c>
      <c r="T1" s="20" t="s">
        <v>205</v>
      </c>
      <c r="U1" s="20" t="s">
        <v>206</v>
      </c>
      <c r="V1" s="22" t="s">
        <v>207</v>
      </c>
      <c r="W1" s="20" t="s">
        <v>208</v>
      </c>
      <c r="X1" s="20" t="s">
        <v>4</v>
      </c>
      <c r="Y1" s="20" t="s">
        <v>5</v>
      </c>
      <c r="Z1" s="20" t="s">
        <v>6</v>
      </c>
      <c r="AA1" s="20" t="s">
        <v>7</v>
      </c>
      <c r="AB1" s="25" t="s">
        <v>8</v>
      </c>
      <c r="AC1" s="26" t="s">
        <v>142</v>
      </c>
      <c r="AD1" s="26" t="s">
        <v>209</v>
      </c>
      <c r="AE1" s="26" t="s">
        <v>210</v>
      </c>
      <c r="AF1" s="25" t="s">
        <v>9</v>
      </c>
      <c r="AG1" s="20" t="s">
        <v>10</v>
      </c>
      <c r="AH1" s="20" t="s">
        <v>11</v>
      </c>
      <c r="AI1" s="20" t="s">
        <v>115</v>
      </c>
      <c r="AJ1" s="20" t="s">
        <v>116</v>
      </c>
      <c r="AK1" s="20" t="s">
        <v>117</v>
      </c>
      <c r="AL1" s="20" t="s">
        <v>118</v>
      </c>
      <c r="AM1" s="20" t="s">
        <v>119</v>
      </c>
      <c r="AN1" s="28" t="s">
        <v>114</v>
      </c>
    </row>
    <row r="2" spans="1:40" ht="21" customHeight="1" x14ac:dyDescent="0.15">
      <c r="A2" s="13" t="str">
        <f ca="1">B2&amp;"_"&amp;C2&amp;"-"&amp;G2&amp;"/"&amp;L2&amp;"&lt;lv"&amp;R2&amp;"&gt;s"&amp;AA2</f>
        <v>41011_2-1/46&lt;lv55&gt;s3</v>
      </c>
      <c r="B2" s="17">
        <v>41011</v>
      </c>
      <c r="C2" s="96">
        <v>2</v>
      </c>
      <c r="D2" s="12" t="str">
        <f t="shared" ref="D2:D8" si="0">B2&amp;"_"&amp;C2</f>
        <v>41011_2</v>
      </c>
      <c r="E2" s="4" t="str">
        <f ca="1">VLOOKUP($B2,OFFSET([2]quests!$A$1,0,0,COUNTA([2]quests!$A:$A),MATCH(E$1,[2]quests!$1:$1,0)-MATCH($B$1,[2]quests!$1:$1,0)+1),MATCH(E$1,[2]quests!$1:$1,0)-MATCH($B$1,[2]quests!$1:$1,0)+1,FALSE)</f>
        <v>ヨミ襲来！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【ウィザード級】ヨミ襲来</v>
      </c>
      <c r="G2" s="96">
        <v>1</v>
      </c>
      <c r="H2" s="12" t="str">
        <f t="shared" ref="H2:H8" si="1">B2&amp;"_"&amp;C2&amp;"-"&amp;G2</f>
        <v>41011_2-1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v>60</v>
      </c>
      <c r="K2" s="29" t="s">
        <v>124</v>
      </c>
      <c r="L2" s="97">
        <v>46</v>
      </c>
      <c r="M2" s="14" t="str">
        <f ca="1">VLOOKUP($L2,OFFSET([3]enemies!$A$1,0,0,COUNTA([3]enemies!$A:$A),MATCH(M$1,[3]enemies!$1:$1,0)-MATCH($L$1,[3]enemies!$1:$1,0)+1),MATCH(M$1,[3]enemies!$1:$1,0)-MATCH($L$1,[3]enemies!$1:$1,0)+1,FALSE)</f>
        <v>微笑みの筆跡 ショウイン</v>
      </c>
      <c r="N2" s="14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4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4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4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55</v>
      </c>
      <c r="S2" s="19">
        <v>1</v>
      </c>
      <c r="T2" s="19">
        <v>0.5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38">
        <v>0</v>
      </c>
      <c r="X2" s="6">
        <v>2</v>
      </c>
      <c r="Y2" s="6">
        <v>100</v>
      </c>
      <c r="Z2" s="6">
        <v>0</v>
      </c>
      <c r="AA2" s="14">
        <f ca="1">VLOOKUP($L2,OFFSET([3]enemies!$A$1,0,0,COUNTA([3]enemies!$A:$A),MATCH(AA$1,[3]enemies!$1:$1,0)-MATCH($L$1,[3]enemies!$1:$1,0)+1),MATCH(AA$1,[3]enemies!$1:$1,0)-MATCH($L$1,[3]enemies!$1:$1,0)+1,FALSE)</f>
        <v>3</v>
      </c>
      <c r="AB2" s="98">
        <f t="shared" ref="AB2:AB8" si="2">L2</f>
        <v>46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微笑みの筆跡 ショウイン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95">
        <v>1</v>
      </c>
      <c r="AG2" s="98">
        <f t="shared" ref="AG2:AG8" ca="1" si="3">AD2</f>
        <v>3</v>
      </c>
      <c r="AH2" s="7">
        <v>0</v>
      </c>
      <c r="AI2" s="95">
        <v>0</v>
      </c>
      <c r="AJ2" s="95">
        <v>0</v>
      </c>
      <c r="AK2" s="95">
        <v>0</v>
      </c>
      <c r="AL2" s="95">
        <v>0</v>
      </c>
      <c r="AM2" s="95">
        <v>1</v>
      </c>
      <c r="AN2" s="60">
        <v>1</v>
      </c>
    </row>
    <row r="3" spans="1:40" ht="21" customHeight="1" x14ac:dyDescent="0.15">
      <c r="A3" s="13" t="str">
        <f t="shared" ref="A3:A8" ca="1" si="4">B3&amp;"_"&amp;C3&amp;"-"&amp;G3&amp;"/"&amp;L3&amp;"&lt;lv"&amp;R3&amp;"&gt;s"&amp;AA3</f>
        <v>41011_2-1/83&lt;lv63&gt;s2</v>
      </c>
      <c r="B3" s="17">
        <v>41011</v>
      </c>
      <c r="C3" s="96">
        <v>2</v>
      </c>
      <c r="D3" s="12" t="str">
        <f t="shared" si="0"/>
        <v>41011_2</v>
      </c>
      <c r="E3" s="4" t="str">
        <f ca="1">VLOOKUP($B3,OFFSET([2]quests!$A$1,0,0,COUNTA([2]quests!$A:$A),MATCH(E$1,[2]quests!$1:$1,0)-MATCH($B$1,[2]quests!$1:$1,0)+1),MATCH(E$1,[2]quests!$1:$1,0)-MATCH($B$1,[2]quests!$1:$1,0)+1,FALSE)</f>
        <v>ヨミ襲来！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【ウィザード級】ヨミ襲来</v>
      </c>
      <c r="G3" s="96">
        <v>1</v>
      </c>
      <c r="H3" s="12" t="str">
        <f t="shared" si="1"/>
        <v>41011_2-1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v>60</v>
      </c>
      <c r="K3" s="29" t="s">
        <v>211</v>
      </c>
      <c r="L3" s="97">
        <v>83</v>
      </c>
      <c r="M3" s="14" t="str">
        <f ca="1">VLOOKUP($L3,OFFSET([3]enemies!$A$1,0,0,COUNTA([3]enemies!$A:$A),MATCH(M$1,[3]enemies!$1:$1,0)-MATCH($L$1,[3]enemies!$1:$1,0)+1),MATCH(M$1,[3]enemies!$1:$1,0)-MATCH($L$1,[3]enemies!$1:$1,0)+1,FALSE)</f>
        <v>拡散性ニムダ</v>
      </c>
      <c r="N3" s="14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4" t="str">
        <f ca="1">VLOOKUP($L3,OFFSET([4]characters!$A$1,0,0,COUNTA([4]characters!$A:$A),MATCH(O$1,[4]characters!$1:$1,0)-MATCH($L$1,[4]characters!$1:$1,0)+1),MATCH(O$1,[4]characters!$1:$1,0)-MATCH($L$1,[4]characters!$1:$1,0)+1,FALSE)</f>
        <v>DropWizW</v>
      </c>
      <c r="P3" s="14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4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63</v>
      </c>
      <c r="S3" s="19">
        <v>4</v>
      </c>
      <c r="T3" s="19">
        <v>1.4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4回連続攻撃</v>
      </c>
      <c r="W3" s="38">
        <v>41011002</v>
      </c>
      <c r="X3" s="6">
        <v>1</v>
      </c>
      <c r="Y3" s="6">
        <v>100</v>
      </c>
      <c r="Z3" s="6">
        <v>1</v>
      </c>
      <c r="AA3" s="14">
        <f ca="1">VLOOKUP($L3,OFFSET([3]enemies!$A$1,0,0,COUNTA([3]enemies!$A:$A),MATCH(AA$1,[3]enemies!$1:$1,0)-MATCH($L$1,[3]enemies!$1:$1,0)+1),MATCH(AA$1,[3]enemies!$1:$1,0)-MATCH($L$1,[3]enemies!$1:$1,0)+1,FALSE)</f>
        <v>2</v>
      </c>
      <c r="AB3" s="98">
        <f t="shared" si="2"/>
        <v>83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3" s="95">
        <v>1</v>
      </c>
      <c r="AG3" s="98">
        <f t="shared" ca="1" si="3"/>
        <v>3</v>
      </c>
      <c r="AH3" s="7">
        <v>0</v>
      </c>
      <c r="AI3" s="95">
        <v>0</v>
      </c>
      <c r="AJ3" s="95">
        <v>0</v>
      </c>
      <c r="AK3" s="95">
        <v>0</v>
      </c>
      <c r="AL3" s="95">
        <v>0</v>
      </c>
      <c r="AM3" s="95">
        <v>1</v>
      </c>
      <c r="AN3" s="60">
        <v>1</v>
      </c>
    </row>
    <row r="4" spans="1:40" ht="21" customHeight="1" x14ac:dyDescent="0.15">
      <c r="A4" s="13" t="str">
        <f>B4&amp;"_"&amp;C4&amp;"-"&amp;G4&amp;"/"&amp;L4&amp;"&lt;lv"&amp;R4&amp;"&gt;s"&amp;AA4</f>
        <v>41011_2-2/51&lt;lv63&gt;s1</v>
      </c>
      <c r="B4" s="17">
        <v>41011</v>
      </c>
      <c r="C4" s="96">
        <v>2</v>
      </c>
      <c r="D4" s="12" t="str">
        <f t="shared" si="0"/>
        <v>41011_2</v>
      </c>
      <c r="E4" s="4" t="str">
        <f ca="1">VLOOKUP($B4,OFFSET([2]quests!$A$1,0,0,COUNTA([2]quests!$A:$A),MATCH(E$1,[2]quests!$1:$1,0)-MATCH($B$1,[2]quests!$1:$1,0)+1),MATCH(E$1,[2]quests!$1:$1,0)-MATCH($B$1,[2]quests!$1:$1,0)+1,FALSE)</f>
        <v>ヨミ襲来！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【ウィザード級】ヨミ襲来</v>
      </c>
      <c r="G4" s="96">
        <v>2</v>
      </c>
      <c r="H4" s="12" t="str">
        <f t="shared" si="1"/>
        <v>41011_2-2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v>60</v>
      </c>
      <c r="K4" s="29" t="s">
        <v>124</v>
      </c>
      <c r="L4" s="97">
        <v>51</v>
      </c>
      <c r="M4" s="14" t="str">
        <f ca="1">VLOOKUP($L4,OFFSET([3]enemies!$A$1,0,0,COUNTA([3]enemies!$A:$A),MATCH(M$1,[3]enemies!$1:$1,0)-MATCH($L$1,[3]enemies!$1:$1,0)+1),MATCH(M$1,[3]enemies!$1:$1,0)-MATCH($L$1,[3]enemies!$1:$1,0)+1,FALSE)</f>
        <v>マイ</v>
      </c>
      <c r="N4" s="14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4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4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4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63</v>
      </c>
      <c r="S4" s="19">
        <v>1.5</v>
      </c>
      <c r="T4" s="19">
        <v>0.7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4" s="38">
        <v>41011003</v>
      </c>
      <c r="X4" s="6">
        <v>2</v>
      </c>
      <c r="Y4" s="6">
        <v>100</v>
      </c>
      <c r="Z4" s="6">
        <v>0</v>
      </c>
      <c r="AA4" s="14">
        <v>1</v>
      </c>
      <c r="AB4" s="98">
        <f t="shared" si="2"/>
        <v>51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マイ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95">
        <v>1</v>
      </c>
      <c r="AG4" s="98">
        <f t="shared" ca="1" si="3"/>
        <v>2</v>
      </c>
      <c r="AH4" s="7">
        <v>0</v>
      </c>
      <c r="AI4" s="95">
        <v>0</v>
      </c>
      <c r="AJ4" s="95">
        <v>0</v>
      </c>
      <c r="AK4" s="95">
        <v>0</v>
      </c>
      <c r="AL4" s="95">
        <v>0</v>
      </c>
      <c r="AM4" s="95">
        <v>1</v>
      </c>
      <c r="AN4" s="60">
        <v>1</v>
      </c>
    </row>
    <row r="5" spans="1:40" ht="21" customHeight="1" x14ac:dyDescent="0.15">
      <c r="A5" s="13" t="str">
        <f t="shared" ca="1" si="4"/>
        <v>41011_2-2/322&lt;lv65&gt;s2</v>
      </c>
      <c r="B5" s="17">
        <v>41011</v>
      </c>
      <c r="C5" s="96">
        <v>2</v>
      </c>
      <c r="D5" s="12" t="str">
        <f t="shared" si="0"/>
        <v>41011_2</v>
      </c>
      <c r="E5" s="4" t="str">
        <f ca="1">VLOOKUP($B5,OFFSET([2]quests!$A$1,0,0,COUNTA([2]quests!$A:$A),MATCH(E$1,[2]quests!$1:$1,0)-MATCH($B$1,[2]quests!$1:$1,0)+1),MATCH(E$1,[2]quests!$1:$1,0)-MATCH($B$1,[2]quests!$1:$1,0)+1,FALSE)</f>
        <v>ヨミ襲来！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【ウィザード級】ヨミ襲来</v>
      </c>
      <c r="G5" s="96">
        <v>2</v>
      </c>
      <c r="H5" s="12" t="str">
        <f t="shared" si="1"/>
        <v>41011_2-2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v>60</v>
      </c>
      <c r="K5" s="29">
        <v>1</v>
      </c>
      <c r="L5" s="97">
        <v>322</v>
      </c>
      <c r="M5" s="14" t="str">
        <f ca="1">VLOOKUP($L5,OFFSET([3]enemies!$A$1,0,0,COUNTA([3]enemies!$A:$A),MATCH(M$1,[3]enemies!$1:$1,0)-MATCH($L$1,[3]enemies!$1:$1,0)+1),MATCH(M$1,[3]enemies!$1:$1,0)-MATCH($L$1,[3]enemies!$1:$1,0)+1,FALSE)</f>
        <v>愛志士 土方歳三</v>
      </c>
      <c r="N5" s="14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4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4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4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65</v>
      </c>
      <c r="S5" s="19">
        <v>2</v>
      </c>
      <c r="T5" s="19">
        <v>1.2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種族ゴッドのユニットに大ダメージ</v>
      </c>
      <c r="W5" s="38">
        <v>41011004</v>
      </c>
      <c r="X5" s="6">
        <v>1</v>
      </c>
      <c r="Y5" s="6">
        <v>100</v>
      </c>
      <c r="Z5" s="6">
        <v>1</v>
      </c>
      <c r="AA5" s="14">
        <f ca="1">VLOOKUP($L5,OFFSET([3]enemies!$A$1,0,0,COUNTA([3]enemies!$A:$A),MATCH(AA$1,[3]enemies!$1:$1,0)-MATCH($L$1,[3]enemies!$1:$1,0)+1),MATCH(AA$1,[3]enemies!$1:$1,0)-MATCH($L$1,[3]enemies!$1:$1,0)+1,FALSE)</f>
        <v>2</v>
      </c>
      <c r="AB5" s="98">
        <f t="shared" si="2"/>
        <v>322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愛志士 土方歳三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5" s="95">
        <v>1</v>
      </c>
      <c r="AG5" s="98">
        <f t="shared" ca="1" si="3"/>
        <v>4</v>
      </c>
      <c r="AH5" s="7">
        <v>0</v>
      </c>
      <c r="AI5" s="95">
        <v>0</v>
      </c>
      <c r="AJ5" s="95">
        <v>0</v>
      </c>
      <c r="AK5" s="95">
        <v>0</v>
      </c>
      <c r="AL5" s="95">
        <v>0</v>
      </c>
      <c r="AM5" s="95">
        <v>1</v>
      </c>
      <c r="AN5" s="60">
        <v>1</v>
      </c>
    </row>
    <row r="6" spans="1:40" ht="21" customHeight="1" x14ac:dyDescent="0.15">
      <c r="A6" s="13" t="str">
        <f t="shared" ca="1" si="4"/>
        <v>41011_2-3/360&lt;lv66&gt;s3</v>
      </c>
      <c r="B6" s="17">
        <v>41011</v>
      </c>
      <c r="C6" s="96">
        <v>2</v>
      </c>
      <c r="D6" s="12" t="str">
        <f t="shared" si="0"/>
        <v>41011_2</v>
      </c>
      <c r="E6" s="4" t="str">
        <f ca="1">VLOOKUP($B6,OFFSET([2]quests!$A$1,0,0,COUNTA([2]quests!$A:$A),MATCH(E$1,[2]quests!$1:$1,0)-MATCH($B$1,[2]quests!$1:$1,0)+1),MATCH(E$1,[2]quests!$1:$1,0)-MATCH($B$1,[2]quests!$1:$1,0)+1,FALSE)</f>
        <v>ヨミ襲来！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【ウィザード級】ヨミ襲来</v>
      </c>
      <c r="G6" s="96">
        <v>3</v>
      </c>
      <c r="H6" s="12" t="str">
        <f t="shared" si="1"/>
        <v>41011_2-3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v>60</v>
      </c>
      <c r="K6" s="29" t="s">
        <v>211</v>
      </c>
      <c r="L6" s="97">
        <v>360</v>
      </c>
      <c r="M6" s="14" t="str">
        <f ca="1">VLOOKUP($L6,OFFSET([3]enemies!$A$1,0,0,COUNTA([3]enemies!$A:$A),MATCH(M$1,[3]enemies!$1:$1,0)-MATCH($L$1,[3]enemies!$1:$1,0)+1),MATCH(M$1,[3]enemies!$1:$1,0)-MATCH($L$1,[3]enemies!$1:$1,0)+1,FALSE)</f>
        <v>ガンテツ</v>
      </c>
      <c r="N6" s="14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4" t="str">
        <f ca="1">VLOOKUP($L6,OFFSET([4]characters!$A$1,0,0,COUNTA([4]characters!$A:$A),MATCH(O$1,[4]characters!$1:$1,0)-MATCH($L$1,[4]characters!$1:$1,0)+1),MATCH(O$1,[4]characters!$1:$1,0)-MATCH($L$1,[4]characters!$1:$1,0)+1,FALSE)</f>
        <v>Drop1S</v>
      </c>
      <c r="P6" s="14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4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66</v>
      </c>
      <c r="S6" s="19">
        <v>2</v>
      </c>
      <c r="T6" s="19">
        <v>0.6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クリティカル攻撃</v>
      </c>
      <c r="W6" s="38">
        <v>41011006</v>
      </c>
      <c r="X6" s="6">
        <v>2</v>
      </c>
      <c r="Y6" s="6">
        <v>100</v>
      </c>
      <c r="Z6" s="6">
        <v>0</v>
      </c>
      <c r="AA6" s="14">
        <f ca="1">VLOOKUP($L6,OFFSET([3]enemies!$A$1,0,0,COUNTA([3]enemies!$A:$A),MATCH(AA$1,[3]enemies!$1:$1,0)-MATCH($L$1,[3]enemies!$1:$1,0)+1),MATCH(AA$1,[3]enemies!$1:$1,0)-MATCH($L$1,[3]enemies!$1:$1,0)+1,FALSE)</f>
        <v>3</v>
      </c>
      <c r="AB6" s="98">
        <f t="shared" si="2"/>
        <v>360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Drop1S</v>
      </c>
      <c r="AF6" s="95">
        <v>1</v>
      </c>
      <c r="AG6" s="98">
        <f t="shared" ca="1" si="3"/>
        <v>2</v>
      </c>
      <c r="AH6" s="7">
        <v>0</v>
      </c>
      <c r="AI6" s="95">
        <v>0</v>
      </c>
      <c r="AJ6" s="95">
        <v>0</v>
      </c>
      <c r="AK6" s="95">
        <v>0</v>
      </c>
      <c r="AL6" s="95">
        <v>0</v>
      </c>
      <c r="AM6" s="95">
        <v>1</v>
      </c>
      <c r="AN6" s="60">
        <v>1</v>
      </c>
    </row>
    <row r="7" spans="1:40" ht="21" customHeight="1" x14ac:dyDescent="0.15">
      <c r="A7" s="13" t="str">
        <f t="shared" ca="1" si="4"/>
        <v>41011_2-3/78&lt;lv64&gt;s1</v>
      </c>
      <c r="B7" s="17">
        <v>41011</v>
      </c>
      <c r="C7" s="96">
        <v>2</v>
      </c>
      <c r="D7" s="12" t="str">
        <f t="shared" si="0"/>
        <v>41011_2</v>
      </c>
      <c r="E7" s="4" t="str">
        <f ca="1">VLOOKUP($B7,OFFSET([2]quests!$A$1,0,0,COUNTA([2]quests!$A:$A),MATCH(E$1,[2]quests!$1:$1,0)-MATCH($B$1,[2]quests!$1:$1,0)+1),MATCH(E$1,[2]quests!$1:$1,0)-MATCH($B$1,[2]quests!$1:$1,0)+1,FALSE)</f>
        <v>ヨミ襲来！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【ウィザード級】ヨミ襲来</v>
      </c>
      <c r="G7" s="96">
        <v>3</v>
      </c>
      <c r="H7" s="12" t="str">
        <f t="shared" si="1"/>
        <v>41011_2-3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v>60</v>
      </c>
      <c r="K7" s="29" t="s">
        <v>124</v>
      </c>
      <c r="L7" s="97">
        <v>78</v>
      </c>
      <c r="M7" s="14" t="str">
        <f ca="1">VLOOKUP($L7,OFFSET([3]enemies!$A$1,0,0,COUNTA([3]enemies!$A:$A),MATCH(M$1,[3]enemies!$1:$1,0)-MATCH($L$1,[3]enemies!$1:$1,0)+1),MATCH(M$1,[3]enemies!$1:$1,0)-MATCH($L$1,[3]enemies!$1:$1,0)+1,FALSE)</f>
        <v>擬態潜伏型メリッサ2.0</v>
      </c>
      <c r="N7" s="14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4" t="str">
        <f ca="1">VLOOKUP($L7,OFFSET([4]characters!$A$1,0,0,COUNTA([4]characters!$A:$A),MATCH(O$1,[4]characters!$1:$1,0)-MATCH($L$1,[4]characters!$1:$1,0)+1),MATCH(O$1,[4]characters!$1:$1,0)-MATCH($L$1,[4]characters!$1:$1,0)+1,FALSE)</f>
        <v>DropWizW</v>
      </c>
      <c r="P7" s="14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4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64</v>
      </c>
      <c r="S7" s="19">
        <v>2.5</v>
      </c>
      <c r="T7" s="19">
        <v>1.3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解除するまでウィルス</v>
      </c>
      <c r="W7" s="38">
        <v>41011007</v>
      </c>
      <c r="X7" s="6">
        <v>1</v>
      </c>
      <c r="Y7" s="6">
        <v>100</v>
      </c>
      <c r="Z7" s="6">
        <v>1</v>
      </c>
      <c r="AA7" s="14">
        <f ca="1">VLOOKUP($L7,OFFSET([3]enemies!$A$1,0,0,COUNTA([3]enemies!$A:$A),MATCH(AA$1,[3]enemies!$1:$1,0)-MATCH($L$1,[3]enemies!$1:$1,0)+1),MATCH(AA$1,[3]enemies!$1:$1,0)-MATCH($L$1,[3]enemies!$1:$1,0)+1,FALSE)</f>
        <v>1</v>
      </c>
      <c r="AB7" s="98">
        <f t="shared" si="2"/>
        <v>78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擬態潜伏型メリッサ2.0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7" s="95">
        <v>1</v>
      </c>
      <c r="AG7" s="98">
        <f t="shared" ca="1" si="3"/>
        <v>4</v>
      </c>
      <c r="AH7" s="7">
        <v>0</v>
      </c>
      <c r="AI7" s="95">
        <v>0</v>
      </c>
      <c r="AJ7" s="95">
        <v>0</v>
      </c>
      <c r="AK7" s="95">
        <v>0</v>
      </c>
      <c r="AL7" s="95">
        <v>0</v>
      </c>
      <c r="AM7" s="95">
        <v>1</v>
      </c>
      <c r="AN7" s="60">
        <v>1</v>
      </c>
    </row>
    <row r="8" spans="1:40" ht="21" customHeight="1" x14ac:dyDescent="0.15">
      <c r="A8" s="13" t="str">
        <f t="shared" si="4"/>
        <v>41011_2-4/655&lt;lv75&gt;s2</v>
      </c>
      <c r="B8" s="17">
        <v>41011</v>
      </c>
      <c r="C8" s="96">
        <v>2</v>
      </c>
      <c r="D8" s="12" t="str">
        <f t="shared" si="0"/>
        <v>41011_2</v>
      </c>
      <c r="E8" s="4" t="str">
        <f ca="1">VLOOKUP($B8,OFFSET([2]quests!$A$1,0,0,COUNTA([2]quests!$A:$A),MATCH(E$1,[2]quests!$1:$1,0)-MATCH($B$1,[2]quests!$1:$1,0)+1),MATCH(E$1,[2]quests!$1:$1,0)-MATCH($B$1,[2]quests!$1:$1,0)+1,FALSE)</f>
        <v>ヨミ襲来！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【ウィザード級】ヨミ襲来</v>
      </c>
      <c r="G8" s="96">
        <v>4</v>
      </c>
      <c r="H8" s="12" t="str">
        <f t="shared" si="1"/>
        <v>41011_2-4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v>60</v>
      </c>
      <c r="K8" s="29">
        <v>2</v>
      </c>
      <c r="L8" s="97">
        <v>655</v>
      </c>
      <c r="M8" s="14" t="str">
        <f ca="1">VLOOKUP($L8,OFFSET([3]enemies!$A$1,0,0,COUNTA([3]enemies!$A:$A),MATCH(M$1,[3]enemies!$1:$1,0)-MATCH($L$1,[3]enemies!$1:$1,0)+1),MATCH(M$1,[3]enemies!$1:$1,0)-MATCH($L$1,[3]enemies!$1:$1,0)+1,FALSE)</f>
        <v>桜花舞う嵐鬼神 ヨミ</v>
      </c>
      <c r="N8" s="14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4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4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4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75</v>
      </c>
      <c r="S8" s="19">
        <v>1.6</v>
      </c>
      <c r="T8" s="19">
        <v>1.4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状態異常耐性＋解除するまでウィルス</v>
      </c>
      <c r="W8" s="38">
        <v>41011008</v>
      </c>
      <c r="X8" s="6">
        <v>1</v>
      </c>
      <c r="Y8" s="6">
        <v>100</v>
      </c>
      <c r="Z8" s="6">
        <v>1</v>
      </c>
      <c r="AA8" s="14">
        <v>2</v>
      </c>
      <c r="AB8" s="98">
        <v>654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酒呑童子 ヨミ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95">
        <v>1</v>
      </c>
      <c r="AG8" s="98">
        <f t="shared" ca="1" si="3"/>
        <v>4</v>
      </c>
      <c r="AH8" s="7">
        <v>30</v>
      </c>
      <c r="AI8" s="95">
        <v>0</v>
      </c>
      <c r="AJ8" s="95">
        <v>0</v>
      </c>
      <c r="AK8" s="95">
        <v>0</v>
      </c>
      <c r="AL8" s="95">
        <v>0</v>
      </c>
      <c r="AM8" s="95">
        <v>1</v>
      </c>
      <c r="AN8" s="60">
        <v>1</v>
      </c>
    </row>
    <row r="9" spans="1:40" ht="21" customHeight="1" x14ac:dyDescent="0.15">
      <c r="A9" s="13" t="str">
        <f ca="1">B9&amp;"_"&amp;C9&amp;"-"&amp;G9&amp;"/"&amp;L9&amp;"&lt;lv"&amp;R9&amp;"&gt;s"&amp;AA9</f>
        <v>41011_1-1/46&lt;lv45&gt;s3</v>
      </c>
      <c r="B9" s="17">
        <v>41011</v>
      </c>
      <c r="C9" s="96">
        <v>1</v>
      </c>
      <c r="D9" s="12" t="str">
        <f t="shared" ref="D9:D15" si="5">B9&amp;"_"&amp;C9</f>
        <v>41011_1</v>
      </c>
      <c r="E9" s="4" t="str">
        <f ca="1">VLOOKUP($B9,OFFSET([2]quests!$A$1,0,0,COUNTA([2]quests!$A:$A),MATCH(E$1,[2]quests!$1:$1,0)-MATCH($B$1,[2]quests!$1:$1,0)+1),MATCH(E$1,[2]quests!$1:$1,0)-MATCH($B$1,[2]quests!$1:$1,0)+1,FALSE)</f>
        <v>ヨミ襲来！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【超絶級】ヨミ襲来</v>
      </c>
      <c r="G9" s="96">
        <v>1</v>
      </c>
      <c r="H9" s="12" t="str">
        <f t="shared" ref="H9:H15" si="6">B9&amp;"_"&amp;C9&amp;"-"&amp;G9</f>
        <v>41011_1-1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v>60</v>
      </c>
      <c r="K9" s="29" t="s">
        <v>124</v>
      </c>
      <c r="L9" s="97">
        <v>46</v>
      </c>
      <c r="M9" s="14" t="str">
        <f ca="1">VLOOKUP($L9,OFFSET([3]enemies!$A$1,0,0,COUNTA([3]enemies!$A:$A),MATCH(M$1,[3]enemies!$1:$1,0)-MATCH($L$1,[3]enemies!$1:$1,0)+1),MATCH(M$1,[3]enemies!$1:$1,0)-MATCH($L$1,[3]enemies!$1:$1,0)+1,FALSE)</f>
        <v>微笑みの筆跡 ショウイン</v>
      </c>
      <c r="N9" s="14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4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4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4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45</v>
      </c>
      <c r="S9" s="19">
        <v>1</v>
      </c>
      <c r="T9" s="19">
        <v>0.5</v>
      </c>
      <c r="U9" s="5">
        <v>0</v>
      </c>
      <c r="V9" s="4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38">
        <v>0</v>
      </c>
      <c r="X9" s="6">
        <v>2</v>
      </c>
      <c r="Y9" s="6">
        <v>100</v>
      </c>
      <c r="Z9" s="6">
        <v>0</v>
      </c>
      <c r="AA9" s="14">
        <f ca="1">VLOOKUP($L9,OFFSET([3]enemies!$A$1,0,0,COUNTA([3]enemies!$A:$A),MATCH(AA$1,[3]enemies!$1:$1,0)-MATCH($L$1,[3]enemies!$1:$1,0)+1),MATCH(AA$1,[3]enemies!$1:$1,0)-MATCH($L$1,[3]enemies!$1:$1,0)+1,FALSE)</f>
        <v>3</v>
      </c>
      <c r="AB9" s="98">
        <f t="shared" ref="AB9:AB15" si="7">L9</f>
        <v>46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微笑みの筆跡 ショウイン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3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Drop1N</v>
      </c>
      <c r="AF9" s="95">
        <v>1</v>
      </c>
      <c r="AG9" s="98">
        <f t="shared" ref="AG9:AG15" ca="1" si="8">AD9</f>
        <v>3</v>
      </c>
      <c r="AH9" s="7">
        <v>0</v>
      </c>
      <c r="AI9" s="95">
        <v>0</v>
      </c>
      <c r="AJ9" s="95">
        <v>0</v>
      </c>
      <c r="AK9" s="95">
        <v>0</v>
      </c>
      <c r="AL9" s="95">
        <v>0</v>
      </c>
      <c r="AM9" s="95">
        <v>1</v>
      </c>
      <c r="AN9" s="60">
        <v>1</v>
      </c>
    </row>
    <row r="10" spans="1:40" ht="21" customHeight="1" x14ac:dyDescent="0.15">
      <c r="A10" s="13" t="str">
        <f t="shared" ref="A10:A15" ca="1" si="9">B10&amp;"_"&amp;C10&amp;"-"&amp;G10&amp;"/"&amp;L10&amp;"&lt;lv"&amp;R10&amp;"&gt;s"&amp;AA10</f>
        <v>41011_1-1/83&lt;lv55&gt;s2</v>
      </c>
      <c r="B10" s="17">
        <v>41011</v>
      </c>
      <c r="C10" s="96">
        <v>1</v>
      </c>
      <c r="D10" s="12" t="str">
        <f t="shared" si="5"/>
        <v>41011_1</v>
      </c>
      <c r="E10" s="4" t="str">
        <f ca="1">VLOOKUP($B10,OFFSET([2]quests!$A$1,0,0,COUNTA([2]quests!$A:$A),MATCH(E$1,[2]quests!$1:$1,0)-MATCH($B$1,[2]quests!$1:$1,0)+1),MATCH(E$1,[2]quests!$1:$1,0)-MATCH($B$1,[2]quests!$1:$1,0)+1,FALSE)</f>
        <v>ヨミ襲来！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【超絶級】ヨミ襲来</v>
      </c>
      <c r="G10" s="96">
        <v>1</v>
      </c>
      <c r="H10" s="12" t="str">
        <f t="shared" si="6"/>
        <v>41011_1-1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v>60</v>
      </c>
      <c r="K10" s="29" t="s">
        <v>124</v>
      </c>
      <c r="L10" s="97">
        <v>83</v>
      </c>
      <c r="M10" s="14" t="str">
        <f ca="1">VLOOKUP($L10,OFFSET([3]enemies!$A$1,0,0,COUNTA([3]enemies!$A:$A),MATCH(M$1,[3]enemies!$1:$1,0)-MATCH($L$1,[3]enemies!$1:$1,0)+1),MATCH(M$1,[3]enemies!$1:$1,0)-MATCH($L$1,[3]enemies!$1:$1,0)+1,FALSE)</f>
        <v>拡散性ニムダ</v>
      </c>
      <c r="N10" s="14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4" t="str">
        <f ca="1">VLOOKUP($L10,OFFSET([4]characters!$A$1,0,0,COUNTA([4]characters!$A:$A),MATCH(O$1,[4]characters!$1:$1,0)-MATCH($L$1,[4]characters!$1:$1,0)+1),MATCH(O$1,[4]characters!$1:$1,0)-MATCH($L$1,[4]characters!$1:$1,0)+1,FALSE)</f>
        <v>DropWizW</v>
      </c>
      <c r="P10" s="14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4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55</v>
      </c>
      <c r="S10" s="19">
        <v>4</v>
      </c>
      <c r="T10" s="19">
        <v>1.2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4回連続攻撃</v>
      </c>
      <c r="W10" s="38">
        <v>41011002</v>
      </c>
      <c r="X10" s="6">
        <v>1</v>
      </c>
      <c r="Y10" s="6">
        <v>100</v>
      </c>
      <c r="Z10" s="6">
        <v>1</v>
      </c>
      <c r="AA10" s="14">
        <f ca="1">VLOOKUP($L10,OFFSET([3]enemies!$A$1,0,0,COUNTA([3]enemies!$A:$A),MATCH(AA$1,[3]enemies!$1:$1,0)-MATCH($L$1,[3]enemies!$1:$1,0)+1),MATCH(AA$1,[3]enemies!$1:$1,0)-MATCH($L$1,[3]enemies!$1:$1,0)+1,FALSE)</f>
        <v>2</v>
      </c>
      <c r="AB10" s="98">
        <f t="shared" si="7"/>
        <v>83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拡散性ニムダ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0" s="95">
        <v>1</v>
      </c>
      <c r="AG10" s="98">
        <f t="shared" ca="1" si="8"/>
        <v>3</v>
      </c>
      <c r="AH10" s="7">
        <v>0</v>
      </c>
      <c r="AI10" s="95">
        <v>0</v>
      </c>
      <c r="AJ10" s="95">
        <v>0</v>
      </c>
      <c r="AK10" s="95">
        <v>0</v>
      </c>
      <c r="AL10" s="95">
        <v>0</v>
      </c>
      <c r="AM10" s="95">
        <v>1</v>
      </c>
      <c r="AN10" s="60">
        <v>1</v>
      </c>
    </row>
    <row r="11" spans="1:40" ht="21" customHeight="1" x14ac:dyDescent="0.15">
      <c r="A11" s="13" t="str">
        <f t="shared" si="9"/>
        <v>41011_1-2/51&lt;lv50&gt;s1</v>
      </c>
      <c r="B11" s="17">
        <v>41011</v>
      </c>
      <c r="C11" s="96">
        <v>1</v>
      </c>
      <c r="D11" s="12" t="str">
        <f t="shared" si="5"/>
        <v>41011_1</v>
      </c>
      <c r="E11" s="4" t="str">
        <f ca="1">VLOOKUP($B11,OFFSET([2]quests!$A$1,0,0,COUNTA([2]quests!$A:$A),MATCH(E$1,[2]quests!$1:$1,0)-MATCH($B$1,[2]quests!$1:$1,0)+1),MATCH(E$1,[2]quests!$1:$1,0)-MATCH($B$1,[2]quests!$1:$1,0)+1,FALSE)</f>
        <v>ヨミ襲来！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【超絶級】ヨミ襲来</v>
      </c>
      <c r="G11" s="96">
        <v>2</v>
      </c>
      <c r="H11" s="12" t="str">
        <f t="shared" si="6"/>
        <v>41011_1-2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v>60</v>
      </c>
      <c r="K11" s="29" t="s">
        <v>124</v>
      </c>
      <c r="L11" s="97">
        <v>51</v>
      </c>
      <c r="M11" s="14" t="str">
        <f ca="1">VLOOKUP($L11,OFFSET([3]enemies!$A$1,0,0,COUNTA([3]enemies!$A:$A),MATCH(M$1,[3]enemies!$1:$1,0)-MATCH($L$1,[3]enemies!$1:$1,0)+1),MATCH(M$1,[3]enemies!$1:$1,0)-MATCH($L$1,[3]enemies!$1:$1,0)+1,FALSE)</f>
        <v>マイ</v>
      </c>
      <c r="N11" s="14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4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4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4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50</v>
      </c>
      <c r="S11" s="19">
        <v>1.5</v>
      </c>
      <c r="T11" s="19">
        <v>0.7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次のターン強力な攻撃</v>
      </c>
      <c r="W11" s="38">
        <v>41011003</v>
      </c>
      <c r="X11" s="6">
        <v>2</v>
      </c>
      <c r="Y11" s="6">
        <v>100</v>
      </c>
      <c r="Z11" s="6">
        <v>0</v>
      </c>
      <c r="AA11" s="14">
        <v>1</v>
      </c>
      <c r="AB11" s="98">
        <f t="shared" si="7"/>
        <v>51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マイ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95">
        <v>1</v>
      </c>
      <c r="AG11" s="98">
        <f t="shared" ca="1" si="8"/>
        <v>2</v>
      </c>
      <c r="AH11" s="7">
        <v>0</v>
      </c>
      <c r="AI11" s="95">
        <v>0</v>
      </c>
      <c r="AJ11" s="95">
        <v>0</v>
      </c>
      <c r="AK11" s="95">
        <v>0</v>
      </c>
      <c r="AL11" s="95">
        <v>0</v>
      </c>
      <c r="AM11" s="95">
        <v>1</v>
      </c>
      <c r="AN11" s="60">
        <v>1</v>
      </c>
    </row>
    <row r="12" spans="1:40" ht="21" customHeight="1" x14ac:dyDescent="0.15">
      <c r="A12" s="13" t="str">
        <f t="shared" ca="1" si="9"/>
        <v>41011_1-2/322&lt;lv60&gt;s2</v>
      </c>
      <c r="B12" s="17">
        <v>41011</v>
      </c>
      <c r="C12" s="96">
        <v>1</v>
      </c>
      <c r="D12" s="12" t="str">
        <f t="shared" si="5"/>
        <v>41011_1</v>
      </c>
      <c r="E12" s="4" t="str">
        <f ca="1">VLOOKUP($B12,OFFSET([2]quests!$A$1,0,0,COUNTA([2]quests!$A:$A),MATCH(E$1,[2]quests!$1:$1,0)-MATCH($B$1,[2]quests!$1:$1,0)+1),MATCH(E$1,[2]quests!$1:$1,0)-MATCH($B$1,[2]quests!$1:$1,0)+1,FALSE)</f>
        <v>ヨミ襲来！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【超絶級】ヨミ襲来</v>
      </c>
      <c r="G12" s="96">
        <v>2</v>
      </c>
      <c r="H12" s="12" t="str">
        <f t="shared" si="6"/>
        <v>41011_1-2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v>60</v>
      </c>
      <c r="K12" s="29">
        <v>1</v>
      </c>
      <c r="L12" s="97">
        <v>322</v>
      </c>
      <c r="M12" s="14" t="str">
        <f ca="1">VLOOKUP($L12,OFFSET([3]enemies!$A$1,0,0,COUNTA([3]enemies!$A:$A),MATCH(M$1,[3]enemies!$1:$1,0)-MATCH($L$1,[3]enemies!$1:$1,0)+1),MATCH(M$1,[3]enemies!$1:$1,0)-MATCH($L$1,[3]enemies!$1:$1,0)+1,FALSE)</f>
        <v>愛志士 土方歳三</v>
      </c>
      <c r="N12" s="14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4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4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4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60</v>
      </c>
      <c r="S12" s="19">
        <v>2</v>
      </c>
      <c r="T12" s="19">
        <v>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種族ゴッドのユニットに大ダメージ</v>
      </c>
      <c r="W12" s="38">
        <v>41011004</v>
      </c>
      <c r="X12" s="6">
        <v>1</v>
      </c>
      <c r="Y12" s="6">
        <v>100</v>
      </c>
      <c r="Z12" s="6">
        <v>1</v>
      </c>
      <c r="AA12" s="14">
        <f ca="1">VLOOKUP($L12,OFFSET([3]enemies!$A$1,0,0,COUNTA([3]enemies!$A:$A),MATCH(AA$1,[3]enemies!$1:$1,0)-MATCH($L$1,[3]enemies!$1:$1,0)+1),MATCH(AA$1,[3]enemies!$1:$1,0)-MATCH($L$1,[3]enemies!$1:$1,0)+1,FALSE)</f>
        <v>2</v>
      </c>
      <c r="AB12" s="98">
        <f t="shared" si="7"/>
        <v>322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愛志士 土方歳三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2" s="95">
        <v>1</v>
      </c>
      <c r="AG12" s="98">
        <f t="shared" ca="1" si="8"/>
        <v>4</v>
      </c>
      <c r="AH12" s="7">
        <v>0</v>
      </c>
      <c r="AI12" s="95">
        <v>0</v>
      </c>
      <c r="AJ12" s="95">
        <v>0</v>
      </c>
      <c r="AK12" s="95">
        <v>0</v>
      </c>
      <c r="AL12" s="95">
        <v>0</v>
      </c>
      <c r="AM12" s="95">
        <v>1</v>
      </c>
      <c r="AN12" s="60">
        <v>1</v>
      </c>
    </row>
    <row r="13" spans="1:40" ht="21" customHeight="1" x14ac:dyDescent="0.15">
      <c r="A13" s="13" t="str">
        <f t="shared" ca="1" si="9"/>
        <v>41011_1-3/360&lt;lv55&gt;s3</v>
      </c>
      <c r="B13" s="17">
        <v>41011</v>
      </c>
      <c r="C13" s="96">
        <v>1</v>
      </c>
      <c r="D13" s="12" t="str">
        <f t="shared" si="5"/>
        <v>41011_1</v>
      </c>
      <c r="E13" s="4" t="str">
        <f ca="1">VLOOKUP($B13,OFFSET([2]quests!$A$1,0,0,COUNTA([2]quests!$A:$A),MATCH(E$1,[2]quests!$1:$1,0)-MATCH($B$1,[2]quests!$1:$1,0)+1),MATCH(E$1,[2]quests!$1:$1,0)-MATCH($B$1,[2]quests!$1:$1,0)+1,FALSE)</f>
        <v>ヨミ襲来！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【超絶級】ヨミ襲来</v>
      </c>
      <c r="G13" s="96">
        <v>3</v>
      </c>
      <c r="H13" s="12" t="str">
        <f t="shared" si="6"/>
        <v>41011_1-3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v>60</v>
      </c>
      <c r="K13" s="29" t="s">
        <v>124</v>
      </c>
      <c r="L13" s="97">
        <v>360</v>
      </c>
      <c r="M13" s="14" t="str">
        <f ca="1">VLOOKUP($L13,OFFSET([3]enemies!$A$1,0,0,COUNTA([3]enemies!$A:$A),MATCH(M$1,[3]enemies!$1:$1,0)-MATCH($L$1,[3]enemies!$1:$1,0)+1),MATCH(M$1,[3]enemies!$1:$1,0)-MATCH($L$1,[3]enemies!$1:$1,0)+1,FALSE)</f>
        <v>ガンテツ</v>
      </c>
      <c r="N13" s="14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4" t="str">
        <f ca="1">VLOOKUP($L13,OFFSET([4]characters!$A$1,0,0,COUNTA([4]characters!$A:$A),MATCH(O$1,[4]characters!$1:$1,0)-MATCH($L$1,[4]characters!$1:$1,0)+1),MATCH(O$1,[4]characters!$1:$1,0)-MATCH($L$1,[4]characters!$1:$1,0)+1,FALSE)</f>
        <v>Drop1S</v>
      </c>
      <c r="P13" s="14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4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55</v>
      </c>
      <c r="S13" s="19">
        <v>2</v>
      </c>
      <c r="T13" s="19">
        <v>0.6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クリティカル攻撃</v>
      </c>
      <c r="W13" s="38">
        <v>41011006</v>
      </c>
      <c r="X13" s="6">
        <v>2</v>
      </c>
      <c r="Y13" s="6">
        <v>100</v>
      </c>
      <c r="Z13" s="6">
        <v>0</v>
      </c>
      <c r="AA13" s="14">
        <f ca="1">VLOOKUP($L13,OFFSET([3]enemies!$A$1,0,0,COUNTA([3]enemies!$A:$A),MATCH(AA$1,[3]enemies!$1:$1,0)-MATCH($L$1,[3]enemies!$1:$1,0)+1),MATCH(AA$1,[3]enemies!$1:$1,0)-MATCH($L$1,[3]enemies!$1:$1,0)+1,FALSE)</f>
        <v>3</v>
      </c>
      <c r="AB13" s="98">
        <f t="shared" si="7"/>
        <v>360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Drop1S</v>
      </c>
      <c r="AF13" s="95">
        <v>1</v>
      </c>
      <c r="AG13" s="98">
        <f t="shared" ca="1" si="8"/>
        <v>2</v>
      </c>
      <c r="AH13" s="7">
        <v>0</v>
      </c>
      <c r="AI13" s="95">
        <v>0</v>
      </c>
      <c r="AJ13" s="95">
        <v>0</v>
      </c>
      <c r="AK13" s="95">
        <v>0</v>
      </c>
      <c r="AL13" s="95">
        <v>0</v>
      </c>
      <c r="AM13" s="95">
        <v>1</v>
      </c>
      <c r="AN13" s="60">
        <v>1</v>
      </c>
    </row>
    <row r="14" spans="1:40" ht="21" customHeight="1" x14ac:dyDescent="0.15">
      <c r="A14" s="13" t="str">
        <f t="shared" ca="1" si="9"/>
        <v>41011_1-3/78&lt;lv55&gt;s1</v>
      </c>
      <c r="B14" s="17">
        <v>41011</v>
      </c>
      <c r="C14" s="96">
        <v>1</v>
      </c>
      <c r="D14" s="12" t="str">
        <f t="shared" si="5"/>
        <v>41011_1</v>
      </c>
      <c r="E14" s="4" t="str">
        <f ca="1">VLOOKUP($B14,OFFSET([2]quests!$A$1,0,0,COUNTA([2]quests!$A:$A),MATCH(E$1,[2]quests!$1:$1,0)-MATCH($B$1,[2]quests!$1:$1,0)+1),MATCH(E$1,[2]quests!$1:$1,0)-MATCH($B$1,[2]quests!$1:$1,0)+1,FALSE)</f>
        <v>ヨミ襲来！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【超絶級】ヨミ襲来</v>
      </c>
      <c r="G14" s="96">
        <v>3</v>
      </c>
      <c r="H14" s="12" t="str">
        <f t="shared" si="6"/>
        <v>41011_1-3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v>60</v>
      </c>
      <c r="K14" s="29" t="s">
        <v>124</v>
      </c>
      <c r="L14" s="97">
        <v>78</v>
      </c>
      <c r="M14" s="14" t="str">
        <f ca="1">VLOOKUP($L14,OFFSET([3]enemies!$A$1,0,0,COUNTA([3]enemies!$A:$A),MATCH(M$1,[3]enemies!$1:$1,0)-MATCH($L$1,[3]enemies!$1:$1,0)+1),MATCH(M$1,[3]enemies!$1:$1,0)-MATCH($L$1,[3]enemies!$1:$1,0)+1,FALSE)</f>
        <v>擬態潜伏型メリッサ2.0</v>
      </c>
      <c r="N14" s="14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4" t="str">
        <f ca="1">VLOOKUP($L14,OFFSET([4]characters!$A$1,0,0,COUNTA([4]characters!$A:$A),MATCH(O$1,[4]characters!$1:$1,0)-MATCH($L$1,[4]characters!$1:$1,0)+1),MATCH(O$1,[4]characters!$1:$1,0)-MATCH($L$1,[4]characters!$1:$1,0)+1,FALSE)</f>
        <v>DropWizW</v>
      </c>
      <c r="P14" s="14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4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55</v>
      </c>
      <c r="S14" s="19">
        <v>2.5</v>
      </c>
      <c r="T14" s="19">
        <v>1.2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解除するまでウィルス</v>
      </c>
      <c r="W14" s="38">
        <v>41011007</v>
      </c>
      <c r="X14" s="6">
        <v>1</v>
      </c>
      <c r="Y14" s="6">
        <v>100</v>
      </c>
      <c r="Z14" s="6">
        <v>1</v>
      </c>
      <c r="AA14" s="14">
        <f ca="1">VLOOKUP($L14,OFFSET([3]enemies!$A$1,0,0,COUNTA([3]enemies!$A:$A),MATCH(AA$1,[3]enemies!$1:$1,0)-MATCH($L$1,[3]enemies!$1:$1,0)+1),MATCH(AA$1,[3]enemies!$1:$1,0)-MATCH($L$1,[3]enemies!$1:$1,0)+1,FALSE)</f>
        <v>1</v>
      </c>
      <c r="AB14" s="98">
        <f t="shared" si="7"/>
        <v>78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擬態潜伏型メリッサ2.0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DropWizW</v>
      </c>
      <c r="AF14" s="95">
        <v>1</v>
      </c>
      <c r="AG14" s="98">
        <f t="shared" ca="1" si="8"/>
        <v>4</v>
      </c>
      <c r="AH14" s="7">
        <v>0</v>
      </c>
      <c r="AI14" s="95">
        <v>0</v>
      </c>
      <c r="AJ14" s="95">
        <v>0</v>
      </c>
      <c r="AK14" s="95">
        <v>0</v>
      </c>
      <c r="AL14" s="95">
        <v>0</v>
      </c>
      <c r="AM14" s="95">
        <v>1</v>
      </c>
      <c r="AN14" s="60">
        <v>1</v>
      </c>
    </row>
    <row r="15" spans="1:40" ht="21" customHeight="1" x14ac:dyDescent="0.15">
      <c r="A15" s="13" t="str">
        <f t="shared" si="9"/>
        <v>41011_1-4/654&lt;lv70&gt;s2</v>
      </c>
      <c r="B15" s="17">
        <v>41011</v>
      </c>
      <c r="C15" s="96">
        <v>1</v>
      </c>
      <c r="D15" s="12" t="str">
        <f t="shared" si="5"/>
        <v>41011_1</v>
      </c>
      <c r="E15" s="4" t="str">
        <f ca="1">VLOOKUP($B15,OFFSET([2]quests!$A$1,0,0,COUNTA([2]quests!$A:$A),MATCH(E$1,[2]quests!$1:$1,0)-MATCH($B$1,[2]quests!$1:$1,0)+1),MATCH(E$1,[2]quests!$1:$1,0)-MATCH($B$1,[2]quests!$1:$1,0)+1,FALSE)</f>
        <v>ヨミ襲来！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【超絶級】ヨミ襲来</v>
      </c>
      <c r="G15" s="96">
        <v>4</v>
      </c>
      <c r="H15" s="12" t="str">
        <f t="shared" si="6"/>
        <v>41011_1-4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v>60</v>
      </c>
      <c r="K15" s="29">
        <v>2</v>
      </c>
      <c r="L15" s="97">
        <v>654</v>
      </c>
      <c r="M15" s="14" t="str">
        <f ca="1">VLOOKUP($L15,OFFSET([3]enemies!$A$1,0,0,COUNTA([3]enemies!$A:$A),MATCH(M$1,[3]enemies!$1:$1,0)-MATCH($L$1,[3]enemies!$1:$1,0)+1),MATCH(M$1,[3]enemies!$1:$1,0)-MATCH($L$1,[3]enemies!$1:$1,0)+1,FALSE)</f>
        <v>酒呑童子 ヨミ</v>
      </c>
      <c r="N15" s="14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4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4" t="str">
        <f ca="1">VLOOKUP($L15,OFFSET([3]enemies!$A$1,0,0,COUNTA([3]enemies!$A:$A),MATCH(P$1,[3]enemies!$1:$1,0)-MATCH($L$1,[3]enemies!$1:$1,0)+1),MATCH(P$1,[3]enemies!$1:$1,0)-MATCH($L$1,[3]enemies!$1:$1,0)+1,FALSE)</f>
        <v>god</v>
      </c>
      <c r="Q15" s="14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70</v>
      </c>
      <c r="S15" s="19">
        <v>2</v>
      </c>
      <c r="T15" s="19">
        <v>1.2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状態異常耐性＋解除するまでウィルス</v>
      </c>
      <c r="W15" s="38">
        <v>41011008</v>
      </c>
      <c r="X15" s="6">
        <v>1</v>
      </c>
      <c r="Y15" s="6">
        <v>100</v>
      </c>
      <c r="Z15" s="6">
        <v>1</v>
      </c>
      <c r="AA15" s="14">
        <v>2</v>
      </c>
      <c r="AB15" s="98">
        <f t="shared" si="7"/>
        <v>654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酒呑童子 ヨミ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5" s="95">
        <v>1</v>
      </c>
      <c r="AG15" s="98">
        <f t="shared" ca="1" si="8"/>
        <v>4</v>
      </c>
      <c r="AH15" s="7">
        <v>15</v>
      </c>
      <c r="AI15" s="95">
        <v>0</v>
      </c>
      <c r="AJ15" s="95">
        <v>0</v>
      </c>
      <c r="AK15" s="95">
        <v>0</v>
      </c>
      <c r="AL15" s="95">
        <v>0</v>
      </c>
      <c r="AM15" s="95">
        <v>1</v>
      </c>
      <c r="AN15" s="6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Z7"/>
  <sheetViews>
    <sheetView showGridLines="0" zoomScale="90" zoomScaleNormal="90" zoomScalePageLayoutView="9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L30" sqref="L30"/>
    </sheetView>
  </sheetViews>
  <sheetFormatPr baseColWidth="12" defaultColWidth="13" defaultRowHeight="21" customHeight="1" outlineLevelCol="1" x14ac:dyDescent="0.15"/>
  <cols>
    <col min="1" max="1" width="17" style="16" bestFit="1" customWidth="1"/>
    <col min="2" max="2" width="10.83203125" style="3" bestFit="1" customWidth="1"/>
    <col min="3" max="3" width="10.6640625" style="3" bestFit="1" customWidth="1"/>
    <col min="4" max="4" width="13" style="11" customWidth="1" outlineLevel="1"/>
    <col min="5" max="5" width="11.6640625" style="3" customWidth="1" outlineLevel="1"/>
    <col min="6" max="6" width="16.1640625" style="3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8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5" s="27" customFormat="1" ht="21" customHeight="1" x14ac:dyDescent="0.15">
      <c r="A1" s="21" t="s">
        <v>212</v>
      </c>
      <c r="B1" s="20" t="s">
        <v>0</v>
      </c>
      <c r="C1" s="20" t="s">
        <v>1</v>
      </c>
      <c r="D1" s="22" t="s">
        <v>213</v>
      </c>
      <c r="E1" s="22" t="s">
        <v>214</v>
      </c>
      <c r="F1" s="22" t="s">
        <v>214</v>
      </c>
      <c r="G1" s="20" t="s">
        <v>215</v>
      </c>
      <c r="H1" s="22" t="s">
        <v>216</v>
      </c>
      <c r="I1" s="22" t="s">
        <v>13</v>
      </c>
      <c r="J1" s="22" t="s">
        <v>14</v>
      </c>
      <c r="K1" s="28" t="s">
        <v>217</v>
      </c>
      <c r="L1" s="28" t="s">
        <v>218</v>
      </c>
      <c r="M1" s="28" t="s">
        <v>2</v>
      </c>
      <c r="N1" s="23" t="s">
        <v>214</v>
      </c>
      <c r="O1" s="22" t="s">
        <v>219</v>
      </c>
      <c r="P1" s="22" t="s">
        <v>220</v>
      </c>
      <c r="Q1" s="24" t="s">
        <v>221</v>
      </c>
      <c r="R1" s="22" t="s">
        <v>222</v>
      </c>
      <c r="S1" s="20" t="s">
        <v>3</v>
      </c>
      <c r="T1" s="20" t="s">
        <v>223</v>
      </c>
      <c r="U1" s="20" t="s">
        <v>224</v>
      </c>
      <c r="V1" s="20" t="s">
        <v>225</v>
      </c>
      <c r="W1" s="20" t="s">
        <v>226</v>
      </c>
      <c r="X1" s="22" t="s">
        <v>227</v>
      </c>
      <c r="Y1" s="20" t="s">
        <v>7</v>
      </c>
    </row>
    <row r="2" spans="1:25" ht="21" customHeight="1" x14ac:dyDescent="0.15">
      <c r="A2" s="13" t="str">
        <f t="shared" ref="A2:A7" si="0">B2&amp;"_"&amp;C2&amp;"-"&amp;G2&amp;"/"&amp;M2&amp;"&lt;lv"&amp;S2&amp;"&gt;sq"&amp;K2&amp;"st"&amp;L2</f>
        <v>41011_2-2/322&lt;lv65&gt;sq1st2</v>
      </c>
      <c r="B2" s="17">
        <v>41011</v>
      </c>
      <c r="C2" s="96">
        <v>2</v>
      </c>
      <c r="D2" s="12" t="str">
        <f t="shared" ref="D2:D7" si="1">B2&amp;"_"&amp;C2</f>
        <v>41011_2</v>
      </c>
      <c r="E2" s="4" t="str">
        <f ca="1">VLOOKUP($B2,OFFSET([2]quests!$A$1,0,0,COUNTA([2]quests!$A:$A),MATCH(E$1,[2]quests!$1:$1,0)-MATCH($B$1,[2]quests!$1:$1,0)+1),MATCH(E$1,[2]quests!$1:$1,0)-MATCH($B$1,[2]quests!$1:$1,0)+1,FALSE)</f>
        <v>ヨミ襲来！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【ウィザード級】ヨミ襲来</v>
      </c>
      <c r="G2" s="96">
        <v>2</v>
      </c>
      <c r="H2" s="12" t="str">
        <f t="shared" ref="H2:H7" si="2">B2&amp;"_"&amp;C2&amp;"-"&amp;G2</f>
        <v>41011_2-2</v>
      </c>
      <c r="I2" s="4">
        <v>60</v>
      </c>
      <c r="J2" s="4">
        <v>60</v>
      </c>
      <c r="K2" s="29">
        <v>1</v>
      </c>
      <c r="L2" s="29">
        <v>2</v>
      </c>
      <c r="M2" s="97">
        <v>322</v>
      </c>
      <c r="N2" s="14" t="str">
        <f ca="1">VLOOKUP($M2,OFFSET([3]enemies!$A$1,0,0,COUNTA([3]enemies!$A:$A),MATCH(N$1,[3]enemies!$1:$1,0)-MATCH($M$1,[3]enemies!$1:$1,0)+1),MATCH(N$1,[3]enemies!$1:$1,0)-MATCH($M$1,[3]enemies!$1:$1,0)+1,FALSE)</f>
        <v>愛志士 土方歳三</v>
      </c>
      <c r="O2" s="14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4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4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4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65</v>
      </c>
      <c r="T2" s="19">
        <v>2</v>
      </c>
      <c r="U2" s="19">
        <v>1.2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38">
        <v>41011005</v>
      </c>
      <c r="Y2" s="61">
        <v>1</v>
      </c>
    </row>
    <row r="3" spans="1:25" ht="21" customHeight="1" x14ac:dyDescent="0.15">
      <c r="A3" s="13" t="str">
        <f t="shared" si="0"/>
        <v>41011_2-4/832&lt;lv85&gt;sq2st2</v>
      </c>
      <c r="B3" s="17">
        <v>41011</v>
      </c>
      <c r="C3" s="96">
        <v>2</v>
      </c>
      <c r="D3" s="12" t="str">
        <f t="shared" si="1"/>
        <v>41011_2</v>
      </c>
      <c r="E3" s="4" t="str">
        <f ca="1">VLOOKUP($B3,OFFSET([2]quests!$A$1,0,0,COUNTA([2]quests!$A:$A),MATCH(E$1,[2]quests!$1:$1,0)-MATCH($B$1,[2]quests!$1:$1,0)+1),MATCH(E$1,[2]quests!$1:$1,0)-MATCH($B$1,[2]quests!$1:$1,0)+1,FALSE)</f>
        <v>ヨミ襲来！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【ウィザード級】ヨミ襲来</v>
      </c>
      <c r="G3" s="96">
        <v>4</v>
      </c>
      <c r="H3" s="12" t="str">
        <f t="shared" si="2"/>
        <v>41011_2-4</v>
      </c>
      <c r="I3" s="4">
        <v>60</v>
      </c>
      <c r="J3" s="4">
        <v>60</v>
      </c>
      <c r="K3" s="29">
        <v>2</v>
      </c>
      <c r="L3" s="29">
        <v>2</v>
      </c>
      <c r="M3" s="97">
        <v>832</v>
      </c>
      <c r="N3" s="14" t="str">
        <f ca="1">VLOOKUP($M3,OFFSET([3]enemies!$A$1,0,0,COUNTA([3]enemies!$A:$A),MATCH(N$1,[3]enemies!$1:$1,0)-MATCH($M$1,[3]enemies!$1:$1,0)+1),MATCH(N$1,[3]enemies!$1:$1,0)-MATCH($M$1,[3]enemies!$1:$1,0)+1,FALSE)</f>
        <v>狂花吹雪く旋獄鬼神 ヨミ</v>
      </c>
      <c r="O3" s="14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4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4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4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85</v>
      </c>
      <c r="T3" s="19">
        <v>3</v>
      </c>
      <c r="U3" s="19">
        <v>1.4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3" s="38">
        <v>41011009</v>
      </c>
      <c r="Y3" s="61">
        <v>2</v>
      </c>
    </row>
    <row r="4" spans="1:25" ht="21" customHeight="1" x14ac:dyDescent="0.15">
      <c r="A4" s="13" t="str">
        <f t="shared" si="0"/>
        <v>41011_2-4/832&lt;lv85&gt;sq2st3</v>
      </c>
      <c r="B4" s="17">
        <v>41011</v>
      </c>
      <c r="C4" s="96">
        <v>2</v>
      </c>
      <c r="D4" s="12" t="str">
        <f t="shared" si="1"/>
        <v>41011_2</v>
      </c>
      <c r="E4" s="4" t="str">
        <f ca="1">VLOOKUP($B4,OFFSET([2]quests!$A$1,0,0,COUNTA([2]quests!$A:$A),MATCH(E$1,[2]quests!$1:$1,0)-MATCH($B$1,[2]quests!$1:$1,0)+1),MATCH(E$1,[2]quests!$1:$1,0)-MATCH($B$1,[2]quests!$1:$1,0)+1,FALSE)</f>
        <v>ヨミ襲来！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【ウィザード級】ヨミ襲来</v>
      </c>
      <c r="G4" s="96">
        <v>4</v>
      </c>
      <c r="H4" s="12" t="str">
        <f t="shared" si="2"/>
        <v>41011_2-4</v>
      </c>
      <c r="I4" s="4">
        <v>60</v>
      </c>
      <c r="J4" s="4">
        <v>60</v>
      </c>
      <c r="K4" s="29">
        <v>2</v>
      </c>
      <c r="L4" s="29">
        <v>3</v>
      </c>
      <c r="M4" s="97">
        <v>832</v>
      </c>
      <c r="N4" s="14" t="str">
        <f ca="1">VLOOKUP($M4,OFFSET([3]enemies!$A$1,0,0,COUNTA([3]enemies!$A:$A),MATCH(N$1,[3]enemies!$1:$1,0)-MATCH($M$1,[3]enemies!$1:$1,0)+1),MATCH(N$1,[3]enemies!$1:$1,0)-MATCH($M$1,[3]enemies!$1:$1,0)+1,FALSE)</f>
        <v>狂花吹雪く旋獄鬼神 ヨミ</v>
      </c>
      <c r="O4" s="14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4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4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4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85</v>
      </c>
      <c r="T4" s="19">
        <v>4</v>
      </c>
      <c r="U4" s="19">
        <v>1.7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4" s="38">
        <v>41011011</v>
      </c>
      <c r="Y4" s="61">
        <f ca="1">VLOOKUP($M4,OFFSET([3]enemies!$A$1,0,0,COUNTA([3]enemies!$A:$A),MATCH(Y$1,[3]enemies!$1:$1,0)-MATCH($M$1,[3]enemies!$1:$1,0)+1),MATCH(Y$1,[3]enemies!$1:$1,0)-MATCH($M$1,[3]enemies!$1:$1,0)+1,FALSE)</f>
        <v>1</v>
      </c>
    </row>
    <row r="5" spans="1:25" ht="21" customHeight="1" x14ac:dyDescent="0.15">
      <c r="A5" s="13" t="str">
        <f t="shared" si="0"/>
        <v>41011_1-2/322&lt;lv60&gt;sq1st2</v>
      </c>
      <c r="B5" s="17">
        <v>41011</v>
      </c>
      <c r="C5" s="96">
        <v>1</v>
      </c>
      <c r="D5" s="12" t="str">
        <f t="shared" si="1"/>
        <v>41011_1</v>
      </c>
      <c r="E5" s="4" t="str">
        <f ca="1">VLOOKUP($B5,OFFSET([2]quests!$A$1,0,0,COUNTA([2]quests!$A:$A),MATCH(E$1,[2]quests!$1:$1,0)-MATCH($B$1,[2]quests!$1:$1,0)+1),MATCH(E$1,[2]quests!$1:$1,0)-MATCH($B$1,[2]quests!$1:$1,0)+1,FALSE)</f>
        <v>ヨミ襲来！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【超絶級】ヨミ襲来</v>
      </c>
      <c r="G5" s="96">
        <v>2</v>
      </c>
      <c r="H5" s="12" t="str">
        <f t="shared" si="2"/>
        <v>41011_1-2</v>
      </c>
      <c r="I5" s="4">
        <v>60</v>
      </c>
      <c r="J5" s="4">
        <v>60</v>
      </c>
      <c r="K5" s="29">
        <v>1</v>
      </c>
      <c r="L5" s="29">
        <v>2</v>
      </c>
      <c r="M5" s="97">
        <v>322</v>
      </c>
      <c r="N5" s="14" t="str">
        <f ca="1">VLOOKUP($M5,OFFSET([3]enemies!$A$1,0,0,COUNTA([3]enemies!$A:$A),MATCH(N$1,[3]enemies!$1:$1,0)-MATCH($M$1,[3]enemies!$1:$1,0)+1),MATCH(N$1,[3]enemies!$1:$1,0)-MATCH($M$1,[3]enemies!$1:$1,0)+1,FALSE)</f>
        <v>愛志士 土方歳三</v>
      </c>
      <c r="O5" s="14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4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4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4">
        <f ca="1">VLOOKUP($M5,OFFSET([3]enemies!$A$1,0,0,COUNTA([3]enemies!$A:$A),MATCH(R$1,[3]enemies!$1:$1,0)-MATCH($M$1,[3]enemies!$1:$1,0)+1),MATCH(R$1,[3]enemies!$1:$1,0)-MATCH($M$1,[3]enemies!$1:$1,0)+1,FALSE)</f>
        <v>30</v>
      </c>
      <c r="S5" s="5">
        <v>60</v>
      </c>
      <c r="T5" s="19">
        <v>2</v>
      </c>
      <c r="U5" s="19">
        <v>1</v>
      </c>
      <c r="V5" s="5">
        <v>0</v>
      </c>
      <c r="W5" s="4" t="e">
        <f ca="1">VLOOKUP($X5,OFFSET([5]enemy_skill_sets!$B$1,0,0,COUNTA([5]enemy_skill_sets!$B:$B),MATCH(N$1,[5]enemy_skill_sets!$1:$1,0)-MATCH($X$1,[5]enemy_skill_sets!$1:$1,0)+2),MATCH(N$1,[5]enemy_skill_sets!$1:$1,0)-MATCH($X$1,[5]enemy_skill_sets!$1:$1,0)+2,FALSE)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5" s="38">
        <v>41011005</v>
      </c>
      <c r="Y5" s="61">
        <v>1</v>
      </c>
    </row>
    <row r="6" spans="1:25" ht="21" customHeight="1" x14ac:dyDescent="0.15">
      <c r="A6" s="13" t="str">
        <f t="shared" si="0"/>
        <v>41011_1-4/655&lt;lv80&gt;sq2st2</v>
      </c>
      <c r="B6" s="17">
        <v>41011</v>
      </c>
      <c r="C6" s="96">
        <v>1</v>
      </c>
      <c r="D6" s="12" t="str">
        <f t="shared" si="1"/>
        <v>41011_1</v>
      </c>
      <c r="E6" s="4" t="str">
        <f ca="1">VLOOKUP($B6,OFFSET([2]quests!$A$1,0,0,COUNTA([2]quests!$A:$A),MATCH(E$1,[2]quests!$1:$1,0)-MATCH($B$1,[2]quests!$1:$1,0)+1),MATCH(E$1,[2]quests!$1:$1,0)-MATCH($B$1,[2]quests!$1:$1,0)+1,FALSE)</f>
        <v>ヨミ襲来！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【超絶級】ヨミ襲来</v>
      </c>
      <c r="G6" s="96">
        <v>4</v>
      </c>
      <c r="H6" s="12" t="str">
        <f t="shared" si="2"/>
        <v>41011_1-4</v>
      </c>
      <c r="I6" s="4">
        <v>60</v>
      </c>
      <c r="J6" s="4">
        <v>60</v>
      </c>
      <c r="K6" s="29">
        <v>2</v>
      </c>
      <c r="L6" s="29">
        <v>2</v>
      </c>
      <c r="M6" s="97">
        <v>655</v>
      </c>
      <c r="N6" s="14" t="str">
        <f ca="1">VLOOKUP($M6,OFFSET([3]enemies!$A$1,0,0,COUNTA([3]enemies!$A:$A),MATCH(N$1,[3]enemies!$1:$1,0)-MATCH($M$1,[3]enemies!$1:$1,0)+1),MATCH(N$1,[3]enemies!$1:$1,0)-MATCH($M$1,[3]enemies!$1:$1,0)+1,FALSE)</f>
        <v>桜花舞う嵐鬼神 ヨミ</v>
      </c>
      <c r="O6" s="14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4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4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4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19">
        <v>2</v>
      </c>
      <c r="U6" s="19">
        <v>1.3</v>
      </c>
      <c r="V6" s="5">
        <v>0</v>
      </c>
      <c r="W6" s="4" t="e">
        <f ca="1">VLOOKUP($X6,OFFSET([5]enemy_skill_sets!$B$1,0,0,COUNTA([5]enemy_skill_sets!$B:$B),MATCH(N$1,[5]enemy_skill_sets!$1:$1,0)-MATCH($X$1,[5]enemy_skill_sets!$1:$1,0)+2),MATCH(N$1,[5]enemy_skill_sets!$1:$1,0)-MATCH($X$1,[5]enemy_skill_sets!$1:$1,0)+2,FALSE)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6" s="38">
        <v>41011009</v>
      </c>
      <c r="Y6" s="61">
        <v>2</v>
      </c>
    </row>
    <row r="7" spans="1:25" ht="21" customHeight="1" x14ac:dyDescent="0.15">
      <c r="A7" s="13" t="str">
        <f t="shared" si="0"/>
        <v>41011_1-4/655&lt;lv80&gt;sq2st3</v>
      </c>
      <c r="B7" s="17">
        <v>41011</v>
      </c>
      <c r="C7" s="96">
        <v>1</v>
      </c>
      <c r="D7" s="12" t="str">
        <f t="shared" si="1"/>
        <v>41011_1</v>
      </c>
      <c r="E7" s="4" t="str">
        <f ca="1">VLOOKUP($B7,OFFSET([2]quests!$A$1,0,0,COUNTA([2]quests!$A:$A),MATCH(E$1,[2]quests!$1:$1,0)-MATCH($B$1,[2]quests!$1:$1,0)+1),MATCH(E$1,[2]quests!$1:$1,0)-MATCH($B$1,[2]quests!$1:$1,0)+1,FALSE)</f>
        <v>ヨミ襲来！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【超絶級】ヨミ襲来</v>
      </c>
      <c r="G7" s="96">
        <v>4</v>
      </c>
      <c r="H7" s="12" t="str">
        <f t="shared" si="2"/>
        <v>41011_1-4</v>
      </c>
      <c r="I7" s="4">
        <v>60</v>
      </c>
      <c r="J7" s="4">
        <v>60</v>
      </c>
      <c r="K7" s="29">
        <v>2</v>
      </c>
      <c r="L7" s="29">
        <v>3</v>
      </c>
      <c r="M7" s="97">
        <v>655</v>
      </c>
      <c r="N7" s="14" t="str">
        <f ca="1">VLOOKUP($M7,OFFSET([3]enemies!$A$1,0,0,COUNTA([3]enemies!$A:$A),MATCH(N$1,[3]enemies!$1:$1,0)-MATCH($M$1,[3]enemies!$1:$1,0)+1),MATCH(N$1,[3]enemies!$1:$1,0)-MATCH($M$1,[3]enemies!$1:$1,0)+1,FALSE)</f>
        <v>桜花舞う嵐鬼神 ヨミ</v>
      </c>
      <c r="O7" s="14" t="str">
        <f ca="1">VLOOKUP($M7,OFFSET([3]enemies!$A$1,0,0,COUNTA([3]enemies!$A:$A),MATCH(O$1,[3]enemies!$1:$1,0)-MATCH($M$1,[3]enemies!$1:$1,0)+1),MATCH(O$1,[3]enemies!$1:$1,0)-MATCH($M$1,[3]enemies!$1:$1,0)+1,FALSE)</f>
        <v>yellow</v>
      </c>
      <c r="P7" s="14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4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4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19">
        <v>2</v>
      </c>
      <c r="U7" s="19">
        <v>1.4</v>
      </c>
      <c r="V7" s="5">
        <v>0</v>
      </c>
      <c r="W7" s="4" t="e">
        <f ca="1">VLOOKUP($X7,OFFSET([5]enemy_skill_sets!$B$1,0,0,COUNTA([5]enemy_skill_sets!$B:$B),MATCH(N$1,[5]enemy_skill_sets!$1:$1,0)-MATCH($X$1,[5]enemy_skill_sets!$1:$1,0)+2),MATCH(N$1,[5]enemy_skill_sets!$1:$1,0)-MATCH($X$1,[5]enemy_skill_sets!$1:$1,0)+2,FALSE)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7" s="38">
        <v>41011010</v>
      </c>
      <c r="Y7" s="61">
        <f ca="1">VLOOKUP($M7,OFFSET([3]enemies!$A$1,0,0,COUNTA([3]enemies!$A:$A),MATCH(Y$1,[3]enemies!$1:$1,0)-MATCH($M$1,[3]enemies!$1:$1,0)+1),MATCH(Y$1,[3]enemies!$1:$1,0)-MATCH($M$1,[3]enemies!$1:$1,0)+1,FALSE)</f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6"/>
  <sheetViews>
    <sheetView showGridLines="0" workbookViewId="0">
      <pane xSplit="5" ySplit="1" topLeftCell="F10" activePane="bottomRight" state="frozen"/>
      <selection pane="topRight"/>
      <selection pane="bottomLeft"/>
      <selection pane="bottomRight" activeCell="E32" sqref="E32"/>
    </sheetView>
  </sheetViews>
  <sheetFormatPr baseColWidth="12" defaultColWidth="12.83203125" defaultRowHeight="21" customHeight="1" outlineLevelCol="1" x14ac:dyDescent="0.15"/>
  <cols>
    <col min="1" max="1" width="11.33203125" style="30" bestFit="1" customWidth="1"/>
    <col min="2" max="2" width="9.5" style="40" bestFit="1" customWidth="1"/>
    <col min="3" max="3" width="9.6640625" style="40" customWidth="1"/>
    <col min="4" max="4" width="18.5" style="40" customWidth="1" outlineLevel="1"/>
    <col min="5" max="5" width="44.1640625" style="40" bestFit="1" customWidth="1" outlineLevel="1"/>
    <col min="6" max="6" width="10.83203125" style="40" bestFit="1" customWidth="1"/>
    <col min="7" max="7" width="8.33203125" style="40" customWidth="1" outlineLevel="1"/>
    <col min="8" max="9" width="12.83203125" style="40" customWidth="1" outlineLevel="1"/>
    <col min="10" max="10" width="17.6640625" style="40" customWidth="1" outlineLevel="1"/>
    <col min="11" max="15" width="12.83203125" style="40" customWidth="1" outlineLevel="1"/>
    <col min="16" max="16" width="8.33203125" style="36" bestFit="1" customWidth="1"/>
    <col min="17" max="17" width="9.6640625" style="36" customWidth="1"/>
    <col min="18" max="18" width="56.5" style="36" bestFit="1" customWidth="1"/>
    <col min="19" max="16384" width="12.83203125" style="36"/>
  </cols>
  <sheetData>
    <row r="1" spans="1:18" ht="21" customHeight="1" x14ac:dyDescent="0.15">
      <c r="A1" s="30" t="s">
        <v>228</v>
      </c>
      <c r="B1" s="31" t="s">
        <v>229</v>
      </c>
      <c r="C1" s="31" t="s">
        <v>230</v>
      </c>
      <c r="D1" s="32" t="s">
        <v>232</v>
      </c>
      <c r="E1" s="32" t="s">
        <v>233</v>
      </c>
      <c r="F1" s="33" t="s">
        <v>235</v>
      </c>
      <c r="G1" s="34" t="s">
        <v>237</v>
      </c>
      <c r="H1" s="34" t="s">
        <v>239</v>
      </c>
      <c r="I1" s="34" t="s">
        <v>241</v>
      </c>
      <c r="J1" s="34" t="s">
        <v>243</v>
      </c>
      <c r="K1" s="35" t="s">
        <v>245</v>
      </c>
      <c r="L1" s="35" t="s">
        <v>246</v>
      </c>
      <c r="M1" s="34" t="s">
        <v>248</v>
      </c>
      <c r="N1" s="34" t="s">
        <v>250</v>
      </c>
      <c r="O1" s="34" t="s">
        <v>251</v>
      </c>
      <c r="P1" s="32" t="s">
        <v>46</v>
      </c>
      <c r="Q1" s="32" t="s">
        <v>47</v>
      </c>
      <c r="R1" s="32" t="s">
        <v>48</v>
      </c>
    </row>
    <row r="2" spans="1:18" ht="21" customHeight="1" x14ac:dyDescent="0.15">
      <c r="A2" s="30" t="str">
        <f t="shared" ref="A2:A33" si="0">B2&amp;"_"&amp;C2</f>
        <v>41011002_41011007</v>
      </c>
      <c r="B2" s="38">
        <v>41011002</v>
      </c>
      <c r="C2" s="38">
        <v>41011007</v>
      </c>
      <c r="D2" s="37" t="str">
        <f ca="1">VLOOKUP($C2,OFFSET(enemy_skills!$A$1,0,0,COUNTA(enemy_skills!$A:$A),MATCH(D$1,enemy_skills!$1:$1,0)-MATCH("enemy_skill_id",enemy_skills!$1:$1,0)+1),MATCH(D$1,enemy_skills!$1:$1,0)-MATCH("enemy_skill_id",enemy_skills!$1:$1,0)+1,FALSE)</f>
        <v>超拡散アタック</v>
      </c>
      <c r="E2" s="37" t="str">
        <f ca="1">VLOOKUP($C2,OFFSET(enemy_skills!$A$1,0,0,COUNTA(enemy_skills!$A:$A),MATCH(E$1,enemy_skills!$1:$1,0)-MATCH("enemy_skill_id",enemy_skills!$1:$1,0)+1),MATCH(E$1,enemy_skills!$1:$1,0)-MATCH("enemy_skill_id",enemy_skills!$1:$1,0)+1,FALSE)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" s="38">
        <v>41011007</v>
      </c>
      <c r="G2" s="39" t="e">
        <v>#N/A</v>
      </c>
      <c r="H2" s="39" t="e">
        <v>#N/A</v>
      </c>
      <c r="I2" s="39" t="e">
        <v>#N/A</v>
      </c>
      <c r="J2" s="39" t="e">
        <v>#N/A</v>
      </c>
      <c r="K2" s="39" t="e">
        <v>#N/A</v>
      </c>
      <c r="L2" s="39" t="e">
        <v>#N/A</v>
      </c>
      <c r="M2" s="39" t="e">
        <v>#N/A</v>
      </c>
      <c r="N2" s="39" t="e">
        <v>#N/A</v>
      </c>
      <c r="O2" s="39" t="e">
        <v>#N/A</v>
      </c>
      <c r="P2" s="38"/>
      <c r="Q2" s="38"/>
      <c r="R2" s="38"/>
    </row>
    <row r="3" spans="1:18" ht="21" customHeight="1" x14ac:dyDescent="0.15">
      <c r="A3" s="30" t="str">
        <f t="shared" si="0"/>
        <v>41011003_41011011</v>
      </c>
      <c r="B3" s="38">
        <v>41011003</v>
      </c>
      <c r="C3" s="38">
        <v>41011011</v>
      </c>
      <c r="D3" s="37" t="str">
        <f ca="1">VLOOKUP($C3,OFFSET(enemy_skills!$A$1,0,0,COUNTA(enemy_skills!$A:$A),MATCH(D$1,enemy_skills!$1:$1,0)-MATCH("enemy_skill_id",enemy_skills!$1:$1,0)+1),MATCH(D$1,enemy_skills!$1:$1,0)-MATCH("enemy_skill_id",enemy_skills!$1:$1,0)+1,FALSE)</f>
        <v>一点集中</v>
      </c>
      <c r="E3" s="37" t="str">
        <f ca="1">VLOOKUP($C3,OFFSET(enemy_skills!$A$1,0,0,COUNTA(enemy_skills!$A:$A),MATCH(E$1,enemy_skills!$1:$1,0)-MATCH("enemy_skill_id",enemy_skills!$1:$1,0)+1),MATCH(E$1,enemy_skills!$1:$1,0)-MATCH("enemy_skill_id",enemy_skills!$1:$1,0)+1,FALSE)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3" s="38">
        <v>41011011</v>
      </c>
      <c r="G3" s="39" t="e">
        <v>#N/A</v>
      </c>
      <c r="H3" s="39" t="e">
        <v>#N/A</v>
      </c>
      <c r="I3" s="39" t="e">
        <v>#N/A</v>
      </c>
      <c r="J3" s="39" t="e">
        <v>#N/A</v>
      </c>
      <c r="K3" s="39" t="e">
        <v>#N/A</v>
      </c>
      <c r="L3" s="39" t="e">
        <v>#N/A</v>
      </c>
      <c r="M3" s="39" t="e">
        <v>#N/A</v>
      </c>
      <c r="N3" s="39" t="e">
        <v>#N/A</v>
      </c>
      <c r="O3" s="39" t="e">
        <v>#N/A</v>
      </c>
      <c r="P3" s="38"/>
      <c r="Q3" s="38"/>
      <c r="R3" s="38"/>
    </row>
    <row r="4" spans="1:18" ht="21" customHeight="1" x14ac:dyDescent="0.15">
      <c r="A4" s="30" t="str">
        <f t="shared" si="0"/>
        <v>41011004_41011016</v>
      </c>
      <c r="B4" s="38">
        <v>41011004</v>
      </c>
      <c r="C4" s="38">
        <v>41011016</v>
      </c>
      <c r="D4" s="37" t="str">
        <f ca="1">VLOOKUP($C4,OFFSET(enemy_skills!$A$1,0,0,COUNTA(enemy_skills!$A:$A),MATCH(D$1,enemy_skills!$1:$1,0)-MATCH("enemy_skill_id",enemy_skills!$1:$1,0)+1),MATCH(D$1,enemy_skills!$1:$1,0)-MATCH("enemy_skill_id",enemy_skills!$1:$1,0)+1,FALSE)</f>
        <v>鬼神一閃</v>
      </c>
      <c r="E4" s="37" t="str">
        <f ca="1">VLOOKUP($C4,OFFSET(enemy_skills!$A$1,0,0,COUNTA(enemy_skills!$A:$A),MATCH(E$1,enemy_skills!$1:$1,0)-MATCH("enemy_skill_id",enemy_skills!$1:$1,0)+1),MATCH(E$1,enemy_skills!$1:$1,0)-MATCH("enemy_skill_id",enemy_skills!$1:$1,0)+1,FALSE)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4" s="38">
        <v>41011016</v>
      </c>
      <c r="G4" s="39" t="e">
        <v>#N/A</v>
      </c>
      <c r="H4" s="39" t="e">
        <v>#N/A</v>
      </c>
      <c r="I4" s="39" t="e">
        <v>#N/A</v>
      </c>
      <c r="J4" s="39" t="e">
        <v>#N/A</v>
      </c>
      <c r="K4" s="39" t="e">
        <v>#N/A</v>
      </c>
      <c r="L4" s="39" t="e">
        <v>#N/A</v>
      </c>
      <c r="M4" s="39" t="e">
        <v>#N/A</v>
      </c>
      <c r="N4" s="39" t="e">
        <v>#N/A</v>
      </c>
      <c r="O4" s="39" t="e">
        <v>#N/A</v>
      </c>
      <c r="P4" s="38"/>
      <c r="Q4" s="38"/>
      <c r="R4" s="38"/>
    </row>
    <row r="5" spans="1:18" ht="21" customHeight="1" x14ac:dyDescent="0.15">
      <c r="A5" s="30" t="str">
        <f t="shared" si="0"/>
        <v>41011004_41011017</v>
      </c>
      <c r="B5" s="38">
        <v>41011004</v>
      </c>
      <c r="C5" s="38">
        <v>41011017</v>
      </c>
      <c r="D5" s="37" t="str">
        <f ca="1">VLOOKUP($C5,OFFSET(enemy_skills!$A$1,0,0,COUNTA(enemy_skills!$A:$A),MATCH(D$1,enemy_skills!$1:$1,0)-MATCH("enemy_skill_id",enemy_skills!$1:$1,0)+1),MATCH(D$1,enemy_skills!$1:$1,0)-MATCH("enemy_skill_id",enemy_skills!$1:$1,0)+1,FALSE)</f>
        <v>護りの構え</v>
      </c>
      <c r="E5" s="37" t="str">
        <f ca="1">VLOOKUP($C5,OFFSET(enemy_skills!$A$1,0,0,COUNTA(enemy_skills!$A:$A),MATCH(E$1,enemy_skills!$1:$1,0)-MATCH("enemy_skill_id",enemy_skills!$1:$1,0)+1),MATCH(E$1,enemy_skills!$1:$1,0)-MATCH("enemy_skill_id",enemy_skills!$1:$1,0)+1,FALSE)</f>
        <v>5ターン防御力UP</v>
      </c>
      <c r="F5" s="38">
        <v>41011017</v>
      </c>
      <c r="G5" s="39" t="e">
        <v>#N/A</v>
      </c>
      <c r="H5" s="39" t="e">
        <v>#N/A</v>
      </c>
      <c r="I5" s="39" t="e">
        <v>#N/A</v>
      </c>
      <c r="J5" s="39" t="e">
        <v>#N/A</v>
      </c>
      <c r="K5" s="39" t="e">
        <v>#N/A</v>
      </c>
      <c r="L5" s="39" t="e">
        <v>#N/A</v>
      </c>
      <c r="M5" s="39" t="e">
        <v>#N/A</v>
      </c>
      <c r="N5" s="39" t="e">
        <v>#N/A</v>
      </c>
      <c r="O5" s="39" t="e">
        <v>#N/A</v>
      </c>
      <c r="P5" s="38"/>
      <c r="Q5" s="38"/>
      <c r="R5" s="38"/>
    </row>
    <row r="6" spans="1:18" ht="21" customHeight="1" x14ac:dyDescent="0.15">
      <c r="A6" s="30" t="str">
        <f t="shared" si="0"/>
        <v>41011004_41011018</v>
      </c>
      <c r="B6" s="38">
        <v>41011004</v>
      </c>
      <c r="C6" s="38">
        <v>41011018</v>
      </c>
      <c r="D6" s="37" t="str">
        <f ca="1">VLOOKUP($C6,OFFSET(enemy_skills!$A$1,0,0,COUNTA(enemy_skills!$A:$A),MATCH(D$1,enemy_skills!$1:$1,0)-MATCH("enemy_skill_id",enemy_skills!$1:$1,0)+1),MATCH(D$1,enemy_skills!$1:$1,0)-MATCH("enemy_skill_id",enemy_skills!$1:$1,0)+1,FALSE)</f>
        <v>無形絶剣</v>
      </c>
      <c r="E6" s="37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6" s="38">
        <v>41011018</v>
      </c>
      <c r="G6" s="39" t="e">
        <v>#N/A</v>
      </c>
      <c r="H6" s="39" t="e">
        <v>#N/A</v>
      </c>
      <c r="I6" s="39" t="e">
        <v>#N/A</v>
      </c>
      <c r="J6" s="39" t="e">
        <v>#N/A</v>
      </c>
      <c r="K6" s="39" t="e">
        <v>#N/A</v>
      </c>
      <c r="L6" s="39" t="e">
        <v>#N/A</v>
      </c>
      <c r="M6" s="39" t="e">
        <v>#N/A</v>
      </c>
      <c r="N6" s="39" t="e">
        <v>#N/A</v>
      </c>
      <c r="O6" s="39" t="e">
        <v>#N/A</v>
      </c>
      <c r="P6" s="38"/>
      <c r="Q6" s="38"/>
      <c r="R6" s="38"/>
    </row>
    <row r="7" spans="1:18" ht="21" customHeight="1" x14ac:dyDescent="0.15">
      <c r="A7" s="30" t="str">
        <f t="shared" si="0"/>
        <v>41011005_41011021</v>
      </c>
      <c r="B7" s="38">
        <v>41011005</v>
      </c>
      <c r="C7" s="38">
        <v>41011021</v>
      </c>
      <c r="D7" s="37" t="str">
        <f ca="1">VLOOKUP($C7,OFFSET(enemy_skills!$A$1,0,0,COUNTA(enemy_skills!$A:$A),MATCH(D$1,enemy_skills!$1:$1,0)-MATCH("enemy_skill_id",enemy_skills!$1:$1,0)+1),MATCH(D$1,enemy_skills!$1:$1,0)-MATCH("enemy_skill_id",enemy_skills!$1:$1,0)+1,FALSE)</f>
        <v>返し刀の構え</v>
      </c>
      <c r="E7" s="37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状態異常耐性＋1ターンカウンター</v>
      </c>
      <c r="F7" s="38">
        <v>41011021</v>
      </c>
      <c r="G7" s="39" t="e">
        <v>#N/A</v>
      </c>
      <c r="H7" s="39" t="e">
        <v>#N/A</v>
      </c>
      <c r="I7" s="39" t="e">
        <v>#N/A</v>
      </c>
      <c r="J7" s="39" t="e">
        <v>#N/A</v>
      </c>
      <c r="K7" s="39" t="e">
        <v>#N/A</v>
      </c>
      <c r="L7" s="39" t="e">
        <v>#N/A</v>
      </c>
      <c r="M7" s="39" t="e">
        <v>#N/A</v>
      </c>
      <c r="N7" s="39" t="e">
        <v>#N/A</v>
      </c>
      <c r="O7" s="39" t="e">
        <v>#N/A</v>
      </c>
      <c r="P7" s="38"/>
      <c r="Q7" s="38"/>
      <c r="R7" s="38"/>
    </row>
    <row r="8" spans="1:18" ht="21" customHeight="1" x14ac:dyDescent="0.15">
      <c r="A8" s="30" t="str">
        <f t="shared" si="0"/>
        <v>41011005_41011022</v>
      </c>
      <c r="B8" s="38">
        <v>41011005</v>
      </c>
      <c r="C8" s="38">
        <v>41011022</v>
      </c>
      <c r="D8" s="37" t="str">
        <f ca="1">VLOOKUP($C8,OFFSET(enemy_skills!$A$1,0,0,COUNTA(enemy_skills!$A:$A),MATCH(D$1,enemy_skills!$1:$1,0)-MATCH("enemy_skill_id",enemy_skills!$1:$1,0)+1),MATCH(D$1,enemy_skills!$1:$1,0)-MATCH("enemy_skill_id",enemy_skills!$1:$1,0)+1,FALSE)</f>
        <v>鬼神一閃</v>
      </c>
      <c r="E8" s="37" t="str">
        <f ca="1">VLOOKUP($C8,OFFSET(enemy_skills!$A$1,0,0,COUNTA(enemy_skills!$A:$A),MATCH(E$1,enemy_skills!$1:$1,0)-MATCH("enemy_skill_id",enemy_skills!$1:$1,0)+1),MATCH(E$1,enemy_skills!$1:$1,0)-MATCH("enemy_skill_id",enemy_skills!$1:$1,0)+1,FALSE)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8" s="38">
        <v>41011022</v>
      </c>
      <c r="G8" s="39" t="e">
        <v>#N/A</v>
      </c>
      <c r="H8" s="39" t="e">
        <v>#N/A</v>
      </c>
      <c r="I8" s="39" t="e">
        <v>#N/A</v>
      </c>
      <c r="J8" s="39" t="e">
        <v>#N/A</v>
      </c>
      <c r="K8" s="39" t="e">
        <v>#N/A</v>
      </c>
      <c r="L8" s="39" t="e">
        <v>#N/A</v>
      </c>
      <c r="M8" s="39" t="e">
        <v>#N/A</v>
      </c>
      <c r="N8" s="39" t="e">
        <v>#N/A</v>
      </c>
      <c r="O8" s="39" t="e">
        <v>#N/A</v>
      </c>
      <c r="P8" s="38"/>
      <c r="Q8" s="38"/>
      <c r="R8" s="38"/>
    </row>
    <row r="9" spans="1:18" ht="21" customHeight="1" x14ac:dyDescent="0.15">
      <c r="A9" s="30" t="str">
        <f t="shared" si="0"/>
        <v>41011005_41011023</v>
      </c>
      <c r="B9" s="38">
        <v>41011005</v>
      </c>
      <c r="C9" s="38">
        <v>41011023</v>
      </c>
      <c r="D9" s="37" t="str">
        <f ca="1">VLOOKUP($C9,OFFSET(enemy_skills!$A$1,0,0,COUNTA(enemy_skills!$A:$A),MATCH(D$1,enemy_skills!$1:$1,0)-MATCH("enemy_skill_id",enemy_skills!$1:$1,0)+1),MATCH(D$1,enemy_skills!$1:$1,0)-MATCH("enemy_skill_id",enemy_skills!$1:$1,0)+1,FALSE)</f>
        <v>攻めの構え</v>
      </c>
      <c r="E9" s="37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9" s="38">
        <v>41011023</v>
      </c>
      <c r="G9" s="39" t="e">
        <v>#N/A</v>
      </c>
      <c r="H9" s="39" t="e">
        <v>#N/A</v>
      </c>
      <c r="I9" s="39" t="e">
        <v>#N/A</v>
      </c>
      <c r="J9" s="39" t="e">
        <v>#N/A</v>
      </c>
      <c r="K9" s="39" t="e">
        <v>#N/A</v>
      </c>
      <c r="L9" s="39" t="e">
        <v>#N/A</v>
      </c>
      <c r="M9" s="39" t="e">
        <v>#N/A</v>
      </c>
      <c r="N9" s="39" t="e">
        <v>#N/A</v>
      </c>
      <c r="O9" s="39" t="e">
        <v>#N/A</v>
      </c>
      <c r="P9" s="38"/>
      <c r="Q9" s="38"/>
      <c r="R9" s="38"/>
    </row>
    <row r="10" spans="1:18" ht="21" customHeight="1" x14ac:dyDescent="0.15">
      <c r="A10" s="30" t="str">
        <f t="shared" si="0"/>
        <v>41011005_41011024</v>
      </c>
      <c r="B10" s="38">
        <v>41011005</v>
      </c>
      <c r="C10" s="38">
        <v>41011024</v>
      </c>
      <c r="D10" s="37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参の太刀</v>
      </c>
      <c r="E10" s="37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" s="38">
        <v>41011024</v>
      </c>
      <c r="G10" s="39" t="e">
        <v>#N/A</v>
      </c>
      <c r="H10" s="39" t="e">
        <v>#N/A</v>
      </c>
      <c r="I10" s="39" t="e">
        <v>#N/A</v>
      </c>
      <c r="J10" s="39" t="e">
        <v>#N/A</v>
      </c>
      <c r="K10" s="39" t="e">
        <v>#N/A</v>
      </c>
      <c r="L10" s="39" t="e">
        <v>#N/A</v>
      </c>
      <c r="M10" s="39" t="e">
        <v>#N/A</v>
      </c>
      <c r="N10" s="39" t="e">
        <v>#N/A</v>
      </c>
      <c r="O10" s="39" t="e">
        <v>#N/A</v>
      </c>
      <c r="P10" s="38"/>
      <c r="Q10" s="38"/>
      <c r="R10" s="38"/>
    </row>
    <row r="11" spans="1:18" ht="21" customHeight="1" x14ac:dyDescent="0.15">
      <c r="A11" s="30" t="str">
        <f t="shared" si="0"/>
        <v>41011006_41011026</v>
      </c>
      <c r="B11" s="38">
        <v>41011006</v>
      </c>
      <c r="C11" s="38">
        <v>41011026</v>
      </c>
      <c r="D11" s="37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熱々焼きゴテ</v>
      </c>
      <c r="E11" s="37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11" s="38">
        <v>41011026</v>
      </c>
      <c r="G11" s="39" t="e">
        <v>#N/A</v>
      </c>
      <c r="H11" s="39" t="e">
        <v>#N/A</v>
      </c>
      <c r="I11" s="39" t="e">
        <v>#N/A</v>
      </c>
      <c r="J11" s="39" t="e">
        <v>#N/A</v>
      </c>
      <c r="K11" s="39" t="e">
        <v>#N/A</v>
      </c>
      <c r="L11" s="39" t="e">
        <v>#N/A</v>
      </c>
      <c r="M11" s="39" t="e">
        <v>#N/A</v>
      </c>
      <c r="N11" s="39" t="e">
        <v>#N/A</v>
      </c>
      <c r="O11" s="39" t="e">
        <v>#N/A</v>
      </c>
      <c r="P11" s="38"/>
      <c r="Q11" s="38"/>
      <c r="R11" s="38"/>
    </row>
    <row r="12" spans="1:18" ht="21" customHeight="1" x14ac:dyDescent="0.15">
      <c r="A12" s="30" t="str">
        <f t="shared" si="0"/>
        <v>41011007_41011031</v>
      </c>
      <c r="B12" s="38">
        <v>41011007</v>
      </c>
      <c r="C12" s="38">
        <v>41011031</v>
      </c>
      <c r="D12" s="37" t="str">
        <f ca="1">VLOOKUP($C12,OFFSET(enemy_skills!$A$1,0,0,COUNTA(enemy_skills!$A:$A),MATCH(D$1,enemy_skills!$1:$1,0)-MATCH("enemy_skill_id",enemy_skills!$1:$1,0)+1),MATCH(D$1,enemy_skills!$1:$1,0)-MATCH("enemy_skill_id",enemy_skills!$1:$1,0)+1,FALSE)</f>
        <v>侵食性ウィルス</v>
      </c>
      <c r="E12" s="37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解除するまでウィルス</v>
      </c>
      <c r="F12" s="38">
        <v>41011031</v>
      </c>
      <c r="G12" s="39" t="e">
        <v>#N/A</v>
      </c>
      <c r="H12" s="39" t="e">
        <v>#N/A</v>
      </c>
      <c r="I12" s="39" t="e">
        <v>#N/A</v>
      </c>
      <c r="J12" s="39" t="e">
        <v>#N/A</v>
      </c>
      <c r="K12" s="39" t="e">
        <v>#N/A</v>
      </c>
      <c r="L12" s="39" t="e">
        <v>#N/A</v>
      </c>
      <c r="M12" s="39" t="e">
        <v>#N/A</v>
      </c>
      <c r="N12" s="39" t="e">
        <v>#N/A</v>
      </c>
      <c r="O12" s="39" t="e">
        <v>#N/A</v>
      </c>
      <c r="P12" s="38"/>
      <c r="Q12" s="38"/>
      <c r="R12" s="38"/>
    </row>
    <row r="13" spans="1:18" ht="21" customHeight="1" x14ac:dyDescent="0.15">
      <c r="A13" s="30" t="str">
        <f t="shared" si="0"/>
        <v>41011007_41011032</v>
      </c>
      <c r="B13" s="38">
        <v>41011007</v>
      </c>
      <c r="C13" s="38">
        <v>41011032</v>
      </c>
      <c r="D13" s="37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紅の一閃</v>
      </c>
      <c r="E13" s="37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" s="38">
        <v>41011032</v>
      </c>
      <c r="G13" s="39" t="e">
        <v>#N/A</v>
      </c>
      <c r="H13" s="39" t="e">
        <v>#N/A</v>
      </c>
      <c r="I13" s="39" t="e">
        <v>#N/A</v>
      </c>
      <c r="J13" s="39" t="e">
        <v>#N/A</v>
      </c>
      <c r="K13" s="39" t="e">
        <v>#N/A</v>
      </c>
      <c r="L13" s="39" t="e">
        <v>#N/A</v>
      </c>
      <c r="M13" s="39" t="e">
        <v>#N/A</v>
      </c>
      <c r="N13" s="39" t="e">
        <v>#N/A</v>
      </c>
      <c r="O13" s="39" t="e">
        <v>#N/A</v>
      </c>
      <c r="P13" s="38"/>
      <c r="Q13" s="38"/>
      <c r="R13" s="38"/>
    </row>
    <row r="14" spans="1:18" ht="21" customHeight="1" x14ac:dyDescent="0.15">
      <c r="A14" s="30" t="str">
        <f t="shared" si="0"/>
        <v>41011008_41011036</v>
      </c>
      <c r="B14" s="38">
        <v>41011008</v>
      </c>
      <c r="C14" s="38">
        <v>41011036</v>
      </c>
      <c r="D14" s="37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闘気侵食</v>
      </c>
      <c r="E14" s="37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状態異常耐性＋解除するまでウィルス</v>
      </c>
      <c r="F14" s="38">
        <v>41011036</v>
      </c>
      <c r="G14" s="39" t="e">
        <v>#N/A</v>
      </c>
      <c r="H14" s="39" t="e">
        <v>#N/A</v>
      </c>
      <c r="I14" s="39" t="e">
        <v>#N/A</v>
      </c>
      <c r="J14" s="39" t="e">
        <v>#N/A</v>
      </c>
      <c r="K14" s="39" t="e">
        <v>#N/A</v>
      </c>
      <c r="L14" s="39" t="e">
        <v>#N/A</v>
      </c>
      <c r="M14" s="39" t="e">
        <v>#N/A</v>
      </c>
      <c r="N14" s="39" t="e">
        <v>#N/A</v>
      </c>
      <c r="O14" s="39" t="e">
        <v>#N/A</v>
      </c>
      <c r="P14" s="38"/>
      <c r="Q14" s="38"/>
      <c r="R14" s="38"/>
    </row>
    <row r="15" spans="1:18" ht="21" customHeight="1" x14ac:dyDescent="0.15">
      <c r="A15" s="30" t="str">
        <f t="shared" si="0"/>
        <v>41011008_41011037</v>
      </c>
      <c r="B15" s="38">
        <v>41011008</v>
      </c>
      <c r="C15" s="38">
        <v>41011037</v>
      </c>
      <c r="D15" s="37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神をも斬り裂く太刀</v>
      </c>
      <c r="E15" s="37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15" s="38">
        <v>41011037</v>
      </c>
      <c r="G15" s="39" t="e">
        <v>#N/A</v>
      </c>
      <c r="H15" s="39" t="e">
        <v>#N/A</v>
      </c>
      <c r="I15" s="39" t="e">
        <v>#N/A</v>
      </c>
      <c r="J15" s="39" t="e">
        <v>#N/A</v>
      </c>
      <c r="K15" s="39" t="e">
        <v>#N/A</v>
      </c>
      <c r="L15" s="39" t="e">
        <v>#N/A</v>
      </c>
      <c r="M15" s="39" t="e">
        <v>#N/A</v>
      </c>
      <c r="N15" s="39" t="e">
        <v>#N/A</v>
      </c>
      <c r="O15" s="39" t="e">
        <v>#N/A</v>
      </c>
      <c r="P15" s="38"/>
      <c r="Q15" s="38"/>
      <c r="R15" s="38"/>
    </row>
    <row r="16" spans="1:18" ht="21" customHeight="1" x14ac:dyDescent="0.15">
      <c r="A16" s="30" t="str">
        <f t="shared" si="0"/>
        <v>41011008_41011038</v>
      </c>
      <c r="B16" s="38">
        <v>41011008</v>
      </c>
      <c r="C16" s="38">
        <v>41011038</v>
      </c>
      <c r="D16" s="37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無双連撃</v>
      </c>
      <c r="E16" s="37" t="str">
        <f ca="1">VLOOKUP($C16,OFFSET(enemy_skills!$A$1,0,0,COUNTA(enemy_skills!$A:$A),MATCH(E$1,enemy_skills!$1:$1,0)-MATCH("enemy_skill_id",enemy_skills!$1:$1,0)+1),MATCH(E$1,enemy_skills!$1:$1,0)-MATCH("enemy_skill_id",enemy_skills!$1:$1,0)+1,FALSE)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6" s="38">
        <v>41011038</v>
      </c>
      <c r="G16" s="39" t="e">
        <v>#N/A</v>
      </c>
      <c r="H16" s="39" t="e">
        <v>#N/A</v>
      </c>
      <c r="I16" s="39" t="e">
        <v>#N/A</v>
      </c>
      <c r="J16" s="39" t="e">
        <v>#N/A</v>
      </c>
      <c r="K16" s="39" t="e">
        <v>#N/A</v>
      </c>
      <c r="L16" s="39" t="e">
        <v>#N/A</v>
      </c>
      <c r="M16" s="39" t="e">
        <v>#N/A</v>
      </c>
      <c r="N16" s="39" t="e">
        <v>#N/A</v>
      </c>
      <c r="O16" s="39" t="e">
        <v>#N/A</v>
      </c>
      <c r="P16" s="38"/>
      <c r="Q16" s="38"/>
      <c r="R16" s="38"/>
    </row>
    <row r="17" spans="1:18" ht="21" customHeight="1" x14ac:dyDescent="0.15">
      <c r="A17" s="30" t="str">
        <f t="shared" ref="A17:A19" si="1">B17&amp;"_"&amp;C17</f>
        <v>41011008_41011039</v>
      </c>
      <c r="B17" s="38">
        <v>41011008</v>
      </c>
      <c r="C17" s="38">
        <v>41011039</v>
      </c>
      <c r="D17" s="37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ショウキ様…どうしてここに！?</v>
      </c>
      <c r="E17" s="37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状態異常耐性＋解除するまでウィルス</v>
      </c>
      <c r="F17" s="38">
        <v>41011039</v>
      </c>
      <c r="G17" s="39" t="e">
        <v>#N/A</v>
      </c>
      <c r="H17" s="39" t="e">
        <v>#N/A</v>
      </c>
      <c r="I17" s="39" t="e">
        <v>#N/A</v>
      </c>
      <c r="J17" s="39" t="e">
        <v>#N/A</v>
      </c>
      <c r="K17" s="39" t="e">
        <v>#N/A</v>
      </c>
      <c r="L17" s="39" t="e">
        <v>#N/A</v>
      </c>
      <c r="M17" s="39" t="e">
        <v>#N/A</v>
      </c>
      <c r="N17" s="39" t="e">
        <v>#N/A</v>
      </c>
      <c r="O17" s="39" t="e">
        <v>#N/A</v>
      </c>
      <c r="P17" s="38"/>
      <c r="Q17" s="38"/>
      <c r="R17" s="38"/>
    </row>
    <row r="18" spans="1:18" ht="21" customHeight="1" x14ac:dyDescent="0.15">
      <c r="A18" s="30" t="str">
        <f t="shared" si="1"/>
        <v>41011008_41011040</v>
      </c>
      <c r="B18" s="38">
        <v>41011008</v>
      </c>
      <c r="C18" s="38">
        <v>41011040</v>
      </c>
      <c r="D18" s="37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ショウキ様…どうしてここに！?</v>
      </c>
      <c r="E18" s="37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状態異常耐性＋解除するまでウィルス</v>
      </c>
      <c r="F18" s="38">
        <v>41011040</v>
      </c>
      <c r="G18" s="39" t="e">
        <v>#N/A</v>
      </c>
      <c r="H18" s="39" t="e">
        <v>#N/A</v>
      </c>
      <c r="I18" s="39" t="e">
        <v>#N/A</v>
      </c>
      <c r="J18" s="39" t="e">
        <v>#N/A</v>
      </c>
      <c r="K18" s="39" t="e">
        <v>#N/A</v>
      </c>
      <c r="L18" s="39" t="e">
        <v>#N/A</v>
      </c>
      <c r="M18" s="39" t="e">
        <v>#N/A</v>
      </c>
      <c r="N18" s="39" t="e">
        <v>#N/A</v>
      </c>
      <c r="O18" s="39" t="e">
        <v>#N/A</v>
      </c>
      <c r="P18" s="38"/>
      <c r="Q18" s="38"/>
      <c r="R18" s="38"/>
    </row>
    <row r="19" spans="1:18" ht="21" customHeight="1" x14ac:dyDescent="0.15">
      <c r="A19" s="30" t="str">
        <f t="shared" si="1"/>
        <v>41011008_41011041</v>
      </c>
      <c r="B19" s="38">
        <v>41011008</v>
      </c>
      <c r="C19" s="38">
        <v>41011041</v>
      </c>
      <c r="D19" s="37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ショウキ様…どうしてここに！?</v>
      </c>
      <c r="E19" s="37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状態異常耐性＋解除するまでウィルス</v>
      </c>
      <c r="F19" s="38">
        <v>41011041</v>
      </c>
      <c r="G19" s="39" t="e">
        <v>#N/A</v>
      </c>
      <c r="H19" s="39" t="e">
        <v>#N/A</v>
      </c>
      <c r="I19" s="39" t="e">
        <v>#N/A</v>
      </c>
      <c r="J19" s="39" t="e">
        <v>#N/A</v>
      </c>
      <c r="K19" s="39" t="e">
        <v>#N/A</v>
      </c>
      <c r="L19" s="39" t="e">
        <v>#N/A</v>
      </c>
      <c r="M19" s="39" t="e">
        <v>#N/A</v>
      </c>
      <c r="N19" s="39" t="e">
        <v>#N/A</v>
      </c>
      <c r="O19" s="39" t="e">
        <v>#N/A</v>
      </c>
      <c r="P19" s="38"/>
      <c r="Q19" s="38"/>
      <c r="R19" s="38"/>
    </row>
    <row r="20" spans="1:18" ht="22" customHeight="1" x14ac:dyDescent="0.15">
      <c r="A20" s="30" t="str">
        <f t="shared" si="0"/>
        <v>41011009_41011046</v>
      </c>
      <c r="B20" s="38">
        <v>41011009</v>
      </c>
      <c r="C20" s="38">
        <v>41011046</v>
      </c>
      <c r="D20" s="37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闘気侵食</v>
      </c>
      <c r="E20" s="37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状態異常耐性＋解除するまでウィルス</v>
      </c>
      <c r="F20" s="38">
        <v>41011046</v>
      </c>
      <c r="G20" s="39" t="e">
        <v>#N/A</v>
      </c>
      <c r="H20" s="39" t="e">
        <v>#N/A</v>
      </c>
      <c r="I20" s="39" t="e">
        <v>#N/A</v>
      </c>
      <c r="J20" s="39" t="e">
        <v>#N/A</v>
      </c>
      <c r="K20" s="39" t="e">
        <v>#N/A</v>
      </c>
      <c r="L20" s="39" t="e">
        <v>#N/A</v>
      </c>
      <c r="M20" s="39" t="e">
        <v>#N/A</v>
      </c>
      <c r="N20" s="39" t="e">
        <v>#N/A</v>
      </c>
      <c r="O20" s="39" t="e">
        <v>#N/A</v>
      </c>
      <c r="P20" s="38"/>
      <c r="Q20" s="38"/>
      <c r="R20" s="38"/>
    </row>
    <row r="21" spans="1:18" ht="22" customHeight="1" x14ac:dyDescent="0.15">
      <c r="A21" s="30" t="str">
        <f t="shared" ref="A21:A23" si="2">B21&amp;"_"&amp;C21</f>
        <v>41011009_41011070</v>
      </c>
      <c r="B21" s="38">
        <v>41011009</v>
      </c>
      <c r="C21" s="38">
        <v>41011070</v>
      </c>
      <c r="D21" s="37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疑ってるの？あたしの実力を！</v>
      </c>
      <c r="E21" s="37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状態異常耐性＋解除するまでウィルス</v>
      </c>
      <c r="F21" s="38">
        <v>41011039</v>
      </c>
      <c r="G21" s="39" t="e">
        <v>#N/A</v>
      </c>
      <c r="H21" s="39" t="e">
        <v>#N/A</v>
      </c>
      <c r="I21" s="39" t="e">
        <v>#N/A</v>
      </c>
      <c r="J21" s="39" t="e">
        <v>#N/A</v>
      </c>
      <c r="K21" s="39" t="e">
        <v>#N/A</v>
      </c>
      <c r="L21" s="39" t="e">
        <v>#N/A</v>
      </c>
      <c r="M21" s="39" t="e">
        <v>#N/A</v>
      </c>
      <c r="N21" s="39" t="e">
        <v>#N/A</v>
      </c>
      <c r="O21" s="39" t="e">
        <v>#N/A</v>
      </c>
      <c r="P21" s="38"/>
      <c r="Q21" s="38"/>
      <c r="R21" s="38"/>
    </row>
    <row r="22" spans="1:18" ht="22" customHeight="1" x14ac:dyDescent="0.15">
      <c r="A22" s="30" t="str">
        <f t="shared" si="2"/>
        <v>41011009_41011070</v>
      </c>
      <c r="B22" s="38">
        <v>41011009</v>
      </c>
      <c r="C22" s="38">
        <v>41011070</v>
      </c>
      <c r="D22" s="37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疑ってるの？あたしの実力を！</v>
      </c>
      <c r="E22" s="37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状態異常耐性＋解除するまでウィルス</v>
      </c>
      <c r="F22" s="38">
        <v>41011040</v>
      </c>
      <c r="G22" s="39" t="e">
        <v>#N/A</v>
      </c>
      <c r="H22" s="39" t="e">
        <v>#N/A</v>
      </c>
      <c r="I22" s="39" t="e">
        <v>#N/A</v>
      </c>
      <c r="J22" s="39" t="e">
        <v>#N/A</v>
      </c>
      <c r="K22" s="39" t="e">
        <v>#N/A</v>
      </c>
      <c r="L22" s="39" t="e">
        <v>#N/A</v>
      </c>
      <c r="M22" s="39" t="e">
        <v>#N/A</v>
      </c>
      <c r="N22" s="39" t="e">
        <v>#N/A</v>
      </c>
      <c r="O22" s="39" t="e">
        <v>#N/A</v>
      </c>
      <c r="P22" s="38"/>
      <c r="Q22" s="38"/>
      <c r="R22" s="38"/>
    </row>
    <row r="23" spans="1:18" ht="22" customHeight="1" x14ac:dyDescent="0.15">
      <c r="A23" s="30" t="str">
        <f t="shared" si="2"/>
        <v>41011009_41011070</v>
      </c>
      <c r="B23" s="38">
        <v>41011009</v>
      </c>
      <c r="C23" s="38">
        <v>41011070</v>
      </c>
      <c r="D23" s="37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疑ってるの？あたしの実力を！</v>
      </c>
      <c r="E23" s="37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状態異常耐性＋解除するまでウィルス</v>
      </c>
      <c r="F23" s="38">
        <v>41011041</v>
      </c>
      <c r="G23" s="39" t="e">
        <v>#N/A</v>
      </c>
      <c r="H23" s="39" t="e">
        <v>#N/A</v>
      </c>
      <c r="I23" s="39" t="e">
        <v>#N/A</v>
      </c>
      <c r="J23" s="39" t="e">
        <v>#N/A</v>
      </c>
      <c r="K23" s="39" t="e">
        <v>#N/A</v>
      </c>
      <c r="L23" s="39" t="e">
        <v>#N/A</v>
      </c>
      <c r="M23" s="39" t="e">
        <v>#N/A</v>
      </c>
      <c r="N23" s="39" t="e">
        <v>#N/A</v>
      </c>
      <c r="O23" s="39" t="e">
        <v>#N/A</v>
      </c>
      <c r="P23" s="38"/>
      <c r="Q23" s="38"/>
      <c r="R23" s="38"/>
    </row>
    <row r="24" spans="1:18" ht="21" customHeight="1" x14ac:dyDescent="0.15">
      <c r="A24" s="30" t="str">
        <f t="shared" si="0"/>
        <v>41011009_41011047</v>
      </c>
      <c r="B24" s="38">
        <v>41011009</v>
      </c>
      <c r="C24" s="38">
        <v>41011047</v>
      </c>
      <c r="D24" s="37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神をも斬り裂く太刀</v>
      </c>
      <c r="E24" s="37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24" s="38">
        <v>41011047</v>
      </c>
      <c r="G24" s="39" t="e">
        <v>#N/A</v>
      </c>
      <c r="H24" s="39" t="e">
        <v>#N/A</v>
      </c>
      <c r="I24" s="39" t="e">
        <v>#N/A</v>
      </c>
      <c r="J24" s="39" t="e">
        <v>#N/A</v>
      </c>
      <c r="K24" s="39" t="e">
        <v>#N/A</v>
      </c>
      <c r="L24" s="39" t="e">
        <v>#N/A</v>
      </c>
      <c r="M24" s="39" t="e">
        <v>#N/A</v>
      </c>
      <c r="N24" s="39" t="e">
        <v>#N/A</v>
      </c>
      <c r="O24" s="39" t="e">
        <v>#N/A</v>
      </c>
      <c r="P24" s="38"/>
      <c r="Q24" s="38"/>
      <c r="R24" s="38"/>
    </row>
    <row r="25" spans="1:18" ht="21" customHeight="1" x14ac:dyDescent="0.15">
      <c r="A25" s="30" t="str">
        <f t="shared" si="0"/>
        <v>41011009_41011048</v>
      </c>
      <c r="B25" s="38">
        <v>41011009</v>
      </c>
      <c r="C25" s="38">
        <v>41011048</v>
      </c>
      <c r="D25" s="37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無双連撃</v>
      </c>
      <c r="E25" s="37" t="str">
        <f ca="1">VLOOKUP($C25,OFFSET(enemy_skills!$A$1,0,0,COUNTA(enemy_skills!$A:$A),MATCH(E$1,enemy_skills!$1:$1,0)-MATCH("enemy_skill_id",enemy_skills!$1:$1,0)+1),MATCH(E$1,enemy_skills!$1:$1,0)-MATCH("enemy_skill_id",enemy_skills!$1:$1,0)+1,FALSE)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5" s="38">
        <v>41011048</v>
      </c>
      <c r="G25" s="39" t="e">
        <v>#N/A</v>
      </c>
      <c r="H25" s="39" t="e">
        <v>#N/A</v>
      </c>
      <c r="I25" s="39" t="e">
        <v>#N/A</v>
      </c>
      <c r="J25" s="39" t="e">
        <v>#N/A</v>
      </c>
      <c r="K25" s="39" t="e">
        <v>#N/A</v>
      </c>
      <c r="L25" s="39" t="e">
        <v>#N/A</v>
      </c>
      <c r="M25" s="39" t="e">
        <v>#N/A</v>
      </c>
      <c r="N25" s="39" t="e">
        <v>#N/A</v>
      </c>
      <c r="O25" s="39" t="e">
        <v>#N/A</v>
      </c>
      <c r="P25" s="38"/>
      <c r="Q25" s="38"/>
      <c r="R25" s="38"/>
    </row>
    <row r="26" spans="1:18" ht="21" customHeight="1" x14ac:dyDescent="0.15">
      <c r="A26" s="30" t="str">
        <f t="shared" si="0"/>
        <v>41011009_41011049</v>
      </c>
      <c r="B26" s="38">
        <v>41011009</v>
      </c>
      <c r="C26" s="38">
        <v>41011049</v>
      </c>
      <c r="D26" s="37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振舞い酒</v>
      </c>
      <c r="E26" s="37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最大で2体のユニットにスリープ</v>
      </c>
      <c r="F26" s="38">
        <v>41011049</v>
      </c>
      <c r="G26" s="39" t="e">
        <v>#N/A</v>
      </c>
      <c r="H26" s="39" t="e">
        <v>#N/A</v>
      </c>
      <c r="I26" s="39" t="e">
        <v>#N/A</v>
      </c>
      <c r="J26" s="39" t="e">
        <v>#N/A</v>
      </c>
      <c r="K26" s="39" t="e">
        <v>#N/A</v>
      </c>
      <c r="L26" s="39" t="e">
        <v>#N/A</v>
      </c>
      <c r="M26" s="39" t="e">
        <v>#N/A</v>
      </c>
      <c r="N26" s="39" t="e">
        <v>#N/A</v>
      </c>
      <c r="O26" s="39" t="e">
        <v>#N/A</v>
      </c>
      <c r="P26" s="38"/>
      <c r="Q26" s="38"/>
      <c r="R26" s="38"/>
    </row>
    <row r="27" spans="1:18" ht="21" customHeight="1" x14ac:dyDescent="0.15">
      <c r="A27" s="30" t="str">
        <f t="shared" si="0"/>
        <v>41011009_41011050</v>
      </c>
      <c r="B27" s="38">
        <v>41011009</v>
      </c>
      <c r="C27" s="38">
        <v>41011050</v>
      </c>
      <c r="D27" s="37" t="str">
        <f ca="1">VLOOKUP($C27,OFFSET(enemy_skills!$A$1,0,0,COUNTA(enemy_skills!$A:$A),MATCH(D$1,enemy_skills!$1:$1,0)-MATCH("enemy_skill_id",enemy_skills!$1:$1,0)+1),MATCH(D$1,enemy_skills!$1:$1,0)-MATCH("enemy_skill_id",enemy_skills!$1:$1,0)+1,FALSE)</f>
        <v>酔虎斬刀</v>
      </c>
      <c r="E27" s="37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スリープ状態のユニットに大ダメージ</v>
      </c>
      <c r="F27" s="38">
        <v>41011050</v>
      </c>
      <c r="G27" s="39" t="e">
        <v>#N/A</v>
      </c>
      <c r="H27" s="39" t="e">
        <v>#N/A</v>
      </c>
      <c r="I27" s="39" t="e">
        <v>#N/A</v>
      </c>
      <c r="J27" s="39" t="e">
        <v>#N/A</v>
      </c>
      <c r="K27" s="39" t="e">
        <v>#N/A</v>
      </c>
      <c r="L27" s="39" t="e">
        <v>#N/A</v>
      </c>
      <c r="M27" s="39" t="e">
        <v>#N/A</v>
      </c>
      <c r="N27" s="39" t="e">
        <v>#N/A</v>
      </c>
      <c r="O27" s="39" t="e">
        <v>#N/A</v>
      </c>
      <c r="P27" s="38"/>
      <c r="Q27" s="38"/>
      <c r="R27" s="38"/>
    </row>
    <row r="28" spans="1:18" ht="21" customHeight="1" x14ac:dyDescent="0.15">
      <c r="A28" s="30" t="str">
        <f t="shared" si="0"/>
        <v>41011010_41011056</v>
      </c>
      <c r="B28" s="38">
        <v>41011010</v>
      </c>
      <c r="C28" s="38">
        <v>41011056</v>
      </c>
      <c r="D28" s="37" t="str">
        <f ca="1">VLOOKUP($C28,OFFSET(enemy_skills!$A$1,0,0,COUNTA(enemy_skills!$A:$A),MATCH(D$1,enemy_skills!$1:$1,0)-MATCH("enemy_skill_id",enemy_skills!$1:$1,0)+1),MATCH(D$1,enemy_skills!$1:$1,0)-MATCH("enemy_skill_id",enemy_skills!$1:$1,0)+1,FALSE)</f>
        <v>闘気充実</v>
      </c>
      <c r="E28" s="37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状態異常耐性＋5ターン防御力UP</v>
      </c>
      <c r="F28" s="38">
        <v>41011056</v>
      </c>
      <c r="G28" s="39" t="e">
        <v>#N/A</v>
      </c>
      <c r="H28" s="39" t="e">
        <v>#N/A</v>
      </c>
      <c r="I28" s="39" t="e">
        <v>#N/A</v>
      </c>
      <c r="J28" s="39" t="e">
        <v>#N/A</v>
      </c>
      <c r="K28" s="39" t="e">
        <v>#N/A</v>
      </c>
      <c r="L28" s="39" t="e">
        <v>#N/A</v>
      </c>
      <c r="M28" s="39" t="e">
        <v>#N/A</v>
      </c>
      <c r="N28" s="39" t="e">
        <v>#N/A</v>
      </c>
      <c r="O28" s="39" t="e">
        <v>#N/A</v>
      </c>
      <c r="P28" s="38"/>
      <c r="Q28" s="38"/>
      <c r="R28" s="38"/>
    </row>
    <row r="29" spans="1:18" ht="21" customHeight="1" x14ac:dyDescent="0.15">
      <c r="A29" s="30" t="str">
        <f t="shared" si="0"/>
        <v>41011010_41011057</v>
      </c>
      <c r="B29" s="38">
        <v>41011010</v>
      </c>
      <c r="C29" s="38">
        <v>41011057</v>
      </c>
      <c r="D29" s="37" t="str">
        <f ca="1">VLOOKUP($C29,OFFSET(enemy_skills!$A$1,0,0,COUNTA(enemy_skills!$A:$A),MATCH(D$1,enemy_skills!$1:$1,0)-MATCH("enemy_skill_id",enemy_skills!$1:$1,0)+1),MATCH(D$1,enemy_skills!$1:$1,0)-MATCH("enemy_skill_id",enemy_skills!$1:$1,0)+1,FALSE)</f>
        <v>神をも斬り裂く太刀</v>
      </c>
      <c r="E29" s="37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29" s="38">
        <v>41011057</v>
      </c>
      <c r="G29" s="39" t="e">
        <v>#N/A</v>
      </c>
      <c r="H29" s="39" t="e">
        <v>#N/A</v>
      </c>
      <c r="I29" s="39" t="e">
        <v>#N/A</v>
      </c>
      <c r="J29" s="39" t="e">
        <v>#N/A</v>
      </c>
      <c r="K29" s="39" t="e">
        <v>#N/A</v>
      </c>
      <c r="L29" s="39" t="e">
        <v>#N/A</v>
      </c>
      <c r="M29" s="39" t="e">
        <v>#N/A</v>
      </c>
      <c r="N29" s="39" t="e">
        <v>#N/A</v>
      </c>
      <c r="O29" s="39" t="e">
        <v>#N/A</v>
      </c>
      <c r="P29" s="38"/>
      <c r="Q29" s="38"/>
      <c r="R29" s="38"/>
    </row>
    <row r="30" spans="1:18" ht="21" customHeight="1" x14ac:dyDescent="0.15">
      <c r="A30" s="30" t="str">
        <f t="shared" ref="A30" si="3">B30&amp;"_"&amp;C30</f>
        <v>41011010_41011058</v>
      </c>
      <c r="B30" s="38">
        <v>41011010</v>
      </c>
      <c r="C30" s="38">
        <v>41011058</v>
      </c>
      <c r="D30" s="37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無双連撃</v>
      </c>
      <c r="E30" s="37" t="str">
        <f ca="1">VLOOKUP($C30,OFFSET(enemy_skills!$A$1,0,0,COUNTA(enemy_skills!$A:$A),MATCH(E$1,enemy_skills!$1:$1,0)-MATCH("enemy_skill_id",enemy_skills!$1:$1,0)+1),MATCH(E$1,enemy_skills!$1:$1,0)-MATCH("enemy_skill_id",enemy_skills!$1:$1,0)+1,FALSE)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0" s="38">
        <v>41011058</v>
      </c>
      <c r="G30" s="39" t="e">
        <v>#N/A</v>
      </c>
      <c r="H30" s="39" t="e">
        <v>#N/A</v>
      </c>
      <c r="I30" s="39" t="e">
        <v>#N/A</v>
      </c>
      <c r="J30" s="39" t="e">
        <v>#N/A</v>
      </c>
      <c r="K30" s="39" t="e">
        <v>#N/A</v>
      </c>
      <c r="L30" s="39" t="e">
        <v>#N/A</v>
      </c>
      <c r="M30" s="39" t="e">
        <v>#N/A</v>
      </c>
      <c r="N30" s="39" t="e">
        <v>#N/A</v>
      </c>
      <c r="O30" s="39" t="e">
        <v>#N/A</v>
      </c>
      <c r="P30" s="38"/>
      <c r="Q30" s="38"/>
      <c r="R30" s="38"/>
    </row>
    <row r="31" spans="1:18" ht="21" customHeight="1" x14ac:dyDescent="0.15">
      <c r="A31" s="30" t="str">
        <f t="shared" si="0"/>
        <v>41011010_41011059</v>
      </c>
      <c r="B31" s="38">
        <v>41011010</v>
      </c>
      <c r="C31" s="38">
        <v>41011059</v>
      </c>
      <c r="D31" s="37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闘気爆発</v>
      </c>
      <c r="E31" s="37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3ターン攻撃力UP</v>
      </c>
      <c r="F31" s="38">
        <v>41011059</v>
      </c>
      <c r="G31" s="39" t="e">
        <v>#N/A</v>
      </c>
      <c r="H31" s="39" t="e">
        <v>#N/A</v>
      </c>
      <c r="I31" s="39" t="e">
        <v>#N/A</v>
      </c>
      <c r="J31" s="39" t="e">
        <v>#N/A</v>
      </c>
      <c r="K31" s="39" t="e">
        <v>#N/A</v>
      </c>
      <c r="L31" s="39" t="e">
        <v>#N/A</v>
      </c>
      <c r="M31" s="39" t="e">
        <v>#N/A</v>
      </c>
      <c r="N31" s="39" t="e">
        <v>#N/A</v>
      </c>
      <c r="O31" s="39" t="e">
        <v>#N/A</v>
      </c>
      <c r="P31" s="38"/>
      <c r="Q31" s="38"/>
      <c r="R31" s="38"/>
    </row>
    <row r="32" spans="1:18" ht="21" customHeight="1" x14ac:dyDescent="0.15">
      <c r="A32" s="30" t="str">
        <f t="shared" si="0"/>
        <v>41011010_41011060</v>
      </c>
      <c r="B32" s="38">
        <v>41011010</v>
      </c>
      <c r="C32" s="38">
        <v>41011060</v>
      </c>
      <c r="D32" s="37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真剣勝負よ！</v>
      </c>
      <c r="E32" s="37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32" s="38">
        <v>41011060</v>
      </c>
      <c r="G32" s="39" t="e">
        <v>#N/A</v>
      </c>
      <c r="H32" s="39" t="e">
        <v>#N/A</v>
      </c>
      <c r="I32" s="39" t="e">
        <v>#N/A</v>
      </c>
      <c r="J32" s="39" t="e">
        <v>#N/A</v>
      </c>
      <c r="K32" s="39" t="e">
        <v>#N/A</v>
      </c>
      <c r="L32" s="39" t="e">
        <v>#N/A</v>
      </c>
      <c r="M32" s="39" t="e">
        <v>#N/A</v>
      </c>
      <c r="N32" s="39" t="e">
        <v>#N/A</v>
      </c>
      <c r="O32" s="39" t="e">
        <v>#N/A</v>
      </c>
      <c r="P32" s="38"/>
      <c r="Q32" s="38"/>
      <c r="R32" s="38"/>
    </row>
    <row r="33" spans="1:18" ht="21" customHeight="1" x14ac:dyDescent="0.15">
      <c r="A33" s="30" t="str">
        <f t="shared" si="0"/>
        <v>41011010_41011061</v>
      </c>
      <c r="B33" s="38">
        <v>41011010</v>
      </c>
      <c r="C33" s="38">
        <v>41011061</v>
      </c>
      <c r="D33" s="37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こっちから行くわよ！</v>
      </c>
      <c r="E33" s="37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33" s="38">
        <v>41011061</v>
      </c>
      <c r="G33" s="39" t="e">
        <v>#N/A</v>
      </c>
      <c r="H33" s="39" t="e">
        <v>#N/A</v>
      </c>
      <c r="I33" s="39" t="e">
        <v>#N/A</v>
      </c>
      <c r="J33" s="39" t="e">
        <v>#N/A</v>
      </c>
      <c r="K33" s="39" t="e">
        <v>#N/A</v>
      </c>
      <c r="L33" s="39" t="e">
        <v>#N/A</v>
      </c>
      <c r="M33" s="39" t="e">
        <v>#N/A</v>
      </c>
      <c r="N33" s="39" t="e">
        <v>#N/A</v>
      </c>
      <c r="O33" s="39" t="e">
        <v>#N/A</v>
      </c>
      <c r="P33" s="38"/>
      <c r="Q33" s="38"/>
      <c r="R33" s="38"/>
    </row>
    <row r="34" spans="1:18" ht="21" customHeight="1" x14ac:dyDescent="0.15">
      <c r="A34" s="30" t="str">
        <f t="shared" ref="A34:A44" si="4">B34&amp;"_"&amp;C34</f>
        <v>41011010_41011062</v>
      </c>
      <c r="B34" s="38">
        <v>41011010</v>
      </c>
      <c r="C34" s="38">
        <v>41011062</v>
      </c>
      <c r="D34" s="37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まだまだ終わらないわ！</v>
      </c>
      <c r="E34" s="37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34" s="38">
        <v>41011062</v>
      </c>
      <c r="G34" s="39" t="e">
        <v>#N/A</v>
      </c>
      <c r="H34" s="39" t="e">
        <v>#N/A</v>
      </c>
      <c r="I34" s="39" t="e">
        <v>#N/A</v>
      </c>
      <c r="J34" s="39" t="e">
        <v>#N/A</v>
      </c>
      <c r="K34" s="39" t="e">
        <v>#N/A</v>
      </c>
      <c r="L34" s="39" t="e">
        <v>#N/A</v>
      </c>
      <c r="M34" s="39" t="e">
        <v>#N/A</v>
      </c>
      <c r="N34" s="39" t="e">
        <v>#N/A</v>
      </c>
      <c r="O34" s="39" t="e">
        <v>#N/A</v>
      </c>
      <c r="P34" s="38"/>
      <c r="Q34" s="38"/>
      <c r="R34" s="38"/>
    </row>
    <row r="35" spans="1:18" ht="21" customHeight="1" x14ac:dyDescent="0.15">
      <c r="A35" s="30" t="str">
        <f t="shared" si="4"/>
        <v>41011010_41011063</v>
      </c>
      <c r="B35" s="38">
        <v>41011010</v>
      </c>
      <c r="C35" s="38">
        <v>41011063</v>
      </c>
      <c r="D35" s="37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これで終わらせてやるわ…！</v>
      </c>
      <c r="E35" s="37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35" s="38">
        <v>41011063</v>
      </c>
      <c r="G35" s="39" t="e">
        <v>#N/A</v>
      </c>
      <c r="H35" s="39" t="e">
        <v>#N/A</v>
      </c>
      <c r="I35" s="39" t="e">
        <v>#N/A</v>
      </c>
      <c r="J35" s="39" t="e">
        <v>#N/A</v>
      </c>
      <c r="K35" s="39" t="e">
        <v>#N/A</v>
      </c>
      <c r="L35" s="39" t="e">
        <v>#N/A</v>
      </c>
      <c r="M35" s="39" t="e">
        <v>#N/A</v>
      </c>
      <c r="N35" s="39" t="e">
        <v>#N/A</v>
      </c>
      <c r="O35" s="39" t="e">
        <v>#N/A</v>
      </c>
      <c r="P35" s="38"/>
      <c r="Q35" s="38"/>
      <c r="R35" s="38"/>
    </row>
    <row r="36" spans="1:18" ht="21" customHeight="1" x14ac:dyDescent="0.15">
      <c r="A36" s="30" t="str">
        <f t="shared" si="4"/>
        <v>41011011_41011056</v>
      </c>
      <c r="B36" s="38">
        <v>41011011</v>
      </c>
      <c r="C36" s="38">
        <v>41011056</v>
      </c>
      <c r="D36" s="37" t="str">
        <f ca="1">VLOOKUP($C36,OFFSET(enemy_skills!$A$1,0,0,COUNTA(enemy_skills!$A:$A),MATCH(D$1,enemy_skills!$1:$1,0)-MATCH("enemy_skill_id",enemy_skills!$1:$1,0)+1),MATCH(D$1,enemy_skills!$1:$1,0)-MATCH("enemy_skill_id",enemy_skills!$1:$1,0)+1,FALSE)</f>
        <v>闘気充実</v>
      </c>
      <c r="E36" s="37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状態異常耐性＋5ターン防御力UP</v>
      </c>
      <c r="F36" s="38">
        <v>41011056</v>
      </c>
      <c r="G36" s="39" t="e">
        <v>#N/A</v>
      </c>
      <c r="H36" s="39" t="e">
        <v>#N/A</v>
      </c>
      <c r="I36" s="39" t="e">
        <v>#N/A</v>
      </c>
      <c r="J36" s="39" t="e">
        <v>#N/A</v>
      </c>
      <c r="K36" s="39" t="e">
        <v>#N/A</v>
      </c>
      <c r="L36" s="39" t="e">
        <v>#N/A</v>
      </c>
      <c r="M36" s="39" t="e">
        <v>#N/A</v>
      </c>
      <c r="N36" s="39" t="e">
        <v>#N/A</v>
      </c>
      <c r="O36" s="39" t="e">
        <v>#N/A</v>
      </c>
      <c r="P36" s="38"/>
      <c r="Q36" s="38"/>
      <c r="R36" s="38"/>
    </row>
    <row r="37" spans="1:18" ht="21" customHeight="1" x14ac:dyDescent="0.15">
      <c r="A37" s="30" t="str">
        <f t="shared" ref="A37:A39" si="5">B37&amp;"_"&amp;C37</f>
        <v>41011011_41011071</v>
      </c>
      <c r="B37" s="38">
        <v>41011011</v>
      </c>
      <c r="C37" s="38">
        <v>41011071</v>
      </c>
      <c r="D37" s="37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ここからが…本気なんだからっ！</v>
      </c>
      <c r="E37" s="37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状態異常耐性＋5ターン防御力UP</v>
      </c>
      <c r="F37" s="38">
        <v>41011039</v>
      </c>
      <c r="G37" s="39" t="e">
        <v>#N/A</v>
      </c>
      <c r="H37" s="39" t="e">
        <v>#N/A</v>
      </c>
      <c r="I37" s="39" t="e">
        <v>#N/A</v>
      </c>
      <c r="J37" s="39" t="e">
        <v>#N/A</v>
      </c>
      <c r="K37" s="39" t="e">
        <v>#N/A</v>
      </c>
      <c r="L37" s="39" t="e">
        <v>#N/A</v>
      </c>
      <c r="M37" s="39" t="e">
        <v>#N/A</v>
      </c>
      <c r="N37" s="39" t="e">
        <v>#N/A</v>
      </c>
      <c r="O37" s="39" t="e">
        <v>#N/A</v>
      </c>
      <c r="P37" s="38"/>
      <c r="Q37" s="38"/>
      <c r="R37" s="38"/>
    </row>
    <row r="38" spans="1:18" ht="21" customHeight="1" x14ac:dyDescent="0.15">
      <c r="A38" s="30" t="str">
        <f t="shared" si="5"/>
        <v>41011011_41011071</v>
      </c>
      <c r="B38" s="38">
        <v>41011011</v>
      </c>
      <c r="C38" s="38">
        <v>41011071</v>
      </c>
      <c r="D38" s="37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ここからが…本気なんだからっ！</v>
      </c>
      <c r="E38" s="37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状態異常耐性＋5ターン防御力UP</v>
      </c>
      <c r="F38" s="38">
        <v>41011040</v>
      </c>
      <c r="G38" s="39" t="e">
        <v>#N/A</v>
      </c>
      <c r="H38" s="39" t="e">
        <v>#N/A</v>
      </c>
      <c r="I38" s="39" t="e">
        <v>#N/A</v>
      </c>
      <c r="J38" s="39" t="e">
        <v>#N/A</v>
      </c>
      <c r="K38" s="39" t="e">
        <v>#N/A</v>
      </c>
      <c r="L38" s="39" t="e">
        <v>#N/A</v>
      </c>
      <c r="M38" s="39" t="e">
        <v>#N/A</v>
      </c>
      <c r="N38" s="39" t="e">
        <v>#N/A</v>
      </c>
      <c r="O38" s="39" t="e">
        <v>#N/A</v>
      </c>
      <c r="P38" s="38"/>
      <c r="Q38" s="38"/>
      <c r="R38" s="38"/>
    </row>
    <row r="39" spans="1:18" ht="21" customHeight="1" x14ac:dyDescent="0.15">
      <c r="A39" s="30" t="str">
        <f t="shared" si="5"/>
        <v>41011011_41011071</v>
      </c>
      <c r="B39" s="38">
        <v>41011011</v>
      </c>
      <c r="C39" s="38">
        <v>41011071</v>
      </c>
      <c r="D39" s="37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ここからが…本気なんだからっ！</v>
      </c>
      <c r="E39" s="37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状態異常耐性＋5ターン防御力UP</v>
      </c>
      <c r="F39" s="38">
        <v>41011041</v>
      </c>
      <c r="G39" s="39" t="e">
        <v>#N/A</v>
      </c>
      <c r="H39" s="39" t="e">
        <v>#N/A</v>
      </c>
      <c r="I39" s="39" t="e">
        <v>#N/A</v>
      </c>
      <c r="J39" s="39" t="e">
        <v>#N/A</v>
      </c>
      <c r="K39" s="39" t="e">
        <v>#N/A</v>
      </c>
      <c r="L39" s="39" t="e">
        <v>#N/A</v>
      </c>
      <c r="M39" s="39" t="e">
        <v>#N/A</v>
      </c>
      <c r="N39" s="39" t="e">
        <v>#N/A</v>
      </c>
      <c r="O39" s="39" t="e">
        <v>#N/A</v>
      </c>
      <c r="P39" s="38"/>
      <c r="Q39" s="38"/>
      <c r="R39" s="38"/>
    </row>
    <row r="40" spans="1:18" ht="21" customHeight="1" x14ac:dyDescent="0.15">
      <c r="A40" s="30" t="str">
        <f t="shared" si="4"/>
        <v>41011011_41011057</v>
      </c>
      <c r="B40" s="38">
        <v>41011011</v>
      </c>
      <c r="C40" s="38">
        <v>41011057</v>
      </c>
      <c r="D40" s="37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神をも斬り裂く太刀</v>
      </c>
      <c r="E40" s="37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種族ゴッドのユニットに大ダメージ</v>
      </c>
      <c r="F40" s="38">
        <v>41011057</v>
      </c>
      <c r="G40" s="39" t="e">
        <v>#N/A</v>
      </c>
      <c r="H40" s="39" t="e">
        <v>#N/A</v>
      </c>
      <c r="I40" s="39" t="e">
        <v>#N/A</v>
      </c>
      <c r="J40" s="39" t="e">
        <v>#N/A</v>
      </c>
      <c r="K40" s="39" t="e">
        <v>#N/A</v>
      </c>
      <c r="L40" s="39" t="e">
        <v>#N/A</v>
      </c>
      <c r="M40" s="39" t="e">
        <v>#N/A</v>
      </c>
      <c r="N40" s="39" t="e">
        <v>#N/A</v>
      </c>
      <c r="O40" s="39" t="e">
        <v>#N/A</v>
      </c>
      <c r="P40" s="38"/>
      <c r="Q40" s="38"/>
      <c r="R40" s="38"/>
    </row>
    <row r="41" spans="1:18" ht="21" customHeight="1" x14ac:dyDescent="0.15">
      <c r="A41" s="30" t="str">
        <f t="shared" si="4"/>
        <v>41011011_41011058</v>
      </c>
      <c r="B41" s="38">
        <v>41011011</v>
      </c>
      <c r="C41" s="38">
        <v>41011058</v>
      </c>
      <c r="D41" s="37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無双連撃</v>
      </c>
      <c r="E41" s="37" t="str">
        <f ca="1">VLOOKUP($C41,OFFSET(enemy_skills!$A$1,0,0,COUNTA(enemy_skills!$A:$A),MATCH(E$1,enemy_skills!$1:$1,0)-MATCH("enemy_skill_id",enemy_skills!$1:$1,0)+1),MATCH(E$1,enemy_skills!$1:$1,0)-MATCH("enemy_skill_id",enemy_skills!$1:$1,0)+1,FALSE)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1" s="38">
        <v>41011058</v>
      </c>
      <c r="G41" s="39" t="e">
        <v>#N/A</v>
      </c>
      <c r="H41" s="39" t="e">
        <v>#N/A</v>
      </c>
      <c r="I41" s="39" t="e">
        <v>#N/A</v>
      </c>
      <c r="J41" s="39" t="e">
        <v>#N/A</v>
      </c>
      <c r="K41" s="39" t="e">
        <v>#N/A</v>
      </c>
      <c r="L41" s="39" t="e">
        <v>#N/A</v>
      </c>
      <c r="M41" s="39" t="e">
        <v>#N/A</v>
      </c>
      <c r="N41" s="39" t="e">
        <v>#N/A</v>
      </c>
      <c r="O41" s="39" t="e">
        <v>#N/A</v>
      </c>
      <c r="P41" s="38"/>
      <c r="Q41" s="38"/>
      <c r="R41" s="38"/>
    </row>
    <row r="42" spans="1:18" ht="21" customHeight="1" x14ac:dyDescent="0.15">
      <c r="A42" s="30" t="str">
        <f t="shared" si="4"/>
        <v>41011011_41011066</v>
      </c>
      <c r="B42" s="38">
        <v>41011011</v>
      </c>
      <c r="C42" s="101">
        <v>41011066</v>
      </c>
      <c r="D42" s="37" t="str">
        <f ca="1">VLOOKUP($C42,OFFSET(enemy_skills!$A$1,0,0,COUNTA(enemy_skills!$A:$A),MATCH(D$1,enemy_skills!$1:$1,0)-MATCH("enemy_skill_id",enemy_skills!$1:$1,0)+1),MATCH(D$1,enemy_skills!$1:$1,0)-MATCH("enemy_skill_id",enemy_skills!$1:$1,0)+1,FALSE)</f>
        <v>闘気爆発</v>
      </c>
      <c r="E42" s="37" t="str">
        <f ca="1">VLOOKUP($C42,OFFSET(enemy_skills!$A$1,0,0,COUNTA(enemy_skills!$A:$A),MATCH(E$1,enemy_skills!$1:$1,0)-MATCH("enemy_skill_id",enemy_skills!$1:$1,0)+1),MATCH(E$1,enemy_skills!$1:$1,0)-MATCH("enemy_skill_id",enemy_skills!$1:$1,0)+1,FALSE)</f>
        <v>3ターンの間攻撃力UP</v>
      </c>
      <c r="F42" s="101">
        <v>41011066</v>
      </c>
      <c r="G42" s="39" t="e">
        <v>#N/A</v>
      </c>
      <c r="H42" s="39" t="e">
        <v>#N/A</v>
      </c>
      <c r="I42" s="39" t="e">
        <v>#N/A</v>
      </c>
      <c r="J42" s="39" t="e">
        <v>#N/A</v>
      </c>
      <c r="K42" s="39" t="e">
        <v>#N/A</v>
      </c>
      <c r="L42" s="39" t="e">
        <v>#N/A</v>
      </c>
      <c r="M42" s="39" t="e">
        <v>#N/A</v>
      </c>
      <c r="N42" s="39" t="e">
        <v>#N/A</v>
      </c>
      <c r="O42" s="39" t="e">
        <v>#N/A</v>
      </c>
      <c r="P42" s="38"/>
      <c r="Q42" s="38"/>
      <c r="R42" s="38"/>
    </row>
    <row r="43" spans="1:18" ht="21" customHeight="1" x14ac:dyDescent="0.15">
      <c r="A43" s="30" t="str">
        <f t="shared" si="4"/>
        <v>41011011_41011060</v>
      </c>
      <c r="B43" s="38">
        <v>41011011</v>
      </c>
      <c r="C43" s="38">
        <v>41011060</v>
      </c>
      <c r="D43" s="37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真剣勝負よ！</v>
      </c>
      <c r="E43" s="37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全てのプラス効果を解除</v>
      </c>
      <c r="F43" s="38">
        <v>41011060</v>
      </c>
      <c r="G43" s="39" t="e">
        <v>#N/A</v>
      </c>
      <c r="H43" s="39" t="e">
        <v>#N/A</v>
      </c>
      <c r="I43" s="39" t="e">
        <v>#N/A</v>
      </c>
      <c r="J43" s="39" t="e">
        <v>#N/A</v>
      </c>
      <c r="K43" s="39" t="e">
        <v>#N/A</v>
      </c>
      <c r="L43" s="39" t="e">
        <v>#N/A</v>
      </c>
      <c r="M43" s="39" t="e">
        <v>#N/A</v>
      </c>
      <c r="N43" s="39" t="e">
        <v>#N/A</v>
      </c>
      <c r="O43" s="39" t="e">
        <v>#N/A</v>
      </c>
      <c r="P43" s="38"/>
      <c r="Q43" s="38"/>
      <c r="R43" s="38"/>
    </row>
    <row r="44" spans="1:18" ht="21" customHeight="1" x14ac:dyDescent="0.15">
      <c r="A44" s="30" t="str">
        <f t="shared" si="4"/>
        <v>41011011_41011067</v>
      </c>
      <c r="B44" s="38">
        <v>41011011</v>
      </c>
      <c r="C44" s="101">
        <v>41011067</v>
      </c>
      <c r="D44" s="37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こっちから行くわよ！</v>
      </c>
      <c r="E44" s="37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緑パネル吸収攻撃(最大8個)</v>
      </c>
      <c r="F44" s="101">
        <v>41011067</v>
      </c>
      <c r="G44" s="39" t="e">
        <v>#N/A</v>
      </c>
      <c r="H44" s="39" t="e">
        <v>#N/A</v>
      </c>
      <c r="I44" s="39" t="e">
        <v>#N/A</v>
      </c>
      <c r="J44" s="39" t="e">
        <v>#N/A</v>
      </c>
      <c r="K44" s="39" t="e">
        <v>#N/A</v>
      </c>
      <c r="L44" s="39" t="e">
        <v>#N/A</v>
      </c>
      <c r="M44" s="39" t="e">
        <v>#N/A</v>
      </c>
      <c r="N44" s="39" t="e">
        <v>#N/A</v>
      </c>
      <c r="O44" s="39" t="e">
        <v>#N/A</v>
      </c>
      <c r="P44" s="38"/>
      <c r="Q44" s="38"/>
      <c r="R44" s="38"/>
    </row>
    <row r="45" spans="1:18" ht="21" customHeight="1" x14ac:dyDescent="0.15">
      <c r="A45" s="30" t="str">
        <f t="shared" ref="A45:A46" si="6">B45&amp;"_"&amp;C45</f>
        <v>41011011_41011068</v>
      </c>
      <c r="B45" s="38">
        <v>41011011</v>
      </c>
      <c r="C45" s="101">
        <v>41011068</v>
      </c>
      <c r="D45" s="37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まだまだ終わらないわ！</v>
      </c>
      <c r="E45" s="37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緑パネル吸収攻撃(最大8個)</v>
      </c>
      <c r="F45" s="101">
        <v>41011068</v>
      </c>
      <c r="G45" s="39" t="e">
        <v>#N/A</v>
      </c>
      <c r="H45" s="39" t="e">
        <v>#N/A</v>
      </c>
      <c r="I45" s="39" t="e">
        <v>#N/A</v>
      </c>
      <c r="J45" s="39" t="e">
        <v>#N/A</v>
      </c>
      <c r="K45" s="39" t="e">
        <v>#N/A</v>
      </c>
      <c r="L45" s="39" t="e">
        <v>#N/A</v>
      </c>
      <c r="M45" s="39" t="e">
        <v>#N/A</v>
      </c>
      <c r="N45" s="39" t="e">
        <v>#N/A</v>
      </c>
      <c r="O45" s="39" t="e">
        <v>#N/A</v>
      </c>
      <c r="P45" s="38"/>
      <c r="Q45" s="38"/>
      <c r="R45" s="38"/>
    </row>
    <row r="46" spans="1:18" ht="21" customHeight="1" x14ac:dyDescent="0.15">
      <c r="A46" s="30" t="str">
        <f t="shared" si="6"/>
        <v>41011011_41011069</v>
      </c>
      <c r="B46" s="38">
        <v>41011011</v>
      </c>
      <c r="C46" s="101">
        <v>41011069</v>
      </c>
      <c r="D46" s="37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これで終わらせてやるわ…！</v>
      </c>
      <c r="E46" s="37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緑パネル吸収攻撃(最大8個)</v>
      </c>
      <c r="F46" s="101">
        <v>41011069</v>
      </c>
      <c r="G46" s="39" t="e">
        <v>#N/A</v>
      </c>
      <c r="H46" s="39" t="e">
        <v>#N/A</v>
      </c>
      <c r="I46" s="39" t="e">
        <v>#N/A</v>
      </c>
      <c r="J46" s="39" t="e">
        <v>#N/A</v>
      </c>
      <c r="K46" s="39" t="e">
        <v>#N/A</v>
      </c>
      <c r="L46" s="39" t="e">
        <v>#N/A</v>
      </c>
      <c r="M46" s="39" t="e">
        <v>#N/A</v>
      </c>
      <c r="N46" s="39" t="e">
        <v>#N/A</v>
      </c>
      <c r="O46" s="39" t="e">
        <v>#N/A</v>
      </c>
      <c r="P46" s="38"/>
      <c r="Q46" s="38"/>
      <c r="R46" s="38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2"/>
  <sheetViews>
    <sheetView showGridLines="0" topLeftCell="B1" workbookViewId="0">
      <pane ySplit="1" topLeftCell="A51" activePane="bottomLeft" state="frozenSplit"/>
      <selection pane="bottomLeft" activeCell="B64" sqref="B64"/>
    </sheetView>
  </sheetViews>
  <sheetFormatPr baseColWidth="12" defaultColWidth="12.83203125" defaultRowHeight="21" customHeight="1" outlineLevelCol="1" x14ac:dyDescent="0.15"/>
  <cols>
    <col min="1" max="1" width="12.83203125" style="40"/>
    <col min="2" max="2" width="67.1640625" style="40" customWidth="1"/>
    <col min="3" max="4" width="12.83203125" style="40"/>
    <col min="5" max="5" width="38.33203125" style="40" customWidth="1"/>
    <col min="6" max="6" width="44.1640625" style="40" bestFit="1" customWidth="1"/>
    <col min="7" max="7" width="52" style="40" customWidth="1" outlineLevel="1"/>
    <col min="8" max="8" width="18.33203125" style="40" customWidth="1" outlineLevel="1"/>
    <col min="9" max="11" width="18.6640625" style="40" customWidth="1" outlineLevel="1"/>
    <col min="12" max="12" width="23.6640625" style="40" customWidth="1"/>
    <col min="13" max="18" width="23.6640625" style="40" customWidth="1" outlineLevel="1"/>
    <col min="19" max="19" width="23.6640625" style="40" customWidth="1"/>
    <col min="20" max="24" width="23.6640625" style="40" customWidth="1" outlineLevel="1"/>
    <col min="25" max="25" width="23.6640625" style="40" customWidth="1"/>
    <col min="26" max="27" width="12.83203125" style="40"/>
    <col min="28" max="28" width="44.5" style="40" customWidth="1"/>
    <col min="29" max="16384" width="12.83203125" style="40"/>
  </cols>
  <sheetData>
    <row r="1" spans="1:28" ht="21" customHeight="1" x14ac:dyDescent="0.15">
      <c r="A1" s="31" t="s">
        <v>49</v>
      </c>
      <c r="B1" s="31" t="s">
        <v>252</v>
      </c>
      <c r="C1" s="31" t="s">
        <v>51</v>
      </c>
      <c r="D1" s="31" t="s">
        <v>154</v>
      </c>
      <c r="E1" s="31" t="s">
        <v>231</v>
      </c>
      <c r="F1" s="31" t="s">
        <v>233</v>
      </c>
      <c r="G1" s="32" t="s">
        <v>92</v>
      </c>
      <c r="H1" s="32" t="s">
        <v>98</v>
      </c>
      <c r="I1" s="32" t="s">
        <v>100</v>
      </c>
      <c r="J1" s="32" t="s">
        <v>99</v>
      </c>
      <c r="K1" s="32" t="s">
        <v>101</v>
      </c>
      <c r="L1" s="32" t="s">
        <v>93</v>
      </c>
      <c r="M1" s="32" t="s">
        <v>91</v>
      </c>
      <c r="N1" s="32" t="s">
        <v>94</v>
      </c>
      <c r="O1" s="32" t="s">
        <v>102</v>
      </c>
      <c r="P1" s="32" t="s">
        <v>103</v>
      </c>
      <c r="Q1" s="32" t="s">
        <v>104</v>
      </c>
      <c r="R1" s="32" t="s">
        <v>105</v>
      </c>
      <c r="S1" s="32" t="s">
        <v>95</v>
      </c>
      <c r="T1" s="32" t="s">
        <v>96</v>
      </c>
      <c r="U1" s="32" t="s">
        <v>106</v>
      </c>
      <c r="V1" s="32" t="s">
        <v>107</v>
      </c>
      <c r="W1" s="32" t="s">
        <v>108</v>
      </c>
      <c r="X1" s="32" t="s">
        <v>109</v>
      </c>
      <c r="Y1" s="32" t="s">
        <v>97</v>
      </c>
      <c r="Z1" s="32" t="s">
        <v>46</v>
      </c>
      <c r="AA1" s="32" t="s">
        <v>47</v>
      </c>
      <c r="AB1" s="32" t="s">
        <v>48</v>
      </c>
    </row>
    <row r="2" spans="1:28" ht="21" customHeight="1" x14ac:dyDescent="0.15">
      <c r="A2" s="38">
        <v>41011001</v>
      </c>
      <c r="B2" s="38" t="s">
        <v>253</v>
      </c>
      <c r="C2" s="41">
        <v>3</v>
      </c>
      <c r="D2" s="41" t="s">
        <v>146</v>
      </c>
      <c r="E2" s="42" t="s">
        <v>254</v>
      </c>
      <c r="F2" s="42" t="s">
        <v>255</v>
      </c>
      <c r="G2" s="54" t="str">
        <f>IFERROR(LEFT(B2,FIND("],",B2)),B2)</f>
        <v>[effect:nothing]</v>
      </c>
      <c r="H2" s="54">
        <f>FIND("effect:",G2)+7</f>
        <v>9</v>
      </c>
      <c r="I2" s="54">
        <f>IFERROR(FIND(",",G2),LEN(G2))</f>
        <v>16</v>
      </c>
      <c r="J2" s="54" t="e">
        <f>FIND("target:",G2)+7</f>
        <v>#VALUE!</v>
      </c>
      <c r="K2" s="54" t="e">
        <f>FIND(",",G2,I2+1)</f>
        <v>#VALUE!</v>
      </c>
      <c r="L2" s="54" t="str">
        <f>IFERROR(VLOOKUP(MID(G2,J2,K2-J2),[6]skilldef!$C:$D,2,FALSE),"-") &amp; " / " &amp; IFERROR(VLOOKUP(MID(G2,H2,I2-H2),[6]skilldef!$A:$B,2,FALSE),"-")</f>
        <v>- / 何もしない</v>
      </c>
      <c r="M2" s="54" t="str">
        <f>IFERROR(RIGHT(B2,LEN(B2)-FIND("],",B2)-1),"none")</f>
        <v>none</v>
      </c>
      <c r="N2" s="39" t="str">
        <f>IFERROR(LEFT(M2,FIND("],",M2)+S12),M2)</f>
        <v>none</v>
      </c>
      <c r="O2" s="54" t="e">
        <f>FIND("effect:",N2)+7</f>
        <v>#VALUE!</v>
      </c>
      <c r="P2" s="54">
        <f>IFERROR(FIND(",",N2),LEN(N2))</f>
        <v>4</v>
      </c>
      <c r="Q2" s="54" t="e">
        <f>FIND("target:",N2)+7</f>
        <v>#VALUE!</v>
      </c>
      <c r="R2" s="54" t="e">
        <f>FIND(",",N2,P2+1)</f>
        <v>#VALUE!</v>
      </c>
      <c r="S2" s="54" t="str">
        <f>IFERROR(VLOOKUP(MID(N2,Q2,R2-Q2),[6]skilldef!$C:$D,2,FALSE),"-") &amp; " / " &amp; IFERROR(VLOOKUP(MID(N2,O2,P2-O2),[6]skilldef!$A:$B,2,FALSE),"-")</f>
        <v>- / -</v>
      </c>
      <c r="T2" s="39" t="str">
        <f>IFERROR(RIGHT(M2,LEN(M2)-FIND("],",M2)-1),"none")</f>
        <v>none</v>
      </c>
      <c r="U2" s="54" t="e">
        <f>FIND("effect:",T2)+7</f>
        <v>#VALUE!</v>
      </c>
      <c r="V2" s="54">
        <f>IFERROR(FIND(",",T2),LEN(T2))</f>
        <v>4</v>
      </c>
      <c r="W2" s="54" t="e">
        <f>FIND("target:",T2)+7</f>
        <v>#VALUE!</v>
      </c>
      <c r="X2" s="54" t="e">
        <f>FIND(",",T2,V2+1)</f>
        <v>#VALUE!</v>
      </c>
      <c r="Y2" s="54" t="str">
        <f>IFERROR(VLOOKUP(MID(T2,W2,X2-W2),[6]skilldef!$C:$D,2,FALSE),"-") &amp; " / " &amp; IFERROR(VLOOKUP(MID(T2,U2,V2-U2),[6]skilldef!$A:$B,2,FALSE),"-")</f>
        <v>- / -</v>
      </c>
      <c r="Z2" s="41"/>
      <c r="AA2" s="43"/>
      <c r="AB2" s="41"/>
    </row>
    <row r="3" spans="1:28" ht="21" customHeight="1" x14ac:dyDescent="0.15">
      <c r="A3" s="38">
        <v>41011002</v>
      </c>
      <c r="B3" s="38" t="s">
        <v>253</v>
      </c>
      <c r="C3" s="41">
        <v>3</v>
      </c>
      <c r="D3" s="41" t="s">
        <v>146</v>
      </c>
      <c r="E3" s="42" t="s">
        <v>254</v>
      </c>
      <c r="F3" s="42" t="s">
        <v>255</v>
      </c>
      <c r="G3" s="54" t="str">
        <f t="shared" ref="G3:G66" si="0">IFERROR(LEFT(B3,FIND("],",B3)),B3)</f>
        <v>[effect:nothing]</v>
      </c>
      <c r="H3" s="54">
        <f t="shared" ref="H3:H66" si="1">FIND("effect:",G3)+7</f>
        <v>9</v>
      </c>
      <c r="I3" s="54">
        <f t="shared" ref="I3:I66" si="2">IFERROR(FIND(",",G3),LEN(G3))</f>
        <v>16</v>
      </c>
      <c r="J3" s="54" t="e">
        <f t="shared" ref="J3:J66" si="3">FIND("target:",G3)+7</f>
        <v>#VALUE!</v>
      </c>
      <c r="K3" s="54" t="e">
        <f t="shared" ref="K3:K66" si="4">FIND(",",G3,I3+1)</f>
        <v>#VALUE!</v>
      </c>
      <c r="L3" s="54" t="str">
        <f>IFERROR(VLOOKUP(MID(G3,J3,K3-J3),[6]skilldef!$C:$D,2,FALSE),"-") &amp; " / " &amp; IFERROR(VLOOKUP(MID(G3,H3,I3-H3),[6]skilldef!$A:$B,2,FALSE),"-")</f>
        <v>- / 何もしない</v>
      </c>
      <c r="M3" s="54" t="str">
        <f t="shared" ref="M3:M66" si="5">IFERROR(RIGHT(B3,LEN(B3)-FIND("],",B3)-1),"none")</f>
        <v>none</v>
      </c>
      <c r="N3" s="39" t="str">
        <f t="shared" ref="N3:N59" si="6">IFERROR(LEFT(M3,FIND("],",M3)+S13),M3)</f>
        <v>none</v>
      </c>
      <c r="O3" s="54" t="e">
        <f t="shared" ref="O3:O66" si="7">FIND("effect:",N3)+7</f>
        <v>#VALUE!</v>
      </c>
      <c r="P3" s="54">
        <f t="shared" ref="P3:P66" si="8">IFERROR(FIND(",",N3),LEN(N3))</f>
        <v>4</v>
      </c>
      <c r="Q3" s="54" t="e">
        <f t="shared" ref="Q3:Q66" si="9">FIND("target:",N3)+7</f>
        <v>#VALUE!</v>
      </c>
      <c r="R3" s="54" t="e">
        <f t="shared" ref="R3:R66" si="10">FIND(",",N3,P3+1)</f>
        <v>#VALUE!</v>
      </c>
      <c r="S3" s="54" t="str">
        <f>IFERROR(VLOOKUP(MID(N3,Q3,R3-Q3),[6]skilldef!$C:$D,2,FALSE),"-") &amp; " / " &amp; IFERROR(VLOOKUP(MID(N3,O3,P3-O3),[6]skilldef!$A:$B,2,FALSE),"-")</f>
        <v>- / -</v>
      </c>
      <c r="T3" s="39" t="str">
        <f t="shared" ref="T3:T66" si="11">IFERROR(RIGHT(M3,LEN(M3)-FIND("],",M3)-1),"none")</f>
        <v>none</v>
      </c>
      <c r="U3" s="54" t="e">
        <f t="shared" ref="U3:U66" si="12">FIND("effect:",T3)+7</f>
        <v>#VALUE!</v>
      </c>
      <c r="V3" s="54">
        <f t="shared" ref="V3:V66" si="13">IFERROR(FIND(",",T3),LEN(T3))</f>
        <v>4</v>
      </c>
      <c r="W3" s="54" t="e">
        <f t="shared" ref="W3:W66" si="14">FIND("target:",T3)+7</f>
        <v>#VALUE!</v>
      </c>
      <c r="X3" s="54" t="e">
        <f t="shared" ref="X3:X66" si="15">FIND(",",T3,V3+1)</f>
        <v>#VALUE!</v>
      </c>
      <c r="Y3" s="54" t="str">
        <f>IFERROR(VLOOKUP(MID(T3,W3,X3-W3),[6]skilldef!$C:$D,2,FALSE),"-") &amp; " / " &amp; IFERROR(VLOOKUP(MID(T3,U3,V3-U3),[6]skilldef!$A:$B,2,FALSE),"-")</f>
        <v>- / -</v>
      </c>
      <c r="Z3" s="41"/>
      <c r="AA3" s="43"/>
      <c r="AB3" s="41"/>
    </row>
    <row r="4" spans="1:28" ht="21" customHeight="1" x14ac:dyDescent="0.15">
      <c r="A4" s="38">
        <v>41011003</v>
      </c>
      <c r="B4" s="38" t="s">
        <v>253</v>
      </c>
      <c r="C4" s="41">
        <v>3</v>
      </c>
      <c r="D4" s="41" t="s">
        <v>146</v>
      </c>
      <c r="E4" s="42" t="s">
        <v>254</v>
      </c>
      <c r="F4" s="42" t="s">
        <v>255</v>
      </c>
      <c r="G4" s="54" t="str">
        <f t="shared" si="0"/>
        <v>[effect:nothing]</v>
      </c>
      <c r="H4" s="54">
        <f t="shared" si="1"/>
        <v>9</v>
      </c>
      <c r="I4" s="54">
        <f t="shared" si="2"/>
        <v>16</v>
      </c>
      <c r="J4" s="54" t="e">
        <f t="shared" si="3"/>
        <v>#VALUE!</v>
      </c>
      <c r="K4" s="54" t="e">
        <f t="shared" si="4"/>
        <v>#VALUE!</v>
      </c>
      <c r="L4" s="54" t="str">
        <f>IFERROR(VLOOKUP(MID(G4,J4,K4-J4),[6]skilldef!$C:$D,2,FALSE),"-") &amp; " / " &amp; IFERROR(VLOOKUP(MID(G4,H4,I4-H4),[6]skilldef!$A:$B,2,FALSE),"-")</f>
        <v>- / 何もしない</v>
      </c>
      <c r="M4" s="54" t="str">
        <f t="shared" si="5"/>
        <v>none</v>
      </c>
      <c r="N4" s="39" t="str">
        <f t="shared" si="6"/>
        <v>none</v>
      </c>
      <c r="O4" s="54" t="e">
        <f t="shared" si="7"/>
        <v>#VALUE!</v>
      </c>
      <c r="P4" s="54">
        <f t="shared" si="8"/>
        <v>4</v>
      </c>
      <c r="Q4" s="54" t="e">
        <f t="shared" si="9"/>
        <v>#VALUE!</v>
      </c>
      <c r="R4" s="54" t="e">
        <f t="shared" si="10"/>
        <v>#VALUE!</v>
      </c>
      <c r="S4" s="54" t="str">
        <f>IFERROR(VLOOKUP(MID(N4,Q4,R4-Q4),[6]skilldef!$C:$D,2,FALSE),"-") &amp; " / " &amp; IFERROR(VLOOKUP(MID(N4,O4,P4-O4),[6]skilldef!$A:$B,2,FALSE),"-")</f>
        <v>- / -</v>
      </c>
      <c r="T4" s="39" t="str">
        <f t="shared" si="11"/>
        <v>none</v>
      </c>
      <c r="U4" s="54" t="e">
        <f t="shared" si="12"/>
        <v>#VALUE!</v>
      </c>
      <c r="V4" s="54">
        <f t="shared" si="13"/>
        <v>4</v>
      </c>
      <c r="W4" s="54" t="e">
        <f t="shared" si="14"/>
        <v>#VALUE!</v>
      </c>
      <c r="X4" s="54" t="e">
        <f t="shared" si="15"/>
        <v>#VALUE!</v>
      </c>
      <c r="Y4" s="54" t="str">
        <f>IFERROR(VLOOKUP(MID(T4,W4,X4-W4),[6]skilldef!$C:$D,2,FALSE),"-") &amp; " / " &amp; IFERROR(VLOOKUP(MID(T4,U4,V4-U4),[6]skilldef!$A:$B,2,FALSE),"-")</f>
        <v>- / -</v>
      </c>
      <c r="Z4" s="41"/>
      <c r="AA4" s="43"/>
      <c r="AB4" s="41"/>
    </row>
    <row r="5" spans="1:28" ht="21" customHeight="1" x14ac:dyDescent="0.15">
      <c r="A5" s="38">
        <v>41011004</v>
      </c>
      <c r="B5" s="38" t="s">
        <v>253</v>
      </c>
      <c r="C5" s="41">
        <v>3</v>
      </c>
      <c r="D5" s="41" t="s">
        <v>146</v>
      </c>
      <c r="E5" s="42" t="s">
        <v>254</v>
      </c>
      <c r="F5" s="42" t="s">
        <v>255</v>
      </c>
      <c r="G5" s="54" t="str">
        <f t="shared" si="0"/>
        <v>[effect:nothing]</v>
      </c>
      <c r="H5" s="54">
        <f t="shared" si="1"/>
        <v>9</v>
      </c>
      <c r="I5" s="54">
        <f t="shared" si="2"/>
        <v>16</v>
      </c>
      <c r="J5" s="54" t="e">
        <f t="shared" si="3"/>
        <v>#VALUE!</v>
      </c>
      <c r="K5" s="54" t="e">
        <f t="shared" si="4"/>
        <v>#VALUE!</v>
      </c>
      <c r="L5" s="54" t="str">
        <f>IFERROR(VLOOKUP(MID(G5,J5,K5-J5),[6]skilldef!$C:$D,2,FALSE),"-") &amp; " / " &amp; IFERROR(VLOOKUP(MID(G5,H5,I5-H5),[6]skilldef!$A:$B,2,FALSE),"-")</f>
        <v>- / 何もしない</v>
      </c>
      <c r="M5" s="54" t="str">
        <f t="shared" si="5"/>
        <v>none</v>
      </c>
      <c r="N5" s="39" t="str">
        <f t="shared" si="6"/>
        <v>none</v>
      </c>
      <c r="O5" s="54" t="e">
        <f t="shared" si="7"/>
        <v>#VALUE!</v>
      </c>
      <c r="P5" s="54">
        <f t="shared" si="8"/>
        <v>4</v>
      </c>
      <c r="Q5" s="54" t="e">
        <f t="shared" si="9"/>
        <v>#VALUE!</v>
      </c>
      <c r="R5" s="54" t="e">
        <f t="shared" si="10"/>
        <v>#VALUE!</v>
      </c>
      <c r="S5" s="54" t="str">
        <f>IFERROR(VLOOKUP(MID(N5,Q5,R5-Q5),[6]skilldef!$C:$D,2,FALSE),"-") &amp; " / " &amp; IFERROR(VLOOKUP(MID(N5,O5,P5-O5),[6]skilldef!$A:$B,2,FALSE),"-")</f>
        <v>- / -</v>
      </c>
      <c r="T5" s="39" t="str">
        <f t="shared" si="11"/>
        <v>none</v>
      </c>
      <c r="U5" s="54" t="e">
        <f t="shared" si="12"/>
        <v>#VALUE!</v>
      </c>
      <c r="V5" s="54">
        <f t="shared" si="13"/>
        <v>4</v>
      </c>
      <c r="W5" s="54" t="e">
        <f t="shared" si="14"/>
        <v>#VALUE!</v>
      </c>
      <c r="X5" s="54" t="e">
        <f t="shared" si="15"/>
        <v>#VALUE!</v>
      </c>
      <c r="Y5" s="54" t="str">
        <f>IFERROR(VLOOKUP(MID(T5,W5,X5-W5),[6]skilldef!$C:$D,2,FALSE),"-") &amp; " / " &amp; IFERROR(VLOOKUP(MID(T5,U5,V5-U5),[6]skilldef!$A:$B,2,FALSE),"-")</f>
        <v>- / -</v>
      </c>
      <c r="Z5" s="41"/>
      <c r="AA5" s="43"/>
      <c r="AB5" s="41"/>
    </row>
    <row r="6" spans="1:28" ht="21" customHeight="1" x14ac:dyDescent="0.15">
      <c r="A6" s="38">
        <v>41011005</v>
      </c>
      <c r="B6" s="38" t="s">
        <v>253</v>
      </c>
      <c r="C6" s="41">
        <v>3</v>
      </c>
      <c r="D6" s="41" t="s">
        <v>146</v>
      </c>
      <c r="E6" s="42" t="s">
        <v>254</v>
      </c>
      <c r="F6" s="42" t="s">
        <v>255</v>
      </c>
      <c r="G6" s="54" t="str">
        <f t="shared" si="0"/>
        <v>[effect:nothing]</v>
      </c>
      <c r="H6" s="54">
        <f t="shared" si="1"/>
        <v>9</v>
      </c>
      <c r="I6" s="54">
        <f t="shared" si="2"/>
        <v>16</v>
      </c>
      <c r="J6" s="54" t="e">
        <f t="shared" si="3"/>
        <v>#VALUE!</v>
      </c>
      <c r="K6" s="54" t="e">
        <f t="shared" si="4"/>
        <v>#VALUE!</v>
      </c>
      <c r="L6" s="54" t="str">
        <f>IFERROR(VLOOKUP(MID(G6,J6,K6-J6),[6]skilldef!$C:$D,2,FALSE),"-") &amp; " / " &amp; IFERROR(VLOOKUP(MID(G6,H6,I6-H6),[6]skilldef!$A:$B,2,FALSE),"-")</f>
        <v>- / 何もしない</v>
      </c>
      <c r="M6" s="54" t="str">
        <f t="shared" si="5"/>
        <v>none</v>
      </c>
      <c r="N6" s="39" t="str">
        <f t="shared" si="6"/>
        <v>none</v>
      </c>
      <c r="O6" s="54" t="e">
        <f t="shared" si="7"/>
        <v>#VALUE!</v>
      </c>
      <c r="P6" s="54">
        <f t="shared" si="8"/>
        <v>4</v>
      </c>
      <c r="Q6" s="54" t="e">
        <f t="shared" si="9"/>
        <v>#VALUE!</v>
      </c>
      <c r="R6" s="54" t="e">
        <f t="shared" si="10"/>
        <v>#VALUE!</v>
      </c>
      <c r="S6" s="54" t="str">
        <f>IFERROR(VLOOKUP(MID(N6,Q6,R6-Q6),[6]skilldef!$C:$D,2,FALSE),"-") &amp; " / " &amp; IFERROR(VLOOKUP(MID(N6,O6,P6-O6),[6]skilldef!$A:$B,2,FALSE),"-")</f>
        <v>- / -</v>
      </c>
      <c r="T6" s="39" t="str">
        <f t="shared" si="11"/>
        <v>none</v>
      </c>
      <c r="U6" s="54" t="e">
        <f t="shared" si="12"/>
        <v>#VALUE!</v>
      </c>
      <c r="V6" s="54">
        <f t="shared" si="13"/>
        <v>4</v>
      </c>
      <c r="W6" s="54" t="e">
        <f t="shared" si="14"/>
        <v>#VALUE!</v>
      </c>
      <c r="X6" s="54" t="e">
        <f t="shared" si="15"/>
        <v>#VALUE!</v>
      </c>
      <c r="Y6" s="54" t="str">
        <f>IFERROR(VLOOKUP(MID(T6,W6,X6-W6),[6]skilldef!$C:$D,2,FALSE),"-") &amp; " / " &amp; IFERROR(VLOOKUP(MID(T6,U6,V6-U6),[6]skilldef!$A:$B,2,FALSE),"-")</f>
        <v>- / -</v>
      </c>
      <c r="Z6" s="41"/>
      <c r="AA6" s="43"/>
      <c r="AB6" s="41"/>
    </row>
    <row r="7" spans="1:28" ht="21" customHeight="1" x14ac:dyDescent="0.15">
      <c r="A7" s="38">
        <v>41011006</v>
      </c>
      <c r="B7" s="38" t="s">
        <v>256</v>
      </c>
      <c r="C7" s="41">
        <v>3</v>
      </c>
      <c r="D7" s="41" t="s">
        <v>146</v>
      </c>
      <c r="E7" s="42" t="s">
        <v>257</v>
      </c>
      <c r="F7" s="42" t="s">
        <v>382</v>
      </c>
      <c r="G7" s="54" t="str">
        <f t="shared" si="0"/>
        <v>[effect:enhance_enemy, target:myself, turn:5, status:defense, val:2000, calc:add, animation:enemy_enhance_defense]</v>
      </c>
      <c r="H7" s="54">
        <f t="shared" si="1"/>
        <v>9</v>
      </c>
      <c r="I7" s="54">
        <f t="shared" si="2"/>
        <v>22</v>
      </c>
      <c r="J7" s="54">
        <f t="shared" si="3"/>
        <v>31</v>
      </c>
      <c r="K7" s="54">
        <f t="shared" si="4"/>
        <v>37</v>
      </c>
      <c r="L7" s="54" t="str">
        <f>IFERROR(VLOOKUP(MID(G7,J7,K7-J7),[6]skilldef!$C:$D,2,FALSE),"-") &amp; " / " &amp; IFERROR(VLOOKUP(MID(G7,H7,I7-H7),[6]skilldef!$A:$B,2,FALSE),"-")</f>
        <v>自分自身に / ステータス強化</v>
      </c>
      <c r="M7" s="54" t="str">
        <f t="shared" si="5"/>
        <v>none</v>
      </c>
      <c r="N7" s="39" t="str">
        <f>IFERROR(LEFT(M7,FIND("],",M7)+S17),M7)</f>
        <v>none</v>
      </c>
      <c r="O7" s="54" t="e">
        <f t="shared" si="7"/>
        <v>#VALUE!</v>
      </c>
      <c r="P7" s="54">
        <f t="shared" si="8"/>
        <v>4</v>
      </c>
      <c r="Q7" s="54" t="e">
        <f t="shared" si="9"/>
        <v>#VALUE!</v>
      </c>
      <c r="R7" s="54" t="e">
        <f t="shared" si="10"/>
        <v>#VALUE!</v>
      </c>
      <c r="S7" s="54" t="str">
        <f>IFERROR(VLOOKUP(MID(N7,Q7,R7-Q7),[6]skilldef!$C:$D,2,FALSE),"-") &amp; " / " &amp; IFERROR(VLOOKUP(MID(N7,O7,P7-O7),[6]skilldef!$A:$B,2,FALSE),"-")</f>
        <v>- / -</v>
      </c>
      <c r="T7" s="39" t="str">
        <f t="shared" si="11"/>
        <v>none</v>
      </c>
      <c r="U7" s="54" t="e">
        <f t="shared" si="12"/>
        <v>#VALUE!</v>
      </c>
      <c r="V7" s="54">
        <f t="shared" si="13"/>
        <v>4</v>
      </c>
      <c r="W7" s="54" t="e">
        <f t="shared" si="14"/>
        <v>#VALUE!</v>
      </c>
      <c r="X7" s="54" t="e">
        <f t="shared" si="15"/>
        <v>#VALUE!</v>
      </c>
      <c r="Y7" s="54" t="str">
        <f>IFERROR(VLOOKUP(MID(T7,W7,X7-W7),[6]skilldef!$C:$D,2,FALSE),"-") &amp; " / " &amp; IFERROR(VLOOKUP(MID(T7,U7,V7-U7),[6]skilldef!$A:$B,2,FALSE),"-")</f>
        <v>- / -</v>
      </c>
      <c r="Z7" s="41"/>
      <c r="AA7" s="43"/>
      <c r="AB7" s="41"/>
    </row>
    <row r="8" spans="1:28" ht="21" customHeight="1" x14ac:dyDescent="0.15">
      <c r="A8" s="38">
        <v>41011007</v>
      </c>
      <c r="B8" s="38" t="s">
        <v>258</v>
      </c>
      <c r="C8" s="41">
        <v>3</v>
      </c>
      <c r="D8" s="41" t="s">
        <v>146</v>
      </c>
      <c r="E8" s="42" t="s">
        <v>259</v>
      </c>
      <c r="F8" s="42" t="s">
        <v>359</v>
      </c>
      <c r="G8" s="54" t="str">
        <f t="shared" si="0"/>
        <v>[effect:rush, count:4, val:0.35]</v>
      </c>
      <c r="H8" s="54">
        <f t="shared" si="1"/>
        <v>9</v>
      </c>
      <c r="I8" s="54">
        <f t="shared" si="2"/>
        <v>13</v>
      </c>
      <c r="J8" s="54" t="e">
        <f t="shared" si="3"/>
        <v>#VALUE!</v>
      </c>
      <c r="K8" s="54">
        <f t="shared" si="4"/>
        <v>22</v>
      </c>
      <c r="L8" s="54" t="str">
        <f>IFERROR(VLOOKUP(MID(G8,J8,K8-J8),[6]skilldef!$C:$D,2,FALSE),"-") &amp; " / " &amp; IFERROR(VLOOKUP(MID(G8,H8,I8-H8),[6]skilldef!$A:$B,2,FALSE),"-")</f>
        <v>- / 連続攻撃</v>
      </c>
      <c r="M8" s="54" t="str">
        <f t="shared" si="5"/>
        <v>none</v>
      </c>
      <c r="N8" s="39" t="str">
        <f>IFERROR(LEFT(M8,FIND("],",M8)+S18),M8)</f>
        <v>none</v>
      </c>
      <c r="O8" s="54" t="e">
        <f t="shared" si="7"/>
        <v>#VALUE!</v>
      </c>
      <c r="P8" s="54">
        <f t="shared" si="8"/>
        <v>4</v>
      </c>
      <c r="Q8" s="54" t="e">
        <f t="shared" si="9"/>
        <v>#VALUE!</v>
      </c>
      <c r="R8" s="54" t="e">
        <f t="shared" si="10"/>
        <v>#VALUE!</v>
      </c>
      <c r="S8" s="54" t="str">
        <f>IFERROR(VLOOKUP(MID(N8,Q8,R8-Q8),[6]skilldef!$C:$D,2,FALSE),"-") &amp; " / " &amp; IFERROR(VLOOKUP(MID(N8,O8,P8-O8),[6]skilldef!$A:$B,2,FALSE),"-")</f>
        <v>- / -</v>
      </c>
      <c r="T8" s="39" t="str">
        <f t="shared" si="11"/>
        <v>none</v>
      </c>
      <c r="U8" s="54" t="e">
        <f t="shared" si="12"/>
        <v>#VALUE!</v>
      </c>
      <c r="V8" s="54">
        <f t="shared" si="13"/>
        <v>4</v>
      </c>
      <c r="W8" s="54" t="e">
        <f t="shared" si="14"/>
        <v>#VALUE!</v>
      </c>
      <c r="X8" s="54" t="e">
        <f t="shared" si="15"/>
        <v>#VALUE!</v>
      </c>
      <c r="Y8" s="54" t="str">
        <f>IFERROR(VLOOKUP(MID(T8,W8,X8-W8),[6]skilldef!$C:$D,2,FALSE),"-") &amp; " / " &amp; IFERROR(VLOOKUP(MID(T8,U8,V8-U8),[6]skilldef!$A:$B,2,FALSE),"-")</f>
        <v>- / -</v>
      </c>
      <c r="Z8" s="41"/>
      <c r="AA8" s="43"/>
      <c r="AB8" s="41"/>
    </row>
    <row r="9" spans="1:28" ht="21" customHeight="1" x14ac:dyDescent="0.15">
      <c r="A9" s="38">
        <v>41011008</v>
      </c>
      <c r="B9" s="38" t="s">
        <v>253</v>
      </c>
      <c r="C9" s="41">
        <v>3</v>
      </c>
      <c r="D9" s="41" t="s">
        <v>146</v>
      </c>
      <c r="E9" s="42" t="s">
        <v>260</v>
      </c>
      <c r="F9" s="42" t="s">
        <v>255</v>
      </c>
      <c r="G9" s="54" t="str">
        <f t="shared" si="0"/>
        <v>[effect:nothing]</v>
      </c>
      <c r="H9" s="54">
        <f t="shared" si="1"/>
        <v>9</v>
      </c>
      <c r="I9" s="54">
        <f t="shared" si="2"/>
        <v>16</v>
      </c>
      <c r="J9" s="54" t="e">
        <f t="shared" si="3"/>
        <v>#VALUE!</v>
      </c>
      <c r="K9" s="54" t="e">
        <f t="shared" si="4"/>
        <v>#VALUE!</v>
      </c>
      <c r="L9" s="54" t="str">
        <f>IFERROR(VLOOKUP(MID(G9,J9,K9-J9),[6]skilldef!$C:$D,2,FALSE),"-") &amp; " / " &amp; IFERROR(VLOOKUP(MID(G9,H9,I9-H9),[6]skilldef!$A:$B,2,FALSE),"-")</f>
        <v>- / 何もしない</v>
      </c>
      <c r="M9" s="54" t="str">
        <f t="shared" si="5"/>
        <v>none</v>
      </c>
      <c r="N9" s="39" t="str">
        <f t="shared" si="6"/>
        <v>none</v>
      </c>
      <c r="O9" s="54" t="e">
        <f t="shared" si="7"/>
        <v>#VALUE!</v>
      </c>
      <c r="P9" s="54">
        <f t="shared" si="8"/>
        <v>4</v>
      </c>
      <c r="Q9" s="54" t="e">
        <f t="shared" si="9"/>
        <v>#VALUE!</v>
      </c>
      <c r="R9" s="54" t="e">
        <f t="shared" si="10"/>
        <v>#VALUE!</v>
      </c>
      <c r="S9" s="54" t="str">
        <f>IFERROR(VLOOKUP(MID(N9,Q9,R9-Q9),[6]skilldef!$C:$D,2,FALSE),"-") &amp; " / " &amp; IFERROR(VLOOKUP(MID(N9,O9,P9-O9),[6]skilldef!$A:$B,2,FALSE),"-")</f>
        <v>- / -</v>
      </c>
      <c r="T9" s="39" t="str">
        <f t="shared" si="11"/>
        <v>none</v>
      </c>
      <c r="U9" s="54" t="e">
        <f t="shared" si="12"/>
        <v>#VALUE!</v>
      </c>
      <c r="V9" s="54">
        <f t="shared" si="13"/>
        <v>4</v>
      </c>
      <c r="W9" s="54" t="e">
        <f t="shared" si="14"/>
        <v>#VALUE!</v>
      </c>
      <c r="X9" s="54" t="e">
        <f t="shared" si="15"/>
        <v>#VALUE!</v>
      </c>
      <c r="Y9" s="54" t="str">
        <f>IFERROR(VLOOKUP(MID(T9,W9,X9-W9),[6]skilldef!$C:$D,2,FALSE),"-") &amp; " / " &amp; IFERROR(VLOOKUP(MID(T9,U9,V9-U9),[6]skilldef!$A:$B,2,FALSE),"-")</f>
        <v>- / -</v>
      </c>
      <c r="Z9" s="41"/>
      <c r="AA9" s="43"/>
      <c r="AB9" s="41"/>
    </row>
    <row r="10" spans="1:28" ht="21" customHeight="1" x14ac:dyDescent="0.15">
      <c r="A10" s="38">
        <v>41011009</v>
      </c>
      <c r="B10" s="38" t="s">
        <v>253</v>
      </c>
      <c r="C10" s="41">
        <v>3</v>
      </c>
      <c r="D10" s="41" t="s">
        <v>146</v>
      </c>
      <c r="E10" s="42" t="s">
        <v>260</v>
      </c>
      <c r="F10" s="42" t="s">
        <v>255</v>
      </c>
      <c r="G10" s="54" t="str">
        <f t="shared" si="0"/>
        <v>[effect:nothing]</v>
      </c>
      <c r="H10" s="54">
        <f t="shared" si="1"/>
        <v>9</v>
      </c>
      <c r="I10" s="54">
        <f t="shared" si="2"/>
        <v>16</v>
      </c>
      <c r="J10" s="54" t="e">
        <f t="shared" si="3"/>
        <v>#VALUE!</v>
      </c>
      <c r="K10" s="54" t="e">
        <f t="shared" si="4"/>
        <v>#VALUE!</v>
      </c>
      <c r="L10" s="54" t="str">
        <f>IFERROR(VLOOKUP(MID(G10,J10,K10-J10),[6]skilldef!$C:$D,2,FALSE),"-") &amp; " / " &amp; IFERROR(VLOOKUP(MID(G10,H10,I10-H10),[6]skilldef!$A:$B,2,FALSE),"-")</f>
        <v>- / 何もしない</v>
      </c>
      <c r="M10" s="54" t="str">
        <f t="shared" si="5"/>
        <v>none</v>
      </c>
      <c r="N10" s="39" t="str">
        <f t="shared" si="6"/>
        <v>none</v>
      </c>
      <c r="O10" s="54" t="e">
        <f t="shared" si="7"/>
        <v>#VALUE!</v>
      </c>
      <c r="P10" s="54">
        <f t="shared" si="8"/>
        <v>4</v>
      </c>
      <c r="Q10" s="54" t="e">
        <f t="shared" si="9"/>
        <v>#VALUE!</v>
      </c>
      <c r="R10" s="54" t="e">
        <f t="shared" si="10"/>
        <v>#VALUE!</v>
      </c>
      <c r="S10" s="54" t="str">
        <f>IFERROR(VLOOKUP(MID(N10,Q10,R10-Q10),[6]skilldef!$C:$D,2,FALSE),"-") &amp; " / " &amp; IFERROR(VLOOKUP(MID(N10,O10,P10-O10),[6]skilldef!$A:$B,2,FALSE),"-")</f>
        <v>- / -</v>
      </c>
      <c r="T10" s="39" t="str">
        <f t="shared" si="11"/>
        <v>none</v>
      </c>
      <c r="U10" s="54" t="e">
        <f t="shared" si="12"/>
        <v>#VALUE!</v>
      </c>
      <c r="V10" s="54">
        <f t="shared" si="13"/>
        <v>4</v>
      </c>
      <c r="W10" s="54" t="e">
        <f t="shared" si="14"/>
        <v>#VALUE!</v>
      </c>
      <c r="X10" s="54" t="e">
        <f t="shared" si="15"/>
        <v>#VALUE!</v>
      </c>
      <c r="Y10" s="54" t="str">
        <f>IFERROR(VLOOKUP(MID(T10,W10,X10-W10),[6]skilldef!$C:$D,2,FALSE),"-") &amp; " / " &amp; IFERROR(VLOOKUP(MID(T10,U10,V10-U10),[6]skilldef!$A:$B,2,FALSE),"-")</f>
        <v>- / -</v>
      </c>
      <c r="Z10" s="41"/>
      <c r="AA10" s="43"/>
      <c r="AB10" s="41"/>
    </row>
    <row r="11" spans="1:28" ht="21" customHeight="1" x14ac:dyDescent="0.15">
      <c r="A11" s="38">
        <v>41011010</v>
      </c>
      <c r="B11" s="38" t="s">
        <v>253</v>
      </c>
      <c r="C11" s="41">
        <v>3</v>
      </c>
      <c r="D11" s="41" t="s">
        <v>146</v>
      </c>
      <c r="E11" s="42" t="s">
        <v>260</v>
      </c>
      <c r="F11" s="42" t="s">
        <v>255</v>
      </c>
      <c r="G11" s="54" t="str">
        <f t="shared" si="0"/>
        <v>[effect:nothing]</v>
      </c>
      <c r="H11" s="54">
        <f t="shared" si="1"/>
        <v>9</v>
      </c>
      <c r="I11" s="54">
        <f t="shared" si="2"/>
        <v>16</v>
      </c>
      <c r="J11" s="54" t="e">
        <f t="shared" si="3"/>
        <v>#VALUE!</v>
      </c>
      <c r="K11" s="54" t="e">
        <f t="shared" si="4"/>
        <v>#VALUE!</v>
      </c>
      <c r="L11" s="54" t="str">
        <f>IFERROR(VLOOKUP(MID(G11,J11,K11-J11),[6]skilldef!$C:$D,2,FALSE),"-") &amp; " / " &amp; IFERROR(VLOOKUP(MID(G11,H11,I11-H11),[6]skilldef!$A:$B,2,FALSE),"-")</f>
        <v>- / 何もしない</v>
      </c>
      <c r="M11" s="54" t="str">
        <f t="shared" si="5"/>
        <v>none</v>
      </c>
      <c r="N11" s="39" t="str">
        <f t="shared" si="6"/>
        <v>none</v>
      </c>
      <c r="O11" s="54" t="e">
        <f t="shared" si="7"/>
        <v>#VALUE!</v>
      </c>
      <c r="P11" s="54">
        <f t="shared" si="8"/>
        <v>4</v>
      </c>
      <c r="Q11" s="54" t="e">
        <f t="shared" si="9"/>
        <v>#VALUE!</v>
      </c>
      <c r="R11" s="54" t="e">
        <f t="shared" si="10"/>
        <v>#VALUE!</v>
      </c>
      <c r="S11" s="54" t="str">
        <f>IFERROR(VLOOKUP(MID(N11,Q11,R11-Q11),[6]skilldef!$C:$D,2,FALSE),"-") &amp; " / " &amp; IFERROR(VLOOKUP(MID(N11,O11,P11-O11),[6]skilldef!$A:$B,2,FALSE),"-")</f>
        <v>- / -</v>
      </c>
      <c r="T11" s="39" t="str">
        <f t="shared" si="11"/>
        <v>none</v>
      </c>
      <c r="U11" s="54" t="e">
        <f t="shared" si="12"/>
        <v>#VALUE!</v>
      </c>
      <c r="V11" s="54">
        <f t="shared" si="13"/>
        <v>4</v>
      </c>
      <c r="W11" s="54" t="e">
        <f t="shared" si="14"/>
        <v>#VALUE!</v>
      </c>
      <c r="X11" s="54" t="e">
        <f t="shared" si="15"/>
        <v>#VALUE!</v>
      </c>
      <c r="Y11" s="54" t="str">
        <f>IFERROR(VLOOKUP(MID(T11,W11,X11-W11),[6]skilldef!$C:$D,2,FALSE),"-") &amp; " / " &amp; IFERROR(VLOOKUP(MID(T11,U11,V11-U11),[6]skilldef!$A:$B,2,FALSE),"-")</f>
        <v>- / -</v>
      </c>
      <c r="Z11" s="41"/>
      <c r="AA11" s="43"/>
      <c r="AB11" s="41"/>
    </row>
    <row r="12" spans="1:28" ht="21" customHeight="1" x14ac:dyDescent="0.15">
      <c r="A12" s="38">
        <v>41011011</v>
      </c>
      <c r="B12" s="38" t="s">
        <v>261</v>
      </c>
      <c r="C12" s="41">
        <v>3</v>
      </c>
      <c r="D12" s="41" t="s">
        <v>146</v>
      </c>
      <c r="E12" s="38" t="s">
        <v>262</v>
      </c>
      <c r="F12" s="38" t="s">
        <v>263</v>
      </c>
      <c r="G12" s="54" t="str">
        <f t="shared" si="0"/>
        <v>[effect:charge, status:attack, val:1]</v>
      </c>
      <c r="H12" s="54">
        <f t="shared" si="1"/>
        <v>9</v>
      </c>
      <c r="I12" s="54">
        <f t="shared" si="2"/>
        <v>15</v>
      </c>
      <c r="J12" s="54" t="e">
        <f t="shared" si="3"/>
        <v>#VALUE!</v>
      </c>
      <c r="K12" s="54">
        <f t="shared" si="4"/>
        <v>30</v>
      </c>
      <c r="L12" s="54" t="str">
        <f>IFERROR(VLOOKUP(MID(G12,J12,K12-J12),[6]skilldef!$C:$D,2,FALSE),"-") &amp; " / " &amp; IFERROR(VLOOKUP(MID(G12,H12,I12-H12),[6]skilldef!$A:$B,2,FALSE),"-")</f>
        <v>- / 溜め</v>
      </c>
      <c r="M12" s="54" t="str">
        <f t="shared" si="5"/>
        <v>none</v>
      </c>
      <c r="N12" s="39" t="str">
        <f t="shared" si="6"/>
        <v>none</v>
      </c>
      <c r="O12" s="54" t="e">
        <f t="shared" si="7"/>
        <v>#VALUE!</v>
      </c>
      <c r="P12" s="54">
        <f t="shared" si="8"/>
        <v>4</v>
      </c>
      <c r="Q12" s="54" t="e">
        <f t="shared" si="9"/>
        <v>#VALUE!</v>
      </c>
      <c r="R12" s="54" t="e">
        <f t="shared" si="10"/>
        <v>#VALUE!</v>
      </c>
      <c r="S12" s="54" t="str">
        <f>IFERROR(VLOOKUP(MID(N12,Q12,R12-Q12),[6]skilldef!$C:$D,2,FALSE),"-") &amp; " / " &amp; IFERROR(VLOOKUP(MID(N12,O12,P12-O12),[6]skilldef!$A:$B,2,FALSE),"-")</f>
        <v>- / -</v>
      </c>
      <c r="T12" s="39" t="str">
        <f t="shared" si="11"/>
        <v>none</v>
      </c>
      <c r="U12" s="54" t="e">
        <f t="shared" si="12"/>
        <v>#VALUE!</v>
      </c>
      <c r="V12" s="54">
        <f t="shared" si="13"/>
        <v>4</v>
      </c>
      <c r="W12" s="54" t="e">
        <f t="shared" si="14"/>
        <v>#VALUE!</v>
      </c>
      <c r="X12" s="54" t="e">
        <f t="shared" si="15"/>
        <v>#VALUE!</v>
      </c>
      <c r="Y12" s="54" t="str">
        <f>IFERROR(VLOOKUP(MID(T12,W12,X12-W12),[6]skilldef!$C:$D,2,FALSE),"-") &amp; " / " &amp; IFERROR(VLOOKUP(MID(T12,U12,V12-U12),[6]skilldef!$A:$B,2,FALSE),"-")</f>
        <v>- / -</v>
      </c>
      <c r="Z12" s="41"/>
      <c r="AA12" s="43"/>
      <c r="AB12" s="41"/>
    </row>
    <row r="13" spans="1:28" ht="21" customHeight="1" x14ac:dyDescent="0.15">
      <c r="A13" s="38">
        <v>41011012</v>
      </c>
      <c r="B13" s="38" t="s">
        <v>264</v>
      </c>
      <c r="C13" s="41">
        <v>3</v>
      </c>
      <c r="D13" s="41" t="s">
        <v>265</v>
      </c>
      <c r="E13" s="42" t="s">
        <v>266</v>
      </c>
      <c r="F13" s="42" t="s">
        <v>255</v>
      </c>
      <c r="G13" s="54" t="str">
        <f t="shared" si="0"/>
        <v>[effect:nothing]</v>
      </c>
      <c r="H13" s="54">
        <f t="shared" si="1"/>
        <v>9</v>
      </c>
      <c r="I13" s="54">
        <f t="shared" si="2"/>
        <v>16</v>
      </c>
      <c r="J13" s="54" t="e">
        <f t="shared" si="3"/>
        <v>#VALUE!</v>
      </c>
      <c r="K13" s="54" t="e">
        <f t="shared" si="4"/>
        <v>#VALUE!</v>
      </c>
      <c r="L13" s="54" t="str">
        <f>IFERROR(VLOOKUP(MID(G13,J13,K13-J13),[6]skilldef!$C:$D,2,FALSE),"-") &amp; " / " &amp; IFERROR(VLOOKUP(MID(G13,H13,I13-H13),[6]skilldef!$A:$B,2,FALSE),"-")</f>
        <v>- / 何もしない</v>
      </c>
      <c r="M13" s="54" t="str">
        <f t="shared" si="5"/>
        <v>none</v>
      </c>
      <c r="N13" s="39" t="str">
        <f t="shared" si="6"/>
        <v>none</v>
      </c>
      <c r="O13" s="54" t="e">
        <f t="shared" si="7"/>
        <v>#VALUE!</v>
      </c>
      <c r="P13" s="54">
        <f t="shared" si="8"/>
        <v>4</v>
      </c>
      <c r="Q13" s="54" t="e">
        <f t="shared" si="9"/>
        <v>#VALUE!</v>
      </c>
      <c r="R13" s="54" t="e">
        <f t="shared" si="10"/>
        <v>#VALUE!</v>
      </c>
      <c r="S13" s="54" t="str">
        <f>IFERROR(VLOOKUP(MID(N13,Q13,R13-Q13),[6]skilldef!$C:$D,2,FALSE),"-") &amp; " / " &amp; IFERROR(VLOOKUP(MID(N13,O13,P13-O13),[6]skilldef!$A:$B,2,FALSE),"-")</f>
        <v>- / -</v>
      </c>
      <c r="T13" s="39" t="str">
        <f t="shared" si="11"/>
        <v>none</v>
      </c>
      <c r="U13" s="54" t="e">
        <f t="shared" si="12"/>
        <v>#VALUE!</v>
      </c>
      <c r="V13" s="54">
        <f t="shared" si="13"/>
        <v>4</v>
      </c>
      <c r="W13" s="54" t="e">
        <f t="shared" si="14"/>
        <v>#VALUE!</v>
      </c>
      <c r="X13" s="54" t="e">
        <f t="shared" si="15"/>
        <v>#VALUE!</v>
      </c>
      <c r="Y13" s="54" t="str">
        <f>IFERROR(VLOOKUP(MID(T13,W13,X13-W13),[6]skilldef!$C:$D,2,FALSE),"-") &amp; " / " &amp; IFERROR(VLOOKUP(MID(T13,U13,V13-U13),[6]skilldef!$A:$B,2,FALSE),"-")</f>
        <v>- / -</v>
      </c>
      <c r="Z13" s="41"/>
      <c r="AA13" s="43"/>
      <c r="AB13" s="41"/>
    </row>
    <row r="14" spans="1:28" ht="21" customHeight="1" x14ac:dyDescent="0.15">
      <c r="A14" s="38">
        <v>41011013</v>
      </c>
      <c r="B14" s="38" t="s">
        <v>253</v>
      </c>
      <c r="C14" s="41">
        <v>3</v>
      </c>
      <c r="D14" s="41" t="s">
        <v>146</v>
      </c>
      <c r="E14" s="42" t="s">
        <v>267</v>
      </c>
      <c r="F14" s="42" t="s">
        <v>255</v>
      </c>
      <c r="G14" s="54" t="str">
        <f t="shared" si="0"/>
        <v>[effect:nothing]</v>
      </c>
      <c r="H14" s="54">
        <f t="shared" si="1"/>
        <v>9</v>
      </c>
      <c r="I14" s="54">
        <f t="shared" si="2"/>
        <v>16</v>
      </c>
      <c r="J14" s="54" t="e">
        <f t="shared" si="3"/>
        <v>#VALUE!</v>
      </c>
      <c r="K14" s="54" t="e">
        <f t="shared" si="4"/>
        <v>#VALUE!</v>
      </c>
      <c r="L14" s="54" t="str">
        <f>IFERROR(VLOOKUP(MID(G14,J14,K14-J14),[6]skilldef!$C:$D,2,FALSE),"-") &amp; " / " &amp; IFERROR(VLOOKUP(MID(G14,H14,I14-H14),[6]skilldef!$A:$B,2,FALSE),"-")</f>
        <v>- / 何もしない</v>
      </c>
      <c r="M14" s="54" t="str">
        <f t="shared" si="5"/>
        <v>none</v>
      </c>
      <c r="N14" s="39" t="str">
        <f t="shared" si="6"/>
        <v>none</v>
      </c>
      <c r="O14" s="54" t="e">
        <f t="shared" si="7"/>
        <v>#VALUE!</v>
      </c>
      <c r="P14" s="54">
        <f t="shared" si="8"/>
        <v>4</v>
      </c>
      <c r="Q14" s="54" t="e">
        <f t="shared" si="9"/>
        <v>#VALUE!</v>
      </c>
      <c r="R14" s="54" t="e">
        <f t="shared" si="10"/>
        <v>#VALUE!</v>
      </c>
      <c r="S14" s="54" t="str">
        <f>IFERROR(VLOOKUP(MID(N14,Q14,R14-Q14),[6]skilldef!$C:$D,2,FALSE),"-") &amp; " / " &amp; IFERROR(VLOOKUP(MID(N14,O14,P14-O14),[6]skilldef!$A:$B,2,FALSE),"-")</f>
        <v>- / -</v>
      </c>
      <c r="T14" s="39" t="str">
        <f t="shared" si="11"/>
        <v>none</v>
      </c>
      <c r="U14" s="54" t="e">
        <f t="shared" si="12"/>
        <v>#VALUE!</v>
      </c>
      <c r="V14" s="54">
        <f t="shared" si="13"/>
        <v>4</v>
      </c>
      <c r="W14" s="54" t="e">
        <f t="shared" si="14"/>
        <v>#VALUE!</v>
      </c>
      <c r="X14" s="54" t="e">
        <f t="shared" si="15"/>
        <v>#VALUE!</v>
      </c>
      <c r="Y14" s="54" t="str">
        <f>IFERROR(VLOOKUP(MID(T14,W14,X14-W14),[6]skilldef!$C:$D,2,FALSE),"-") &amp; " / " &amp; IFERROR(VLOOKUP(MID(T14,U14,V14-U14),[6]skilldef!$A:$B,2,FALSE),"-")</f>
        <v>- / -</v>
      </c>
      <c r="Z14" s="41"/>
      <c r="AA14" s="43"/>
      <c r="AB14" s="41"/>
    </row>
    <row r="15" spans="1:28" ht="21" customHeight="1" x14ac:dyDescent="0.15">
      <c r="A15" s="38">
        <v>41011014</v>
      </c>
      <c r="B15" s="38" t="s">
        <v>268</v>
      </c>
      <c r="C15" s="41">
        <v>3</v>
      </c>
      <c r="D15" s="41" t="s">
        <v>269</v>
      </c>
      <c r="E15" s="42" t="s">
        <v>270</v>
      </c>
      <c r="F15" s="42" t="s">
        <v>255</v>
      </c>
      <c r="G15" s="54" t="str">
        <f t="shared" si="0"/>
        <v>[effect:nothing]</v>
      </c>
      <c r="H15" s="54">
        <f t="shared" si="1"/>
        <v>9</v>
      </c>
      <c r="I15" s="54">
        <f t="shared" si="2"/>
        <v>16</v>
      </c>
      <c r="J15" s="54" t="e">
        <f t="shared" si="3"/>
        <v>#VALUE!</v>
      </c>
      <c r="K15" s="54" t="e">
        <f t="shared" si="4"/>
        <v>#VALUE!</v>
      </c>
      <c r="L15" s="54" t="str">
        <f>IFERROR(VLOOKUP(MID(G15,J15,K15-J15),[6]skilldef!$C:$D,2,FALSE),"-") &amp; " / " &amp; IFERROR(VLOOKUP(MID(G15,H15,I15-H15),[6]skilldef!$A:$B,2,FALSE),"-")</f>
        <v>- / 何もしない</v>
      </c>
      <c r="M15" s="54" t="str">
        <f t="shared" si="5"/>
        <v>none</v>
      </c>
      <c r="N15" s="39" t="str">
        <f t="shared" si="6"/>
        <v>none</v>
      </c>
      <c r="O15" s="54" t="e">
        <f t="shared" si="7"/>
        <v>#VALUE!</v>
      </c>
      <c r="P15" s="54">
        <f t="shared" si="8"/>
        <v>4</v>
      </c>
      <c r="Q15" s="54" t="e">
        <f t="shared" si="9"/>
        <v>#VALUE!</v>
      </c>
      <c r="R15" s="54" t="e">
        <f t="shared" si="10"/>
        <v>#VALUE!</v>
      </c>
      <c r="S15" s="54" t="str">
        <f>IFERROR(VLOOKUP(MID(N15,Q15,R15-Q15),[6]skilldef!$C:$D,2,FALSE),"-") &amp; " / " &amp; IFERROR(VLOOKUP(MID(N15,O15,P15-O15),[6]skilldef!$A:$B,2,FALSE),"-")</f>
        <v>- / -</v>
      </c>
      <c r="T15" s="39" t="str">
        <f t="shared" si="11"/>
        <v>none</v>
      </c>
      <c r="U15" s="54" t="e">
        <f t="shared" si="12"/>
        <v>#VALUE!</v>
      </c>
      <c r="V15" s="54">
        <f t="shared" si="13"/>
        <v>4</v>
      </c>
      <c r="W15" s="54" t="e">
        <f t="shared" si="14"/>
        <v>#VALUE!</v>
      </c>
      <c r="X15" s="54" t="e">
        <f t="shared" si="15"/>
        <v>#VALUE!</v>
      </c>
      <c r="Y15" s="54" t="str">
        <f>IFERROR(VLOOKUP(MID(T15,W15,X15-W15),[6]skilldef!$C:$D,2,FALSE),"-") &amp; " / " &amp; IFERROR(VLOOKUP(MID(T15,U15,V15-U15),[6]skilldef!$A:$B,2,FALSE),"-")</f>
        <v>- / -</v>
      </c>
      <c r="Z15" s="41"/>
      <c r="AA15" s="43"/>
      <c r="AB15" s="41"/>
    </row>
    <row r="16" spans="1:28" ht="21" customHeight="1" x14ac:dyDescent="0.15">
      <c r="A16" s="38">
        <v>41011015</v>
      </c>
      <c r="B16" s="38" t="s">
        <v>253</v>
      </c>
      <c r="C16" s="41">
        <v>3</v>
      </c>
      <c r="D16" s="41" t="s">
        <v>146</v>
      </c>
      <c r="E16" s="42" t="s">
        <v>267</v>
      </c>
      <c r="F16" s="42" t="s">
        <v>255</v>
      </c>
      <c r="G16" s="54" t="str">
        <f t="shared" si="0"/>
        <v>[effect:nothing]</v>
      </c>
      <c r="H16" s="54">
        <f t="shared" si="1"/>
        <v>9</v>
      </c>
      <c r="I16" s="54">
        <f t="shared" si="2"/>
        <v>16</v>
      </c>
      <c r="J16" s="54" t="e">
        <f t="shared" si="3"/>
        <v>#VALUE!</v>
      </c>
      <c r="K16" s="54" t="e">
        <f t="shared" si="4"/>
        <v>#VALUE!</v>
      </c>
      <c r="L16" s="54" t="str">
        <f>IFERROR(VLOOKUP(MID(G16,J16,K16-J16),[6]skilldef!$C:$D,2,FALSE),"-") &amp; " / " &amp; IFERROR(VLOOKUP(MID(G16,H16,I16-H16),[6]skilldef!$A:$B,2,FALSE),"-")</f>
        <v>- / 何もしない</v>
      </c>
      <c r="M16" s="54" t="str">
        <f t="shared" si="5"/>
        <v>none</v>
      </c>
      <c r="N16" s="39" t="str">
        <f t="shared" si="6"/>
        <v>none</v>
      </c>
      <c r="O16" s="54" t="e">
        <f t="shared" si="7"/>
        <v>#VALUE!</v>
      </c>
      <c r="P16" s="54">
        <f t="shared" si="8"/>
        <v>4</v>
      </c>
      <c r="Q16" s="54" t="e">
        <f t="shared" si="9"/>
        <v>#VALUE!</v>
      </c>
      <c r="R16" s="54" t="e">
        <f t="shared" si="10"/>
        <v>#VALUE!</v>
      </c>
      <c r="S16" s="54" t="str">
        <f>IFERROR(VLOOKUP(MID(N16,Q16,R16-Q16),[6]skilldef!$C:$D,2,FALSE),"-") &amp; " / " &amp; IFERROR(VLOOKUP(MID(N16,O16,P16-O16),[6]skilldef!$A:$B,2,FALSE),"-")</f>
        <v>- / -</v>
      </c>
      <c r="T16" s="39" t="str">
        <f t="shared" si="11"/>
        <v>none</v>
      </c>
      <c r="U16" s="54" t="e">
        <f t="shared" si="12"/>
        <v>#VALUE!</v>
      </c>
      <c r="V16" s="54">
        <f t="shared" si="13"/>
        <v>4</v>
      </c>
      <c r="W16" s="54" t="e">
        <f t="shared" si="14"/>
        <v>#VALUE!</v>
      </c>
      <c r="X16" s="54" t="e">
        <f t="shared" si="15"/>
        <v>#VALUE!</v>
      </c>
      <c r="Y16" s="54" t="str">
        <f>IFERROR(VLOOKUP(MID(T16,W16,X16-W16),[6]skilldef!$C:$D,2,FALSE),"-") &amp; " / " &amp; IFERROR(VLOOKUP(MID(T16,U16,V16-U16),[6]skilldef!$A:$B,2,FALSE),"-")</f>
        <v>- / -</v>
      </c>
      <c r="Z16" s="41"/>
      <c r="AA16" s="43"/>
      <c r="AB16" s="41"/>
    </row>
    <row r="17" spans="1:28" ht="21" customHeight="1" x14ac:dyDescent="0.15">
      <c r="A17" s="38">
        <v>41011016</v>
      </c>
      <c r="B17" s="38" t="s">
        <v>271</v>
      </c>
      <c r="C17" s="41">
        <v>3</v>
      </c>
      <c r="D17" s="41" t="s">
        <v>146</v>
      </c>
      <c r="E17" s="42" t="s">
        <v>272</v>
      </c>
      <c r="F17" s="42" t="s">
        <v>385</v>
      </c>
      <c r="G17" s="54" t="str">
        <f t="shared" si="0"/>
        <v>[effect:damage_anti_tribe, target:unit_all, tribe:god, val1:0.7, val2:0.2]</v>
      </c>
      <c r="H17" s="54">
        <f t="shared" si="1"/>
        <v>9</v>
      </c>
      <c r="I17" s="54">
        <f t="shared" si="2"/>
        <v>26</v>
      </c>
      <c r="J17" s="54">
        <f t="shared" si="3"/>
        <v>35</v>
      </c>
      <c r="K17" s="54">
        <f t="shared" si="4"/>
        <v>43</v>
      </c>
      <c r="L17" s="54" t="str">
        <f>IFERROR(VLOOKUP(MID(G17,J17,K17-J17),[6]skilldef!$C:$D,2,FALSE),"-") &amp; " / " &amp; IFERROR(VLOOKUP(MID(G17,H17,I17-H17),[6]skilldef!$A:$B,2,FALSE),"-")</f>
        <v>味方全体に / 種族キラー</v>
      </c>
      <c r="M17" s="54" t="str">
        <f t="shared" si="5"/>
        <v>none</v>
      </c>
      <c r="N17" s="39" t="str">
        <f t="shared" si="6"/>
        <v>none</v>
      </c>
      <c r="O17" s="54" t="e">
        <f t="shared" si="7"/>
        <v>#VALUE!</v>
      </c>
      <c r="P17" s="54">
        <f t="shared" si="8"/>
        <v>4</v>
      </c>
      <c r="Q17" s="54" t="e">
        <f t="shared" si="9"/>
        <v>#VALUE!</v>
      </c>
      <c r="R17" s="54" t="e">
        <f t="shared" si="10"/>
        <v>#VALUE!</v>
      </c>
      <c r="S17" s="54" t="str">
        <f>IFERROR(VLOOKUP(MID(N17,Q17,R17-Q17),[6]skilldef!$C:$D,2,FALSE),"-") &amp; " / " &amp; IFERROR(VLOOKUP(MID(N17,O17,P17-O17),[6]skilldef!$A:$B,2,FALSE),"-")</f>
        <v>- / -</v>
      </c>
      <c r="T17" s="39" t="str">
        <f t="shared" si="11"/>
        <v>none</v>
      </c>
      <c r="U17" s="54" t="e">
        <f t="shared" si="12"/>
        <v>#VALUE!</v>
      </c>
      <c r="V17" s="54">
        <f t="shared" si="13"/>
        <v>4</v>
      </c>
      <c r="W17" s="54" t="e">
        <f t="shared" si="14"/>
        <v>#VALUE!</v>
      </c>
      <c r="X17" s="54" t="e">
        <f t="shared" si="15"/>
        <v>#VALUE!</v>
      </c>
      <c r="Y17" s="54" t="str">
        <f>IFERROR(VLOOKUP(MID(T17,W17,X17-W17),[6]skilldef!$C:$D,2,FALSE),"-") &amp; " / " &amp; IFERROR(VLOOKUP(MID(T17,U17,V17-U17),[6]skilldef!$A:$B,2,FALSE),"-")</f>
        <v>- / -</v>
      </c>
      <c r="Z17" s="41"/>
      <c r="AA17" s="43"/>
      <c r="AB17" s="41"/>
    </row>
    <row r="18" spans="1:28" ht="21" customHeight="1" x14ac:dyDescent="0.15">
      <c r="A18" s="38">
        <v>41011017</v>
      </c>
      <c r="B18" s="38" t="s">
        <v>273</v>
      </c>
      <c r="C18" s="41">
        <v>3</v>
      </c>
      <c r="D18" s="41" t="s">
        <v>274</v>
      </c>
      <c r="E18" s="42" t="s">
        <v>275</v>
      </c>
      <c r="F18" s="42" t="s">
        <v>382</v>
      </c>
      <c r="G18" s="54" t="str">
        <f t="shared" si="0"/>
        <v>[effect:enhance_enemy, target:myself, turn:5, status:defense, val:2000, calc:add, animation:enemy_enhance_defense]</v>
      </c>
      <c r="H18" s="54">
        <f t="shared" si="1"/>
        <v>9</v>
      </c>
      <c r="I18" s="54">
        <f t="shared" si="2"/>
        <v>22</v>
      </c>
      <c r="J18" s="54">
        <f t="shared" si="3"/>
        <v>31</v>
      </c>
      <c r="K18" s="54">
        <f t="shared" si="4"/>
        <v>37</v>
      </c>
      <c r="L18" s="54" t="str">
        <f>IFERROR(VLOOKUP(MID(G18,J18,K18-J18),[6]skilldef!$C:$D,2,FALSE),"-") &amp; " / " &amp; IFERROR(VLOOKUP(MID(G18,H18,I18-H18),[6]skilldef!$A:$B,2,FALSE),"-")</f>
        <v>自分自身に / ステータス強化</v>
      </c>
      <c r="M18" s="54" t="str">
        <f t="shared" si="5"/>
        <v>none</v>
      </c>
      <c r="N18" s="39" t="str">
        <f t="shared" si="6"/>
        <v>none</v>
      </c>
      <c r="O18" s="54" t="e">
        <f t="shared" si="7"/>
        <v>#VALUE!</v>
      </c>
      <c r="P18" s="54">
        <f t="shared" si="8"/>
        <v>4</v>
      </c>
      <c r="Q18" s="54" t="e">
        <f t="shared" si="9"/>
        <v>#VALUE!</v>
      </c>
      <c r="R18" s="54" t="e">
        <f t="shared" si="10"/>
        <v>#VALUE!</v>
      </c>
      <c r="S18" s="54" t="str">
        <f>IFERROR(VLOOKUP(MID(N18,Q18,R18-Q18),[6]skilldef!$C:$D,2,FALSE),"-") &amp; " / " &amp; IFERROR(VLOOKUP(MID(N18,O18,P18-O18),[6]skilldef!$A:$B,2,FALSE),"-")</f>
        <v>- / -</v>
      </c>
      <c r="T18" s="39" t="str">
        <f t="shared" si="11"/>
        <v>none</v>
      </c>
      <c r="U18" s="54" t="e">
        <f t="shared" si="12"/>
        <v>#VALUE!</v>
      </c>
      <c r="V18" s="54">
        <f t="shared" si="13"/>
        <v>4</v>
      </c>
      <c r="W18" s="54" t="e">
        <f t="shared" si="14"/>
        <v>#VALUE!</v>
      </c>
      <c r="X18" s="54" t="e">
        <f t="shared" si="15"/>
        <v>#VALUE!</v>
      </c>
      <c r="Y18" s="54" t="str">
        <f>IFERROR(VLOOKUP(MID(T18,W18,X18-W18),[6]skilldef!$C:$D,2,FALSE),"-") &amp; " / " &amp; IFERROR(VLOOKUP(MID(T18,U18,V18-U18),[6]skilldef!$A:$B,2,FALSE),"-")</f>
        <v>- / -</v>
      </c>
      <c r="Z18" s="41"/>
      <c r="AA18" s="43"/>
      <c r="AB18" s="41"/>
    </row>
    <row r="19" spans="1:28" ht="21" customHeight="1" x14ac:dyDescent="0.15">
      <c r="A19" s="38">
        <v>41011018</v>
      </c>
      <c r="B19" s="38" t="s">
        <v>277</v>
      </c>
      <c r="C19" s="41">
        <v>3</v>
      </c>
      <c r="D19" s="41" t="s">
        <v>278</v>
      </c>
      <c r="E19" s="42" t="s">
        <v>279</v>
      </c>
      <c r="F19" s="42" t="s">
        <v>280</v>
      </c>
      <c r="G19" s="54" t="str">
        <f t="shared" si="0"/>
        <v>[effect:critical, val:1.5]</v>
      </c>
      <c r="H19" s="54">
        <f t="shared" si="1"/>
        <v>9</v>
      </c>
      <c r="I19" s="54">
        <f t="shared" si="2"/>
        <v>17</v>
      </c>
      <c r="J19" s="54" t="e">
        <f t="shared" si="3"/>
        <v>#VALUE!</v>
      </c>
      <c r="K19" s="54" t="e">
        <f t="shared" si="4"/>
        <v>#VALUE!</v>
      </c>
      <c r="L19" s="54" t="str">
        <f>IFERROR(VLOOKUP(MID(G19,J19,K19-J19),[6]skilldef!$C:$D,2,FALSE),"-") &amp; " / " &amp; IFERROR(VLOOKUP(MID(G19,H19,I19-H19),[6]skilldef!$A:$B,2,FALSE),"-")</f>
        <v>- / 大攻撃</v>
      </c>
      <c r="M19" s="54" t="str">
        <f t="shared" si="5"/>
        <v>none</v>
      </c>
      <c r="N19" s="39" t="str">
        <f t="shared" si="6"/>
        <v>none</v>
      </c>
      <c r="O19" s="54" t="e">
        <f t="shared" si="7"/>
        <v>#VALUE!</v>
      </c>
      <c r="P19" s="54">
        <f t="shared" si="8"/>
        <v>4</v>
      </c>
      <c r="Q19" s="54" t="e">
        <f t="shared" si="9"/>
        <v>#VALUE!</v>
      </c>
      <c r="R19" s="54" t="e">
        <f t="shared" si="10"/>
        <v>#VALUE!</v>
      </c>
      <c r="S19" s="54" t="str">
        <f>IFERROR(VLOOKUP(MID(N19,Q19,R19-Q19),[6]skilldef!$C:$D,2,FALSE),"-") &amp; " / " &amp; IFERROR(VLOOKUP(MID(N19,O19,P19-O19),[6]skilldef!$A:$B,2,FALSE),"-")</f>
        <v>- / -</v>
      </c>
      <c r="T19" s="39" t="str">
        <f t="shared" si="11"/>
        <v>none</v>
      </c>
      <c r="U19" s="54" t="e">
        <f t="shared" si="12"/>
        <v>#VALUE!</v>
      </c>
      <c r="V19" s="54">
        <f t="shared" si="13"/>
        <v>4</v>
      </c>
      <c r="W19" s="54" t="e">
        <f t="shared" si="14"/>
        <v>#VALUE!</v>
      </c>
      <c r="X19" s="54" t="e">
        <f t="shared" si="15"/>
        <v>#VALUE!</v>
      </c>
      <c r="Y19" s="54" t="str">
        <f>IFERROR(VLOOKUP(MID(T19,W19,X19-W19),[6]skilldef!$C:$D,2,FALSE),"-") &amp; " / " &amp; IFERROR(VLOOKUP(MID(T19,U19,V19-U19),[6]skilldef!$A:$B,2,FALSE),"-")</f>
        <v>- / -</v>
      </c>
      <c r="Z19" s="41"/>
      <c r="AA19" s="43"/>
      <c r="AB19" s="41"/>
    </row>
    <row r="20" spans="1:28" ht="21" customHeight="1" x14ac:dyDescent="0.15">
      <c r="A20" s="38">
        <v>41011019</v>
      </c>
      <c r="B20" s="38" t="s">
        <v>281</v>
      </c>
      <c r="C20" s="41">
        <v>3</v>
      </c>
      <c r="D20" s="41" t="s">
        <v>278</v>
      </c>
      <c r="E20" s="42" t="s">
        <v>282</v>
      </c>
      <c r="F20" s="42" t="s">
        <v>255</v>
      </c>
      <c r="G20" s="54" t="str">
        <f t="shared" si="0"/>
        <v>[effect:nothing]</v>
      </c>
      <c r="H20" s="54">
        <f t="shared" si="1"/>
        <v>9</v>
      </c>
      <c r="I20" s="54">
        <f t="shared" si="2"/>
        <v>16</v>
      </c>
      <c r="J20" s="54" t="e">
        <f t="shared" si="3"/>
        <v>#VALUE!</v>
      </c>
      <c r="K20" s="54" t="e">
        <f t="shared" si="4"/>
        <v>#VALUE!</v>
      </c>
      <c r="L20" s="54" t="str">
        <f>IFERROR(VLOOKUP(MID(G20,J20,K20-J20),[6]skilldef!$C:$D,2,FALSE),"-") &amp; " / " &amp; IFERROR(VLOOKUP(MID(G20,H20,I20-H20),[6]skilldef!$A:$B,2,FALSE),"-")</f>
        <v>- / 何もしない</v>
      </c>
      <c r="M20" s="54" t="str">
        <f t="shared" si="5"/>
        <v>none</v>
      </c>
      <c r="N20" s="39" t="str">
        <f t="shared" si="6"/>
        <v>none</v>
      </c>
      <c r="O20" s="54" t="e">
        <f t="shared" si="7"/>
        <v>#VALUE!</v>
      </c>
      <c r="P20" s="54">
        <f t="shared" si="8"/>
        <v>4</v>
      </c>
      <c r="Q20" s="54" t="e">
        <f t="shared" si="9"/>
        <v>#VALUE!</v>
      </c>
      <c r="R20" s="54" t="e">
        <f t="shared" si="10"/>
        <v>#VALUE!</v>
      </c>
      <c r="S20" s="54" t="str">
        <f>IFERROR(VLOOKUP(MID(N20,Q20,R20-Q20),[6]skilldef!$C:$D,2,FALSE),"-") &amp; " / " &amp; IFERROR(VLOOKUP(MID(N20,O20,P20-O20),[6]skilldef!$A:$B,2,FALSE),"-")</f>
        <v>- / -</v>
      </c>
      <c r="T20" s="39" t="str">
        <f t="shared" si="11"/>
        <v>none</v>
      </c>
      <c r="U20" s="54" t="e">
        <f t="shared" si="12"/>
        <v>#VALUE!</v>
      </c>
      <c r="V20" s="54">
        <f t="shared" si="13"/>
        <v>4</v>
      </c>
      <c r="W20" s="54" t="e">
        <f t="shared" si="14"/>
        <v>#VALUE!</v>
      </c>
      <c r="X20" s="54" t="e">
        <f t="shared" si="15"/>
        <v>#VALUE!</v>
      </c>
      <c r="Y20" s="54" t="str">
        <f>IFERROR(VLOOKUP(MID(T20,W20,X20-W20),[6]skilldef!$C:$D,2,FALSE),"-") &amp; " / " &amp; IFERROR(VLOOKUP(MID(T20,U20,V20-U20),[6]skilldef!$A:$B,2,FALSE),"-")</f>
        <v>- / -</v>
      </c>
      <c r="Z20" s="41"/>
      <c r="AA20" s="43"/>
      <c r="AB20" s="41"/>
    </row>
    <row r="21" spans="1:28" ht="21" customHeight="1" x14ac:dyDescent="0.15">
      <c r="A21" s="38">
        <v>41011020</v>
      </c>
      <c r="B21" s="38" t="s">
        <v>283</v>
      </c>
      <c r="C21" s="41">
        <v>3</v>
      </c>
      <c r="D21" s="41" t="s">
        <v>89</v>
      </c>
      <c r="E21" s="42" t="s">
        <v>282</v>
      </c>
      <c r="F21" s="42" t="s">
        <v>255</v>
      </c>
      <c r="G21" s="54" t="str">
        <f t="shared" si="0"/>
        <v>[effect:nothing]</v>
      </c>
      <c r="H21" s="54">
        <f t="shared" si="1"/>
        <v>9</v>
      </c>
      <c r="I21" s="54">
        <f t="shared" si="2"/>
        <v>16</v>
      </c>
      <c r="J21" s="54" t="e">
        <f t="shared" si="3"/>
        <v>#VALUE!</v>
      </c>
      <c r="K21" s="54" t="e">
        <f t="shared" si="4"/>
        <v>#VALUE!</v>
      </c>
      <c r="L21" s="54" t="str">
        <f>IFERROR(VLOOKUP(MID(G21,J21,K21-J21),[6]skilldef!$C:$D,2,FALSE),"-") &amp; " / " &amp; IFERROR(VLOOKUP(MID(G21,H21,I21-H21),[6]skilldef!$A:$B,2,FALSE),"-")</f>
        <v>- / 何もしない</v>
      </c>
      <c r="M21" s="54" t="str">
        <f t="shared" si="5"/>
        <v>none</v>
      </c>
      <c r="N21" s="39" t="str">
        <f t="shared" si="6"/>
        <v>none</v>
      </c>
      <c r="O21" s="54" t="e">
        <f t="shared" si="7"/>
        <v>#VALUE!</v>
      </c>
      <c r="P21" s="54">
        <f t="shared" si="8"/>
        <v>4</v>
      </c>
      <c r="Q21" s="54" t="e">
        <f t="shared" si="9"/>
        <v>#VALUE!</v>
      </c>
      <c r="R21" s="54" t="e">
        <f t="shared" si="10"/>
        <v>#VALUE!</v>
      </c>
      <c r="S21" s="54" t="str">
        <f>IFERROR(VLOOKUP(MID(N21,Q21,R21-Q21),[6]skilldef!$C:$D,2,FALSE),"-") &amp; " / " &amp; IFERROR(VLOOKUP(MID(N21,O21,P21-O21),[6]skilldef!$A:$B,2,FALSE),"-")</f>
        <v>- / -</v>
      </c>
      <c r="T21" s="39" t="str">
        <f t="shared" si="11"/>
        <v>none</v>
      </c>
      <c r="U21" s="54" t="e">
        <f t="shared" si="12"/>
        <v>#VALUE!</v>
      </c>
      <c r="V21" s="54">
        <f t="shared" si="13"/>
        <v>4</v>
      </c>
      <c r="W21" s="54" t="e">
        <f t="shared" si="14"/>
        <v>#VALUE!</v>
      </c>
      <c r="X21" s="54" t="e">
        <f t="shared" si="15"/>
        <v>#VALUE!</v>
      </c>
      <c r="Y21" s="54" t="str">
        <f>IFERROR(VLOOKUP(MID(T21,W21,X21-W21),[6]skilldef!$C:$D,2,FALSE),"-") &amp; " / " &amp; IFERROR(VLOOKUP(MID(T21,U21,V21-U21),[6]skilldef!$A:$B,2,FALSE),"-")</f>
        <v>- / -</v>
      </c>
      <c r="Z21" s="41"/>
      <c r="AA21" s="43"/>
      <c r="AB21" s="41"/>
    </row>
    <row r="22" spans="1:28" ht="21" customHeight="1" x14ac:dyDescent="0.15">
      <c r="A22" s="38">
        <v>41011021</v>
      </c>
      <c r="B22" s="38" t="s">
        <v>284</v>
      </c>
      <c r="C22" s="41">
        <v>3</v>
      </c>
      <c r="D22" s="41" t="s">
        <v>285</v>
      </c>
      <c r="E22" s="42" t="s">
        <v>286</v>
      </c>
      <c r="F22" s="42" t="s">
        <v>388</v>
      </c>
      <c r="G22" s="54" t="str">
        <f t="shared" si="0"/>
        <v>[effect:tolerance, target:myself, turn:-1, tolerance_effect:virus, count:-1]</v>
      </c>
      <c r="H22" s="54">
        <f t="shared" si="1"/>
        <v>9</v>
      </c>
      <c r="I22" s="54">
        <f t="shared" si="2"/>
        <v>18</v>
      </c>
      <c r="J22" s="54">
        <f t="shared" si="3"/>
        <v>27</v>
      </c>
      <c r="K22" s="54">
        <f t="shared" si="4"/>
        <v>33</v>
      </c>
      <c r="L22" s="54" t="str">
        <f>IFERROR(VLOOKUP(MID(G22,J22,K22-J22),[6]skilldef!$C:$D,2,FALSE),"-") &amp; " / " &amp; IFERROR(VLOOKUP(MID(G22,H22,I22-H22),[6]skilldef!$A:$B,2,FALSE),"-")</f>
        <v>自分自身に / 状態異常耐性</v>
      </c>
      <c r="M22" s="54" t="str">
        <f t="shared" si="5"/>
        <v>[effect:tolerance, target:myself, turn:-1, tolerance_effect:sleep, count:-1],[effect:tolerance, target:myself, turn:-1, tolerance_effect:hungup, count:-1, animation:enemy_tolerance],[effect:enemy_counter, target:myself, invoke_condition:unit_all, counter_target:attacker, turn:1, val:1.5, animation:enemy_counter]</v>
      </c>
      <c r="N22" s="39" t="str">
        <f t="shared" si="6"/>
        <v>[effect:tolerance, target:myself, turn:-1, tolerance_effect:sleep, count:-1],[effect:tolerance, target:myself, turn:-1, tolerance_effect:hungup, count:-1, animation:enemy_tolerance],[effect:enemy_counter, target:myself, invoke_condition:unit_all, counter_target:attacker, turn:1, val:1.5, animation:enemy_counter]</v>
      </c>
      <c r="O22" s="54">
        <f t="shared" si="7"/>
        <v>9</v>
      </c>
      <c r="P22" s="54">
        <f t="shared" si="8"/>
        <v>18</v>
      </c>
      <c r="Q22" s="54">
        <f t="shared" si="9"/>
        <v>27</v>
      </c>
      <c r="R22" s="54">
        <f t="shared" si="10"/>
        <v>33</v>
      </c>
      <c r="S22" s="54" t="str">
        <f>IFERROR(VLOOKUP(MID(N22,Q22,R22-Q22),[6]skilldef!$C:$D,2,FALSE),"-") &amp; " / " &amp; IFERROR(VLOOKUP(MID(N22,O22,P22-O22),[6]skilldef!$A:$B,2,FALSE),"-")</f>
        <v>自分自身に / 状態異常耐性</v>
      </c>
      <c r="T22" s="39" t="str">
        <f t="shared" si="11"/>
        <v>[effect:tolerance, target:myself, turn:-1, tolerance_effect:hungup, count:-1, animation:enemy_tolerance],[effect:enemy_counter, target:myself, invoke_condition:unit_all, counter_target:attacker, turn:1, val:1.5, animation:enemy_counter]</v>
      </c>
      <c r="U22" s="54">
        <f t="shared" si="12"/>
        <v>9</v>
      </c>
      <c r="V22" s="54">
        <f t="shared" si="13"/>
        <v>18</v>
      </c>
      <c r="W22" s="54">
        <f t="shared" si="14"/>
        <v>27</v>
      </c>
      <c r="X22" s="54">
        <f t="shared" si="15"/>
        <v>33</v>
      </c>
      <c r="Y22" s="54" t="str">
        <f>IFERROR(VLOOKUP(MID(T22,W22,X22-W22),[6]skilldef!$C:$D,2,FALSE),"-") &amp; " / " &amp; IFERROR(VLOOKUP(MID(T22,U22,V22-U22),[6]skilldef!$A:$B,2,FALSE),"-")</f>
        <v>自分自身に / 状態異常耐性</v>
      </c>
      <c r="Z22" s="41"/>
      <c r="AA22" s="43"/>
      <c r="AB22" s="41"/>
    </row>
    <row r="23" spans="1:28" ht="21" customHeight="1" x14ac:dyDescent="0.15">
      <c r="A23" s="38">
        <v>41011022</v>
      </c>
      <c r="B23" s="38" t="s">
        <v>271</v>
      </c>
      <c r="C23" s="41">
        <v>3</v>
      </c>
      <c r="D23" s="41" t="s">
        <v>146</v>
      </c>
      <c r="E23" s="42" t="s">
        <v>272</v>
      </c>
      <c r="F23" s="42" t="s">
        <v>386</v>
      </c>
      <c r="G23" s="54" t="str">
        <f t="shared" si="0"/>
        <v>[effect:damage_anti_tribe, target:unit_all, tribe:god, val1:0.7, val2:0.2]</v>
      </c>
      <c r="H23" s="54">
        <f t="shared" si="1"/>
        <v>9</v>
      </c>
      <c r="I23" s="54">
        <f t="shared" si="2"/>
        <v>26</v>
      </c>
      <c r="J23" s="54">
        <f t="shared" si="3"/>
        <v>35</v>
      </c>
      <c r="K23" s="54">
        <f t="shared" si="4"/>
        <v>43</v>
      </c>
      <c r="L23" s="54" t="str">
        <f>IFERROR(VLOOKUP(MID(G23,J23,K23-J23),[6]skilldef!$C:$D,2,FALSE),"-") &amp; " / " &amp; IFERROR(VLOOKUP(MID(G23,H23,I23-H23),[6]skilldef!$A:$B,2,FALSE),"-")</f>
        <v>味方全体に / 種族キラー</v>
      </c>
      <c r="M23" s="54" t="str">
        <f t="shared" si="5"/>
        <v>none</v>
      </c>
      <c r="N23" s="39" t="str">
        <f t="shared" si="6"/>
        <v>none</v>
      </c>
      <c r="O23" s="54" t="e">
        <f t="shared" si="7"/>
        <v>#VALUE!</v>
      </c>
      <c r="P23" s="54">
        <f t="shared" si="8"/>
        <v>4</v>
      </c>
      <c r="Q23" s="54" t="e">
        <f t="shared" si="9"/>
        <v>#VALUE!</v>
      </c>
      <c r="R23" s="54" t="e">
        <f t="shared" si="10"/>
        <v>#VALUE!</v>
      </c>
      <c r="S23" s="54" t="str">
        <f>IFERROR(VLOOKUP(MID(N23,Q23,R23-Q23),[6]skilldef!$C:$D,2,FALSE),"-") &amp; " / " &amp; IFERROR(VLOOKUP(MID(N23,O23,P23-O23),[6]skilldef!$A:$B,2,FALSE),"-")</f>
        <v>- / -</v>
      </c>
      <c r="T23" s="39" t="str">
        <f t="shared" si="11"/>
        <v>none</v>
      </c>
      <c r="U23" s="54" t="e">
        <f t="shared" si="12"/>
        <v>#VALUE!</v>
      </c>
      <c r="V23" s="54">
        <f t="shared" si="13"/>
        <v>4</v>
      </c>
      <c r="W23" s="54" t="e">
        <f t="shared" si="14"/>
        <v>#VALUE!</v>
      </c>
      <c r="X23" s="54" t="e">
        <f t="shared" si="15"/>
        <v>#VALUE!</v>
      </c>
      <c r="Y23" s="54" t="str">
        <f>IFERROR(VLOOKUP(MID(T23,W23,X23-W23),[6]skilldef!$C:$D,2,FALSE),"-") &amp; " / " &amp; IFERROR(VLOOKUP(MID(T23,U23,V23-U23),[6]skilldef!$A:$B,2,FALSE),"-")</f>
        <v>- / -</v>
      </c>
      <c r="Z23" s="41"/>
      <c r="AA23" s="43"/>
      <c r="AB23" s="41"/>
    </row>
    <row r="24" spans="1:28" ht="21" customHeight="1" x14ac:dyDescent="0.15">
      <c r="A24" s="38">
        <v>41011023</v>
      </c>
      <c r="B24" s="38" t="s">
        <v>287</v>
      </c>
      <c r="C24" s="41">
        <v>3</v>
      </c>
      <c r="D24" s="41" t="s">
        <v>146</v>
      </c>
      <c r="E24" s="42" t="s">
        <v>288</v>
      </c>
      <c r="F24" s="42" t="s">
        <v>383</v>
      </c>
      <c r="G24" s="54" t="str">
        <f t="shared" si="0"/>
        <v>[effect:enhance_enemy, target:myself, turn:3, status:attack, val:1.2, calc:mul, animation:enemy_enhance_attack]</v>
      </c>
      <c r="H24" s="54">
        <f t="shared" si="1"/>
        <v>9</v>
      </c>
      <c r="I24" s="54">
        <f t="shared" si="2"/>
        <v>22</v>
      </c>
      <c r="J24" s="54">
        <f t="shared" si="3"/>
        <v>31</v>
      </c>
      <c r="K24" s="54">
        <f t="shared" si="4"/>
        <v>37</v>
      </c>
      <c r="L24" s="54" t="str">
        <f>IFERROR(VLOOKUP(MID(G24,J24,K24-J24),[6]skilldef!$C:$D,2,FALSE),"-") &amp; " / " &amp; IFERROR(VLOOKUP(MID(G24,H24,I24-H24),[6]skilldef!$A:$B,2,FALSE),"-")</f>
        <v>自分自身に / ステータス強化</v>
      </c>
      <c r="M24" s="54" t="str">
        <f t="shared" si="5"/>
        <v>none</v>
      </c>
      <c r="N24" s="39" t="str">
        <f t="shared" si="6"/>
        <v>none</v>
      </c>
      <c r="O24" s="54" t="e">
        <f t="shared" si="7"/>
        <v>#VALUE!</v>
      </c>
      <c r="P24" s="54">
        <f t="shared" si="8"/>
        <v>4</v>
      </c>
      <c r="Q24" s="54" t="e">
        <f t="shared" si="9"/>
        <v>#VALUE!</v>
      </c>
      <c r="R24" s="54" t="e">
        <f t="shared" si="10"/>
        <v>#VALUE!</v>
      </c>
      <c r="S24" s="54" t="str">
        <f>IFERROR(VLOOKUP(MID(N24,Q24,R24-Q24),[6]skilldef!$C:$D,2,FALSE),"-") &amp; " / " &amp; IFERROR(VLOOKUP(MID(N24,O24,P24-O24),[6]skilldef!$A:$B,2,FALSE),"-")</f>
        <v>- / -</v>
      </c>
      <c r="T24" s="39" t="str">
        <f t="shared" si="11"/>
        <v>none</v>
      </c>
      <c r="U24" s="54" t="e">
        <f t="shared" si="12"/>
        <v>#VALUE!</v>
      </c>
      <c r="V24" s="54">
        <f t="shared" si="13"/>
        <v>4</v>
      </c>
      <c r="W24" s="54" t="e">
        <f t="shared" si="14"/>
        <v>#VALUE!</v>
      </c>
      <c r="X24" s="54" t="e">
        <f t="shared" si="15"/>
        <v>#VALUE!</v>
      </c>
      <c r="Y24" s="54" t="str">
        <f>IFERROR(VLOOKUP(MID(T24,W24,X24-W24),[6]skilldef!$C:$D,2,FALSE),"-") &amp; " / " &amp; IFERROR(VLOOKUP(MID(T24,U24,V24-U24),[6]skilldef!$A:$B,2,FALSE),"-")</f>
        <v>- / -</v>
      </c>
      <c r="Z24" s="41"/>
      <c r="AA24" s="43"/>
      <c r="AB24" s="41"/>
    </row>
    <row r="25" spans="1:28" ht="21" customHeight="1" x14ac:dyDescent="0.15">
      <c r="A25" s="38">
        <v>41011024</v>
      </c>
      <c r="B25" s="38" t="s">
        <v>289</v>
      </c>
      <c r="C25" s="41">
        <v>3</v>
      </c>
      <c r="D25" s="41" t="s">
        <v>146</v>
      </c>
      <c r="E25" s="42" t="s">
        <v>290</v>
      </c>
      <c r="F25" s="42" t="s">
        <v>358</v>
      </c>
      <c r="G25" s="54" t="str">
        <f t="shared" si="0"/>
        <v>[effect:rush, count:3, val:0.4]</v>
      </c>
      <c r="H25" s="54">
        <f t="shared" si="1"/>
        <v>9</v>
      </c>
      <c r="I25" s="54">
        <f t="shared" si="2"/>
        <v>13</v>
      </c>
      <c r="J25" s="54" t="e">
        <f t="shared" si="3"/>
        <v>#VALUE!</v>
      </c>
      <c r="K25" s="54">
        <f t="shared" si="4"/>
        <v>22</v>
      </c>
      <c r="L25" s="54" t="str">
        <f>IFERROR(VLOOKUP(MID(G25,J25,K25-J25),[6]skilldef!$C:$D,2,FALSE),"-") &amp; " / " &amp; IFERROR(VLOOKUP(MID(G25,H25,I25-H25),[6]skilldef!$A:$B,2,FALSE),"-")</f>
        <v>- / 連続攻撃</v>
      </c>
      <c r="M25" s="54" t="str">
        <f t="shared" si="5"/>
        <v>none</v>
      </c>
      <c r="N25" s="39" t="str">
        <f t="shared" si="6"/>
        <v>none</v>
      </c>
      <c r="O25" s="54" t="e">
        <f t="shared" si="7"/>
        <v>#VALUE!</v>
      </c>
      <c r="P25" s="54">
        <f t="shared" si="8"/>
        <v>4</v>
      </c>
      <c r="Q25" s="54" t="e">
        <f t="shared" si="9"/>
        <v>#VALUE!</v>
      </c>
      <c r="R25" s="54" t="e">
        <f t="shared" si="10"/>
        <v>#VALUE!</v>
      </c>
      <c r="S25" s="54" t="str">
        <f>IFERROR(VLOOKUP(MID(N25,Q25,R25-Q25),[6]skilldef!$C:$D,2,FALSE),"-") &amp; " / " &amp; IFERROR(VLOOKUP(MID(N25,O25,P25-O25),[6]skilldef!$A:$B,2,FALSE),"-")</f>
        <v>- / -</v>
      </c>
      <c r="T25" s="39" t="str">
        <f t="shared" si="11"/>
        <v>none</v>
      </c>
      <c r="U25" s="54" t="e">
        <f t="shared" si="12"/>
        <v>#VALUE!</v>
      </c>
      <c r="V25" s="54">
        <f t="shared" si="13"/>
        <v>4</v>
      </c>
      <c r="W25" s="54" t="e">
        <f t="shared" si="14"/>
        <v>#VALUE!</v>
      </c>
      <c r="X25" s="54" t="e">
        <f t="shared" si="15"/>
        <v>#VALUE!</v>
      </c>
      <c r="Y25" s="54" t="str">
        <f>IFERROR(VLOOKUP(MID(T25,W25,X25-W25),[6]skilldef!$C:$D,2,FALSE),"-") &amp; " / " &amp; IFERROR(VLOOKUP(MID(T25,U25,V25-U25),[6]skilldef!$A:$B,2,FALSE),"-")</f>
        <v>- / -</v>
      </c>
      <c r="Z25" s="41"/>
      <c r="AA25" s="43"/>
      <c r="AB25" s="41"/>
    </row>
    <row r="26" spans="1:28" ht="21" customHeight="1" x14ac:dyDescent="0.15">
      <c r="A26" s="38">
        <v>41011025</v>
      </c>
      <c r="B26" s="38" t="s">
        <v>253</v>
      </c>
      <c r="C26" s="41">
        <v>3</v>
      </c>
      <c r="D26" s="41" t="s">
        <v>146</v>
      </c>
      <c r="E26" s="42" t="s">
        <v>291</v>
      </c>
      <c r="F26" s="42" t="s">
        <v>255</v>
      </c>
      <c r="G26" s="54" t="str">
        <f t="shared" si="0"/>
        <v>[effect:nothing]</v>
      </c>
      <c r="H26" s="54">
        <f t="shared" si="1"/>
        <v>9</v>
      </c>
      <c r="I26" s="54">
        <f t="shared" si="2"/>
        <v>16</v>
      </c>
      <c r="J26" s="54" t="e">
        <f t="shared" si="3"/>
        <v>#VALUE!</v>
      </c>
      <c r="K26" s="54" t="e">
        <f t="shared" si="4"/>
        <v>#VALUE!</v>
      </c>
      <c r="L26" s="54" t="str">
        <f>IFERROR(VLOOKUP(MID(G26,J26,K26-J26),[6]skilldef!$C:$D,2,FALSE),"-") &amp; " / " &amp; IFERROR(VLOOKUP(MID(G26,H26,I26-H26),[6]skilldef!$A:$B,2,FALSE),"-")</f>
        <v>- / 何もしない</v>
      </c>
      <c r="M26" s="54" t="str">
        <f t="shared" si="5"/>
        <v>none</v>
      </c>
      <c r="N26" s="39" t="str">
        <f t="shared" si="6"/>
        <v>none</v>
      </c>
      <c r="O26" s="54" t="e">
        <f t="shared" si="7"/>
        <v>#VALUE!</v>
      </c>
      <c r="P26" s="54">
        <f t="shared" si="8"/>
        <v>4</v>
      </c>
      <c r="Q26" s="54" t="e">
        <f t="shared" si="9"/>
        <v>#VALUE!</v>
      </c>
      <c r="R26" s="54" t="e">
        <f t="shared" si="10"/>
        <v>#VALUE!</v>
      </c>
      <c r="S26" s="54" t="str">
        <f>IFERROR(VLOOKUP(MID(N26,Q26,R26-Q26),[6]skilldef!$C:$D,2,FALSE),"-") &amp; " / " &amp; IFERROR(VLOOKUP(MID(N26,O26,P26-O26),[6]skilldef!$A:$B,2,FALSE),"-")</f>
        <v>- / -</v>
      </c>
      <c r="T26" s="39" t="str">
        <f t="shared" si="11"/>
        <v>none</v>
      </c>
      <c r="U26" s="54" t="e">
        <f t="shared" si="12"/>
        <v>#VALUE!</v>
      </c>
      <c r="V26" s="54">
        <f t="shared" si="13"/>
        <v>4</v>
      </c>
      <c r="W26" s="54" t="e">
        <f t="shared" si="14"/>
        <v>#VALUE!</v>
      </c>
      <c r="X26" s="54" t="e">
        <f t="shared" si="15"/>
        <v>#VALUE!</v>
      </c>
      <c r="Y26" s="54" t="str">
        <f>IFERROR(VLOOKUP(MID(T26,W26,X26-W26),[6]skilldef!$C:$D,2,FALSE),"-") &amp; " / " &amp; IFERROR(VLOOKUP(MID(T26,U26,V26-U26),[6]skilldef!$A:$B,2,FALSE),"-")</f>
        <v>- / -</v>
      </c>
      <c r="Z26" s="41"/>
      <c r="AA26" s="43"/>
      <c r="AB26" s="41"/>
    </row>
    <row r="27" spans="1:28" ht="21" customHeight="1" x14ac:dyDescent="0.15">
      <c r="A27" s="38">
        <v>41011026</v>
      </c>
      <c r="B27" s="38" t="s">
        <v>276</v>
      </c>
      <c r="C27" s="41">
        <v>3</v>
      </c>
      <c r="D27" s="41" t="s">
        <v>146</v>
      </c>
      <c r="E27" s="42" t="s">
        <v>292</v>
      </c>
      <c r="F27" s="42" t="s">
        <v>280</v>
      </c>
      <c r="G27" s="54" t="str">
        <f t="shared" si="0"/>
        <v>[effect:critical, val:1.5]</v>
      </c>
      <c r="H27" s="54">
        <f t="shared" si="1"/>
        <v>9</v>
      </c>
      <c r="I27" s="54">
        <f t="shared" si="2"/>
        <v>17</v>
      </c>
      <c r="J27" s="54" t="e">
        <f t="shared" si="3"/>
        <v>#VALUE!</v>
      </c>
      <c r="K27" s="54" t="e">
        <f t="shared" si="4"/>
        <v>#VALUE!</v>
      </c>
      <c r="L27" s="54" t="str">
        <f>IFERROR(VLOOKUP(MID(G27,J27,K27-J27),[6]skilldef!$C:$D,2,FALSE),"-") &amp; " / " &amp; IFERROR(VLOOKUP(MID(G27,H27,I27-H27),[6]skilldef!$A:$B,2,FALSE),"-")</f>
        <v>- / 大攻撃</v>
      </c>
      <c r="M27" s="54" t="str">
        <f t="shared" si="5"/>
        <v>none</v>
      </c>
      <c r="N27" s="39" t="str">
        <f t="shared" si="6"/>
        <v>none</v>
      </c>
      <c r="O27" s="54" t="e">
        <f t="shared" si="7"/>
        <v>#VALUE!</v>
      </c>
      <c r="P27" s="54">
        <f t="shared" si="8"/>
        <v>4</v>
      </c>
      <c r="Q27" s="54" t="e">
        <f t="shared" si="9"/>
        <v>#VALUE!</v>
      </c>
      <c r="R27" s="54" t="e">
        <f t="shared" si="10"/>
        <v>#VALUE!</v>
      </c>
      <c r="S27" s="54" t="str">
        <f>IFERROR(VLOOKUP(MID(N27,Q27,R27-Q27),[6]skilldef!$C:$D,2,FALSE),"-") &amp; " / " &amp; IFERROR(VLOOKUP(MID(N27,O27,P27-O27),[6]skilldef!$A:$B,2,FALSE),"-")</f>
        <v>- / -</v>
      </c>
      <c r="T27" s="39" t="str">
        <f t="shared" si="11"/>
        <v>none</v>
      </c>
      <c r="U27" s="54" t="e">
        <f t="shared" si="12"/>
        <v>#VALUE!</v>
      </c>
      <c r="V27" s="54">
        <f t="shared" si="13"/>
        <v>4</v>
      </c>
      <c r="W27" s="54" t="e">
        <f t="shared" si="14"/>
        <v>#VALUE!</v>
      </c>
      <c r="X27" s="54" t="e">
        <f t="shared" si="15"/>
        <v>#VALUE!</v>
      </c>
      <c r="Y27" s="54" t="str">
        <f>IFERROR(VLOOKUP(MID(T27,W27,X27-W27),[6]skilldef!$C:$D,2,FALSE),"-") &amp; " / " &amp; IFERROR(VLOOKUP(MID(T27,U27,V27-U27),[6]skilldef!$A:$B,2,FALSE),"-")</f>
        <v>- / -</v>
      </c>
      <c r="Z27" s="41"/>
      <c r="AA27" s="43"/>
      <c r="AB27" s="41"/>
    </row>
    <row r="28" spans="1:28" ht="21" customHeight="1" x14ac:dyDescent="0.15">
      <c r="A28" s="38">
        <v>41011027</v>
      </c>
      <c r="B28" s="38" t="s">
        <v>253</v>
      </c>
      <c r="C28" s="41">
        <v>3</v>
      </c>
      <c r="D28" s="41" t="s">
        <v>146</v>
      </c>
      <c r="E28" s="42" t="s">
        <v>293</v>
      </c>
      <c r="F28" s="42" t="s">
        <v>255</v>
      </c>
      <c r="G28" s="54" t="str">
        <f t="shared" si="0"/>
        <v>[effect:nothing]</v>
      </c>
      <c r="H28" s="54">
        <f t="shared" si="1"/>
        <v>9</v>
      </c>
      <c r="I28" s="54">
        <f t="shared" si="2"/>
        <v>16</v>
      </c>
      <c r="J28" s="54" t="e">
        <f t="shared" si="3"/>
        <v>#VALUE!</v>
      </c>
      <c r="K28" s="54" t="e">
        <f t="shared" si="4"/>
        <v>#VALUE!</v>
      </c>
      <c r="L28" s="54" t="str">
        <f>IFERROR(VLOOKUP(MID(G28,J28,K28-J28),[6]skilldef!$C:$D,2,FALSE),"-") &amp; " / " &amp; IFERROR(VLOOKUP(MID(G28,H28,I28-H28),[6]skilldef!$A:$B,2,FALSE),"-")</f>
        <v>- / 何もしない</v>
      </c>
      <c r="M28" s="54" t="str">
        <f t="shared" si="5"/>
        <v>none</v>
      </c>
      <c r="N28" s="39" t="str">
        <f t="shared" si="6"/>
        <v>none</v>
      </c>
      <c r="O28" s="54" t="e">
        <f t="shared" si="7"/>
        <v>#VALUE!</v>
      </c>
      <c r="P28" s="54">
        <f t="shared" si="8"/>
        <v>4</v>
      </c>
      <c r="Q28" s="54" t="e">
        <f t="shared" si="9"/>
        <v>#VALUE!</v>
      </c>
      <c r="R28" s="54" t="e">
        <f t="shared" si="10"/>
        <v>#VALUE!</v>
      </c>
      <c r="S28" s="54" t="str">
        <f>IFERROR(VLOOKUP(MID(N28,Q28,R28-Q28),[6]skilldef!$C:$D,2,FALSE),"-") &amp; " / " &amp; IFERROR(VLOOKUP(MID(N28,O28,P28-O28),[6]skilldef!$A:$B,2,FALSE),"-")</f>
        <v>- / -</v>
      </c>
      <c r="T28" s="39" t="str">
        <f t="shared" si="11"/>
        <v>none</v>
      </c>
      <c r="U28" s="54" t="e">
        <f t="shared" si="12"/>
        <v>#VALUE!</v>
      </c>
      <c r="V28" s="54">
        <f t="shared" si="13"/>
        <v>4</v>
      </c>
      <c r="W28" s="54" t="e">
        <f t="shared" si="14"/>
        <v>#VALUE!</v>
      </c>
      <c r="X28" s="54" t="e">
        <f t="shared" si="15"/>
        <v>#VALUE!</v>
      </c>
      <c r="Y28" s="54" t="str">
        <f>IFERROR(VLOOKUP(MID(T28,W28,X28-W28),[6]skilldef!$C:$D,2,FALSE),"-") &amp; " / " &amp; IFERROR(VLOOKUP(MID(T28,U28,V28-U28),[6]skilldef!$A:$B,2,FALSE),"-")</f>
        <v>- / -</v>
      </c>
      <c r="Z28" s="41"/>
      <c r="AA28" s="43"/>
      <c r="AB28" s="41"/>
    </row>
    <row r="29" spans="1:28" ht="21" customHeight="1" x14ac:dyDescent="0.15">
      <c r="A29" s="38">
        <v>41011028</v>
      </c>
      <c r="B29" s="38" t="s">
        <v>253</v>
      </c>
      <c r="C29" s="41">
        <v>3</v>
      </c>
      <c r="D29" s="41" t="s">
        <v>146</v>
      </c>
      <c r="E29" s="42" t="s">
        <v>293</v>
      </c>
      <c r="F29" s="42" t="s">
        <v>255</v>
      </c>
      <c r="G29" s="54" t="str">
        <f t="shared" si="0"/>
        <v>[effect:nothing]</v>
      </c>
      <c r="H29" s="54">
        <f t="shared" si="1"/>
        <v>9</v>
      </c>
      <c r="I29" s="54">
        <f t="shared" si="2"/>
        <v>16</v>
      </c>
      <c r="J29" s="54" t="e">
        <f t="shared" si="3"/>
        <v>#VALUE!</v>
      </c>
      <c r="K29" s="54" t="e">
        <f t="shared" si="4"/>
        <v>#VALUE!</v>
      </c>
      <c r="L29" s="54" t="str">
        <f>IFERROR(VLOOKUP(MID(G29,J29,K29-J29),[6]skilldef!$C:$D,2,FALSE),"-") &amp; " / " &amp; IFERROR(VLOOKUP(MID(G29,H29,I29-H29),[6]skilldef!$A:$B,2,FALSE),"-")</f>
        <v>- / 何もしない</v>
      </c>
      <c r="M29" s="54" t="str">
        <f t="shared" si="5"/>
        <v>none</v>
      </c>
      <c r="N29" s="39" t="str">
        <f t="shared" si="6"/>
        <v>none</v>
      </c>
      <c r="O29" s="54" t="e">
        <f t="shared" si="7"/>
        <v>#VALUE!</v>
      </c>
      <c r="P29" s="54">
        <f t="shared" si="8"/>
        <v>4</v>
      </c>
      <c r="Q29" s="54" t="e">
        <f t="shared" si="9"/>
        <v>#VALUE!</v>
      </c>
      <c r="R29" s="54" t="e">
        <f t="shared" si="10"/>
        <v>#VALUE!</v>
      </c>
      <c r="S29" s="54" t="str">
        <f>IFERROR(VLOOKUP(MID(N29,Q29,R29-Q29),[6]skilldef!$C:$D,2,FALSE),"-") &amp; " / " &amp; IFERROR(VLOOKUP(MID(N29,O29,P29-O29),[6]skilldef!$A:$B,2,FALSE),"-")</f>
        <v>- / -</v>
      </c>
      <c r="T29" s="39" t="str">
        <f t="shared" si="11"/>
        <v>none</v>
      </c>
      <c r="U29" s="54" t="e">
        <f t="shared" si="12"/>
        <v>#VALUE!</v>
      </c>
      <c r="V29" s="54">
        <f t="shared" si="13"/>
        <v>4</v>
      </c>
      <c r="W29" s="54" t="e">
        <f t="shared" si="14"/>
        <v>#VALUE!</v>
      </c>
      <c r="X29" s="54" t="e">
        <f t="shared" si="15"/>
        <v>#VALUE!</v>
      </c>
      <c r="Y29" s="54" t="str">
        <f>IFERROR(VLOOKUP(MID(T29,W29,X29-W29),[6]skilldef!$C:$D,2,FALSE),"-") &amp; " / " &amp; IFERROR(VLOOKUP(MID(T29,U29,V29-U29),[6]skilldef!$A:$B,2,FALSE),"-")</f>
        <v>- / -</v>
      </c>
      <c r="Z29" s="41"/>
      <c r="AA29" s="43"/>
      <c r="AB29" s="41"/>
    </row>
    <row r="30" spans="1:28" ht="21" customHeight="1" x14ac:dyDescent="0.15">
      <c r="A30" s="38">
        <v>41011029</v>
      </c>
      <c r="B30" s="38" t="s">
        <v>253</v>
      </c>
      <c r="C30" s="41">
        <v>3</v>
      </c>
      <c r="D30" s="41" t="s">
        <v>146</v>
      </c>
      <c r="E30" s="42" t="s">
        <v>293</v>
      </c>
      <c r="F30" s="42" t="s">
        <v>255</v>
      </c>
      <c r="G30" s="54" t="str">
        <f t="shared" si="0"/>
        <v>[effect:nothing]</v>
      </c>
      <c r="H30" s="54">
        <f t="shared" si="1"/>
        <v>9</v>
      </c>
      <c r="I30" s="54">
        <f t="shared" si="2"/>
        <v>16</v>
      </c>
      <c r="J30" s="54" t="e">
        <f t="shared" si="3"/>
        <v>#VALUE!</v>
      </c>
      <c r="K30" s="54" t="e">
        <f t="shared" si="4"/>
        <v>#VALUE!</v>
      </c>
      <c r="L30" s="54" t="str">
        <f>IFERROR(VLOOKUP(MID(G30,J30,K30-J30),[6]skilldef!$C:$D,2,FALSE),"-") &amp; " / " &amp; IFERROR(VLOOKUP(MID(G30,H30,I30-H30),[6]skilldef!$A:$B,2,FALSE),"-")</f>
        <v>- / 何もしない</v>
      </c>
      <c r="M30" s="54" t="str">
        <f t="shared" si="5"/>
        <v>none</v>
      </c>
      <c r="N30" s="39" t="str">
        <f t="shared" si="6"/>
        <v>none</v>
      </c>
      <c r="O30" s="54" t="e">
        <f t="shared" si="7"/>
        <v>#VALUE!</v>
      </c>
      <c r="P30" s="54">
        <f t="shared" si="8"/>
        <v>4</v>
      </c>
      <c r="Q30" s="54" t="e">
        <f t="shared" si="9"/>
        <v>#VALUE!</v>
      </c>
      <c r="R30" s="54" t="e">
        <f t="shared" si="10"/>
        <v>#VALUE!</v>
      </c>
      <c r="S30" s="54" t="str">
        <f>IFERROR(VLOOKUP(MID(N30,Q30,R30-Q30),[6]skilldef!$C:$D,2,FALSE),"-") &amp; " / " &amp; IFERROR(VLOOKUP(MID(N30,O30,P30-O30),[6]skilldef!$A:$B,2,FALSE),"-")</f>
        <v>- / -</v>
      </c>
      <c r="T30" s="39" t="str">
        <f t="shared" si="11"/>
        <v>none</v>
      </c>
      <c r="U30" s="54" t="e">
        <f t="shared" si="12"/>
        <v>#VALUE!</v>
      </c>
      <c r="V30" s="54">
        <f t="shared" si="13"/>
        <v>4</v>
      </c>
      <c r="W30" s="54" t="e">
        <f t="shared" si="14"/>
        <v>#VALUE!</v>
      </c>
      <c r="X30" s="54" t="e">
        <f t="shared" si="15"/>
        <v>#VALUE!</v>
      </c>
      <c r="Y30" s="54" t="str">
        <f>IFERROR(VLOOKUP(MID(T30,W30,X30-W30),[6]skilldef!$C:$D,2,FALSE),"-") &amp; " / " &amp; IFERROR(VLOOKUP(MID(T30,U30,V30-U30),[6]skilldef!$A:$B,2,FALSE),"-")</f>
        <v>- / -</v>
      </c>
      <c r="Z30" s="41"/>
      <c r="AA30" s="43"/>
      <c r="AB30" s="41"/>
    </row>
    <row r="31" spans="1:28" ht="21" customHeight="1" x14ac:dyDescent="0.15">
      <c r="A31" s="38">
        <v>41011030</v>
      </c>
      <c r="B31" s="38" t="s">
        <v>253</v>
      </c>
      <c r="C31" s="41">
        <v>3</v>
      </c>
      <c r="D31" s="41" t="s">
        <v>146</v>
      </c>
      <c r="E31" s="42" t="s">
        <v>293</v>
      </c>
      <c r="F31" s="42" t="s">
        <v>255</v>
      </c>
      <c r="G31" s="54" t="str">
        <f t="shared" si="0"/>
        <v>[effect:nothing]</v>
      </c>
      <c r="H31" s="54">
        <f t="shared" si="1"/>
        <v>9</v>
      </c>
      <c r="I31" s="54">
        <f t="shared" si="2"/>
        <v>16</v>
      </c>
      <c r="J31" s="54" t="e">
        <f t="shared" si="3"/>
        <v>#VALUE!</v>
      </c>
      <c r="K31" s="54" t="e">
        <f t="shared" si="4"/>
        <v>#VALUE!</v>
      </c>
      <c r="L31" s="54" t="str">
        <f>IFERROR(VLOOKUP(MID(G31,J31,K31-J31),[6]skilldef!$C:$D,2,FALSE),"-") &amp; " / " &amp; IFERROR(VLOOKUP(MID(G31,H31,I31-H31),[6]skilldef!$A:$B,2,FALSE),"-")</f>
        <v>- / 何もしない</v>
      </c>
      <c r="M31" s="54" t="str">
        <f t="shared" si="5"/>
        <v>none</v>
      </c>
      <c r="N31" s="39" t="str">
        <f t="shared" si="6"/>
        <v>none</v>
      </c>
      <c r="O31" s="54" t="e">
        <f t="shared" si="7"/>
        <v>#VALUE!</v>
      </c>
      <c r="P31" s="54">
        <f t="shared" si="8"/>
        <v>4</v>
      </c>
      <c r="Q31" s="54" t="e">
        <f t="shared" si="9"/>
        <v>#VALUE!</v>
      </c>
      <c r="R31" s="54" t="e">
        <f t="shared" si="10"/>
        <v>#VALUE!</v>
      </c>
      <c r="S31" s="54" t="str">
        <f>IFERROR(VLOOKUP(MID(N31,Q31,R31-Q31),[6]skilldef!$C:$D,2,FALSE),"-") &amp; " / " &amp; IFERROR(VLOOKUP(MID(N31,O31,P31-O31),[6]skilldef!$A:$B,2,FALSE),"-")</f>
        <v>- / -</v>
      </c>
      <c r="T31" s="39" t="str">
        <f t="shared" si="11"/>
        <v>none</v>
      </c>
      <c r="U31" s="54" t="e">
        <f t="shared" si="12"/>
        <v>#VALUE!</v>
      </c>
      <c r="V31" s="54">
        <f t="shared" si="13"/>
        <v>4</v>
      </c>
      <c r="W31" s="54" t="e">
        <f t="shared" si="14"/>
        <v>#VALUE!</v>
      </c>
      <c r="X31" s="54" t="e">
        <f t="shared" si="15"/>
        <v>#VALUE!</v>
      </c>
      <c r="Y31" s="54" t="str">
        <f>IFERROR(VLOOKUP(MID(T31,W31,X31-W31),[6]skilldef!$C:$D,2,FALSE),"-") &amp; " / " &amp; IFERROR(VLOOKUP(MID(T31,U31,V31-U31),[6]skilldef!$A:$B,2,FALSE),"-")</f>
        <v>- / -</v>
      </c>
      <c r="Z31" s="41"/>
      <c r="AA31" s="43"/>
      <c r="AB31" s="41"/>
    </row>
    <row r="32" spans="1:28" ht="21" customHeight="1" x14ac:dyDescent="0.15">
      <c r="A32" s="38">
        <v>41011031</v>
      </c>
      <c r="B32" s="38" t="s">
        <v>294</v>
      </c>
      <c r="C32" s="41">
        <v>3</v>
      </c>
      <c r="D32" s="41" t="s">
        <v>146</v>
      </c>
      <c r="E32" s="42" t="s">
        <v>295</v>
      </c>
      <c r="F32" s="42" t="s">
        <v>381</v>
      </c>
      <c r="G32" s="54" t="str">
        <f t="shared" si="0"/>
        <v>[effect:virus, turn:-1, rate:1, val:0.05, animation:enemy_virus]</v>
      </c>
      <c r="H32" s="54">
        <f t="shared" si="1"/>
        <v>9</v>
      </c>
      <c r="I32" s="54">
        <f t="shared" si="2"/>
        <v>14</v>
      </c>
      <c r="J32" s="54" t="e">
        <f t="shared" si="3"/>
        <v>#VALUE!</v>
      </c>
      <c r="K32" s="54">
        <f t="shared" si="4"/>
        <v>23</v>
      </c>
      <c r="L32" s="54" t="str">
        <f>IFERROR(VLOOKUP(MID(G32,J32,K32-J32),[6]skilldef!$C:$D,2,FALSE),"-") &amp; " / " &amp; IFERROR(VLOOKUP(MID(G32,H32,I32-H32),[6]skilldef!$A:$B,2,FALSE),"-")</f>
        <v>- / ウィルス</v>
      </c>
      <c r="M32" s="54" t="str">
        <f t="shared" si="5"/>
        <v>none</v>
      </c>
      <c r="N32" s="39" t="str">
        <f t="shared" si="6"/>
        <v>none</v>
      </c>
      <c r="O32" s="54" t="e">
        <f t="shared" si="7"/>
        <v>#VALUE!</v>
      </c>
      <c r="P32" s="54">
        <f t="shared" si="8"/>
        <v>4</v>
      </c>
      <c r="Q32" s="54" t="e">
        <f t="shared" si="9"/>
        <v>#VALUE!</v>
      </c>
      <c r="R32" s="54" t="e">
        <f t="shared" si="10"/>
        <v>#VALUE!</v>
      </c>
      <c r="S32" s="54" t="str">
        <f>IFERROR(VLOOKUP(MID(N32,Q32,R32-Q32),[6]skilldef!$C:$D,2,FALSE),"-") &amp; " / " &amp; IFERROR(VLOOKUP(MID(N32,O32,P32-O32),[6]skilldef!$A:$B,2,FALSE),"-")</f>
        <v>- / -</v>
      </c>
      <c r="T32" s="39" t="str">
        <f t="shared" si="11"/>
        <v>none</v>
      </c>
      <c r="U32" s="54" t="e">
        <f t="shared" si="12"/>
        <v>#VALUE!</v>
      </c>
      <c r="V32" s="54">
        <f t="shared" si="13"/>
        <v>4</v>
      </c>
      <c r="W32" s="54" t="e">
        <f t="shared" si="14"/>
        <v>#VALUE!</v>
      </c>
      <c r="X32" s="54" t="e">
        <f t="shared" si="15"/>
        <v>#VALUE!</v>
      </c>
      <c r="Y32" s="54" t="str">
        <f>IFERROR(VLOOKUP(MID(T32,W32,X32-W32),[6]skilldef!$C:$D,2,FALSE),"-") &amp; " / " &amp; IFERROR(VLOOKUP(MID(T32,U32,V32-U32),[6]skilldef!$A:$B,2,FALSE),"-")</f>
        <v>- / -</v>
      </c>
      <c r="Z32" s="41"/>
      <c r="AA32" s="43"/>
      <c r="AB32" s="41"/>
    </row>
    <row r="33" spans="1:28" ht="21" customHeight="1" x14ac:dyDescent="0.15">
      <c r="A33" s="38">
        <v>41011032</v>
      </c>
      <c r="B33" s="38" t="s">
        <v>296</v>
      </c>
      <c r="C33" s="41">
        <v>3</v>
      </c>
      <c r="D33" s="41" t="s">
        <v>146</v>
      </c>
      <c r="E33" s="42" t="s">
        <v>297</v>
      </c>
      <c r="F33" s="42" t="s">
        <v>298</v>
      </c>
      <c r="G33" s="54" t="str">
        <f t="shared" si="0"/>
        <v xml:space="preserve">[effect:spread, val:0.3]    </v>
      </c>
      <c r="H33" s="54">
        <f t="shared" si="1"/>
        <v>9</v>
      </c>
      <c r="I33" s="54">
        <f t="shared" si="2"/>
        <v>15</v>
      </c>
      <c r="J33" s="54" t="e">
        <f t="shared" si="3"/>
        <v>#VALUE!</v>
      </c>
      <c r="K33" s="54" t="e">
        <f t="shared" si="4"/>
        <v>#VALUE!</v>
      </c>
      <c r="L33" s="54" t="str">
        <f>IFERROR(VLOOKUP(MID(G33,J33,K33-J33),[6]skilldef!$C:$D,2,FALSE),"-") &amp; " / " &amp; IFERROR(VLOOKUP(MID(G33,H33,I33-H33),[6]skilldef!$A:$B,2,FALSE),"-")</f>
        <v>- / 全体攻撃</v>
      </c>
      <c r="M33" s="54" t="str">
        <f t="shared" si="5"/>
        <v>none</v>
      </c>
      <c r="N33" s="39" t="str">
        <f t="shared" si="6"/>
        <v>none</v>
      </c>
      <c r="O33" s="54" t="e">
        <f t="shared" si="7"/>
        <v>#VALUE!</v>
      </c>
      <c r="P33" s="54">
        <f t="shared" si="8"/>
        <v>4</v>
      </c>
      <c r="Q33" s="54" t="e">
        <f t="shared" si="9"/>
        <v>#VALUE!</v>
      </c>
      <c r="R33" s="54" t="e">
        <f t="shared" si="10"/>
        <v>#VALUE!</v>
      </c>
      <c r="S33" s="54" t="str">
        <f>IFERROR(VLOOKUP(MID(N33,Q33,R33-Q33),[6]skilldef!$C:$D,2,FALSE),"-") &amp; " / " &amp; IFERROR(VLOOKUP(MID(N33,O33,P33-O33),[6]skilldef!$A:$B,2,FALSE),"-")</f>
        <v>- / -</v>
      </c>
      <c r="T33" s="39" t="str">
        <f t="shared" si="11"/>
        <v>none</v>
      </c>
      <c r="U33" s="54" t="e">
        <f t="shared" si="12"/>
        <v>#VALUE!</v>
      </c>
      <c r="V33" s="54">
        <f t="shared" si="13"/>
        <v>4</v>
      </c>
      <c r="W33" s="54" t="e">
        <f t="shared" si="14"/>
        <v>#VALUE!</v>
      </c>
      <c r="X33" s="54" t="e">
        <f t="shared" si="15"/>
        <v>#VALUE!</v>
      </c>
      <c r="Y33" s="54" t="str">
        <f>IFERROR(VLOOKUP(MID(T33,W33,X33-W33),[6]skilldef!$C:$D,2,FALSE),"-") &amp; " / " &amp; IFERROR(VLOOKUP(MID(T33,U33,V33-U33),[6]skilldef!$A:$B,2,FALSE),"-")</f>
        <v>- / -</v>
      </c>
      <c r="Z33" s="41"/>
      <c r="AA33" s="43"/>
      <c r="AB33" s="41"/>
    </row>
    <row r="34" spans="1:28" ht="21" customHeight="1" x14ac:dyDescent="0.15">
      <c r="A34" s="38">
        <v>41011033</v>
      </c>
      <c r="B34" s="38" t="s">
        <v>253</v>
      </c>
      <c r="C34" s="41">
        <v>3</v>
      </c>
      <c r="D34" s="41" t="s">
        <v>146</v>
      </c>
      <c r="E34" s="42" t="s">
        <v>299</v>
      </c>
      <c r="F34" s="42" t="s">
        <v>255</v>
      </c>
      <c r="G34" s="54" t="str">
        <f t="shared" si="0"/>
        <v>[effect:nothing]</v>
      </c>
      <c r="H34" s="54">
        <f t="shared" si="1"/>
        <v>9</v>
      </c>
      <c r="I34" s="54">
        <f t="shared" si="2"/>
        <v>16</v>
      </c>
      <c r="J34" s="54" t="e">
        <f t="shared" si="3"/>
        <v>#VALUE!</v>
      </c>
      <c r="K34" s="54" t="e">
        <f t="shared" si="4"/>
        <v>#VALUE!</v>
      </c>
      <c r="L34" s="54" t="str">
        <f>IFERROR(VLOOKUP(MID(G34,J34,K34-J34),[6]skilldef!$C:$D,2,FALSE),"-") &amp; " / " &amp; IFERROR(VLOOKUP(MID(G34,H34,I34-H34),[6]skilldef!$A:$B,2,FALSE),"-")</f>
        <v>- / 何もしない</v>
      </c>
      <c r="M34" s="54" t="str">
        <f t="shared" si="5"/>
        <v>none</v>
      </c>
      <c r="N34" s="39" t="str">
        <f t="shared" si="6"/>
        <v>none</v>
      </c>
      <c r="O34" s="54" t="e">
        <f t="shared" si="7"/>
        <v>#VALUE!</v>
      </c>
      <c r="P34" s="54">
        <f t="shared" si="8"/>
        <v>4</v>
      </c>
      <c r="Q34" s="54" t="e">
        <f t="shared" si="9"/>
        <v>#VALUE!</v>
      </c>
      <c r="R34" s="54" t="e">
        <f t="shared" si="10"/>
        <v>#VALUE!</v>
      </c>
      <c r="S34" s="54" t="str">
        <f>IFERROR(VLOOKUP(MID(N34,Q34,R34-Q34),[6]skilldef!$C:$D,2,FALSE),"-") &amp; " / " &amp; IFERROR(VLOOKUP(MID(N34,O34,P34-O34),[6]skilldef!$A:$B,2,FALSE),"-")</f>
        <v>- / -</v>
      </c>
      <c r="T34" s="39" t="str">
        <f t="shared" si="11"/>
        <v>none</v>
      </c>
      <c r="U34" s="54" t="e">
        <f t="shared" si="12"/>
        <v>#VALUE!</v>
      </c>
      <c r="V34" s="54">
        <f t="shared" si="13"/>
        <v>4</v>
      </c>
      <c r="W34" s="54" t="e">
        <f t="shared" si="14"/>
        <v>#VALUE!</v>
      </c>
      <c r="X34" s="54" t="e">
        <f t="shared" si="15"/>
        <v>#VALUE!</v>
      </c>
      <c r="Y34" s="54" t="str">
        <f>IFERROR(VLOOKUP(MID(T34,W34,X34-W34),[6]skilldef!$C:$D,2,FALSE),"-") &amp; " / " &amp; IFERROR(VLOOKUP(MID(T34,U34,V34-U34),[6]skilldef!$A:$B,2,FALSE),"-")</f>
        <v>- / -</v>
      </c>
      <c r="Z34" s="41"/>
      <c r="AA34" s="43"/>
      <c r="AB34" s="41"/>
    </row>
    <row r="35" spans="1:28" ht="21" customHeight="1" x14ac:dyDescent="0.15">
      <c r="A35" s="38">
        <v>41011034</v>
      </c>
      <c r="B35" s="38" t="s">
        <v>253</v>
      </c>
      <c r="C35" s="41">
        <v>3</v>
      </c>
      <c r="D35" s="41" t="s">
        <v>146</v>
      </c>
      <c r="E35" s="42" t="s">
        <v>299</v>
      </c>
      <c r="F35" s="42" t="s">
        <v>255</v>
      </c>
      <c r="G35" s="54" t="str">
        <f t="shared" si="0"/>
        <v>[effect:nothing]</v>
      </c>
      <c r="H35" s="54">
        <f t="shared" si="1"/>
        <v>9</v>
      </c>
      <c r="I35" s="54">
        <f t="shared" si="2"/>
        <v>16</v>
      </c>
      <c r="J35" s="54" t="e">
        <f t="shared" si="3"/>
        <v>#VALUE!</v>
      </c>
      <c r="K35" s="54" t="e">
        <f t="shared" si="4"/>
        <v>#VALUE!</v>
      </c>
      <c r="L35" s="54" t="str">
        <f>IFERROR(VLOOKUP(MID(G35,J35,K35-J35),[6]skilldef!$C:$D,2,FALSE),"-") &amp; " / " &amp; IFERROR(VLOOKUP(MID(G35,H35,I35-H35),[6]skilldef!$A:$B,2,FALSE),"-")</f>
        <v>- / 何もしない</v>
      </c>
      <c r="M35" s="54" t="str">
        <f t="shared" si="5"/>
        <v>none</v>
      </c>
      <c r="N35" s="39" t="str">
        <f t="shared" si="6"/>
        <v>none</v>
      </c>
      <c r="O35" s="54" t="e">
        <f t="shared" si="7"/>
        <v>#VALUE!</v>
      </c>
      <c r="P35" s="54">
        <f t="shared" si="8"/>
        <v>4</v>
      </c>
      <c r="Q35" s="54" t="e">
        <f t="shared" si="9"/>
        <v>#VALUE!</v>
      </c>
      <c r="R35" s="54" t="e">
        <f t="shared" si="10"/>
        <v>#VALUE!</v>
      </c>
      <c r="S35" s="54" t="str">
        <f>IFERROR(VLOOKUP(MID(N35,Q35,R35-Q35),[6]skilldef!$C:$D,2,FALSE),"-") &amp; " / " &amp; IFERROR(VLOOKUP(MID(N35,O35,P35-O35),[6]skilldef!$A:$B,2,FALSE),"-")</f>
        <v>- / -</v>
      </c>
      <c r="T35" s="39" t="str">
        <f t="shared" si="11"/>
        <v>none</v>
      </c>
      <c r="U35" s="54" t="e">
        <f t="shared" si="12"/>
        <v>#VALUE!</v>
      </c>
      <c r="V35" s="54">
        <f t="shared" si="13"/>
        <v>4</v>
      </c>
      <c r="W35" s="54" t="e">
        <f t="shared" si="14"/>
        <v>#VALUE!</v>
      </c>
      <c r="X35" s="54" t="e">
        <f t="shared" si="15"/>
        <v>#VALUE!</v>
      </c>
      <c r="Y35" s="54" t="str">
        <f>IFERROR(VLOOKUP(MID(T35,W35,X35-W35),[6]skilldef!$C:$D,2,FALSE),"-") &amp; " / " &amp; IFERROR(VLOOKUP(MID(T35,U35,V35-U35),[6]skilldef!$A:$B,2,FALSE),"-")</f>
        <v>- / -</v>
      </c>
      <c r="Z35" s="41"/>
      <c r="AA35" s="43"/>
      <c r="AB35" s="41"/>
    </row>
    <row r="36" spans="1:28" ht="21" customHeight="1" x14ac:dyDescent="0.15">
      <c r="A36" s="38">
        <v>41011035</v>
      </c>
      <c r="B36" s="38" t="s">
        <v>253</v>
      </c>
      <c r="C36" s="41">
        <v>3</v>
      </c>
      <c r="D36" s="41" t="s">
        <v>146</v>
      </c>
      <c r="E36" s="42" t="s">
        <v>299</v>
      </c>
      <c r="F36" s="42" t="s">
        <v>255</v>
      </c>
      <c r="G36" s="54" t="str">
        <f t="shared" si="0"/>
        <v>[effect:nothing]</v>
      </c>
      <c r="H36" s="54">
        <f t="shared" si="1"/>
        <v>9</v>
      </c>
      <c r="I36" s="54">
        <f t="shared" si="2"/>
        <v>16</v>
      </c>
      <c r="J36" s="54" t="e">
        <f t="shared" si="3"/>
        <v>#VALUE!</v>
      </c>
      <c r="K36" s="54" t="e">
        <f t="shared" si="4"/>
        <v>#VALUE!</v>
      </c>
      <c r="L36" s="54" t="str">
        <f>IFERROR(VLOOKUP(MID(G36,J36,K36-J36),[6]skilldef!$C:$D,2,FALSE),"-") &amp; " / " &amp; IFERROR(VLOOKUP(MID(G36,H36,I36-H36),[6]skilldef!$A:$B,2,FALSE),"-")</f>
        <v>- / 何もしない</v>
      </c>
      <c r="M36" s="54" t="str">
        <f t="shared" si="5"/>
        <v>none</v>
      </c>
      <c r="N36" s="39" t="str">
        <f t="shared" si="6"/>
        <v>none</v>
      </c>
      <c r="O36" s="54" t="e">
        <f t="shared" si="7"/>
        <v>#VALUE!</v>
      </c>
      <c r="P36" s="54">
        <f t="shared" si="8"/>
        <v>4</v>
      </c>
      <c r="Q36" s="54" t="e">
        <f t="shared" si="9"/>
        <v>#VALUE!</v>
      </c>
      <c r="R36" s="54" t="e">
        <f t="shared" si="10"/>
        <v>#VALUE!</v>
      </c>
      <c r="S36" s="54" t="str">
        <f>IFERROR(VLOOKUP(MID(N36,Q36,R36-Q36),[6]skilldef!$C:$D,2,FALSE),"-") &amp; " / " &amp; IFERROR(VLOOKUP(MID(N36,O36,P36-O36),[6]skilldef!$A:$B,2,FALSE),"-")</f>
        <v>- / -</v>
      </c>
      <c r="T36" s="39" t="str">
        <f t="shared" si="11"/>
        <v>none</v>
      </c>
      <c r="U36" s="54" t="e">
        <f t="shared" si="12"/>
        <v>#VALUE!</v>
      </c>
      <c r="V36" s="54">
        <f t="shared" si="13"/>
        <v>4</v>
      </c>
      <c r="W36" s="54" t="e">
        <f t="shared" si="14"/>
        <v>#VALUE!</v>
      </c>
      <c r="X36" s="54" t="e">
        <f t="shared" si="15"/>
        <v>#VALUE!</v>
      </c>
      <c r="Y36" s="54" t="str">
        <f>IFERROR(VLOOKUP(MID(T36,W36,X36-W36),[6]skilldef!$C:$D,2,FALSE),"-") &amp; " / " &amp; IFERROR(VLOOKUP(MID(T36,U36,V36-U36),[6]skilldef!$A:$B,2,FALSE),"-")</f>
        <v>- / -</v>
      </c>
      <c r="Z36" s="41"/>
      <c r="AA36" s="43"/>
      <c r="AB36" s="41"/>
    </row>
    <row r="37" spans="1:28" ht="21" customHeight="1" x14ac:dyDescent="0.15">
      <c r="A37" s="38">
        <v>41011036</v>
      </c>
      <c r="B37" s="38" t="s">
        <v>300</v>
      </c>
      <c r="C37" s="41">
        <v>3</v>
      </c>
      <c r="D37" s="41" t="s">
        <v>146</v>
      </c>
      <c r="E37" s="42" t="s">
        <v>301</v>
      </c>
      <c r="F37" s="42" t="s">
        <v>380</v>
      </c>
      <c r="G37" s="54" t="str">
        <f t="shared" si="0"/>
        <v>[effect:tolerance, target:myself, turn:-1, tolerance_effect:virus, count:-1]</v>
      </c>
      <c r="H37" s="54">
        <f t="shared" si="1"/>
        <v>9</v>
      </c>
      <c r="I37" s="54">
        <f t="shared" si="2"/>
        <v>18</v>
      </c>
      <c r="J37" s="54">
        <f t="shared" si="3"/>
        <v>27</v>
      </c>
      <c r="K37" s="54">
        <f t="shared" si="4"/>
        <v>33</v>
      </c>
      <c r="L37" s="54" t="str">
        <f>IFERROR(VLOOKUP(MID(G37,J37,K37-J37),[6]skilldef!$C:$D,2,FALSE),"-") &amp; " / " &amp; IFERROR(VLOOKUP(MID(G37,H37,I37-H37),[6]skilldef!$A:$B,2,FALSE),"-")</f>
        <v>自分自身に / 状態異常耐性</v>
      </c>
      <c r="M37" s="54" t="str">
        <f t="shared" si="5"/>
        <v>[effect:tolerance, target:myself, turn:-1, tolerance_effect:sleep, count:-1],[effect:tolerance, target:myself, turn:-1, tolerance_effect:hungup, count:-1, animation:enemy_tolerance],[effect:virus, turn:-1, rate:1, val:0.05, animation:enemy_virus]</v>
      </c>
      <c r="N37" s="39" t="str">
        <f t="shared" si="6"/>
        <v>[effect:tolerance, target:myself, turn:-1, tolerance_effect:sleep, count:-1],[effect:tolerance, target:myself, turn:-1, tolerance_effect:hungup, count:-1, animation:enemy_tolerance],[effect:virus, turn:-1, rate:1, val:0.05, animation:enemy_virus]</v>
      </c>
      <c r="O37" s="54">
        <f t="shared" si="7"/>
        <v>9</v>
      </c>
      <c r="P37" s="54">
        <f t="shared" si="8"/>
        <v>18</v>
      </c>
      <c r="Q37" s="54">
        <f t="shared" si="9"/>
        <v>27</v>
      </c>
      <c r="R37" s="54">
        <f t="shared" si="10"/>
        <v>33</v>
      </c>
      <c r="S37" s="54" t="str">
        <f>IFERROR(VLOOKUP(MID(N37,Q37,R37-Q37),[6]skilldef!$C:$D,2,FALSE),"-") &amp; " / " &amp; IFERROR(VLOOKUP(MID(N37,O37,P37-O37),[6]skilldef!$A:$B,2,FALSE),"-")</f>
        <v>自分自身に / 状態異常耐性</v>
      </c>
      <c r="T37" s="39" t="str">
        <f t="shared" si="11"/>
        <v>[effect:tolerance, target:myself, turn:-1, tolerance_effect:hungup, count:-1, animation:enemy_tolerance],[effect:virus, turn:-1, rate:1, val:0.05, animation:enemy_virus]</v>
      </c>
      <c r="U37" s="54">
        <f t="shared" si="12"/>
        <v>9</v>
      </c>
      <c r="V37" s="54">
        <f t="shared" si="13"/>
        <v>18</v>
      </c>
      <c r="W37" s="54">
        <f t="shared" si="14"/>
        <v>27</v>
      </c>
      <c r="X37" s="54">
        <f t="shared" si="15"/>
        <v>33</v>
      </c>
      <c r="Y37" s="54" t="str">
        <f>IFERROR(VLOOKUP(MID(T37,W37,X37-W37),[6]skilldef!$C:$D,2,FALSE),"-") &amp; " / " &amp; IFERROR(VLOOKUP(MID(T37,U37,V37-U37),[6]skilldef!$A:$B,2,FALSE),"-")</f>
        <v>自分自身に / 状態異常耐性</v>
      </c>
      <c r="Z37" s="41"/>
      <c r="AA37" s="43"/>
      <c r="AB37" s="41"/>
    </row>
    <row r="38" spans="1:28" ht="21" customHeight="1" x14ac:dyDescent="0.15">
      <c r="A38" s="38">
        <v>41011037</v>
      </c>
      <c r="B38" s="38" t="s">
        <v>302</v>
      </c>
      <c r="C38" s="41">
        <v>3</v>
      </c>
      <c r="D38" s="41" t="s">
        <v>146</v>
      </c>
      <c r="E38" s="42" t="s">
        <v>303</v>
      </c>
      <c r="F38" s="42" t="s">
        <v>387</v>
      </c>
      <c r="G38" s="54" t="str">
        <f t="shared" si="0"/>
        <v>[effect:damage_anti_tribe, target:unit_all, tribe:god, val1:0.7, val2:0.3]</v>
      </c>
      <c r="H38" s="54">
        <f t="shared" si="1"/>
        <v>9</v>
      </c>
      <c r="I38" s="54">
        <f t="shared" si="2"/>
        <v>26</v>
      </c>
      <c r="J38" s="54">
        <f t="shared" si="3"/>
        <v>35</v>
      </c>
      <c r="K38" s="54">
        <f t="shared" si="4"/>
        <v>43</v>
      </c>
      <c r="L38" s="54" t="str">
        <f>IFERROR(VLOOKUP(MID(G38,J38,K38-J38),[6]skilldef!$C:$D,2,FALSE),"-") &amp; " / " &amp; IFERROR(VLOOKUP(MID(G38,H38,I38-H38),[6]skilldef!$A:$B,2,FALSE),"-")</f>
        <v>味方全体に / 種族キラー</v>
      </c>
      <c r="M38" s="54" t="str">
        <f t="shared" si="5"/>
        <v>none</v>
      </c>
      <c r="N38" s="39" t="str">
        <f t="shared" si="6"/>
        <v>none</v>
      </c>
      <c r="O38" s="54" t="e">
        <f t="shared" si="7"/>
        <v>#VALUE!</v>
      </c>
      <c r="P38" s="54">
        <f t="shared" si="8"/>
        <v>4</v>
      </c>
      <c r="Q38" s="54" t="e">
        <f t="shared" si="9"/>
        <v>#VALUE!</v>
      </c>
      <c r="R38" s="54" t="e">
        <f t="shared" si="10"/>
        <v>#VALUE!</v>
      </c>
      <c r="S38" s="54" t="str">
        <f>IFERROR(VLOOKUP(MID(N38,Q38,R38-Q38),[6]skilldef!$C:$D,2,FALSE),"-") &amp; " / " &amp; IFERROR(VLOOKUP(MID(N38,O38,P38-O38),[6]skilldef!$A:$B,2,FALSE),"-")</f>
        <v>- / -</v>
      </c>
      <c r="T38" s="39" t="str">
        <f t="shared" si="11"/>
        <v>none</v>
      </c>
      <c r="U38" s="54" t="e">
        <f t="shared" si="12"/>
        <v>#VALUE!</v>
      </c>
      <c r="V38" s="54">
        <f t="shared" si="13"/>
        <v>4</v>
      </c>
      <c r="W38" s="54" t="e">
        <f t="shared" si="14"/>
        <v>#VALUE!</v>
      </c>
      <c r="X38" s="54" t="e">
        <f t="shared" si="15"/>
        <v>#VALUE!</v>
      </c>
      <c r="Y38" s="54" t="str">
        <f>IFERROR(VLOOKUP(MID(T38,W38,X38-W38),[6]skilldef!$C:$D,2,FALSE),"-") &amp; " / " &amp; IFERROR(VLOOKUP(MID(T38,U38,V38-U38),[6]skilldef!$A:$B,2,FALSE),"-")</f>
        <v>- / -</v>
      </c>
      <c r="Z38" s="41"/>
      <c r="AA38" s="43"/>
      <c r="AB38" s="41"/>
    </row>
    <row r="39" spans="1:28" ht="21" customHeight="1" x14ac:dyDescent="0.15">
      <c r="A39" s="38">
        <v>41011038</v>
      </c>
      <c r="B39" s="38" t="s">
        <v>258</v>
      </c>
      <c r="C39" s="41">
        <v>3</v>
      </c>
      <c r="D39" s="41" t="s">
        <v>146</v>
      </c>
      <c r="E39" s="42" t="s">
        <v>304</v>
      </c>
      <c r="F39" s="42" t="s">
        <v>359</v>
      </c>
      <c r="G39" s="54" t="str">
        <f t="shared" si="0"/>
        <v>[effect:rush, count:4, val:0.35]</v>
      </c>
      <c r="H39" s="54">
        <f t="shared" si="1"/>
        <v>9</v>
      </c>
      <c r="I39" s="54">
        <f t="shared" si="2"/>
        <v>13</v>
      </c>
      <c r="J39" s="54" t="e">
        <f t="shared" si="3"/>
        <v>#VALUE!</v>
      </c>
      <c r="K39" s="54">
        <f t="shared" si="4"/>
        <v>22</v>
      </c>
      <c r="L39" s="54" t="str">
        <f>IFERROR(VLOOKUP(MID(G39,J39,K39-J39),[6]skilldef!$C:$D,2,FALSE),"-") &amp; " / " &amp; IFERROR(VLOOKUP(MID(G39,H39,I39-H39),[6]skilldef!$A:$B,2,FALSE),"-")</f>
        <v>- / 連続攻撃</v>
      </c>
      <c r="M39" s="54" t="str">
        <f t="shared" si="5"/>
        <v>none</v>
      </c>
      <c r="N39" s="39" t="str">
        <f t="shared" si="6"/>
        <v>none</v>
      </c>
      <c r="O39" s="54" t="e">
        <f t="shared" si="7"/>
        <v>#VALUE!</v>
      </c>
      <c r="P39" s="54">
        <f t="shared" si="8"/>
        <v>4</v>
      </c>
      <c r="Q39" s="54" t="e">
        <f t="shared" si="9"/>
        <v>#VALUE!</v>
      </c>
      <c r="R39" s="54" t="e">
        <f t="shared" si="10"/>
        <v>#VALUE!</v>
      </c>
      <c r="S39" s="54" t="str">
        <f>IFERROR(VLOOKUP(MID(N39,Q39,R39-Q39),[6]skilldef!$C:$D,2,FALSE),"-") &amp; " / " &amp; IFERROR(VLOOKUP(MID(N39,O39,P39-O39),[6]skilldef!$A:$B,2,FALSE),"-")</f>
        <v>- / -</v>
      </c>
      <c r="T39" s="39" t="str">
        <f t="shared" si="11"/>
        <v>none</v>
      </c>
      <c r="U39" s="54" t="e">
        <f t="shared" si="12"/>
        <v>#VALUE!</v>
      </c>
      <c r="V39" s="54">
        <f t="shared" si="13"/>
        <v>4</v>
      </c>
      <c r="W39" s="54" t="e">
        <f t="shared" si="14"/>
        <v>#VALUE!</v>
      </c>
      <c r="X39" s="54" t="e">
        <f t="shared" si="15"/>
        <v>#VALUE!</v>
      </c>
      <c r="Y39" s="54" t="str">
        <f>IFERROR(VLOOKUP(MID(T39,W39,X39-W39),[6]skilldef!$C:$D,2,FALSE),"-") &amp; " / " &amp; IFERROR(VLOOKUP(MID(T39,U39,V39-U39),[6]skilldef!$A:$B,2,FALSE),"-")</f>
        <v>- / -</v>
      </c>
      <c r="Z39" s="41"/>
      <c r="AA39" s="43"/>
      <c r="AB39" s="41"/>
    </row>
    <row r="40" spans="1:28" ht="21" customHeight="1" x14ac:dyDescent="0.15">
      <c r="A40" s="38">
        <v>41011039</v>
      </c>
      <c r="B40" s="38" t="s">
        <v>369</v>
      </c>
      <c r="C40" s="41">
        <v>3</v>
      </c>
      <c r="D40" s="41" t="s">
        <v>146</v>
      </c>
      <c r="E40" s="125" t="s">
        <v>405</v>
      </c>
      <c r="F40" s="42" t="s">
        <v>380</v>
      </c>
      <c r="G40" s="54" t="str">
        <f t="shared" si="0"/>
        <v>[effect:enemy_message]</v>
      </c>
      <c r="H40" s="54">
        <f t="shared" si="1"/>
        <v>9</v>
      </c>
      <c r="I40" s="54">
        <f t="shared" si="2"/>
        <v>22</v>
      </c>
      <c r="J40" s="54" t="e">
        <f t="shared" si="3"/>
        <v>#VALUE!</v>
      </c>
      <c r="K40" s="54" t="e">
        <f t="shared" si="4"/>
        <v>#VALUE!</v>
      </c>
      <c r="L40" s="54" t="str">
        <f>IFERROR(VLOOKUP(MID(G40,J40,K40-J40),[6]skilldef!$C:$D,2,FALSE),"-") &amp; " / " &amp; IFERROR(VLOOKUP(MID(G40,H40,I40-H40),[6]skilldef!$A:$B,2,FALSE),"-")</f>
        <v>- / -</v>
      </c>
      <c r="M40" s="54" t="str">
        <f t="shared" si="5"/>
        <v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v>
      </c>
      <c r="N40" s="39" t="str">
        <f t="shared" si="6"/>
        <v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v>
      </c>
      <c r="O40" s="54">
        <f t="shared" si="7"/>
        <v>9</v>
      </c>
      <c r="P40" s="54">
        <f t="shared" si="8"/>
        <v>18</v>
      </c>
      <c r="Q40" s="54">
        <f t="shared" si="9"/>
        <v>27</v>
      </c>
      <c r="R40" s="54">
        <f t="shared" si="10"/>
        <v>33</v>
      </c>
      <c r="S40" s="54" t="str">
        <f>IFERROR(VLOOKUP(MID(N40,Q40,R40-Q40),[6]skilldef!$C:$D,2,FALSE),"-") &amp; " / " &amp; IFERROR(VLOOKUP(MID(N40,O40,P40-O40),[6]skilldef!$A:$B,2,FALSE),"-")</f>
        <v>自分自身に / 状態異常耐性</v>
      </c>
      <c r="T40" s="39" t="str">
        <f t="shared" si="11"/>
        <v>[effect:tolerance, target:myself, turn:-1, tolerance_effect:sleep, count:-1],[effect:tolerance, target:myself, turn:-1, tolerance_effect:hungup, count:-1, animation:enemy_tolerance],[effect:virus, turn:-1, rate:1, val:0.05, animation:enemy_virus]</v>
      </c>
      <c r="U40" s="54">
        <f t="shared" si="12"/>
        <v>9</v>
      </c>
      <c r="V40" s="54">
        <f t="shared" si="13"/>
        <v>18</v>
      </c>
      <c r="W40" s="54">
        <f t="shared" si="14"/>
        <v>27</v>
      </c>
      <c r="X40" s="54">
        <f t="shared" si="15"/>
        <v>33</v>
      </c>
      <c r="Y40" s="54" t="str">
        <f>IFERROR(VLOOKUP(MID(T40,W40,X40-W40),[6]skilldef!$C:$D,2,FALSE),"-") &amp; " / " &amp; IFERROR(VLOOKUP(MID(T40,U40,V40-U40),[6]skilldef!$A:$B,2,FALSE),"-")</f>
        <v>自分自身に / 状態異常耐性</v>
      </c>
      <c r="Z40" s="41"/>
      <c r="AA40" s="43"/>
      <c r="AB40" s="41"/>
    </row>
    <row r="41" spans="1:28" ht="21" customHeight="1" x14ac:dyDescent="0.15">
      <c r="A41" s="38">
        <v>41011040</v>
      </c>
      <c r="B41" s="38" t="s">
        <v>370</v>
      </c>
      <c r="C41" s="41">
        <v>3</v>
      </c>
      <c r="D41" s="41" t="s">
        <v>146</v>
      </c>
      <c r="E41" s="125" t="s">
        <v>405</v>
      </c>
      <c r="F41" s="42" t="s">
        <v>380</v>
      </c>
      <c r="G41" s="54" t="str">
        <f t="shared" si="0"/>
        <v>[effect:enemy_message]</v>
      </c>
      <c r="H41" s="54">
        <f t="shared" si="1"/>
        <v>9</v>
      </c>
      <c r="I41" s="54">
        <f t="shared" si="2"/>
        <v>22</v>
      </c>
      <c r="J41" s="54" t="e">
        <f t="shared" si="3"/>
        <v>#VALUE!</v>
      </c>
      <c r="K41" s="54" t="e">
        <f t="shared" si="4"/>
        <v>#VALUE!</v>
      </c>
      <c r="L41" s="54" t="str">
        <f>IFERROR(VLOOKUP(MID(G41,J41,K41-J41),[6]skilldef!$C:$D,2,FALSE),"-") &amp; " / " &amp; IFERROR(VLOOKUP(MID(G41,H41,I41-H41),[6]skilldef!$A:$B,2,FALSE),"-")</f>
        <v>- / -</v>
      </c>
      <c r="M41" s="54" t="str">
        <f t="shared" si="5"/>
        <v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v>
      </c>
      <c r="N41" s="39" t="str">
        <f t="shared" si="6"/>
        <v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v>
      </c>
      <c r="O41" s="54">
        <f t="shared" si="7"/>
        <v>9</v>
      </c>
      <c r="P41" s="54">
        <f t="shared" si="8"/>
        <v>18</v>
      </c>
      <c r="Q41" s="54">
        <f t="shared" si="9"/>
        <v>27</v>
      </c>
      <c r="R41" s="54">
        <f t="shared" si="10"/>
        <v>33</v>
      </c>
      <c r="S41" s="54" t="str">
        <f>IFERROR(VLOOKUP(MID(N41,Q41,R41-Q41),[6]skilldef!$C:$D,2,FALSE),"-") &amp; " / " &amp; IFERROR(VLOOKUP(MID(N41,O41,P41-O41),[6]skilldef!$A:$B,2,FALSE),"-")</f>
        <v>自分自身に / 状態異常耐性</v>
      </c>
      <c r="T41" s="39" t="str">
        <f t="shared" si="11"/>
        <v>[effect:tolerance, target:myself, turn:-1, tolerance_effect:sleep, count:-1],[effect:tolerance, target:myself, turn:-1, tolerance_effect:hungup, count:-1, animation:enemy_tolerance],[effect:virus, turn:-1, rate:1, val:0.05, animation:enemy_virus]</v>
      </c>
      <c r="U41" s="54">
        <f t="shared" si="12"/>
        <v>9</v>
      </c>
      <c r="V41" s="54">
        <f t="shared" si="13"/>
        <v>18</v>
      </c>
      <c r="W41" s="54">
        <f t="shared" si="14"/>
        <v>27</v>
      </c>
      <c r="X41" s="54">
        <f t="shared" si="15"/>
        <v>33</v>
      </c>
      <c r="Y41" s="54" t="str">
        <f>IFERROR(VLOOKUP(MID(T41,W41,X41-W41),[6]skilldef!$C:$D,2,FALSE),"-") &amp; " / " &amp; IFERROR(VLOOKUP(MID(T41,U41,V41-U41),[6]skilldef!$A:$B,2,FALSE),"-")</f>
        <v>自分自身に / 状態異常耐性</v>
      </c>
      <c r="Z41" s="41"/>
      <c r="AA41" s="43"/>
      <c r="AB41" s="41"/>
    </row>
    <row r="42" spans="1:28" ht="21" customHeight="1" x14ac:dyDescent="0.15">
      <c r="A42" s="38">
        <v>41011041</v>
      </c>
      <c r="B42" s="38" t="s">
        <v>371</v>
      </c>
      <c r="C42" s="41">
        <v>3</v>
      </c>
      <c r="D42" s="41" t="s">
        <v>146</v>
      </c>
      <c r="E42" s="125" t="s">
        <v>405</v>
      </c>
      <c r="F42" s="42" t="s">
        <v>380</v>
      </c>
      <c r="G42" s="54" t="str">
        <f t="shared" si="0"/>
        <v>[effect:enemy_message]</v>
      </c>
      <c r="H42" s="54">
        <f t="shared" si="1"/>
        <v>9</v>
      </c>
      <c r="I42" s="54">
        <f t="shared" si="2"/>
        <v>22</v>
      </c>
      <c r="J42" s="54" t="e">
        <f t="shared" si="3"/>
        <v>#VALUE!</v>
      </c>
      <c r="K42" s="54" t="e">
        <f t="shared" si="4"/>
        <v>#VALUE!</v>
      </c>
      <c r="L42" s="54" t="str">
        <f>IFERROR(VLOOKUP(MID(G42,J42,K42-J42),[6]skilldef!$C:$D,2,FALSE),"-") &amp; " / " &amp; IFERROR(VLOOKUP(MID(G42,H42,I42-H42),[6]skilldef!$A:$B,2,FALSE),"-")</f>
        <v>- / -</v>
      </c>
      <c r="M42" s="54" t="str">
        <f t="shared" si="5"/>
        <v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v>
      </c>
      <c r="N42" s="39" t="str">
        <f t="shared" si="6"/>
        <v>[effect:tolerance, target:myself, turn:-1, tolerance_effect:virus, count:-1],[effect:tolerance, target:myself, turn:-1, tolerance_effect:sleep, count:-1],[effect:tolerance, target:myself, turn:-1, tolerance_effect:hungup, count:-1, animation:enemy_tolerance],[effect:virus, turn:-1, rate:1, val:0.05, animation:enemy_virus]</v>
      </c>
      <c r="O42" s="54">
        <f t="shared" si="7"/>
        <v>9</v>
      </c>
      <c r="P42" s="54">
        <f t="shared" si="8"/>
        <v>18</v>
      </c>
      <c r="Q42" s="54">
        <f t="shared" si="9"/>
        <v>27</v>
      </c>
      <c r="R42" s="54">
        <f t="shared" si="10"/>
        <v>33</v>
      </c>
      <c r="S42" s="54" t="str">
        <f>IFERROR(VLOOKUP(MID(N42,Q42,R42-Q42),[6]skilldef!$C:$D,2,FALSE),"-") &amp; " / " &amp; IFERROR(VLOOKUP(MID(N42,O42,P42-O42),[6]skilldef!$A:$B,2,FALSE),"-")</f>
        <v>自分自身に / 状態異常耐性</v>
      </c>
      <c r="T42" s="39" t="str">
        <f t="shared" si="11"/>
        <v>[effect:tolerance, target:myself, turn:-1, tolerance_effect:sleep, count:-1],[effect:tolerance, target:myself, turn:-1, tolerance_effect:hungup, count:-1, animation:enemy_tolerance],[effect:virus, turn:-1, rate:1, val:0.05, animation:enemy_virus]</v>
      </c>
      <c r="U42" s="54">
        <f t="shared" si="12"/>
        <v>9</v>
      </c>
      <c r="V42" s="54">
        <f t="shared" si="13"/>
        <v>18</v>
      </c>
      <c r="W42" s="54">
        <f t="shared" si="14"/>
        <v>27</v>
      </c>
      <c r="X42" s="54">
        <f t="shared" si="15"/>
        <v>33</v>
      </c>
      <c r="Y42" s="54" t="str">
        <f>IFERROR(VLOOKUP(MID(T42,W42,X42-W42),[6]skilldef!$C:$D,2,FALSE),"-") &amp; " / " &amp; IFERROR(VLOOKUP(MID(T42,U42,V42-U42),[6]skilldef!$A:$B,2,FALSE),"-")</f>
        <v>自分自身に / 状態異常耐性</v>
      </c>
      <c r="Z42" s="41"/>
      <c r="AA42" s="43"/>
      <c r="AB42" s="41"/>
    </row>
    <row r="43" spans="1:28" ht="21" customHeight="1" x14ac:dyDescent="0.15">
      <c r="A43" s="38">
        <v>41011042</v>
      </c>
      <c r="B43" s="38" t="s">
        <v>253</v>
      </c>
      <c r="C43" s="41">
        <v>3</v>
      </c>
      <c r="D43" s="41" t="s">
        <v>146</v>
      </c>
      <c r="E43" s="42" t="s">
        <v>305</v>
      </c>
      <c r="F43" s="42" t="s">
        <v>255</v>
      </c>
      <c r="G43" s="54" t="str">
        <f t="shared" si="0"/>
        <v>[effect:nothing]</v>
      </c>
      <c r="H43" s="54">
        <f t="shared" si="1"/>
        <v>9</v>
      </c>
      <c r="I43" s="54">
        <f t="shared" si="2"/>
        <v>16</v>
      </c>
      <c r="J43" s="54" t="e">
        <f t="shared" si="3"/>
        <v>#VALUE!</v>
      </c>
      <c r="K43" s="54" t="e">
        <f t="shared" si="4"/>
        <v>#VALUE!</v>
      </c>
      <c r="L43" s="54" t="str">
        <f>IFERROR(VLOOKUP(MID(G43,J43,K43-J43),[6]skilldef!$C:$D,2,FALSE),"-") &amp; " / " &amp; IFERROR(VLOOKUP(MID(G43,H43,I43-H43),[6]skilldef!$A:$B,2,FALSE),"-")</f>
        <v>- / 何もしない</v>
      </c>
      <c r="M43" s="54" t="str">
        <f t="shared" si="5"/>
        <v>none</v>
      </c>
      <c r="N43" s="39" t="str">
        <f t="shared" si="6"/>
        <v>none</v>
      </c>
      <c r="O43" s="54" t="e">
        <f t="shared" si="7"/>
        <v>#VALUE!</v>
      </c>
      <c r="P43" s="54">
        <f t="shared" si="8"/>
        <v>4</v>
      </c>
      <c r="Q43" s="54" t="e">
        <f t="shared" si="9"/>
        <v>#VALUE!</v>
      </c>
      <c r="R43" s="54" t="e">
        <f t="shared" si="10"/>
        <v>#VALUE!</v>
      </c>
      <c r="S43" s="54" t="str">
        <f>IFERROR(VLOOKUP(MID(N43,Q43,R43-Q43),[6]skilldef!$C:$D,2,FALSE),"-") &amp; " / " &amp; IFERROR(VLOOKUP(MID(N43,O43,P43-O43),[6]skilldef!$A:$B,2,FALSE),"-")</f>
        <v>- / -</v>
      </c>
      <c r="T43" s="39" t="str">
        <f t="shared" si="11"/>
        <v>none</v>
      </c>
      <c r="U43" s="54" t="e">
        <f t="shared" si="12"/>
        <v>#VALUE!</v>
      </c>
      <c r="V43" s="54">
        <f t="shared" si="13"/>
        <v>4</v>
      </c>
      <c r="W43" s="54" t="e">
        <f t="shared" si="14"/>
        <v>#VALUE!</v>
      </c>
      <c r="X43" s="54" t="e">
        <f t="shared" si="15"/>
        <v>#VALUE!</v>
      </c>
      <c r="Y43" s="54" t="str">
        <f>IFERROR(VLOOKUP(MID(T43,W43,X43-W43),[6]skilldef!$C:$D,2,FALSE),"-") &amp; " / " &amp; IFERROR(VLOOKUP(MID(T43,U43,V43-U43),[6]skilldef!$A:$B,2,FALSE),"-")</f>
        <v>- / -</v>
      </c>
      <c r="Z43" s="41"/>
      <c r="AA43" s="43"/>
      <c r="AB43" s="41"/>
    </row>
    <row r="44" spans="1:28" ht="21" customHeight="1" x14ac:dyDescent="0.15">
      <c r="A44" s="38">
        <v>41011043</v>
      </c>
      <c r="B44" s="38" t="s">
        <v>253</v>
      </c>
      <c r="C44" s="41">
        <v>3</v>
      </c>
      <c r="D44" s="41" t="s">
        <v>146</v>
      </c>
      <c r="E44" s="42" t="s">
        <v>305</v>
      </c>
      <c r="F44" s="42" t="s">
        <v>255</v>
      </c>
      <c r="G44" s="54" t="str">
        <f t="shared" si="0"/>
        <v>[effect:nothing]</v>
      </c>
      <c r="H44" s="54">
        <f t="shared" si="1"/>
        <v>9</v>
      </c>
      <c r="I44" s="54">
        <f t="shared" si="2"/>
        <v>16</v>
      </c>
      <c r="J44" s="54" t="e">
        <f t="shared" si="3"/>
        <v>#VALUE!</v>
      </c>
      <c r="K44" s="54" t="e">
        <f t="shared" si="4"/>
        <v>#VALUE!</v>
      </c>
      <c r="L44" s="54" t="str">
        <f>IFERROR(VLOOKUP(MID(G44,J44,K44-J44),[6]skilldef!$C:$D,2,FALSE),"-") &amp; " / " &amp; IFERROR(VLOOKUP(MID(G44,H44,I44-H44),[6]skilldef!$A:$B,2,FALSE),"-")</f>
        <v>- / 何もしない</v>
      </c>
      <c r="M44" s="54" t="str">
        <f t="shared" si="5"/>
        <v>none</v>
      </c>
      <c r="N44" s="39" t="str">
        <f t="shared" si="6"/>
        <v>none</v>
      </c>
      <c r="O44" s="54" t="e">
        <f t="shared" si="7"/>
        <v>#VALUE!</v>
      </c>
      <c r="P44" s="54">
        <f t="shared" si="8"/>
        <v>4</v>
      </c>
      <c r="Q44" s="54" t="e">
        <f t="shared" si="9"/>
        <v>#VALUE!</v>
      </c>
      <c r="R44" s="54" t="e">
        <f t="shared" si="10"/>
        <v>#VALUE!</v>
      </c>
      <c r="S44" s="54" t="str">
        <f>IFERROR(VLOOKUP(MID(N44,Q44,R44-Q44),[6]skilldef!$C:$D,2,FALSE),"-") &amp; " / " &amp; IFERROR(VLOOKUP(MID(N44,O44,P44-O44),[6]skilldef!$A:$B,2,FALSE),"-")</f>
        <v>- / -</v>
      </c>
      <c r="T44" s="39" t="str">
        <f t="shared" si="11"/>
        <v>none</v>
      </c>
      <c r="U44" s="54" t="e">
        <f t="shared" si="12"/>
        <v>#VALUE!</v>
      </c>
      <c r="V44" s="54">
        <f t="shared" si="13"/>
        <v>4</v>
      </c>
      <c r="W44" s="54" t="e">
        <f t="shared" si="14"/>
        <v>#VALUE!</v>
      </c>
      <c r="X44" s="54" t="e">
        <f t="shared" si="15"/>
        <v>#VALUE!</v>
      </c>
      <c r="Y44" s="54" t="str">
        <f>IFERROR(VLOOKUP(MID(T44,W44,X44-W44),[6]skilldef!$C:$D,2,FALSE),"-") &amp; " / " &amp; IFERROR(VLOOKUP(MID(T44,U44,V44-U44),[6]skilldef!$A:$B,2,FALSE),"-")</f>
        <v>- / -</v>
      </c>
      <c r="Z44" s="41"/>
      <c r="AA44" s="43"/>
      <c r="AB44" s="41"/>
    </row>
    <row r="45" spans="1:28" ht="21" customHeight="1" x14ac:dyDescent="0.15">
      <c r="A45" s="38">
        <v>41011044</v>
      </c>
      <c r="B45" s="38" t="s">
        <v>253</v>
      </c>
      <c r="C45" s="41">
        <v>3</v>
      </c>
      <c r="D45" s="41" t="s">
        <v>146</v>
      </c>
      <c r="E45" s="42" t="s">
        <v>305</v>
      </c>
      <c r="F45" s="42" t="s">
        <v>255</v>
      </c>
      <c r="G45" s="54" t="str">
        <f t="shared" si="0"/>
        <v>[effect:nothing]</v>
      </c>
      <c r="H45" s="54">
        <f t="shared" si="1"/>
        <v>9</v>
      </c>
      <c r="I45" s="54">
        <f t="shared" si="2"/>
        <v>16</v>
      </c>
      <c r="J45" s="54" t="e">
        <f t="shared" si="3"/>
        <v>#VALUE!</v>
      </c>
      <c r="K45" s="54" t="e">
        <f t="shared" si="4"/>
        <v>#VALUE!</v>
      </c>
      <c r="L45" s="54" t="str">
        <f>IFERROR(VLOOKUP(MID(G45,J45,K45-J45),[6]skilldef!$C:$D,2,FALSE),"-") &amp; " / " &amp; IFERROR(VLOOKUP(MID(G45,H45,I45-H45),[6]skilldef!$A:$B,2,FALSE),"-")</f>
        <v>- / 何もしない</v>
      </c>
      <c r="M45" s="54" t="str">
        <f t="shared" si="5"/>
        <v>none</v>
      </c>
      <c r="N45" s="39" t="str">
        <f t="shared" si="6"/>
        <v>none</v>
      </c>
      <c r="O45" s="54" t="e">
        <f t="shared" si="7"/>
        <v>#VALUE!</v>
      </c>
      <c r="P45" s="54">
        <f t="shared" si="8"/>
        <v>4</v>
      </c>
      <c r="Q45" s="54" t="e">
        <f t="shared" si="9"/>
        <v>#VALUE!</v>
      </c>
      <c r="R45" s="54" t="e">
        <f t="shared" si="10"/>
        <v>#VALUE!</v>
      </c>
      <c r="S45" s="54" t="str">
        <f>IFERROR(VLOOKUP(MID(N45,Q45,R45-Q45),[6]skilldef!$C:$D,2,FALSE),"-") &amp; " / " &amp; IFERROR(VLOOKUP(MID(N45,O45,P45-O45),[6]skilldef!$A:$B,2,FALSE),"-")</f>
        <v>- / -</v>
      </c>
      <c r="T45" s="39" t="str">
        <f t="shared" si="11"/>
        <v>none</v>
      </c>
      <c r="U45" s="54" t="e">
        <f t="shared" si="12"/>
        <v>#VALUE!</v>
      </c>
      <c r="V45" s="54">
        <f t="shared" si="13"/>
        <v>4</v>
      </c>
      <c r="W45" s="54" t="e">
        <f t="shared" si="14"/>
        <v>#VALUE!</v>
      </c>
      <c r="X45" s="54" t="e">
        <f t="shared" si="15"/>
        <v>#VALUE!</v>
      </c>
      <c r="Y45" s="54" t="str">
        <f>IFERROR(VLOOKUP(MID(T45,W45,X45-W45),[6]skilldef!$C:$D,2,FALSE),"-") &amp; " / " &amp; IFERROR(VLOOKUP(MID(T45,U45,V45-U45),[6]skilldef!$A:$B,2,FALSE),"-")</f>
        <v>- / -</v>
      </c>
      <c r="Z45" s="41"/>
      <c r="AA45" s="43"/>
      <c r="AB45" s="41"/>
    </row>
    <row r="46" spans="1:28" ht="21" customHeight="1" x14ac:dyDescent="0.15">
      <c r="A46" s="38">
        <v>41011045</v>
      </c>
      <c r="B46" s="38" t="s">
        <v>253</v>
      </c>
      <c r="C46" s="41">
        <v>3</v>
      </c>
      <c r="D46" s="41" t="s">
        <v>146</v>
      </c>
      <c r="E46" s="42" t="s">
        <v>305</v>
      </c>
      <c r="F46" s="42" t="s">
        <v>255</v>
      </c>
      <c r="G46" s="54" t="str">
        <f t="shared" si="0"/>
        <v>[effect:nothing]</v>
      </c>
      <c r="H46" s="54">
        <f t="shared" si="1"/>
        <v>9</v>
      </c>
      <c r="I46" s="54">
        <f t="shared" si="2"/>
        <v>16</v>
      </c>
      <c r="J46" s="54" t="e">
        <f t="shared" si="3"/>
        <v>#VALUE!</v>
      </c>
      <c r="K46" s="54" t="e">
        <f t="shared" si="4"/>
        <v>#VALUE!</v>
      </c>
      <c r="L46" s="54" t="str">
        <f>IFERROR(VLOOKUP(MID(G46,J46,K46-J46),[6]skilldef!$C:$D,2,FALSE),"-") &amp; " / " &amp; IFERROR(VLOOKUP(MID(G46,H46,I46-H46),[6]skilldef!$A:$B,2,FALSE),"-")</f>
        <v>- / 何もしない</v>
      </c>
      <c r="M46" s="54" t="str">
        <f t="shared" si="5"/>
        <v>none</v>
      </c>
      <c r="N46" s="39" t="str">
        <f t="shared" si="6"/>
        <v>none</v>
      </c>
      <c r="O46" s="54" t="e">
        <f t="shared" si="7"/>
        <v>#VALUE!</v>
      </c>
      <c r="P46" s="54">
        <f t="shared" si="8"/>
        <v>4</v>
      </c>
      <c r="Q46" s="54" t="e">
        <f t="shared" si="9"/>
        <v>#VALUE!</v>
      </c>
      <c r="R46" s="54" t="e">
        <f t="shared" si="10"/>
        <v>#VALUE!</v>
      </c>
      <c r="S46" s="54" t="str">
        <f>IFERROR(VLOOKUP(MID(N46,Q46,R46-Q46),[6]skilldef!$C:$D,2,FALSE),"-") &amp; " / " &amp; IFERROR(VLOOKUP(MID(N46,O46,P46-O46),[6]skilldef!$A:$B,2,FALSE),"-")</f>
        <v>- / -</v>
      </c>
      <c r="T46" s="39" t="str">
        <f t="shared" si="11"/>
        <v>none</v>
      </c>
      <c r="U46" s="54" t="e">
        <f t="shared" si="12"/>
        <v>#VALUE!</v>
      </c>
      <c r="V46" s="54">
        <f t="shared" si="13"/>
        <v>4</v>
      </c>
      <c r="W46" s="54" t="e">
        <f t="shared" si="14"/>
        <v>#VALUE!</v>
      </c>
      <c r="X46" s="54" t="e">
        <f t="shared" si="15"/>
        <v>#VALUE!</v>
      </c>
      <c r="Y46" s="54" t="str">
        <f>IFERROR(VLOOKUP(MID(T46,W46,X46-W46),[6]skilldef!$C:$D,2,FALSE),"-") &amp; " / " &amp; IFERROR(VLOOKUP(MID(T46,U46,V46-U46),[6]skilldef!$A:$B,2,FALSE),"-")</f>
        <v>- / -</v>
      </c>
      <c r="Z46" s="41"/>
      <c r="AA46" s="43"/>
      <c r="AB46" s="41"/>
    </row>
    <row r="47" spans="1:28" ht="21" customHeight="1" x14ac:dyDescent="0.15">
      <c r="A47" s="38">
        <v>41011046</v>
      </c>
      <c r="B47" s="38" t="s">
        <v>306</v>
      </c>
      <c r="C47" s="41">
        <v>3</v>
      </c>
      <c r="D47" s="41" t="s">
        <v>146</v>
      </c>
      <c r="E47" s="42" t="s">
        <v>301</v>
      </c>
      <c r="F47" s="42" t="s">
        <v>380</v>
      </c>
      <c r="G47" s="54" t="str">
        <f t="shared" si="0"/>
        <v>[effect:tolerance, target:myself, turn:-1, tolerance_effect:virus, count:-1]</v>
      </c>
      <c r="H47" s="54">
        <f t="shared" si="1"/>
        <v>9</v>
      </c>
      <c r="I47" s="54">
        <f t="shared" si="2"/>
        <v>18</v>
      </c>
      <c r="J47" s="54">
        <f t="shared" si="3"/>
        <v>27</v>
      </c>
      <c r="K47" s="54">
        <f t="shared" si="4"/>
        <v>33</v>
      </c>
      <c r="L47" s="54" t="str">
        <f>IFERROR(VLOOKUP(MID(G47,J47,K47-J47),[6]skilldef!$C:$D,2,FALSE),"-") &amp; " / " &amp; IFERROR(VLOOKUP(MID(G47,H47,I47-H47),[6]skilldef!$A:$B,2,FALSE),"-")</f>
        <v>自分自身に / 状態異常耐性</v>
      </c>
      <c r="M47" s="54" t="str">
        <f t="shared" si="5"/>
        <v>[effect:tolerance, target:myself, turn:-1, tolerance_effect:sleep, count:-1],[effect:tolerance, target:myself, turn:-1, tolerance_effect:hungup, count:-1, animation:enemy_tolerance],[effect:virus, turn:-1, rate:1, val:0.15, animation:enemy_virus]</v>
      </c>
      <c r="N47" s="39" t="str">
        <f t="shared" si="6"/>
        <v>[effect:tolerance, target:myself, turn:-1, tolerance_effect:sleep, count:-1],[effect:tolerance, target:myself, turn:-1, tolerance_effect:hungup, count:-1, animation:enemy_tolerance],[effect:virus, turn:-1, rate:1, val:0.15, animation:enemy_virus]</v>
      </c>
      <c r="O47" s="54">
        <f t="shared" si="7"/>
        <v>9</v>
      </c>
      <c r="P47" s="54">
        <f t="shared" si="8"/>
        <v>18</v>
      </c>
      <c r="Q47" s="54">
        <f t="shared" si="9"/>
        <v>27</v>
      </c>
      <c r="R47" s="54">
        <f t="shared" si="10"/>
        <v>33</v>
      </c>
      <c r="S47" s="54" t="str">
        <f>IFERROR(VLOOKUP(MID(N47,Q47,R47-Q47),[6]skilldef!$C:$D,2,FALSE),"-") &amp; " / " &amp; IFERROR(VLOOKUP(MID(N47,O47,P47-O47),[6]skilldef!$A:$B,2,FALSE),"-")</f>
        <v>自分自身に / 状態異常耐性</v>
      </c>
      <c r="T47" s="39" t="str">
        <f t="shared" si="11"/>
        <v>[effect:tolerance, target:myself, turn:-1, tolerance_effect:hungup, count:-1, animation:enemy_tolerance],[effect:virus, turn:-1, rate:1, val:0.15, animation:enemy_virus]</v>
      </c>
      <c r="U47" s="54">
        <f t="shared" si="12"/>
        <v>9</v>
      </c>
      <c r="V47" s="54">
        <f t="shared" si="13"/>
        <v>18</v>
      </c>
      <c r="W47" s="54">
        <f t="shared" si="14"/>
        <v>27</v>
      </c>
      <c r="X47" s="54">
        <f t="shared" si="15"/>
        <v>33</v>
      </c>
      <c r="Y47" s="54" t="str">
        <f>IFERROR(VLOOKUP(MID(T47,W47,X47-W47),[6]skilldef!$C:$D,2,FALSE),"-") &amp; " / " &amp; IFERROR(VLOOKUP(MID(T47,U47,V47-U47),[6]skilldef!$A:$B,2,FALSE),"-")</f>
        <v>自分自身に / 状態異常耐性</v>
      </c>
      <c r="Z47" s="41"/>
      <c r="AA47" s="43"/>
      <c r="AB47" s="41"/>
    </row>
    <row r="48" spans="1:28" ht="21" customHeight="1" x14ac:dyDescent="0.15">
      <c r="A48" s="38">
        <v>41011047</v>
      </c>
      <c r="B48" s="38" t="s">
        <v>302</v>
      </c>
      <c r="C48" s="41">
        <v>3</v>
      </c>
      <c r="D48" s="41" t="s">
        <v>146</v>
      </c>
      <c r="E48" s="42" t="s">
        <v>303</v>
      </c>
      <c r="F48" s="42" t="s">
        <v>386</v>
      </c>
      <c r="G48" s="54" t="str">
        <f t="shared" si="0"/>
        <v>[effect:damage_anti_tribe, target:unit_all, tribe:god, val1:0.7, val2:0.3]</v>
      </c>
      <c r="H48" s="54">
        <f t="shared" si="1"/>
        <v>9</v>
      </c>
      <c r="I48" s="54">
        <f t="shared" si="2"/>
        <v>26</v>
      </c>
      <c r="J48" s="54">
        <f t="shared" si="3"/>
        <v>35</v>
      </c>
      <c r="K48" s="54">
        <f t="shared" si="4"/>
        <v>43</v>
      </c>
      <c r="L48" s="54" t="str">
        <f>IFERROR(VLOOKUP(MID(G48,J48,K48-J48),[6]skilldef!$C:$D,2,FALSE),"-") &amp; " / " &amp; IFERROR(VLOOKUP(MID(G48,H48,I48-H48),[6]skilldef!$A:$B,2,FALSE),"-")</f>
        <v>味方全体に / 種族キラー</v>
      </c>
      <c r="M48" s="54" t="str">
        <f t="shared" si="5"/>
        <v>none</v>
      </c>
      <c r="N48" s="39" t="str">
        <f t="shared" si="6"/>
        <v>none</v>
      </c>
      <c r="O48" s="54" t="e">
        <f t="shared" si="7"/>
        <v>#VALUE!</v>
      </c>
      <c r="P48" s="54">
        <f t="shared" si="8"/>
        <v>4</v>
      </c>
      <c r="Q48" s="54" t="e">
        <f t="shared" si="9"/>
        <v>#VALUE!</v>
      </c>
      <c r="R48" s="54" t="e">
        <f t="shared" si="10"/>
        <v>#VALUE!</v>
      </c>
      <c r="S48" s="54" t="str">
        <f>IFERROR(VLOOKUP(MID(N48,Q48,R48-Q48),[6]skilldef!$C:$D,2,FALSE),"-") &amp; " / " &amp; IFERROR(VLOOKUP(MID(N48,O48,P48-O48),[6]skilldef!$A:$B,2,FALSE),"-")</f>
        <v>- / -</v>
      </c>
      <c r="T48" s="39" t="str">
        <f t="shared" si="11"/>
        <v>none</v>
      </c>
      <c r="U48" s="54" t="e">
        <f t="shared" si="12"/>
        <v>#VALUE!</v>
      </c>
      <c r="V48" s="54">
        <f t="shared" si="13"/>
        <v>4</v>
      </c>
      <c r="W48" s="54" t="e">
        <f t="shared" si="14"/>
        <v>#VALUE!</v>
      </c>
      <c r="X48" s="54" t="e">
        <f t="shared" si="15"/>
        <v>#VALUE!</v>
      </c>
      <c r="Y48" s="54" t="str">
        <f>IFERROR(VLOOKUP(MID(T48,W48,X48-W48),[6]skilldef!$C:$D,2,FALSE),"-") &amp; " / " &amp; IFERROR(VLOOKUP(MID(T48,U48,V48-U48),[6]skilldef!$A:$B,2,FALSE),"-")</f>
        <v>- / -</v>
      </c>
      <c r="Z48" s="41"/>
      <c r="AA48" s="43"/>
      <c r="AB48" s="41"/>
    </row>
    <row r="49" spans="1:28" ht="21" customHeight="1" x14ac:dyDescent="0.15">
      <c r="A49" s="38">
        <v>41011048</v>
      </c>
      <c r="B49" s="38" t="s">
        <v>258</v>
      </c>
      <c r="C49" s="41">
        <v>3</v>
      </c>
      <c r="D49" s="41" t="s">
        <v>146</v>
      </c>
      <c r="E49" s="42" t="s">
        <v>304</v>
      </c>
      <c r="F49" s="42" t="s">
        <v>359</v>
      </c>
      <c r="G49" s="54" t="str">
        <f t="shared" si="0"/>
        <v>[effect:rush, count:4, val:0.35]</v>
      </c>
      <c r="H49" s="54">
        <f t="shared" si="1"/>
        <v>9</v>
      </c>
      <c r="I49" s="54">
        <f t="shared" si="2"/>
        <v>13</v>
      </c>
      <c r="J49" s="54" t="e">
        <f t="shared" si="3"/>
        <v>#VALUE!</v>
      </c>
      <c r="K49" s="54">
        <f t="shared" si="4"/>
        <v>22</v>
      </c>
      <c r="L49" s="54" t="str">
        <f>IFERROR(VLOOKUP(MID(G49,J49,K49-J49),[6]skilldef!$C:$D,2,FALSE),"-") &amp; " / " &amp; IFERROR(VLOOKUP(MID(G49,H49,I49-H49),[6]skilldef!$A:$B,2,FALSE),"-")</f>
        <v>- / 連続攻撃</v>
      </c>
      <c r="M49" s="54" t="str">
        <f t="shared" si="5"/>
        <v>none</v>
      </c>
      <c r="N49" s="39" t="str">
        <f t="shared" si="6"/>
        <v>none</v>
      </c>
      <c r="O49" s="54" t="e">
        <f t="shared" si="7"/>
        <v>#VALUE!</v>
      </c>
      <c r="P49" s="54">
        <f t="shared" si="8"/>
        <v>4</v>
      </c>
      <c r="Q49" s="54" t="e">
        <f t="shared" si="9"/>
        <v>#VALUE!</v>
      </c>
      <c r="R49" s="54" t="e">
        <f t="shared" si="10"/>
        <v>#VALUE!</v>
      </c>
      <c r="S49" s="54" t="str">
        <f>IFERROR(VLOOKUP(MID(N49,Q49,R49-Q49),[6]skilldef!$C:$D,2,FALSE),"-") &amp; " / " &amp; IFERROR(VLOOKUP(MID(N49,O49,P49-O49),[6]skilldef!$A:$B,2,FALSE),"-")</f>
        <v>- / -</v>
      </c>
      <c r="T49" s="39" t="str">
        <f t="shared" si="11"/>
        <v>none</v>
      </c>
      <c r="U49" s="54" t="e">
        <f t="shared" si="12"/>
        <v>#VALUE!</v>
      </c>
      <c r="V49" s="54">
        <f t="shared" si="13"/>
        <v>4</v>
      </c>
      <c r="W49" s="54" t="e">
        <f t="shared" si="14"/>
        <v>#VALUE!</v>
      </c>
      <c r="X49" s="54" t="e">
        <f t="shared" si="15"/>
        <v>#VALUE!</v>
      </c>
      <c r="Y49" s="54" t="str">
        <f>IFERROR(VLOOKUP(MID(T49,W49,X49-W49),[6]skilldef!$C:$D,2,FALSE),"-") &amp; " / " &amp; IFERROR(VLOOKUP(MID(T49,U49,V49-U49),[6]skilldef!$A:$B,2,FALSE),"-")</f>
        <v>- / -</v>
      </c>
      <c r="Z49" s="41"/>
      <c r="AA49" s="43"/>
      <c r="AB49" s="41"/>
    </row>
    <row r="50" spans="1:28" ht="21" customHeight="1" x14ac:dyDescent="0.15">
      <c r="A50" s="38">
        <v>41011049</v>
      </c>
      <c r="B50" s="38" t="s">
        <v>307</v>
      </c>
      <c r="C50" s="41">
        <v>3</v>
      </c>
      <c r="D50" s="41" t="s">
        <v>308</v>
      </c>
      <c r="E50" s="42" t="s">
        <v>309</v>
      </c>
      <c r="F50" s="42" t="s">
        <v>390</v>
      </c>
      <c r="G50" s="54" t="str">
        <f t="shared" si="0"/>
        <v>[effect:sleep, target:unit_one, turn:2, rate:0.75]</v>
      </c>
      <c r="H50" s="54">
        <f t="shared" si="1"/>
        <v>9</v>
      </c>
      <c r="I50" s="54">
        <f t="shared" si="2"/>
        <v>14</v>
      </c>
      <c r="J50" s="54">
        <f t="shared" si="3"/>
        <v>23</v>
      </c>
      <c r="K50" s="54">
        <f t="shared" si="4"/>
        <v>31</v>
      </c>
      <c r="L50" s="54" t="str">
        <f>IFERROR(VLOOKUP(MID(G50,J50,K50-J50),[6]skilldef!$C:$D,2,FALSE),"-") &amp; " / " &amp; IFERROR(VLOOKUP(MID(G50,H50,I50-H50),[6]skilldef!$A:$B,2,FALSE),"-")</f>
        <v>味方単体に / スリープ</v>
      </c>
      <c r="M50" s="54" t="str">
        <f t="shared" si="5"/>
        <v>[effect:sleep, target:unit_one, turn:2, rate:0.75]</v>
      </c>
      <c r="N50" s="39" t="str">
        <f t="shared" si="6"/>
        <v>[effect:sleep, target:unit_one, turn:2, rate:0.75]</v>
      </c>
      <c r="O50" s="54">
        <f t="shared" si="7"/>
        <v>9</v>
      </c>
      <c r="P50" s="54">
        <f t="shared" si="8"/>
        <v>14</v>
      </c>
      <c r="Q50" s="54">
        <f t="shared" si="9"/>
        <v>23</v>
      </c>
      <c r="R50" s="54">
        <f t="shared" si="10"/>
        <v>31</v>
      </c>
      <c r="S50" s="54" t="str">
        <f>IFERROR(VLOOKUP(MID(N50,Q50,R50-Q50),[6]skilldef!$C:$D,2,FALSE),"-") &amp; " / " &amp; IFERROR(VLOOKUP(MID(N50,O50,P50-O50),[6]skilldef!$A:$B,2,FALSE),"-")</f>
        <v>味方単体に / スリープ</v>
      </c>
      <c r="T50" s="39" t="str">
        <f t="shared" si="11"/>
        <v>none</v>
      </c>
      <c r="U50" s="54" t="e">
        <f t="shared" si="12"/>
        <v>#VALUE!</v>
      </c>
      <c r="V50" s="54">
        <f t="shared" si="13"/>
        <v>4</v>
      </c>
      <c r="W50" s="54" t="e">
        <f t="shared" si="14"/>
        <v>#VALUE!</v>
      </c>
      <c r="X50" s="54" t="e">
        <f t="shared" si="15"/>
        <v>#VALUE!</v>
      </c>
      <c r="Y50" s="54" t="str">
        <f>IFERROR(VLOOKUP(MID(T50,W50,X50-W50),[6]skilldef!$C:$D,2,FALSE),"-") &amp; " / " &amp; IFERROR(VLOOKUP(MID(T50,U50,V50-U50),[6]skilldef!$A:$B,2,FALSE),"-")</f>
        <v>- / -</v>
      </c>
      <c r="Z50" s="41"/>
      <c r="AA50" s="43"/>
      <c r="AB50" s="41"/>
    </row>
    <row r="51" spans="1:28" ht="21" customHeight="1" x14ac:dyDescent="0.15">
      <c r="A51" s="38">
        <v>41011050</v>
      </c>
      <c r="B51" s="38" t="s">
        <v>310</v>
      </c>
      <c r="C51" s="41">
        <v>3</v>
      </c>
      <c r="D51" s="41" t="s">
        <v>308</v>
      </c>
      <c r="E51" s="42" t="s">
        <v>311</v>
      </c>
      <c r="F51" s="42" t="s">
        <v>389</v>
      </c>
      <c r="G51" s="54" t="str">
        <f t="shared" si="0"/>
        <v xml:space="preserve">[effect:damage_anti_abnormal, target:unit_all, target_effect01:sleep, val1:0.5, val2:0.1]    </v>
      </c>
      <c r="H51" s="54">
        <f t="shared" si="1"/>
        <v>9</v>
      </c>
      <c r="I51" s="54">
        <f t="shared" si="2"/>
        <v>29</v>
      </c>
      <c r="J51" s="54">
        <f t="shared" si="3"/>
        <v>38</v>
      </c>
      <c r="K51" s="54">
        <f t="shared" si="4"/>
        <v>46</v>
      </c>
      <c r="L51" s="54" t="str">
        <f>IFERROR(VLOOKUP(MID(G51,J51,K51-J51),[6]skilldef!$C:$D,2,FALSE),"-") &amp; " / " &amp; IFERROR(VLOOKUP(MID(G51,H51,I51-H51),[6]skilldef!$A:$B,2,FALSE),"-")</f>
        <v>味方全体に / -</v>
      </c>
      <c r="M51" s="54" t="str">
        <f t="shared" si="5"/>
        <v>none</v>
      </c>
      <c r="N51" s="39" t="str">
        <f t="shared" si="6"/>
        <v>none</v>
      </c>
      <c r="O51" s="54" t="e">
        <f t="shared" si="7"/>
        <v>#VALUE!</v>
      </c>
      <c r="P51" s="54">
        <f t="shared" si="8"/>
        <v>4</v>
      </c>
      <c r="Q51" s="54" t="e">
        <f t="shared" si="9"/>
        <v>#VALUE!</v>
      </c>
      <c r="R51" s="54" t="e">
        <f t="shared" si="10"/>
        <v>#VALUE!</v>
      </c>
      <c r="S51" s="54" t="str">
        <f>IFERROR(VLOOKUP(MID(N51,Q51,R51-Q51),[6]skilldef!$C:$D,2,FALSE),"-") &amp; " / " &amp; IFERROR(VLOOKUP(MID(N51,O51,P51-O51),[6]skilldef!$A:$B,2,FALSE),"-")</f>
        <v>- / -</v>
      </c>
      <c r="T51" s="39" t="str">
        <f t="shared" si="11"/>
        <v>none</v>
      </c>
      <c r="U51" s="54" t="e">
        <f t="shared" si="12"/>
        <v>#VALUE!</v>
      </c>
      <c r="V51" s="54">
        <f t="shared" si="13"/>
        <v>4</v>
      </c>
      <c r="W51" s="54" t="e">
        <f t="shared" si="14"/>
        <v>#VALUE!</v>
      </c>
      <c r="X51" s="54" t="e">
        <f t="shared" si="15"/>
        <v>#VALUE!</v>
      </c>
      <c r="Y51" s="54" t="str">
        <f>IFERROR(VLOOKUP(MID(T51,W51,X51-W51),[6]skilldef!$C:$D,2,FALSE),"-") &amp; " / " &amp; IFERROR(VLOOKUP(MID(T51,U51,V51-U51),[6]skilldef!$A:$B,2,FALSE),"-")</f>
        <v>- / -</v>
      </c>
      <c r="Z51" s="41"/>
      <c r="AA51" s="43"/>
      <c r="AB51" s="41"/>
    </row>
    <row r="52" spans="1:28" ht="21" customHeight="1" x14ac:dyDescent="0.15">
      <c r="A52" s="38">
        <v>41011051</v>
      </c>
      <c r="B52" s="38" t="s">
        <v>312</v>
      </c>
      <c r="C52" s="41">
        <v>3</v>
      </c>
      <c r="D52" s="41" t="s">
        <v>313</v>
      </c>
      <c r="E52" s="42" t="s">
        <v>314</v>
      </c>
      <c r="F52" s="42" t="s">
        <v>255</v>
      </c>
      <c r="G52" s="54" t="str">
        <f t="shared" si="0"/>
        <v>[effect:nothing]</v>
      </c>
      <c r="H52" s="54">
        <f t="shared" si="1"/>
        <v>9</v>
      </c>
      <c r="I52" s="54">
        <f t="shared" si="2"/>
        <v>16</v>
      </c>
      <c r="J52" s="54" t="e">
        <f t="shared" si="3"/>
        <v>#VALUE!</v>
      </c>
      <c r="K52" s="54" t="e">
        <f t="shared" si="4"/>
        <v>#VALUE!</v>
      </c>
      <c r="L52" s="54" t="str">
        <f>IFERROR(VLOOKUP(MID(G52,J52,K52-J52),[6]skilldef!$C:$D,2,FALSE),"-") &amp; " / " &amp; IFERROR(VLOOKUP(MID(G52,H52,I52-H52),[6]skilldef!$A:$B,2,FALSE),"-")</f>
        <v>- / 何もしない</v>
      </c>
      <c r="M52" s="54" t="str">
        <f t="shared" si="5"/>
        <v>none</v>
      </c>
      <c r="N52" s="39" t="str">
        <f t="shared" si="6"/>
        <v>none</v>
      </c>
      <c r="O52" s="54" t="e">
        <f t="shared" si="7"/>
        <v>#VALUE!</v>
      </c>
      <c r="P52" s="54">
        <f t="shared" si="8"/>
        <v>4</v>
      </c>
      <c r="Q52" s="54" t="e">
        <f t="shared" si="9"/>
        <v>#VALUE!</v>
      </c>
      <c r="R52" s="54" t="e">
        <f t="shared" si="10"/>
        <v>#VALUE!</v>
      </c>
      <c r="S52" s="54" t="str">
        <f>IFERROR(VLOOKUP(MID(N52,Q52,R52-Q52),[6]skilldef!$C:$D,2,FALSE),"-") &amp; " / " &amp; IFERROR(VLOOKUP(MID(N52,O52,P52-O52),[6]skilldef!$A:$B,2,FALSE),"-")</f>
        <v>- / -</v>
      </c>
      <c r="T52" s="39" t="str">
        <f t="shared" si="11"/>
        <v>none</v>
      </c>
      <c r="U52" s="54" t="e">
        <f t="shared" si="12"/>
        <v>#VALUE!</v>
      </c>
      <c r="V52" s="54">
        <f t="shared" si="13"/>
        <v>4</v>
      </c>
      <c r="W52" s="54" t="e">
        <f t="shared" si="14"/>
        <v>#VALUE!</v>
      </c>
      <c r="X52" s="54" t="e">
        <f t="shared" si="15"/>
        <v>#VALUE!</v>
      </c>
      <c r="Y52" s="54" t="str">
        <f>IFERROR(VLOOKUP(MID(T52,W52,X52-W52),[6]skilldef!$C:$D,2,FALSE),"-") &amp; " / " &amp; IFERROR(VLOOKUP(MID(T52,U52,V52-U52),[6]skilldef!$A:$B,2,FALSE),"-")</f>
        <v>- / -</v>
      </c>
      <c r="Z52" s="41"/>
      <c r="AA52" s="43"/>
      <c r="AB52" s="41"/>
    </row>
    <row r="53" spans="1:28" ht="21" customHeight="1" x14ac:dyDescent="0.15">
      <c r="A53" s="38">
        <v>41011052</v>
      </c>
      <c r="B53" s="38" t="s">
        <v>253</v>
      </c>
      <c r="C53" s="41">
        <v>3</v>
      </c>
      <c r="D53" s="41" t="s">
        <v>146</v>
      </c>
      <c r="E53" s="42" t="s">
        <v>314</v>
      </c>
      <c r="F53" s="42" t="s">
        <v>255</v>
      </c>
      <c r="G53" s="54" t="str">
        <f t="shared" si="0"/>
        <v>[effect:nothing]</v>
      </c>
      <c r="H53" s="54">
        <f t="shared" si="1"/>
        <v>9</v>
      </c>
      <c r="I53" s="54">
        <f t="shared" si="2"/>
        <v>16</v>
      </c>
      <c r="J53" s="54" t="e">
        <f t="shared" si="3"/>
        <v>#VALUE!</v>
      </c>
      <c r="K53" s="54" t="e">
        <f t="shared" si="4"/>
        <v>#VALUE!</v>
      </c>
      <c r="L53" s="54" t="str">
        <f>IFERROR(VLOOKUP(MID(G53,J53,K53-J53),[6]skilldef!$C:$D,2,FALSE),"-") &amp; " / " &amp; IFERROR(VLOOKUP(MID(G53,H53,I53-H53),[6]skilldef!$A:$B,2,FALSE),"-")</f>
        <v>- / 何もしない</v>
      </c>
      <c r="M53" s="54" t="str">
        <f t="shared" si="5"/>
        <v>none</v>
      </c>
      <c r="N53" s="39" t="str">
        <f t="shared" si="6"/>
        <v>none</v>
      </c>
      <c r="O53" s="54" t="e">
        <f t="shared" si="7"/>
        <v>#VALUE!</v>
      </c>
      <c r="P53" s="54">
        <f t="shared" si="8"/>
        <v>4</v>
      </c>
      <c r="Q53" s="54" t="e">
        <f t="shared" si="9"/>
        <v>#VALUE!</v>
      </c>
      <c r="R53" s="54" t="e">
        <f t="shared" si="10"/>
        <v>#VALUE!</v>
      </c>
      <c r="S53" s="54" t="str">
        <f>IFERROR(VLOOKUP(MID(N53,Q53,R53-Q53),[6]skilldef!$C:$D,2,FALSE),"-") &amp; " / " &amp; IFERROR(VLOOKUP(MID(N53,O53,P53-O53),[6]skilldef!$A:$B,2,FALSE),"-")</f>
        <v>- / -</v>
      </c>
      <c r="T53" s="39" t="str">
        <f t="shared" si="11"/>
        <v>none</v>
      </c>
      <c r="U53" s="54" t="e">
        <f t="shared" si="12"/>
        <v>#VALUE!</v>
      </c>
      <c r="V53" s="54">
        <f t="shared" si="13"/>
        <v>4</v>
      </c>
      <c r="W53" s="54" t="e">
        <f t="shared" si="14"/>
        <v>#VALUE!</v>
      </c>
      <c r="X53" s="54" t="e">
        <f t="shared" si="15"/>
        <v>#VALUE!</v>
      </c>
      <c r="Y53" s="54" t="str">
        <f>IFERROR(VLOOKUP(MID(T53,W53,X53-W53),[6]skilldef!$C:$D,2,FALSE),"-") &amp; " / " &amp; IFERROR(VLOOKUP(MID(T53,U53,V53-U53),[6]skilldef!$A:$B,2,FALSE),"-")</f>
        <v>- / -</v>
      </c>
      <c r="Z53" s="41"/>
      <c r="AA53" s="43"/>
      <c r="AB53" s="41"/>
    </row>
    <row r="54" spans="1:28" ht="21" customHeight="1" x14ac:dyDescent="0.15">
      <c r="A54" s="38">
        <v>41011053</v>
      </c>
      <c r="B54" s="38" t="s">
        <v>315</v>
      </c>
      <c r="C54" s="41">
        <v>3</v>
      </c>
      <c r="D54" s="41" t="s">
        <v>316</v>
      </c>
      <c r="E54" s="42" t="s">
        <v>314</v>
      </c>
      <c r="F54" s="42" t="s">
        <v>255</v>
      </c>
      <c r="G54" s="54" t="str">
        <f t="shared" si="0"/>
        <v>[effect:nothing]</v>
      </c>
      <c r="H54" s="54">
        <f t="shared" si="1"/>
        <v>9</v>
      </c>
      <c r="I54" s="54">
        <f t="shared" si="2"/>
        <v>16</v>
      </c>
      <c r="J54" s="54" t="e">
        <f t="shared" si="3"/>
        <v>#VALUE!</v>
      </c>
      <c r="K54" s="54" t="e">
        <f t="shared" si="4"/>
        <v>#VALUE!</v>
      </c>
      <c r="L54" s="54" t="str">
        <f>IFERROR(VLOOKUP(MID(G54,J54,K54-J54),[6]skilldef!$C:$D,2,FALSE),"-") &amp; " / " &amp; IFERROR(VLOOKUP(MID(G54,H54,I54-H54),[6]skilldef!$A:$B,2,FALSE),"-")</f>
        <v>- / 何もしない</v>
      </c>
      <c r="M54" s="54" t="str">
        <f t="shared" si="5"/>
        <v>none</v>
      </c>
      <c r="N54" s="39" t="str">
        <f t="shared" si="6"/>
        <v>none</v>
      </c>
      <c r="O54" s="54" t="e">
        <f t="shared" si="7"/>
        <v>#VALUE!</v>
      </c>
      <c r="P54" s="54">
        <f t="shared" si="8"/>
        <v>4</v>
      </c>
      <c r="Q54" s="54" t="e">
        <f t="shared" si="9"/>
        <v>#VALUE!</v>
      </c>
      <c r="R54" s="54" t="e">
        <f t="shared" si="10"/>
        <v>#VALUE!</v>
      </c>
      <c r="S54" s="54" t="str">
        <f>IFERROR(VLOOKUP(MID(N54,Q54,R54-Q54),[6]skilldef!$C:$D,2,FALSE),"-") &amp; " / " &amp; IFERROR(VLOOKUP(MID(N54,O54,P54-O54),[6]skilldef!$A:$B,2,FALSE),"-")</f>
        <v>- / -</v>
      </c>
      <c r="T54" s="39" t="str">
        <f t="shared" si="11"/>
        <v>none</v>
      </c>
      <c r="U54" s="54" t="e">
        <f t="shared" si="12"/>
        <v>#VALUE!</v>
      </c>
      <c r="V54" s="54">
        <f t="shared" si="13"/>
        <v>4</v>
      </c>
      <c r="W54" s="54" t="e">
        <f t="shared" si="14"/>
        <v>#VALUE!</v>
      </c>
      <c r="X54" s="54" t="e">
        <f t="shared" si="15"/>
        <v>#VALUE!</v>
      </c>
      <c r="Y54" s="54" t="str">
        <f>IFERROR(VLOOKUP(MID(T54,W54,X54-W54),[6]skilldef!$C:$D,2,FALSE),"-") &amp; " / " &amp; IFERROR(VLOOKUP(MID(T54,U54,V54-U54),[6]skilldef!$A:$B,2,FALSE),"-")</f>
        <v>- / -</v>
      </c>
      <c r="Z54" s="41"/>
      <c r="AA54" s="43"/>
      <c r="AB54" s="41"/>
    </row>
    <row r="55" spans="1:28" ht="21" customHeight="1" x14ac:dyDescent="0.15">
      <c r="A55" s="38">
        <v>41011054</v>
      </c>
      <c r="B55" s="38" t="s">
        <v>253</v>
      </c>
      <c r="C55" s="41">
        <v>3</v>
      </c>
      <c r="D55" s="41" t="s">
        <v>146</v>
      </c>
      <c r="E55" s="42" t="s">
        <v>314</v>
      </c>
      <c r="F55" s="42" t="s">
        <v>255</v>
      </c>
      <c r="G55" s="54" t="str">
        <f t="shared" si="0"/>
        <v>[effect:nothing]</v>
      </c>
      <c r="H55" s="54">
        <f t="shared" si="1"/>
        <v>9</v>
      </c>
      <c r="I55" s="54">
        <f t="shared" si="2"/>
        <v>16</v>
      </c>
      <c r="J55" s="54" t="e">
        <f t="shared" si="3"/>
        <v>#VALUE!</v>
      </c>
      <c r="K55" s="54" t="e">
        <f t="shared" si="4"/>
        <v>#VALUE!</v>
      </c>
      <c r="L55" s="54" t="str">
        <f>IFERROR(VLOOKUP(MID(G55,J55,K55-J55),[6]skilldef!$C:$D,2,FALSE),"-") &amp; " / " &amp; IFERROR(VLOOKUP(MID(G55,H55,I55-H55),[6]skilldef!$A:$B,2,FALSE),"-")</f>
        <v>- / 何もしない</v>
      </c>
      <c r="M55" s="54" t="str">
        <f t="shared" si="5"/>
        <v>none</v>
      </c>
      <c r="N55" s="39" t="str">
        <f t="shared" si="6"/>
        <v>none</v>
      </c>
      <c r="O55" s="54" t="e">
        <f t="shared" si="7"/>
        <v>#VALUE!</v>
      </c>
      <c r="P55" s="54">
        <f t="shared" si="8"/>
        <v>4</v>
      </c>
      <c r="Q55" s="54" t="e">
        <f t="shared" si="9"/>
        <v>#VALUE!</v>
      </c>
      <c r="R55" s="54" t="e">
        <f t="shared" si="10"/>
        <v>#VALUE!</v>
      </c>
      <c r="S55" s="54" t="str">
        <f>IFERROR(VLOOKUP(MID(N55,Q55,R55-Q55),[6]skilldef!$C:$D,2,FALSE),"-") &amp; " / " &amp; IFERROR(VLOOKUP(MID(N55,O55,P55-O55),[6]skilldef!$A:$B,2,FALSE),"-")</f>
        <v>- / -</v>
      </c>
      <c r="T55" s="39" t="str">
        <f t="shared" si="11"/>
        <v>none</v>
      </c>
      <c r="U55" s="54" t="e">
        <f t="shared" si="12"/>
        <v>#VALUE!</v>
      </c>
      <c r="V55" s="54">
        <f t="shared" si="13"/>
        <v>4</v>
      </c>
      <c r="W55" s="54" t="e">
        <f t="shared" si="14"/>
        <v>#VALUE!</v>
      </c>
      <c r="X55" s="54" t="e">
        <f t="shared" si="15"/>
        <v>#VALUE!</v>
      </c>
      <c r="Y55" s="54" t="str">
        <f>IFERROR(VLOOKUP(MID(T55,W55,X55-W55),[6]skilldef!$C:$D,2,FALSE),"-") &amp; " / " &amp; IFERROR(VLOOKUP(MID(T55,U55,V55-U55),[6]skilldef!$A:$B,2,FALSE),"-")</f>
        <v>- / -</v>
      </c>
      <c r="Z55" s="41"/>
      <c r="AA55" s="43"/>
      <c r="AB55" s="41"/>
    </row>
    <row r="56" spans="1:28" ht="21" customHeight="1" x14ac:dyDescent="0.15">
      <c r="A56" s="38">
        <v>41011055</v>
      </c>
      <c r="B56" s="38" t="s">
        <v>253</v>
      </c>
      <c r="C56" s="41">
        <v>3</v>
      </c>
      <c r="D56" s="41" t="s">
        <v>146</v>
      </c>
      <c r="E56" s="42" t="s">
        <v>314</v>
      </c>
      <c r="F56" s="42" t="s">
        <v>255</v>
      </c>
      <c r="G56" s="54" t="str">
        <f t="shared" si="0"/>
        <v>[effect:nothing]</v>
      </c>
      <c r="H56" s="54">
        <f t="shared" si="1"/>
        <v>9</v>
      </c>
      <c r="I56" s="54">
        <f t="shared" si="2"/>
        <v>16</v>
      </c>
      <c r="J56" s="54" t="e">
        <f t="shared" si="3"/>
        <v>#VALUE!</v>
      </c>
      <c r="K56" s="54" t="e">
        <f t="shared" si="4"/>
        <v>#VALUE!</v>
      </c>
      <c r="L56" s="54" t="str">
        <f>IFERROR(VLOOKUP(MID(G56,J56,K56-J56),[6]skilldef!$C:$D,2,FALSE),"-") &amp; " / " &amp; IFERROR(VLOOKUP(MID(G56,H56,I56-H56),[6]skilldef!$A:$B,2,FALSE),"-")</f>
        <v>- / 何もしない</v>
      </c>
      <c r="M56" s="54" t="str">
        <f t="shared" si="5"/>
        <v>none</v>
      </c>
      <c r="N56" s="39" t="str">
        <f t="shared" si="6"/>
        <v>none</v>
      </c>
      <c r="O56" s="54" t="e">
        <f t="shared" si="7"/>
        <v>#VALUE!</v>
      </c>
      <c r="P56" s="54">
        <f t="shared" si="8"/>
        <v>4</v>
      </c>
      <c r="Q56" s="54" t="e">
        <f t="shared" si="9"/>
        <v>#VALUE!</v>
      </c>
      <c r="R56" s="54" t="e">
        <f t="shared" si="10"/>
        <v>#VALUE!</v>
      </c>
      <c r="S56" s="54" t="str">
        <f>IFERROR(VLOOKUP(MID(N56,Q56,R56-Q56),[6]skilldef!$C:$D,2,FALSE),"-") &amp; " / " &amp; IFERROR(VLOOKUP(MID(N56,O56,P56-O56),[6]skilldef!$A:$B,2,FALSE),"-")</f>
        <v>- / -</v>
      </c>
      <c r="T56" s="39" t="str">
        <f t="shared" si="11"/>
        <v>none</v>
      </c>
      <c r="U56" s="54" t="e">
        <f t="shared" si="12"/>
        <v>#VALUE!</v>
      </c>
      <c r="V56" s="54">
        <f t="shared" si="13"/>
        <v>4</v>
      </c>
      <c r="W56" s="54" t="e">
        <f t="shared" si="14"/>
        <v>#VALUE!</v>
      </c>
      <c r="X56" s="54" t="e">
        <f t="shared" si="15"/>
        <v>#VALUE!</v>
      </c>
      <c r="Y56" s="54" t="str">
        <f>IFERROR(VLOOKUP(MID(T56,W56,X56-W56),[6]skilldef!$C:$D,2,FALSE),"-") &amp; " / " &amp; IFERROR(VLOOKUP(MID(T56,U56,V56-U56),[6]skilldef!$A:$B,2,FALSE),"-")</f>
        <v>- / -</v>
      </c>
      <c r="Z56" s="41"/>
      <c r="AA56" s="43"/>
      <c r="AB56" s="41"/>
    </row>
    <row r="57" spans="1:28" ht="21" customHeight="1" x14ac:dyDescent="0.15">
      <c r="A57" s="38">
        <v>41011056</v>
      </c>
      <c r="B57" s="38" t="s">
        <v>317</v>
      </c>
      <c r="C57" s="41">
        <v>3</v>
      </c>
      <c r="D57" s="41" t="s">
        <v>146</v>
      </c>
      <c r="E57" s="42" t="s">
        <v>318</v>
      </c>
      <c r="F57" s="42" t="s">
        <v>384</v>
      </c>
      <c r="G57" s="54" t="str">
        <f t="shared" si="0"/>
        <v>[effect:tolerance, target:myself, turn:-1, tolerance_effect:virus, count:-1]</v>
      </c>
      <c r="H57" s="54">
        <f t="shared" si="1"/>
        <v>9</v>
      </c>
      <c r="I57" s="54">
        <f t="shared" si="2"/>
        <v>18</v>
      </c>
      <c r="J57" s="54">
        <f t="shared" si="3"/>
        <v>27</v>
      </c>
      <c r="K57" s="54">
        <f t="shared" si="4"/>
        <v>33</v>
      </c>
      <c r="L57" s="54" t="str">
        <f>IFERROR(VLOOKUP(MID(G57,J57,K57-J57),[6]skilldef!$C:$D,2,FALSE),"-") &amp; " / " &amp; IFERROR(VLOOKUP(MID(G57,H57,I57-H57),[6]skilldef!$A:$B,2,FALSE),"-")</f>
        <v>自分自身に / 状態異常耐性</v>
      </c>
      <c r="M57" s="54" t="str">
        <f t="shared" si="5"/>
        <v>[effect:tolerance, target:myself, turn:-1, tolerance_effect:sleep, count:-1],[effect:tolerance, target:myself, turn:-1, tolerance_effect:hungup, count:-1, animation:enemy_tolerance],[effect:enhance_enemy, target:myself, turn:5, status:defense, val:2000, calc:add, animation:enemy_enhance_defense],[effect:fix_speed, target:myself, turn:1]</v>
      </c>
      <c r="N57" s="39" t="str">
        <f t="shared" si="6"/>
        <v>[effect:tolerance, target:myself, turn:-1, tolerance_effect:sleep, count:-1],[effect:tolerance, target:myself, turn:-1, tolerance_effect:hungup, count:-1, animation:enemy_tolerance],[effect:enhance_enemy, target:myself, turn:5, status:defense, val:2000, calc:add, animation:enemy_enhance_defense],[effect:fix_speed, target:myself, turn:1]</v>
      </c>
      <c r="O57" s="54">
        <f t="shared" si="7"/>
        <v>9</v>
      </c>
      <c r="P57" s="54">
        <f t="shared" si="8"/>
        <v>18</v>
      </c>
      <c r="Q57" s="54">
        <f t="shared" si="9"/>
        <v>27</v>
      </c>
      <c r="R57" s="54">
        <f t="shared" si="10"/>
        <v>33</v>
      </c>
      <c r="S57" s="54" t="str">
        <f>IFERROR(VLOOKUP(MID(N57,Q57,R57-Q57),[6]skilldef!$C:$D,2,FALSE),"-") &amp; " / " &amp; IFERROR(VLOOKUP(MID(N57,O57,P57-O57),[6]skilldef!$A:$B,2,FALSE),"-")</f>
        <v>自分自身に / 状態異常耐性</v>
      </c>
      <c r="T57" s="39" t="str">
        <f t="shared" si="11"/>
        <v>[effect:tolerance, target:myself, turn:-1, tolerance_effect:hungup, count:-1, animation:enemy_tolerance],[effect:enhance_enemy, target:myself, turn:5, status:defense, val:2000, calc:add, animation:enemy_enhance_defense],[effect:fix_speed, target:myself, turn:1]</v>
      </c>
      <c r="U57" s="54">
        <f t="shared" si="12"/>
        <v>9</v>
      </c>
      <c r="V57" s="54">
        <f t="shared" si="13"/>
        <v>18</v>
      </c>
      <c r="W57" s="54">
        <f t="shared" si="14"/>
        <v>27</v>
      </c>
      <c r="X57" s="54">
        <f t="shared" si="15"/>
        <v>33</v>
      </c>
      <c r="Y57" s="54" t="str">
        <f>IFERROR(VLOOKUP(MID(T57,W57,X57-W57),[6]skilldef!$C:$D,2,FALSE),"-") &amp; " / " &amp; IFERROR(VLOOKUP(MID(T57,U57,V57-U57),[6]skilldef!$A:$B,2,FALSE),"-")</f>
        <v>自分自身に / 状態異常耐性</v>
      </c>
      <c r="Z57" s="41"/>
      <c r="AA57" s="43"/>
      <c r="AB57" s="41"/>
    </row>
    <row r="58" spans="1:28" ht="21" customHeight="1" x14ac:dyDescent="0.15">
      <c r="A58" s="38">
        <v>41011057</v>
      </c>
      <c r="B58" s="38" t="s">
        <v>302</v>
      </c>
      <c r="C58" s="41">
        <v>3</v>
      </c>
      <c r="D58" s="41" t="s">
        <v>146</v>
      </c>
      <c r="E58" s="42" t="s">
        <v>303</v>
      </c>
      <c r="F58" s="42" t="s">
        <v>387</v>
      </c>
      <c r="G58" s="54" t="str">
        <f t="shared" si="0"/>
        <v>[effect:damage_anti_tribe, target:unit_all, tribe:god, val1:0.7, val2:0.3]</v>
      </c>
      <c r="H58" s="54">
        <f t="shared" si="1"/>
        <v>9</v>
      </c>
      <c r="I58" s="54">
        <f t="shared" si="2"/>
        <v>26</v>
      </c>
      <c r="J58" s="54">
        <f t="shared" si="3"/>
        <v>35</v>
      </c>
      <c r="K58" s="54">
        <f t="shared" si="4"/>
        <v>43</v>
      </c>
      <c r="L58" s="54" t="str">
        <f>IFERROR(VLOOKUP(MID(G58,J58,K58-J58),[6]skilldef!$C:$D,2,FALSE),"-") &amp; " / " &amp; IFERROR(VLOOKUP(MID(G58,H58,I58-H58),[6]skilldef!$A:$B,2,FALSE),"-")</f>
        <v>味方全体に / 種族キラー</v>
      </c>
      <c r="M58" s="54" t="str">
        <f t="shared" si="5"/>
        <v>none</v>
      </c>
      <c r="N58" s="39" t="str">
        <f t="shared" si="6"/>
        <v>none</v>
      </c>
      <c r="O58" s="54" t="e">
        <f t="shared" si="7"/>
        <v>#VALUE!</v>
      </c>
      <c r="P58" s="54">
        <f t="shared" si="8"/>
        <v>4</v>
      </c>
      <c r="Q58" s="54" t="e">
        <f t="shared" si="9"/>
        <v>#VALUE!</v>
      </c>
      <c r="R58" s="54" t="e">
        <f t="shared" si="10"/>
        <v>#VALUE!</v>
      </c>
      <c r="S58" s="54" t="str">
        <f>IFERROR(VLOOKUP(MID(N58,Q58,R58-Q58),[6]skilldef!$C:$D,2,FALSE),"-") &amp; " / " &amp; IFERROR(VLOOKUP(MID(N58,O58,P58-O58),[6]skilldef!$A:$B,2,FALSE),"-")</f>
        <v>- / -</v>
      </c>
      <c r="T58" s="39" t="str">
        <f t="shared" si="11"/>
        <v>none</v>
      </c>
      <c r="U58" s="54" t="e">
        <f t="shared" si="12"/>
        <v>#VALUE!</v>
      </c>
      <c r="V58" s="54">
        <f t="shared" si="13"/>
        <v>4</v>
      </c>
      <c r="W58" s="54" t="e">
        <f t="shared" si="14"/>
        <v>#VALUE!</v>
      </c>
      <c r="X58" s="54" t="e">
        <f t="shared" si="15"/>
        <v>#VALUE!</v>
      </c>
      <c r="Y58" s="54" t="str">
        <f>IFERROR(VLOOKUP(MID(T58,W58,X58-W58),[6]skilldef!$C:$D,2,FALSE),"-") &amp; " / " &amp; IFERROR(VLOOKUP(MID(T58,U58,V58-U58),[6]skilldef!$A:$B,2,FALSE),"-")</f>
        <v>- / -</v>
      </c>
      <c r="Z58" s="41"/>
      <c r="AA58" s="43"/>
      <c r="AB58" s="41"/>
    </row>
    <row r="59" spans="1:28" ht="21" customHeight="1" x14ac:dyDescent="0.15">
      <c r="A59" s="38">
        <v>41011058</v>
      </c>
      <c r="B59" s="38" t="s">
        <v>319</v>
      </c>
      <c r="C59" s="41">
        <v>3</v>
      </c>
      <c r="D59" s="41" t="s">
        <v>146</v>
      </c>
      <c r="E59" s="42" t="s">
        <v>304</v>
      </c>
      <c r="F59" s="42" t="s">
        <v>359</v>
      </c>
      <c r="G59" s="54" t="str">
        <f t="shared" si="0"/>
        <v>[effect:rush, count:4, val:0.3]</v>
      </c>
      <c r="H59" s="54">
        <f t="shared" si="1"/>
        <v>9</v>
      </c>
      <c r="I59" s="54">
        <f t="shared" si="2"/>
        <v>13</v>
      </c>
      <c r="J59" s="54" t="e">
        <f t="shared" si="3"/>
        <v>#VALUE!</v>
      </c>
      <c r="K59" s="54">
        <f t="shared" si="4"/>
        <v>22</v>
      </c>
      <c r="L59" s="54" t="str">
        <f>IFERROR(VLOOKUP(MID(G59,J59,K59-J59),[6]skilldef!$C:$D,2,FALSE),"-") &amp; " / " &amp; IFERROR(VLOOKUP(MID(G59,H59,I59-H59),[6]skilldef!$A:$B,2,FALSE),"-")</f>
        <v>- / 連続攻撃</v>
      </c>
      <c r="M59" s="54" t="str">
        <f t="shared" si="5"/>
        <v>none</v>
      </c>
      <c r="N59" s="39" t="str">
        <f t="shared" si="6"/>
        <v>none</v>
      </c>
      <c r="O59" s="54" t="e">
        <f t="shared" si="7"/>
        <v>#VALUE!</v>
      </c>
      <c r="P59" s="54">
        <f t="shared" si="8"/>
        <v>4</v>
      </c>
      <c r="Q59" s="54" t="e">
        <f t="shared" si="9"/>
        <v>#VALUE!</v>
      </c>
      <c r="R59" s="54" t="e">
        <f t="shared" si="10"/>
        <v>#VALUE!</v>
      </c>
      <c r="S59" s="54" t="str">
        <f>IFERROR(VLOOKUP(MID(N59,Q59,R59-Q59),[6]skilldef!$C:$D,2,FALSE),"-") &amp; " / " &amp; IFERROR(VLOOKUP(MID(N59,O59,P59-O59),[6]skilldef!$A:$B,2,FALSE),"-")</f>
        <v>- / -</v>
      </c>
      <c r="T59" s="39" t="str">
        <f t="shared" si="11"/>
        <v>none</v>
      </c>
      <c r="U59" s="54" t="e">
        <f t="shared" si="12"/>
        <v>#VALUE!</v>
      </c>
      <c r="V59" s="54">
        <f t="shared" si="13"/>
        <v>4</v>
      </c>
      <c r="W59" s="54" t="e">
        <f t="shared" si="14"/>
        <v>#VALUE!</v>
      </c>
      <c r="X59" s="54" t="e">
        <f t="shared" si="15"/>
        <v>#VALUE!</v>
      </c>
      <c r="Y59" s="54" t="str">
        <f>IFERROR(VLOOKUP(MID(T59,W59,X59-W59),[6]skilldef!$C:$D,2,FALSE),"-") &amp; " / " &amp; IFERROR(VLOOKUP(MID(T59,U59,V59-U59),[6]skilldef!$A:$B,2,FALSE),"-")</f>
        <v>- / -</v>
      </c>
      <c r="Z59" s="41"/>
      <c r="AA59" s="43"/>
      <c r="AB59" s="41"/>
    </row>
    <row r="60" spans="1:28" ht="21" customHeight="1" x14ac:dyDescent="0.15">
      <c r="A60" s="38">
        <v>41011059</v>
      </c>
      <c r="B60" s="38" t="s">
        <v>287</v>
      </c>
      <c r="C60" s="41">
        <v>3</v>
      </c>
      <c r="D60" s="41" t="s">
        <v>146</v>
      </c>
      <c r="E60" s="42" t="s">
        <v>320</v>
      </c>
      <c r="F60" s="42" t="s">
        <v>392</v>
      </c>
      <c r="G60" s="54" t="str">
        <f t="shared" si="0"/>
        <v>[effect:enhance_enemy, target:myself, turn:3, status:attack, val:1.2, calc:mul, animation:enemy_enhance_attack]</v>
      </c>
      <c r="H60" s="54">
        <f t="shared" si="1"/>
        <v>9</v>
      </c>
      <c r="I60" s="54">
        <f t="shared" si="2"/>
        <v>22</v>
      </c>
      <c r="J60" s="54">
        <f t="shared" si="3"/>
        <v>31</v>
      </c>
      <c r="K60" s="54">
        <f t="shared" si="4"/>
        <v>37</v>
      </c>
      <c r="L60" s="54" t="str">
        <f>IFERROR(VLOOKUP(MID(G60,J60,K60-J60),[6]skilldef!$C:$D,2,FALSE),"-") &amp; " / " &amp; IFERROR(VLOOKUP(MID(G60,H60,I60-H60),[6]skilldef!$A:$B,2,FALSE),"-")</f>
        <v>自分自身に / ステータス強化</v>
      </c>
      <c r="M60" s="54" t="str">
        <f t="shared" si="5"/>
        <v>none</v>
      </c>
      <c r="N60" s="39" t="str">
        <f>IFERROR(LEFT(M60,FIND("],",M60)+S71),M60)</f>
        <v>none</v>
      </c>
      <c r="O60" s="54" t="e">
        <f t="shared" si="7"/>
        <v>#VALUE!</v>
      </c>
      <c r="P60" s="54">
        <f t="shared" si="8"/>
        <v>4</v>
      </c>
      <c r="Q60" s="54" t="e">
        <f t="shared" si="9"/>
        <v>#VALUE!</v>
      </c>
      <c r="R60" s="54" t="e">
        <f t="shared" si="10"/>
        <v>#VALUE!</v>
      </c>
      <c r="S60" s="54" t="str">
        <f>IFERROR(VLOOKUP(MID(N60,Q60,R60-Q60),[6]skilldef!$C:$D,2,FALSE),"-") &amp; " / " &amp; IFERROR(VLOOKUP(MID(N60,O60,P60-O60),[6]skilldef!$A:$B,2,FALSE),"-")</f>
        <v>- / -</v>
      </c>
      <c r="T60" s="39" t="str">
        <f t="shared" si="11"/>
        <v>none</v>
      </c>
      <c r="U60" s="54" t="e">
        <f t="shared" si="12"/>
        <v>#VALUE!</v>
      </c>
      <c r="V60" s="54">
        <f t="shared" si="13"/>
        <v>4</v>
      </c>
      <c r="W60" s="54" t="e">
        <f t="shared" si="14"/>
        <v>#VALUE!</v>
      </c>
      <c r="X60" s="54" t="e">
        <f t="shared" si="15"/>
        <v>#VALUE!</v>
      </c>
      <c r="Y60" s="54" t="str">
        <f>IFERROR(VLOOKUP(MID(T60,W60,X60-W60),[6]skilldef!$C:$D,2,FALSE),"-") &amp; " / " &amp; IFERROR(VLOOKUP(MID(T60,U60,V60-U60),[6]skilldef!$A:$B,2,FALSE),"-")</f>
        <v>- / -</v>
      </c>
      <c r="Z60" s="41"/>
      <c r="AA60" s="43"/>
      <c r="AB60" s="41"/>
    </row>
    <row r="61" spans="1:28" ht="21" customHeight="1" x14ac:dyDescent="0.15">
      <c r="A61" s="38">
        <v>41011060</v>
      </c>
      <c r="B61" s="38" t="s">
        <v>321</v>
      </c>
      <c r="C61" s="41">
        <v>3</v>
      </c>
      <c r="D61" s="41" t="s">
        <v>146</v>
      </c>
      <c r="E61" s="42" t="s">
        <v>322</v>
      </c>
      <c r="F61" s="42" t="s">
        <v>391</v>
      </c>
      <c r="G61" s="54" t="str">
        <f t="shared" si="0"/>
        <v>[effect:remove_enhancement, target:unit_all, target_effect:enhance, target_type:buff, animation:frozen_wave]</v>
      </c>
      <c r="H61" s="54">
        <f t="shared" si="1"/>
        <v>9</v>
      </c>
      <c r="I61" s="54">
        <f t="shared" si="2"/>
        <v>27</v>
      </c>
      <c r="J61" s="54">
        <f t="shared" si="3"/>
        <v>36</v>
      </c>
      <c r="K61" s="54">
        <f t="shared" si="4"/>
        <v>44</v>
      </c>
      <c r="L61" s="54" t="str">
        <f>IFERROR(VLOOKUP(MID(G61,J61,K61-J61),[6]skilldef!$C:$D,2,FALSE),"-") &amp; " / " &amp; IFERROR(VLOOKUP(MID(G61,H61,I61-H61),[6]skilldef!$A:$B,2,FALSE),"-")</f>
        <v>味方全体に / -</v>
      </c>
      <c r="M61" s="54" t="str">
        <f t="shared" si="5"/>
        <v>none</v>
      </c>
      <c r="N61" s="39" t="str">
        <f>IFERROR(LEFT(M61,FIND("],",M61)+#REF!),M61)</f>
        <v>none</v>
      </c>
      <c r="O61" s="54" t="e">
        <f t="shared" si="7"/>
        <v>#VALUE!</v>
      </c>
      <c r="P61" s="54">
        <f t="shared" si="8"/>
        <v>4</v>
      </c>
      <c r="Q61" s="54" t="e">
        <f t="shared" si="9"/>
        <v>#VALUE!</v>
      </c>
      <c r="R61" s="54" t="e">
        <f t="shared" si="10"/>
        <v>#VALUE!</v>
      </c>
      <c r="S61" s="54" t="str">
        <f>IFERROR(VLOOKUP(MID(N61,Q61,R61-Q61),[6]skilldef!$C:$D,2,FALSE),"-") &amp; " / " &amp; IFERROR(VLOOKUP(MID(N61,O61,P61-O61),[6]skilldef!$A:$B,2,FALSE),"-")</f>
        <v>- / -</v>
      </c>
      <c r="T61" s="39" t="str">
        <f t="shared" si="11"/>
        <v>none</v>
      </c>
      <c r="U61" s="54" t="e">
        <f t="shared" si="12"/>
        <v>#VALUE!</v>
      </c>
      <c r="V61" s="54">
        <f t="shared" si="13"/>
        <v>4</v>
      </c>
      <c r="W61" s="54" t="e">
        <f t="shared" si="14"/>
        <v>#VALUE!</v>
      </c>
      <c r="X61" s="54" t="e">
        <f t="shared" si="15"/>
        <v>#VALUE!</v>
      </c>
      <c r="Y61" s="54" t="str">
        <f>IFERROR(VLOOKUP(MID(T61,W61,X61-W61),[6]skilldef!$C:$D,2,FALSE),"-") &amp; " / " &amp; IFERROR(VLOOKUP(MID(T61,U61,V61-U61),[6]skilldef!$A:$B,2,FALSE),"-")</f>
        <v>- / -</v>
      </c>
      <c r="Z61" s="41"/>
      <c r="AA61" s="43"/>
      <c r="AB61" s="41"/>
    </row>
    <row r="62" spans="1:28" ht="21" customHeight="1" x14ac:dyDescent="0.15">
      <c r="A62" s="38">
        <v>41011061</v>
      </c>
      <c r="B62" s="38" t="s">
        <v>361</v>
      </c>
      <c r="C62" s="41">
        <v>3</v>
      </c>
      <c r="D62" s="41" t="s">
        <v>146</v>
      </c>
      <c r="E62" s="42" t="s">
        <v>323</v>
      </c>
      <c r="F62" s="42" t="s">
        <v>365</v>
      </c>
      <c r="G62" s="54" t="str">
        <f t="shared" si="0"/>
        <v>[effect:break_attack, val:0.1, lowest_val:3000, count:-1, block:block_green, target:unit_one]</v>
      </c>
      <c r="H62" s="54">
        <f t="shared" si="1"/>
        <v>9</v>
      </c>
      <c r="I62" s="54">
        <f t="shared" si="2"/>
        <v>21</v>
      </c>
      <c r="J62" s="54">
        <f t="shared" si="3"/>
        <v>85</v>
      </c>
      <c r="K62" s="54">
        <f t="shared" si="4"/>
        <v>30</v>
      </c>
      <c r="L62" s="54" t="str">
        <f>IFERROR(VLOOKUP(MID(G62,J62,K62-J62),[6]skilldef!$C:$D,2,FALSE),"-") &amp; " / " &amp; IFERROR(VLOOKUP(MID(G62,H62,I62-H62),[6]skilldef!$A:$B,2,FALSE),"-")</f>
        <v>- / -</v>
      </c>
      <c r="M62" s="54" t="str">
        <f t="shared" si="5"/>
        <v>none</v>
      </c>
      <c r="N62" s="39" t="str">
        <f t="shared" ref="N62" si="16">IFERROR(LEFT(M62,FIND("],",M62)+S72),M62)</f>
        <v>none</v>
      </c>
      <c r="O62" s="54" t="e">
        <f t="shared" si="7"/>
        <v>#VALUE!</v>
      </c>
      <c r="P62" s="54">
        <f t="shared" si="8"/>
        <v>4</v>
      </c>
      <c r="Q62" s="54" t="e">
        <f t="shared" si="9"/>
        <v>#VALUE!</v>
      </c>
      <c r="R62" s="54" t="e">
        <f t="shared" si="10"/>
        <v>#VALUE!</v>
      </c>
      <c r="S62" s="54" t="str">
        <f>IFERROR(VLOOKUP(MID(N62,Q62,R62-Q62),[6]skilldef!$C:$D,2,FALSE),"-") &amp; " / " &amp; IFERROR(VLOOKUP(MID(N62,O62,P62-O62),[6]skilldef!$A:$B,2,FALSE),"-")</f>
        <v>- / -</v>
      </c>
      <c r="T62" s="39" t="str">
        <f t="shared" si="11"/>
        <v>none</v>
      </c>
      <c r="U62" s="54" t="e">
        <f t="shared" si="12"/>
        <v>#VALUE!</v>
      </c>
      <c r="V62" s="54">
        <f t="shared" si="13"/>
        <v>4</v>
      </c>
      <c r="W62" s="54" t="e">
        <f t="shared" si="14"/>
        <v>#VALUE!</v>
      </c>
      <c r="X62" s="54" t="e">
        <f t="shared" si="15"/>
        <v>#VALUE!</v>
      </c>
      <c r="Y62" s="54" t="str">
        <f>IFERROR(VLOOKUP(MID(T62,W62,X62-W62),[6]skilldef!$C:$D,2,FALSE),"-") &amp; " / " &amp; IFERROR(VLOOKUP(MID(T62,U62,V62-U62),[6]skilldef!$A:$B,2,FALSE),"-")</f>
        <v>- / -</v>
      </c>
      <c r="Z62" s="41"/>
      <c r="AA62" s="43"/>
      <c r="AB62" s="41"/>
    </row>
    <row r="63" spans="1:28" ht="21" customHeight="1" x14ac:dyDescent="0.15">
      <c r="A63" s="38">
        <v>41011062</v>
      </c>
      <c r="B63" s="38" t="s">
        <v>362</v>
      </c>
      <c r="C63" s="41">
        <v>3</v>
      </c>
      <c r="D63" s="41" t="s">
        <v>146</v>
      </c>
      <c r="E63" s="42" t="s">
        <v>324</v>
      </c>
      <c r="F63" s="42" t="s">
        <v>365</v>
      </c>
      <c r="G63" s="54" t="str">
        <f t="shared" si="0"/>
        <v>[effect:break_attack, val:0.1, lowest_val:4000, count:-1, block:block_green, target:unit_one]</v>
      </c>
      <c r="H63" s="54">
        <f t="shared" si="1"/>
        <v>9</v>
      </c>
      <c r="I63" s="54">
        <f t="shared" si="2"/>
        <v>21</v>
      </c>
      <c r="J63" s="54">
        <f t="shared" si="3"/>
        <v>85</v>
      </c>
      <c r="K63" s="54">
        <f t="shared" si="4"/>
        <v>30</v>
      </c>
      <c r="L63" s="54" t="str">
        <f>IFERROR(VLOOKUP(MID(G63,J63,K63-J63),[6]skilldef!$C:$D,2,FALSE),"-") &amp; " / " &amp; IFERROR(VLOOKUP(MID(G63,H63,I63-H63),[6]skilldef!$A:$B,2,FALSE),"-")</f>
        <v>- / -</v>
      </c>
      <c r="M63" s="54" t="str">
        <f t="shared" si="5"/>
        <v>none</v>
      </c>
      <c r="N63" s="39" t="str">
        <f>IFERROR(LEFT(M63,FIND("],",M63)+#REF!),M63)</f>
        <v>none</v>
      </c>
      <c r="O63" s="54" t="e">
        <f t="shared" si="7"/>
        <v>#VALUE!</v>
      </c>
      <c r="P63" s="54">
        <f t="shared" si="8"/>
        <v>4</v>
      </c>
      <c r="Q63" s="54" t="e">
        <f t="shared" si="9"/>
        <v>#VALUE!</v>
      </c>
      <c r="R63" s="54" t="e">
        <f t="shared" si="10"/>
        <v>#VALUE!</v>
      </c>
      <c r="S63" s="54" t="str">
        <f>IFERROR(VLOOKUP(MID(N63,Q63,R63-Q63),[6]skilldef!$C:$D,2,FALSE),"-") &amp; " / " &amp; IFERROR(VLOOKUP(MID(N63,O63,P63-O63),[6]skilldef!$A:$B,2,FALSE),"-")</f>
        <v>- / -</v>
      </c>
      <c r="T63" s="39" t="str">
        <f t="shared" si="11"/>
        <v>none</v>
      </c>
      <c r="U63" s="54" t="e">
        <f t="shared" si="12"/>
        <v>#VALUE!</v>
      </c>
      <c r="V63" s="54">
        <f t="shared" si="13"/>
        <v>4</v>
      </c>
      <c r="W63" s="54" t="e">
        <f t="shared" si="14"/>
        <v>#VALUE!</v>
      </c>
      <c r="X63" s="54" t="e">
        <f t="shared" si="15"/>
        <v>#VALUE!</v>
      </c>
      <c r="Y63" s="54" t="str">
        <f>IFERROR(VLOOKUP(MID(T63,W63,X63-W63),[6]skilldef!$C:$D,2,FALSE),"-") &amp; " / " &amp; IFERROR(VLOOKUP(MID(T63,U63,V63-U63),[6]skilldef!$A:$B,2,FALSE),"-")</f>
        <v>- / -</v>
      </c>
      <c r="Z63" s="41"/>
      <c r="AA63" s="43"/>
      <c r="AB63" s="41"/>
    </row>
    <row r="64" spans="1:28" ht="21" customHeight="1" x14ac:dyDescent="0.15">
      <c r="A64" s="38">
        <v>41011063</v>
      </c>
      <c r="B64" s="38" t="s">
        <v>363</v>
      </c>
      <c r="C64" s="41">
        <v>3</v>
      </c>
      <c r="D64" s="41" t="s">
        <v>146</v>
      </c>
      <c r="E64" s="42" t="s">
        <v>325</v>
      </c>
      <c r="F64" s="42" t="s">
        <v>365</v>
      </c>
      <c r="G64" s="54" t="str">
        <f t="shared" si="0"/>
        <v>[effect:break_attack, val:0.1, lowest_val:5000, count:-1, block:block_green, target:unit_one]</v>
      </c>
      <c r="H64" s="54">
        <f t="shared" si="1"/>
        <v>9</v>
      </c>
      <c r="I64" s="54">
        <f t="shared" si="2"/>
        <v>21</v>
      </c>
      <c r="J64" s="54">
        <f t="shared" si="3"/>
        <v>85</v>
      </c>
      <c r="K64" s="54">
        <f t="shared" si="4"/>
        <v>30</v>
      </c>
      <c r="L64" s="54" t="str">
        <f>IFERROR(VLOOKUP(MID(G64,J64,K64-J64),[6]skilldef!$C:$D,2,FALSE),"-") &amp; " / " &amp; IFERROR(VLOOKUP(MID(G64,H64,I64-H64),[6]skilldef!$A:$B,2,FALSE),"-")</f>
        <v>- / -</v>
      </c>
      <c r="M64" s="54" t="str">
        <f t="shared" si="5"/>
        <v>none</v>
      </c>
      <c r="N64" s="39" t="str">
        <f>IFERROR(LEFT(M64,FIND("],",M64)+#REF!),M64)</f>
        <v>none</v>
      </c>
      <c r="O64" s="54" t="e">
        <f t="shared" si="7"/>
        <v>#VALUE!</v>
      </c>
      <c r="P64" s="54">
        <f t="shared" si="8"/>
        <v>4</v>
      </c>
      <c r="Q64" s="54" t="e">
        <f t="shared" si="9"/>
        <v>#VALUE!</v>
      </c>
      <c r="R64" s="54" t="e">
        <f t="shared" si="10"/>
        <v>#VALUE!</v>
      </c>
      <c r="S64" s="54" t="str">
        <f>IFERROR(VLOOKUP(MID(N64,Q64,R64-Q64),[6]skilldef!$C:$D,2,FALSE),"-") &amp; " / " &amp; IFERROR(VLOOKUP(MID(N64,O64,P64-O64),[6]skilldef!$A:$B,2,FALSE),"-")</f>
        <v>- / -</v>
      </c>
      <c r="T64" s="39" t="str">
        <f t="shared" si="11"/>
        <v>none</v>
      </c>
      <c r="U64" s="54" t="e">
        <f t="shared" si="12"/>
        <v>#VALUE!</v>
      </c>
      <c r="V64" s="54">
        <f t="shared" si="13"/>
        <v>4</v>
      </c>
      <c r="W64" s="54" t="e">
        <f t="shared" si="14"/>
        <v>#VALUE!</v>
      </c>
      <c r="X64" s="54" t="e">
        <f t="shared" si="15"/>
        <v>#VALUE!</v>
      </c>
      <c r="Y64" s="54" t="str">
        <f>IFERROR(VLOOKUP(MID(T64,W64,X64-W64),[6]skilldef!$C:$D,2,FALSE),"-") &amp; " / " &amp; IFERROR(VLOOKUP(MID(T64,U64,V64-U64),[6]skilldef!$A:$B,2,FALSE),"-")</f>
        <v>- / -</v>
      </c>
      <c r="Z64" s="41"/>
      <c r="AA64" s="43"/>
      <c r="AB64" s="41"/>
    </row>
    <row r="65" spans="1:28" ht="21" customHeight="1" x14ac:dyDescent="0.15">
      <c r="A65" s="38">
        <v>41011064</v>
      </c>
      <c r="B65" s="38" t="s">
        <v>312</v>
      </c>
      <c r="C65" s="41">
        <v>3</v>
      </c>
      <c r="D65" s="41" t="s">
        <v>313</v>
      </c>
      <c r="E65" s="42" t="s">
        <v>326</v>
      </c>
      <c r="F65" s="42" t="s">
        <v>255</v>
      </c>
      <c r="G65" s="54" t="str">
        <f t="shared" si="0"/>
        <v>[effect:nothing]</v>
      </c>
      <c r="H65" s="54">
        <f t="shared" si="1"/>
        <v>9</v>
      </c>
      <c r="I65" s="54">
        <f t="shared" si="2"/>
        <v>16</v>
      </c>
      <c r="J65" s="54" t="e">
        <f t="shared" si="3"/>
        <v>#VALUE!</v>
      </c>
      <c r="K65" s="54" t="e">
        <f t="shared" si="4"/>
        <v>#VALUE!</v>
      </c>
      <c r="L65" s="54" t="str">
        <f>IFERROR(VLOOKUP(MID(G65,J65,K65-J65),[6]skilldef!$C:$D,2,FALSE),"-") &amp; " / " &amp; IFERROR(VLOOKUP(MID(G65,H65,I65-H65),[6]skilldef!$A:$B,2,FALSE),"-")</f>
        <v>- / 何もしない</v>
      </c>
      <c r="M65" s="54" t="str">
        <f t="shared" si="5"/>
        <v>none</v>
      </c>
      <c r="N65" s="39" t="str">
        <f>IFERROR(LEFT(M65,FIND("],",M65)+#REF!),M65)</f>
        <v>none</v>
      </c>
      <c r="O65" s="54" t="e">
        <f t="shared" si="7"/>
        <v>#VALUE!</v>
      </c>
      <c r="P65" s="54">
        <f t="shared" si="8"/>
        <v>4</v>
      </c>
      <c r="Q65" s="54" t="e">
        <f t="shared" si="9"/>
        <v>#VALUE!</v>
      </c>
      <c r="R65" s="54" t="e">
        <f t="shared" si="10"/>
        <v>#VALUE!</v>
      </c>
      <c r="S65" s="54" t="str">
        <f>IFERROR(VLOOKUP(MID(N65,Q65,R65-Q65),[6]skilldef!$C:$D,2,FALSE),"-") &amp; " / " &amp; IFERROR(VLOOKUP(MID(N65,O65,P65-O65),[6]skilldef!$A:$B,2,FALSE),"-")</f>
        <v>- / -</v>
      </c>
      <c r="T65" s="39" t="str">
        <f t="shared" si="11"/>
        <v>none</v>
      </c>
      <c r="U65" s="54" t="e">
        <f t="shared" si="12"/>
        <v>#VALUE!</v>
      </c>
      <c r="V65" s="54">
        <f t="shared" si="13"/>
        <v>4</v>
      </c>
      <c r="W65" s="54" t="e">
        <f t="shared" si="14"/>
        <v>#VALUE!</v>
      </c>
      <c r="X65" s="54" t="e">
        <f t="shared" si="15"/>
        <v>#VALUE!</v>
      </c>
      <c r="Y65" s="54" t="str">
        <f>IFERROR(VLOOKUP(MID(T65,W65,X65-W65),[6]skilldef!$C:$D,2,FALSE),"-") &amp; " / " &amp; IFERROR(VLOOKUP(MID(T65,U65,V65-U65),[6]skilldef!$A:$B,2,FALSE),"-")</f>
        <v>- / -</v>
      </c>
      <c r="Z65" s="41"/>
      <c r="AA65" s="43"/>
      <c r="AB65" s="41"/>
    </row>
    <row r="66" spans="1:28" ht="21" customHeight="1" x14ac:dyDescent="0.15">
      <c r="A66" s="38">
        <v>41011065</v>
      </c>
      <c r="B66" s="38" t="s">
        <v>327</v>
      </c>
      <c r="C66" s="41">
        <v>3</v>
      </c>
      <c r="D66" s="41" t="s">
        <v>328</v>
      </c>
      <c r="E66" s="42" t="s">
        <v>326</v>
      </c>
      <c r="F66" s="42" t="s">
        <v>255</v>
      </c>
      <c r="G66" s="54" t="str">
        <f t="shared" si="0"/>
        <v>[effect:nothing]</v>
      </c>
      <c r="H66" s="54">
        <f t="shared" si="1"/>
        <v>9</v>
      </c>
      <c r="I66" s="54">
        <f t="shared" si="2"/>
        <v>16</v>
      </c>
      <c r="J66" s="54" t="e">
        <f t="shared" si="3"/>
        <v>#VALUE!</v>
      </c>
      <c r="K66" s="54" t="e">
        <f t="shared" si="4"/>
        <v>#VALUE!</v>
      </c>
      <c r="L66" s="54" t="str">
        <f>IFERROR(VLOOKUP(MID(G66,J66,K66-J66),[6]skilldef!$C:$D,2,FALSE),"-") &amp; " / " &amp; IFERROR(VLOOKUP(MID(G66,H66,I66-H66),[6]skilldef!$A:$B,2,FALSE),"-")</f>
        <v>- / 何もしない</v>
      </c>
      <c r="M66" s="54" t="str">
        <f t="shared" si="5"/>
        <v>none</v>
      </c>
      <c r="N66" s="39" t="str">
        <f>IFERROR(LEFT(M66,FIND("],",M66)+S73),M66)</f>
        <v>none</v>
      </c>
      <c r="O66" s="54" t="e">
        <f t="shared" si="7"/>
        <v>#VALUE!</v>
      </c>
      <c r="P66" s="54">
        <f t="shared" si="8"/>
        <v>4</v>
      </c>
      <c r="Q66" s="54" t="e">
        <f t="shared" si="9"/>
        <v>#VALUE!</v>
      </c>
      <c r="R66" s="54" t="e">
        <f t="shared" si="10"/>
        <v>#VALUE!</v>
      </c>
      <c r="S66" s="54" t="str">
        <f>IFERROR(VLOOKUP(MID(N66,Q66,R66-Q66),[6]skilldef!$C:$D,2,FALSE),"-") &amp; " / " &amp; IFERROR(VLOOKUP(MID(N66,O66,P66-O66),[6]skilldef!$A:$B,2,FALSE),"-")</f>
        <v>- / -</v>
      </c>
      <c r="T66" s="39" t="str">
        <f t="shared" si="11"/>
        <v>none</v>
      </c>
      <c r="U66" s="54" t="e">
        <f t="shared" si="12"/>
        <v>#VALUE!</v>
      </c>
      <c r="V66" s="54">
        <f t="shared" si="13"/>
        <v>4</v>
      </c>
      <c r="W66" s="54" t="e">
        <f t="shared" si="14"/>
        <v>#VALUE!</v>
      </c>
      <c r="X66" s="54" t="e">
        <f t="shared" si="15"/>
        <v>#VALUE!</v>
      </c>
      <c r="Y66" s="54" t="str">
        <f>IFERROR(VLOOKUP(MID(T66,W66,X66-W66),[6]skilldef!$C:$D,2,FALSE),"-") &amp; " / " &amp; IFERROR(VLOOKUP(MID(T66,U66,V66-U66),[6]skilldef!$A:$B,2,FALSE),"-")</f>
        <v>- / -</v>
      </c>
      <c r="Z66" s="41"/>
      <c r="AA66" s="43"/>
      <c r="AB66" s="41"/>
    </row>
    <row r="67" spans="1:28" s="105" customFormat="1" ht="21" customHeight="1" x14ac:dyDescent="0.15">
      <c r="A67" s="101">
        <v>41011066</v>
      </c>
      <c r="B67" s="101" t="s">
        <v>364</v>
      </c>
      <c r="C67" s="102">
        <v>3</v>
      </c>
      <c r="D67" s="102" t="s">
        <v>146</v>
      </c>
      <c r="E67" s="103" t="s">
        <v>320</v>
      </c>
      <c r="F67" s="103" t="s">
        <v>360</v>
      </c>
      <c r="G67" s="103" t="str">
        <f t="shared" ref="G67:G71" si="17">IFERROR(LEFT(B67,FIND("],",B67)),B67)</f>
        <v>[effect:enhance_enemy, target:myself, turn:3, status:attack, val:0.5, calc:mul, animation:enemy_enhance_attack]</v>
      </c>
      <c r="H67" s="103">
        <f t="shared" ref="H67:H71" si="18">FIND("effect:",G67)+7</f>
        <v>9</v>
      </c>
      <c r="I67" s="103">
        <f t="shared" ref="I67:I71" si="19">IFERROR(FIND(",",G67),LEN(G67))</f>
        <v>22</v>
      </c>
      <c r="J67" s="103">
        <f t="shared" ref="J67:J71" si="20">FIND("target:",G67)+7</f>
        <v>31</v>
      </c>
      <c r="K67" s="103">
        <f t="shared" ref="K67:K71" si="21">FIND(",",G67,I67+1)</f>
        <v>37</v>
      </c>
      <c r="L67" s="103" t="str">
        <f>IFERROR(VLOOKUP(MID(G67,J67,K67-J67),[6]skilldef!$C:$D,2,FALSE),"-") &amp; " / " &amp; IFERROR(VLOOKUP(MID(G67,H67,I67-H67),[6]skilldef!$A:$B,2,FALSE),"-")</f>
        <v>自分自身に / ステータス強化</v>
      </c>
      <c r="M67" s="103" t="str">
        <f t="shared" ref="M67:M71" si="22">IFERROR(RIGHT(B67,LEN(B67)-FIND("],",B67)-1),"none")</f>
        <v>none</v>
      </c>
      <c r="N67" s="101" t="str">
        <f>IFERROR(LEFT(M67,FIND("],",M67)+S74),M67)</f>
        <v>none</v>
      </c>
      <c r="O67" s="103" t="e">
        <f t="shared" ref="O67:O71" si="23">FIND("effect:",N67)+7</f>
        <v>#VALUE!</v>
      </c>
      <c r="P67" s="103">
        <f t="shared" ref="P67:P71" si="24">IFERROR(FIND(",",N67),LEN(N67))</f>
        <v>4</v>
      </c>
      <c r="Q67" s="103" t="e">
        <f t="shared" ref="Q67:Q71" si="25">FIND("target:",N67)+7</f>
        <v>#VALUE!</v>
      </c>
      <c r="R67" s="103" t="e">
        <f t="shared" ref="R67:R71" si="26">FIND(",",N67,P67+1)</f>
        <v>#VALUE!</v>
      </c>
      <c r="S67" s="103" t="str">
        <f>IFERROR(VLOOKUP(MID(N67,Q67,R67-Q67),[6]skilldef!$C:$D,2,FALSE),"-") &amp; " / " &amp; IFERROR(VLOOKUP(MID(N67,O67,P67-O67),[6]skilldef!$A:$B,2,FALSE),"-")</f>
        <v>- / -</v>
      </c>
      <c r="T67" s="101" t="str">
        <f t="shared" ref="T67:T71" si="27">IFERROR(RIGHT(M67,LEN(M67)-FIND("],",M67)-1),"none")</f>
        <v>none</v>
      </c>
      <c r="U67" s="103" t="e">
        <f t="shared" ref="U67:U71" si="28">FIND("effect:",T67)+7</f>
        <v>#VALUE!</v>
      </c>
      <c r="V67" s="103">
        <f t="shared" ref="V67:V71" si="29">IFERROR(FIND(",",T67),LEN(T67))</f>
        <v>4</v>
      </c>
      <c r="W67" s="103" t="e">
        <f t="shared" ref="W67:W71" si="30">FIND("target:",T67)+7</f>
        <v>#VALUE!</v>
      </c>
      <c r="X67" s="103" t="e">
        <f t="shared" ref="X67:X71" si="31">FIND(",",T67,V67+1)</f>
        <v>#VALUE!</v>
      </c>
      <c r="Y67" s="103" t="str">
        <f>IFERROR(VLOOKUP(MID(T67,W67,X67-W67),[6]skilldef!$C:$D,2,FALSE),"-") &amp; " / " &amp; IFERROR(VLOOKUP(MID(T67,U67,V67-U67),[6]skilldef!$A:$B,2,FALSE),"-")</f>
        <v>- / -</v>
      </c>
      <c r="Z67" s="102"/>
      <c r="AA67" s="104"/>
      <c r="AB67" s="102"/>
    </row>
    <row r="68" spans="1:28" s="105" customFormat="1" ht="21" customHeight="1" x14ac:dyDescent="0.15">
      <c r="A68" s="101">
        <v>41011067</v>
      </c>
      <c r="B68" s="101" t="s">
        <v>367</v>
      </c>
      <c r="C68" s="102">
        <v>3</v>
      </c>
      <c r="D68" s="102" t="s">
        <v>146</v>
      </c>
      <c r="E68" s="103" t="s">
        <v>323</v>
      </c>
      <c r="F68" s="103" t="s">
        <v>366</v>
      </c>
      <c r="G68" s="103" t="str">
        <f t="shared" si="17"/>
        <v>[effect:break_attack, val:0.1, lowest_val:3000, count:8, block:block_green, target:unit_one]</v>
      </c>
      <c r="H68" s="103">
        <f t="shared" si="18"/>
        <v>9</v>
      </c>
      <c r="I68" s="103">
        <f t="shared" si="19"/>
        <v>21</v>
      </c>
      <c r="J68" s="103">
        <f t="shared" si="20"/>
        <v>84</v>
      </c>
      <c r="K68" s="103">
        <f t="shared" si="21"/>
        <v>30</v>
      </c>
      <c r="L68" s="103" t="str">
        <f>IFERROR(VLOOKUP(MID(G68,J68,K68-J68),[6]skilldef!$C:$D,2,FALSE),"-") &amp; " / " &amp; IFERROR(VLOOKUP(MID(G68,H68,I68-H68),[6]skilldef!$A:$B,2,FALSE),"-")</f>
        <v>- / -</v>
      </c>
      <c r="M68" s="103" t="str">
        <f t="shared" si="22"/>
        <v>none</v>
      </c>
      <c r="N68" s="101" t="str">
        <f>IFERROR(LEFT(M68,FIND("],",M68)+S75),M68)</f>
        <v>none</v>
      </c>
      <c r="O68" s="103" t="e">
        <f t="shared" si="23"/>
        <v>#VALUE!</v>
      </c>
      <c r="P68" s="103">
        <f t="shared" si="24"/>
        <v>4</v>
      </c>
      <c r="Q68" s="103" t="e">
        <f t="shared" si="25"/>
        <v>#VALUE!</v>
      </c>
      <c r="R68" s="103" t="e">
        <f t="shared" si="26"/>
        <v>#VALUE!</v>
      </c>
      <c r="S68" s="103" t="str">
        <f>IFERROR(VLOOKUP(MID(N68,Q68,R68-Q68),[6]skilldef!$C:$D,2,FALSE),"-") &amp; " / " &amp; IFERROR(VLOOKUP(MID(N68,O68,P68-O68),[6]skilldef!$A:$B,2,FALSE),"-")</f>
        <v>- / -</v>
      </c>
      <c r="T68" s="101" t="str">
        <f t="shared" si="27"/>
        <v>none</v>
      </c>
      <c r="U68" s="103" t="e">
        <f t="shared" si="28"/>
        <v>#VALUE!</v>
      </c>
      <c r="V68" s="103">
        <f t="shared" si="29"/>
        <v>4</v>
      </c>
      <c r="W68" s="103" t="e">
        <f t="shared" si="30"/>
        <v>#VALUE!</v>
      </c>
      <c r="X68" s="103" t="e">
        <f t="shared" si="31"/>
        <v>#VALUE!</v>
      </c>
      <c r="Y68" s="103" t="str">
        <f>IFERROR(VLOOKUP(MID(T68,W68,X68-W68),[6]skilldef!$C:$D,2,FALSE),"-") &amp; " / " &amp; IFERROR(VLOOKUP(MID(T68,U68,V68-U68),[6]skilldef!$A:$B,2,FALSE),"-")</f>
        <v>- / -</v>
      </c>
      <c r="Z68" s="102"/>
      <c r="AA68" s="104"/>
      <c r="AB68" s="102"/>
    </row>
    <row r="69" spans="1:28" s="105" customFormat="1" ht="21" customHeight="1" x14ac:dyDescent="0.15">
      <c r="A69" s="101">
        <v>41011068</v>
      </c>
      <c r="B69" s="101" t="s">
        <v>368</v>
      </c>
      <c r="C69" s="102">
        <v>3</v>
      </c>
      <c r="D69" s="102" t="s">
        <v>146</v>
      </c>
      <c r="E69" s="103" t="s">
        <v>324</v>
      </c>
      <c r="F69" s="103" t="s">
        <v>366</v>
      </c>
      <c r="G69" s="103" t="str">
        <f t="shared" si="17"/>
        <v>[effect:break_attack, val:0.1, lowest_val:4000, count:8, block:block_green, target:unit_one]</v>
      </c>
      <c r="H69" s="103">
        <f t="shared" si="18"/>
        <v>9</v>
      </c>
      <c r="I69" s="103">
        <f t="shared" si="19"/>
        <v>21</v>
      </c>
      <c r="J69" s="103">
        <f t="shared" si="20"/>
        <v>84</v>
      </c>
      <c r="K69" s="103">
        <f t="shared" si="21"/>
        <v>30</v>
      </c>
      <c r="L69" s="103" t="str">
        <f>IFERROR(VLOOKUP(MID(G69,J69,K69-J69),[6]skilldef!$C:$D,2,FALSE),"-") &amp; " / " &amp; IFERROR(VLOOKUP(MID(G69,H69,I69-H69),[6]skilldef!$A:$B,2,FALSE),"-")</f>
        <v>- / -</v>
      </c>
      <c r="M69" s="103" t="str">
        <f t="shared" si="22"/>
        <v>none</v>
      </c>
      <c r="N69" s="101" t="str">
        <f>IFERROR(LEFT(M69,FIND("],",M69)+S76),M69)</f>
        <v>none</v>
      </c>
      <c r="O69" s="103" t="e">
        <f t="shared" si="23"/>
        <v>#VALUE!</v>
      </c>
      <c r="P69" s="103">
        <f t="shared" si="24"/>
        <v>4</v>
      </c>
      <c r="Q69" s="103" t="e">
        <f t="shared" si="25"/>
        <v>#VALUE!</v>
      </c>
      <c r="R69" s="103" t="e">
        <f t="shared" si="26"/>
        <v>#VALUE!</v>
      </c>
      <c r="S69" s="103" t="str">
        <f>IFERROR(VLOOKUP(MID(N69,Q69,R69-Q69),[6]skilldef!$C:$D,2,FALSE),"-") &amp; " / " &amp; IFERROR(VLOOKUP(MID(N69,O69,P69-O69),[6]skilldef!$A:$B,2,FALSE),"-")</f>
        <v>- / -</v>
      </c>
      <c r="T69" s="101" t="str">
        <f t="shared" si="27"/>
        <v>none</v>
      </c>
      <c r="U69" s="103" t="e">
        <f t="shared" si="28"/>
        <v>#VALUE!</v>
      </c>
      <c r="V69" s="103">
        <f t="shared" si="29"/>
        <v>4</v>
      </c>
      <c r="W69" s="103" t="e">
        <f t="shared" si="30"/>
        <v>#VALUE!</v>
      </c>
      <c r="X69" s="103" t="e">
        <f t="shared" si="31"/>
        <v>#VALUE!</v>
      </c>
      <c r="Y69" s="103" t="str">
        <f>IFERROR(VLOOKUP(MID(T69,W69,X69-W69),[6]skilldef!$C:$D,2,FALSE),"-") &amp; " / " &amp; IFERROR(VLOOKUP(MID(T69,U69,V69-U69),[6]skilldef!$A:$B,2,FALSE),"-")</f>
        <v>- / -</v>
      </c>
      <c r="Z69" s="102"/>
      <c r="AA69" s="104"/>
      <c r="AB69" s="102"/>
    </row>
    <row r="70" spans="1:28" s="105" customFormat="1" ht="21" customHeight="1" x14ac:dyDescent="0.15">
      <c r="A70" s="101">
        <v>41011069</v>
      </c>
      <c r="B70" s="101" t="s">
        <v>404</v>
      </c>
      <c r="C70" s="102">
        <v>3</v>
      </c>
      <c r="D70" s="102" t="s">
        <v>146</v>
      </c>
      <c r="E70" s="103" t="s">
        <v>403</v>
      </c>
      <c r="F70" s="103" t="s">
        <v>366</v>
      </c>
      <c r="G70" s="103" t="str">
        <f t="shared" ref="G70" si="32">IFERROR(LEFT(B70,FIND("],",B70)),B70)</f>
        <v>[effect:break_attack, val:0.1, lowest_val:5000, count:8, block:block_green, target:unit_one]</v>
      </c>
      <c r="H70" s="103">
        <f t="shared" ref="H70" si="33">FIND("effect:",G70)+7</f>
        <v>9</v>
      </c>
      <c r="I70" s="103">
        <f t="shared" ref="I70" si="34">IFERROR(FIND(",",G70),LEN(G70))</f>
        <v>21</v>
      </c>
      <c r="J70" s="103">
        <f t="shared" ref="J70" si="35">FIND("target:",G70)+7</f>
        <v>84</v>
      </c>
      <c r="K70" s="103">
        <f t="shared" ref="K70" si="36">FIND(",",G70,I70+1)</f>
        <v>30</v>
      </c>
      <c r="L70" s="103" t="str">
        <f>IFERROR(VLOOKUP(MID(G70,J70,K70-J70),[6]skilldef!$C:$D,2,FALSE),"-") &amp; " / " &amp; IFERROR(VLOOKUP(MID(G70,H70,I70-H70),[6]skilldef!$A:$B,2,FALSE),"-")</f>
        <v>- / -</v>
      </c>
      <c r="M70" s="103" t="str">
        <f t="shared" ref="M70" si="37">IFERROR(RIGHT(B70,LEN(B70)-FIND("],",B70)-1),"none")</f>
        <v>none</v>
      </c>
      <c r="N70" s="101" t="str">
        <f>IFERROR(LEFT(M70,FIND("],",M70)+S77),M70)</f>
        <v>none</v>
      </c>
      <c r="O70" s="103" t="e">
        <f t="shared" ref="O70" si="38">FIND("effect:",N70)+7</f>
        <v>#VALUE!</v>
      </c>
      <c r="P70" s="103">
        <f t="shared" ref="P70" si="39">IFERROR(FIND(",",N70),LEN(N70))</f>
        <v>4</v>
      </c>
      <c r="Q70" s="103" t="e">
        <f t="shared" ref="Q70" si="40">FIND("target:",N70)+7</f>
        <v>#VALUE!</v>
      </c>
      <c r="R70" s="103" t="e">
        <f t="shared" ref="R70" si="41">FIND(",",N70,P70+1)</f>
        <v>#VALUE!</v>
      </c>
      <c r="S70" s="103" t="str">
        <f>IFERROR(VLOOKUP(MID(N70,Q70,R70-Q70),[6]skilldef!$C:$D,2,FALSE),"-") &amp; " / " &amp; IFERROR(VLOOKUP(MID(N70,O70,P70-O70),[6]skilldef!$A:$B,2,FALSE),"-")</f>
        <v>- / -</v>
      </c>
      <c r="T70" s="101" t="str">
        <f t="shared" ref="T70" si="42">IFERROR(RIGHT(M70,LEN(M70)-FIND("],",M70)-1),"none")</f>
        <v>none</v>
      </c>
      <c r="U70" s="103" t="e">
        <f t="shared" ref="U70" si="43">FIND("effect:",T70)+7</f>
        <v>#VALUE!</v>
      </c>
      <c r="V70" s="103">
        <f t="shared" ref="V70" si="44">IFERROR(FIND(",",T70),LEN(T70))</f>
        <v>4</v>
      </c>
      <c r="W70" s="103" t="e">
        <f t="shared" ref="W70" si="45">FIND("target:",T70)+7</f>
        <v>#VALUE!</v>
      </c>
      <c r="X70" s="103" t="e">
        <f t="shared" ref="X70" si="46">FIND(",",T70,V70+1)</f>
        <v>#VALUE!</v>
      </c>
      <c r="Y70" s="103" t="str">
        <f>IFERROR(VLOOKUP(MID(T70,W70,X70-W70),[6]skilldef!$C:$D,2,FALSE),"-") &amp; " / " &amp; IFERROR(VLOOKUP(MID(T70,U70,V70-U70),[6]skilldef!$A:$B,2,FALSE),"-")</f>
        <v>- / -</v>
      </c>
      <c r="Z70" s="102"/>
      <c r="AA70" s="104"/>
      <c r="AB70" s="102"/>
    </row>
    <row r="71" spans="1:28" ht="21" customHeight="1" x14ac:dyDescent="0.15">
      <c r="A71" s="38">
        <v>41011070</v>
      </c>
      <c r="B71" s="38" t="s">
        <v>306</v>
      </c>
      <c r="C71" s="41">
        <v>3</v>
      </c>
      <c r="D71" s="41" t="s">
        <v>146</v>
      </c>
      <c r="E71" s="125" t="s">
        <v>406</v>
      </c>
      <c r="F71" s="42" t="s">
        <v>380</v>
      </c>
      <c r="G71" s="54" t="str">
        <f t="shared" si="17"/>
        <v>[effect:tolerance, target:myself, turn:-1, tolerance_effect:virus, count:-1]</v>
      </c>
      <c r="H71" s="54">
        <f t="shared" si="18"/>
        <v>9</v>
      </c>
      <c r="I71" s="54">
        <f t="shared" si="19"/>
        <v>18</v>
      </c>
      <c r="J71" s="54">
        <f t="shared" si="20"/>
        <v>27</v>
      </c>
      <c r="K71" s="54">
        <f t="shared" si="21"/>
        <v>33</v>
      </c>
      <c r="L71" s="54" t="str">
        <f>IFERROR(VLOOKUP(MID(G71,J71,K71-J71),[6]skilldef!$C:$D,2,FALSE),"-") &amp; " / " &amp; IFERROR(VLOOKUP(MID(G71,H71,I71-H71),[6]skilldef!$A:$B,2,FALSE),"-")</f>
        <v>自分自身に / 状態異常耐性</v>
      </c>
      <c r="M71" s="54" t="str">
        <f t="shared" si="22"/>
        <v>[effect:tolerance, target:myself, turn:-1, tolerance_effect:sleep, count:-1],[effect:tolerance, target:myself, turn:-1, tolerance_effect:hungup, count:-1, animation:enemy_tolerance],[effect:virus, turn:-1, rate:1, val:0.15, animation:enemy_virus]</v>
      </c>
      <c r="N71" s="39" t="str">
        <f>IFERROR(LEFT(M71,FIND("],",M71)+S77),M71)</f>
        <v>[effect:tolerance, target:myself, turn:-1, tolerance_effect:sleep, count:-1]</v>
      </c>
      <c r="O71" s="54">
        <f t="shared" si="23"/>
        <v>9</v>
      </c>
      <c r="P71" s="54">
        <f t="shared" si="24"/>
        <v>18</v>
      </c>
      <c r="Q71" s="54">
        <f t="shared" si="25"/>
        <v>27</v>
      </c>
      <c r="R71" s="54">
        <f t="shared" si="26"/>
        <v>33</v>
      </c>
      <c r="S71" s="54" t="str">
        <f>IFERROR(VLOOKUP(MID(N71,Q71,R71-Q71),[6]skilldef!$C:$D,2,FALSE),"-") &amp; " / " &amp; IFERROR(VLOOKUP(MID(N71,O71,P71-O71),[6]skilldef!$A:$B,2,FALSE),"-")</f>
        <v>自分自身に / 状態異常耐性</v>
      </c>
      <c r="T71" s="39" t="str">
        <f t="shared" si="27"/>
        <v>[effect:tolerance, target:myself, turn:-1, tolerance_effect:hungup, count:-1, animation:enemy_tolerance],[effect:virus, turn:-1, rate:1, val:0.15, animation:enemy_virus]</v>
      </c>
      <c r="U71" s="54">
        <f t="shared" si="28"/>
        <v>9</v>
      </c>
      <c r="V71" s="54">
        <f t="shared" si="29"/>
        <v>18</v>
      </c>
      <c r="W71" s="54">
        <f t="shared" si="30"/>
        <v>27</v>
      </c>
      <c r="X71" s="54">
        <f t="shared" si="31"/>
        <v>33</v>
      </c>
      <c r="Y71" s="54" t="str">
        <f>IFERROR(VLOOKUP(MID(T71,W71,X71-W71),[6]skilldef!$C:$D,2,FALSE),"-") &amp; " / " &amp; IFERROR(VLOOKUP(MID(T71,U71,V71-U71),[6]skilldef!$A:$B,2,FALSE),"-")</f>
        <v>自分自身に / 状態異常耐性</v>
      </c>
      <c r="Z71" s="41"/>
      <c r="AA71" s="43"/>
      <c r="AB71" s="41"/>
    </row>
    <row r="72" spans="1:28" ht="21" customHeight="1" x14ac:dyDescent="0.15">
      <c r="A72" s="38">
        <v>41011071</v>
      </c>
      <c r="B72" s="38" t="s">
        <v>402</v>
      </c>
      <c r="C72" s="41">
        <v>3</v>
      </c>
      <c r="D72" s="41" t="s">
        <v>146</v>
      </c>
      <c r="E72" s="125" t="s">
        <v>407</v>
      </c>
      <c r="F72" s="42" t="s">
        <v>384</v>
      </c>
      <c r="G72" s="54" t="str">
        <f t="shared" ref="G72" si="47">IFERROR(LEFT(B72,FIND("],",B72)),B72)</f>
        <v>[effect:tolerance, target:myself, turn:-1, tolerance_effect:virus, count:-1]</v>
      </c>
      <c r="H72" s="54">
        <f t="shared" ref="H72" si="48">FIND("effect:",G72)+7</f>
        <v>9</v>
      </c>
      <c r="I72" s="54">
        <f t="shared" ref="I72" si="49">IFERROR(FIND(",",G72),LEN(G72))</f>
        <v>18</v>
      </c>
      <c r="J72" s="54">
        <f t="shared" ref="J72" si="50">FIND("target:",G72)+7</f>
        <v>27</v>
      </c>
      <c r="K72" s="54">
        <f t="shared" ref="K72" si="51">FIND(",",G72,I72+1)</f>
        <v>33</v>
      </c>
      <c r="L72" s="54" t="str">
        <f>IFERROR(VLOOKUP(MID(G72,J72,K72-J72),[6]skilldef!$C:$D,2,FALSE),"-") &amp; " / " &amp; IFERROR(VLOOKUP(MID(G72,H72,I72-H72),[6]skilldef!$A:$B,2,FALSE),"-")</f>
        <v>自分自身に / 状態異常耐性</v>
      </c>
      <c r="M72" s="54" t="str">
        <f t="shared" ref="M72" si="52">IFERROR(RIGHT(B72,LEN(B72)-FIND("],",B72)-1),"none")</f>
        <v>[effect:tolerance, target:myself, turn:-1, tolerance_effect:sleep, count:-1],[effect:tolerance, target:myself, turn:-1, tolerance_effect:hungup, count:-1, animation:enemy_tolerance],[effect:enhance_enemy, target:myself, turn:5, status:defense, val:2000, calc:add, animation:enemy_enhance_defense],[effect:fix_speed, target:myself, turn:1]</v>
      </c>
      <c r="N72" s="39" t="str">
        <f>IFERROR(LEFT(M72,FIND("],",M72)+S78),M72)</f>
        <v>[effect:tolerance, target:myself, turn:-1, tolerance_effect:sleep, count:-1]</v>
      </c>
      <c r="O72" s="54">
        <f t="shared" ref="O72" si="53">FIND("effect:",N72)+7</f>
        <v>9</v>
      </c>
      <c r="P72" s="54">
        <f t="shared" ref="P72" si="54">IFERROR(FIND(",",N72),LEN(N72))</f>
        <v>18</v>
      </c>
      <c r="Q72" s="54">
        <f t="shared" ref="Q72" si="55">FIND("target:",N72)+7</f>
        <v>27</v>
      </c>
      <c r="R72" s="54">
        <f t="shared" ref="R72" si="56">FIND(",",N72,P72+1)</f>
        <v>33</v>
      </c>
      <c r="S72" s="54" t="str">
        <f>IFERROR(VLOOKUP(MID(N72,Q72,R72-Q72),[6]skilldef!$C:$D,2,FALSE),"-") &amp; " / " &amp; IFERROR(VLOOKUP(MID(N72,O72,P72-O72),[6]skilldef!$A:$B,2,FALSE),"-")</f>
        <v>自分自身に / 状態異常耐性</v>
      </c>
      <c r="T72" s="39" t="str">
        <f t="shared" ref="T72" si="57">IFERROR(RIGHT(M72,LEN(M72)-FIND("],",M72)-1),"none")</f>
        <v>[effect:tolerance, target:myself, turn:-1, tolerance_effect:hungup, count:-1, animation:enemy_tolerance],[effect:enhance_enemy, target:myself, turn:5, status:defense, val:2000, calc:add, animation:enemy_enhance_defense],[effect:fix_speed, target:myself, turn:1]</v>
      </c>
      <c r="U72" s="54">
        <f t="shared" ref="U72" si="58">FIND("effect:",T72)+7</f>
        <v>9</v>
      </c>
      <c r="V72" s="54">
        <f t="shared" ref="V72" si="59">IFERROR(FIND(",",T72),LEN(T72))</f>
        <v>18</v>
      </c>
      <c r="W72" s="54">
        <f t="shared" ref="W72" si="60">FIND("target:",T72)+7</f>
        <v>27</v>
      </c>
      <c r="X72" s="54">
        <f t="shared" ref="X72" si="61">FIND(",",T72,V72+1)</f>
        <v>33</v>
      </c>
      <c r="Y72" s="54" t="str">
        <f>IFERROR(VLOOKUP(MID(T72,W72,X72-W72),[6]skilldef!$C:$D,2,FALSE),"-") &amp; " / " &amp; IFERROR(VLOOKUP(MID(T72,U72,V72-U72),[6]skilldef!$A:$B,2,FALSE),"-")</f>
        <v>自分自身に / 状態異常耐性</v>
      </c>
      <c r="Z72" s="41"/>
      <c r="AA72" s="43"/>
      <c r="AB72" s="41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0"/>
  <sheetViews>
    <sheetView showGridLines="0" zoomScale="75" zoomScaleNormal="75" zoomScalePageLayoutView="75" workbookViewId="0">
      <pane ySplit="1" topLeftCell="A34" activePane="bottomLeft" state="frozenSplit"/>
      <selection pane="bottomLeft" activeCell="C43" sqref="C43"/>
    </sheetView>
  </sheetViews>
  <sheetFormatPr baseColWidth="12" defaultColWidth="12.83203125" defaultRowHeight="21" customHeight="1" x14ac:dyDescent="0.15"/>
  <cols>
    <col min="1" max="1" width="16.1640625" style="40" bestFit="1" customWidth="1"/>
    <col min="2" max="2" width="13.33203125" style="40" bestFit="1" customWidth="1"/>
    <col min="3" max="3" width="11.83203125" style="40" bestFit="1" customWidth="1"/>
    <col min="4" max="4" width="14.6640625" style="40" bestFit="1" customWidth="1"/>
    <col min="5" max="5" width="15.6640625" style="40" bestFit="1" customWidth="1"/>
    <col min="6" max="6" width="17" style="40" bestFit="1" customWidth="1"/>
    <col min="7" max="7" width="15.6640625" style="40" bestFit="1" customWidth="1"/>
    <col min="8" max="9" width="14.6640625" style="40" customWidth="1"/>
    <col min="10" max="10" width="14.6640625" style="40" bestFit="1" customWidth="1"/>
    <col min="11" max="11" width="22.83203125" style="30" bestFit="1" customWidth="1"/>
    <col min="12" max="16384" width="12.83203125" style="36"/>
  </cols>
  <sheetData>
    <row r="1" spans="1:11" ht="21" customHeight="1" x14ac:dyDescent="0.15">
      <c r="A1" s="33" t="s">
        <v>234</v>
      </c>
      <c r="B1" s="33" t="s">
        <v>236</v>
      </c>
      <c r="C1" s="33" t="s">
        <v>238</v>
      </c>
      <c r="D1" s="33" t="s">
        <v>240</v>
      </c>
      <c r="E1" s="33" t="s">
        <v>242</v>
      </c>
      <c r="F1" s="44" t="s">
        <v>244</v>
      </c>
      <c r="G1" s="44" t="s">
        <v>246</v>
      </c>
      <c r="H1" s="33" t="s">
        <v>247</v>
      </c>
      <c r="I1" s="33" t="s">
        <v>249</v>
      </c>
      <c r="J1" s="33" t="s">
        <v>251</v>
      </c>
      <c r="K1" s="45" t="s">
        <v>52</v>
      </c>
    </row>
    <row r="2" spans="1:11" ht="21" customHeight="1" x14ac:dyDescent="0.15">
      <c r="A2" s="38">
        <v>41011001</v>
      </c>
      <c r="B2" s="38">
        <v>0</v>
      </c>
      <c r="C2" s="38" t="s">
        <v>124</v>
      </c>
      <c r="D2" s="38">
        <v>100</v>
      </c>
      <c r="E2" s="38" t="s">
        <v>124</v>
      </c>
      <c r="F2" s="38" t="s">
        <v>124</v>
      </c>
      <c r="G2" s="38" t="s">
        <v>124</v>
      </c>
      <c r="H2" s="38" t="s">
        <v>124</v>
      </c>
      <c r="I2" s="38" t="s">
        <v>124</v>
      </c>
      <c r="J2" s="39">
        <f t="shared" ref="J2:J65" si="0">D2</f>
        <v>100</v>
      </c>
    </row>
    <row r="3" spans="1:11" ht="21" customHeight="1" x14ac:dyDescent="0.15">
      <c r="A3" s="38">
        <v>41011002</v>
      </c>
      <c r="B3" s="38">
        <v>0</v>
      </c>
      <c r="C3" s="38" t="s">
        <v>124</v>
      </c>
      <c r="D3" s="38">
        <v>100</v>
      </c>
      <c r="E3" s="38" t="s">
        <v>124</v>
      </c>
      <c r="F3" s="38" t="s">
        <v>124</v>
      </c>
      <c r="G3" s="38" t="s">
        <v>124</v>
      </c>
      <c r="H3" s="38" t="s">
        <v>124</v>
      </c>
      <c r="I3" s="38" t="s">
        <v>124</v>
      </c>
      <c r="J3" s="39">
        <f t="shared" si="0"/>
        <v>100</v>
      </c>
    </row>
    <row r="4" spans="1:11" ht="21" customHeight="1" x14ac:dyDescent="0.15">
      <c r="A4" s="38">
        <v>41011003</v>
      </c>
      <c r="B4" s="38">
        <v>0</v>
      </c>
      <c r="C4" s="38" t="s">
        <v>124</v>
      </c>
      <c r="D4" s="38">
        <v>100</v>
      </c>
      <c r="E4" s="38" t="s">
        <v>124</v>
      </c>
      <c r="F4" s="38" t="s">
        <v>124</v>
      </c>
      <c r="G4" s="38" t="s">
        <v>124</v>
      </c>
      <c r="H4" s="38" t="s">
        <v>124</v>
      </c>
      <c r="I4" s="38" t="s">
        <v>124</v>
      </c>
      <c r="J4" s="39">
        <f t="shared" si="0"/>
        <v>100</v>
      </c>
    </row>
    <row r="5" spans="1:11" ht="21" customHeight="1" x14ac:dyDescent="0.15">
      <c r="A5" s="38">
        <v>41011004</v>
      </c>
      <c r="B5" s="38">
        <v>0</v>
      </c>
      <c r="C5" s="38" t="s">
        <v>124</v>
      </c>
      <c r="D5" s="38">
        <v>100</v>
      </c>
      <c r="E5" s="38" t="s">
        <v>124</v>
      </c>
      <c r="F5" s="38" t="s">
        <v>124</v>
      </c>
      <c r="G5" s="38" t="s">
        <v>124</v>
      </c>
      <c r="H5" s="38" t="s">
        <v>124</v>
      </c>
      <c r="I5" s="38" t="s">
        <v>124</v>
      </c>
      <c r="J5" s="39">
        <f t="shared" si="0"/>
        <v>100</v>
      </c>
    </row>
    <row r="6" spans="1:11" ht="21" customHeight="1" x14ac:dyDescent="0.15">
      <c r="A6" s="38">
        <v>41011005</v>
      </c>
      <c r="B6" s="38">
        <v>0</v>
      </c>
      <c r="C6" s="38" t="s">
        <v>124</v>
      </c>
      <c r="D6" s="38">
        <v>100</v>
      </c>
      <c r="E6" s="38" t="s">
        <v>124</v>
      </c>
      <c r="F6" s="38" t="s">
        <v>124</v>
      </c>
      <c r="G6" s="38" t="s">
        <v>124</v>
      </c>
      <c r="H6" s="38" t="s">
        <v>124</v>
      </c>
      <c r="I6" s="38" t="s">
        <v>124</v>
      </c>
      <c r="J6" s="39">
        <f t="shared" si="0"/>
        <v>100</v>
      </c>
    </row>
    <row r="7" spans="1:11" ht="21" customHeight="1" x14ac:dyDescent="0.15">
      <c r="A7" s="38">
        <v>41011006</v>
      </c>
      <c r="B7" s="38">
        <v>1</v>
      </c>
      <c r="C7" s="38" t="s">
        <v>124</v>
      </c>
      <c r="D7" s="38">
        <v>100</v>
      </c>
      <c r="E7" s="38" t="s">
        <v>124</v>
      </c>
      <c r="F7" s="38" t="s">
        <v>124</v>
      </c>
      <c r="G7" s="38">
        <v>1</v>
      </c>
      <c r="H7" s="38" t="s">
        <v>124</v>
      </c>
      <c r="I7" s="38" t="s">
        <v>124</v>
      </c>
      <c r="J7" s="39">
        <f t="shared" si="0"/>
        <v>100</v>
      </c>
    </row>
    <row r="8" spans="1:11" ht="21" customHeight="1" x14ac:dyDescent="0.15">
      <c r="A8" s="38">
        <v>41011007</v>
      </c>
      <c r="B8" s="38">
        <v>0</v>
      </c>
      <c r="C8" s="38" t="s">
        <v>124</v>
      </c>
      <c r="D8" s="38">
        <v>25</v>
      </c>
      <c r="E8" s="38" t="s">
        <v>124</v>
      </c>
      <c r="F8" s="38" t="s">
        <v>124</v>
      </c>
      <c r="G8" s="38" t="s">
        <v>124</v>
      </c>
      <c r="H8" s="38" t="s">
        <v>124</v>
      </c>
      <c r="I8" s="38" t="s">
        <v>124</v>
      </c>
      <c r="J8" s="39">
        <f t="shared" si="0"/>
        <v>25</v>
      </c>
    </row>
    <row r="9" spans="1:11" ht="21" customHeight="1" x14ac:dyDescent="0.15">
      <c r="A9" s="38">
        <v>41011008</v>
      </c>
      <c r="B9" s="38">
        <v>0</v>
      </c>
      <c r="C9" s="38" t="s">
        <v>124</v>
      </c>
      <c r="D9" s="38">
        <v>100</v>
      </c>
      <c r="E9" s="38" t="s">
        <v>124</v>
      </c>
      <c r="F9" s="38" t="s">
        <v>124</v>
      </c>
      <c r="G9" s="38" t="s">
        <v>124</v>
      </c>
      <c r="H9" s="38" t="s">
        <v>124</v>
      </c>
      <c r="I9" s="38" t="s">
        <v>124</v>
      </c>
      <c r="J9" s="39">
        <f t="shared" si="0"/>
        <v>100</v>
      </c>
    </row>
    <row r="10" spans="1:11" ht="21" customHeight="1" x14ac:dyDescent="0.15">
      <c r="A10" s="38">
        <v>41011009</v>
      </c>
      <c r="B10" s="38">
        <v>0</v>
      </c>
      <c r="C10" s="38" t="s">
        <v>124</v>
      </c>
      <c r="D10" s="38">
        <v>100</v>
      </c>
      <c r="E10" s="38" t="s">
        <v>124</v>
      </c>
      <c r="F10" s="38" t="s">
        <v>124</v>
      </c>
      <c r="G10" s="38" t="s">
        <v>124</v>
      </c>
      <c r="H10" s="38" t="s">
        <v>124</v>
      </c>
      <c r="I10" s="38" t="s">
        <v>124</v>
      </c>
      <c r="J10" s="39">
        <f t="shared" si="0"/>
        <v>100</v>
      </c>
    </row>
    <row r="11" spans="1:11" ht="21" customHeight="1" x14ac:dyDescent="0.15">
      <c r="A11" s="38">
        <v>41011010</v>
      </c>
      <c r="B11" s="38">
        <v>0</v>
      </c>
      <c r="C11" s="38" t="s">
        <v>124</v>
      </c>
      <c r="D11" s="38">
        <v>100</v>
      </c>
      <c r="E11" s="38" t="s">
        <v>124</v>
      </c>
      <c r="F11" s="38" t="s">
        <v>124</v>
      </c>
      <c r="G11" s="38" t="s">
        <v>124</v>
      </c>
      <c r="H11" s="38" t="s">
        <v>124</v>
      </c>
      <c r="I11" s="38" t="s">
        <v>124</v>
      </c>
      <c r="J11" s="39">
        <f t="shared" si="0"/>
        <v>100</v>
      </c>
    </row>
    <row r="12" spans="1:11" ht="21" customHeight="1" x14ac:dyDescent="0.15">
      <c r="A12" s="38">
        <v>41011011</v>
      </c>
      <c r="B12" s="38">
        <v>0</v>
      </c>
      <c r="C12" s="38" t="s">
        <v>124</v>
      </c>
      <c r="D12" s="38">
        <v>30</v>
      </c>
      <c r="E12" s="38" t="s">
        <v>124</v>
      </c>
      <c r="F12" s="38" t="s">
        <v>124</v>
      </c>
      <c r="G12" s="38" t="s">
        <v>124</v>
      </c>
      <c r="H12" s="38" t="s">
        <v>124</v>
      </c>
      <c r="I12" s="38" t="s">
        <v>124</v>
      </c>
      <c r="J12" s="39">
        <f t="shared" si="0"/>
        <v>30</v>
      </c>
    </row>
    <row r="13" spans="1:11" ht="21" customHeight="1" x14ac:dyDescent="0.15">
      <c r="A13" s="38">
        <v>41011012</v>
      </c>
      <c r="B13" s="38">
        <v>0</v>
      </c>
      <c r="C13" s="38" t="s">
        <v>124</v>
      </c>
      <c r="D13" s="38">
        <v>100</v>
      </c>
      <c r="E13" s="38" t="s">
        <v>124</v>
      </c>
      <c r="F13" s="38" t="s">
        <v>124</v>
      </c>
      <c r="G13" s="38" t="s">
        <v>124</v>
      </c>
      <c r="H13" s="38" t="s">
        <v>124</v>
      </c>
      <c r="I13" s="38" t="s">
        <v>124</v>
      </c>
      <c r="J13" s="39">
        <f t="shared" si="0"/>
        <v>100</v>
      </c>
    </row>
    <row r="14" spans="1:11" ht="21" customHeight="1" x14ac:dyDescent="0.15">
      <c r="A14" s="38">
        <v>41011013</v>
      </c>
      <c r="B14" s="38">
        <v>0</v>
      </c>
      <c r="C14" s="38" t="s">
        <v>124</v>
      </c>
      <c r="D14" s="38">
        <v>100</v>
      </c>
      <c r="E14" s="38" t="s">
        <v>124</v>
      </c>
      <c r="F14" s="38" t="s">
        <v>124</v>
      </c>
      <c r="G14" s="38" t="s">
        <v>124</v>
      </c>
      <c r="H14" s="38" t="s">
        <v>124</v>
      </c>
      <c r="I14" s="38" t="s">
        <v>124</v>
      </c>
      <c r="J14" s="39">
        <f t="shared" si="0"/>
        <v>100</v>
      </c>
    </row>
    <row r="15" spans="1:11" ht="21" customHeight="1" x14ac:dyDescent="0.15">
      <c r="A15" s="38">
        <v>41011014</v>
      </c>
      <c r="B15" s="38">
        <v>0</v>
      </c>
      <c r="C15" s="38" t="s">
        <v>124</v>
      </c>
      <c r="D15" s="38">
        <v>100</v>
      </c>
      <c r="E15" s="38" t="s">
        <v>124</v>
      </c>
      <c r="F15" s="38" t="s">
        <v>124</v>
      </c>
      <c r="G15" s="38" t="s">
        <v>124</v>
      </c>
      <c r="H15" s="38" t="s">
        <v>124</v>
      </c>
      <c r="I15" s="38" t="s">
        <v>124</v>
      </c>
      <c r="J15" s="39">
        <f t="shared" si="0"/>
        <v>100</v>
      </c>
    </row>
    <row r="16" spans="1:11" ht="21" customHeight="1" x14ac:dyDescent="0.15">
      <c r="A16" s="38">
        <v>41011015</v>
      </c>
      <c r="B16" s="38">
        <v>0</v>
      </c>
      <c r="C16" s="38" t="s">
        <v>124</v>
      </c>
      <c r="D16" s="38">
        <v>100</v>
      </c>
      <c r="E16" s="38" t="s">
        <v>124</v>
      </c>
      <c r="F16" s="38" t="s">
        <v>124</v>
      </c>
      <c r="G16" s="38" t="s">
        <v>124</v>
      </c>
      <c r="H16" s="38" t="s">
        <v>124</v>
      </c>
      <c r="I16" s="38" t="s">
        <v>124</v>
      </c>
      <c r="J16" s="39">
        <f t="shared" si="0"/>
        <v>100</v>
      </c>
    </row>
    <row r="17" spans="1:10" s="36" customFormat="1" ht="21" customHeight="1" x14ac:dyDescent="0.15">
      <c r="A17" s="38">
        <v>41011016</v>
      </c>
      <c r="B17" s="38">
        <v>0</v>
      </c>
      <c r="C17" s="38" t="s">
        <v>124</v>
      </c>
      <c r="D17" s="38">
        <v>25</v>
      </c>
      <c r="E17" s="38" t="s">
        <v>124</v>
      </c>
      <c r="F17" s="38" t="s">
        <v>124</v>
      </c>
      <c r="G17" s="38" t="s">
        <v>124</v>
      </c>
      <c r="H17" s="38" t="s">
        <v>124</v>
      </c>
      <c r="I17" s="38" t="s">
        <v>124</v>
      </c>
      <c r="J17" s="39">
        <f t="shared" si="0"/>
        <v>25</v>
      </c>
    </row>
    <row r="18" spans="1:10" s="36" customFormat="1" ht="21" customHeight="1" x14ac:dyDescent="0.15">
      <c r="A18" s="38">
        <v>41011017</v>
      </c>
      <c r="B18" s="38">
        <v>0</v>
      </c>
      <c r="C18" s="38">
        <v>100</v>
      </c>
      <c r="D18" s="38">
        <v>100</v>
      </c>
      <c r="E18" s="38">
        <v>40</v>
      </c>
      <c r="F18" s="38" t="s">
        <v>124</v>
      </c>
      <c r="G18" s="38">
        <v>1</v>
      </c>
      <c r="H18" s="38" t="s">
        <v>124</v>
      </c>
      <c r="I18" s="38" t="s">
        <v>124</v>
      </c>
      <c r="J18" s="39">
        <f t="shared" si="0"/>
        <v>100</v>
      </c>
    </row>
    <row r="19" spans="1:10" s="36" customFormat="1" ht="21" customHeight="1" x14ac:dyDescent="0.15">
      <c r="A19" s="38">
        <v>41011018</v>
      </c>
      <c r="B19" s="38">
        <v>0</v>
      </c>
      <c r="C19" s="38" t="s">
        <v>124</v>
      </c>
      <c r="D19" s="38">
        <v>50</v>
      </c>
      <c r="E19" s="38">
        <v>40</v>
      </c>
      <c r="F19" s="38" t="s">
        <v>124</v>
      </c>
      <c r="G19" s="38" t="s">
        <v>124</v>
      </c>
      <c r="H19" s="38" t="s">
        <v>124</v>
      </c>
      <c r="I19" s="38" t="s">
        <v>124</v>
      </c>
      <c r="J19" s="39">
        <f t="shared" si="0"/>
        <v>50</v>
      </c>
    </row>
    <row r="20" spans="1:10" s="36" customFormat="1" ht="21" customHeight="1" x14ac:dyDescent="0.15">
      <c r="A20" s="38">
        <v>41011019</v>
      </c>
      <c r="B20" s="38">
        <v>0</v>
      </c>
      <c r="C20" s="38" t="s">
        <v>124</v>
      </c>
      <c r="D20" s="38">
        <v>100</v>
      </c>
      <c r="E20" s="38" t="s">
        <v>124</v>
      </c>
      <c r="F20" s="38" t="s">
        <v>124</v>
      </c>
      <c r="G20" s="38" t="s">
        <v>124</v>
      </c>
      <c r="H20" s="38" t="s">
        <v>124</v>
      </c>
      <c r="I20" s="38" t="s">
        <v>124</v>
      </c>
      <c r="J20" s="39">
        <f t="shared" si="0"/>
        <v>100</v>
      </c>
    </row>
    <row r="21" spans="1:10" s="36" customFormat="1" ht="21" customHeight="1" x14ac:dyDescent="0.15">
      <c r="A21" s="38">
        <v>41011020</v>
      </c>
      <c r="B21" s="38">
        <v>0</v>
      </c>
      <c r="C21" s="38" t="s">
        <v>124</v>
      </c>
      <c r="D21" s="38">
        <v>100</v>
      </c>
      <c r="E21" s="38" t="s">
        <v>124</v>
      </c>
      <c r="F21" s="38" t="s">
        <v>124</v>
      </c>
      <c r="G21" s="38" t="s">
        <v>124</v>
      </c>
      <c r="H21" s="38" t="s">
        <v>124</v>
      </c>
      <c r="I21" s="38" t="s">
        <v>124</v>
      </c>
      <c r="J21" s="39">
        <f t="shared" si="0"/>
        <v>100</v>
      </c>
    </row>
    <row r="22" spans="1:10" s="36" customFormat="1" ht="21" customHeight="1" x14ac:dyDescent="0.15">
      <c r="A22" s="38">
        <v>41011021</v>
      </c>
      <c r="B22" s="38">
        <v>1</v>
      </c>
      <c r="C22" s="38" t="s">
        <v>124</v>
      </c>
      <c r="D22" s="38">
        <v>100</v>
      </c>
      <c r="E22" s="38" t="s">
        <v>124</v>
      </c>
      <c r="F22" s="38" t="s">
        <v>124</v>
      </c>
      <c r="G22" s="38">
        <v>1</v>
      </c>
      <c r="H22" s="38" t="s">
        <v>124</v>
      </c>
      <c r="I22" s="38" t="s">
        <v>124</v>
      </c>
      <c r="J22" s="39">
        <f t="shared" si="0"/>
        <v>100</v>
      </c>
    </row>
    <row r="23" spans="1:10" s="36" customFormat="1" ht="21" customHeight="1" x14ac:dyDescent="0.15">
      <c r="A23" s="38">
        <v>41011022</v>
      </c>
      <c r="B23" s="38">
        <v>0</v>
      </c>
      <c r="C23" s="38" t="s">
        <v>124</v>
      </c>
      <c r="D23" s="38">
        <v>20</v>
      </c>
      <c r="E23" s="38" t="s">
        <v>124</v>
      </c>
      <c r="F23" s="38" t="s">
        <v>124</v>
      </c>
      <c r="G23" s="38" t="s">
        <v>124</v>
      </c>
      <c r="H23" s="38" t="s">
        <v>124</v>
      </c>
      <c r="I23" s="38" t="s">
        <v>124</v>
      </c>
      <c r="J23" s="39">
        <f t="shared" si="0"/>
        <v>20</v>
      </c>
    </row>
    <row r="24" spans="1:10" s="36" customFormat="1" ht="21" customHeight="1" x14ac:dyDescent="0.15">
      <c r="A24" s="38">
        <v>41011023</v>
      </c>
      <c r="B24" s="38">
        <v>0</v>
      </c>
      <c r="C24" s="38" t="s">
        <v>124</v>
      </c>
      <c r="D24" s="38">
        <v>100</v>
      </c>
      <c r="E24" s="38">
        <v>40</v>
      </c>
      <c r="F24" s="38" t="s">
        <v>124</v>
      </c>
      <c r="G24" s="38">
        <v>1</v>
      </c>
      <c r="H24" s="38" t="s">
        <v>124</v>
      </c>
      <c r="I24" s="38" t="s">
        <v>124</v>
      </c>
      <c r="J24" s="39">
        <f t="shared" si="0"/>
        <v>100</v>
      </c>
    </row>
    <row r="25" spans="1:10" s="36" customFormat="1" ht="21" customHeight="1" x14ac:dyDescent="0.15">
      <c r="A25" s="38">
        <v>41011024</v>
      </c>
      <c r="B25" s="38">
        <v>0</v>
      </c>
      <c r="C25" s="38" t="s">
        <v>124</v>
      </c>
      <c r="D25" s="38">
        <v>30</v>
      </c>
      <c r="E25" s="38">
        <v>30</v>
      </c>
      <c r="F25" s="38" t="s">
        <v>124</v>
      </c>
      <c r="G25" s="38" t="s">
        <v>124</v>
      </c>
      <c r="H25" s="38" t="s">
        <v>124</v>
      </c>
      <c r="I25" s="38" t="s">
        <v>124</v>
      </c>
      <c r="J25" s="39">
        <f t="shared" si="0"/>
        <v>30</v>
      </c>
    </row>
    <row r="26" spans="1:10" s="36" customFormat="1" ht="21" customHeight="1" x14ac:dyDescent="0.15">
      <c r="A26" s="38">
        <v>41011025</v>
      </c>
      <c r="B26" s="38">
        <v>0</v>
      </c>
      <c r="C26" s="38" t="s">
        <v>124</v>
      </c>
      <c r="D26" s="38">
        <v>100</v>
      </c>
      <c r="E26" s="38" t="s">
        <v>124</v>
      </c>
      <c r="F26" s="38" t="s">
        <v>124</v>
      </c>
      <c r="G26" s="38" t="s">
        <v>124</v>
      </c>
      <c r="H26" s="38" t="s">
        <v>124</v>
      </c>
      <c r="I26" s="38" t="s">
        <v>124</v>
      </c>
      <c r="J26" s="39">
        <f t="shared" si="0"/>
        <v>100</v>
      </c>
    </row>
    <row r="27" spans="1:10" s="36" customFormat="1" ht="21" customHeight="1" x14ac:dyDescent="0.15">
      <c r="A27" s="38">
        <v>41011026</v>
      </c>
      <c r="B27" s="38">
        <v>0</v>
      </c>
      <c r="C27" s="38" t="s">
        <v>124</v>
      </c>
      <c r="D27" s="38">
        <v>30</v>
      </c>
      <c r="E27" s="38" t="s">
        <v>124</v>
      </c>
      <c r="F27" s="38" t="s">
        <v>124</v>
      </c>
      <c r="G27" s="38" t="s">
        <v>124</v>
      </c>
      <c r="H27" s="38" t="s">
        <v>124</v>
      </c>
      <c r="I27" s="38" t="s">
        <v>124</v>
      </c>
      <c r="J27" s="39">
        <f t="shared" si="0"/>
        <v>30</v>
      </c>
    </row>
    <row r="28" spans="1:10" s="36" customFormat="1" ht="21" customHeight="1" x14ac:dyDescent="0.15">
      <c r="A28" s="38">
        <v>41011027</v>
      </c>
      <c r="B28" s="38">
        <v>0</v>
      </c>
      <c r="C28" s="38" t="s">
        <v>124</v>
      </c>
      <c r="D28" s="38">
        <v>100</v>
      </c>
      <c r="E28" s="38" t="s">
        <v>124</v>
      </c>
      <c r="F28" s="38" t="s">
        <v>124</v>
      </c>
      <c r="G28" s="38" t="s">
        <v>124</v>
      </c>
      <c r="H28" s="38" t="s">
        <v>124</v>
      </c>
      <c r="I28" s="38" t="s">
        <v>124</v>
      </c>
      <c r="J28" s="39">
        <f t="shared" si="0"/>
        <v>100</v>
      </c>
    </row>
    <row r="29" spans="1:10" s="36" customFormat="1" ht="21" customHeight="1" x14ac:dyDescent="0.15">
      <c r="A29" s="38">
        <v>41011028</v>
      </c>
      <c r="B29" s="38">
        <v>0</v>
      </c>
      <c r="C29" s="38" t="s">
        <v>124</v>
      </c>
      <c r="D29" s="38">
        <v>100</v>
      </c>
      <c r="E29" s="38" t="s">
        <v>124</v>
      </c>
      <c r="F29" s="38" t="s">
        <v>124</v>
      </c>
      <c r="G29" s="38" t="s">
        <v>124</v>
      </c>
      <c r="H29" s="38" t="s">
        <v>124</v>
      </c>
      <c r="I29" s="38" t="s">
        <v>124</v>
      </c>
      <c r="J29" s="39">
        <f t="shared" si="0"/>
        <v>100</v>
      </c>
    </row>
    <row r="30" spans="1:10" s="36" customFormat="1" ht="21" customHeight="1" x14ac:dyDescent="0.15">
      <c r="A30" s="38">
        <v>41011029</v>
      </c>
      <c r="B30" s="38">
        <v>0</v>
      </c>
      <c r="C30" s="38" t="s">
        <v>124</v>
      </c>
      <c r="D30" s="38">
        <v>100</v>
      </c>
      <c r="E30" s="38" t="s">
        <v>124</v>
      </c>
      <c r="F30" s="38" t="s">
        <v>124</v>
      </c>
      <c r="G30" s="38" t="s">
        <v>124</v>
      </c>
      <c r="H30" s="38" t="s">
        <v>124</v>
      </c>
      <c r="I30" s="38" t="s">
        <v>124</v>
      </c>
      <c r="J30" s="39">
        <f t="shared" si="0"/>
        <v>100</v>
      </c>
    </row>
    <row r="31" spans="1:10" s="36" customFormat="1" ht="21" customHeight="1" x14ac:dyDescent="0.15">
      <c r="A31" s="38">
        <v>41011030</v>
      </c>
      <c r="B31" s="38">
        <v>0</v>
      </c>
      <c r="C31" s="38" t="s">
        <v>124</v>
      </c>
      <c r="D31" s="38">
        <v>100</v>
      </c>
      <c r="E31" s="38" t="s">
        <v>124</v>
      </c>
      <c r="F31" s="38" t="s">
        <v>124</v>
      </c>
      <c r="G31" s="38" t="s">
        <v>124</v>
      </c>
      <c r="H31" s="38" t="s">
        <v>124</v>
      </c>
      <c r="I31" s="38" t="s">
        <v>124</v>
      </c>
      <c r="J31" s="39">
        <f t="shared" si="0"/>
        <v>100</v>
      </c>
    </row>
    <row r="32" spans="1:10" s="36" customFormat="1" ht="21" customHeight="1" x14ac:dyDescent="0.15">
      <c r="A32" s="38">
        <v>41011031</v>
      </c>
      <c r="B32" s="38">
        <v>1</v>
      </c>
      <c r="C32" s="38" t="s">
        <v>124</v>
      </c>
      <c r="D32" s="38">
        <v>100</v>
      </c>
      <c r="E32" s="38" t="s">
        <v>124</v>
      </c>
      <c r="F32" s="38" t="s">
        <v>124</v>
      </c>
      <c r="G32" s="38">
        <v>1</v>
      </c>
      <c r="H32" s="38" t="s">
        <v>124</v>
      </c>
      <c r="I32" s="38" t="s">
        <v>124</v>
      </c>
      <c r="J32" s="39">
        <f t="shared" si="0"/>
        <v>100</v>
      </c>
    </row>
    <row r="33" spans="1:10" s="36" customFormat="1" ht="21" customHeight="1" x14ac:dyDescent="0.15">
      <c r="A33" s="38">
        <v>41011032</v>
      </c>
      <c r="B33" s="38">
        <v>0</v>
      </c>
      <c r="C33" s="38" t="s">
        <v>124</v>
      </c>
      <c r="D33" s="38">
        <v>20</v>
      </c>
      <c r="E33" s="38" t="s">
        <v>124</v>
      </c>
      <c r="F33" s="38" t="s">
        <v>124</v>
      </c>
      <c r="G33" s="38" t="s">
        <v>124</v>
      </c>
      <c r="H33" s="38" t="s">
        <v>124</v>
      </c>
      <c r="I33" s="38" t="s">
        <v>124</v>
      </c>
      <c r="J33" s="39">
        <f t="shared" si="0"/>
        <v>20</v>
      </c>
    </row>
    <row r="34" spans="1:10" s="36" customFormat="1" ht="21" customHeight="1" x14ac:dyDescent="0.15">
      <c r="A34" s="38">
        <v>41011033</v>
      </c>
      <c r="B34" s="38">
        <v>0</v>
      </c>
      <c r="C34" s="38" t="s">
        <v>124</v>
      </c>
      <c r="D34" s="38">
        <v>100</v>
      </c>
      <c r="E34" s="38" t="s">
        <v>124</v>
      </c>
      <c r="F34" s="38" t="s">
        <v>124</v>
      </c>
      <c r="G34" s="38" t="s">
        <v>124</v>
      </c>
      <c r="H34" s="38" t="s">
        <v>124</v>
      </c>
      <c r="I34" s="38" t="s">
        <v>124</v>
      </c>
      <c r="J34" s="39">
        <f t="shared" si="0"/>
        <v>100</v>
      </c>
    </row>
    <row r="35" spans="1:10" s="36" customFormat="1" ht="21" customHeight="1" x14ac:dyDescent="0.15">
      <c r="A35" s="38">
        <v>41011034</v>
      </c>
      <c r="B35" s="38">
        <v>0</v>
      </c>
      <c r="C35" s="38" t="s">
        <v>124</v>
      </c>
      <c r="D35" s="38">
        <v>100</v>
      </c>
      <c r="E35" s="38" t="s">
        <v>124</v>
      </c>
      <c r="F35" s="38" t="s">
        <v>124</v>
      </c>
      <c r="G35" s="38" t="s">
        <v>124</v>
      </c>
      <c r="H35" s="38" t="s">
        <v>124</v>
      </c>
      <c r="I35" s="38" t="s">
        <v>124</v>
      </c>
      <c r="J35" s="39">
        <f t="shared" si="0"/>
        <v>100</v>
      </c>
    </row>
    <row r="36" spans="1:10" s="36" customFormat="1" ht="21" customHeight="1" x14ac:dyDescent="0.15">
      <c r="A36" s="38">
        <v>41011035</v>
      </c>
      <c r="B36" s="38">
        <v>0</v>
      </c>
      <c r="C36" s="38" t="s">
        <v>124</v>
      </c>
      <c r="D36" s="38">
        <v>100</v>
      </c>
      <c r="E36" s="38" t="s">
        <v>124</v>
      </c>
      <c r="F36" s="38" t="s">
        <v>124</v>
      </c>
      <c r="G36" s="38" t="s">
        <v>124</v>
      </c>
      <c r="H36" s="38" t="s">
        <v>124</v>
      </c>
      <c r="I36" s="38" t="s">
        <v>124</v>
      </c>
      <c r="J36" s="39">
        <f t="shared" si="0"/>
        <v>100</v>
      </c>
    </row>
    <row r="37" spans="1:10" s="36" customFormat="1" ht="21" customHeight="1" x14ac:dyDescent="0.15">
      <c r="A37" s="38">
        <v>41011036</v>
      </c>
      <c r="B37" s="38">
        <v>1</v>
      </c>
      <c r="C37" s="38" t="s">
        <v>124</v>
      </c>
      <c r="D37" s="38">
        <v>100</v>
      </c>
      <c r="E37" s="38" t="s">
        <v>124</v>
      </c>
      <c r="F37" s="38" t="s">
        <v>124</v>
      </c>
      <c r="G37" s="38">
        <v>1</v>
      </c>
      <c r="H37" s="38" t="s">
        <v>124</v>
      </c>
      <c r="I37" s="38" t="s">
        <v>124</v>
      </c>
      <c r="J37" s="39">
        <f t="shared" si="0"/>
        <v>100</v>
      </c>
    </row>
    <row r="38" spans="1:10" s="36" customFormat="1" ht="21" customHeight="1" x14ac:dyDescent="0.15">
      <c r="A38" s="38">
        <v>41011037</v>
      </c>
      <c r="B38" s="38">
        <v>0</v>
      </c>
      <c r="C38" s="38" t="s">
        <v>124</v>
      </c>
      <c r="D38" s="38">
        <v>20</v>
      </c>
      <c r="E38" s="38" t="s">
        <v>124</v>
      </c>
      <c r="F38" s="38" t="s">
        <v>124</v>
      </c>
      <c r="G38" s="38" t="s">
        <v>124</v>
      </c>
      <c r="H38" s="38" t="s">
        <v>124</v>
      </c>
      <c r="I38" s="38" t="s">
        <v>124</v>
      </c>
      <c r="J38" s="39">
        <f t="shared" si="0"/>
        <v>20</v>
      </c>
    </row>
    <row r="39" spans="1:10" s="36" customFormat="1" ht="21" customHeight="1" x14ac:dyDescent="0.15">
      <c r="A39" s="38">
        <v>41011038</v>
      </c>
      <c r="B39" s="38">
        <v>0</v>
      </c>
      <c r="C39" s="38" t="s">
        <v>124</v>
      </c>
      <c r="D39" s="38">
        <v>20</v>
      </c>
      <c r="E39" s="38" t="s">
        <v>124</v>
      </c>
      <c r="F39" s="38" t="s">
        <v>124</v>
      </c>
      <c r="G39" s="38" t="s">
        <v>124</v>
      </c>
      <c r="H39" s="38" t="s">
        <v>124</v>
      </c>
      <c r="I39" s="38" t="s">
        <v>124</v>
      </c>
      <c r="J39" s="39">
        <f t="shared" si="0"/>
        <v>20</v>
      </c>
    </row>
    <row r="40" spans="1:10" s="36" customFormat="1" ht="21" customHeight="1" x14ac:dyDescent="0.15">
      <c r="A40" s="38">
        <v>41011039</v>
      </c>
      <c r="B40" s="38">
        <v>1</v>
      </c>
      <c r="C40" s="38">
        <v>101</v>
      </c>
      <c r="D40" s="38">
        <v>100</v>
      </c>
      <c r="E40" s="38" t="s">
        <v>124</v>
      </c>
      <c r="F40" s="38" t="s">
        <v>124</v>
      </c>
      <c r="G40" s="38">
        <v>1</v>
      </c>
      <c r="H40" s="38" t="s">
        <v>124</v>
      </c>
      <c r="I40" s="38">
        <v>644</v>
      </c>
      <c r="J40" s="39">
        <f t="shared" si="0"/>
        <v>100</v>
      </c>
    </row>
    <row r="41" spans="1:10" s="36" customFormat="1" ht="21" customHeight="1" x14ac:dyDescent="0.15">
      <c r="A41" s="38">
        <v>41011040</v>
      </c>
      <c r="B41" s="38">
        <v>1</v>
      </c>
      <c r="C41" s="38">
        <v>102</v>
      </c>
      <c r="D41" s="38">
        <v>100</v>
      </c>
      <c r="E41" s="38" t="s">
        <v>124</v>
      </c>
      <c r="F41" s="38" t="s">
        <v>124</v>
      </c>
      <c r="G41" s="38">
        <v>1</v>
      </c>
      <c r="H41" s="38" t="s">
        <v>124</v>
      </c>
      <c r="I41" s="38">
        <v>645</v>
      </c>
      <c r="J41" s="39">
        <f t="shared" si="0"/>
        <v>100</v>
      </c>
    </row>
    <row r="42" spans="1:10" s="36" customFormat="1" ht="21" customHeight="1" x14ac:dyDescent="0.15">
      <c r="A42" s="38">
        <v>41011041</v>
      </c>
      <c r="B42" s="38">
        <v>1</v>
      </c>
      <c r="C42" s="38">
        <v>103</v>
      </c>
      <c r="D42" s="38">
        <v>100</v>
      </c>
      <c r="E42" s="38" t="s">
        <v>124</v>
      </c>
      <c r="F42" s="38" t="s">
        <v>124</v>
      </c>
      <c r="G42" s="38">
        <v>1</v>
      </c>
      <c r="H42" s="38" t="s">
        <v>124</v>
      </c>
      <c r="I42" s="38">
        <v>831</v>
      </c>
      <c r="J42" s="39">
        <f t="shared" si="0"/>
        <v>100</v>
      </c>
    </row>
    <row r="43" spans="1:10" s="36" customFormat="1" ht="21" customHeight="1" x14ac:dyDescent="0.15">
      <c r="A43" s="38">
        <v>41011042</v>
      </c>
      <c r="B43" s="38">
        <v>0</v>
      </c>
      <c r="C43" s="38" t="s">
        <v>124</v>
      </c>
      <c r="D43" s="38">
        <v>100</v>
      </c>
      <c r="E43" s="38" t="s">
        <v>124</v>
      </c>
      <c r="F43" s="38" t="s">
        <v>124</v>
      </c>
      <c r="G43" s="38" t="s">
        <v>124</v>
      </c>
      <c r="H43" s="38" t="s">
        <v>124</v>
      </c>
      <c r="I43" s="38" t="s">
        <v>124</v>
      </c>
      <c r="J43" s="39">
        <f t="shared" si="0"/>
        <v>100</v>
      </c>
    </row>
    <row r="44" spans="1:10" s="36" customFormat="1" ht="21" customHeight="1" x14ac:dyDescent="0.15">
      <c r="A44" s="38">
        <v>41011043</v>
      </c>
      <c r="B44" s="38">
        <v>0</v>
      </c>
      <c r="C44" s="38" t="s">
        <v>124</v>
      </c>
      <c r="D44" s="38">
        <v>100</v>
      </c>
      <c r="E44" s="38" t="s">
        <v>124</v>
      </c>
      <c r="F44" s="38" t="s">
        <v>124</v>
      </c>
      <c r="G44" s="38" t="s">
        <v>124</v>
      </c>
      <c r="H44" s="38" t="s">
        <v>124</v>
      </c>
      <c r="I44" s="38" t="s">
        <v>124</v>
      </c>
      <c r="J44" s="39">
        <f t="shared" si="0"/>
        <v>100</v>
      </c>
    </row>
    <row r="45" spans="1:10" s="36" customFormat="1" ht="21" customHeight="1" x14ac:dyDescent="0.15">
      <c r="A45" s="38">
        <v>41011044</v>
      </c>
      <c r="B45" s="38">
        <v>0</v>
      </c>
      <c r="C45" s="38" t="s">
        <v>124</v>
      </c>
      <c r="D45" s="38">
        <v>100</v>
      </c>
      <c r="E45" s="38" t="s">
        <v>124</v>
      </c>
      <c r="F45" s="38" t="s">
        <v>124</v>
      </c>
      <c r="G45" s="38" t="s">
        <v>124</v>
      </c>
      <c r="H45" s="38" t="s">
        <v>124</v>
      </c>
      <c r="I45" s="38" t="s">
        <v>124</v>
      </c>
      <c r="J45" s="39">
        <f t="shared" si="0"/>
        <v>100</v>
      </c>
    </row>
    <row r="46" spans="1:10" s="36" customFormat="1" ht="21" customHeight="1" x14ac:dyDescent="0.15">
      <c r="A46" s="38">
        <v>41011045</v>
      </c>
      <c r="B46" s="38">
        <v>0</v>
      </c>
      <c r="C46" s="38" t="s">
        <v>124</v>
      </c>
      <c r="D46" s="38">
        <v>100</v>
      </c>
      <c r="E46" s="38" t="s">
        <v>124</v>
      </c>
      <c r="F46" s="38" t="s">
        <v>124</v>
      </c>
      <c r="G46" s="38" t="s">
        <v>124</v>
      </c>
      <c r="H46" s="38" t="s">
        <v>124</v>
      </c>
      <c r="I46" s="38" t="s">
        <v>124</v>
      </c>
      <c r="J46" s="39">
        <f t="shared" si="0"/>
        <v>100</v>
      </c>
    </row>
    <row r="47" spans="1:10" s="36" customFormat="1" ht="21" customHeight="1" x14ac:dyDescent="0.15">
      <c r="A47" s="38">
        <v>41011046</v>
      </c>
      <c r="B47" s="38">
        <v>1</v>
      </c>
      <c r="C47" s="38" t="s">
        <v>124</v>
      </c>
      <c r="D47" s="38">
        <v>100</v>
      </c>
      <c r="E47" s="38" t="s">
        <v>124</v>
      </c>
      <c r="F47" s="38" t="s">
        <v>124</v>
      </c>
      <c r="G47" s="38">
        <v>1</v>
      </c>
      <c r="H47" s="38" t="s">
        <v>124</v>
      </c>
      <c r="I47" s="38" t="s">
        <v>124</v>
      </c>
      <c r="J47" s="39">
        <f t="shared" si="0"/>
        <v>100</v>
      </c>
    </row>
    <row r="48" spans="1:10" s="36" customFormat="1" ht="21" customHeight="1" x14ac:dyDescent="0.15">
      <c r="A48" s="38">
        <v>41011047</v>
      </c>
      <c r="B48" s="38">
        <v>0</v>
      </c>
      <c r="C48" s="38" t="s">
        <v>124</v>
      </c>
      <c r="D48" s="38">
        <v>20</v>
      </c>
      <c r="E48" s="38" t="s">
        <v>124</v>
      </c>
      <c r="F48" s="38" t="s">
        <v>124</v>
      </c>
      <c r="G48" s="38" t="s">
        <v>124</v>
      </c>
      <c r="H48" s="38" t="s">
        <v>124</v>
      </c>
      <c r="I48" s="38" t="s">
        <v>124</v>
      </c>
      <c r="J48" s="39">
        <f t="shared" si="0"/>
        <v>20</v>
      </c>
    </row>
    <row r="49" spans="1:10" s="36" customFormat="1" ht="21" customHeight="1" x14ac:dyDescent="0.15">
      <c r="A49" s="38">
        <v>41011048</v>
      </c>
      <c r="B49" s="38">
        <v>0</v>
      </c>
      <c r="C49" s="38" t="s">
        <v>124</v>
      </c>
      <c r="D49" s="38">
        <v>20</v>
      </c>
      <c r="E49" s="38" t="s">
        <v>124</v>
      </c>
      <c r="F49" s="38" t="s">
        <v>124</v>
      </c>
      <c r="G49" s="38" t="s">
        <v>124</v>
      </c>
      <c r="H49" s="38" t="s">
        <v>124</v>
      </c>
      <c r="I49" s="38" t="s">
        <v>124</v>
      </c>
      <c r="J49" s="39">
        <f t="shared" si="0"/>
        <v>20</v>
      </c>
    </row>
    <row r="50" spans="1:10" s="36" customFormat="1" ht="21" customHeight="1" x14ac:dyDescent="0.15">
      <c r="A50" s="38">
        <v>41011049</v>
      </c>
      <c r="B50" s="38">
        <v>0</v>
      </c>
      <c r="C50" s="38">
        <v>100</v>
      </c>
      <c r="D50" s="38">
        <v>100</v>
      </c>
      <c r="E50" s="38">
        <v>40</v>
      </c>
      <c r="F50" s="38" t="s">
        <v>124</v>
      </c>
      <c r="G50" s="38">
        <v>1</v>
      </c>
      <c r="H50" s="38" t="s">
        <v>124</v>
      </c>
      <c r="I50" s="38" t="s">
        <v>124</v>
      </c>
      <c r="J50" s="39">
        <f t="shared" si="0"/>
        <v>100</v>
      </c>
    </row>
    <row r="51" spans="1:10" s="36" customFormat="1" ht="21" customHeight="1" x14ac:dyDescent="0.15">
      <c r="A51" s="38">
        <v>41011050</v>
      </c>
      <c r="B51" s="38">
        <v>0</v>
      </c>
      <c r="C51" s="38">
        <v>80</v>
      </c>
      <c r="D51" s="38">
        <v>100</v>
      </c>
      <c r="E51" s="38">
        <v>40</v>
      </c>
      <c r="F51" s="38" t="s">
        <v>124</v>
      </c>
      <c r="G51" s="38">
        <v>1</v>
      </c>
      <c r="H51" s="38" t="s">
        <v>124</v>
      </c>
      <c r="I51" s="38" t="s">
        <v>124</v>
      </c>
      <c r="J51" s="39">
        <f t="shared" si="0"/>
        <v>100</v>
      </c>
    </row>
    <row r="52" spans="1:10" s="36" customFormat="1" ht="21" customHeight="1" x14ac:dyDescent="0.15">
      <c r="A52" s="38">
        <v>41011051</v>
      </c>
      <c r="B52" s="38">
        <v>0</v>
      </c>
      <c r="C52" s="38" t="s">
        <v>124</v>
      </c>
      <c r="D52" s="38">
        <v>100</v>
      </c>
      <c r="E52" s="38" t="s">
        <v>124</v>
      </c>
      <c r="F52" s="38" t="s">
        <v>124</v>
      </c>
      <c r="G52" s="38" t="s">
        <v>124</v>
      </c>
      <c r="H52" s="38" t="s">
        <v>124</v>
      </c>
      <c r="I52" s="38" t="s">
        <v>124</v>
      </c>
      <c r="J52" s="39">
        <f t="shared" si="0"/>
        <v>100</v>
      </c>
    </row>
    <row r="53" spans="1:10" s="36" customFormat="1" ht="21" customHeight="1" x14ac:dyDescent="0.15">
      <c r="A53" s="38">
        <v>41011052</v>
      </c>
      <c r="B53" s="38">
        <v>0</v>
      </c>
      <c r="C53" s="38" t="s">
        <v>124</v>
      </c>
      <c r="D53" s="38">
        <v>100</v>
      </c>
      <c r="E53" s="38" t="s">
        <v>124</v>
      </c>
      <c r="F53" s="38" t="s">
        <v>124</v>
      </c>
      <c r="G53" s="38" t="s">
        <v>124</v>
      </c>
      <c r="H53" s="38" t="s">
        <v>124</v>
      </c>
      <c r="I53" s="38" t="s">
        <v>124</v>
      </c>
      <c r="J53" s="39">
        <f t="shared" si="0"/>
        <v>100</v>
      </c>
    </row>
    <row r="54" spans="1:10" s="36" customFormat="1" ht="21" customHeight="1" x14ac:dyDescent="0.15">
      <c r="A54" s="38">
        <v>41011053</v>
      </c>
      <c r="B54" s="38">
        <v>0</v>
      </c>
      <c r="C54" s="38" t="s">
        <v>124</v>
      </c>
      <c r="D54" s="38">
        <v>100</v>
      </c>
      <c r="E54" s="38" t="s">
        <v>124</v>
      </c>
      <c r="F54" s="38" t="s">
        <v>124</v>
      </c>
      <c r="G54" s="38" t="s">
        <v>124</v>
      </c>
      <c r="H54" s="38" t="s">
        <v>124</v>
      </c>
      <c r="I54" s="38" t="s">
        <v>124</v>
      </c>
      <c r="J54" s="39">
        <f t="shared" si="0"/>
        <v>100</v>
      </c>
    </row>
    <row r="55" spans="1:10" s="36" customFormat="1" ht="21" customHeight="1" x14ac:dyDescent="0.15">
      <c r="A55" s="38">
        <v>41011054</v>
      </c>
      <c r="B55" s="38">
        <v>0</v>
      </c>
      <c r="C55" s="38" t="s">
        <v>124</v>
      </c>
      <c r="D55" s="38">
        <v>100</v>
      </c>
      <c r="E55" s="38" t="s">
        <v>124</v>
      </c>
      <c r="F55" s="38" t="s">
        <v>124</v>
      </c>
      <c r="G55" s="38" t="s">
        <v>124</v>
      </c>
      <c r="H55" s="38" t="s">
        <v>124</v>
      </c>
      <c r="I55" s="38" t="s">
        <v>124</v>
      </c>
      <c r="J55" s="39">
        <f t="shared" si="0"/>
        <v>100</v>
      </c>
    </row>
    <row r="56" spans="1:10" s="36" customFormat="1" ht="21" customHeight="1" x14ac:dyDescent="0.15">
      <c r="A56" s="38">
        <v>41011055</v>
      </c>
      <c r="B56" s="38">
        <v>0</v>
      </c>
      <c r="C56" s="38" t="s">
        <v>124</v>
      </c>
      <c r="D56" s="38">
        <v>100</v>
      </c>
      <c r="E56" s="38" t="s">
        <v>124</v>
      </c>
      <c r="F56" s="38" t="s">
        <v>124</v>
      </c>
      <c r="G56" s="38" t="s">
        <v>124</v>
      </c>
      <c r="H56" s="38" t="s">
        <v>124</v>
      </c>
      <c r="I56" s="38" t="s">
        <v>124</v>
      </c>
      <c r="J56" s="39">
        <f t="shared" si="0"/>
        <v>100</v>
      </c>
    </row>
    <row r="57" spans="1:10" s="36" customFormat="1" ht="21" customHeight="1" x14ac:dyDescent="0.15">
      <c r="A57" s="38">
        <v>41011056</v>
      </c>
      <c r="B57" s="38">
        <v>1</v>
      </c>
      <c r="C57" s="38" t="s">
        <v>124</v>
      </c>
      <c r="D57" s="38">
        <v>100</v>
      </c>
      <c r="E57" s="38" t="s">
        <v>124</v>
      </c>
      <c r="F57" s="38" t="s">
        <v>124</v>
      </c>
      <c r="G57" s="38">
        <v>1</v>
      </c>
      <c r="H57" s="38" t="s">
        <v>124</v>
      </c>
      <c r="I57" s="38" t="s">
        <v>124</v>
      </c>
      <c r="J57" s="39">
        <f t="shared" si="0"/>
        <v>100</v>
      </c>
    </row>
    <row r="58" spans="1:10" s="36" customFormat="1" ht="21" customHeight="1" x14ac:dyDescent="0.15">
      <c r="A58" s="38">
        <v>41011057</v>
      </c>
      <c r="B58" s="38">
        <v>0</v>
      </c>
      <c r="C58" s="38" t="s">
        <v>124</v>
      </c>
      <c r="D58" s="38">
        <v>20</v>
      </c>
      <c r="E58" s="38" t="s">
        <v>124</v>
      </c>
      <c r="F58" s="38" t="s">
        <v>124</v>
      </c>
      <c r="G58" s="38" t="s">
        <v>124</v>
      </c>
      <c r="H58" s="38" t="s">
        <v>124</v>
      </c>
      <c r="I58" s="38" t="s">
        <v>124</v>
      </c>
      <c r="J58" s="39">
        <f t="shared" si="0"/>
        <v>20</v>
      </c>
    </row>
    <row r="59" spans="1:10" s="36" customFormat="1" ht="21" customHeight="1" x14ac:dyDescent="0.15">
      <c r="A59" s="38">
        <v>41011058</v>
      </c>
      <c r="B59" s="38">
        <v>0</v>
      </c>
      <c r="C59" s="38" t="s">
        <v>124</v>
      </c>
      <c r="D59" s="38">
        <v>20</v>
      </c>
      <c r="E59" s="38" t="s">
        <v>124</v>
      </c>
      <c r="F59" s="38" t="s">
        <v>124</v>
      </c>
      <c r="G59" s="38" t="s">
        <v>124</v>
      </c>
      <c r="H59" s="38" t="s">
        <v>124</v>
      </c>
      <c r="I59" s="38" t="s">
        <v>124</v>
      </c>
      <c r="J59" s="39">
        <f t="shared" si="0"/>
        <v>20</v>
      </c>
    </row>
    <row r="60" spans="1:10" s="36" customFormat="1" ht="21" customHeight="1" x14ac:dyDescent="0.15">
      <c r="A60" s="38">
        <v>41011059</v>
      </c>
      <c r="B60" s="38">
        <v>0</v>
      </c>
      <c r="C60" s="38" t="s">
        <v>124</v>
      </c>
      <c r="D60" s="38">
        <v>30</v>
      </c>
      <c r="E60" s="38" t="s">
        <v>124</v>
      </c>
      <c r="F60" s="38" t="s">
        <v>124</v>
      </c>
      <c r="G60" s="38">
        <v>1</v>
      </c>
      <c r="H60" s="38" t="s">
        <v>124</v>
      </c>
      <c r="I60" s="38" t="s">
        <v>124</v>
      </c>
      <c r="J60" s="39">
        <f t="shared" si="0"/>
        <v>30</v>
      </c>
    </row>
    <row r="61" spans="1:10" s="36" customFormat="1" ht="21" customHeight="1" x14ac:dyDescent="0.15">
      <c r="A61" s="38">
        <v>41011060</v>
      </c>
      <c r="B61" s="38">
        <v>0</v>
      </c>
      <c r="C61" s="38" t="s">
        <v>124</v>
      </c>
      <c r="D61" s="38">
        <v>100</v>
      </c>
      <c r="E61" s="38">
        <v>50</v>
      </c>
      <c r="F61" s="38" t="s">
        <v>124</v>
      </c>
      <c r="G61" s="38">
        <v>1</v>
      </c>
      <c r="H61" s="38" t="s">
        <v>124</v>
      </c>
      <c r="I61" s="38" t="s">
        <v>124</v>
      </c>
      <c r="J61" s="39">
        <f t="shared" si="0"/>
        <v>100</v>
      </c>
    </row>
    <row r="62" spans="1:10" s="36" customFormat="1" ht="21" customHeight="1" x14ac:dyDescent="0.15">
      <c r="A62" s="38">
        <v>41011061</v>
      </c>
      <c r="B62" s="38">
        <v>0</v>
      </c>
      <c r="C62" s="38">
        <v>30</v>
      </c>
      <c r="D62" s="38">
        <v>100</v>
      </c>
      <c r="E62" s="38">
        <v>50</v>
      </c>
      <c r="F62" s="38" t="s">
        <v>124</v>
      </c>
      <c r="G62" s="38">
        <v>1</v>
      </c>
      <c r="H62" s="38" t="s">
        <v>124</v>
      </c>
      <c r="I62" s="38" t="s">
        <v>124</v>
      </c>
      <c r="J62" s="39">
        <f t="shared" si="0"/>
        <v>100</v>
      </c>
    </row>
    <row r="63" spans="1:10" s="36" customFormat="1" ht="21" customHeight="1" x14ac:dyDescent="0.15">
      <c r="A63" s="38">
        <v>41011062</v>
      </c>
      <c r="B63" s="38">
        <v>0</v>
      </c>
      <c r="C63" s="38">
        <v>20</v>
      </c>
      <c r="D63" s="38">
        <v>100</v>
      </c>
      <c r="E63" s="38">
        <v>50</v>
      </c>
      <c r="F63" s="38" t="s">
        <v>124</v>
      </c>
      <c r="G63" s="38">
        <v>1</v>
      </c>
      <c r="H63" s="38" t="s">
        <v>124</v>
      </c>
      <c r="I63" s="38" t="s">
        <v>124</v>
      </c>
      <c r="J63" s="39">
        <f t="shared" si="0"/>
        <v>100</v>
      </c>
    </row>
    <row r="64" spans="1:10" s="36" customFormat="1" ht="21" customHeight="1" x14ac:dyDescent="0.15">
      <c r="A64" s="38">
        <v>41011063</v>
      </c>
      <c r="B64" s="38">
        <v>0</v>
      </c>
      <c r="C64" s="38">
        <v>10</v>
      </c>
      <c r="D64" s="38">
        <v>100</v>
      </c>
      <c r="E64" s="38">
        <v>50</v>
      </c>
      <c r="F64" s="38" t="s">
        <v>124</v>
      </c>
      <c r="G64" s="38" t="s">
        <v>124</v>
      </c>
      <c r="H64" s="38" t="s">
        <v>124</v>
      </c>
      <c r="I64" s="38" t="s">
        <v>124</v>
      </c>
      <c r="J64" s="39">
        <f t="shared" si="0"/>
        <v>100</v>
      </c>
    </row>
    <row r="65" spans="1:11" ht="21" customHeight="1" x14ac:dyDescent="0.15">
      <c r="A65" s="38">
        <v>41011064</v>
      </c>
      <c r="B65" s="38">
        <v>0</v>
      </c>
      <c r="C65" s="38" t="s">
        <v>124</v>
      </c>
      <c r="D65" s="38">
        <v>100</v>
      </c>
      <c r="E65" s="38" t="s">
        <v>124</v>
      </c>
      <c r="F65" s="38" t="s">
        <v>124</v>
      </c>
      <c r="G65" s="38" t="s">
        <v>124</v>
      </c>
      <c r="H65" s="38" t="s">
        <v>124</v>
      </c>
      <c r="I65" s="38" t="s">
        <v>124</v>
      </c>
      <c r="J65" s="39">
        <f t="shared" si="0"/>
        <v>100</v>
      </c>
      <c r="K65" s="36"/>
    </row>
    <row r="66" spans="1:11" ht="21" customHeight="1" x14ac:dyDescent="0.15">
      <c r="A66" s="38">
        <v>41011065</v>
      </c>
      <c r="B66" s="38">
        <v>0</v>
      </c>
      <c r="C66" s="38" t="s">
        <v>124</v>
      </c>
      <c r="D66" s="38">
        <v>100</v>
      </c>
      <c r="E66" s="38" t="s">
        <v>124</v>
      </c>
      <c r="F66" s="38" t="s">
        <v>124</v>
      </c>
      <c r="G66" s="38" t="s">
        <v>124</v>
      </c>
      <c r="H66" s="38" t="s">
        <v>124</v>
      </c>
      <c r="I66" s="38" t="s">
        <v>124</v>
      </c>
      <c r="J66" s="39">
        <f t="shared" ref="J66:J70" si="1">D66</f>
        <v>100</v>
      </c>
      <c r="K66" s="36"/>
    </row>
    <row r="67" spans="1:11" ht="21" customHeight="1" x14ac:dyDescent="0.15">
      <c r="A67" s="101">
        <v>41011066</v>
      </c>
      <c r="B67" s="101">
        <v>0</v>
      </c>
      <c r="C67" s="101" t="s">
        <v>124</v>
      </c>
      <c r="D67" s="101">
        <v>30</v>
      </c>
      <c r="E67" s="101" t="s">
        <v>124</v>
      </c>
      <c r="F67" s="101" t="s">
        <v>124</v>
      </c>
      <c r="G67" s="101">
        <v>1</v>
      </c>
      <c r="H67" s="101" t="s">
        <v>124</v>
      </c>
      <c r="I67" s="101" t="s">
        <v>124</v>
      </c>
      <c r="J67" s="39">
        <f t="shared" si="1"/>
        <v>30</v>
      </c>
      <c r="K67" s="36"/>
    </row>
    <row r="68" spans="1:11" ht="21" customHeight="1" x14ac:dyDescent="0.15">
      <c r="A68" s="101">
        <v>41011067</v>
      </c>
      <c r="B68" s="101">
        <v>0</v>
      </c>
      <c r="C68" s="101">
        <v>30</v>
      </c>
      <c r="D68" s="101">
        <v>100</v>
      </c>
      <c r="E68" s="101">
        <v>50</v>
      </c>
      <c r="F68" s="101" t="s">
        <v>124</v>
      </c>
      <c r="G68" s="101">
        <v>1</v>
      </c>
      <c r="H68" s="101" t="s">
        <v>124</v>
      </c>
      <c r="I68" s="101" t="s">
        <v>124</v>
      </c>
      <c r="J68" s="39">
        <f t="shared" si="1"/>
        <v>100</v>
      </c>
      <c r="K68" s="36"/>
    </row>
    <row r="69" spans="1:11" ht="21" customHeight="1" x14ac:dyDescent="0.15">
      <c r="A69" s="101">
        <v>41011068</v>
      </c>
      <c r="B69" s="101">
        <v>0</v>
      </c>
      <c r="C69" s="101">
        <v>20</v>
      </c>
      <c r="D69" s="101">
        <v>100</v>
      </c>
      <c r="E69" s="101">
        <v>50</v>
      </c>
      <c r="F69" s="101" t="s">
        <v>124</v>
      </c>
      <c r="G69" s="101">
        <v>1</v>
      </c>
      <c r="H69" s="101" t="s">
        <v>124</v>
      </c>
      <c r="I69" s="101" t="s">
        <v>124</v>
      </c>
      <c r="J69" s="39">
        <f t="shared" si="1"/>
        <v>100</v>
      </c>
      <c r="K69" s="36"/>
    </row>
    <row r="70" spans="1:11" ht="21" customHeight="1" x14ac:dyDescent="0.15">
      <c r="A70" s="101">
        <v>41011069</v>
      </c>
      <c r="B70" s="101">
        <v>0</v>
      </c>
      <c r="C70" s="101">
        <v>10</v>
      </c>
      <c r="D70" s="101">
        <v>100</v>
      </c>
      <c r="E70" s="101">
        <v>50</v>
      </c>
      <c r="F70" s="101" t="s">
        <v>124</v>
      </c>
      <c r="G70" s="101" t="s">
        <v>124</v>
      </c>
      <c r="H70" s="101" t="s">
        <v>124</v>
      </c>
      <c r="I70" s="101" t="s">
        <v>124</v>
      </c>
      <c r="J70" s="39">
        <f t="shared" si="1"/>
        <v>100</v>
      </c>
      <c r="K70" s="36"/>
    </row>
  </sheetData>
  <autoFilter ref="A1:G1"/>
  <phoneticPr fontId="5"/>
  <conditionalFormatting sqref="K1:K2 K71:K1048576">
    <cfRule type="duplicateValues" dxfId="4" priority="5"/>
  </conditionalFormatting>
  <conditionalFormatting sqref="K3:K65">
    <cfRule type="duplicateValues" dxfId="3" priority="4"/>
  </conditionalFormatting>
  <conditionalFormatting sqref="K66">
    <cfRule type="duplicateValues" dxfId="2" priority="3"/>
  </conditionalFormatting>
  <conditionalFormatting sqref="K67">
    <cfRule type="duplicateValues" dxfId="1" priority="2"/>
  </conditionalFormatting>
  <conditionalFormatting sqref="K68:K70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J39" sqref="J3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5" t="s">
        <v>329</v>
      </c>
      <c r="B1" s="55" t="s">
        <v>330</v>
      </c>
      <c r="C1" s="56" t="s">
        <v>331</v>
      </c>
      <c r="D1" s="62" t="s">
        <v>332</v>
      </c>
      <c r="E1" s="57" t="s">
        <v>333</v>
      </c>
      <c r="F1" s="55" t="s">
        <v>334</v>
      </c>
      <c r="G1" s="55" t="s">
        <v>111</v>
      </c>
      <c r="H1" s="55" t="s">
        <v>112</v>
      </c>
      <c r="I1" s="55" t="s">
        <v>113</v>
      </c>
      <c r="J1" s="55" t="s">
        <v>114</v>
      </c>
      <c r="K1" s="55" t="s">
        <v>115</v>
      </c>
      <c r="L1" s="55" t="s">
        <v>116</v>
      </c>
      <c r="M1" s="55" t="s">
        <v>117</v>
      </c>
      <c r="N1" s="55" t="s">
        <v>118</v>
      </c>
      <c r="O1" s="55" t="s">
        <v>119</v>
      </c>
      <c r="P1" s="55" t="s">
        <v>120</v>
      </c>
      <c r="Q1" s="55" t="s">
        <v>121</v>
      </c>
      <c r="R1" s="55" t="s">
        <v>122</v>
      </c>
    </row>
    <row r="2" spans="1:18" x14ac:dyDescent="0.15">
      <c r="A2" s="48">
        <v>41011</v>
      </c>
      <c r="B2" s="107">
        <v>1</v>
      </c>
      <c r="C2" s="108" t="str">
        <f>A2&amp; "_"&amp;B2</f>
        <v>41011_1</v>
      </c>
      <c r="D2" s="109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7">
        <v>1</v>
      </c>
      <c r="F2" s="107" t="s">
        <v>123</v>
      </c>
      <c r="G2" s="110">
        <v>40000</v>
      </c>
      <c r="H2" s="107" t="s">
        <v>377</v>
      </c>
      <c r="I2" s="107">
        <v>1</v>
      </c>
      <c r="J2" s="107">
        <v>1</v>
      </c>
      <c r="K2" s="107">
        <v>0</v>
      </c>
      <c r="L2" s="107">
        <v>0</v>
      </c>
      <c r="M2" s="107">
        <v>0</v>
      </c>
      <c r="N2" s="107">
        <v>0</v>
      </c>
      <c r="O2" s="107">
        <v>1</v>
      </c>
      <c r="P2" s="107">
        <v>150</v>
      </c>
      <c r="Q2" s="107" t="s">
        <v>125</v>
      </c>
      <c r="R2" s="111" t="s">
        <v>126</v>
      </c>
    </row>
    <row r="3" spans="1:18" x14ac:dyDescent="0.15">
      <c r="A3" s="48">
        <v>41011</v>
      </c>
      <c r="B3" s="48">
        <v>1</v>
      </c>
      <c r="C3" s="112" t="str">
        <f t="shared" ref="C3:C11" si="0">A3&amp; "_"&amp;B3</f>
        <v>41011_1</v>
      </c>
      <c r="D3" s="15" t="str">
        <f ca="1">VLOOKUP($C3,OFFSET([2]stages!$A$1,0,0,COUNTA([2]stages!$A:$A),MATCH(D$1,[2]stages!$2:$2,0)-MATCH($C$1,[2]stages!$2:$2,0)+1),MATCH(D$1,[2]stages!$2:$2,0)-MATCH($C$1,[2]stages!$2:$2,0)+1,FALSE)</f>
        <v>everyone</v>
      </c>
      <c r="E3" s="48">
        <v>2</v>
      </c>
      <c r="F3" s="48" t="s">
        <v>378</v>
      </c>
      <c r="G3" s="71">
        <v>30</v>
      </c>
      <c r="H3" s="48" t="s">
        <v>377</v>
      </c>
      <c r="I3" s="48">
        <v>1</v>
      </c>
      <c r="J3" s="48">
        <v>1</v>
      </c>
      <c r="K3" s="48">
        <v>0</v>
      </c>
      <c r="L3" s="48">
        <v>0</v>
      </c>
      <c r="M3" s="48">
        <v>0</v>
      </c>
      <c r="N3" s="48">
        <v>0</v>
      </c>
      <c r="O3" s="48">
        <v>1</v>
      </c>
      <c r="P3" s="48">
        <v>150</v>
      </c>
      <c r="Q3" s="48" t="s">
        <v>125</v>
      </c>
      <c r="R3" s="113" t="s">
        <v>126</v>
      </c>
    </row>
    <row r="4" spans="1:18" x14ac:dyDescent="0.15">
      <c r="A4" s="48">
        <v>41011</v>
      </c>
      <c r="B4" s="48">
        <v>1</v>
      </c>
      <c r="C4" s="112" t="str">
        <f t="shared" si="0"/>
        <v>41011_1</v>
      </c>
      <c r="D4" s="15" t="str">
        <f ca="1">VLOOKUP($C4,OFFSET([2]stages!$A$1,0,0,COUNTA([2]stages!$A:$A),MATCH(D$1,[2]stages!$2:$2,0)-MATCH($C$1,[2]stages!$2:$2,0)+1),MATCH(D$1,[2]stages!$2:$2,0)-MATCH($C$1,[2]stages!$2:$2,0)+1,FALSE)</f>
        <v>everyone</v>
      </c>
      <c r="E4" s="48">
        <v>3</v>
      </c>
      <c r="F4" s="48" t="s">
        <v>379</v>
      </c>
      <c r="G4" s="71">
        <v>345</v>
      </c>
      <c r="H4" s="48">
        <v>1</v>
      </c>
      <c r="I4" s="48">
        <v>1</v>
      </c>
      <c r="J4" s="48">
        <v>1</v>
      </c>
      <c r="K4" s="48">
        <v>0</v>
      </c>
      <c r="L4" s="48">
        <v>0</v>
      </c>
      <c r="M4" s="48">
        <v>0</v>
      </c>
      <c r="N4" s="48">
        <v>0</v>
      </c>
      <c r="O4" s="48">
        <v>1</v>
      </c>
      <c r="P4" s="48">
        <v>28</v>
      </c>
      <c r="Q4" s="48" t="s">
        <v>125</v>
      </c>
      <c r="R4" s="113" t="s">
        <v>126</v>
      </c>
    </row>
    <row r="5" spans="1:18" x14ac:dyDescent="0.15">
      <c r="A5" s="48">
        <v>41011</v>
      </c>
      <c r="B5" s="48">
        <v>1</v>
      </c>
      <c r="C5" s="112" t="str">
        <f t="shared" si="0"/>
        <v>41011_1</v>
      </c>
      <c r="D5" s="15" t="str">
        <f ca="1">VLOOKUP($C5,OFFSET([2]stages!$A$1,0,0,COUNTA([2]stages!$A:$A),MATCH(D$1,[2]stages!$2:$2,0)-MATCH($C$1,[2]stages!$2:$2,0)+1),MATCH(D$1,[2]stages!$2:$2,0)-MATCH($C$1,[2]stages!$2:$2,0)+1,FALSE)</f>
        <v>everyone</v>
      </c>
      <c r="E5" s="48">
        <v>4</v>
      </c>
      <c r="F5" s="48" t="s">
        <v>379</v>
      </c>
      <c r="G5" s="71">
        <v>346</v>
      </c>
      <c r="H5" s="48">
        <v>1</v>
      </c>
      <c r="I5" s="48">
        <v>1</v>
      </c>
      <c r="J5" s="48">
        <v>1</v>
      </c>
      <c r="K5" s="48">
        <v>0</v>
      </c>
      <c r="L5" s="48">
        <v>0</v>
      </c>
      <c r="M5" s="48">
        <v>0</v>
      </c>
      <c r="N5" s="48">
        <v>0</v>
      </c>
      <c r="O5" s="48">
        <v>1</v>
      </c>
      <c r="P5" s="48">
        <v>112</v>
      </c>
      <c r="Q5" s="48" t="s">
        <v>125</v>
      </c>
      <c r="R5" s="113" t="s">
        <v>126</v>
      </c>
    </row>
    <row r="6" spans="1:18" x14ac:dyDescent="0.15">
      <c r="A6" s="48">
        <v>41011</v>
      </c>
      <c r="B6" s="48">
        <v>1</v>
      </c>
      <c r="C6" s="112" t="str">
        <f t="shared" si="0"/>
        <v>41011_1</v>
      </c>
      <c r="D6" s="15" t="str">
        <f ca="1">VLOOKUP($C6,OFFSET([2]stages!$A$1,0,0,COUNTA([2]stages!$A:$A),MATCH(D$1,[2]stages!$2:$2,0)-MATCH($C$1,[2]stages!$2:$2,0)+1),MATCH(D$1,[2]stages!$2:$2,0)-MATCH($C$1,[2]stages!$2:$2,0)+1,FALSE)</f>
        <v>everyone</v>
      </c>
      <c r="E6" s="48">
        <v>5</v>
      </c>
      <c r="F6" s="48" t="s">
        <v>379</v>
      </c>
      <c r="G6" s="71">
        <v>121</v>
      </c>
      <c r="H6" s="48">
        <v>1</v>
      </c>
      <c r="I6" s="48">
        <v>1</v>
      </c>
      <c r="J6" s="48">
        <v>1</v>
      </c>
      <c r="K6" s="48">
        <v>0</v>
      </c>
      <c r="L6" s="48">
        <v>0</v>
      </c>
      <c r="M6" s="48">
        <v>0</v>
      </c>
      <c r="N6" s="48">
        <v>0</v>
      </c>
      <c r="O6" s="48">
        <v>1</v>
      </c>
      <c r="P6" s="114">
        <v>100</v>
      </c>
      <c r="Q6" s="48" t="s">
        <v>125</v>
      </c>
      <c r="R6" s="113" t="s">
        <v>126</v>
      </c>
    </row>
    <row r="7" spans="1:18" x14ac:dyDescent="0.15">
      <c r="A7" s="48">
        <v>41011</v>
      </c>
      <c r="B7" s="48">
        <v>1</v>
      </c>
      <c r="C7" s="112" t="str">
        <f t="shared" si="0"/>
        <v>41011_1</v>
      </c>
      <c r="D7" s="15" t="str">
        <f ca="1">VLOOKUP($C7,OFFSET([2]stages!$A$1,0,0,COUNTA([2]stages!$A:$A),MATCH(D$1,[2]stages!$2:$2,0)-MATCH($C$1,[2]stages!$2:$2,0)+1),MATCH(D$1,[2]stages!$2:$2,0)-MATCH($C$1,[2]stages!$2:$2,0)+1,FALSE)</f>
        <v>everyone</v>
      </c>
      <c r="E7" s="48">
        <v>6</v>
      </c>
      <c r="F7" s="48" t="s">
        <v>379</v>
      </c>
      <c r="G7" s="71">
        <v>122</v>
      </c>
      <c r="H7" s="48">
        <v>1</v>
      </c>
      <c r="I7" s="48">
        <v>1</v>
      </c>
      <c r="J7" s="48">
        <v>1</v>
      </c>
      <c r="K7" s="48">
        <v>0</v>
      </c>
      <c r="L7" s="48">
        <v>0</v>
      </c>
      <c r="M7" s="48">
        <v>0</v>
      </c>
      <c r="N7" s="48">
        <v>0</v>
      </c>
      <c r="O7" s="48">
        <v>1</v>
      </c>
      <c r="P7" s="114">
        <v>100</v>
      </c>
      <c r="Q7" s="48" t="s">
        <v>125</v>
      </c>
      <c r="R7" s="113" t="s">
        <v>126</v>
      </c>
    </row>
    <row r="8" spans="1:18" x14ac:dyDescent="0.15">
      <c r="A8" s="48">
        <v>41011</v>
      </c>
      <c r="B8" s="48">
        <v>1</v>
      </c>
      <c r="C8" s="112" t="str">
        <f t="shared" si="0"/>
        <v>41011_1</v>
      </c>
      <c r="D8" s="15" t="str">
        <f ca="1">VLOOKUP($C8,OFFSET([2]stages!$A$1,0,0,COUNTA([2]stages!$A:$A),MATCH(D$1,[2]stages!$2:$2,0)-MATCH($C$1,[2]stages!$2:$2,0)+1),MATCH(D$1,[2]stages!$2:$2,0)-MATCH($C$1,[2]stages!$2:$2,0)+1,FALSE)</f>
        <v>everyone</v>
      </c>
      <c r="E8" s="48">
        <v>7</v>
      </c>
      <c r="F8" s="48" t="s">
        <v>379</v>
      </c>
      <c r="G8" s="71">
        <v>123</v>
      </c>
      <c r="H8" s="48">
        <v>1</v>
      </c>
      <c r="I8" s="48">
        <v>1</v>
      </c>
      <c r="J8" s="48">
        <v>1</v>
      </c>
      <c r="K8" s="48">
        <v>0</v>
      </c>
      <c r="L8" s="48">
        <v>0</v>
      </c>
      <c r="M8" s="48">
        <v>0</v>
      </c>
      <c r="N8" s="48">
        <v>0</v>
      </c>
      <c r="O8" s="48">
        <v>1</v>
      </c>
      <c r="P8" s="114">
        <v>100</v>
      </c>
      <c r="Q8" s="48" t="s">
        <v>125</v>
      </c>
      <c r="R8" s="113" t="s">
        <v>126</v>
      </c>
    </row>
    <row r="9" spans="1:18" x14ac:dyDescent="0.15">
      <c r="A9" s="48">
        <v>41011</v>
      </c>
      <c r="B9" s="48">
        <v>1</v>
      </c>
      <c r="C9" s="112" t="str">
        <f t="shared" si="0"/>
        <v>41011_1</v>
      </c>
      <c r="D9" s="15" t="str">
        <f ca="1">VLOOKUP($C9,OFFSET([2]stages!$A$1,0,0,COUNTA([2]stages!$A:$A),MATCH(D$1,[2]stages!$2:$2,0)-MATCH($C$1,[2]stages!$2:$2,0)+1),MATCH(D$1,[2]stages!$2:$2,0)-MATCH($C$1,[2]stages!$2:$2,0)+1,FALSE)</f>
        <v>everyone</v>
      </c>
      <c r="E9" s="48">
        <v>8</v>
      </c>
      <c r="F9" s="48" t="s">
        <v>379</v>
      </c>
      <c r="G9" s="71">
        <v>125</v>
      </c>
      <c r="H9" s="48">
        <v>1</v>
      </c>
      <c r="I9" s="48">
        <v>1</v>
      </c>
      <c r="J9" s="48">
        <v>1</v>
      </c>
      <c r="K9" s="48">
        <v>0</v>
      </c>
      <c r="L9" s="48">
        <v>0</v>
      </c>
      <c r="M9" s="48">
        <v>0</v>
      </c>
      <c r="N9" s="48">
        <v>0</v>
      </c>
      <c r="O9" s="48">
        <v>1</v>
      </c>
      <c r="P9" s="114">
        <v>10</v>
      </c>
      <c r="Q9" s="48" t="s">
        <v>125</v>
      </c>
      <c r="R9" s="113" t="s">
        <v>126</v>
      </c>
    </row>
    <row r="10" spans="1:18" x14ac:dyDescent="0.15">
      <c r="A10" s="48">
        <v>41011</v>
      </c>
      <c r="B10" s="48">
        <v>1</v>
      </c>
      <c r="C10" s="112" t="str">
        <f t="shared" si="0"/>
        <v>41011_1</v>
      </c>
      <c r="D10" s="15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48">
        <v>9</v>
      </c>
      <c r="F10" s="48" t="s">
        <v>379</v>
      </c>
      <c r="G10" s="71">
        <v>654</v>
      </c>
      <c r="H10" s="48">
        <v>1</v>
      </c>
      <c r="I10" s="48">
        <v>1</v>
      </c>
      <c r="J10" s="48">
        <v>1</v>
      </c>
      <c r="K10" s="48">
        <v>0</v>
      </c>
      <c r="L10" s="48">
        <v>0</v>
      </c>
      <c r="M10" s="48">
        <v>0</v>
      </c>
      <c r="N10" s="48">
        <v>0</v>
      </c>
      <c r="O10" s="48">
        <v>1</v>
      </c>
      <c r="P10" s="114">
        <v>100</v>
      </c>
      <c r="Q10" s="48" t="s">
        <v>125</v>
      </c>
      <c r="R10" s="113" t="s">
        <v>126</v>
      </c>
    </row>
    <row r="11" spans="1:18" x14ac:dyDescent="0.15">
      <c r="A11" s="48">
        <v>41011</v>
      </c>
      <c r="B11" s="115">
        <v>1</v>
      </c>
      <c r="C11" s="116" t="str">
        <f t="shared" si="0"/>
        <v>41011_1</v>
      </c>
      <c r="D11" s="1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5">
        <v>10</v>
      </c>
      <c r="F11" s="115" t="s">
        <v>379</v>
      </c>
      <c r="G11" s="118">
        <v>354</v>
      </c>
      <c r="H11" s="115">
        <v>1</v>
      </c>
      <c r="I11" s="115">
        <v>1</v>
      </c>
      <c r="J11" s="115">
        <v>1</v>
      </c>
      <c r="K11" s="115">
        <v>0</v>
      </c>
      <c r="L11" s="115">
        <v>0</v>
      </c>
      <c r="M11" s="115">
        <v>0</v>
      </c>
      <c r="N11" s="115">
        <v>0</v>
      </c>
      <c r="O11" s="115">
        <v>1</v>
      </c>
      <c r="P11" s="115">
        <v>150</v>
      </c>
      <c r="Q11" s="115" t="s">
        <v>125</v>
      </c>
      <c r="R11" s="119" t="s">
        <v>126</v>
      </c>
    </row>
    <row r="12" spans="1:18" x14ac:dyDescent="0.15">
      <c r="A12" s="48">
        <v>41011</v>
      </c>
      <c r="B12" s="48">
        <v>2</v>
      </c>
      <c r="C12" s="112" t="str">
        <f t="shared" ref="C12:C18" si="1">A12&amp; "_"&amp;B12</f>
        <v>41011_2</v>
      </c>
      <c r="D12" s="15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48">
        <v>1</v>
      </c>
      <c r="F12" s="48" t="s">
        <v>379</v>
      </c>
      <c r="G12" s="71">
        <v>346</v>
      </c>
      <c r="H12" s="48">
        <v>1</v>
      </c>
      <c r="I12" s="48">
        <v>1</v>
      </c>
      <c r="J12" s="48">
        <v>1</v>
      </c>
      <c r="K12" s="48">
        <v>0</v>
      </c>
      <c r="L12" s="48">
        <v>0</v>
      </c>
      <c r="M12" s="48">
        <v>0</v>
      </c>
      <c r="N12" s="48">
        <v>0</v>
      </c>
      <c r="O12" s="48">
        <v>1</v>
      </c>
      <c r="P12" s="48">
        <v>50</v>
      </c>
      <c r="Q12" s="48" t="s">
        <v>125</v>
      </c>
      <c r="R12" s="113" t="s">
        <v>126</v>
      </c>
    </row>
    <row r="13" spans="1:18" x14ac:dyDescent="0.15">
      <c r="A13" s="48">
        <v>41011</v>
      </c>
      <c r="B13" s="48">
        <v>2</v>
      </c>
      <c r="C13" s="112" t="str">
        <f t="shared" si="1"/>
        <v>41011_2</v>
      </c>
      <c r="D13" s="15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48">
        <v>2</v>
      </c>
      <c r="F13" s="48" t="s">
        <v>379</v>
      </c>
      <c r="G13" s="71">
        <v>607</v>
      </c>
      <c r="H13" s="48">
        <v>1</v>
      </c>
      <c r="I13" s="48">
        <v>1</v>
      </c>
      <c r="J13" s="48">
        <v>1</v>
      </c>
      <c r="K13" s="48">
        <v>0</v>
      </c>
      <c r="L13" s="48">
        <v>0</v>
      </c>
      <c r="M13" s="48">
        <v>0</v>
      </c>
      <c r="N13" s="48">
        <v>0</v>
      </c>
      <c r="O13" s="48">
        <v>1</v>
      </c>
      <c r="P13" s="48">
        <v>100</v>
      </c>
      <c r="Q13" s="48" t="s">
        <v>125</v>
      </c>
      <c r="R13" s="113" t="s">
        <v>126</v>
      </c>
    </row>
    <row r="14" spans="1:18" x14ac:dyDescent="0.15">
      <c r="A14" s="48">
        <v>41011</v>
      </c>
      <c r="B14" s="48">
        <v>2</v>
      </c>
      <c r="C14" s="112" t="str">
        <f t="shared" si="1"/>
        <v>41011_2</v>
      </c>
      <c r="D14" s="15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48">
        <v>3</v>
      </c>
      <c r="F14" s="48" t="s">
        <v>379</v>
      </c>
      <c r="G14" s="71">
        <v>608</v>
      </c>
      <c r="H14" s="48">
        <v>1</v>
      </c>
      <c r="I14" s="48">
        <v>1</v>
      </c>
      <c r="J14" s="48">
        <v>1</v>
      </c>
      <c r="K14" s="48">
        <v>0</v>
      </c>
      <c r="L14" s="48">
        <v>0</v>
      </c>
      <c r="M14" s="48">
        <v>0</v>
      </c>
      <c r="N14" s="48">
        <v>0</v>
      </c>
      <c r="O14" s="48">
        <v>1</v>
      </c>
      <c r="P14" s="48">
        <v>100</v>
      </c>
      <c r="Q14" s="48" t="s">
        <v>125</v>
      </c>
      <c r="R14" s="113" t="s">
        <v>126</v>
      </c>
    </row>
    <row r="15" spans="1:18" x14ac:dyDescent="0.15">
      <c r="A15" s="48">
        <v>41011</v>
      </c>
      <c r="B15" s="48">
        <v>2</v>
      </c>
      <c r="C15" s="112" t="str">
        <f t="shared" si="1"/>
        <v>41011_2</v>
      </c>
      <c r="D15" s="15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48">
        <v>4</v>
      </c>
      <c r="F15" s="48" t="s">
        <v>379</v>
      </c>
      <c r="G15" s="71">
        <v>609</v>
      </c>
      <c r="H15" s="48">
        <v>1</v>
      </c>
      <c r="I15" s="48">
        <v>1</v>
      </c>
      <c r="J15" s="48">
        <v>1</v>
      </c>
      <c r="K15" s="48">
        <v>0</v>
      </c>
      <c r="L15" s="48">
        <v>0</v>
      </c>
      <c r="M15" s="48">
        <v>0</v>
      </c>
      <c r="N15" s="48">
        <v>0</v>
      </c>
      <c r="O15" s="48">
        <v>1</v>
      </c>
      <c r="P15" s="48">
        <v>100</v>
      </c>
      <c r="Q15" s="48" t="s">
        <v>125</v>
      </c>
      <c r="R15" s="113" t="s">
        <v>126</v>
      </c>
    </row>
    <row r="16" spans="1:18" x14ac:dyDescent="0.15">
      <c r="A16" s="48">
        <v>41011</v>
      </c>
      <c r="B16" s="48">
        <v>2</v>
      </c>
      <c r="C16" s="112" t="str">
        <f t="shared" si="1"/>
        <v>41011_2</v>
      </c>
      <c r="D16" s="15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48">
        <v>5</v>
      </c>
      <c r="F16" s="48" t="s">
        <v>379</v>
      </c>
      <c r="G16" s="71">
        <v>125</v>
      </c>
      <c r="H16" s="48">
        <v>1</v>
      </c>
      <c r="I16" s="48">
        <v>1</v>
      </c>
      <c r="J16" s="48">
        <v>1</v>
      </c>
      <c r="K16" s="48">
        <v>0</v>
      </c>
      <c r="L16" s="48">
        <v>0</v>
      </c>
      <c r="M16" s="48">
        <v>0</v>
      </c>
      <c r="N16" s="48">
        <v>0</v>
      </c>
      <c r="O16" s="48">
        <v>1</v>
      </c>
      <c r="P16" s="48">
        <v>30</v>
      </c>
      <c r="Q16" s="48" t="s">
        <v>125</v>
      </c>
      <c r="R16" s="113" t="s">
        <v>126</v>
      </c>
    </row>
    <row r="17" spans="1:18" x14ac:dyDescent="0.15">
      <c r="A17" s="48">
        <v>41011</v>
      </c>
      <c r="B17" s="48">
        <v>2</v>
      </c>
      <c r="C17" s="112" t="str">
        <f t="shared" si="1"/>
        <v>41011_2</v>
      </c>
      <c r="D17" s="15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48">
        <v>6</v>
      </c>
      <c r="F17" s="48" t="s">
        <v>379</v>
      </c>
      <c r="G17" s="71">
        <v>654</v>
      </c>
      <c r="H17" s="48">
        <v>1</v>
      </c>
      <c r="I17" s="48">
        <v>1</v>
      </c>
      <c r="J17" s="48">
        <v>1</v>
      </c>
      <c r="K17" s="48">
        <v>0</v>
      </c>
      <c r="L17" s="48">
        <v>0</v>
      </c>
      <c r="M17" s="48">
        <v>0</v>
      </c>
      <c r="N17" s="48">
        <v>0</v>
      </c>
      <c r="O17" s="48">
        <v>1</v>
      </c>
      <c r="P17" s="48">
        <v>500</v>
      </c>
      <c r="Q17" s="48" t="s">
        <v>125</v>
      </c>
      <c r="R17" s="113" t="s">
        <v>126</v>
      </c>
    </row>
    <row r="18" spans="1:18" ht="16" thickBot="1" x14ac:dyDescent="0.2">
      <c r="A18" s="48">
        <v>41011</v>
      </c>
      <c r="B18" s="120">
        <v>2</v>
      </c>
      <c r="C18" s="121" t="str">
        <f t="shared" si="1"/>
        <v>41011_2</v>
      </c>
      <c r="D18" s="122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20">
        <v>7</v>
      </c>
      <c r="F18" s="120" t="s">
        <v>379</v>
      </c>
      <c r="G18" s="123">
        <v>354</v>
      </c>
      <c r="H18" s="120">
        <v>1</v>
      </c>
      <c r="I18" s="120">
        <v>1</v>
      </c>
      <c r="J18" s="120">
        <v>1</v>
      </c>
      <c r="K18" s="120">
        <v>0</v>
      </c>
      <c r="L18" s="120">
        <v>0</v>
      </c>
      <c r="M18" s="120">
        <v>0</v>
      </c>
      <c r="N18" s="120">
        <v>0</v>
      </c>
      <c r="O18" s="120">
        <v>1</v>
      </c>
      <c r="P18" s="120">
        <v>120</v>
      </c>
      <c r="Q18" s="120" t="s">
        <v>125</v>
      </c>
      <c r="R18" s="124" t="s">
        <v>126</v>
      </c>
    </row>
  </sheetData>
  <phoneticPr fontId="5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N11" sqref="N11"/>
    </sheetView>
  </sheetViews>
  <sheetFormatPr baseColWidth="12" defaultColWidth="13" defaultRowHeight="15" outlineLevelCol="1" x14ac:dyDescent="0.15"/>
  <cols>
    <col min="1" max="1" width="13" style="7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6" t="s">
        <v>335</v>
      </c>
      <c r="B1" s="63" t="s">
        <v>336</v>
      </c>
      <c r="C1" s="67" t="s">
        <v>337</v>
      </c>
      <c r="D1" s="67" t="s">
        <v>20</v>
      </c>
      <c r="E1" s="63" t="s">
        <v>338</v>
      </c>
      <c r="F1" s="67" t="s">
        <v>337</v>
      </c>
      <c r="G1" s="67" t="s">
        <v>20</v>
      </c>
      <c r="H1" s="63" t="s">
        <v>339</v>
      </c>
      <c r="I1" s="81" t="s">
        <v>340</v>
      </c>
      <c r="J1" s="69" t="s">
        <v>341</v>
      </c>
      <c r="K1" s="68" t="s">
        <v>342</v>
      </c>
      <c r="L1" s="82" t="s">
        <v>343</v>
      </c>
      <c r="M1" s="70" t="s">
        <v>344</v>
      </c>
    </row>
    <row r="2" spans="1:13" x14ac:dyDescent="0.15">
      <c r="A2" s="71" t="s">
        <v>149</v>
      </c>
      <c r="B2" s="72">
        <v>41011</v>
      </c>
      <c r="C2" s="73" t="str">
        <f ca="1">VLOOKUP($B2,OFFSET([2]quests!$A$1,0,0,COUNTA([2]quests!$A:$A),MATCH(C$1,[2]quests!$1:$1,0)-MATCH($B$1,[2]quests!$1:$1,0)+1),MATCH(C$1,[2]quests!$1:$1,0)-MATCH($B$1,[2]quests!$1:$1,0)+1,FALSE)</f>
        <v>ヨミ襲来！</v>
      </c>
      <c r="D2" s="73" t="str">
        <f ca="1">VLOOKUP($B2,OFFSET([2]quests!$A$1,0,0,COUNTA([2]quests!$A:$A),MATCH(D$1,[2]quests!$1:$1,0)-MATCH($B$1,[2]quests!$1:$1,0)+1),MATCH(D$1,[2]quests!$1:$1,0)-MATCH($B$1,[2]quests!$1:$1,0)+1,FALSE)</f>
        <v>降臨1</v>
      </c>
      <c r="E2" s="77">
        <v>1</v>
      </c>
      <c r="F2" s="7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【超絶級】ヨミ襲来</v>
      </c>
      <c r="G2" s="7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5">
        <v>0</v>
      </c>
      <c r="I2">
        <v>12</v>
      </c>
      <c r="J2" s="74" t="s">
        <v>146</v>
      </c>
      <c r="K2" s="83" t="str">
        <f>VLOOKUP(I2,[7]stage_hints!$A:$C,3,FALSE)</f>
        <v>ユニットのお気に入り登録</v>
      </c>
      <c r="L2" s="84" t="str">
        <f>VLOOKUP(I2,[7]stage_hints!$A:$D,4,FALSE)</f>
        <v>大事なユニットを誤って消さないように_x000D_フォルダから「お気に入り登録」しましょう</v>
      </c>
      <c r="M2" s="48" t="s">
        <v>148</v>
      </c>
    </row>
    <row r="3" spans="1:13" x14ac:dyDescent="0.15">
      <c r="A3" s="71" t="s">
        <v>149</v>
      </c>
      <c r="B3" s="72">
        <v>41011</v>
      </c>
      <c r="C3" s="73" t="str">
        <f ca="1">VLOOKUP($B3,OFFSET([2]quests!$A$1,0,0,COUNTA([2]quests!$A:$A),MATCH(C$1,[2]quests!$1:$1,0)-MATCH($B$1,[2]quests!$1:$1,0)+1),MATCH(C$1,[2]quests!$1:$1,0)-MATCH($B$1,[2]quests!$1:$1,0)+1,FALSE)</f>
        <v>ヨミ襲来！</v>
      </c>
      <c r="D3" s="73" t="str">
        <f ca="1">VLOOKUP($B3,OFFSET([2]quests!$A$1,0,0,COUNTA([2]quests!$A:$A),MATCH(D$1,[2]quests!$1:$1,0)-MATCH($B$1,[2]quests!$1:$1,0)+1),MATCH(D$1,[2]quests!$1:$1,0)-MATCH($B$1,[2]quests!$1:$1,0)+1,FALSE)</f>
        <v>降臨1</v>
      </c>
      <c r="E3" s="77">
        <v>1</v>
      </c>
      <c r="F3" s="7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【超絶級】ヨミ襲来</v>
      </c>
      <c r="G3" s="73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5">
        <v>0</v>
      </c>
      <c r="I3">
        <v>17</v>
      </c>
      <c r="J3" s="74" t="s">
        <v>345</v>
      </c>
      <c r="K3" s="83" t="str">
        <f>VLOOKUP(I3,[7]stage_hints!$A:$C,3,FALSE)</f>
        <v>リンクガチャ</v>
      </c>
      <c r="L3" s="84" t="str">
        <f>VLOOKUP(I3,[7]stage_hints!$A:$D,4,FALSE)</f>
        <v>無料のリンクガチャを回して_x000D_経験値素材や売却素材を獲得しましょう</v>
      </c>
      <c r="M3" s="48" t="s">
        <v>148</v>
      </c>
    </row>
    <row r="4" spans="1:13" x14ac:dyDescent="0.15">
      <c r="A4" s="71" t="s">
        <v>149</v>
      </c>
      <c r="B4" s="72">
        <v>41011</v>
      </c>
      <c r="C4" s="73" t="str">
        <f ca="1">VLOOKUP($B4,OFFSET([2]quests!$A$1,0,0,COUNTA([2]quests!$A:$A),MATCH(C$1,[2]quests!$1:$1,0)-MATCH($B$1,[2]quests!$1:$1,0)+1),MATCH(C$1,[2]quests!$1:$1,0)-MATCH($B$1,[2]quests!$1:$1,0)+1,FALSE)</f>
        <v>ヨミ襲来！</v>
      </c>
      <c r="D4" s="73" t="str">
        <f ca="1">VLOOKUP($B4,OFFSET([2]quests!$A$1,0,0,COUNTA([2]quests!$A:$A),MATCH(D$1,[2]quests!$1:$1,0)-MATCH($B$1,[2]quests!$1:$1,0)+1),MATCH(D$1,[2]quests!$1:$1,0)-MATCH($B$1,[2]quests!$1:$1,0)+1,FALSE)</f>
        <v>降臨1</v>
      </c>
      <c r="E4" s="77">
        <v>1</v>
      </c>
      <c r="F4" s="7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【超絶級】ヨミ襲来</v>
      </c>
      <c r="G4" s="73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5">
        <v>0</v>
      </c>
      <c r="I4">
        <v>19</v>
      </c>
      <c r="J4" s="74" t="s">
        <v>146</v>
      </c>
      <c r="K4" s="83" t="str">
        <f>VLOOKUP(I4,[7]stage_hints!$A:$C,3,FALSE)</f>
        <v>ソロ専用チャレンジタワー</v>
      </c>
      <c r="L4" s="84" t="str">
        <f>VLOOKUP(I4,[7]stage_hints!$A:$D,4,FALSE)</f>
        <v>ソロ専用の「チャレンジタワー」では_x000D_各フロアごとにクリア報酬がもらえます</v>
      </c>
      <c r="M4" s="48" t="s">
        <v>148</v>
      </c>
    </row>
    <row r="5" spans="1:13" x14ac:dyDescent="0.15">
      <c r="A5" s="71" t="s">
        <v>149</v>
      </c>
      <c r="B5" s="72">
        <v>41011</v>
      </c>
      <c r="C5" s="73" t="str">
        <f ca="1">VLOOKUP($B5,OFFSET([2]quests!$A$1,0,0,COUNTA([2]quests!$A:$A),MATCH(C$1,[2]quests!$1:$1,0)-MATCH($B$1,[2]quests!$1:$1,0)+1),MATCH(C$1,[2]quests!$1:$1,0)-MATCH($B$1,[2]quests!$1:$1,0)+1,FALSE)</f>
        <v>ヨミ襲来！</v>
      </c>
      <c r="D5" s="73" t="str">
        <f ca="1">VLOOKUP($B5,OFFSET([2]quests!$A$1,0,0,COUNTA([2]quests!$A:$A),MATCH(D$1,[2]quests!$1:$1,0)-MATCH($B$1,[2]quests!$1:$1,0)+1),MATCH(D$1,[2]quests!$1:$1,0)-MATCH($B$1,[2]quests!$1:$1,0)+1,FALSE)</f>
        <v>降臨1</v>
      </c>
      <c r="E5" s="77">
        <v>1</v>
      </c>
      <c r="F5" s="7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【超絶級】ヨミ襲来</v>
      </c>
      <c r="G5" s="73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5">
        <v>0</v>
      </c>
      <c r="I5">
        <v>21</v>
      </c>
      <c r="J5" s="74" t="s">
        <v>146</v>
      </c>
      <c r="K5" s="83" t="str">
        <f>VLOOKUP(I5,[7]stage_hints!$A:$C,3,FALSE)</f>
        <v>スキルを有効に</v>
      </c>
      <c r="L5" s="84" t="str">
        <f>VLOOKUP(I5,[7]stage_hints!$A:$D,4,FALSE)</f>
        <v>ターン経過でユニットのスキルが使えます_x000D_強力スキルでバトルを有利に進めましょう</v>
      </c>
      <c r="M5" s="48" t="s">
        <v>148</v>
      </c>
    </row>
    <row r="6" spans="1:13" x14ac:dyDescent="0.15">
      <c r="A6" s="71" t="s">
        <v>149</v>
      </c>
      <c r="B6" s="72">
        <v>41011</v>
      </c>
      <c r="C6" s="73" t="str">
        <f ca="1">VLOOKUP($B6,OFFSET([2]quests!$A$1,0,0,COUNTA([2]quests!$A:$A),MATCH(C$1,[2]quests!$1:$1,0)-MATCH($B$1,[2]quests!$1:$1,0)+1),MATCH(C$1,[2]quests!$1:$1,0)-MATCH($B$1,[2]quests!$1:$1,0)+1,FALSE)</f>
        <v>ヨミ襲来！</v>
      </c>
      <c r="D6" s="73" t="str">
        <f ca="1">VLOOKUP($B6,OFFSET([2]quests!$A$1,0,0,COUNTA([2]quests!$A:$A),MATCH(D$1,[2]quests!$1:$1,0)-MATCH($B$1,[2]quests!$1:$1,0)+1),MATCH(D$1,[2]quests!$1:$1,0)-MATCH($B$1,[2]quests!$1:$1,0)+1,FALSE)</f>
        <v>降臨1</v>
      </c>
      <c r="E6" s="77">
        <v>1</v>
      </c>
      <c r="F6" s="7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【超絶級】ヨミ襲来</v>
      </c>
      <c r="G6" s="73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5">
        <v>0</v>
      </c>
      <c r="I6">
        <v>29</v>
      </c>
      <c r="J6" s="74" t="s">
        <v>146</v>
      </c>
      <c r="K6" s="83" t="str">
        <f>VLOOKUP(I6,[7]stage_hints!$A:$C,3,FALSE)</f>
        <v>「バグ」のメリット</v>
      </c>
      <c r="L6" s="84" t="str">
        <f>VLOOKUP(I6,[7]stage_hints!$A:$D,4,FALSE)</f>
        <v>ユニットの「バグ」を増やすと_x000D_報酬をもらえる確率がアップします</v>
      </c>
      <c r="M6" s="48" t="s">
        <v>148</v>
      </c>
    </row>
    <row r="7" spans="1:13" x14ac:dyDescent="0.15">
      <c r="A7" s="71" t="s">
        <v>149</v>
      </c>
      <c r="B7" s="72">
        <v>41011</v>
      </c>
      <c r="C7" s="73" t="str">
        <f ca="1">VLOOKUP($B7,OFFSET([2]quests!$A$1,0,0,COUNTA([2]quests!$A:$A),MATCH(C$1,[2]quests!$1:$1,0)-MATCH($B$1,[2]quests!$1:$1,0)+1),MATCH(C$1,[2]quests!$1:$1,0)-MATCH($B$1,[2]quests!$1:$1,0)+1,FALSE)</f>
        <v>ヨミ襲来！</v>
      </c>
      <c r="D7" s="73" t="str">
        <f ca="1">VLOOKUP($B7,OFFSET([2]quests!$A$1,0,0,COUNTA([2]quests!$A:$A),MATCH(D$1,[2]quests!$1:$1,0)-MATCH($B$1,[2]quests!$1:$1,0)+1),MATCH(D$1,[2]quests!$1:$1,0)-MATCH($B$1,[2]quests!$1:$1,0)+1,FALSE)</f>
        <v>降臨1</v>
      </c>
      <c r="E7" s="77">
        <v>1</v>
      </c>
      <c r="F7" s="7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【超絶級】ヨミ襲来</v>
      </c>
      <c r="G7" s="73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5">
        <v>0</v>
      </c>
      <c r="I7">
        <v>30</v>
      </c>
      <c r="J7" s="74" t="s">
        <v>146</v>
      </c>
      <c r="K7" s="83" t="str">
        <f>VLOOKUP(I7,[7]stage_hints!$A:$C,3,FALSE)</f>
        <v>「バグ」の増やし方</v>
      </c>
      <c r="L7" s="84" t="str">
        <f>VLOOKUP(I7,[7]stage_hints!$A:$D,4,FALSE)</f>
        <v>同じユニット同士を強化で合成すると_x000D_「バグ」を増やすことができます</v>
      </c>
      <c r="M7" s="48" t="s">
        <v>148</v>
      </c>
    </row>
    <row r="8" spans="1:13" x14ac:dyDescent="0.15">
      <c r="A8" s="71" t="s">
        <v>149</v>
      </c>
      <c r="B8" s="72">
        <v>41011</v>
      </c>
      <c r="C8" s="73" t="str">
        <f ca="1">VLOOKUP($B8,OFFSET([2]quests!$A$1,0,0,COUNTA([2]quests!$A:$A),MATCH(C$1,[2]quests!$1:$1,0)-MATCH($B$1,[2]quests!$1:$1,0)+1),MATCH(C$1,[2]quests!$1:$1,0)-MATCH($B$1,[2]quests!$1:$1,0)+1,FALSE)</f>
        <v>ヨミ襲来！</v>
      </c>
      <c r="D8" s="73" t="str">
        <f ca="1">VLOOKUP($B8,OFFSET([2]quests!$A$1,0,0,COUNTA([2]quests!$A:$A),MATCH(D$1,[2]quests!$1:$1,0)-MATCH($B$1,[2]quests!$1:$1,0)+1),MATCH(D$1,[2]quests!$1:$1,0)-MATCH($B$1,[2]quests!$1:$1,0)+1,FALSE)</f>
        <v>降臨1</v>
      </c>
      <c r="E8" s="77">
        <v>1</v>
      </c>
      <c r="F8" s="7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【超絶級】ヨミ襲来</v>
      </c>
      <c r="G8" s="73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5">
        <v>0</v>
      </c>
      <c r="I8">
        <v>32</v>
      </c>
      <c r="J8" s="74" t="s">
        <v>146</v>
      </c>
      <c r="K8" s="83" t="str">
        <f>VLOOKUP(I8,[7]stage_hints!$A:$C,3,FALSE)</f>
        <v>敵の連続攻撃には</v>
      </c>
      <c r="L8" s="84" t="str">
        <f>VLOOKUP(I8,[7]stage_hints!$A:$D,4,FALSE)</f>
        <v>カウンタースキルを持つユニットがいれば_x000D_ダメージ回数分の反撃ができます</v>
      </c>
      <c r="M8" s="48" t="s">
        <v>148</v>
      </c>
    </row>
    <row r="9" spans="1:13" x14ac:dyDescent="0.15">
      <c r="A9" s="71" t="s">
        <v>149</v>
      </c>
      <c r="B9" s="72">
        <v>41011</v>
      </c>
      <c r="C9" s="73" t="str">
        <f ca="1">VLOOKUP($B9,OFFSET([2]quests!$A$1,0,0,COUNTA([2]quests!$A:$A),MATCH(C$1,[2]quests!$1:$1,0)-MATCH($B$1,[2]quests!$1:$1,0)+1),MATCH(C$1,[2]quests!$1:$1,0)-MATCH($B$1,[2]quests!$1:$1,0)+1,FALSE)</f>
        <v>ヨミ襲来！</v>
      </c>
      <c r="D9" s="73" t="str">
        <f ca="1">VLOOKUP($B9,OFFSET([2]quests!$A$1,0,0,COUNTA([2]quests!$A:$A),MATCH(D$1,[2]quests!$1:$1,0)-MATCH($B$1,[2]quests!$1:$1,0)+1),MATCH(D$1,[2]quests!$1:$1,0)-MATCH($B$1,[2]quests!$1:$1,0)+1,FALSE)</f>
        <v>降臨1</v>
      </c>
      <c r="E9" s="77">
        <v>1</v>
      </c>
      <c r="F9" s="7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【超絶級】ヨミ襲来</v>
      </c>
      <c r="G9" s="73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5">
        <v>0</v>
      </c>
      <c r="I9">
        <v>33</v>
      </c>
      <c r="J9" s="74" t="s">
        <v>146</v>
      </c>
      <c r="K9" s="83" t="str">
        <f>VLOOKUP(I9,[7]stage_hints!$A:$C,3,FALSE)</f>
        <v>敵のカウンター攻撃には</v>
      </c>
      <c r="L9" s="84" t="str">
        <f>VLOOKUP(I9,[7]stage_hints!$A:$D,4,FALSE)</f>
        <v>カウンターブレイクスキルを持っていれば_x000D_敵のカウンターを解除して攻撃ができます</v>
      </c>
      <c r="M9" s="48" t="s">
        <v>148</v>
      </c>
    </row>
    <row r="10" spans="1:13" x14ac:dyDescent="0.15">
      <c r="A10" s="71" t="s">
        <v>149</v>
      </c>
      <c r="B10" s="72">
        <v>41011</v>
      </c>
      <c r="C10" s="73" t="str">
        <f ca="1">VLOOKUP($B10,OFFSET([2]quests!$A$1,0,0,COUNTA([2]quests!$A:$A),MATCH(C$1,[2]quests!$1:$1,0)-MATCH($B$1,[2]quests!$1:$1,0)+1),MATCH(C$1,[2]quests!$1:$1,0)-MATCH($B$1,[2]quests!$1:$1,0)+1,FALSE)</f>
        <v>ヨミ襲来！</v>
      </c>
      <c r="D10" s="73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7">
        <v>1</v>
      </c>
      <c r="F10" s="7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【超絶級】ヨミ襲来</v>
      </c>
      <c r="G10" s="73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5">
        <v>0</v>
      </c>
      <c r="I10">
        <v>34</v>
      </c>
      <c r="J10" s="74" t="s">
        <v>346</v>
      </c>
      <c r="K10" s="83" t="str">
        <f>VLOOKUP(I10,[7]stage_hints!$A:$C,3,FALSE)</f>
        <v>ステータスをスキルで下げられたら</v>
      </c>
      <c r="L10" s="84" t="str">
        <f>VLOOKUP(I10,[7]stage_hints!$A:$D,4,FALSE)</f>
        <v>ステータスダウンのスキルを受けたら_x000D_ステータスアップスキルで上書きしましょう</v>
      </c>
      <c r="M10" s="48" t="s">
        <v>347</v>
      </c>
    </row>
    <row r="11" spans="1:13" x14ac:dyDescent="0.15">
      <c r="A11" s="71" t="s">
        <v>149</v>
      </c>
      <c r="B11" s="72">
        <v>41011</v>
      </c>
      <c r="C11" s="73" t="str">
        <f ca="1">VLOOKUP($B11,OFFSET([2]quests!$A$1,0,0,COUNTA([2]quests!$A:$A),MATCH(C$1,[2]quests!$1:$1,0)-MATCH($B$1,[2]quests!$1:$1,0)+1),MATCH(C$1,[2]quests!$1:$1,0)-MATCH($B$1,[2]quests!$1:$1,0)+1,FALSE)</f>
        <v>ヨミ襲来！</v>
      </c>
      <c r="D11" s="73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7">
        <v>1</v>
      </c>
      <c r="F11" s="7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【超絶級】ヨミ襲来</v>
      </c>
      <c r="G11" s="73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5">
        <v>0</v>
      </c>
      <c r="I11">
        <v>35</v>
      </c>
      <c r="J11" s="74" t="s">
        <v>146</v>
      </c>
      <c r="K11" s="83" t="str">
        <f>VLOOKUP(I11,[7]stage_hints!$A:$C,3,FALSE)</f>
        <v>敵のステータスがスキルで上がったら</v>
      </c>
      <c r="L11" s="84" t="str">
        <f>VLOOKUP(I11,[7]stage_hints!$A:$D,4,FALSE)</f>
        <v>敵のステータスがスキルでアップしたときは_x000D_ステータスダウンスキルで上書きしましょう</v>
      </c>
      <c r="M11" s="48" t="s">
        <v>148</v>
      </c>
    </row>
    <row r="12" spans="1:13" x14ac:dyDescent="0.15">
      <c r="A12" s="71" t="s">
        <v>149</v>
      </c>
      <c r="B12" s="72">
        <v>41011</v>
      </c>
      <c r="C12" s="73" t="str">
        <f ca="1">VLOOKUP($B12,OFFSET([2]quests!$A$1,0,0,COUNTA([2]quests!$A:$A),MATCH(C$1,[2]quests!$1:$1,0)-MATCH($B$1,[2]quests!$1:$1,0)+1),MATCH(C$1,[2]quests!$1:$1,0)-MATCH($B$1,[2]quests!$1:$1,0)+1,FALSE)</f>
        <v>ヨミ襲来！</v>
      </c>
      <c r="D12" s="73" t="str">
        <f ca="1">VLOOKUP($B12,OFFSET([2]quests!$A$1,0,0,COUNTA([2]quests!$A:$A),MATCH(D$1,[2]quests!$1:$1,0)-MATCH($B$1,[2]quests!$1:$1,0)+1),MATCH(D$1,[2]quests!$1:$1,0)-MATCH($B$1,[2]quests!$1:$1,0)+1,FALSE)</f>
        <v>降臨1</v>
      </c>
      <c r="E12" s="77">
        <v>1</v>
      </c>
      <c r="F12" s="73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【超絶級】ヨミ襲来</v>
      </c>
      <c r="G12" s="73" t="str">
        <f ca="1">VLOOKUP($B12&amp;"_"&amp;$E12,OFFSET([2]stages!$A$1,0,0,COUNTA([2]stages!$A:$A),MATCH(G$1,[2]stages!$2:$2,0)-MATCH("temp_stage",[2]stages!$2:$2,0)+1),MATCH(G$1,[2]stages!$2:$2,0)-MATCH("temp_stage",[2]stages!$2:$2,0)+1,FALSE)</f>
        <v>降臨1</v>
      </c>
      <c r="H12" s="75">
        <v>0</v>
      </c>
      <c r="I12">
        <v>36</v>
      </c>
      <c r="J12" s="74" t="s">
        <v>146</v>
      </c>
      <c r="K12" s="83" t="str">
        <f>VLOOKUP(I12,[7]stage_hints!$A:$C,3,FALSE)</f>
        <v>チャレンジタワーのボス</v>
      </c>
      <c r="L12" s="84" t="str">
        <f>VLOOKUP(I12,[7]stage_hints!$A:$D,4,FALSE)</f>
        <v>チャレンジタワーでのみ登場するボスは_x000D_一定確率で獲得することができます</v>
      </c>
      <c r="M12" s="48" t="s">
        <v>148</v>
      </c>
    </row>
    <row r="13" spans="1:13" x14ac:dyDescent="0.15">
      <c r="A13" s="71" t="s">
        <v>149</v>
      </c>
      <c r="B13" s="72">
        <v>41011</v>
      </c>
      <c r="C13" s="73" t="str">
        <f ca="1">VLOOKUP($B13,OFFSET([2]quests!$A$1,0,0,COUNTA([2]quests!$A:$A),MATCH(C$1,[2]quests!$1:$1,0)-MATCH($B$1,[2]quests!$1:$1,0)+1),MATCH(C$1,[2]quests!$1:$1,0)-MATCH($B$1,[2]quests!$1:$1,0)+1,FALSE)</f>
        <v>ヨミ襲来！</v>
      </c>
      <c r="D13" s="73" t="str">
        <f ca="1">VLOOKUP($B13,OFFSET([2]quests!$A$1,0,0,COUNTA([2]quests!$A:$A),MATCH(D$1,[2]quests!$1:$1,0)-MATCH($B$1,[2]quests!$1:$1,0)+1),MATCH(D$1,[2]quests!$1:$1,0)-MATCH($B$1,[2]quests!$1:$1,0)+1,FALSE)</f>
        <v>降臨1</v>
      </c>
      <c r="E13" s="77">
        <v>1</v>
      </c>
      <c r="F13" s="73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【超絶級】ヨミ襲来</v>
      </c>
      <c r="G13" s="73" t="str">
        <f ca="1">VLOOKUP($B13&amp;"_"&amp;$E13,OFFSET([2]stages!$A$1,0,0,COUNTA([2]stages!$A:$A),MATCH(G$1,[2]stages!$2:$2,0)-MATCH("temp_stage",[2]stages!$2:$2,0)+1),MATCH(G$1,[2]stages!$2:$2,0)-MATCH("temp_stage",[2]stages!$2:$2,0)+1,FALSE)</f>
        <v>降臨1</v>
      </c>
      <c r="H13" s="75">
        <v>0</v>
      </c>
      <c r="I13">
        <v>37</v>
      </c>
      <c r="J13" s="74" t="s">
        <v>348</v>
      </c>
      <c r="K13" s="83" t="str">
        <f>VLOOKUP(I13,[7]stage_hints!$A:$C,3,FALSE)</f>
        <v>限界突破値の引き継ぎ</v>
      </c>
      <c r="L13" s="84" t="str">
        <f>VLOOKUP(I13,[7]stage_hints!$A:$D,4,FALSE)</f>
        <v>同じユニットを強化で合成すると_x000D_限界突破値を引き継げます（覚醒前後も可）</v>
      </c>
      <c r="M13" s="48" t="s">
        <v>349</v>
      </c>
    </row>
    <row r="14" spans="1:13" x14ac:dyDescent="0.15">
      <c r="A14" s="71" t="s">
        <v>149</v>
      </c>
      <c r="B14" s="72">
        <v>41011</v>
      </c>
      <c r="C14" s="73" t="str">
        <f ca="1">VLOOKUP($B14,OFFSET([2]quests!$A$1,0,0,COUNTA([2]quests!$A:$A),MATCH(C$1,[2]quests!$1:$1,0)-MATCH($B$1,[2]quests!$1:$1,0)+1),MATCH(C$1,[2]quests!$1:$1,0)-MATCH($B$1,[2]quests!$1:$1,0)+1,FALSE)</f>
        <v>ヨミ襲来！</v>
      </c>
      <c r="D14" s="73" t="str">
        <f ca="1">VLOOKUP($B14,OFFSET([2]quests!$A$1,0,0,COUNTA([2]quests!$A:$A),MATCH(D$1,[2]quests!$1:$1,0)-MATCH($B$1,[2]quests!$1:$1,0)+1),MATCH(D$1,[2]quests!$1:$1,0)-MATCH($B$1,[2]quests!$1:$1,0)+1,FALSE)</f>
        <v>降臨1</v>
      </c>
      <c r="E14" s="77">
        <v>1</v>
      </c>
      <c r="F14" s="73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【超絶級】ヨミ襲来</v>
      </c>
      <c r="G14" s="73" t="str">
        <f ca="1">VLOOKUP($B14&amp;"_"&amp;$E14,OFFSET([2]stages!$A$1,0,0,COUNTA([2]stages!$A:$A),MATCH(G$1,[2]stages!$2:$2,0)-MATCH("temp_stage",[2]stages!$2:$2,0)+1),MATCH(G$1,[2]stages!$2:$2,0)-MATCH("temp_stage",[2]stages!$2:$2,0)+1,FALSE)</f>
        <v>降臨1</v>
      </c>
      <c r="H14" s="75">
        <v>0</v>
      </c>
      <c r="I14">
        <v>39</v>
      </c>
      <c r="J14" s="74" t="s">
        <v>146</v>
      </c>
      <c r="K14" s="83" t="str">
        <f>VLOOKUP(I14,[7]stage_hints!$A:$C,3,FALSE)</f>
        <v>システム適合者を確認</v>
      </c>
      <c r="L14" s="84" t="str">
        <f>VLOOKUP(I14,[7]stage_hints!$A:$D,4,FALSE)</f>
        <v>ALICEが「アナタ」を呼んでいます</v>
      </c>
      <c r="M14" s="48" t="s">
        <v>148</v>
      </c>
    </row>
    <row r="15" spans="1:13" x14ac:dyDescent="0.15">
      <c r="A15" s="71" t="s">
        <v>149</v>
      </c>
      <c r="B15" s="72">
        <v>41011</v>
      </c>
      <c r="C15" s="73" t="str">
        <f ca="1">VLOOKUP($B15,OFFSET([2]quests!$A$1,0,0,COUNTA([2]quests!$A:$A),MATCH(C$1,[2]quests!$1:$1,0)-MATCH($B$1,[2]quests!$1:$1,0)+1),MATCH(C$1,[2]quests!$1:$1,0)-MATCH($B$1,[2]quests!$1:$1,0)+1,FALSE)</f>
        <v>ヨミ襲来！</v>
      </c>
      <c r="D15" s="73" t="str">
        <f ca="1">VLOOKUP($B15,OFFSET([2]quests!$A$1,0,0,COUNTA([2]quests!$A:$A),MATCH(D$1,[2]quests!$1:$1,0)-MATCH($B$1,[2]quests!$1:$1,0)+1),MATCH(D$1,[2]quests!$1:$1,0)-MATCH($B$1,[2]quests!$1:$1,0)+1,FALSE)</f>
        <v>降臨1</v>
      </c>
      <c r="E15" s="77">
        <v>2</v>
      </c>
      <c r="F15" s="7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【ウィザード級】ヨミ襲来</v>
      </c>
      <c r="G15" s="73" t="str">
        <f ca="1">VLOOKUP($B15&amp;"_"&amp;$E15,OFFSET([2]stages!$A$1,0,0,COUNTA([2]stages!$A:$A),MATCH(G$1,[2]stages!$2:$2,0)-MATCH("temp_stage",[2]stages!$2:$2,0)+1),MATCH(G$1,[2]stages!$2:$2,0)-MATCH("temp_stage",[2]stages!$2:$2,0)+1,FALSE)</f>
        <v>降臨1</v>
      </c>
      <c r="H15" s="75">
        <v>0</v>
      </c>
      <c r="I15">
        <v>12</v>
      </c>
      <c r="J15" s="74" t="s">
        <v>146</v>
      </c>
      <c r="K15" s="83" t="str">
        <f>VLOOKUP(I15,[7]stage_hints!$A:$C,3,FALSE)</f>
        <v>ユニットのお気に入り登録</v>
      </c>
      <c r="L15" s="84" t="str">
        <f>VLOOKUP(I15,[7]stage_hints!$A:$D,4,FALSE)</f>
        <v>大事なユニットを誤って消さないように_x000D_フォルダから「お気に入り登録」しましょう</v>
      </c>
      <c r="M15" s="48" t="s">
        <v>148</v>
      </c>
    </row>
    <row r="16" spans="1:13" x14ac:dyDescent="0.15">
      <c r="A16" s="71" t="s">
        <v>149</v>
      </c>
      <c r="B16" s="72">
        <v>41011</v>
      </c>
      <c r="C16" s="73" t="str">
        <f ca="1">VLOOKUP($B16,OFFSET([2]quests!$A$1,0,0,COUNTA([2]quests!$A:$A),MATCH(C$1,[2]quests!$1:$1,0)-MATCH($B$1,[2]quests!$1:$1,0)+1),MATCH(C$1,[2]quests!$1:$1,0)-MATCH($B$1,[2]quests!$1:$1,0)+1,FALSE)</f>
        <v>ヨミ襲来！</v>
      </c>
      <c r="D16" s="73" t="str">
        <f ca="1">VLOOKUP($B16,OFFSET([2]quests!$A$1,0,0,COUNTA([2]quests!$A:$A),MATCH(D$1,[2]quests!$1:$1,0)-MATCH($B$1,[2]quests!$1:$1,0)+1),MATCH(D$1,[2]quests!$1:$1,0)-MATCH($B$1,[2]quests!$1:$1,0)+1,FALSE)</f>
        <v>降臨1</v>
      </c>
      <c r="E16" s="77">
        <v>2</v>
      </c>
      <c r="F16" s="7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【ウィザード級】ヨミ襲来</v>
      </c>
      <c r="G16" s="73" t="str">
        <f ca="1">VLOOKUP($B16&amp;"_"&amp;$E16,OFFSET([2]stages!$A$1,0,0,COUNTA([2]stages!$A:$A),MATCH(G$1,[2]stages!$2:$2,0)-MATCH("temp_stage",[2]stages!$2:$2,0)+1),MATCH(G$1,[2]stages!$2:$2,0)-MATCH("temp_stage",[2]stages!$2:$2,0)+1,FALSE)</f>
        <v>降臨1</v>
      </c>
      <c r="H16" s="75">
        <v>0</v>
      </c>
      <c r="I16">
        <v>17</v>
      </c>
      <c r="J16" s="74" t="s">
        <v>265</v>
      </c>
      <c r="K16" s="83" t="str">
        <f>VLOOKUP(I16,[7]stage_hints!$A:$C,3,FALSE)</f>
        <v>リンクガチャ</v>
      </c>
      <c r="L16" s="84" t="str">
        <f>VLOOKUP(I16,[7]stage_hints!$A:$D,4,FALSE)</f>
        <v>無料のリンクガチャを回して_x000D_経験値素材や売却素材を獲得しましょう</v>
      </c>
      <c r="M16" s="48" t="s">
        <v>148</v>
      </c>
    </row>
    <row r="17" spans="1:13" x14ac:dyDescent="0.15">
      <c r="A17" s="71" t="s">
        <v>149</v>
      </c>
      <c r="B17" s="72">
        <v>41011</v>
      </c>
      <c r="C17" s="73" t="str">
        <f ca="1">VLOOKUP($B17,OFFSET([2]quests!$A$1,0,0,COUNTA([2]quests!$A:$A),MATCH(C$1,[2]quests!$1:$1,0)-MATCH($B$1,[2]quests!$1:$1,0)+1),MATCH(C$1,[2]quests!$1:$1,0)-MATCH($B$1,[2]quests!$1:$1,0)+1,FALSE)</f>
        <v>ヨミ襲来！</v>
      </c>
      <c r="D17" s="73" t="str">
        <f ca="1">VLOOKUP($B17,OFFSET([2]quests!$A$1,0,0,COUNTA([2]quests!$A:$A),MATCH(D$1,[2]quests!$1:$1,0)-MATCH($B$1,[2]quests!$1:$1,0)+1),MATCH(D$1,[2]quests!$1:$1,0)-MATCH($B$1,[2]quests!$1:$1,0)+1,FALSE)</f>
        <v>降臨1</v>
      </c>
      <c r="E17" s="77">
        <v>2</v>
      </c>
      <c r="F17" s="7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【ウィザード級】ヨミ襲来</v>
      </c>
      <c r="G17" s="73" t="str">
        <f ca="1">VLOOKUP($B17&amp;"_"&amp;$E17,OFFSET([2]stages!$A$1,0,0,COUNTA([2]stages!$A:$A),MATCH(G$1,[2]stages!$2:$2,0)-MATCH("temp_stage",[2]stages!$2:$2,0)+1),MATCH(G$1,[2]stages!$2:$2,0)-MATCH("temp_stage",[2]stages!$2:$2,0)+1,FALSE)</f>
        <v>降臨1</v>
      </c>
      <c r="H17" s="75">
        <v>0</v>
      </c>
      <c r="I17">
        <v>19</v>
      </c>
      <c r="J17" s="74" t="s">
        <v>146</v>
      </c>
      <c r="K17" s="83" t="str">
        <f>VLOOKUP(I17,[7]stage_hints!$A:$C,3,FALSE)</f>
        <v>ソロ専用チャレンジタワー</v>
      </c>
      <c r="L17" s="84" t="str">
        <f>VLOOKUP(I17,[7]stage_hints!$A:$D,4,FALSE)</f>
        <v>ソロ専用の「チャレンジタワー」では_x000D_各フロアごとにクリア報酬がもらえます</v>
      </c>
      <c r="M17" s="48" t="s">
        <v>148</v>
      </c>
    </row>
    <row r="18" spans="1:13" x14ac:dyDescent="0.15">
      <c r="A18" s="71" t="s">
        <v>149</v>
      </c>
      <c r="B18" s="72">
        <v>41011</v>
      </c>
      <c r="C18" s="73" t="str">
        <f ca="1">VLOOKUP($B18,OFFSET([2]quests!$A$1,0,0,COUNTA([2]quests!$A:$A),MATCH(C$1,[2]quests!$1:$1,0)-MATCH($B$1,[2]quests!$1:$1,0)+1),MATCH(C$1,[2]quests!$1:$1,0)-MATCH($B$1,[2]quests!$1:$1,0)+1,FALSE)</f>
        <v>ヨミ襲来！</v>
      </c>
      <c r="D18" s="73" t="str">
        <f ca="1">VLOOKUP($B18,OFFSET([2]quests!$A$1,0,0,COUNTA([2]quests!$A:$A),MATCH(D$1,[2]quests!$1:$1,0)-MATCH($B$1,[2]quests!$1:$1,0)+1),MATCH(D$1,[2]quests!$1:$1,0)-MATCH($B$1,[2]quests!$1:$1,0)+1,FALSE)</f>
        <v>降臨1</v>
      </c>
      <c r="E18" s="77">
        <v>2</v>
      </c>
      <c r="F18" s="7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【ウィザード級】ヨミ襲来</v>
      </c>
      <c r="G18" s="73" t="str">
        <f ca="1">VLOOKUP($B18&amp;"_"&amp;$E18,OFFSET([2]stages!$A$1,0,0,COUNTA([2]stages!$A:$A),MATCH(G$1,[2]stages!$2:$2,0)-MATCH("temp_stage",[2]stages!$2:$2,0)+1),MATCH(G$1,[2]stages!$2:$2,0)-MATCH("temp_stage",[2]stages!$2:$2,0)+1,FALSE)</f>
        <v>降臨1</v>
      </c>
      <c r="H18" s="75">
        <v>0</v>
      </c>
      <c r="I18">
        <v>21</v>
      </c>
      <c r="J18" s="74" t="s">
        <v>146</v>
      </c>
      <c r="K18" s="83" t="str">
        <f>VLOOKUP(I18,[7]stage_hints!$A:$C,3,FALSE)</f>
        <v>スキルを有効に</v>
      </c>
      <c r="L18" s="84" t="str">
        <f>VLOOKUP(I18,[7]stage_hints!$A:$D,4,FALSE)</f>
        <v>ターン経過でユニットのスキルが使えます_x000D_強力スキルでバトルを有利に進めましょう</v>
      </c>
      <c r="M18" s="48" t="s">
        <v>148</v>
      </c>
    </row>
    <row r="19" spans="1:13" x14ac:dyDescent="0.15">
      <c r="A19" s="71" t="s">
        <v>149</v>
      </c>
      <c r="B19" s="72">
        <v>41011</v>
      </c>
      <c r="C19" s="73" t="str">
        <f ca="1">VLOOKUP($B19,OFFSET([2]quests!$A$1,0,0,COUNTA([2]quests!$A:$A),MATCH(C$1,[2]quests!$1:$1,0)-MATCH($B$1,[2]quests!$1:$1,0)+1),MATCH(C$1,[2]quests!$1:$1,0)-MATCH($B$1,[2]quests!$1:$1,0)+1,FALSE)</f>
        <v>ヨミ襲来！</v>
      </c>
      <c r="D19" s="73" t="str">
        <f ca="1">VLOOKUP($B19,OFFSET([2]quests!$A$1,0,0,COUNTA([2]quests!$A:$A),MATCH(D$1,[2]quests!$1:$1,0)-MATCH($B$1,[2]quests!$1:$1,0)+1),MATCH(D$1,[2]quests!$1:$1,0)-MATCH($B$1,[2]quests!$1:$1,0)+1,FALSE)</f>
        <v>降臨1</v>
      </c>
      <c r="E19" s="77">
        <v>2</v>
      </c>
      <c r="F19" s="7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【ウィザード級】ヨミ襲来</v>
      </c>
      <c r="G19" s="73" t="str">
        <f ca="1">VLOOKUP($B19&amp;"_"&amp;$E19,OFFSET([2]stages!$A$1,0,0,COUNTA([2]stages!$A:$A),MATCH(G$1,[2]stages!$2:$2,0)-MATCH("temp_stage",[2]stages!$2:$2,0)+1),MATCH(G$1,[2]stages!$2:$2,0)-MATCH("temp_stage",[2]stages!$2:$2,0)+1,FALSE)</f>
        <v>降臨1</v>
      </c>
      <c r="H19" s="75">
        <v>0</v>
      </c>
      <c r="I19">
        <v>29</v>
      </c>
      <c r="J19" s="74" t="s">
        <v>146</v>
      </c>
      <c r="K19" s="83" t="str">
        <f>VLOOKUP(I19,[7]stage_hints!$A:$C,3,FALSE)</f>
        <v>「バグ」のメリット</v>
      </c>
      <c r="L19" s="84" t="str">
        <f>VLOOKUP(I19,[7]stage_hints!$A:$D,4,FALSE)</f>
        <v>ユニットの「バグ」を増やすと_x000D_報酬をもらえる確率がアップします</v>
      </c>
      <c r="M19" s="48" t="s">
        <v>148</v>
      </c>
    </row>
    <row r="20" spans="1:13" x14ac:dyDescent="0.15">
      <c r="A20" s="71" t="s">
        <v>149</v>
      </c>
      <c r="B20" s="72">
        <v>41011</v>
      </c>
      <c r="C20" s="73" t="str">
        <f ca="1">VLOOKUP($B20,OFFSET([2]quests!$A$1,0,0,COUNTA([2]quests!$A:$A),MATCH(C$1,[2]quests!$1:$1,0)-MATCH($B$1,[2]quests!$1:$1,0)+1),MATCH(C$1,[2]quests!$1:$1,0)-MATCH($B$1,[2]quests!$1:$1,0)+1,FALSE)</f>
        <v>ヨミ襲来！</v>
      </c>
      <c r="D20" s="73" t="str">
        <f ca="1">VLOOKUP($B20,OFFSET([2]quests!$A$1,0,0,COUNTA([2]quests!$A:$A),MATCH(D$1,[2]quests!$1:$1,0)-MATCH($B$1,[2]quests!$1:$1,0)+1),MATCH(D$1,[2]quests!$1:$1,0)-MATCH($B$1,[2]quests!$1:$1,0)+1,FALSE)</f>
        <v>降臨1</v>
      </c>
      <c r="E20" s="77">
        <v>2</v>
      </c>
      <c r="F20" s="7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【ウィザード級】ヨミ襲来</v>
      </c>
      <c r="G20" s="73" t="str">
        <f ca="1">VLOOKUP($B20&amp;"_"&amp;$E20,OFFSET([2]stages!$A$1,0,0,COUNTA([2]stages!$A:$A),MATCH(G$1,[2]stages!$2:$2,0)-MATCH("temp_stage",[2]stages!$2:$2,0)+1),MATCH(G$1,[2]stages!$2:$2,0)-MATCH("temp_stage",[2]stages!$2:$2,0)+1,FALSE)</f>
        <v>降臨1</v>
      </c>
      <c r="H20" s="75">
        <v>0</v>
      </c>
      <c r="I20">
        <v>30</v>
      </c>
      <c r="J20" s="74" t="s">
        <v>146</v>
      </c>
      <c r="K20" s="83" t="str">
        <f>VLOOKUP(I20,[7]stage_hints!$A:$C,3,FALSE)</f>
        <v>「バグ」の増やし方</v>
      </c>
      <c r="L20" s="84" t="str">
        <f>VLOOKUP(I20,[7]stage_hints!$A:$D,4,FALSE)</f>
        <v>同じユニット同士を強化で合成すると_x000D_「バグ」を増やすことができます</v>
      </c>
      <c r="M20" s="48" t="s">
        <v>148</v>
      </c>
    </row>
    <row r="21" spans="1:13" x14ac:dyDescent="0.15">
      <c r="A21" s="71" t="s">
        <v>149</v>
      </c>
      <c r="B21" s="72">
        <v>41011</v>
      </c>
      <c r="C21" s="73" t="str">
        <f ca="1">VLOOKUP($B21,OFFSET([2]quests!$A$1,0,0,COUNTA([2]quests!$A:$A),MATCH(C$1,[2]quests!$1:$1,0)-MATCH($B$1,[2]quests!$1:$1,0)+1),MATCH(C$1,[2]quests!$1:$1,0)-MATCH($B$1,[2]quests!$1:$1,0)+1,FALSE)</f>
        <v>ヨミ襲来！</v>
      </c>
      <c r="D21" s="73" t="str">
        <f ca="1">VLOOKUP($B21,OFFSET([2]quests!$A$1,0,0,COUNTA([2]quests!$A:$A),MATCH(D$1,[2]quests!$1:$1,0)-MATCH($B$1,[2]quests!$1:$1,0)+1),MATCH(D$1,[2]quests!$1:$1,0)-MATCH($B$1,[2]quests!$1:$1,0)+1,FALSE)</f>
        <v>降臨1</v>
      </c>
      <c r="E21" s="77">
        <v>2</v>
      </c>
      <c r="F21" s="7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【ウィザード級】ヨミ襲来</v>
      </c>
      <c r="G21" s="73" t="str">
        <f ca="1">VLOOKUP($B21&amp;"_"&amp;$E21,OFFSET([2]stages!$A$1,0,0,COUNTA([2]stages!$A:$A),MATCH(G$1,[2]stages!$2:$2,0)-MATCH("temp_stage",[2]stages!$2:$2,0)+1),MATCH(G$1,[2]stages!$2:$2,0)-MATCH("temp_stage",[2]stages!$2:$2,0)+1,FALSE)</f>
        <v>降臨1</v>
      </c>
      <c r="H21" s="75">
        <v>0</v>
      </c>
      <c r="I21">
        <v>32</v>
      </c>
      <c r="J21" s="74" t="s">
        <v>146</v>
      </c>
      <c r="K21" s="83" t="str">
        <f>VLOOKUP(I21,[7]stage_hints!$A:$C,3,FALSE)</f>
        <v>敵の連続攻撃には</v>
      </c>
      <c r="L21" s="84" t="str">
        <f>VLOOKUP(I21,[7]stage_hints!$A:$D,4,FALSE)</f>
        <v>カウンタースキルを持つユニットがいれば_x000D_ダメージ回数分の反撃ができます</v>
      </c>
      <c r="M21" s="48" t="s">
        <v>148</v>
      </c>
    </row>
    <row r="22" spans="1:13" x14ac:dyDescent="0.15">
      <c r="A22" s="71" t="s">
        <v>149</v>
      </c>
      <c r="B22" s="72">
        <v>41011</v>
      </c>
      <c r="C22" s="73" t="str">
        <f ca="1">VLOOKUP($B22,OFFSET([2]quests!$A$1,0,0,COUNTA([2]quests!$A:$A),MATCH(C$1,[2]quests!$1:$1,0)-MATCH($B$1,[2]quests!$1:$1,0)+1),MATCH(C$1,[2]quests!$1:$1,0)-MATCH($B$1,[2]quests!$1:$1,0)+1,FALSE)</f>
        <v>ヨミ襲来！</v>
      </c>
      <c r="D22" s="73" t="str">
        <f ca="1">VLOOKUP($B22,OFFSET([2]quests!$A$1,0,0,COUNTA([2]quests!$A:$A),MATCH(D$1,[2]quests!$1:$1,0)-MATCH($B$1,[2]quests!$1:$1,0)+1),MATCH(D$1,[2]quests!$1:$1,0)-MATCH($B$1,[2]quests!$1:$1,0)+1,FALSE)</f>
        <v>降臨1</v>
      </c>
      <c r="E22" s="77">
        <v>2</v>
      </c>
      <c r="F22" s="73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【ウィザード級】ヨミ襲来</v>
      </c>
      <c r="G22" s="73" t="str">
        <f ca="1">VLOOKUP($B22&amp;"_"&amp;$E22,OFFSET([2]stages!$A$1,0,0,COUNTA([2]stages!$A:$A),MATCH(G$1,[2]stages!$2:$2,0)-MATCH("temp_stage",[2]stages!$2:$2,0)+1),MATCH(G$1,[2]stages!$2:$2,0)-MATCH("temp_stage",[2]stages!$2:$2,0)+1,FALSE)</f>
        <v>降臨1</v>
      </c>
      <c r="H22" s="75">
        <v>0</v>
      </c>
      <c r="I22">
        <v>33</v>
      </c>
      <c r="J22" s="74" t="s">
        <v>146</v>
      </c>
      <c r="K22" s="83" t="str">
        <f>VLOOKUP(I22,[7]stage_hints!$A:$C,3,FALSE)</f>
        <v>敵のカウンター攻撃には</v>
      </c>
      <c r="L22" s="84" t="str">
        <f>VLOOKUP(I22,[7]stage_hints!$A:$D,4,FALSE)</f>
        <v>カウンターブレイクスキルを持っていれば_x000D_敵のカウンターを解除して攻撃ができます</v>
      </c>
      <c r="M22" s="48" t="s">
        <v>148</v>
      </c>
    </row>
    <row r="23" spans="1:13" x14ac:dyDescent="0.15">
      <c r="A23" s="71" t="s">
        <v>149</v>
      </c>
      <c r="B23" s="72">
        <v>41011</v>
      </c>
      <c r="C23" s="73" t="str">
        <f ca="1">VLOOKUP($B23,OFFSET([2]quests!$A$1,0,0,COUNTA([2]quests!$A:$A),MATCH(C$1,[2]quests!$1:$1,0)-MATCH($B$1,[2]quests!$1:$1,0)+1),MATCH(C$1,[2]quests!$1:$1,0)-MATCH($B$1,[2]quests!$1:$1,0)+1,FALSE)</f>
        <v>ヨミ襲来！</v>
      </c>
      <c r="D23" s="73" t="str">
        <f ca="1">VLOOKUP($B23,OFFSET([2]quests!$A$1,0,0,COUNTA([2]quests!$A:$A),MATCH(D$1,[2]quests!$1:$1,0)-MATCH($B$1,[2]quests!$1:$1,0)+1),MATCH(D$1,[2]quests!$1:$1,0)-MATCH($B$1,[2]quests!$1:$1,0)+1,FALSE)</f>
        <v>降臨1</v>
      </c>
      <c r="E23" s="77">
        <v>2</v>
      </c>
      <c r="F23" s="73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【ウィザード級】ヨミ襲来</v>
      </c>
      <c r="G23" s="73" t="str">
        <f ca="1">VLOOKUP($B23&amp;"_"&amp;$E23,OFFSET([2]stages!$A$1,0,0,COUNTA([2]stages!$A:$A),MATCH(G$1,[2]stages!$2:$2,0)-MATCH("temp_stage",[2]stages!$2:$2,0)+1),MATCH(G$1,[2]stages!$2:$2,0)-MATCH("temp_stage",[2]stages!$2:$2,0)+1,FALSE)</f>
        <v>降臨1</v>
      </c>
      <c r="H23" s="75">
        <v>0</v>
      </c>
      <c r="I23">
        <v>34</v>
      </c>
      <c r="J23" s="74" t="s">
        <v>265</v>
      </c>
      <c r="K23" s="83" t="str">
        <f>VLOOKUP(I23,[7]stage_hints!$A:$C,3,FALSE)</f>
        <v>ステータスをスキルで下げられたら</v>
      </c>
      <c r="L23" s="84" t="str">
        <f>VLOOKUP(I23,[7]stage_hints!$A:$D,4,FALSE)</f>
        <v>ステータスダウンのスキルを受けたら_x000D_ステータスアップスキルで上書きしましょう</v>
      </c>
      <c r="M23" s="48" t="s">
        <v>347</v>
      </c>
    </row>
    <row r="24" spans="1:13" x14ac:dyDescent="0.15">
      <c r="A24" s="71" t="s">
        <v>149</v>
      </c>
      <c r="B24" s="72">
        <v>41011</v>
      </c>
      <c r="C24" s="73" t="str">
        <f ca="1">VLOOKUP($B24,OFFSET([2]quests!$A$1,0,0,COUNTA([2]quests!$A:$A),MATCH(C$1,[2]quests!$1:$1,0)-MATCH($B$1,[2]quests!$1:$1,0)+1),MATCH(C$1,[2]quests!$1:$1,0)-MATCH($B$1,[2]quests!$1:$1,0)+1,FALSE)</f>
        <v>ヨミ襲来！</v>
      </c>
      <c r="D24" s="73" t="str">
        <f ca="1">VLOOKUP($B24,OFFSET([2]quests!$A$1,0,0,COUNTA([2]quests!$A:$A),MATCH(D$1,[2]quests!$1:$1,0)-MATCH($B$1,[2]quests!$1:$1,0)+1),MATCH(D$1,[2]quests!$1:$1,0)-MATCH($B$1,[2]quests!$1:$1,0)+1,FALSE)</f>
        <v>降臨1</v>
      </c>
      <c r="E24" s="77">
        <v>2</v>
      </c>
      <c r="F24" s="73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【ウィザード級】ヨミ襲来</v>
      </c>
      <c r="G24" s="73" t="str">
        <f ca="1">VLOOKUP($B24&amp;"_"&amp;$E24,OFFSET([2]stages!$A$1,0,0,COUNTA([2]stages!$A:$A),MATCH(G$1,[2]stages!$2:$2,0)-MATCH("temp_stage",[2]stages!$2:$2,0)+1),MATCH(G$1,[2]stages!$2:$2,0)-MATCH("temp_stage",[2]stages!$2:$2,0)+1,FALSE)</f>
        <v>降臨1</v>
      </c>
      <c r="H24" s="75">
        <v>0</v>
      </c>
      <c r="I24">
        <v>35</v>
      </c>
      <c r="J24" s="74" t="s">
        <v>146</v>
      </c>
      <c r="K24" s="83" t="str">
        <f>VLOOKUP(I24,[7]stage_hints!$A:$C,3,FALSE)</f>
        <v>敵のステータスがスキルで上がったら</v>
      </c>
      <c r="L24" s="84" t="str">
        <f>VLOOKUP(I24,[7]stage_hints!$A:$D,4,FALSE)</f>
        <v>敵のステータスがスキルでアップしたときは_x000D_ステータスダウンスキルで上書きしましょう</v>
      </c>
      <c r="M24" s="48" t="s">
        <v>148</v>
      </c>
    </row>
    <row r="25" spans="1:13" x14ac:dyDescent="0.15">
      <c r="A25" s="71" t="s">
        <v>149</v>
      </c>
      <c r="B25" s="72">
        <v>41011</v>
      </c>
      <c r="C25" s="73" t="str">
        <f ca="1">VLOOKUP($B25,OFFSET([2]quests!$A$1,0,0,COUNTA([2]quests!$A:$A),MATCH(C$1,[2]quests!$1:$1,0)-MATCH($B$1,[2]quests!$1:$1,0)+1),MATCH(C$1,[2]quests!$1:$1,0)-MATCH($B$1,[2]quests!$1:$1,0)+1,FALSE)</f>
        <v>ヨミ襲来！</v>
      </c>
      <c r="D25" s="73" t="str">
        <f ca="1">VLOOKUP($B25,OFFSET([2]quests!$A$1,0,0,COUNTA([2]quests!$A:$A),MATCH(D$1,[2]quests!$1:$1,0)-MATCH($B$1,[2]quests!$1:$1,0)+1),MATCH(D$1,[2]quests!$1:$1,0)-MATCH($B$1,[2]quests!$1:$1,0)+1,FALSE)</f>
        <v>降臨1</v>
      </c>
      <c r="E25" s="77">
        <v>2</v>
      </c>
      <c r="F25" s="73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【ウィザード級】ヨミ襲来</v>
      </c>
      <c r="G25" s="73" t="str">
        <f ca="1">VLOOKUP($B25&amp;"_"&amp;$E25,OFFSET([2]stages!$A$1,0,0,COUNTA([2]stages!$A:$A),MATCH(G$1,[2]stages!$2:$2,0)-MATCH("temp_stage",[2]stages!$2:$2,0)+1),MATCH(G$1,[2]stages!$2:$2,0)-MATCH("temp_stage",[2]stages!$2:$2,0)+1,FALSE)</f>
        <v>降臨1</v>
      </c>
      <c r="H25" s="75">
        <v>0</v>
      </c>
      <c r="I25">
        <v>36</v>
      </c>
      <c r="J25" s="74" t="s">
        <v>146</v>
      </c>
      <c r="K25" s="83" t="str">
        <f>VLOOKUP(I25,[7]stage_hints!$A:$C,3,FALSE)</f>
        <v>チャレンジタワーのボス</v>
      </c>
      <c r="L25" s="84" t="str">
        <f>VLOOKUP(I25,[7]stage_hints!$A:$D,4,FALSE)</f>
        <v>チャレンジタワーでのみ登場するボスは_x000D_一定確率で獲得することができます</v>
      </c>
      <c r="M25" s="48" t="s">
        <v>148</v>
      </c>
    </row>
    <row r="26" spans="1:13" x14ac:dyDescent="0.15">
      <c r="A26" s="71" t="s">
        <v>149</v>
      </c>
      <c r="B26" s="72">
        <v>41011</v>
      </c>
      <c r="C26" s="73" t="str">
        <f ca="1">VLOOKUP($B26,OFFSET([2]quests!$A$1,0,0,COUNTA([2]quests!$A:$A),MATCH(C$1,[2]quests!$1:$1,0)-MATCH($B$1,[2]quests!$1:$1,0)+1),MATCH(C$1,[2]quests!$1:$1,0)-MATCH($B$1,[2]quests!$1:$1,0)+1,FALSE)</f>
        <v>ヨミ襲来！</v>
      </c>
      <c r="D26" s="73" t="str">
        <f ca="1">VLOOKUP($B26,OFFSET([2]quests!$A$1,0,0,COUNTA([2]quests!$A:$A),MATCH(D$1,[2]quests!$1:$1,0)-MATCH($B$1,[2]quests!$1:$1,0)+1),MATCH(D$1,[2]quests!$1:$1,0)-MATCH($B$1,[2]quests!$1:$1,0)+1,FALSE)</f>
        <v>降臨1</v>
      </c>
      <c r="E26" s="77">
        <v>2</v>
      </c>
      <c r="F26" s="73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【ウィザード級】ヨミ襲来</v>
      </c>
      <c r="G26" s="73" t="str">
        <f ca="1">VLOOKUP($B26&amp;"_"&amp;$E26,OFFSET([2]stages!$A$1,0,0,COUNTA([2]stages!$A:$A),MATCH(G$1,[2]stages!$2:$2,0)-MATCH("temp_stage",[2]stages!$2:$2,0)+1),MATCH(G$1,[2]stages!$2:$2,0)-MATCH("temp_stage",[2]stages!$2:$2,0)+1,FALSE)</f>
        <v>降臨1</v>
      </c>
      <c r="H26" s="75">
        <v>0</v>
      </c>
      <c r="I26">
        <v>37</v>
      </c>
      <c r="J26" s="74" t="s">
        <v>265</v>
      </c>
      <c r="K26" s="83" t="str">
        <f>VLOOKUP(I26,[7]stage_hints!$A:$C,3,FALSE)</f>
        <v>限界突破値の引き継ぎ</v>
      </c>
      <c r="L26" s="84" t="str">
        <f>VLOOKUP(I26,[7]stage_hints!$A:$D,4,FALSE)</f>
        <v>同じユニットを強化で合成すると_x000D_限界突破値を引き継げます（覚醒前後も可）</v>
      </c>
      <c r="M26" s="48" t="s">
        <v>347</v>
      </c>
    </row>
    <row r="27" spans="1:13" x14ac:dyDescent="0.15">
      <c r="A27" s="71" t="s">
        <v>149</v>
      </c>
      <c r="B27" s="72">
        <v>41011</v>
      </c>
      <c r="C27" s="73" t="str">
        <f ca="1">VLOOKUP($B27,OFFSET([2]quests!$A$1,0,0,COUNTA([2]quests!$A:$A),MATCH(C$1,[2]quests!$1:$1,0)-MATCH($B$1,[2]quests!$1:$1,0)+1),MATCH(C$1,[2]quests!$1:$1,0)-MATCH($B$1,[2]quests!$1:$1,0)+1,FALSE)</f>
        <v>ヨミ襲来！</v>
      </c>
      <c r="D27" s="73" t="str">
        <f ca="1">VLOOKUP($B27,OFFSET([2]quests!$A$1,0,0,COUNTA([2]quests!$A:$A),MATCH(D$1,[2]quests!$1:$1,0)-MATCH($B$1,[2]quests!$1:$1,0)+1),MATCH(D$1,[2]quests!$1:$1,0)-MATCH($B$1,[2]quests!$1:$1,0)+1,FALSE)</f>
        <v>降臨1</v>
      </c>
      <c r="E27" s="77">
        <v>2</v>
      </c>
      <c r="F27" s="73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【ウィザード級】ヨミ襲来</v>
      </c>
      <c r="G27" s="73" t="str">
        <f ca="1">VLOOKUP($B27&amp;"_"&amp;$E27,OFFSET([2]stages!$A$1,0,0,COUNTA([2]stages!$A:$A),MATCH(G$1,[2]stages!$2:$2,0)-MATCH("temp_stage",[2]stages!$2:$2,0)+1),MATCH(G$1,[2]stages!$2:$2,0)-MATCH("temp_stage",[2]stages!$2:$2,0)+1,FALSE)</f>
        <v>降臨1</v>
      </c>
      <c r="H27" s="75">
        <v>0</v>
      </c>
      <c r="I27">
        <v>39</v>
      </c>
      <c r="J27" s="74" t="s">
        <v>146</v>
      </c>
      <c r="K27" s="83" t="str">
        <f>VLOOKUP(I27,[7]stage_hints!$A:$C,3,FALSE)</f>
        <v>システム適合者を確認</v>
      </c>
      <c r="L27" s="84" t="str">
        <f>VLOOKUP(I27,[7]stage_hints!$A:$D,4,FALSE)</f>
        <v>ALICEが「アナタ」を呼んでいます</v>
      </c>
      <c r="M27" s="48" t="s">
        <v>148</v>
      </c>
    </row>
    <row r="28" spans="1:13" x14ac:dyDescent="0.15">
      <c r="A28"/>
    </row>
    <row r="29" spans="1:13" x14ac:dyDescent="0.15">
      <c r="A29"/>
    </row>
    <row r="30" spans="1:13" x14ac:dyDescent="0.15">
      <c r="A30"/>
    </row>
    <row r="31" spans="1:13" x14ac:dyDescent="0.15">
      <c r="A31"/>
    </row>
    <row r="32" spans="1:13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5"/>
  <dataValidations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5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7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6" t="s">
        <v>139</v>
      </c>
      <c r="B1" s="63" t="s">
        <v>136</v>
      </c>
      <c r="C1" s="67" t="s">
        <v>142</v>
      </c>
      <c r="D1" s="67" t="s">
        <v>20</v>
      </c>
      <c r="E1" s="63" t="s">
        <v>129</v>
      </c>
      <c r="F1" s="67" t="s">
        <v>142</v>
      </c>
      <c r="G1" s="67" t="s">
        <v>20</v>
      </c>
      <c r="H1" s="63" t="s">
        <v>138</v>
      </c>
      <c r="I1" s="79" t="s">
        <v>143</v>
      </c>
      <c r="J1" s="81" t="s">
        <v>137</v>
      </c>
      <c r="K1" s="69" t="s">
        <v>154</v>
      </c>
      <c r="L1" s="68" t="s">
        <v>141</v>
      </c>
      <c r="M1" s="82" t="s">
        <v>140</v>
      </c>
      <c r="N1" s="70" t="s">
        <v>144</v>
      </c>
    </row>
    <row r="2" spans="1:14" ht="56" x14ac:dyDescent="0.15">
      <c r="A2" s="71" t="s">
        <v>145</v>
      </c>
      <c r="B2" s="72">
        <v>41011</v>
      </c>
      <c r="C2" s="73" t="str">
        <f ca="1">VLOOKUP($B2,OFFSET([2]quests!$A$1,0,0,COUNTA([2]quests!$A:$A),MATCH(C$1,[2]quests!$1:$1,0)-MATCH($B$1,[2]quests!$1:$1,0)+1),MATCH(C$1,[2]quests!$1:$1,0)-MATCH($B$1,[2]quests!$1:$1,0)+1,FALSE)</f>
        <v>ヨミ襲来！</v>
      </c>
      <c r="D2" s="73" t="str">
        <f ca="1">VLOOKUP($B2,OFFSET([2]quests!$A$1,0,0,COUNTA([2]quests!$A:$A),MATCH(D$1,[2]quests!$1:$1,0)-MATCH($B$1,[2]quests!$1:$1,0)+1),MATCH(D$1,[2]quests!$1:$1,0)-MATCH($B$1,[2]quests!$1:$1,0)+1,FALSE)</f>
        <v>降臨1</v>
      </c>
      <c r="E2" s="74">
        <v>1</v>
      </c>
      <c r="F2" s="7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【超絶級】ヨミ襲来</v>
      </c>
      <c r="G2" s="7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5">
        <v>2</v>
      </c>
      <c r="I2" s="80">
        <f>ROW()-1</f>
        <v>1</v>
      </c>
      <c r="J2" s="76" t="str">
        <f>B2&amp;TEXT(I2,"00")</f>
        <v>4101101</v>
      </c>
      <c r="K2" s="74" t="s">
        <v>350</v>
      </c>
      <c r="L2" s="77" t="s">
        <v>147</v>
      </c>
      <c r="M2" s="99" t="s">
        <v>393</v>
      </c>
      <c r="N2" s="48" t="s">
        <v>351</v>
      </c>
    </row>
    <row r="3" spans="1:14" ht="56" x14ac:dyDescent="0.15">
      <c r="A3" s="71" t="s">
        <v>145</v>
      </c>
      <c r="B3" s="72">
        <v>41011</v>
      </c>
      <c r="C3" s="73" t="str">
        <f ca="1">VLOOKUP($B3,OFFSET([2]quests!$A$1,0,0,COUNTA([2]quests!$A:$A),MATCH(C$1,[2]quests!$1:$1,0)-MATCH($B$1,[2]quests!$1:$1,0)+1),MATCH(C$1,[2]quests!$1:$1,0)-MATCH($B$1,[2]quests!$1:$1,0)+1,FALSE)</f>
        <v>ヨミ襲来！</v>
      </c>
      <c r="D3" s="73" t="str">
        <f ca="1">VLOOKUP($B3,OFFSET([2]quests!$A$1,0,0,COUNTA([2]quests!$A:$A),MATCH(D$1,[2]quests!$1:$1,0)-MATCH($B$1,[2]quests!$1:$1,0)+1),MATCH(D$1,[2]quests!$1:$1,0)-MATCH($B$1,[2]quests!$1:$1,0)+1,FALSE)</f>
        <v>降臨1</v>
      </c>
      <c r="E3" s="74">
        <v>1</v>
      </c>
      <c r="F3" s="7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【超絶級】ヨミ襲来</v>
      </c>
      <c r="G3" s="73" t="str">
        <f ca="1">VLOOKUP($B3&amp;"_"&amp;$E3,OFFSET([2]stages!$A$1,0,0,COUNTA([2]stages!$A:$A),MATCH(G$1,[2]stages!$2:$2,0)-MATCH("temp_stage",[2]stages!$2:$2,0)+1),MATCH(G$1,[2]stages!$2:$2,0)-MATCH("temp_stage",[2]stages!$2:$2,0)+1,FALSE)</f>
        <v>降臨1</v>
      </c>
      <c r="H3" s="75">
        <v>3</v>
      </c>
      <c r="I3" s="80">
        <f t="shared" ref="I3:I11" si="0">ROW()-1</f>
        <v>2</v>
      </c>
      <c r="J3" s="76" t="str">
        <f t="shared" ref="J3:J6" si="1">B3&amp;TEXT(I3,"00")</f>
        <v>4101102</v>
      </c>
      <c r="K3" s="74" t="s">
        <v>146</v>
      </c>
      <c r="L3" s="77" t="s">
        <v>147</v>
      </c>
      <c r="M3" s="99" t="s">
        <v>394</v>
      </c>
      <c r="N3" s="48" t="s">
        <v>148</v>
      </c>
    </row>
    <row r="4" spans="1:14" ht="56" x14ac:dyDescent="0.15">
      <c r="A4" s="71" t="s">
        <v>145</v>
      </c>
      <c r="B4" s="72">
        <v>41011</v>
      </c>
      <c r="C4" s="73" t="str">
        <f ca="1">VLOOKUP($B4,OFFSET([2]quests!$A$1,0,0,COUNTA([2]quests!$A:$A),MATCH(C$1,[2]quests!$1:$1,0)-MATCH($B$1,[2]quests!$1:$1,0)+1),MATCH(C$1,[2]quests!$1:$1,0)-MATCH($B$1,[2]quests!$1:$1,0)+1,FALSE)</f>
        <v>ヨミ襲来！</v>
      </c>
      <c r="D4" s="73" t="str">
        <f ca="1">VLOOKUP($B4,OFFSET([2]quests!$A$1,0,0,COUNTA([2]quests!$A:$A),MATCH(D$1,[2]quests!$1:$1,0)-MATCH($B$1,[2]quests!$1:$1,0)+1),MATCH(D$1,[2]quests!$1:$1,0)-MATCH($B$1,[2]quests!$1:$1,0)+1,FALSE)</f>
        <v>降臨1</v>
      </c>
      <c r="E4" s="74">
        <v>1</v>
      </c>
      <c r="F4" s="7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【超絶級】ヨミ襲来</v>
      </c>
      <c r="G4" s="73" t="str">
        <f ca="1">VLOOKUP($B4&amp;"_"&amp;$E4,OFFSET([2]stages!$A$1,0,0,COUNTA([2]stages!$A:$A),MATCH(G$1,[2]stages!$2:$2,0)-MATCH("temp_stage",[2]stages!$2:$2,0)+1),MATCH(G$1,[2]stages!$2:$2,0)-MATCH("temp_stage",[2]stages!$2:$2,0)+1,FALSE)</f>
        <v>降臨1</v>
      </c>
      <c r="H4" s="75">
        <v>4</v>
      </c>
      <c r="I4" s="80">
        <f t="shared" si="0"/>
        <v>3</v>
      </c>
      <c r="J4" s="76" t="str">
        <f t="shared" si="1"/>
        <v>4101103</v>
      </c>
      <c r="K4" s="74" t="s">
        <v>352</v>
      </c>
      <c r="L4" s="77" t="s">
        <v>147</v>
      </c>
      <c r="M4" s="99" t="s">
        <v>400</v>
      </c>
      <c r="N4" s="48" t="s">
        <v>353</v>
      </c>
    </row>
    <row r="5" spans="1:14" ht="70" x14ac:dyDescent="0.15">
      <c r="A5" s="71" t="s">
        <v>145</v>
      </c>
      <c r="B5" s="72">
        <v>41011</v>
      </c>
      <c r="C5" s="73" t="str">
        <f ca="1">VLOOKUP($B5,OFFSET([2]quests!$A$1,0,0,COUNTA([2]quests!$A:$A),MATCH(C$1,[2]quests!$1:$1,0)-MATCH($B$1,[2]quests!$1:$1,0)+1),MATCH(C$1,[2]quests!$1:$1,0)-MATCH($B$1,[2]quests!$1:$1,0)+1,FALSE)</f>
        <v>ヨミ襲来！</v>
      </c>
      <c r="D5" s="73" t="str">
        <f ca="1">VLOOKUP($B5,OFFSET([2]quests!$A$1,0,0,COUNTA([2]quests!$A:$A),MATCH(D$1,[2]quests!$1:$1,0)-MATCH($B$1,[2]quests!$1:$1,0)+1),MATCH(D$1,[2]quests!$1:$1,0)-MATCH($B$1,[2]quests!$1:$1,0)+1,FALSE)</f>
        <v>降臨1</v>
      </c>
      <c r="E5" s="74">
        <v>1</v>
      </c>
      <c r="F5" s="7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【超絶級】ヨミ襲来</v>
      </c>
      <c r="G5" s="73" t="str">
        <f ca="1">VLOOKUP($B5&amp;"_"&amp;$E5,OFFSET([2]stages!$A$1,0,0,COUNTA([2]stages!$A:$A),MATCH(G$1,[2]stages!$2:$2,0)-MATCH("temp_stage",[2]stages!$2:$2,0)+1),MATCH(G$1,[2]stages!$2:$2,0)-MATCH("temp_stage",[2]stages!$2:$2,0)+1,FALSE)</f>
        <v>降臨1</v>
      </c>
      <c r="H5" s="75">
        <v>4</v>
      </c>
      <c r="I5" s="80">
        <f t="shared" si="0"/>
        <v>4</v>
      </c>
      <c r="J5" s="76" t="str">
        <f t="shared" si="1"/>
        <v>4101104</v>
      </c>
      <c r="K5" s="74" t="s">
        <v>354</v>
      </c>
      <c r="L5" s="77" t="s">
        <v>147</v>
      </c>
      <c r="M5" s="99" t="s">
        <v>395</v>
      </c>
      <c r="N5" s="48" t="s">
        <v>355</v>
      </c>
    </row>
    <row r="6" spans="1:14" ht="56" x14ac:dyDescent="0.15">
      <c r="A6" s="71" t="s">
        <v>145</v>
      </c>
      <c r="B6" s="72">
        <v>41011</v>
      </c>
      <c r="C6" s="73" t="str">
        <f ca="1">VLOOKUP($B6,OFFSET([2]quests!$A$1,0,0,COUNTA([2]quests!$A:$A),MATCH(C$1,[2]quests!$1:$1,0)-MATCH($B$1,[2]quests!$1:$1,0)+1),MATCH(C$1,[2]quests!$1:$1,0)-MATCH($B$1,[2]quests!$1:$1,0)+1,FALSE)</f>
        <v>ヨミ襲来！</v>
      </c>
      <c r="D6" s="73" t="str">
        <f ca="1">VLOOKUP($B6,OFFSET([2]quests!$A$1,0,0,COUNTA([2]quests!$A:$A),MATCH(D$1,[2]quests!$1:$1,0)-MATCH($B$1,[2]quests!$1:$1,0)+1),MATCH(D$1,[2]quests!$1:$1,0)-MATCH($B$1,[2]quests!$1:$1,0)+1,FALSE)</f>
        <v>降臨1</v>
      </c>
      <c r="E6" s="74">
        <v>1</v>
      </c>
      <c r="F6" s="7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【超絶級】ヨミ襲来</v>
      </c>
      <c r="G6" s="73" t="str">
        <f ca="1">VLOOKUP($B6&amp;"_"&amp;$E6,OFFSET([2]stages!$A$1,0,0,COUNTA([2]stages!$A:$A),MATCH(G$1,[2]stages!$2:$2,0)-MATCH("temp_stage",[2]stages!$2:$2,0)+1),MATCH(G$1,[2]stages!$2:$2,0)-MATCH("temp_stage",[2]stages!$2:$2,0)+1,FALSE)</f>
        <v>降臨1</v>
      </c>
      <c r="H6" s="75">
        <v>4</v>
      </c>
      <c r="I6" s="80">
        <f t="shared" si="0"/>
        <v>5</v>
      </c>
      <c r="J6" s="76" t="str">
        <f t="shared" si="1"/>
        <v>4101105</v>
      </c>
      <c r="K6" s="74" t="s">
        <v>350</v>
      </c>
      <c r="L6" s="77" t="s">
        <v>147</v>
      </c>
      <c r="M6" s="99" t="s">
        <v>401</v>
      </c>
      <c r="N6" s="48" t="s">
        <v>351</v>
      </c>
    </row>
    <row r="7" spans="1:14" ht="56" x14ac:dyDescent="0.15">
      <c r="A7" s="71" t="s">
        <v>145</v>
      </c>
      <c r="B7" s="72">
        <v>41011</v>
      </c>
      <c r="C7" s="73" t="str">
        <f ca="1">VLOOKUP($B7,OFFSET([2]quests!$A$1,0,0,COUNTA([2]quests!$A:$A),MATCH(C$1,[2]quests!$1:$1,0)-MATCH($B$1,[2]quests!$1:$1,0)+1),MATCH(C$1,[2]quests!$1:$1,0)-MATCH($B$1,[2]quests!$1:$1,0)+1,FALSE)</f>
        <v>ヨミ襲来！</v>
      </c>
      <c r="D7" s="73" t="str">
        <f ca="1">VLOOKUP($B7,OFFSET([2]quests!$A$1,0,0,COUNTA([2]quests!$A:$A),MATCH(D$1,[2]quests!$1:$1,0)-MATCH($B$1,[2]quests!$1:$1,0)+1),MATCH(D$1,[2]quests!$1:$1,0)-MATCH($B$1,[2]quests!$1:$1,0)+1,FALSE)</f>
        <v>降臨1</v>
      </c>
      <c r="E7" s="74">
        <v>2</v>
      </c>
      <c r="F7" s="7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【ウィザード級】ヨミ襲来</v>
      </c>
      <c r="G7" s="73" t="str">
        <f ca="1">VLOOKUP($B7&amp;"_"&amp;$E7,OFFSET([2]stages!$A$1,0,0,COUNTA([2]stages!$A:$A),MATCH(G$1,[2]stages!$2:$2,0)-MATCH("temp_stage",[2]stages!$2:$2,0)+1),MATCH(G$1,[2]stages!$2:$2,0)-MATCH("temp_stage",[2]stages!$2:$2,0)+1,FALSE)</f>
        <v>降臨1</v>
      </c>
      <c r="H7" s="75">
        <v>2</v>
      </c>
      <c r="I7" s="80">
        <f>ROW()-1</f>
        <v>6</v>
      </c>
      <c r="J7" s="76" t="str">
        <f>B7&amp;TEXT(I7,"00")</f>
        <v>4101106</v>
      </c>
      <c r="K7" s="74" t="s">
        <v>265</v>
      </c>
      <c r="L7" s="77" t="s">
        <v>147</v>
      </c>
      <c r="M7" s="99" t="s">
        <v>396</v>
      </c>
      <c r="N7" s="48" t="s">
        <v>347</v>
      </c>
    </row>
    <row r="8" spans="1:14" ht="56" x14ac:dyDescent="0.15">
      <c r="A8" s="71" t="s">
        <v>145</v>
      </c>
      <c r="B8" s="72">
        <v>41011</v>
      </c>
      <c r="C8" s="73" t="str">
        <f ca="1">VLOOKUP($B8,OFFSET([2]quests!$A$1,0,0,COUNTA([2]quests!$A:$A),MATCH(C$1,[2]quests!$1:$1,0)-MATCH($B$1,[2]quests!$1:$1,0)+1),MATCH(C$1,[2]quests!$1:$1,0)-MATCH($B$1,[2]quests!$1:$1,0)+1,FALSE)</f>
        <v>ヨミ襲来！</v>
      </c>
      <c r="D8" s="73" t="str">
        <f ca="1">VLOOKUP($B8,OFFSET([2]quests!$A$1,0,0,COUNTA([2]quests!$A:$A),MATCH(D$1,[2]quests!$1:$1,0)-MATCH($B$1,[2]quests!$1:$1,0)+1),MATCH(D$1,[2]quests!$1:$1,0)-MATCH($B$1,[2]quests!$1:$1,0)+1,FALSE)</f>
        <v>降臨1</v>
      </c>
      <c r="E8" s="74">
        <v>2</v>
      </c>
      <c r="F8" s="7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【ウィザード級】ヨミ襲来</v>
      </c>
      <c r="G8" s="73" t="str">
        <f ca="1">VLOOKUP($B8&amp;"_"&amp;$E8,OFFSET([2]stages!$A$1,0,0,COUNTA([2]stages!$A:$A),MATCH(G$1,[2]stages!$2:$2,0)-MATCH("temp_stage",[2]stages!$2:$2,0)+1),MATCH(G$1,[2]stages!$2:$2,0)-MATCH("temp_stage",[2]stages!$2:$2,0)+1,FALSE)</f>
        <v>降臨1</v>
      </c>
      <c r="H8" s="75">
        <v>3</v>
      </c>
      <c r="I8" s="80">
        <f t="shared" si="0"/>
        <v>7</v>
      </c>
      <c r="J8" s="76" t="str">
        <f t="shared" ref="J8:J11" si="2">B8&amp;TEXT(I8,"00")</f>
        <v>4101107</v>
      </c>
      <c r="K8" s="74" t="s">
        <v>146</v>
      </c>
      <c r="L8" s="77" t="s">
        <v>147</v>
      </c>
      <c r="M8" s="99" t="s">
        <v>397</v>
      </c>
      <c r="N8" s="48" t="s">
        <v>148</v>
      </c>
    </row>
    <row r="9" spans="1:14" ht="56" x14ac:dyDescent="0.15">
      <c r="A9" s="71" t="s">
        <v>145</v>
      </c>
      <c r="B9" s="72">
        <v>41011</v>
      </c>
      <c r="C9" s="73" t="str">
        <f ca="1">VLOOKUP($B9,OFFSET([2]quests!$A$1,0,0,COUNTA([2]quests!$A:$A),MATCH(C$1,[2]quests!$1:$1,0)-MATCH($B$1,[2]quests!$1:$1,0)+1),MATCH(C$1,[2]quests!$1:$1,0)-MATCH($B$1,[2]quests!$1:$1,0)+1,FALSE)</f>
        <v>ヨミ襲来！</v>
      </c>
      <c r="D9" s="73" t="str">
        <f ca="1">VLOOKUP($B9,OFFSET([2]quests!$A$1,0,0,COUNTA([2]quests!$A:$A),MATCH(D$1,[2]quests!$1:$1,0)-MATCH($B$1,[2]quests!$1:$1,0)+1),MATCH(D$1,[2]quests!$1:$1,0)-MATCH($B$1,[2]quests!$1:$1,0)+1,FALSE)</f>
        <v>降臨1</v>
      </c>
      <c r="E9" s="74">
        <v>2</v>
      </c>
      <c r="F9" s="7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【ウィザード級】ヨミ襲来</v>
      </c>
      <c r="G9" s="73" t="str">
        <f ca="1">VLOOKUP($B9&amp;"_"&amp;$E9,OFFSET([2]stages!$A$1,0,0,COUNTA([2]stages!$A:$A),MATCH(G$1,[2]stages!$2:$2,0)-MATCH("temp_stage",[2]stages!$2:$2,0)+1),MATCH(G$1,[2]stages!$2:$2,0)-MATCH("temp_stage",[2]stages!$2:$2,0)+1,FALSE)</f>
        <v>降臨1</v>
      </c>
      <c r="H9" s="75">
        <v>4</v>
      </c>
      <c r="I9" s="80">
        <f t="shared" si="0"/>
        <v>8</v>
      </c>
      <c r="J9" s="76" t="str">
        <f t="shared" si="2"/>
        <v>4101108</v>
      </c>
      <c r="K9" s="74" t="s">
        <v>265</v>
      </c>
      <c r="L9" s="77" t="s">
        <v>147</v>
      </c>
      <c r="M9" s="99" t="s">
        <v>398</v>
      </c>
      <c r="N9" s="48" t="s">
        <v>347</v>
      </c>
    </row>
    <row r="10" spans="1:14" ht="70" x14ac:dyDescent="0.15">
      <c r="A10" s="71" t="s">
        <v>145</v>
      </c>
      <c r="B10" s="72">
        <v>41011</v>
      </c>
      <c r="C10" s="73" t="str">
        <f ca="1">VLOOKUP($B10,OFFSET([2]quests!$A$1,0,0,COUNTA([2]quests!$A:$A),MATCH(C$1,[2]quests!$1:$1,0)-MATCH($B$1,[2]quests!$1:$1,0)+1),MATCH(C$1,[2]quests!$1:$1,0)-MATCH($B$1,[2]quests!$1:$1,0)+1,FALSE)</f>
        <v>ヨミ襲来！</v>
      </c>
      <c r="D10" s="73" t="str">
        <f ca="1">VLOOKUP($B10,OFFSET([2]quests!$A$1,0,0,COUNTA([2]quests!$A:$A),MATCH(D$1,[2]quests!$1:$1,0)-MATCH($B$1,[2]quests!$1:$1,0)+1),MATCH(D$1,[2]quests!$1:$1,0)-MATCH($B$1,[2]quests!$1:$1,0)+1,FALSE)</f>
        <v>降臨1</v>
      </c>
      <c r="E10" s="74">
        <v>2</v>
      </c>
      <c r="F10" s="7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【ウィザード級】ヨミ襲来</v>
      </c>
      <c r="G10" s="73" t="str">
        <f ca="1">VLOOKUP($B10&amp;"_"&amp;$E10,OFFSET([2]stages!$A$1,0,0,COUNTA([2]stages!$A:$A),MATCH(G$1,[2]stages!$2:$2,0)-MATCH("temp_stage",[2]stages!$2:$2,0)+1),MATCH(G$1,[2]stages!$2:$2,0)-MATCH("temp_stage",[2]stages!$2:$2,0)+1,FALSE)</f>
        <v>降臨1</v>
      </c>
      <c r="H10" s="75">
        <v>4</v>
      </c>
      <c r="I10" s="80">
        <f t="shared" si="0"/>
        <v>9</v>
      </c>
      <c r="J10" s="76" t="str">
        <f t="shared" si="2"/>
        <v>4101109</v>
      </c>
      <c r="K10" s="74" t="s">
        <v>265</v>
      </c>
      <c r="L10" s="77" t="s">
        <v>147</v>
      </c>
      <c r="M10" s="99" t="s">
        <v>399</v>
      </c>
      <c r="N10" s="48" t="s">
        <v>347</v>
      </c>
    </row>
    <row r="11" spans="1:14" ht="56" x14ac:dyDescent="0.15">
      <c r="A11" s="71" t="s">
        <v>145</v>
      </c>
      <c r="B11" s="72">
        <v>41011</v>
      </c>
      <c r="C11" s="73" t="str">
        <f ca="1">VLOOKUP($B11,OFFSET([2]quests!$A$1,0,0,COUNTA([2]quests!$A:$A),MATCH(C$1,[2]quests!$1:$1,0)-MATCH($B$1,[2]quests!$1:$1,0)+1),MATCH(C$1,[2]quests!$1:$1,0)-MATCH($B$1,[2]quests!$1:$1,0)+1,FALSE)</f>
        <v>ヨミ襲来！</v>
      </c>
      <c r="D11" s="73" t="str">
        <f ca="1">VLOOKUP($B11,OFFSET([2]quests!$A$1,0,0,COUNTA([2]quests!$A:$A),MATCH(D$1,[2]quests!$1:$1,0)-MATCH($B$1,[2]quests!$1:$1,0)+1),MATCH(D$1,[2]quests!$1:$1,0)-MATCH($B$1,[2]quests!$1:$1,0)+1,FALSE)</f>
        <v>降臨1</v>
      </c>
      <c r="E11" s="74">
        <v>2</v>
      </c>
      <c r="F11" s="7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【ウィザード級】ヨミ襲来</v>
      </c>
      <c r="G11" s="73" t="str">
        <f ca="1">VLOOKUP($B11&amp;"_"&amp;$E11,OFFSET([2]stages!$A$1,0,0,COUNTA([2]stages!$A:$A),MATCH(G$1,[2]stages!$2:$2,0)-MATCH("temp_stage",[2]stages!$2:$2,0)+1),MATCH(G$1,[2]stages!$2:$2,0)-MATCH("temp_stage",[2]stages!$2:$2,0)+1,FALSE)</f>
        <v>降臨1</v>
      </c>
      <c r="H11" s="75">
        <v>4</v>
      </c>
      <c r="I11" s="80">
        <f t="shared" si="0"/>
        <v>10</v>
      </c>
      <c r="J11" s="76" t="str">
        <f t="shared" si="2"/>
        <v>4101110</v>
      </c>
      <c r="K11" s="74" t="s">
        <v>265</v>
      </c>
      <c r="L11" s="77" t="s">
        <v>147</v>
      </c>
      <c r="M11" s="99" t="s">
        <v>401</v>
      </c>
      <c r="N11" s="48" t="s">
        <v>347</v>
      </c>
    </row>
    <row r="15" spans="1:14" x14ac:dyDescent="0.15">
      <c r="L15" s="100"/>
    </row>
  </sheetData>
  <phoneticPr fontId="5"/>
  <dataValidations count="1">
    <dataValidation type="list" allowBlank="1" showInputMessage="1" showErrorMessage="1" sqref="A2:A1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A3" sqref="A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6" t="s">
        <v>161</v>
      </c>
      <c r="B1" s="87" t="s">
        <v>162</v>
      </c>
      <c r="C1" s="67" t="s">
        <v>163</v>
      </c>
      <c r="D1" s="67" t="s">
        <v>20</v>
      </c>
      <c r="E1" s="87" t="s">
        <v>164</v>
      </c>
      <c r="F1" s="67" t="s">
        <v>165</v>
      </c>
      <c r="G1" s="67" t="s">
        <v>20</v>
      </c>
      <c r="H1" s="87" t="s">
        <v>166</v>
      </c>
      <c r="I1" s="87" t="s">
        <v>167</v>
      </c>
      <c r="J1" s="87" t="s">
        <v>168</v>
      </c>
      <c r="K1" s="63" t="s">
        <v>169</v>
      </c>
      <c r="L1" s="63" t="s">
        <v>170</v>
      </c>
      <c r="M1" s="63" t="s">
        <v>111</v>
      </c>
      <c r="N1" s="67" t="s">
        <v>15</v>
      </c>
      <c r="O1" s="63" t="s">
        <v>171</v>
      </c>
      <c r="P1" s="63" t="s">
        <v>42</v>
      </c>
      <c r="Q1" s="63" t="s">
        <v>172</v>
      </c>
      <c r="R1" s="63" t="s">
        <v>24</v>
      </c>
      <c r="S1" s="63" t="s">
        <v>26</v>
      </c>
      <c r="T1" s="63" t="s">
        <v>28</v>
      </c>
      <c r="U1" s="63" t="s">
        <v>30</v>
      </c>
      <c r="V1" s="63" t="s">
        <v>32</v>
      </c>
      <c r="W1" s="63" t="s">
        <v>173</v>
      </c>
      <c r="X1" s="63" t="s">
        <v>174</v>
      </c>
    </row>
    <row r="2" spans="1:24" x14ac:dyDescent="0.15">
      <c r="A2" s="88" t="str">
        <f>B2&amp;"_"&amp;E2&amp;"_"&amp;H2&amp;"_"&amp;I2&amp;"_"&amp;J2</f>
        <v>41011_2_everyone_no_continue_1</v>
      </c>
      <c r="B2" s="95">
        <v>41011</v>
      </c>
      <c r="C2" s="73" t="str">
        <f ca="1">VLOOKUP($B2,OFFSET([2]quests!$A$1,0,0,COUNTA([2]quests!$A:$A),MATCH(C$1,[2]quests!$1:$1,0)-MATCH($B$1,[2]quests!$1:$1,0)+1),MATCH(C$1,[2]quests!$1:$1,0)-MATCH($B$1,[2]quests!$1:$1,0)+1,FALSE)</f>
        <v>ヨミ襲来！</v>
      </c>
      <c r="D2" s="73" t="str">
        <f ca="1">VLOOKUP($B2,OFFSET([2]quests!$A$1,0,0,COUNTA([2]quests!$A:$A),MATCH(D$1,[2]quests!$1:$1,0)-MATCH($B$1,[2]quests!$1:$1,0)+1),MATCH(D$1,[2]quests!$1:$1,0)-MATCH($B$1,[2]quests!$1:$1,0)+1,FALSE)</f>
        <v>降臨1</v>
      </c>
      <c r="E2" s="74">
        <v>2</v>
      </c>
      <c r="F2" s="7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【ウィザード級】ヨミ襲来</v>
      </c>
      <c r="G2" s="73" t="str">
        <f ca="1">VLOOKUP($B2&amp;"_"&amp;$E2,OFFSET([2]stages!$A$1,0,0,COUNTA([2]stages!$A:$A),MATCH(G$1,[2]stages!$2:$2,0)-MATCH("temp_stage",[2]stages!$2:$2,0)+1),MATCH(G$1,[2]stages!$2:$2,0)-MATCH("temp_stage",[2]stages!$2:$2,0)+1,FALSE)</f>
        <v>降臨1</v>
      </c>
      <c r="H2" s="75" t="s">
        <v>372</v>
      </c>
      <c r="I2" s="74" t="s">
        <v>373</v>
      </c>
      <c r="J2" s="74">
        <v>1</v>
      </c>
      <c r="K2" s="74">
        <v>100</v>
      </c>
      <c r="L2" s="106" t="s">
        <v>374</v>
      </c>
      <c r="M2" s="71">
        <v>654</v>
      </c>
      <c r="N2" s="89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酒呑童子 ヨミ</v>
      </c>
      <c r="O2" s="74">
        <v>1</v>
      </c>
      <c r="P2" s="74">
        <v>1</v>
      </c>
      <c r="Q2" s="74">
        <v>1</v>
      </c>
      <c r="R2" s="74">
        <v>0</v>
      </c>
      <c r="S2" s="74">
        <v>0</v>
      </c>
      <c r="T2" s="74">
        <v>0</v>
      </c>
      <c r="U2" s="74">
        <v>0</v>
      </c>
      <c r="V2" s="74">
        <v>1</v>
      </c>
      <c r="W2" s="90" t="s">
        <v>375</v>
      </c>
      <c r="X2" s="91" t="s">
        <v>376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2016-07-26T01:56:41Z</dcterms:modified>
</cp:coreProperties>
</file>