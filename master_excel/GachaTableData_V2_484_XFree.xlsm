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firstSheet="1" activeTab="4"/>
  </bookViews>
  <sheets>
    <sheet name="確率の考え方" sheetId="110" r:id="rId1"/>
    <sheet name="Sheet1" sheetId="107" r:id="rId2"/>
    <sheet name="output" sheetId="103" r:id="rId3"/>
    <sheet name="input_484100" sheetId="153" r:id="rId4"/>
    <sheet name="tables_484100" sheetId="154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tables_484100!$A$1:$V$294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E23" i="153"/>
  <c r="B23" i="153"/>
  <c r="A2" i="153"/>
  <c r="F5" i="153"/>
  <c r="A36" i="153"/>
  <c r="E26" i="153"/>
  <c r="B26" i="153"/>
  <c r="G26" i="153"/>
  <c r="H26" i="153"/>
  <c r="O44" i="154"/>
  <c r="O47" i="154"/>
  <c r="O50" i="154"/>
  <c r="E5" i="153"/>
  <c r="E28" i="153"/>
  <c r="B28" i="153"/>
  <c r="E29" i="153"/>
  <c r="B29" i="153"/>
  <c r="B21" i="153"/>
  <c r="G21" i="153"/>
  <c r="E21" i="153"/>
  <c r="H21" i="153"/>
  <c r="O53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O45" i="154"/>
  <c r="O46" i="154"/>
  <c r="O48" i="154"/>
  <c r="O49" i="154"/>
  <c r="G19" i="153"/>
  <c r="H19" i="153"/>
  <c r="O51" i="154"/>
  <c r="G20" i="153"/>
  <c r="H20" i="153"/>
  <c r="O52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3" i="153"/>
  <c r="O341" i="154"/>
  <c r="R4" i="153"/>
  <c r="O342" i="154"/>
  <c r="R5" i="153"/>
  <c r="O343" i="154"/>
  <c r="R6" i="153"/>
  <c r="O344" i="154"/>
  <c r="R7" i="153"/>
  <c r="O345" i="154"/>
  <c r="R8" i="153"/>
  <c r="O346" i="154"/>
  <c r="R9" i="153"/>
  <c r="O347" i="154"/>
  <c r="R10" i="153"/>
  <c r="O348" i="154"/>
  <c r="R11" i="153"/>
  <c r="O349" i="154"/>
  <c r="R12" i="153"/>
  <c r="O350" i="154"/>
  <c r="R13" i="153"/>
  <c r="O351" i="154"/>
  <c r="F42" i="153"/>
  <c r="G42" i="153"/>
  <c r="F35" i="153"/>
  <c r="F41" i="153"/>
  <c r="G41" i="153"/>
  <c r="F34" i="153"/>
  <c r="B6" i="153"/>
  <c r="F349" i="154"/>
  <c r="H349" i="154"/>
  <c r="K349" i="154"/>
  <c r="L349" i="154"/>
  <c r="M349" i="154"/>
  <c r="N349" i="154"/>
  <c r="F350" i="154"/>
  <c r="F351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A349" i="154"/>
  <c r="A350" i="154"/>
  <c r="A351" i="154"/>
  <c r="F341" i="154"/>
  <c r="H341" i="154"/>
  <c r="K341" i="154"/>
  <c r="L341" i="154"/>
  <c r="M341" i="154"/>
  <c r="N341" i="154"/>
  <c r="F342" i="154"/>
  <c r="F343" i="154"/>
  <c r="F344" i="154"/>
  <c r="F345" i="154"/>
  <c r="F346" i="154"/>
  <c r="F347" i="154"/>
  <c r="F348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A341" i="154"/>
  <c r="A342" i="154"/>
  <c r="A343" i="154"/>
  <c r="A344" i="154"/>
  <c r="A345" i="154"/>
  <c r="A346" i="154"/>
  <c r="A347" i="154"/>
  <c r="A348" i="154"/>
  <c r="F336" i="154"/>
  <c r="H336" i="154"/>
  <c r="K336" i="154"/>
  <c r="L336" i="154"/>
  <c r="M336" i="154"/>
  <c r="N336" i="154"/>
  <c r="F337" i="154"/>
  <c r="F338" i="154"/>
  <c r="F339" i="154"/>
  <c r="F340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B30" i="153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<sst xmlns="http://schemas.openxmlformats.org/spreadsheetml/2006/main" count="449" uniqueCount="282">
  <si>
    <t>character_id</t>
  </si>
  <si>
    <t>character_id</t>
    <phoneticPr fontId="23"/>
  </si>
  <si>
    <t>weight</t>
    <phoneticPr fontId="2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</si>
  <si>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</si>
  <si>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</si>
  <si>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</si>
  <si>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</si>
  <si>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</si>
  <si>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</si>
  <si>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</si>
  <si>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3"/>
  </si>
  <si>
    <t>bonus_table_no</t>
    <phoneticPr fontId="23"/>
  </si>
  <si>
    <t>weight</t>
    <phoneticPr fontId="23"/>
  </si>
  <si>
    <t>gift_id</t>
    <phoneticPr fontId="23"/>
  </si>
  <si>
    <t>gift_id</t>
    <phoneticPr fontId="23"/>
  </si>
  <si>
    <t>gift_type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</si>
  <si>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</si>
  <si>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</si>
  <si>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</si>
  <si>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</si>
  <si>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</si>
  <si>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</si>
  <si>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gift_id</t>
    <phoneticPr fontId="23"/>
  </si>
  <si>
    <t>gift_value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</si>
  <si>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</si>
  <si>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</si>
  <si>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</si>
  <si>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</si>
  <si>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</si>
  <si>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</si>
  <si>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gift_type</t>
    <phoneticPr fontId="23"/>
  </si>
  <si>
    <t>備考</t>
    <rPh sb="0" eb="2">
      <t>ビコウ</t>
    </rPh>
    <phoneticPr fontId="23"/>
  </si>
  <si>
    <t>character_id</t>
    <phoneticPr fontId="23"/>
  </si>
  <si>
    <t>name</t>
    <phoneticPr fontId="23"/>
  </si>
  <si>
    <t>drop_label</t>
    <phoneticPr fontId="23"/>
  </si>
  <si>
    <t>rare</t>
    <phoneticPr fontId="23"/>
  </si>
  <si>
    <t>character_type_id</t>
    <phoneticPr fontId="23"/>
  </si>
  <si>
    <t>character_tribe_id</t>
    <phoneticPr fontId="23"/>
  </si>
  <si>
    <t>unit_level</t>
    <phoneticPr fontId="23"/>
  </si>
  <si>
    <t>接頭語</t>
    <rPh sb="0" eb="3">
      <t>セットウゴ</t>
    </rPh>
    <phoneticPr fontId="56"/>
  </si>
  <si>
    <t>識別子</t>
    <rPh sb="0" eb="3">
      <t>シキベツシ</t>
    </rPh>
    <phoneticPr fontId="56"/>
  </si>
  <si>
    <t>形式</t>
    <rPh sb="0" eb="2">
      <t>ケイシキ</t>
    </rPh>
    <phoneticPr fontId="56"/>
  </si>
  <si>
    <t>出力ファイル名</t>
    <rPh sb="0" eb="2">
      <t>シュツリョク</t>
    </rPh>
    <rPh sb="6" eb="7">
      <t>メイ</t>
    </rPh>
    <phoneticPr fontId="56"/>
  </si>
  <si>
    <t>入力シート名</t>
    <rPh sb="0" eb="2">
      <t>ニュウリョク</t>
    </rPh>
    <rPh sb="5" eb="6">
      <t>メイ</t>
    </rPh>
    <phoneticPr fontId="56"/>
  </si>
  <si>
    <t>出力データ</t>
    <rPh sb="0" eb="2">
      <t>シュツリョク</t>
    </rPh>
    <phoneticPr fontId="56"/>
  </si>
  <si>
    <t>.tmp</t>
    <phoneticPr fontId="56"/>
  </si>
  <si>
    <t>.tmp</t>
    <phoneticPr fontId="56"/>
  </si>
  <si>
    <t>gacha_bonus_tables</t>
    <phoneticPr fontId="56"/>
  </si>
  <si>
    <t>gifts_tmp_</t>
    <phoneticPr fontId="23"/>
  </si>
  <si>
    <t>gifts_i18n_</t>
    <phoneticPr fontId="2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</si>
  <si>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3"/>
  </si>
  <si>
    <t>出力flg</t>
    <rPh sb="0" eb="2">
      <t>シュツリョク</t>
    </rPh>
    <phoneticPr fontId="56"/>
  </si>
  <si>
    <t>color</t>
    <phoneticPr fontId="23"/>
  </si>
  <si>
    <t>レアリティ別確率</t>
    <rPh sb="5" eb="6">
      <t>ベツ</t>
    </rPh>
    <rPh sb="6" eb="8">
      <t>カクリツ</t>
    </rPh>
    <phoneticPr fontId="23"/>
  </si>
  <si>
    <t>ラベル別確率</t>
    <rPh sb="3" eb="4">
      <t>ベツ</t>
    </rPh>
    <rPh sb="4" eb="6">
      <t>カクリツ</t>
    </rPh>
    <phoneticPr fontId="23"/>
  </si>
  <si>
    <t>SSS</t>
    <phoneticPr fontId="23"/>
  </si>
  <si>
    <t>SS</t>
    <phoneticPr fontId="23"/>
  </si>
  <si>
    <t>ラベル*レアリティ標準確率</t>
    <rPh sb="9" eb="11">
      <t>ヒョウジュン</t>
    </rPh>
    <rPh sb="11" eb="13">
      <t>カクリツ</t>
    </rPh>
    <phoneticPr fontId="23"/>
  </si>
  <si>
    <t>性別</t>
    <rPh sb="0" eb="2">
      <t>セイベツ</t>
    </rPh>
    <phoneticPr fontId="23"/>
  </si>
  <si>
    <t>合計</t>
    <rPh sb="0" eb="2">
      <t>ゴウケイ</t>
    </rPh>
    <phoneticPr fontId="23"/>
  </si>
  <si>
    <t>グループ</t>
    <phoneticPr fontId="23"/>
  </si>
  <si>
    <t>ピックアップ確率</t>
    <rPh sb="6" eb="8">
      <t>カクリツ</t>
    </rPh>
    <phoneticPr fontId="23"/>
  </si>
  <si>
    <t>残り確率</t>
    <rPh sb="0" eb="1">
      <t>ノコ</t>
    </rPh>
    <rPh sb="2" eb="4">
      <t>カクリツ</t>
    </rPh>
    <phoneticPr fontId="23"/>
  </si>
  <si>
    <t>確率</t>
    <rPh sb="0" eb="2">
      <t>カクリツ</t>
    </rPh>
    <phoneticPr fontId="23"/>
  </si>
  <si>
    <t>所属グループ</t>
    <rPh sb="0" eb="2">
      <t>ショゾク</t>
    </rPh>
    <phoneticPr fontId="23"/>
  </si>
  <si>
    <t>名前</t>
    <rPh sb="0" eb="2">
      <t>ナマエ</t>
    </rPh>
    <phoneticPr fontId="23"/>
  </si>
  <si>
    <t>レアリティ</t>
    <phoneticPr fontId="23"/>
  </si>
  <si>
    <t>ラベル</t>
    <phoneticPr fontId="23"/>
  </si>
  <si>
    <t>R3</t>
    <phoneticPr fontId="23"/>
  </si>
  <si>
    <t>R4</t>
    <phoneticPr fontId="23"/>
  </si>
  <si>
    <t>R5</t>
    <phoneticPr fontId="23"/>
  </si>
  <si>
    <t>個別確率</t>
    <rPh sb="0" eb="4">
      <t>コベツカクリツ</t>
    </rPh>
    <phoneticPr fontId="23"/>
  </si>
  <si>
    <t>該当数(ピックアップ除く)</t>
    <rPh sb="0" eb="2">
      <t>ガイトウ</t>
    </rPh>
    <rPh sb="2" eb="3">
      <t>スウ</t>
    </rPh>
    <rPh sb="10" eb="11">
      <t>ノゾ</t>
    </rPh>
    <phoneticPr fontId="23"/>
  </si>
  <si>
    <t>個別weight</t>
    <rPh sb="0" eb="2">
      <t>コベツ</t>
    </rPh>
    <phoneticPr fontId="23"/>
  </si>
  <si>
    <t>グループweight</t>
    <phoneticPr fontId="23"/>
  </si>
  <si>
    <t>端数</t>
    <rPh sb="0" eb="2">
      <t>ハスウ</t>
    </rPh>
    <phoneticPr fontId="23"/>
  </si>
  <si>
    <t>--検算用--</t>
    <rPh sb="3" eb="6">
      <t>ケンザンヨウ</t>
    </rPh>
    <phoneticPr fontId="23"/>
  </si>
  <si>
    <t>端数逆数</t>
    <rPh sb="0" eb="2">
      <t>ハスウ</t>
    </rPh>
    <rPh sb="2" eb="4">
      <t>ギャクスウ</t>
    </rPh>
    <phoneticPr fontId="23"/>
  </si>
  <si>
    <t>テーブルを増やしたい場合</t>
    <rPh sb="5" eb="6">
      <t>フ</t>
    </rPh>
    <rPh sb="10" eb="12">
      <t>バアイ</t>
    </rPh>
    <phoneticPr fontId="2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</si>
  <si>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</si>
  <si>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3"/>
  </si>
  <si>
    <t>３．outputシートで２で作ったtablesを指定する</t>
    <rPh sb="14" eb="15">
      <t>ツク</t>
    </rPh>
    <rPh sb="24" eb="26">
      <t>シテイ</t>
    </rPh>
    <phoneticPr fontId="23"/>
  </si>
  <si>
    <t>テーブルid</t>
    <phoneticPr fontId="23"/>
  </si>
  <si>
    <t>→ピックアップの確率は右のほうにいます</t>
    <rPh sb="8" eb="10">
      <t>カクリツ</t>
    </rPh>
    <rPh sb="11" eb="12">
      <t>ミギ</t>
    </rPh>
    <phoneticPr fontId="23"/>
  </si>
  <si>
    <t>table_no</t>
    <phoneticPr fontId="23"/>
  </si>
  <si>
    <t>table_no</t>
    <phoneticPr fontId="23"/>
  </si>
  <si>
    <t>skill_level</t>
  </si>
  <si>
    <t>level</t>
  </si>
  <si>
    <t>hp_plus</t>
    <phoneticPr fontId="56"/>
  </si>
  <si>
    <t>attack_plus</t>
    <phoneticPr fontId="56"/>
  </si>
  <si>
    <t>heal_plus</t>
    <phoneticPr fontId="56"/>
  </si>
  <si>
    <t>defense_plus</t>
    <phoneticPr fontId="56"/>
  </si>
  <si>
    <t>level</t>
    <phoneticPr fontId="56"/>
  </si>
  <si>
    <t>skill_level</t>
    <phoneticPr fontId="56"/>
  </si>
  <si>
    <t>bug</t>
    <phoneticPr fontId="56"/>
  </si>
  <si>
    <t>drop_label2</t>
    <phoneticPr fontId="23"/>
  </si>
  <si>
    <t>Premium</t>
    <phoneticPr fontId="23"/>
  </si>
  <si>
    <t>Premium3</t>
    <phoneticPr fontId="23"/>
  </si>
  <si>
    <t>Premium4</t>
    <phoneticPr fontId="23"/>
  </si>
  <si>
    <t>Premium5</t>
    <phoneticPr fontId="23"/>
  </si>
  <si>
    <t>グループ確率</t>
    <rPh sb="4" eb="6">
      <t>カクリツ</t>
    </rPh>
    <phoneticPr fontId="23"/>
  </si>
  <si>
    <t>レア度別確率</t>
    <rPh sb="2" eb="4">
      <t>ドベツ</t>
    </rPh>
    <rPh sb="4" eb="6">
      <t>カクリツ</t>
    </rPh>
    <phoneticPr fontId="23"/>
  </si>
  <si>
    <t>color2</t>
    <phoneticPr fontId="23"/>
  </si>
  <si>
    <t>Premium3</t>
  </si>
  <si>
    <t>Premium4</t>
  </si>
  <si>
    <t>Premium5</t>
  </si>
  <si>
    <t>PremiumSS4</t>
    <phoneticPr fontId="23"/>
  </si>
  <si>
    <t>PremiumSS5</t>
    <phoneticPr fontId="23"/>
  </si>
  <si>
    <t>PremiumSSS5</t>
    <phoneticPr fontId="23"/>
  </si>
  <si>
    <t>PremiumSSS4</t>
    <phoneticPr fontId="23"/>
  </si>
  <si>
    <t>gacha_select_tables_</t>
    <phoneticPr fontId="23"/>
  </si>
  <si>
    <t>ラベル確率で考えましょう</t>
    <rPh sb="6" eb="7">
      <t>カンガエマショウ</t>
    </rPh>
    <phoneticPr fontId="56"/>
  </si>
  <si>
    <t>ラベル</t>
    <phoneticPr fontId="56"/>
  </si>
  <si>
    <t>レアリティ</t>
    <phoneticPr fontId="56"/>
  </si>
  <si>
    <t>{W}</t>
    <phoneticPr fontId="56"/>
  </si>
  <si>
    <t>{N,S}</t>
    <phoneticPr fontId="56"/>
  </si>
  <si>
    <t>{N,S}R3less</t>
    <phoneticPr fontId="56"/>
  </si>
  <si>
    <t>{N,S}R6release</t>
    <phoneticPr fontId="56"/>
  </si>
  <si>
    <t>{SS}</t>
    <phoneticPr fontId="56"/>
  </si>
  <si>
    <t>{SS}R6only</t>
    <phoneticPr fontId="56"/>
  </si>
  <si>
    <t>小計</t>
    <rPh sb="0" eb="2">
      <t>ショウケイ</t>
    </rPh>
    <phoneticPr fontId="56"/>
  </si>
  <si>
    <t>A</t>
    <phoneticPr fontId="56"/>
  </si>
  <si>
    <t>C</t>
    <phoneticPr fontId="56"/>
  </si>
  <si>
    <t>H</t>
    <phoneticPr fontId="56"/>
  </si>
  <si>
    <t>B</t>
    <phoneticPr fontId="56"/>
  </si>
  <si>
    <t>D</t>
    <phoneticPr fontId="56"/>
  </si>
  <si>
    <t>F</t>
    <phoneticPr fontId="56"/>
  </si>
  <si>
    <t>I</t>
    <phoneticPr fontId="56"/>
  </si>
  <si>
    <t>K</t>
    <phoneticPr fontId="56"/>
  </si>
  <si>
    <t>E</t>
    <phoneticPr fontId="56"/>
  </si>
  <si>
    <t>G</t>
    <phoneticPr fontId="56"/>
  </si>
  <si>
    <t>J</t>
    <phoneticPr fontId="56"/>
  </si>
  <si>
    <t>L</t>
    <phoneticPr fontId="56"/>
  </si>
  <si>
    <t>M</t>
    <phoneticPr fontId="56"/>
  </si>
  <si>
    <t>→</t>
    <phoneticPr fontId="56"/>
  </si>
  <si>
    <t>1-SS率</t>
    <rPh sb="4" eb="5">
      <t>リツ</t>
    </rPh>
    <phoneticPr fontId="56"/>
  </si>
  <si>
    <t>SS率</t>
    <rPh sb="2" eb="3">
      <t>リツ</t>
    </rPh>
    <phoneticPr fontId="56"/>
  </si>
  <si>
    <t>考え方を変える</t>
    <rPh sb="0" eb="1">
      <t>カンガエカタ</t>
    </rPh>
    <rPh sb="4" eb="5">
      <t>カエル</t>
    </rPh>
    <phoneticPr fontId="56"/>
  </si>
  <si>
    <t>SS4%は確定事項</t>
    <rPh sb="5" eb="7">
      <t>カクテイ</t>
    </rPh>
    <rPh sb="7" eb="9">
      <t>ジコウ</t>
    </rPh>
    <phoneticPr fontId="56"/>
  </si>
  <si>
    <t>当たりは分配</t>
    <rPh sb="0" eb="1">
      <t>アタリ</t>
    </rPh>
    <rPh sb="4" eb="6">
      <t>ブンパイ</t>
    </rPh>
    <phoneticPr fontId="5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</si>
  <si>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6"/>
  </si>
  <si>
    <t>=</t>
    <phoneticPr fontId="56"/>
  </si>
  <si>
    <t>X*{SS R5only}</t>
    <phoneticPr fontId="56"/>
  </si>
  <si>
    <t>K</t>
    <phoneticPr fontId="56"/>
  </si>
  <si>
    <t>=</t>
    <phoneticPr fontId="56"/>
  </si>
  <si>
    <t>X*{SS}*(R3率+R4率)</t>
    <rPh sb="10" eb="11">
      <t>リツ</t>
    </rPh>
    <rPh sb="14" eb="15">
      <t>リツ</t>
    </rPh>
    <phoneticPr fontId="56"/>
  </si>
  <si>
    <t>L</t>
    <phoneticPr fontId="56"/>
  </si>
  <si>
    <t>X*{SS}*R5率</t>
    <rPh sb="9" eb="10">
      <t>リツ</t>
    </rPh>
    <phoneticPr fontId="56"/>
  </si>
  <si>
    <t>X*{R6release}*R3率</t>
    <rPh sb="16" eb="17">
      <t>リツ</t>
    </rPh>
    <phoneticPr fontId="56"/>
  </si>
  <si>
    <t>X*{R6release}*R4率</t>
    <rPh sb="16" eb="17">
      <t>リツ</t>
    </rPh>
    <phoneticPr fontId="56"/>
  </si>
  <si>
    <t>J</t>
    <phoneticPr fontId="56"/>
  </si>
  <si>
    <t>X*{R6release}*R5率</t>
    <rPh sb="16" eb="17">
      <t>リツ</t>
    </rPh>
    <phoneticPr fontId="56"/>
  </si>
  <si>
    <t>ハズレで確率を整える</t>
    <rPh sb="4" eb="6">
      <t>カクリツ</t>
    </rPh>
    <rPh sb="7" eb="8">
      <t>トトノエル</t>
    </rPh>
    <phoneticPr fontId="5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</si>
  <si>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6"/>
  </si>
  <si>
    <t>A + C</t>
    <phoneticPr fontId="56"/>
  </si>
  <si>
    <t>=</t>
    <phoneticPr fontId="56"/>
  </si>
  <si>
    <t>50%-H</t>
    <phoneticPr fontId="56"/>
  </si>
  <si>
    <t>①</t>
    <phoneticPr fontId="56"/>
  </si>
  <si>
    <t>B + D + F</t>
    <phoneticPr fontId="56"/>
  </si>
  <si>
    <t>45%-I-K</t>
    <phoneticPr fontId="56"/>
  </si>
  <si>
    <t>②</t>
    <phoneticPr fontId="56"/>
  </si>
  <si>
    <t>E+G</t>
    <phoneticPr fontId="56"/>
  </si>
  <si>
    <t>5%-J-L-M</t>
    <phoneticPr fontId="56"/>
  </si>
  <si>
    <t>③</t>
    <phoneticPr fontId="56"/>
  </si>
  <si>
    <t>A+B</t>
    <phoneticPr fontId="56"/>
  </si>
  <si>
    <t>Y*{W}</t>
    <phoneticPr fontId="56"/>
  </si>
  <si>
    <t>④</t>
    <phoneticPr fontId="56"/>
  </si>
  <si>
    <t>C+D+E</t>
    <phoneticPr fontId="56"/>
  </si>
  <si>
    <t>Y*{N,S}</t>
    <phoneticPr fontId="56"/>
  </si>
  <si>
    <t>⑤</t>
    <phoneticPr fontId="56"/>
  </si>
  <si>
    <t>F+G</t>
    <phoneticPr fontId="56"/>
  </si>
  <si>
    <t>Y*{N,S R3less}</t>
    <phoneticPr fontId="56"/>
  </si>
  <si>
    <t>⑥</t>
    <phoneticPr fontId="56"/>
  </si>
  <si>
    <t>A+B+C+D+E+F+G</t>
    <phoneticPr fontId="56"/>
  </si>
  <si>
    <t>⑦</t>
    <phoneticPr fontId="56"/>
  </si>
  <si>
    <t>←これは4,5,6で作れるのでダメだわ</t>
    <rPh sb="10" eb="11">
      <t>ツクレル</t>
    </rPh>
    <phoneticPr fontId="56"/>
  </si>
  <si>
    <t>E*R3率/R5率</t>
    <rPh sb="4" eb="5">
      <t>リツ</t>
    </rPh>
    <rPh sb="8" eb="9">
      <t>リツ</t>
    </rPh>
    <phoneticPr fontId="5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</si>
  <si>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6"/>
  </si>
  <si>
    <t>E*R4率/R5率</t>
    <rPh sb="4" eb="5">
      <t>リツ</t>
    </rPh>
    <rPh sb="8" eb="9">
      <t>リツ</t>
    </rPh>
    <phoneticPr fontId="56"/>
  </si>
  <si>
    <t>∴</t>
    <phoneticPr fontId="56"/>
  </si>
  <si>
    <t>E</t>
    <phoneticPr fontId="56"/>
  </si>
  <si>
    <t>Y*{N,S}*R5率</t>
    <rPh sb="10" eb="11">
      <t>リツ</t>
    </rPh>
    <phoneticPr fontId="56"/>
  </si>
  <si>
    <t>Y*{N,S}*R4率</t>
    <rPh sb="10" eb="11">
      <t>リツ</t>
    </rPh>
    <phoneticPr fontId="56"/>
  </si>
  <si>
    <t>Y*{N,S}*R3率</t>
    <rPh sb="10" eb="11">
      <t>リツ</t>
    </rPh>
    <phoneticPr fontId="56"/>
  </si>
  <si>
    <t>50%-H-C</t>
    <phoneticPr fontId="56"/>
  </si>
  <si>
    <t>Y*{W}-A</t>
    <phoneticPr fontId="56"/>
  </si>
  <si>
    <t>5%-J-L-M-E</t>
    <phoneticPr fontId="56"/>
  </si>
  <si>
    <t>Y*{N,S R3less} - G</t>
    <phoneticPr fontId="56"/>
  </si>
  <si>
    <t>R6境界前後</t>
    <rPh sb="2" eb="4">
      <t>キョウカイ</t>
    </rPh>
    <rPh sb="4" eb="6">
      <t>ゼンゴ</t>
    </rPh>
    <phoneticPr fontId="23"/>
  </si>
  <si>
    <t>R6事後開放N,S</t>
    <rPh sb="2" eb="6">
      <t>ジゴカイホウ</t>
    </rPh>
    <phoneticPr fontId="23"/>
  </si>
  <si>
    <t>PremiumW3</t>
    <phoneticPr fontId="23"/>
  </si>
  <si>
    <t>PremiumW4</t>
    <phoneticPr fontId="23"/>
  </si>
  <si>
    <t>ラベル確率</t>
    <rPh sb="3" eb="5">
      <t>カクリツ</t>
    </rPh>
    <phoneticPr fontId="2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</si>
  <si>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</si>
  <si>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</si>
  <si>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</si>
  <si>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</si>
  <si>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</si>
  <si>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3"/>
  </si>
  <si>
    <t>PremiumSS5R5only</t>
  </si>
  <si>
    <t>計算用中間データ</t>
    <rPh sb="0" eb="3">
      <t>ケイサンヨウ</t>
    </rPh>
    <rPh sb="3" eb="5">
      <t>チュウカン</t>
    </rPh>
    <phoneticPr fontId="23"/>
  </si>
  <si>
    <t>X</t>
    <phoneticPr fontId="23"/>
  </si>
  <si>
    <t>Y</t>
    <phoneticPr fontId="23"/>
  </si>
  <si>
    <t>対象数</t>
    <rPh sb="0" eb="3">
      <t>タイショウスウ</t>
    </rPh>
    <phoneticPr fontId="23"/>
  </si>
  <si>
    <t>PremiumW</t>
    <phoneticPr fontId="23"/>
  </si>
  <si>
    <t>PremiumN</t>
    <phoneticPr fontId="23"/>
  </si>
  <si>
    <t>PremiumS</t>
    <phoneticPr fontId="23"/>
  </si>
  <si>
    <t>PremiumSS</t>
    <phoneticPr fontId="23"/>
  </si>
  <si>
    <t>←R6分はここから差し引く</t>
    <rPh sb="3" eb="4">
      <t>ブン</t>
    </rPh>
    <rPh sb="9" eb="10">
      <t>サシヒク</t>
    </rPh>
    <phoneticPr fontId="23"/>
  </si>
  <si>
    <t>除外確率</t>
    <rPh sb="0" eb="2">
      <t>ジョガイ</t>
    </rPh>
    <rPh sb="2" eb="4">
      <t>カクリツ</t>
    </rPh>
    <phoneticPr fontId="23"/>
  </si>
  <si>
    <t>除外数</t>
    <rPh sb="0" eb="3">
      <t>ジョガイスウ</t>
    </rPh>
    <phoneticPr fontId="23"/>
  </si>
  <si>
    <t>もうここは手で入れよう…</t>
    <rPh sb="5" eb="6">
      <t>テ</t>
    </rPh>
    <rPh sb="7" eb="8">
      <t>イレヨウ</t>
    </rPh>
    <phoneticPr fontId="23"/>
  </si>
  <si>
    <t>通常weight</t>
    <rPh sb="0" eb="2">
      <t>ツウジョウ</t>
    </rPh>
    <phoneticPr fontId="23"/>
  </si>
  <si>
    <t>A</t>
    <phoneticPr fontId="23"/>
  </si>
  <si>
    <t>B</t>
    <phoneticPr fontId="23"/>
  </si>
  <si>
    <t>PremiumW4</t>
    <phoneticPr fontId="23"/>
  </si>
  <si>
    <t>C</t>
    <phoneticPr fontId="23"/>
  </si>
  <si>
    <t>Premium3</t>
    <phoneticPr fontId="23"/>
  </si>
  <si>
    <t>D</t>
    <phoneticPr fontId="23"/>
  </si>
  <si>
    <t>Premium4</t>
    <phoneticPr fontId="23"/>
  </si>
  <si>
    <t>E</t>
    <phoneticPr fontId="23"/>
  </si>
  <si>
    <t>Premium5</t>
    <phoneticPr fontId="23"/>
  </si>
  <si>
    <t>F</t>
    <phoneticPr fontId="23"/>
  </si>
  <si>
    <t>Premium4R3less</t>
    <phoneticPr fontId="23"/>
  </si>
  <si>
    <t>G</t>
    <phoneticPr fontId="23"/>
  </si>
  <si>
    <t>Premium5R3less</t>
    <phoneticPr fontId="23"/>
  </si>
  <si>
    <t>H</t>
    <phoneticPr fontId="23"/>
  </si>
  <si>
    <t>I</t>
    <phoneticPr fontId="23"/>
  </si>
  <si>
    <t>J</t>
    <phoneticPr fontId="23"/>
  </si>
  <si>
    <t>K</t>
    <phoneticPr fontId="23"/>
  </si>
  <si>
    <t>Premium3R6release</t>
    <phoneticPr fontId="23"/>
  </si>
  <si>
    <t>Premium4R6release</t>
    <phoneticPr fontId="23"/>
  </si>
  <si>
    <t>Premium5R6release</t>
    <phoneticPr fontId="23"/>
  </si>
  <si>
    <t>PremiumSS4</t>
    <phoneticPr fontId="23"/>
  </si>
  <si>
    <t>PremiumSS5</t>
    <phoneticPr fontId="23"/>
  </si>
  <si>
    <t>L</t>
    <phoneticPr fontId="23"/>
  </si>
  <si>
    <t>M</t>
    <phoneticPr fontId="23"/>
  </si>
  <si>
    <t>PremiumSS5R5only</t>
    <phoneticPr fontId="23"/>
  </si>
  <si>
    <t>50% - H - C</t>
    <phoneticPr fontId="23"/>
  </si>
  <si>
    <t>PremiumSSS4R3less</t>
    <phoneticPr fontId="23"/>
  </si>
  <si>
    <t>PremiumSSS5R3less</t>
    <phoneticPr fontId="23"/>
  </si>
  <si>
    <t>skip</t>
    <phoneticPr fontId="23"/>
  </si>
  <si>
    <t>通常確率</t>
    <phoneticPr fontId="23"/>
  </si>
  <si>
    <t>tables_363104</t>
    <phoneticPr fontId="23"/>
  </si>
  <si>
    <t>tables_363105</t>
    <phoneticPr fontId="23"/>
  </si>
  <si>
    <t>tables_363100</t>
    <phoneticPr fontId="23"/>
  </si>
  <si>
    <t>old</t>
    <phoneticPr fontId="23"/>
  </si>
  <si>
    <t>gacha_settle_tables_</t>
    <phoneticPr fontId="23"/>
  </si>
  <si>
    <t>.tmp</t>
    <phoneticPr fontId="56"/>
  </si>
  <si>
    <t>tables_settle_443100</t>
    <phoneticPr fontId="23"/>
  </si>
  <si>
    <t>PremiumSSw</t>
    <phoneticPr fontId="23"/>
  </si>
  <si>
    <t>skip</t>
    <phoneticPr fontId="23"/>
  </si>
  <si>
    <t>tables_455010</t>
    <phoneticPr fontId="23"/>
  </si>
  <si>
    <t>skip</t>
    <phoneticPr fontId="23"/>
  </si>
  <si>
    <t>tables_484100</t>
    <phoneticPr fontId="23"/>
  </si>
  <si>
    <t>old</t>
    <phoneticPr fontId="23"/>
  </si>
  <si>
    <t>unit</t>
  </si>
  <si>
    <t>unit</t>
    <phoneticPr fontId="23"/>
  </si>
  <si>
    <t>bit</t>
    <phoneticPr fontId="23"/>
  </si>
  <si>
    <t>ja</t>
  </si>
  <si>
    <t>ギガ攻めの果実 × 1</t>
    <phoneticPr fontId="23"/>
  </si>
  <si>
    <t>メガ秘術の果実 × 1</t>
    <phoneticPr fontId="23"/>
  </si>
  <si>
    <t>ギガ生命の果実 × 1</t>
    <phoneticPr fontId="23"/>
  </si>
  <si>
    <t>ギガ癒しの果実 × 1</t>
    <phoneticPr fontId="23"/>
  </si>
  <si>
    <t>炎のメタルジェントル × 1</t>
    <phoneticPr fontId="23"/>
  </si>
  <si>
    <t>森のメタルジェントル × 1</t>
    <phoneticPr fontId="23"/>
  </si>
  <si>
    <t>水のメタルジェントル × 1</t>
    <phoneticPr fontId="23"/>
  </si>
  <si>
    <t>雷のメタルジェントル × 1</t>
    <phoneticPr fontId="23"/>
  </si>
  <si>
    <t>リトルハンプティ × 1</t>
    <phoneticPr fontId="23"/>
  </si>
  <si>
    <t>30万ビット</t>
    <phoneticPr fontId="23"/>
  </si>
  <si>
    <t>1日1回無料クリスマスガチャ特典</t>
    <phoneticPr fontId="23"/>
  </si>
  <si>
    <t>1日1回無料クリスマスガチャ特典</t>
    <phoneticPr fontId="23"/>
  </si>
  <si>
    <t>1日1回無料クリスマスガチャ特典としてギガ攻めの果実 を1体プレゼント！</t>
    <phoneticPr fontId="23"/>
  </si>
  <si>
    <t>1日1回無料クリスマスガチャ特典としてギガ生命の果実 を1体プレゼント！</t>
    <phoneticPr fontId="23"/>
  </si>
  <si>
    <t>1日1回無料クリスマスガチャ特典としてギガ癒しの果実 を1体プレゼント！</t>
    <phoneticPr fontId="23"/>
  </si>
  <si>
    <t>1日1回無料クリスマスガチャ特典としてメガ秘術の果実 を1体プレゼント！</t>
    <phoneticPr fontId="23"/>
  </si>
  <si>
    <t>1日1回無料クリスマスガチャ特典として炎のメタルジェントルを1体プレゼント！</t>
    <phoneticPr fontId="23"/>
  </si>
  <si>
    <t>1日1回無料クリスマスガチャ特典として森のメタルジェントルを1体プレゼント！</t>
    <phoneticPr fontId="23"/>
  </si>
  <si>
    <t>1日1回無料クリスマスガチャ特典として水のメタルジェントルを1体プレゼント！</t>
    <phoneticPr fontId="23"/>
  </si>
  <si>
    <t>1日1回無料クリスマスガチャ特典として雷のメタルジェントルを1体プレゼント！</t>
    <phoneticPr fontId="23"/>
  </si>
  <si>
    <t>1日1回無料クリスマスガチャ特典としてリトルハンプティを1体プレゼント！</t>
    <phoneticPr fontId="23"/>
  </si>
  <si>
    <t>1日1回無料クリスマスガチャ特典として30万ビットをプレゼント！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</si>
</sst>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2" fillId="0" borderId="0"/>
    <xf numFmtId="0" fontId="26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1" fillId="0" borderId="0"/>
    <xf numFmtId="0" fontId="33" fillId="5" borderId="2" applyNumberFormat="0" applyAlignment="0" applyProtection="0"/>
    <xf numFmtId="0" fontId="34" fillId="6" borderId="0" applyNumberFormat="0" applyBorder="0" applyAlignment="0" applyProtection="0"/>
    <xf numFmtId="0" fontId="35" fillId="7" borderId="3" applyNumberFormat="0" applyAlignment="0" applyProtection="0"/>
    <xf numFmtId="0" fontId="36" fillId="0" borderId="0" applyNumberFormat="0" applyFill="0" applyBorder="0" applyAlignment="0" applyProtection="0"/>
    <xf numFmtId="0" fontId="37" fillId="8" borderId="0" applyNumberFormat="0" applyBorder="0" applyAlignment="0" applyProtection="0"/>
    <xf numFmtId="0" fontId="38" fillId="9" borderId="4" applyNumberFormat="0" applyAlignment="0" applyProtection="0"/>
    <xf numFmtId="0" fontId="39" fillId="0" borderId="0" applyNumberFormat="0" applyFill="0" applyBorder="0" applyAlignment="0" applyProtection="0"/>
    <xf numFmtId="0" fontId="40" fillId="0" borderId="5" applyNumberFormat="0" applyFill="0" applyAlignment="0" applyProtection="0"/>
    <xf numFmtId="0" fontId="41" fillId="0" borderId="6" applyNumberFormat="0" applyFill="0" applyAlignment="0" applyProtection="0"/>
    <xf numFmtId="0" fontId="42" fillId="0" borderId="7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4" borderId="0" applyNumberFormat="0" applyBorder="0" applyAlignment="0" applyProtection="0"/>
    <xf numFmtId="0" fontId="44" fillId="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5" fillId="17" borderId="0" applyNumberFormat="0" applyBorder="0" applyAlignment="0" applyProtection="0"/>
    <xf numFmtId="0" fontId="34" fillId="6" borderId="0" applyNumberFormat="0" applyBorder="0" applyAlignment="0" applyProtection="0"/>
    <xf numFmtId="0" fontId="46" fillId="0" borderId="8" applyNumberFormat="0" applyFill="0" applyAlignment="0" applyProtection="0"/>
    <xf numFmtId="0" fontId="47" fillId="7" borderId="9" applyNumberFormat="0" applyAlignment="0" applyProtection="0"/>
    <xf numFmtId="0" fontId="47" fillId="18" borderId="9" applyNumberFormat="0" applyAlignment="0" applyProtection="0"/>
    <xf numFmtId="0" fontId="35" fillId="6" borderId="3" applyNumberFormat="0" applyAlignment="0" applyProtection="0"/>
    <xf numFmtId="0" fontId="48" fillId="0" borderId="10" applyNumberFormat="0" applyFill="0" applyAlignment="0" applyProtection="0"/>
    <xf numFmtId="0" fontId="49" fillId="18" borderId="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1" applyNumberFormat="0" applyFill="0" applyAlignment="0" applyProtection="0"/>
    <xf numFmtId="38" fontId="21" fillId="0" borderId="0" applyFont="0" applyFill="0" applyBorder="0" applyAlignment="0" applyProtection="0">
      <alignment vertical="center"/>
    </xf>
    <xf numFmtId="0" fontId="52" fillId="19" borderId="0" applyNumberFormat="0" applyBorder="0" applyAlignment="0" applyProtection="0"/>
    <xf numFmtId="0" fontId="53" fillId="20" borderId="0" applyNumberFormat="0" applyBorder="0" applyAlignment="0" applyProtection="0"/>
    <xf numFmtId="0" fontId="21" fillId="0" borderId="0"/>
    <xf numFmtId="0" fontId="54" fillId="20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/>
    <xf numFmtId="0" fontId="57" fillId="0" borderId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9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38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102">
    <xf numFmtId="0" fontId="0" fillId="0" borderId="0" xfId="0"/>
    <xf numFmtId="0" fontId="28" fillId="0" borderId="0" xfId="2" applyFont="1" applyAlignment="1">
      <alignment vertical="center"/>
    </xf>
    <xf numFmtId="0" fontId="28" fillId="0" borderId="1" xfId="2" applyFont="1" applyBorder="1" applyAlignment="1">
      <alignment vertical="center"/>
    </xf>
    <xf numFmtId="0" fontId="28" fillId="3" borderId="1" xfId="2" applyFont="1" applyFill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4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horizontal="right" vertical="center"/>
    </xf>
    <xf numFmtId="0" fontId="28" fillId="3" borderId="1" xfId="2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8" fillId="0" borderId="13" xfId="2" applyFont="1" applyBorder="1" applyAlignment="1">
      <alignment vertical="center"/>
    </xf>
    <xf numFmtId="0" fontId="27" fillId="4" borderId="12" xfId="0" applyFont="1" applyFill="1" applyBorder="1" applyAlignment="1">
      <alignment horizontal="right" vertical="center"/>
    </xf>
    <xf numFmtId="0" fontId="27" fillId="4" borderId="14" xfId="0" applyFont="1" applyFill="1" applyBorder="1" applyAlignment="1">
      <alignment horizontal="right" vertical="center"/>
    </xf>
    <xf numFmtId="0" fontId="28" fillId="0" borderId="15" xfId="2" applyFont="1" applyBorder="1" applyAlignment="1">
      <alignment vertical="center"/>
    </xf>
    <xf numFmtId="0" fontId="28" fillId="2" borderId="1" xfId="2" applyFont="1" applyFill="1" applyBorder="1" applyAlignment="1">
      <alignment horizontal="left" vertical="center"/>
    </xf>
    <xf numFmtId="0" fontId="55" fillId="21" borderId="1" xfId="0" applyFont="1" applyFill="1" applyBorder="1" applyAlignment="1">
      <alignment horizontal="left" vertical="center"/>
    </xf>
    <xf numFmtId="0" fontId="28" fillId="2" borderId="1" xfId="2" applyFont="1" applyFill="1" applyBorder="1" applyAlignment="1">
      <alignment horizontal="center" vertical="center"/>
    </xf>
    <xf numFmtId="0" fontId="30" fillId="22" borderId="1" xfId="2978" applyFont="1" applyFill="1" applyBorder="1"/>
    <xf numFmtId="0" fontId="16" fillId="22" borderId="1" xfId="2978" applyFill="1" applyBorder="1"/>
    <xf numFmtId="0" fontId="16" fillId="0" borderId="0" xfId="2978"/>
    <xf numFmtId="0" fontId="16" fillId="0" borderId="1" xfId="2978" applyBorder="1"/>
    <xf numFmtId="0" fontId="16" fillId="2" borderId="1" xfId="2978" applyFill="1" applyBorder="1"/>
    <xf numFmtId="0" fontId="20" fillId="2" borderId="1" xfId="19" applyFont="1" applyFill="1" applyBorder="1"/>
    <xf numFmtId="0" fontId="21" fillId="2" borderId="1" xfId="19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5" fillId="0" borderId="1" xfId="2978" applyFont="1" applyBorder="1"/>
    <xf numFmtId="0" fontId="30" fillId="22" borderId="1" xfId="0" applyFont="1" applyFill="1" applyBorder="1"/>
    <xf numFmtId="0" fontId="55" fillId="23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vertical="center"/>
    </xf>
    <xf numFmtId="0" fontId="0" fillId="4" borderId="0" xfId="0" applyFill="1"/>
    <xf numFmtId="0" fontId="13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2" fillId="2" borderId="1" xfId="19" applyFont="1" applyFill="1" applyBorder="1"/>
    <xf numFmtId="0" fontId="12" fillId="4" borderId="1" xfId="2978" applyFont="1" applyFill="1" applyBorder="1"/>
    <xf numFmtId="0" fontId="0" fillId="2" borderId="0" xfId="0" applyFill="1"/>
    <xf numFmtId="0" fontId="55" fillId="30" borderId="1" xfId="0" applyFont="1" applyFill="1" applyBorder="1" applyAlignment="1">
      <alignment horizontal="left" vertical="center"/>
    </xf>
    <xf numFmtId="0" fontId="28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7" fillId="25" borderId="1" xfId="0" applyFont="1" applyFill="1" applyBorder="1" applyAlignment="1">
      <alignment horizontal="right" vertical="center"/>
    </xf>
    <xf numFmtId="0" fontId="11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0" fillId="0" borderId="0" xfId="3662"/>
    <xf numFmtId="0" fontId="10" fillId="4" borderId="0" xfId="3662" applyFill="1"/>
    <xf numFmtId="9" fontId="10" fillId="0" borderId="0" xfId="3662" applyNumberFormat="1"/>
    <xf numFmtId="0" fontId="10" fillId="0" borderId="0" xfId="3662" applyFill="1"/>
    <xf numFmtId="9" fontId="10" fillId="0" borderId="0" xfId="3662" applyNumberFormat="1" applyAlignment="1"/>
    <xf numFmtId="0" fontId="10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9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0" fillId="32" borderId="1" xfId="0" applyNumberFormat="1" applyFont="1" applyFill="1" applyBorder="1"/>
    <xf numFmtId="0" fontId="55" fillId="0" borderId="1" xfId="0" applyFont="1" applyBorder="1" applyAlignment="1">
      <alignment vertical="center"/>
    </xf>
    <xf numFmtId="0" fontId="55" fillId="0" borderId="1" xfId="0" applyFont="1" applyBorder="1" applyAlignment="1">
      <alignment vertical="center" wrapText="1"/>
    </xf>
    <xf numFmtId="0" fontId="28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9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8" fillId="0" borderId="1" xfId="3036" applyFont="1" applyBorder="1"/>
    <xf numFmtId="10" fontId="0" fillId="4" borderId="0" xfId="0" applyNumberFormat="1" applyFill="1"/>
    <xf numFmtId="0" fontId="7" fillId="4" borderId="1" xfId="2978" applyFont="1" applyFill="1" applyBorder="1"/>
    <xf numFmtId="0" fontId="7" fillId="0" borderId="1" xfId="3036" applyFont="1" applyBorder="1"/>
    <xf numFmtId="0" fontId="29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6" fillId="0" borderId="1" xfId="2978" applyFont="1" applyBorder="1"/>
    <xf numFmtId="0" fontId="6" fillId="4" borderId="1" xfId="2978" applyFont="1" applyFill="1" applyBorder="1"/>
    <xf numFmtId="0" fontId="28" fillId="3" borderId="14" xfId="2" applyFont="1" applyFill="1" applyBorder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4" borderId="1" xfId="2978" applyFont="1" applyFill="1" applyBorder="1"/>
    <xf numFmtId="184" fontId="28" fillId="4" borderId="1" xfId="3663" quotePrefix="1" applyNumberFormat="1" applyFont="1" applyFill="1" applyBorder="1" applyAlignment="1">
      <alignment vertical="center"/>
    </xf>
    <xf numFmtId="0" fontId="28" fillId="0" borderId="1" xfId="2" applyFont="1" applyFill="1" applyBorder="1" applyAlignment="1">
      <alignment vertical="center"/>
    </xf>
    <xf numFmtId="178" fontId="0" fillId="0" borderId="0" xfId="0" applyNumberFormat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technical</v>
          </cell>
          <cell r="L1283" t="str">
            <v>テクニカルタイプ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technical</v>
          </cell>
          <cell r="L1284" t="str">
            <v>テクニカルタイプ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hp</v>
          </cell>
          <cell r="L1291" t="str">
            <v>体力タイプ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11" sqref="A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8" t="s">
        <v>246</v>
      </c>
      <c r="B2" s="61" t="s">
        <v>110</v>
      </c>
      <c r="C2" s="50" t="str">
        <f t="shared" ref="C2" si="0">RIGHT(F2,6)</f>
        <v>484100</v>
      </c>
      <c r="D2" s="19" t="s">
        <v>45</v>
      </c>
      <c r="E2" s="17" t="str">
        <f t="shared" ref="E2" si="1">B2&amp;C2&amp;D2</f>
        <v>gacha_select_tables_484100.tmp</v>
      </c>
      <c r="F2" s="98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253</v>
      </c>
      <c r="B3" s="61" t="s">
        <v>110</v>
      </c>
      <c r="C3" s="50" t="str">
        <f t="shared" ref="C3:C7" si="2">RIGHT(F3,6)</f>
        <v>455010</v>
      </c>
      <c r="D3" s="19" t="s">
        <v>45</v>
      </c>
      <c r="E3" s="17" t="str">
        <f t="shared" ref="E3:E10" si="3">B3&amp;C3&amp;D3</f>
        <v>gacha_select_tables_455010.tmp</v>
      </c>
      <c r="F3" s="96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251</v>
      </c>
      <c r="B4" s="91" t="s">
        <v>247</v>
      </c>
      <c r="C4" s="92" t="str">
        <f t="shared" si="2"/>
        <v>443100</v>
      </c>
      <c r="D4" s="19" t="s">
        <v>248</v>
      </c>
      <c r="E4" s="17" t="str">
        <f t="shared" si="3"/>
        <v>gacha_settle_tables_443100.tmp</v>
      </c>
      <c r="F4" s="94" t="s">
        <v>249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7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7" t="s">
        <v>255</v>
      </c>
      <c r="B8" s="27" t="s">
        <v>50</v>
      </c>
      <c r="C8" s="32">
        <v>484</v>
      </c>
      <c r="D8" s="19" t="s">
        <v>46</v>
      </c>
      <c r="E8" s="17" t="str">
        <f t="shared" si="3"/>
        <v>gacha_bonus_tables_484.tmp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7" t="s">
        <v>246</v>
      </c>
      <c r="B9" s="19" t="s">
        <v>48</v>
      </c>
      <c r="C9" s="32">
        <v>484</v>
      </c>
      <c r="D9" s="19" t="s">
        <v>46</v>
      </c>
      <c r="E9" s="17" t="str">
        <f t="shared" si="3"/>
        <v>gifts_tmp_484.tmp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7" t="s">
        <v>246</v>
      </c>
      <c r="B10" s="19" t="s">
        <v>49</v>
      </c>
      <c r="C10" s="32">
        <v>484</v>
      </c>
      <c r="D10" s="19" t="s">
        <v>46</v>
      </c>
      <c r="E10" s="17" t="str">
        <f t="shared" si="3"/>
        <v>gifts_i18n_484.tmp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N7" sqref="N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512</v>
      </c>
      <c r="M3" s="37" t="str">
        <f>VLOOKUP(L3,[1]characters!$A:$C,3,FALSE)</f>
        <v>聖火の逆徒 クリスマス・ベリアル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VLOOKUP(L3,tables_484100!B:C,2,FALSE)</f>
        <v>Premium4R3less</v>
      </c>
      <c r="R3" s="62">
        <f t="shared" ref="R3:R20" si="1">N3*A$36</f>
        <v>466830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513</v>
      </c>
      <c r="M4" s="37" t="str">
        <f>VLOOKUP(L4,[1]characters!$A:$C,3,FALSE)</f>
        <v>爆進の荷炎 クリスマス・ベリアル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VLOOKUP(L4,tables_484100!B:C,2,FALSE)</f>
        <v>Premium5R3less</v>
      </c>
      <c r="R4" s="62">
        <f t="shared" si="1"/>
        <v>24570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3.9682539682539683E-4</v>
      </c>
      <c r="F5">
        <f>(COUNTIF(tables_484100!C:C,input_484100!A28)+COUNTIF(tables_484100!C:C,input_484100!A29))</f>
        <v>65</v>
      </c>
      <c r="H5" s="83">
        <v>2.5000000000000001E-2</v>
      </c>
      <c r="I5" s="31">
        <v>2</v>
      </c>
      <c r="L5" s="60">
        <v>514</v>
      </c>
      <c r="M5" s="37" t="str">
        <f>VLOOKUP(L5,[1]characters!$A:$C,3,FALSE)</f>
        <v>祝宴の識徒 サンタクロース・オセ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VLOOKUP(L5,tables_484100!B:C,2,FALSE)</f>
        <v>Premium4R3less</v>
      </c>
      <c r="R5" s="62">
        <f t="shared" si="1"/>
        <v>466830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0.81237500000000007</v>
      </c>
      <c r="D6" t="s">
        <v>202</v>
      </c>
      <c r="E6" s="76">
        <f>(B10-H6)/(F6-I6)</f>
        <v>8.1318681318681314E-3</v>
      </c>
      <c r="F6">
        <f>(COUNTIF(tables_484100!C:C,input_484100!A25)+COUNTIF(tables_484100!C:C,input_484100!A18)+COUNTIF(tables_484100!C:C,input_484100!A20)+COUNTIF(tables_484100!C:C,input_484100!A22))</f>
        <v>96</v>
      </c>
      <c r="H6" s="86">
        <v>0.21</v>
      </c>
      <c r="I6" s="31">
        <v>5</v>
      </c>
      <c r="L6" s="60">
        <v>515</v>
      </c>
      <c r="M6" s="37" t="str">
        <f>VLOOKUP(L6,[1]characters!$A:$C,3,FALSE)</f>
        <v>聖夜の贈主 サンタクロース・オセ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VLOOKUP(L6,tables_484100!B:C,2,FALSE)</f>
        <v>Premium5R3less</v>
      </c>
      <c r="R6" s="62">
        <f t="shared" si="1"/>
        <v>24570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0.18762499999999999</v>
      </c>
      <c r="L7" s="60">
        <v>516</v>
      </c>
      <c r="M7" s="37" t="str">
        <f>VLOOKUP(L7,[1]characters!$A:$C,3,FALSE)</f>
        <v>聖母 マリア</v>
      </c>
      <c r="N7" s="63">
        <v>1.1875E-2</v>
      </c>
      <c r="O7" s="37">
        <f>VLOOKUP(L7,[1]characters!$A:$I,9,FALSE)</f>
        <v>4</v>
      </c>
      <c r="P7" s="37" t="str">
        <f>VLOOKUP(L7,[1]characters!$A:$J,10,FALSE)</f>
        <v>PremiumSS</v>
      </c>
      <c r="Q7" s="37" t="str">
        <f>VLOOKUP(L7,tables_484100!B:C,2,FALSE)</f>
        <v>PremiumSS4R5only</v>
      </c>
      <c r="R7" s="62">
        <f t="shared" si="1"/>
        <v>194512.5</v>
      </c>
      <c r="S7">
        <v>597</v>
      </c>
      <c r="U7" s="33" t="s">
        <v>196</v>
      </c>
      <c r="V7" s="54">
        <f t="shared" si="0"/>
        <v>8.5500000000000007E-2</v>
      </c>
    </row>
    <row r="8" spans="1:22" x14ac:dyDescent="0.15">
      <c r="A8" s="57"/>
      <c r="B8" s="71"/>
      <c r="E8" s="76"/>
      <c r="L8" s="60">
        <v>517</v>
      </c>
      <c r="M8" s="37" t="str">
        <f>VLOOKUP(L8,[1]characters!$A:$C,3,FALSE)</f>
        <v>真冬の誕生祭 マリア</v>
      </c>
      <c r="N8" s="63">
        <v>6.2500000000000001E-4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VLOOKUP(L8,tables_484100!B:C,2,FALSE)</f>
        <v>PremiumSS5R5only</v>
      </c>
      <c r="R8" s="62">
        <f t="shared" si="1"/>
        <v>10237.5</v>
      </c>
      <c r="S8">
        <v>598</v>
      </c>
      <c r="U8" s="33" t="s">
        <v>197</v>
      </c>
      <c r="V8" s="54">
        <f t="shared" si="0"/>
        <v>0.1245</v>
      </c>
    </row>
    <row r="9" spans="1:22" x14ac:dyDescent="0.15">
      <c r="A9" s="35" t="s">
        <v>54</v>
      </c>
      <c r="B9" s="35"/>
      <c r="L9" s="60">
        <v>518</v>
      </c>
      <c r="M9" s="37" t="str">
        <f>VLOOKUP(L9,[1]characters!$A:$C,3,FALSE)</f>
        <v>秘来の聖天使 ミカエル</v>
      </c>
      <c r="N9" s="63">
        <v>2.8500000000000001E-2</v>
      </c>
      <c r="O9" s="37">
        <f>VLOOKUP(L9,[1]characters!$A:$I,9,FALSE)</f>
        <v>4</v>
      </c>
      <c r="P9" s="37" t="str">
        <f>VLOOKUP(L9,[1]characters!$A:$J,10,FALSE)</f>
        <v>PremiumS</v>
      </c>
      <c r="Q9" s="37" t="str">
        <f>VLOOKUP(L9,tables_484100!B:C,2,FALSE)</f>
        <v>Premium4R3less</v>
      </c>
      <c r="R9" s="62">
        <f t="shared" si="1"/>
        <v>466830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60">
        <v>519</v>
      </c>
      <c r="M10" s="37" t="str">
        <f>VLOOKUP(L10,[1]characters!$A:$C,3,FALSE)</f>
        <v>夜天の聖天使 ミカエル・ハレルヤ</v>
      </c>
      <c r="N10" s="63">
        <v>1.5E-3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VLOOKUP(L10,tables_484100!B:C,2,FALSE)</f>
        <v>Premium5R3less</v>
      </c>
      <c r="R10" s="62">
        <f t="shared" si="1"/>
        <v>24570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1">
        <v>1278</v>
      </c>
      <c r="M11" s="37" t="str">
        <f>VLOOKUP(L11,[1]characters!$A:$C,3,FALSE)</f>
        <v>ラチカ</v>
      </c>
      <c r="N11" s="63">
        <v>1.2500000000000001E-2</v>
      </c>
      <c r="O11" s="37">
        <f>VLOOKUP(L11,[1]characters!$A:$I,9,FALSE)</f>
        <v>5</v>
      </c>
      <c r="P11" s="37" t="str">
        <f>VLOOKUP(L11,[1]characters!$A:$J,10,FALSE)</f>
        <v>PremiumSS</v>
      </c>
      <c r="Q11" s="37" t="str">
        <f>VLOOKUP(L11,tables_484100!B:C,2,FALSE)</f>
        <v>PremiumSS5R5only</v>
      </c>
      <c r="R11" s="62">
        <f t="shared" si="1"/>
        <v>204750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>
        <v>1280</v>
      </c>
      <c r="M12" s="37" t="str">
        <f>VLOOKUP(L12,[1]characters!$A:$C,3,FALSE)</f>
        <v>聖装の始祖帝 クリスマス卑弥呼</v>
      </c>
      <c r="N12" s="63">
        <v>0.06</v>
      </c>
      <c r="O12" s="37">
        <f>VLOOKUP(L12,[1]characters!$A:$I,9,FALSE)</f>
        <v>5</v>
      </c>
      <c r="P12" s="37" t="str">
        <f>VLOOKUP(L12,[1]characters!$A:$J,10,FALSE)</f>
        <v>PremiumS</v>
      </c>
      <c r="Q12" s="37" t="str">
        <f>VLOOKUP(L12,tables_484100!B:C,2,FALSE)</f>
        <v>Premium5R3less</v>
      </c>
      <c r="R12" s="62">
        <f t="shared" si="1"/>
        <v>982800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>
        <v>1281</v>
      </c>
      <c r="M13" s="37" t="str">
        <f>VLOOKUP(L13,[1]characters!$A:$C,3,FALSE)</f>
        <v>愛贈の白魔 ノエル・エスタブ</v>
      </c>
      <c r="N13" s="63">
        <v>0.06</v>
      </c>
      <c r="O13" s="37">
        <f>VLOOKUP(L13,[1]characters!$A:$I,9,FALSE)</f>
        <v>5</v>
      </c>
      <c r="P13" s="37" t="str">
        <f>VLOOKUP(L13,[1]characters!$A:$J,10,FALSE)</f>
        <v>PremiumS</v>
      </c>
      <c r="Q13" s="37" t="str">
        <f>VLOOKUP(L13,tables_484100!B:C,2,FALSE)</f>
        <v>Premium5R3less</v>
      </c>
      <c r="R13" s="62">
        <f t="shared" si="1"/>
        <v>982800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1.3125000000000001E-2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COUNTIF(tables_484100!C:C,input_484100!A17)-COUNTIF(Q:Q,A17)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0.25288083638278414</v>
      </c>
      <c r="C18" s="84">
        <f t="shared" si="2"/>
        <v>0</v>
      </c>
      <c r="D18" s="74">
        <f t="shared" si="3"/>
        <v>0.25288083638278414</v>
      </c>
      <c r="E18">
        <f>COUNTIF(tables_484100!C:C,input_484100!A18)-COUNTIF(Q:Q,A18)</f>
        <v>20</v>
      </c>
      <c r="F18" s="43">
        <f>IFERROR(B18/E18,0)</f>
        <v>1.2644041819139206E-2</v>
      </c>
      <c r="G18">
        <f t="shared" si="4"/>
        <v>4142188.0999500044</v>
      </c>
      <c r="H18">
        <f t="shared" si="5"/>
        <v>207109.405</v>
      </c>
      <c r="I18">
        <f t="shared" si="6"/>
        <v>0.40499999999883585</v>
      </c>
      <c r="J18">
        <f t="shared" si="7"/>
        <v>2.4691358024762331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COUNTIF(tables_484100!C:C,input_484100!A19)-COUNTIF(Q:Q,A19)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E$6*E20*B$6-0.03</f>
        <v>0.31351857142857142</v>
      </c>
      <c r="C20" s="84">
        <f t="shared" si="2"/>
        <v>0</v>
      </c>
      <c r="D20" s="74">
        <f t="shared" si="3"/>
        <v>0.31351857142857142</v>
      </c>
      <c r="E20">
        <f>COUNTIF(tables_484100!C:C,input_484100!A20)-COUNTIF(Q:Q,A20)</f>
        <v>52</v>
      </c>
      <c r="F20" s="43">
        <f t="shared" si="8"/>
        <v>6.0292032967032968E-3</v>
      </c>
      <c r="G20">
        <f t="shared" si="4"/>
        <v>5135434.2</v>
      </c>
      <c r="H20">
        <f t="shared" si="5"/>
        <v>98758.35</v>
      </c>
      <c r="I20">
        <f t="shared" si="6"/>
        <v>0.35000000000582077</v>
      </c>
      <c r="J20">
        <f t="shared" si="7"/>
        <v>2.8571428570953405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2.8313614041514112E-3</v>
      </c>
      <c r="C21" s="84">
        <f t="shared" si="2"/>
        <v>0</v>
      </c>
      <c r="D21" s="74">
        <f t="shared" si="3"/>
        <v>2.8313614041514112E-3</v>
      </c>
      <c r="E21">
        <f>COUNTIF(tables_484100!C:C,input_484100!A21)-COUNTIF(Q:Q,A21)</f>
        <v>52</v>
      </c>
      <c r="F21" s="43">
        <f t="shared" si="8"/>
        <v>5.4449257772142525E-5</v>
      </c>
      <c r="G21">
        <f t="shared" si="4"/>
        <v>46377.699800000119</v>
      </c>
      <c r="H21">
        <f t="shared" si="5"/>
        <v>891.87883999999997</v>
      </c>
      <c r="I21">
        <f t="shared" si="6"/>
        <v>0.87883999999996831</v>
      </c>
      <c r="J21">
        <f t="shared" si="7"/>
        <v>1.1378635474034364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0.11314969780219782</v>
      </c>
      <c r="C22" s="84">
        <f t="shared" si="2"/>
        <v>8.5500000000000007E-2</v>
      </c>
      <c r="D22" s="74">
        <f t="shared" si="3"/>
        <v>2.7649697802197809E-2</v>
      </c>
      <c r="E22">
        <f>COUNTIF(tables_484100!C:C,input_484100!A22)-COUNTIF(Q:Q,A22)</f>
        <v>17</v>
      </c>
      <c r="F22" s="43">
        <f t="shared" si="8"/>
        <v>6.6558645765998712E-3</v>
      </c>
      <c r="G22">
        <f t="shared" si="4"/>
        <v>1853392.0500000003</v>
      </c>
      <c r="H22">
        <f t="shared" si="5"/>
        <v>109023.06176</v>
      </c>
      <c r="I22">
        <f t="shared" si="6"/>
        <v>6.17599999968661E-2</v>
      </c>
      <c r="J22">
        <f t="shared" si="7"/>
        <v>16.191709845381205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2.5092060439560429E-2</v>
      </c>
      <c r="C23" s="84">
        <f t="shared" si="2"/>
        <v>0.1245</v>
      </c>
      <c r="D23" s="74">
        <f t="shared" si="3"/>
        <v>-9.940793956043957E-2</v>
      </c>
      <c r="E23">
        <f>COUNTIF(tables_484100!C:C,input_484100!A23)-COUNTIF(Q:Q,A23)</f>
        <v>23</v>
      </c>
      <c r="F23" s="43">
        <f t="shared" si="8"/>
        <v>1.0909591495461056E-3</v>
      </c>
      <c r="G23">
        <f t="shared" si="4"/>
        <v>411007.94999999984</v>
      </c>
      <c r="H23">
        <f t="shared" si="5"/>
        <v>17869.91087</v>
      </c>
      <c r="I23">
        <f t="shared" si="6"/>
        <v>0.91086999999970431</v>
      </c>
      <c r="J23">
        <f t="shared" si="7"/>
        <v>1.0978515046058435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COUNTIF(tables_484100!C:C,input_484100!A24)-COUNTIF(Q:Q,A24)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2.6424505494505496E-2</v>
      </c>
      <c r="C25" s="84">
        <f t="shared" si="2"/>
        <v>0</v>
      </c>
      <c r="D25" s="74">
        <f t="shared" si="3"/>
        <v>2.6424505494505496E-2</v>
      </c>
      <c r="E25">
        <f>COUNTIF(tables_484100!C:C,input_484100!A25)-COUNTIF(Q:Q,A25)</f>
        <v>4</v>
      </c>
      <c r="F25" s="43">
        <f t="shared" si="8"/>
        <v>6.6061263736263741E-3</v>
      </c>
      <c r="G25">
        <f t="shared" si="4"/>
        <v>432833.4</v>
      </c>
      <c r="H25">
        <f t="shared" si="5"/>
        <v>108208.35</v>
      </c>
      <c r="I25">
        <f t="shared" si="6"/>
        <v>0.35000000000582077</v>
      </c>
      <c r="J25">
        <f t="shared" si="7"/>
        <v>2.8571428570953405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6.1029670329670318E-3</v>
      </c>
      <c r="C26" s="84">
        <f t="shared" si="2"/>
        <v>0</v>
      </c>
      <c r="D26" s="74">
        <f t="shared" si="3"/>
        <v>6.1029670329670318E-3</v>
      </c>
      <c r="E26">
        <f>COUNTIF(tables_484100!C:C,input_484100!A26)-COUNTIF(Q:Q,A26)</f>
        <v>4</v>
      </c>
      <c r="F26" s="43">
        <f t="shared" si="8"/>
        <v>1.525741758241758E-3</v>
      </c>
      <c r="G26">
        <f t="shared" si="4"/>
        <v>99966.599999999977</v>
      </c>
      <c r="H26">
        <f t="shared" si="5"/>
        <v>24991.65</v>
      </c>
      <c r="I26">
        <f t="shared" si="6"/>
        <v>0.65000000000145519</v>
      </c>
      <c r="J26">
        <f t="shared" si="7"/>
        <v>1.5384615384580942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9.0263888888888894E-3</v>
      </c>
      <c r="C27" s="84">
        <f t="shared" si="2"/>
        <v>0</v>
      </c>
      <c r="D27" s="74">
        <f t="shared" si="3"/>
        <v>9.0263888888888894E-3</v>
      </c>
      <c r="E27">
        <f>COUNTIF(tables_484100!C:C,input_484100!A27)-COUNTIF(Q:Q,A27)</f>
        <v>28</v>
      </c>
      <c r="F27" s="43">
        <f>IFERROR(B27/E27,0)</f>
        <v>3.2237103174603175E-4</v>
      </c>
      <c r="G27">
        <f t="shared" si="4"/>
        <v>147852.25</v>
      </c>
      <c r="H27">
        <f t="shared" si="5"/>
        <v>5280.4375</v>
      </c>
      <c r="I27">
        <f t="shared" si="6"/>
        <v>0.4375</v>
      </c>
      <c r="J27">
        <f t="shared" si="7"/>
        <v>2.2857142857142856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2.0847222222222222E-3</v>
      </c>
      <c r="C28" s="84">
        <f t="shared" si="2"/>
        <v>0</v>
      </c>
      <c r="D28" s="74">
        <f t="shared" si="3"/>
        <v>2.0847222222222222E-3</v>
      </c>
      <c r="E28">
        <f>COUNTIF(tables_484100!C:C,input_484100!A28)-COUNTIF(Q:Q,A28)</f>
        <v>28</v>
      </c>
      <c r="F28" s="43">
        <f t="shared" si="8"/>
        <v>7.4454365079365084E-5</v>
      </c>
      <c r="G28">
        <f t="shared" si="4"/>
        <v>34147.75</v>
      </c>
      <c r="H28">
        <f t="shared" si="5"/>
        <v>1219.5625</v>
      </c>
      <c r="I28">
        <f t="shared" si="6"/>
        <v>0.5625</v>
      </c>
      <c r="J28">
        <f t="shared" si="7"/>
        <v>1.7777777777777777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1.3888888888888888E-2</v>
      </c>
      <c r="C29" s="84">
        <f t="shared" si="2"/>
        <v>1.3125000000000001E-2</v>
      </c>
      <c r="D29" s="74">
        <f t="shared" si="3"/>
        <v>7.6388888888888687E-4</v>
      </c>
      <c r="E29">
        <f>COUNTIF(tables_484100!C:C,input_484100!A29)-COUNTIF(Q:Q,A29)</f>
        <v>35</v>
      </c>
      <c r="F29" s="43">
        <f t="shared" si="8"/>
        <v>3.9682539682539683E-4</v>
      </c>
      <c r="G29">
        <f t="shared" si="4"/>
        <v>227500</v>
      </c>
      <c r="H29">
        <f t="shared" si="5"/>
        <v>6500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COUNTIF(tables_484100!C:C,input_484100!A30)-COUNTIF(Q:Q,A30)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COUNTIF(tables_484100!C:C,input_484100!A31)-COUNTIF(Q:Q,A31)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0.76499999998473767</v>
      </c>
      <c r="C32" s="41">
        <f>SUM(C19:C31)</f>
        <v>0.22312500000000002</v>
      </c>
      <c r="D32" s="42">
        <f t="shared" si="3"/>
        <v>0.54187499998473765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7.0243473745421503E-2</v>
      </c>
      <c r="F34" s="55">
        <f ca="1">B6-G41</f>
        <v>4.8844261968383762E-12</v>
      </c>
    </row>
    <row r="35" spans="1:7" x14ac:dyDescent="0.15">
      <c r="A35" t="s">
        <v>73</v>
      </c>
      <c r="E35">
        <v>0.13762500001221001</v>
      </c>
      <c r="F35" s="101">
        <f ca="1">B7-G42</f>
        <v>1.8925472300423962E-11</v>
      </c>
    </row>
    <row r="36" spans="1:7" x14ac:dyDescent="0.15">
      <c r="A36" s="31">
        <f>LCM(F5-I5,F6-I6)*1000*2*2*5</f>
        <v>16380000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SUMIF(tables_484100!C:C,input_484100!A40,tables_484100!O:O)</f>
        <v>0</v>
      </c>
      <c r="C40" s="54">
        <f t="shared" ref="C40:C46" ca="1" si="9">B40/B$47</f>
        <v>0</v>
      </c>
      <c r="E40">
        <v>3</v>
      </c>
      <c r="F40">
        <f ca="1">SUMIF(tables_484100!J:J,input_484100!E40,tables_484100!O:O)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SUMIF(tables_484100!C:C,input_484100!A41,tables_484100!O:O)</f>
        <v>5135434.1999999993</v>
      </c>
      <c r="C41" s="54">
        <f t="shared" ca="1" si="9"/>
        <v>0.95742250027566689</v>
      </c>
      <c r="E41">
        <v>4</v>
      </c>
      <c r="F41">
        <f ca="1">SUMIF(tables_484100!J:J,input_484100!E41,tables_484100!O:O)</f>
        <v>13306702.499919994</v>
      </c>
      <c r="G41">
        <f ca="1">F41/A36</f>
        <v>0.81237499999511564</v>
      </c>
    </row>
    <row r="42" spans="1:7" x14ac:dyDescent="0.15">
      <c r="A42" s="33" t="s">
        <v>106</v>
      </c>
      <c r="B42">
        <f ca="1">SUMIF(tables_484100!C:C,input_484100!A42,tables_484100!O:O)</f>
        <v>147852.25</v>
      </c>
      <c r="C42" s="54">
        <f t="shared" ca="1" si="9"/>
        <v>2.7564771614907068E-2</v>
      </c>
      <c r="E42">
        <v>5</v>
      </c>
      <c r="F42">
        <f ca="1">SUMIF(tables_484100!J:J,input_484100!E42,tables_484100!O:O)</f>
        <v>3073297.4996900004</v>
      </c>
      <c r="G42">
        <f ca="1">F42/A36</f>
        <v>0.18762499998107451</v>
      </c>
    </row>
    <row r="43" spans="1:7" x14ac:dyDescent="0.15">
      <c r="A43" s="33" t="s">
        <v>109</v>
      </c>
      <c r="B43">
        <f>SUMIF(tables_484100!C:C,input_484100!A43,tables_484100!O:O)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SUMIF(tables_484100!C:C,input_484100!A44,tables_484100!O:O)</f>
        <v>46377.699679999983</v>
      </c>
      <c r="C44" s="54">
        <f t="shared" ca="1" si="9"/>
        <v>8.6464067993821409E-3</v>
      </c>
      <c r="E44" t="s">
        <v>54</v>
      </c>
      <c r="F44" s="55"/>
    </row>
    <row r="45" spans="1:7" x14ac:dyDescent="0.15">
      <c r="A45" s="33" t="s">
        <v>107</v>
      </c>
      <c r="B45">
        <f ca="1">SUMIF(tables_484100!C:C,input_484100!A45,tables_484100!O:O)</f>
        <v>34147.75</v>
      </c>
      <c r="C45" s="54">
        <f t="shared" ca="1" si="9"/>
        <v>6.3663213100439318E-3</v>
      </c>
      <c r="E45" t="s">
        <v>204</v>
      </c>
      <c r="F45" s="55">
        <f ca="1">SUMIF(tables_484100!I:I,input_484100!E45,tables_484100!P:P)</f>
        <v>0.25942659128944884</v>
      </c>
    </row>
    <row r="46" spans="1:7" x14ac:dyDescent="0.15">
      <c r="A46" s="33" t="s">
        <v>108</v>
      </c>
      <c r="B46">
        <f>SUMIF(tables_484100!C:C,input_484100!A46,tables_484100!O:O)</f>
        <v>0</v>
      </c>
      <c r="C46" s="54">
        <f t="shared" ca="1" si="9"/>
        <v>0</v>
      </c>
      <c r="E46" t="s">
        <v>205</v>
      </c>
      <c r="F46" s="55">
        <f ca="1">SUMIF(tables_484100!I:I,input_484100!E46,tables_484100!P:P)</f>
        <v>0.12781769782233501</v>
      </c>
    </row>
    <row r="47" spans="1:7" x14ac:dyDescent="0.15">
      <c r="A47" s="39" t="s">
        <v>59</v>
      </c>
      <c r="B47">
        <f ca="1">SUM(B40:B46)</f>
        <v>5363811.8996799989</v>
      </c>
      <c r="C47" s="55">
        <f ca="1">SUM(C40:C46)</f>
        <v>1</v>
      </c>
      <c r="E47" t="s">
        <v>206</v>
      </c>
      <c r="F47" s="55">
        <f ca="1">SUMIF(tables_484100!I:I,input_484100!E47,tables_484100!P:P)</f>
        <v>0.5627557108870247</v>
      </c>
    </row>
    <row r="48" spans="1:7" x14ac:dyDescent="0.15">
      <c r="E48" t="s">
        <v>207</v>
      </c>
      <c r="F48" s="55">
        <f ca="1">SUMIF(tables_484100!I:I,input_484100!E48,tables_484100!P:P)</f>
        <v>4.7619047620181376E-2</v>
      </c>
    </row>
    <row r="49" spans="5:6" x14ac:dyDescent="0.15">
      <c r="E49" t="s">
        <v>250</v>
      </c>
      <c r="F49" s="55">
        <f ca="1">SUMIF(tables_484100!I:I,input_484100!E49,tables_484100!P:P)</f>
        <v>2.3809523810090676E-3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1"/>
  <sheetViews>
    <sheetView showGridLines="0" tabSelected="1" zoomScale="75" zoomScaleNormal="75" zoomScalePageLayoutView="75" workbookViewId="0">
      <pane ySplit="1" topLeftCell="A327" activePane="bottomLeft" state="frozen"/>
      <selection activeCell="D34" sqref="D34"/>
      <selection pane="bottomLeft" activeCell="V350" sqref="V3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input_484100!A$2</f>
        <v>484100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IFERROR(VLOOKUP(B2,input_484100!L:R,7,FALSE),VLOOKUP(tables_484100!C2,input_484100!A:H,8,FALSE))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input_484100!A$2</f>
        <v>484100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IFERROR(VLOOKUP(B3,input_484100!L:R,7,FALSE),VLOOKUP(tables_484100!C3,input_484100!A:H,8,FALSE))</f>
        <v>207109.405</v>
      </c>
      <c r="P3" s="46">
        <f t="shared" ca="1" si="1"/>
        <v>1.2644041819592855E-2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input_484100!A$2</f>
        <v>484100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IFERROR(VLOOKUP(B4,input_484100!L:R,7,FALSE),VLOOKUP(tables_484100!C4,input_484100!A:H,8,FALSE))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input_484100!A$2</f>
        <v>484100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IFERROR(VLOOKUP(B5,input_484100!L:R,7,FALSE),VLOOKUP(tables_484100!C5,input_484100!A:H,8,FALSE))</f>
        <v>207109.405</v>
      </c>
      <c r="P5" s="46">
        <f t="shared" ca="1" si="1"/>
        <v>1.2644041819592855E-2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input_484100!A$2</f>
        <v>484100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IFERROR(VLOOKUP(B6,input_484100!L:R,7,FALSE),VLOOKUP(tables_484100!C6,input_484100!A:H,8,FALSE))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input_484100!A$2</f>
        <v>484100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IFERROR(VLOOKUP(B7,input_484100!L:R,7,FALSE),VLOOKUP(tables_484100!C7,input_484100!A:H,8,FALSE))</f>
        <v>207109.405</v>
      </c>
      <c r="P7" s="46">
        <f t="shared" ca="1" si="1"/>
        <v>1.2644041819592855E-2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input_484100!A$2</f>
        <v>484100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IFERROR(VLOOKUP(B8,input_484100!L:R,7,FALSE),VLOOKUP(tables_484100!C8,input_484100!A:H,8,FALSE))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input_484100!A$2</f>
        <v>484100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IFERROR(VLOOKUP(B9,input_484100!L:R,7,FALSE),VLOOKUP(tables_484100!C9,input_484100!A:H,8,FALSE))</f>
        <v>207109.405</v>
      </c>
      <c r="P9" s="46">
        <f t="shared" ca="1" si="1"/>
        <v>1.2644041819592855E-2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input_484100!A$2</f>
        <v>484100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IFERROR(VLOOKUP(B10,input_484100!L:R,7,FALSE),VLOOKUP(tables_484100!C10,input_484100!A:H,8,FALSE))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input_484100!A$2</f>
        <v>484100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IFERROR(VLOOKUP(B11,input_484100!L:R,7,FALSE),VLOOKUP(tables_484100!C11,input_484100!A:H,8,FALSE))</f>
        <v>207109.405</v>
      </c>
      <c r="P11" s="46">
        <f t="shared" ca="1" si="1"/>
        <v>1.2644041819592855E-2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input_484100!A$2</f>
        <v>484100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IFERROR(VLOOKUP(B12,input_484100!L:R,7,FALSE),VLOOKUP(tables_484100!C12,input_484100!A:H,8,FALSE))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input_484100!A$2</f>
        <v>484100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IFERROR(VLOOKUP(B13,input_484100!L:R,7,FALSE),VLOOKUP(tables_484100!C13,input_484100!A:H,8,FALSE))</f>
        <v>207109.405</v>
      </c>
      <c r="P13" s="46">
        <f t="shared" ca="1" si="1"/>
        <v>1.2644041819592855E-2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input_484100!A$2</f>
        <v>484100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IFERROR(VLOOKUP(B14,input_484100!L:R,7,FALSE),VLOOKUP(tables_484100!C14,input_484100!A:H,8,FALSE))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input_484100!A$2</f>
        <v>484100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IFERROR(VLOOKUP(B15,input_484100!L:R,7,FALSE),VLOOKUP(tables_484100!C15,input_484100!A:H,8,FALSE))</f>
        <v>207109.405</v>
      </c>
      <c r="P15" s="46">
        <f t="shared" ca="1" si="1"/>
        <v>1.2644041819592855E-2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input_484100!A$2</f>
        <v>484100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IFERROR(VLOOKUP(B16,input_484100!L:R,7,FALSE),VLOOKUP(tables_484100!C16,input_484100!A:H,8,FALSE))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input_484100!A$2</f>
        <v>484100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IFERROR(VLOOKUP(B17,input_484100!L:R,7,FALSE),VLOOKUP(tables_484100!C17,input_484100!A:H,8,FALSE))</f>
        <v>207109.405</v>
      </c>
      <c r="P17" s="46">
        <f t="shared" ca="1" si="1"/>
        <v>1.2644041819592855E-2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input_484100!A$2</f>
        <v>484100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IFERROR(VLOOKUP(B18,input_484100!L:R,7,FALSE),VLOOKUP(tables_484100!C18,input_484100!A:H,8,FALSE))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input_484100!A$2</f>
        <v>484100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IFERROR(VLOOKUP(B19,input_484100!L:R,7,FALSE),VLOOKUP(tables_484100!C19,input_484100!A:H,8,FALSE))</f>
        <v>207109.405</v>
      </c>
      <c r="P19" s="46">
        <f t="shared" ca="1" si="1"/>
        <v>1.2644041819592855E-2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input_484100!A$2</f>
        <v>484100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IFERROR(VLOOKUP(B20,input_484100!L:R,7,FALSE),VLOOKUP(tables_484100!C20,input_484100!A:H,8,FALSE))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input_484100!A$2</f>
        <v>484100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IFERROR(VLOOKUP(B21,input_484100!L:R,7,FALSE),VLOOKUP(tables_484100!C21,input_484100!A:H,8,FALSE))</f>
        <v>207109.405</v>
      </c>
      <c r="P21" s="46">
        <f t="shared" ca="1" si="1"/>
        <v>1.2644041819592855E-2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input_484100!A$2</f>
        <v>484100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IFERROR(VLOOKUP(B22,input_484100!L:R,7,FALSE),VLOOKUP(tables_484100!C22,input_484100!A:H,8,FALSE))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input_484100!A$2</f>
        <v>484100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IFERROR(VLOOKUP(B23,input_484100!L:R,7,FALSE),VLOOKUP(tables_484100!C23,input_484100!A:H,8,FALSE))</f>
        <v>207109.405</v>
      </c>
      <c r="P23" s="46">
        <f t="shared" ca="1" si="1"/>
        <v>1.2644041819592855E-2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input_484100!A$2</f>
        <v>484100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IFERROR(VLOOKUP(B24,input_484100!L:R,7,FALSE),VLOOKUP(tables_484100!C24,input_484100!A:H,8,FALSE))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input_484100!A$2</f>
        <v>484100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IFERROR(VLOOKUP(B25,input_484100!L:R,7,FALSE),VLOOKUP(tables_484100!C25,input_484100!A:H,8,FALSE))</f>
        <v>207109.405</v>
      </c>
      <c r="P25" s="46">
        <f t="shared" ca="1" si="1"/>
        <v>1.2644041819592855E-2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input_484100!A$2</f>
        <v>484100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IFERROR(VLOOKUP(B26,input_484100!L:R,7,FALSE),VLOOKUP(tables_484100!C26,input_484100!A:H,8,FALSE))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input_484100!A$2</f>
        <v>484100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IFERROR(VLOOKUP(B27,input_484100!L:R,7,FALSE),VLOOKUP(tables_484100!C27,input_484100!A:H,8,FALSE))</f>
        <v>207109.405</v>
      </c>
      <c r="P27" s="46">
        <f t="shared" ca="1" si="1"/>
        <v>1.2644041819592855E-2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input_484100!A$2</f>
        <v>484100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IFERROR(VLOOKUP(B28,input_484100!L:R,7,FALSE),VLOOKUP(tables_484100!C28,input_484100!A:H,8,FALSE))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input_484100!A$2</f>
        <v>484100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IFERROR(VLOOKUP(B29,input_484100!L:R,7,FALSE),VLOOKUP(tables_484100!C29,input_484100!A:H,8,FALSE))</f>
        <v>207109.405</v>
      </c>
      <c r="P29" s="46">
        <f t="shared" ca="1" si="1"/>
        <v>1.2644041819592855E-2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input_484100!A$2</f>
        <v>484100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IFERROR(VLOOKUP(B30,input_484100!L:R,7,FALSE),VLOOKUP(tables_484100!C30,input_484100!A:H,8,FALSE))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input_484100!A$2</f>
        <v>484100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IFERROR(VLOOKUP(B31,input_484100!L:R,7,FALSE),VLOOKUP(tables_484100!C31,input_484100!A:H,8,FALSE))</f>
        <v>207109.405</v>
      </c>
      <c r="P31" s="46">
        <f t="shared" ca="1" si="1"/>
        <v>1.2644041819592855E-2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input_484100!A$2</f>
        <v>484100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IFERROR(VLOOKUP(B32,input_484100!L:R,7,FALSE),VLOOKUP(tables_484100!C32,input_484100!A:H,8,FALSE))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input_484100!A$2</f>
        <v>484100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IFERROR(VLOOKUP(B33,input_484100!L:R,7,FALSE),VLOOKUP(tables_484100!C33,input_484100!A:H,8,FALSE))</f>
        <v>207109.405</v>
      </c>
      <c r="P33" s="46">
        <f t="shared" ca="1" si="1"/>
        <v>1.2644041819592855E-2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input_484100!A$2</f>
        <v>484100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IFERROR(VLOOKUP(B34,input_484100!L:R,7,FALSE),VLOOKUP(tables_484100!C34,input_484100!A:H,8,FALSE))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input_484100!A$2</f>
        <v>484100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IFERROR(VLOOKUP(B35,input_484100!L:R,7,FALSE),VLOOKUP(tables_484100!C35,input_484100!A:H,8,FALSE))</f>
        <v>207109.405</v>
      </c>
      <c r="P35" s="46">
        <f t="shared" ca="1" si="1"/>
        <v>1.2644041819592855E-2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input_484100!A$2</f>
        <v>484100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IFERROR(VLOOKUP(B36,input_484100!L:R,7,FALSE),VLOOKUP(tables_484100!C36,input_484100!A:H,8,FALSE))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input_484100!A$2</f>
        <v>484100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IFERROR(VLOOKUP(B37,input_484100!L:R,7,FALSE),VLOOKUP(tables_484100!C37,input_484100!A:H,8,FALSE))</f>
        <v>207109.405</v>
      </c>
      <c r="P37" s="46">
        <f t="shared" ca="1" si="1"/>
        <v>1.2644041819592855E-2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input_484100!A$2</f>
        <v>484100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IFERROR(VLOOKUP(B38,input_484100!L:R,7,FALSE),VLOOKUP(tables_484100!C38,input_484100!A:H,8,FALSE))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input_484100!A$2</f>
        <v>484100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IFERROR(VLOOKUP(B39,input_484100!L:R,7,FALSE),VLOOKUP(tables_484100!C39,input_484100!A:H,8,FALSE))</f>
        <v>207109.405</v>
      </c>
      <c r="P39" s="46">
        <f t="shared" ca="1" si="1"/>
        <v>1.2644041819592855E-2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input_484100!A$2</f>
        <v>484100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IFERROR(VLOOKUP(B40,input_484100!L:R,7,FALSE),VLOOKUP(tables_484100!C40,input_484100!A:H,8,FALSE))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input_484100!A$2</f>
        <v>484100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IFERROR(VLOOKUP(B41,input_484100!L:R,7,FALSE),VLOOKUP(tables_484100!C41,input_484100!A:H,8,FALSE))</f>
        <v>207109.405</v>
      </c>
      <c r="P41" s="46">
        <f t="shared" ca="1" si="1"/>
        <v>1.2644041819592855E-2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input_484100!A$2</f>
        <v>484100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IFERROR(VLOOKUP(B42,input_484100!L:R,7,FALSE),VLOOKUP(tables_484100!C42,input_484100!A:H,8,FALSE))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input_484100!A$2</f>
        <v>484100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IFERROR(VLOOKUP(B43,input_484100!L:R,7,FALSE),VLOOKUP(tables_484100!C43,input_484100!A:H,8,FALSE))</f>
        <v>108208.35</v>
      </c>
      <c r="P43" s="46">
        <f t="shared" ca="1" si="1"/>
        <v>6.6061263737836563E-3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input_484100!A$2</f>
        <v>484100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IFERROR(VLOOKUP(B44,input_484100!L:R,7,FALSE),VLOOKUP(tables_484100!C44,input_484100!A:H,8,FALSE))</f>
        <v>24991.65</v>
      </c>
      <c r="P44" s="46">
        <f t="shared" ca="1" si="1"/>
        <v>1.5257417582780839E-3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input_484100!A$2</f>
        <v>484100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IFERROR(VLOOKUP(B45,input_484100!L:R,7,FALSE),VLOOKUP(tables_484100!C45,input_484100!A:H,8,FALSE))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input_484100!A$2</f>
        <v>484100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IFERROR(VLOOKUP(B46,input_484100!L:R,7,FALSE),VLOOKUP(tables_484100!C46,input_484100!A:H,8,FALSE))</f>
        <v>108208.35</v>
      </c>
      <c r="P46" s="46">
        <f t="shared" ca="1" si="1"/>
        <v>6.6061263737836563E-3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input_484100!A$2</f>
        <v>484100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IFERROR(VLOOKUP(B47,input_484100!L:R,7,FALSE),VLOOKUP(tables_484100!C47,input_484100!A:H,8,FALSE))</f>
        <v>24991.65</v>
      </c>
      <c r="P47" s="46">
        <f t="shared" ca="1" si="1"/>
        <v>1.5257417582780839E-3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input_484100!A$2</f>
        <v>484100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IFERROR(VLOOKUP(B48,input_484100!L:R,7,FALSE),VLOOKUP(tables_484100!C48,input_484100!A:H,8,FALSE))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input_484100!A$2</f>
        <v>484100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IFERROR(VLOOKUP(B49,input_484100!L:R,7,FALSE),VLOOKUP(tables_484100!C49,input_484100!A:H,8,FALSE))</f>
        <v>108208.35</v>
      </c>
      <c r="P49" s="46">
        <f t="shared" ca="1" si="1"/>
        <v>6.6061263737836563E-3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input_484100!A$2</f>
        <v>484100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IFERROR(VLOOKUP(B50,input_484100!L:R,7,FALSE),VLOOKUP(tables_484100!C50,input_484100!A:H,8,FALSE))</f>
        <v>24991.65</v>
      </c>
      <c r="P50" s="46">
        <f t="shared" ca="1" si="1"/>
        <v>1.5257417582780839E-3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input_484100!A$2</f>
        <v>484100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IFERROR(VLOOKUP(B51,input_484100!L:R,7,FALSE),VLOOKUP(tables_484100!C51,input_484100!A:H,8,FALSE))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input_484100!A$2</f>
        <v>484100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IFERROR(VLOOKUP(B52,input_484100!L:R,7,FALSE),VLOOKUP(tables_484100!C52,input_484100!A:H,8,FALSE))</f>
        <v>98758.35</v>
      </c>
      <c r="P52" s="46">
        <f t="shared" ca="1" si="1"/>
        <v>6.0292032968468435E-3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input_484100!A$2</f>
        <v>484100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IFERROR(VLOOKUP(B53,input_484100!L:R,7,FALSE),VLOOKUP(tables_484100!C53,input_484100!A:H,8,FALSE))</f>
        <v>891.87883999999997</v>
      </c>
      <c r="P53" s="46">
        <f t="shared" ca="1" si="1"/>
        <v>5.4449257632553989E-5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input_484100!A$2</f>
        <v>484100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IFERROR(VLOOKUP(B54,input_484100!L:R,7,FALSE),VLOOKUP(tables_484100!C54,input_484100!A:H,8,FALSE))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input_484100!A$2</f>
        <v>484100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IFERROR(VLOOKUP(B55,input_484100!L:R,7,FALSE),VLOOKUP(tables_484100!C55,input_484100!A:H,8,FALSE))</f>
        <v>98758.35</v>
      </c>
      <c r="P55" s="46">
        <f t="shared" ca="1" si="1"/>
        <v>6.0292032968468435E-3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input_484100!A$2</f>
        <v>484100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IFERROR(VLOOKUP(B56,input_484100!L:R,7,FALSE),VLOOKUP(tables_484100!C56,input_484100!A:H,8,FALSE))</f>
        <v>891.87883999999997</v>
      </c>
      <c r="P56" s="46">
        <f t="shared" ca="1" si="1"/>
        <v>5.4449257632553989E-5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input_484100!A$2</f>
        <v>484100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IFERROR(VLOOKUP(B57,input_484100!L:R,7,FALSE),VLOOKUP(tables_484100!C57,input_484100!A:H,8,FALSE))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input_484100!A$2</f>
        <v>484100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IFERROR(VLOOKUP(B58,input_484100!L:R,7,FALSE),VLOOKUP(tables_484100!C58,input_484100!A:H,8,FALSE))</f>
        <v>98758.35</v>
      </c>
      <c r="P58" s="46">
        <f t="shared" ca="1" si="1"/>
        <v>6.0292032968468435E-3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input_484100!A$2</f>
        <v>484100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IFERROR(VLOOKUP(B59,input_484100!L:R,7,FALSE),VLOOKUP(tables_484100!C59,input_484100!A:H,8,FALSE))</f>
        <v>891.87883999999997</v>
      </c>
      <c r="P59" s="46">
        <f t="shared" ca="1" si="1"/>
        <v>5.4449257632553989E-5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input_484100!A$2</f>
        <v>484100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IFERROR(VLOOKUP(B60,input_484100!L:R,7,FALSE),VLOOKUP(tables_484100!C60,input_484100!A:H,8,FALSE))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input_484100!A$2</f>
        <v>484100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IFERROR(VLOOKUP(B61,input_484100!L:R,7,FALSE),VLOOKUP(tables_484100!C61,input_484100!A:H,8,FALSE))</f>
        <v>98758.35</v>
      </c>
      <c r="P61" s="46">
        <f t="shared" ca="1" si="1"/>
        <v>6.0292032968468435E-3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input_484100!A$2</f>
        <v>484100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IFERROR(VLOOKUP(B62,input_484100!L:R,7,FALSE),VLOOKUP(tables_484100!C62,input_484100!A:H,8,FALSE))</f>
        <v>891.87883999999997</v>
      </c>
      <c r="P62" s="46">
        <f t="shared" ca="1" si="1"/>
        <v>5.4449257632553989E-5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input_484100!A$2</f>
        <v>484100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IFERROR(VLOOKUP(B63,input_484100!L:R,7,FALSE),VLOOKUP(tables_484100!C63,input_484100!A:H,8,FALSE))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input_484100!A$2</f>
        <v>484100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IFERROR(VLOOKUP(B64,input_484100!L:R,7,FALSE),VLOOKUP(tables_484100!C64,input_484100!A:H,8,FALSE))</f>
        <v>98758.35</v>
      </c>
      <c r="P64" s="46">
        <f t="shared" ca="1" si="1"/>
        <v>6.0292032968468435E-3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input_484100!A$2</f>
        <v>484100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IFERROR(VLOOKUP(B65,input_484100!L:R,7,FALSE),VLOOKUP(tables_484100!C65,input_484100!A:H,8,FALSE))</f>
        <v>891.87883999999997</v>
      </c>
      <c r="P65" s="46">
        <f t="shared" ca="1" si="1"/>
        <v>5.4449257632553989E-5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input_484100!A$2</f>
        <v>484100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IFERROR(VLOOKUP(B66,input_484100!L:R,7,FALSE),VLOOKUP(tables_484100!C66,input_484100!A:H,8,FALSE))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input_484100!A$2</f>
        <v>484100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IFERROR(VLOOKUP(B67,input_484100!L:R,7,FALSE),VLOOKUP(tables_484100!C67,input_484100!A:H,8,FALSE))</f>
        <v>98758.35</v>
      </c>
      <c r="P67" s="46">
        <f t="shared" ca="1" si="4"/>
        <v>6.0292032968468435E-3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input_484100!A$2</f>
        <v>484100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IFERROR(VLOOKUP(B68,input_484100!L:R,7,FALSE),VLOOKUP(tables_484100!C68,input_484100!A:H,8,FALSE))</f>
        <v>891.87883999999997</v>
      </c>
      <c r="P68" s="46">
        <f t="shared" ca="1" si="4"/>
        <v>5.4449257632553989E-5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input_484100!A$2</f>
        <v>484100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IFERROR(VLOOKUP(B69,input_484100!L:R,7,FALSE),VLOOKUP(tables_484100!C69,input_484100!A:H,8,FALSE))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input_484100!A$2</f>
        <v>484100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IFERROR(VLOOKUP(B70,input_484100!L:R,7,FALSE),VLOOKUP(tables_484100!C70,input_484100!A:H,8,FALSE))</f>
        <v>98758.35</v>
      </c>
      <c r="P70" s="46">
        <f t="shared" ca="1" si="4"/>
        <v>6.0292032968468435E-3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input_484100!A$2</f>
        <v>484100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IFERROR(VLOOKUP(B71,input_484100!L:R,7,FALSE),VLOOKUP(tables_484100!C71,input_484100!A:H,8,FALSE))</f>
        <v>891.87883999999997</v>
      </c>
      <c r="P71" s="46">
        <f t="shared" ca="1" si="4"/>
        <v>5.4449257632553989E-5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input_484100!A$2</f>
        <v>484100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IFERROR(VLOOKUP(B72,input_484100!L:R,7,FALSE),VLOOKUP(tables_484100!C72,input_484100!A:H,8,FALSE))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input_484100!A$2</f>
        <v>484100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IFERROR(VLOOKUP(B73,input_484100!L:R,7,FALSE),VLOOKUP(tables_484100!C73,input_484100!A:H,8,FALSE))</f>
        <v>98758.35</v>
      </c>
      <c r="P73" s="46">
        <f t="shared" ca="1" si="4"/>
        <v>6.0292032968468435E-3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input_484100!A$2</f>
        <v>484100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IFERROR(VLOOKUP(B74,input_484100!L:R,7,FALSE),VLOOKUP(tables_484100!C74,input_484100!A:H,8,FALSE))</f>
        <v>891.87883999999997</v>
      </c>
      <c r="P74" s="46">
        <f t="shared" ca="1" si="4"/>
        <v>5.4449257632553989E-5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input_484100!A$2</f>
        <v>484100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IFERROR(VLOOKUP(B75,input_484100!L:R,7,FALSE),VLOOKUP(tables_484100!C75,input_484100!A:H,8,FALSE))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input_484100!A$2</f>
        <v>484100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IFERROR(VLOOKUP(B76,input_484100!L:R,7,FALSE),VLOOKUP(tables_484100!C76,input_484100!A:H,8,FALSE))</f>
        <v>98758.35</v>
      </c>
      <c r="P76" s="46">
        <f t="shared" ca="1" si="4"/>
        <v>6.0292032968468435E-3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input_484100!A$2</f>
        <v>484100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IFERROR(VLOOKUP(B77,input_484100!L:R,7,FALSE),VLOOKUP(tables_484100!C77,input_484100!A:H,8,FALSE))</f>
        <v>891.87883999999997</v>
      </c>
      <c r="P77" s="46">
        <f t="shared" ca="1" si="4"/>
        <v>5.4449257632553989E-5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input_484100!A$2</f>
        <v>484100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IFERROR(VLOOKUP(B78,input_484100!L:R,7,FALSE),VLOOKUP(tables_484100!C78,input_484100!A:H,8,FALSE))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input_484100!A$2</f>
        <v>484100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IFERROR(VLOOKUP(B79,input_484100!L:R,7,FALSE),VLOOKUP(tables_484100!C79,input_484100!A:H,8,FALSE))</f>
        <v>98758.35</v>
      </c>
      <c r="P79" s="46">
        <f t="shared" ca="1" si="4"/>
        <v>6.0292032968468435E-3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input_484100!A$2</f>
        <v>484100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IFERROR(VLOOKUP(B80,input_484100!L:R,7,FALSE),VLOOKUP(tables_484100!C80,input_484100!A:H,8,FALSE))</f>
        <v>891.87883999999997</v>
      </c>
      <c r="P80" s="46">
        <f t="shared" ca="1" si="4"/>
        <v>5.4449257632553989E-5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input_484100!A$2</f>
        <v>484100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IFERROR(VLOOKUP(B81,input_484100!L:R,7,FALSE),VLOOKUP(tables_484100!C81,input_484100!A:H,8,FALSE))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input_484100!A$2</f>
        <v>484100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IFERROR(VLOOKUP(B82,input_484100!L:R,7,FALSE),VLOOKUP(tables_484100!C82,input_484100!A:H,8,FALSE))</f>
        <v>98758.35</v>
      </c>
      <c r="P82" s="46">
        <f t="shared" ca="1" si="4"/>
        <v>6.0292032968468435E-3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input_484100!A$2</f>
        <v>484100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IFERROR(VLOOKUP(B83,input_484100!L:R,7,FALSE),VLOOKUP(tables_484100!C83,input_484100!A:H,8,FALSE))</f>
        <v>891.87883999999997</v>
      </c>
      <c r="P83" s="46">
        <f t="shared" ca="1" si="4"/>
        <v>5.4449257632553989E-5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input_484100!A$2</f>
        <v>484100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IFERROR(VLOOKUP(B84,input_484100!L:R,7,FALSE),VLOOKUP(tables_484100!C84,input_484100!A:H,8,FALSE))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input_484100!A$2</f>
        <v>484100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IFERROR(VLOOKUP(B85,input_484100!L:R,7,FALSE),VLOOKUP(tables_484100!C85,input_484100!A:H,8,FALSE))</f>
        <v>98758.35</v>
      </c>
      <c r="P85" s="46">
        <f t="shared" ca="1" si="4"/>
        <v>6.0292032968468435E-3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input_484100!A$2</f>
        <v>484100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IFERROR(VLOOKUP(B86,input_484100!L:R,7,FALSE),VLOOKUP(tables_484100!C86,input_484100!A:H,8,FALSE))</f>
        <v>891.87883999999997</v>
      </c>
      <c r="P86" s="46">
        <f t="shared" ca="1" si="4"/>
        <v>5.4449257632553989E-5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input_484100!A$2</f>
        <v>484100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IFERROR(VLOOKUP(B87,input_484100!L:R,7,FALSE),VLOOKUP(tables_484100!C87,input_484100!A:H,8,FALSE))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input_484100!A$2</f>
        <v>484100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IFERROR(VLOOKUP(B88,input_484100!L:R,7,FALSE),VLOOKUP(tables_484100!C88,input_484100!A:H,8,FALSE))</f>
        <v>98758.35</v>
      </c>
      <c r="P88" s="46">
        <f t="shared" ca="1" si="4"/>
        <v>6.0292032968468435E-3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input_484100!A$2</f>
        <v>484100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IFERROR(VLOOKUP(B89,input_484100!L:R,7,FALSE),VLOOKUP(tables_484100!C89,input_484100!A:H,8,FALSE))</f>
        <v>891.87883999999997</v>
      </c>
      <c r="P89" s="46">
        <f t="shared" ca="1" si="4"/>
        <v>5.4449257632553989E-5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input_484100!A$2</f>
        <v>484100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IFERROR(VLOOKUP(B90,input_484100!L:R,7,FALSE),VLOOKUP(tables_484100!C90,input_484100!A:H,8,FALSE))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input_484100!A$2</f>
        <v>484100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IFERROR(VLOOKUP(B91,input_484100!L:R,7,FALSE),VLOOKUP(tables_484100!C91,input_484100!A:H,8,FALSE))</f>
        <v>98758.35</v>
      </c>
      <c r="P91" s="46">
        <f t="shared" ca="1" si="4"/>
        <v>6.0292032968468435E-3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input_484100!A$2</f>
        <v>484100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IFERROR(VLOOKUP(B92,input_484100!L:R,7,FALSE),VLOOKUP(tables_484100!C92,input_484100!A:H,8,FALSE))</f>
        <v>891.87883999999997</v>
      </c>
      <c r="P92" s="46">
        <f t="shared" ca="1" si="4"/>
        <v>5.4449257632553989E-5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input_484100!A$2</f>
        <v>484100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IFERROR(VLOOKUP(B93,input_484100!L:R,7,FALSE),VLOOKUP(tables_484100!C93,input_484100!A:H,8,FALSE))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input_484100!A$2</f>
        <v>484100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IFERROR(VLOOKUP(B94,input_484100!L:R,7,FALSE),VLOOKUP(tables_484100!C94,input_484100!A:H,8,FALSE))</f>
        <v>98758.35</v>
      </c>
      <c r="P94" s="46">
        <f t="shared" ca="1" si="4"/>
        <v>6.0292032968468435E-3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input_484100!A$2</f>
        <v>484100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IFERROR(VLOOKUP(B95,input_484100!L:R,7,FALSE),VLOOKUP(tables_484100!C95,input_484100!A:H,8,FALSE))</f>
        <v>891.87883999999997</v>
      </c>
      <c r="P95" s="46">
        <f t="shared" ca="1" si="4"/>
        <v>5.4449257632553989E-5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input_484100!A$2</f>
        <v>484100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IFERROR(VLOOKUP(B96,input_484100!L:R,7,FALSE),VLOOKUP(tables_484100!C96,input_484100!A:H,8,FALSE))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input_484100!A$2</f>
        <v>484100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IFERROR(VLOOKUP(B97,input_484100!L:R,7,FALSE),VLOOKUP(tables_484100!C97,input_484100!A:H,8,FALSE))</f>
        <v>98758.35</v>
      </c>
      <c r="P97" s="46">
        <f t="shared" ca="1" si="4"/>
        <v>6.0292032968468435E-3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input_484100!A$2</f>
        <v>484100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IFERROR(VLOOKUP(B98,input_484100!L:R,7,FALSE),VLOOKUP(tables_484100!C98,input_484100!A:H,8,FALSE))</f>
        <v>891.87883999999997</v>
      </c>
      <c r="P98" s="46">
        <f t="shared" ca="1" si="4"/>
        <v>5.4449257632553989E-5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input_484100!A$2</f>
        <v>484100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IFERROR(VLOOKUP(B99,input_484100!L:R,7,FALSE),VLOOKUP(tables_484100!C99,input_484100!A:H,8,FALSE))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input_484100!A$2</f>
        <v>484100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IFERROR(VLOOKUP(B100,input_484100!L:R,7,FALSE),VLOOKUP(tables_484100!C100,input_484100!A:H,8,FALSE))</f>
        <v>98758.35</v>
      </c>
      <c r="P100" s="46">
        <f t="shared" ca="1" si="4"/>
        <v>6.0292032968468435E-3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input_484100!A$2</f>
        <v>484100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IFERROR(VLOOKUP(B101,input_484100!L:R,7,FALSE),VLOOKUP(tables_484100!C101,input_484100!A:H,8,FALSE))</f>
        <v>891.87883999999997</v>
      </c>
      <c r="P101" s="46">
        <f t="shared" ca="1" si="4"/>
        <v>5.4449257632553989E-5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input_484100!A$2</f>
        <v>484100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IFERROR(VLOOKUP(B102,input_484100!L:R,7,FALSE),VLOOKUP(tables_484100!C102,input_484100!A:H,8,FALSE))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input_484100!A$2</f>
        <v>484100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IFERROR(VLOOKUP(B103,input_484100!L:R,7,FALSE),VLOOKUP(tables_484100!C103,input_484100!A:H,8,FALSE))</f>
        <v>98758.35</v>
      </c>
      <c r="P103" s="46">
        <f t="shared" ca="1" si="4"/>
        <v>6.0292032968468435E-3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input_484100!A$2</f>
        <v>484100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IFERROR(VLOOKUP(B104,input_484100!L:R,7,FALSE),VLOOKUP(tables_484100!C104,input_484100!A:H,8,FALSE))</f>
        <v>891.87883999999997</v>
      </c>
      <c r="P104" s="46">
        <f t="shared" ca="1" si="4"/>
        <v>5.4449257632553989E-5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input_484100!A$2</f>
        <v>484100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IFERROR(VLOOKUP(B105,input_484100!L:R,7,FALSE),VLOOKUP(tables_484100!C105,input_484100!A:H,8,FALSE))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input_484100!A$2</f>
        <v>484100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IFERROR(VLOOKUP(B106,input_484100!L:R,7,FALSE),VLOOKUP(tables_484100!C106,input_484100!A:H,8,FALSE))</f>
        <v>98758.35</v>
      </c>
      <c r="P106" s="46">
        <f t="shared" ca="1" si="4"/>
        <v>6.0292032968468435E-3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input_484100!A$2</f>
        <v>484100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IFERROR(VLOOKUP(B107,input_484100!L:R,7,FALSE),VLOOKUP(tables_484100!C107,input_484100!A:H,8,FALSE))</f>
        <v>891.87883999999997</v>
      </c>
      <c r="P107" s="46">
        <f t="shared" ca="1" si="4"/>
        <v>5.4449257632553989E-5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input_484100!A$2</f>
        <v>484100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IFERROR(VLOOKUP(B108,input_484100!L:R,7,FALSE),VLOOKUP(tables_484100!C108,input_484100!A:H,8,FALSE))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input_484100!A$2</f>
        <v>484100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IFERROR(VLOOKUP(B109,input_484100!L:R,7,FALSE),VLOOKUP(tables_484100!C109,input_484100!A:H,8,FALSE))</f>
        <v>98758.35</v>
      </c>
      <c r="P109" s="46">
        <f t="shared" ca="1" si="4"/>
        <v>6.0292032968468435E-3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input_484100!A$2</f>
        <v>484100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IFERROR(VLOOKUP(B110,input_484100!L:R,7,FALSE),VLOOKUP(tables_484100!C110,input_484100!A:H,8,FALSE))</f>
        <v>891.87883999999997</v>
      </c>
      <c r="P110" s="46">
        <f t="shared" ca="1" si="4"/>
        <v>5.4449257632553989E-5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input_484100!A$2</f>
        <v>484100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IFERROR(VLOOKUP(B111,input_484100!L:R,7,FALSE),VLOOKUP(tables_484100!C111,input_484100!A:H,8,FALSE))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input_484100!A$2</f>
        <v>484100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IFERROR(VLOOKUP(B112,input_484100!L:R,7,FALSE),VLOOKUP(tables_484100!C112,input_484100!A:H,8,FALSE))</f>
        <v>108208.35</v>
      </c>
      <c r="P112" s="46">
        <f t="shared" ca="1" si="4"/>
        <v>6.6061263737836563E-3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input_484100!A$2</f>
        <v>484100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IFERROR(VLOOKUP(B113,input_484100!L:R,7,FALSE),VLOOKUP(tables_484100!C113,input_484100!A:H,8,FALSE))</f>
        <v>24991.65</v>
      </c>
      <c r="P113" s="46">
        <f t="shared" ca="1" si="4"/>
        <v>1.5257417582780839E-3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input_484100!A$2</f>
        <v>484100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IFERROR(VLOOKUP(B114,input_484100!L:R,7,FALSE),VLOOKUP(tables_484100!C114,input_484100!A:H,8,FALSE))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input_484100!A$2</f>
        <v>484100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IFERROR(VLOOKUP(B115,input_484100!L:R,7,FALSE),VLOOKUP(tables_484100!C115,input_484100!A:H,8,FALSE))</f>
        <v>98758.35</v>
      </c>
      <c r="P115" s="46">
        <f t="shared" ca="1" si="4"/>
        <v>6.0292032968468435E-3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input_484100!A$2</f>
        <v>484100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IFERROR(VLOOKUP(B116,input_484100!L:R,7,FALSE),VLOOKUP(tables_484100!C116,input_484100!A:H,8,FALSE))</f>
        <v>891.87883999999997</v>
      </c>
      <c r="P116" s="46">
        <f t="shared" ca="1" si="4"/>
        <v>5.4449257632553989E-5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input_484100!A$2</f>
        <v>484100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IFERROR(VLOOKUP(B117,input_484100!L:R,7,FALSE),VLOOKUP(tables_484100!C117,input_484100!A:H,8,FALSE))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input_484100!A$2</f>
        <v>484100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IFERROR(VLOOKUP(B118,input_484100!L:R,7,FALSE),VLOOKUP(tables_484100!C118,input_484100!A:H,8,FALSE))</f>
        <v>98758.35</v>
      </c>
      <c r="P118" s="46">
        <f t="shared" ca="1" si="4"/>
        <v>6.0292032968468435E-3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input_484100!A$2</f>
        <v>484100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IFERROR(VLOOKUP(B119,input_484100!L:R,7,FALSE),VLOOKUP(tables_484100!C119,input_484100!A:H,8,FALSE))</f>
        <v>891.87883999999997</v>
      </c>
      <c r="P119" s="46">
        <f t="shared" ca="1" si="4"/>
        <v>5.4449257632553989E-5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input_484100!A$2</f>
        <v>484100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IFERROR(VLOOKUP(B120,input_484100!L:R,7,FALSE),VLOOKUP(tables_484100!C120,input_484100!A:H,8,FALSE))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input_484100!A$2</f>
        <v>484100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IFERROR(VLOOKUP(B121,input_484100!L:R,7,FALSE),VLOOKUP(tables_484100!C121,input_484100!A:H,8,FALSE))</f>
        <v>98758.35</v>
      </c>
      <c r="P121" s="46">
        <f t="shared" ca="1" si="4"/>
        <v>6.0292032968468435E-3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input_484100!A$2</f>
        <v>484100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IFERROR(VLOOKUP(B122,input_484100!L:R,7,FALSE),VLOOKUP(tables_484100!C122,input_484100!A:H,8,FALSE))</f>
        <v>891.87883999999997</v>
      </c>
      <c r="P122" s="46">
        <f t="shared" ca="1" si="4"/>
        <v>5.4449257632553989E-5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input_484100!A$2</f>
        <v>484100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IFERROR(VLOOKUP(B123,input_484100!L:R,7,FALSE),VLOOKUP(tables_484100!C123,input_484100!A:H,8,FALSE))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input_484100!A$2</f>
        <v>484100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IFERROR(VLOOKUP(B124,input_484100!L:R,7,FALSE),VLOOKUP(tables_484100!C124,input_484100!A:H,8,FALSE))</f>
        <v>98758.35</v>
      </c>
      <c r="P124" s="46">
        <f t="shared" ca="1" si="4"/>
        <v>6.0292032968468435E-3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input_484100!A$2</f>
        <v>484100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IFERROR(VLOOKUP(B125,input_484100!L:R,7,FALSE),VLOOKUP(tables_484100!C125,input_484100!A:H,8,FALSE))</f>
        <v>891.87883999999997</v>
      </c>
      <c r="P125" s="46">
        <f t="shared" ca="1" si="4"/>
        <v>5.4449257632553989E-5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input_484100!A$2</f>
        <v>484100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IFERROR(VLOOKUP(B126,input_484100!L:R,7,FALSE),VLOOKUP(tables_484100!C126,input_484100!A:H,8,FALSE))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input_484100!A$2</f>
        <v>484100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IFERROR(VLOOKUP(B127,input_484100!L:R,7,FALSE),VLOOKUP(tables_484100!C127,input_484100!A:H,8,FALSE))</f>
        <v>98758.35</v>
      </c>
      <c r="P127" s="46">
        <f t="shared" ca="1" si="4"/>
        <v>6.0292032968468435E-3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input_484100!A$2</f>
        <v>484100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IFERROR(VLOOKUP(B128,input_484100!L:R,7,FALSE),VLOOKUP(tables_484100!C128,input_484100!A:H,8,FALSE))</f>
        <v>891.87883999999997</v>
      </c>
      <c r="P128" s="46">
        <f t="shared" ca="1" si="4"/>
        <v>5.4449257632553989E-5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input_484100!A$2</f>
        <v>484100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IFERROR(VLOOKUP(B129,input_484100!L:R,7,FALSE),VLOOKUP(tables_484100!C129,input_484100!A:H,8,FALSE))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input_484100!A$2</f>
        <v>484100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IFERROR(VLOOKUP(B130,input_484100!L:R,7,FALSE),VLOOKUP(tables_484100!C130,input_484100!A:H,8,FALSE))</f>
        <v>98758.35</v>
      </c>
      <c r="P130" s="46">
        <f t="shared" ref="P130:P193" ca="1" si="7">O130/SUM(O:O)</f>
        <v>6.0292032968468435E-3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input_484100!A$2</f>
        <v>484100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IFERROR(VLOOKUP(B131,input_484100!L:R,7,FALSE),VLOOKUP(tables_484100!C131,input_484100!A:H,8,FALSE))</f>
        <v>891.87883999999997</v>
      </c>
      <c r="P131" s="46">
        <f t="shared" ca="1" si="7"/>
        <v>5.4449257632553989E-5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input_484100!A$2</f>
        <v>484100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IFERROR(VLOOKUP(B132,input_484100!L:R,7,FALSE),VLOOKUP(tables_484100!C132,input_484100!A:H,8,FALSE))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input_484100!A$2</f>
        <v>484100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IFERROR(VLOOKUP(B133,input_484100!L:R,7,FALSE),VLOOKUP(tables_484100!C133,input_484100!A:H,8,FALSE))</f>
        <v>98758.35</v>
      </c>
      <c r="P133" s="46">
        <f t="shared" ca="1" si="7"/>
        <v>6.0292032968468435E-3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input_484100!A$2</f>
        <v>484100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IFERROR(VLOOKUP(B134,input_484100!L:R,7,FALSE),VLOOKUP(tables_484100!C134,input_484100!A:H,8,FALSE))</f>
        <v>891.87883999999997</v>
      </c>
      <c r="P134" s="46">
        <f t="shared" ca="1" si="7"/>
        <v>5.4449257632553989E-5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input_484100!A$2</f>
        <v>484100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IFERROR(VLOOKUP(B135,input_484100!L:R,7,FALSE),VLOOKUP(tables_484100!C135,input_484100!A:H,8,FALSE))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input_484100!A$2</f>
        <v>484100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IFERROR(VLOOKUP(B136,input_484100!L:R,7,FALSE),VLOOKUP(tables_484100!C136,input_484100!A:H,8,FALSE))</f>
        <v>98758.35</v>
      </c>
      <c r="P136" s="46">
        <f t="shared" ca="1" si="7"/>
        <v>6.0292032968468435E-3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input_484100!A$2</f>
        <v>484100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IFERROR(VLOOKUP(B137,input_484100!L:R,7,FALSE),VLOOKUP(tables_484100!C137,input_484100!A:H,8,FALSE))</f>
        <v>891.87883999999997</v>
      </c>
      <c r="P137" s="46">
        <f t="shared" ca="1" si="7"/>
        <v>5.4449257632553989E-5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input_484100!A$2</f>
        <v>484100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IFERROR(VLOOKUP(B138,input_484100!L:R,7,FALSE),VLOOKUP(tables_484100!C138,input_484100!A:H,8,FALSE))</f>
        <v>5280.4375</v>
      </c>
      <c r="P138" s="46">
        <f t="shared" ca="1" si="7"/>
        <v>3.2237103175370693E-4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input_484100!A$2</f>
        <v>484100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IFERROR(VLOOKUP(B139,input_484100!L:R,7,FALSE),VLOOKUP(tables_484100!C139,input_484100!A:H,8,FALSE))</f>
        <v>1219.5625</v>
      </c>
      <c r="P139" s="46">
        <f t="shared" ca="1" si="7"/>
        <v>7.4454365081137727E-5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input_484100!A$2</f>
        <v>484100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IFERROR(VLOOKUP(B140,input_484100!L:R,7,FALSE),VLOOKUP(tables_484100!C140,input_484100!A:H,8,FALSE))</f>
        <v>5280.4375</v>
      </c>
      <c r="P140" s="46">
        <f t="shared" ca="1" si="7"/>
        <v>3.2237103175370693E-4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input_484100!A$2</f>
        <v>484100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IFERROR(VLOOKUP(B141,input_484100!L:R,7,FALSE),VLOOKUP(tables_484100!C141,input_484100!A:H,8,FALSE))</f>
        <v>1219.5625</v>
      </c>
      <c r="P141" s="46">
        <f t="shared" ca="1" si="7"/>
        <v>7.4454365081137727E-5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input_484100!A$2</f>
        <v>484100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IFERROR(VLOOKUP(B142,input_484100!L:R,7,FALSE),VLOOKUP(tables_484100!C142,input_484100!A:H,8,FALSE))</f>
        <v>5280.4375</v>
      </c>
      <c r="P142" s="46">
        <f t="shared" ca="1" si="7"/>
        <v>3.2237103175370693E-4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input_484100!A$2</f>
        <v>484100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IFERROR(VLOOKUP(B143,input_484100!L:R,7,FALSE),VLOOKUP(tables_484100!C143,input_484100!A:H,8,FALSE))</f>
        <v>1219.5625</v>
      </c>
      <c r="P143" s="46">
        <f t="shared" ca="1" si="7"/>
        <v>7.4454365081137727E-5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input_484100!A$2</f>
        <v>484100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IFERROR(VLOOKUP(B144,input_484100!L:R,7,FALSE),VLOOKUP(tables_484100!C144,input_484100!A:H,8,FALSE))</f>
        <v>5280.4375</v>
      </c>
      <c r="P144" s="46">
        <f t="shared" ca="1" si="7"/>
        <v>3.2237103175370693E-4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input_484100!A$2</f>
        <v>484100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IFERROR(VLOOKUP(B145,input_484100!L:R,7,FALSE),VLOOKUP(tables_484100!C145,input_484100!A:H,8,FALSE))</f>
        <v>1219.5625</v>
      </c>
      <c r="P145" s="46">
        <f t="shared" ca="1" si="7"/>
        <v>7.4454365081137727E-5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input_484100!A$2</f>
        <v>484100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IFERROR(VLOOKUP(B146,input_484100!L:R,7,FALSE),VLOOKUP(tables_484100!C146,input_484100!A:H,8,FALSE))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input_484100!A$2</f>
        <v>484100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IFERROR(VLOOKUP(B147,input_484100!L:R,7,FALSE),VLOOKUP(tables_484100!C147,input_484100!A:H,8,FALSE))</f>
        <v>98758.35</v>
      </c>
      <c r="P147" s="46">
        <f t="shared" ca="1" si="7"/>
        <v>6.0292032968468435E-3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input_484100!A$2</f>
        <v>484100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IFERROR(VLOOKUP(B148,input_484100!L:R,7,FALSE),VLOOKUP(tables_484100!C148,input_484100!A:H,8,FALSE))</f>
        <v>891.87883999999997</v>
      </c>
      <c r="P148" s="46">
        <f t="shared" ca="1" si="7"/>
        <v>5.4449257632553989E-5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input_484100!A$2</f>
        <v>484100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IFERROR(VLOOKUP(B149,input_484100!L:R,7,FALSE),VLOOKUP(tables_484100!C149,input_484100!A:H,8,FALSE))</f>
        <v>5280.4375</v>
      </c>
      <c r="P149" s="46">
        <f t="shared" ca="1" si="7"/>
        <v>3.2237103175370693E-4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input_484100!A$2</f>
        <v>484100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IFERROR(VLOOKUP(B150,input_484100!L:R,7,FALSE),VLOOKUP(tables_484100!C150,input_484100!A:H,8,FALSE))</f>
        <v>1219.5625</v>
      </c>
      <c r="P150" s="46">
        <f t="shared" ca="1" si="7"/>
        <v>7.4454365081137727E-5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input_484100!A$2</f>
        <v>484100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IFERROR(VLOOKUP(B151,input_484100!L:R,7,FALSE),VLOOKUP(tables_484100!C151,input_484100!A:H,8,FALSE))</f>
        <v>5280.4375</v>
      </c>
      <c r="P151" s="46">
        <f t="shared" ca="1" si="7"/>
        <v>3.2237103175370693E-4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input_484100!A$2</f>
        <v>484100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IFERROR(VLOOKUP(B152,input_484100!L:R,7,FALSE),VLOOKUP(tables_484100!C152,input_484100!A:H,8,FALSE))</f>
        <v>1219.5625</v>
      </c>
      <c r="P152" s="46">
        <f t="shared" ca="1" si="7"/>
        <v>7.4454365081137727E-5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input_484100!A$2</f>
        <v>484100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IFERROR(VLOOKUP(B153,input_484100!L:R,7,FALSE),VLOOKUP(tables_484100!C153,input_484100!A:H,8,FALSE))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input_484100!A$2</f>
        <v>484100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IFERROR(VLOOKUP(B154,input_484100!L:R,7,FALSE),VLOOKUP(tables_484100!C154,input_484100!A:H,8,FALSE))</f>
        <v>98758.35</v>
      </c>
      <c r="P154" s="46">
        <f t="shared" ca="1" si="7"/>
        <v>6.0292032968468435E-3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input_484100!A$2</f>
        <v>484100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IFERROR(VLOOKUP(B155,input_484100!L:R,7,FALSE),VLOOKUP(tables_484100!C155,input_484100!A:H,8,FALSE))</f>
        <v>891.87883999999997</v>
      </c>
      <c r="P155" s="46">
        <f t="shared" ca="1" si="7"/>
        <v>5.4449257632553989E-5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input_484100!A$2</f>
        <v>484100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IFERROR(VLOOKUP(B156,input_484100!L:R,7,FALSE),VLOOKUP(tables_484100!C156,input_484100!A:H,8,FALSE))</f>
        <v>5280.4375</v>
      </c>
      <c r="P156" s="46">
        <f t="shared" ca="1" si="7"/>
        <v>3.2237103175370693E-4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input_484100!A$2</f>
        <v>484100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IFERROR(VLOOKUP(B157,input_484100!L:R,7,FALSE),VLOOKUP(tables_484100!C157,input_484100!A:H,8,FALSE))</f>
        <v>1219.5625</v>
      </c>
      <c r="P157" s="46">
        <f t="shared" ca="1" si="7"/>
        <v>7.4454365081137727E-5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input_484100!A$2</f>
        <v>484100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IFERROR(VLOOKUP(B158,input_484100!L:R,7,FALSE),VLOOKUP(tables_484100!C158,input_484100!A:H,8,FALSE))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input_484100!A$2</f>
        <v>484100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IFERROR(VLOOKUP(B159,input_484100!L:R,7,FALSE),VLOOKUP(tables_484100!C159,input_484100!A:H,8,FALSE))</f>
        <v>98758.35</v>
      </c>
      <c r="P159" s="46">
        <f t="shared" ca="1" si="7"/>
        <v>6.0292032968468435E-3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input_484100!A$2</f>
        <v>484100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IFERROR(VLOOKUP(B160,input_484100!L:R,7,FALSE),VLOOKUP(tables_484100!C160,input_484100!A:H,8,FALSE))</f>
        <v>891.87883999999997</v>
      </c>
      <c r="P160" s="46">
        <f t="shared" ca="1" si="7"/>
        <v>5.4449257632553989E-5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input_484100!A$2</f>
        <v>484100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IFERROR(VLOOKUP(B161,input_484100!L:R,7,FALSE),VLOOKUP(tables_484100!C161,input_484100!A:H,8,FALSE))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input_484100!A$2</f>
        <v>484100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IFERROR(VLOOKUP(B162,input_484100!L:R,7,FALSE),VLOOKUP(tables_484100!C162,input_484100!A:H,8,FALSE))</f>
        <v>98758.35</v>
      </c>
      <c r="P162" s="46">
        <f t="shared" ca="1" si="7"/>
        <v>6.0292032968468435E-3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input_484100!A$2</f>
        <v>484100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IFERROR(VLOOKUP(B163,input_484100!L:R,7,FALSE),VLOOKUP(tables_484100!C163,input_484100!A:H,8,FALSE))</f>
        <v>891.87883999999997</v>
      </c>
      <c r="P163" s="46">
        <f t="shared" ca="1" si="7"/>
        <v>5.4449257632553989E-5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input_484100!A$2</f>
        <v>484100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IFERROR(VLOOKUP(B164,input_484100!L:R,7,FALSE),VLOOKUP(tables_484100!C164,input_484100!A:H,8,FALSE))</f>
        <v>5280.4375</v>
      </c>
      <c r="P164" s="46">
        <f t="shared" ca="1" si="7"/>
        <v>3.2237103175370693E-4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input_484100!A$2</f>
        <v>484100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IFERROR(VLOOKUP(B165,input_484100!L:R,7,FALSE),VLOOKUP(tables_484100!C165,input_484100!A:H,8,FALSE))</f>
        <v>1219.5625</v>
      </c>
      <c r="P165" s="46">
        <f t="shared" ca="1" si="7"/>
        <v>7.4454365081137727E-5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input_484100!A$2</f>
        <v>484100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IFERROR(VLOOKUP(B166,input_484100!L:R,7,FALSE),VLOOKUP(tables_484100!C166,input_484100!A:H,8,FALSE))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input_484100!A$2</f>
        <v>484100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IFERROR(VLOOKUP(B167,input_484100!L:R,7,FALSE),VLOOKUP(tables_484100!C167,input_484100!A:H,8,FALSE))</f>
        <v>98758.35</v>
      </c>
      <c r="P167" s="46">
        <f t="shared" ca="1" si="7"/>
        <v>6.0292032968468435E-3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input_484100!A$2</f>
        <v>484100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IFERROR(VLOOKUP(B168,input_484100!L:R,7,FALSE),VLOOKUP(tables_484100!C168,input_484100!A:H,8,FALSE))</f>
        <v>891.87883999999997</v>
      </c>
      <c r="P168" s="46">
        <f t="shared" ca="1" si="7"/>
        <v>5.4449257632553989E-5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input_484100!A$2</f>
        <v>484100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IFERROR(VLOOKUP(B169,input_484100!L:R,7,FALSE),VLOOKUP(tables_484100!C169,input_484100!A:H,8,FALSE))</f>
        <v>5280.4375</v>
      </c>
      <c r="P169" s="46">
        <f t="shared" ca="1" si="7"/>
        <v>3.2237103175370693E-4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input_484100!A$2</f>
        <v>484100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IFERROR(VLOOKUP(B170,input_484100!L:R,7,FALSE),VLOOKUP(tables_484100!C170,input_484100!A:H,8,FALSE))</f>
        <v>1219.5625</v>
      </c>
      <c r="P170" s="46">
        <f t="shared" ca="1" si="7"/>
        <v>7.4454365081137727E-5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input_484100!A$2</f>
        <v>484100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IFERROR(VLOOKUP(B171,input_484100!L:R,7,FALSE),VLOOKUP(tables_484100!C171,input_484100!A:H,8,FALSE))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input_484100!A$2</f>
        <v>484100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IFERROR(VLOOKUP(B172,input_484100!L:R,7,FALSE),VLOOKUP(tables_484100!C172,input_484100!A:H,8,FALSE))</f>
        <v>98758.35</v>
      </c>
      <c r="P172" s="46">
        <f t="shared" ca="1" si="7"/>
        <v>6.0292032968468435E-3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input_484100!A$2</f>
        <v>484100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IFERROR(VLOOKUP(B173,input_484100!L:R,7,FALSE),VLOOKUP(tables_484100!C173,input_484100!A:H,8,FALSE))</f>
        <v>891.87883999999997</v>
      </c>
      <c r="P173" s="46">
        <f t="shared" ca="1" si="7"/>
        <v>5.4449257632553989E-5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input_484100!A$2</f>
        <v>484100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IFERROR(VLOOKUP(B174,input_484100!L:R,7,FALSE),VLOOKUP(tables_484100!C174,input_484100!A:H,8,FALSE))</f>
        <v>5280.4375</v>
      </c>
      <c r="P174" s="46">
        <f t="shared" ca="1" si="7"/>
        <v>3.2237103175370693E-4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input_484100!A$2</f>
        <v>484100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IFERROR(VLOOKUP(B175,input_484100!L:R,7,FALSE),VLOOKUP(tables_484100!C175,input_484100!A:H,8,FALSE))</f>
        <v>1219.5625</v>
      </c>
      <c r="P175" s="46">
        <f t="shared" ca="1" si="7"/>
        <v>7.4454365081137727E-5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input_484100!A$2</f>
        <v>484100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IFERROR(VLOOKUP(B176,input_484100!L:R,7,FALSE),VLOOKUP(tables_484100!C176,input_484100!A:H,8,FALSE))</f>
        <v>5280.4375</v>
      </c>
      <c r="P176" s="46">
        <f t="shared" ca="1" si="7"/>
        <v>3.2237103175370693E-4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input_484100!A$2</f>
        <v>484100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IFERROR(VLOOKUP(B177,input_484100!L:R,7,FALSE),VLOOKUP(tables_484100!C177,input_484100!A:H,8,FALSE))</f>
        <v>1219.5625</v>
      </c>
      <c r="P177" s="46">
        <f t="shared" ca="1" si="7"/>
        <v>7.4454365081137727E-5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input_484100!A$2</f>
        <v>484100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IFERROR(VLOOKUP(B178,input_484100!L:R,7,FALSE),VLOOKUP(tables_484100!C178,input_484100!A:H,8,FALSE))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input_484100!A$2</f>
        <v>484100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IFERROR(VLOOKUP(B179,input_484100!L:R,7,FALSE),VLOOKUP(tables_484100!C179,input_484100!A:H,8,FALSE))</f>
        <v>98758.35</v>
      </c>
      <c r="P179" s="46">
        <f t="shared" ca="1" si="7"/>
        <v>6.0292032968468435E-3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input_484100!A$2</f>
        <v>484100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IFERROR(VLOOKUP(B180,input_484100!L:R,7,FALSE),VLOOKUP(tables_484100!C180,input_484100!A:H,8,FALSE))</f>
        <v>891.87883999999997</v>
      </c>
      <c r="P180" s="46">
        <f t="shared" ca="1" si="7"/>
        <v>5.4449257632553989E-5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input_484100!A$2</f>
        <v>484100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IFERROR(VLOOKUP(B181,input_484100!L:R,7,FALSE),VLOOKUP(tables_484100!C181,input_484100!A:H,8,FALSE))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input_484100!A$2</f>
        <v>484100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IFERROR(VLOOKUP(B182,input_484100!L:R,7,FALSE),VLOOKUP(tables_484100!C182,input_484100!A:H,8,FALSE))</f>
        <v>98758.35</v>
      </c>
      <c r="P182" s="46">
        <f t="shared" ca="1" si="7"/>
        <v>6.0292032968468435E-3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input_484100!A$2</f>
        <v>484100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IFERROR(VLOOKUP(B183,input_484100!L:R,7,FALSE),VLOOKUP(tables_484100!C183,input_484100!A:H,8,FALSE))</f>
        <v>891.87883999999997</v>
      </c>
      <c r="P183" s="46">
        <f t="shared" ca="1" si="7"/>
        <v>5.4449257632553989E-5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input_484100!A$2</f>
        <v>484100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IFERROR(VLOOKUP(B184,input_484100!L:R,7,FALSE),VLOOKUP(tables_484100!C184,input_484100!A:H,8,FALSE))</f>
        <v>5280.4375</v>
      </c>
      <c r="P184" s="46">
        <f t="shared" ca="1" si="7"/>
        <v>3.2237103175370693E-4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input_484100!A$2</f>
        <v>484100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IFERROR(VLOOKUP(B185,input_484100!L:R,7,FALSE),VLOOKUP(tables_484100!C185,input_484100!A:H,8,FALSE))</f>
        <v>1219.5625</v>
      </c>
      <c r="P185" s="46">
        <f t="shared" ca="1" si="7"/>
        <v>7.4454365081137727E-5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input_484100!A$2</f>
        <v>484100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IFERROR(VLOOKUP(B186,input_484100!L:R,7,FALSE),VLOOKUP(tables_484100!C186,input_484100!A:H,8,FALSE))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input_484100!A$2</f>
        <v>484100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IFERROR(VLOOKUP(B187,input_484100!L:R,7,FALSE),VLOOKUP(tables_484100!C187,input_484100!A:H,8,FALSE))</f>
        <v>98758.35</v>
      </c>
      <c r="P187" s="46">
        <f t="shared" ca="1" si="7"/>
        <v>6.0292032968468435E-3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input_484100!A$2</f>
        <v>484100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IFERROR(VLOOKUP(B188,input_484100!L:R,7,FALSE),VLOOKUP(tables_484100!C188,input_484100!A:H,8,FALSE))</f>
        <v>891.87883999999997</v>
      </c>
      <c r="P188" s="46">
        <f t="shared" ca="1" si="7"/>
        <v>5.4449257632553989E-5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input_484100!A$2</f>
        <v>484100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IFERROR(VLOOKUP(B189,input_484100!L:R,7,FALSE),VLOOKUP(tables_484100!C189,input_484100!A:H,8,FALSE))</f>
        <v>5280.4375</v>
      </c>
      <c r="P189" s="46">
        <f t="shared" ca="1" si="7"/>
        <v>3.2237103175370693E-4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input_484100!A$2</f>
        <v>484100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IFERROR(VLOOKUP(B190,input_484100!L:R,7,FALSE),VLOOKUP(tables_484100!C190,input_484100!A:H,8,FALSE))</f>
        <v>1219.5625</v>
      </c>
      <c r="P190" s="46">
        <f t="shared" ca="1" si="7"/>
        <v>7.4454365081137727E-5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input_484100!A$2</f>
        <v>484100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IFERROR(VLOOKUP(B191,input_484100!L:R,7,FALSE),VLOOKUP(tables_484100!C191,input_484100!A:H,8,FALSE))</f>
        <v>5280.4375</v>
      </c>
      <c r="P191" s="46">
        <f t="shared" ca="1" si="7"/>
        <v>3.2237103175370693E-4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input_484100!A$2</f>
        <v>484100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IFERROR(VLOOKUP(B192,input_484100!L:R,7,FALSE),VLOOKUP(tables_484100!C192,input_484100!A:H,8,FALSE))</f>
        <v>1219.5625</v>
      </c>
      <c r="P192" s="46">
        <f t="shared" ca="1" si="7"/>
        <v>7.4454365081137727E-5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input_484100!A$2</f>
        <v>484100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IFERROR(VLOOKUP(B193,input_484100!L:R,7,FALSE),VLOOKUP(tables_484100!C193,input_484100!A:H,8,FALSE))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input_484100!A$2</f>
        <v>484100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IFERROR(VLOOKUP(B194,input_484100!L:R,7,FALSE),VLOOKUP(tables_484100!C194,input_484100!A:H,8,FALSE))</f>
        <v>98758.35</v>
      </c>
      <c r="P194" s="46">
        <f t="shared" ref="P194:P257" ca="1" si="10">O194/SUM(O:O)</f>
        <v>6.0292032968468435E-3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input_484100!A$2</f>
        <v>484100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IFERROR(VLOOKUP(B195,input_484100!L:R,7,FALSE),VLOOKUP(tables_484100!C195,input_484100!A:H,8,FALSE))</f>
        <v>891.87883999999997</v>
      </c>
      <c r="P195" s="46">
        <f t="shared" ca="1" si="10"/>
        <v>5.4449257632553989E-5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input_484100!A$2</f>
        <v>484100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IFERROR(VLOOKUP(B196,input_484100!L:R,7,FALSE),VLOOKUP(tables_484100!C196,input_484100!A:H,8,FALSE))</f>
        <v>5280.4375</v>
      </c>
      <c r="P196" s="46">
        <f t="shared" ca="1" si="10"/>
        <v>3.2237103175370693E-4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input_484100!A$2</f>
        <v>484100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IFERROR(VLOOKUP(B197,input_484100!L:R,7,FALSE),VLOOKUP(tables_484100!C197,input_484100!A:H,8,FALSE))</f>
        <v>1219.5625</v>
      </c>
      <c r="P197" s="46">
        <f t="shared" ca="1" si="10"/>
        <v>7.4454365081137727E-5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input_484100!A$2</f>
        <v>484100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IFERROR(VLOOKUP(B198,input_484100!L:R,7,FALSE),VLOOKUP(tables_484100!C198,input_484100!A:H,8,FALSE))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input_484100!A$2</f>
        <v>484100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IFERROR(VLOOKUP(B199,input_484100!L:R,7,FALSE),VLOOKUP(tables_484100!C199,input_484100!A:H,8,FALSE))</f>
        <v>98758.35</v>
      </c>
      <c r="P199" s="46">
        <f t="shared" ca="1" si="10"/>
        <v>6.0292032968468435E-3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input_484100!A$2</f>
        <v>484100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IFERROR(VLOOKUP(B200,input_484100!L:R,7,FALSE),VLOOKUP(tables_484100!C200,input_484100!A:H,8,FALSE))</f>
        <v>891.87883999999997</v>
      </c>
      <c r="P200" s="46">
        <f t="shared" ca="1" si="10"/>
        <v>5.4449257632553989E-5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input_484100!A$2</f>
        <v>484100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IFERROR(VLOOKUP(B201,input_484100!L:R,7,FALSE),VLOOKUP(tables_484100!C201,input_484100!A:H,8,FALSE))</f>
        <v>5280.4375</v>
      </c>
      <c r="P201" s="46">
        <f t="shared" ca="1" si="10"/>
        <v>3.2237103175370693E-4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input_484100!A$2</f>
        <v>484100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IFERROR(VLOOKUP(B202,input_484100!L:R,7,FALSE),VLOOKUP(tables_484100!C202,input_484100!A:H,8,FALSE))</f>
        <v>1219.5625</v>
      </c>
      <c r="P202" s="46">
        <f t="shared" ca="1" si="10"/>
        <v>7.4454365081137727E-5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input_484100!A$2</f>
        <v>484100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IFERROR(VLOOKUP(B203,input_484100!L:R,7,FALSE),VLOOKUP(tables_484100!C203,input_484100!A:H,8,FALSE))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input_484100!A$2</f>
        <v>484100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IFERROR(VLOOKUP(B204,input_484100!L:R,7,FALSE),VLOOKUP(tables_484100!C204,input_484100!A:H,8,FALSE))</f>
        <v>98758.35</v>
      </c>
      <c r="P204" s="46">
        <f t="shared" ca="1" si="10"/>
        <v>6.0292032968468435E-3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input_484100!A$2</f>
        <v>484100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IFERROR(VLOOKUP(B205,input_484100!L:R,7,FALSE),VLOOKUP(tables_484100!C205,input_484100!A:H,8,FALSE))</f>
        <v>891.87883999999997</v>
      </c>
      <c r="P205" s="46">
        <f t="shared" ca="1" si="10"/>
        <v>5.4449257632553989E-5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input_484100!A$2</f>
        <v>484100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IFERROR(VLOOKUP(B206,input_484100!L:R,7,FALSE),VLOOKUP(tables_484100!C206,input_484100!A:H,8,FALSE))</f>
        <v>5280.4375</v>
      </c>
      <c r="P206" s="46">
        <f t="shared" ca="1" si="10"/>
        <v>3.2237103175370693E-4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input_484100!A$2</f>
        <v>484100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IFERROR(VLOOKUP(B207,input_484100!L:R,7,FALSE),VLOOKUP(tables_484100!C207,input_484100!A:H,8,FALSE))</f>
        <v>1219.5625</v>
      </c>
      <c r="P207" s="46">
        <f t="shared" ca="1" si="10"/>
        <v>7.4454365081137727E-5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input_484100!A$2</f>
        <v>484100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IFERROR(VLOOKUP(B208,input_484100!L:R,7,FALSE),VLOOKUP(tables_484100!C208,input_484100!A:H,8,FALSE))</f>
        <v>5280.4375</v>
      </c>
      <c r="P208" s="46">
        <f t="shared" ca="1" si="10"/>
        <v>3.2237103175370693E-4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input_484100!A$2</f>
        <v>484100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IFERROR(VLOOKUP(B209,input_484100!L:R,7,FALSE),VLOOKUP(tables_484100!C209,input_484100!A:H,8,FALSE))</f>
        <v>1219.5625</v>
      </c>
      <c r="P209" s="46">
        <f t="shared" ca="1" si="10"/>
        <v>7.4454365081137727E-5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input_484100!A$2</f>
        <v>484100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IFERROR(VLOOKUP(B210,input_484100!L:R,7,FALSE),VLOOKUP(tables_484100!C210,input_484100!A:H,8,FALSE))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input_484100!A$2</f>
        <v>484100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IFERROR(VLOOKUP(B211,input_484100!L:R,7,FALSE),VLOOKUP(tables_484100!C211,input_484100!A:H,8,FALSE))</f>
        <v>98758.35</v>
      </c>
      <c r="P211" s="46">
        <f t="shared" ca="1" si="10"/>
        <v>6.0292032968468435E-3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input_484100!A$2</f>
        <v>484100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IFERROR(VLOOKUP(B212,input_484100!L:R,7,FALSE),VLOOKUP(tables_484100!C212,input_484100!A:H,8,FALSE))</f>
        <v>891.87883999999997</v>
      </c>
      <c r="P212" s="46">
        <f t="shared" ca="1" si="10"/>
        <v>5.4449257632553989E-5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input_484100!A$2</f>
        <v>484100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IFERROR(VLOOKUP(B213,input_484100!L:R,7,FALSE),VLOOKUP(tables_484100!C213,input_484100!A:H,8,FALSE))</f>
        <v>5280.4375</v>
      </c>
      <c r="P213" s="46">
        <f t="shared" ca="1" si="10"/>
        <v>3.2237103175370693E-4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input_484100!A$2</f>
        <v>484100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IFERROR(VLOOKUP(B214,input_484100!L:R,7,FALSE),VLOOKUP(tables_484100!C214,input_484100!A:H,8,FALSE))</f>
        <v>1219.5625</v>
      </c>
      <c r="P214" s="46">
        <f t="shared" ca="1" si="10"/>
        <v>7.4454365081137727E-5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input_484100!A$2</f>
        <v>484100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IFERROR(VLOOKUP(B215,input_484100!L:R,7,FALSE),VLOOKUP(tables_484100!C215,input_484100!A:H,8,FALSE))</f>
        <v>17869.91087</v>
      </c>
      <c r="P215" s="46">
        <f t="shared" ca="1" si="10"/>
        <v>1.0909591495986237E-3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input_484100!A$2</f>
        <v>484100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IFERROR(VLOOKUP(B216,input_484100!L:R,7,FALSE),VLOOKUP(tables_484100!C216,input_484100!A:H,8,FALSE))</f>
        <v>17869.91087</v>
      </c>
      <c r="P216" s="46">
        <f t="shared" ca="1" si="10"/>
        <v>1.0909591495986237E-3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input_484100!A$2</f>
        <v>484100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IFERROR(VLOOKUP(B217,input_484100!L:R,7,FALSE),VLOOKUP(tables_484100!C217,input_484100!A:H,8,FALSE))</f>
        <v>17869.91087</v>
      </c>
      <c r="P217" s="46">
        <f t="shared" ca="1" si="10"/>
        <v>1.0909591495986237E-3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input_484100!A$2</f>
        <v>484100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IFERROR(VLOOKUP(B218,input_484100!L:R,7,FALSE),VLOOKUP(tables_484100!C218,input_484100!A:H,8,FALSE))</f>
        <v>17869.91087</v>
      </c>
      <c r="P218" s="46">
        <f t="shared" ca="1" si="10"/>
        <v>1.0909591495986237E-3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input_484100!A$2</f>
        <v>484100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IFERROR(VLOOKUP(B219,input_484100!L:R,7,FALSE),VLOOKUP(tables_484100!C219,input_484100!A:H,8,FALSE))</f>
        <v>17869.91087</v>
      </c>
      <c r="P219" s="46">
        <f t="shared" ca="1" si="10"/>
        <v>1.0909591495986237E-3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input_484100!A$2</f>
        <v>484100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IFERROR(VLOOKUP(B220,input_484100!L:R,7,FALSE),VLOOKUP(tables_484100!C220,input_484100!A:H,8,FALSE))</f>
        <v>17869.91087</v>
      </c>
      <c r="P220" s="46">
        <f t="shared" ca="1" si="10"/>
        <v>1.0909591495986237E-3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input_484100!A$2</f>
        <v>484100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IFERROR(VLOOKUP(B221,input_484100!L:R,7,FALSE),VLOOKUP(tables_484100!C221,input_484100!A:H,8,FALSE))</f>
        <v>5280.4375</v>
      </c>
      <c r="P221" s="46">
        <f t="shared" ca="1" si="10"/>
        <v>3.2237103175370693E-4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input_484100!A$2</f>
        <v>484100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IFERROR(VLOOKUP(B222,input_484100!L:R,7,FALSE),VLOOKUP(tables_484100!C222,input_484100!A:H,8,FALSE))</f>
        <v>1219.5625</v>
      </c>
      <c r="P222" s="46">
        <f t="shared" ca="1" si="10"/>
        <v>7.4454365081137727E-5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input_484100!A$2</f>
        <v>484100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IFERROR(VLOOKUP(B223,input_484100!L:R,7,FALSE),VLOOKUP(tables_484100!C223,input_484100!A:H,8,FALSE))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input_484100!A$2</f>
        <v>484100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IFERROR(VLOOKUP(B224,input_484100!L:R,7,FALSE),VLOOKUP(tables_484100!C224,input_484100!A:H,8,FALSE))</f>
        <v>98758.35</v>
      </c>
      <c r="P224" s="46">
        <f t="shared" ca="1" si="10"/>
        <v>6.0292032968468435E-3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input_484100!A$2</f>
        <v>484100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IFERROR(VLOOKUP(B225,input_484100!L:R,7,FALSE),VLOOKUP(tables_484100!C225,input_484100!A:H,8,FALSE))</f>
        <v>891.87883999999997</v>
      </c>
      <c r="P225" s="46">
        <f t="shared" ca="1" si="10"/>
        <v>5.4449257632553989E-5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input_484100!A$2</f>
        <v>484100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IFERROR(VLOOKUP(B226,input_484100!L:R,7,FALSE),VLOOKUP(tables_484100!C226,input_484100!A:H,8,FALSE))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input_484100!A$2</f>
        <v>484100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IFERROR(VLOOKUP(B227,input_484100!L:R,7,FALSE),VLOOKUP(tables_484100!C227,input_484100!A:H,8,FALSE))</f>
        <v>98758.35</v>
      </c>
      <c r="P227" s="46">
        <f t="shared" ca="1" si="10"/>
        <v>6.0292032968468435E-3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input_484100!A$2</f>
        <v>484100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IFERROR(VLOOKUP(B228,input_484100!L:R,7,FALSE),VLOOKUP(tables_484100!C228,input_484100!A:H,8,FALSE))</f>
        <v>891.87883999999997</v>
      </c>
      <c r="P228" s="46">
        <f t="shared" ca="1" si="10"/>
        <v>5.4449257632553989E-5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input_484100!A$2</f>
        <v>484100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IFERROR(VLOOKUP(B229,input_484100!L:R,7,FALSE),VLOOKUP(tables_484100!C229,input_484100!A:H,8,FALSE))</f>
        <v>5280.4375</v>
      </c>
      <c r="P229" s="46">
        <f t="shared" ca="1" si="10"/>
        <v>3.2237103175370693E-4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input_484100!A$2</f>
        <v>484100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IFERROR(VLOOKUP(B230,input_484100!L:R,7,FALSE),VLOOKUP(tables_484100!C230,input_484100!A:H,8,FALSE))</f>
        <v>1219.5625</v>
      </c>
      <c r="P230" s="46">
        <f t="shared" ca="1" si="10"/>
        <v>7.4454365081137727E-5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input_484100!A$2</f>
        <v>484100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IFERROR(VLOOKUP(B231,input_484100!L:R,7,FALSE),VLOOKUP(tables_484100!C231,input_484100!A:H,8,FALSE))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input_484100!A$2</f>
        <v>484100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IFERROR(VLOOKUP(B232,input_484100!L:R,7,FALSE),VLOOKUP(tables_484100!C232,input_484100!A:H,8,FALSE))</f>
        <v>98758.35</v>
      </c>
      <c r="P232" s="46">
        <f t="shared" ca="1" si="10"/>
        <v>6.0292032968468435E-3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input_484100!A$2</f>
        <v>484100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IFERROR(VLOOKUP(B233,input_484100!L:R,7,FALSE),VLOOKUP(tables_484100!C233,input_484100!A:H,8,FALSE))</f>
        <v>891.87883999999997</v>
      </c>
      <c r="P233" s="46">
        <f t="shared" ca="1" si="10"/>
        <v>5.4449257632553989E-5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input_484100!A$2</f>
        <v>484100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IFERROR(VLOOKUP(B234,input_484100!L:R,7,FALSE),VLOOKUP(tables_484100!C234,input_484100!A:H,8,FALSE))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input_484100!A$2</f>
        <v>484100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IFERROR(VLOOKUP(B235,input_484100!L:R,7,FALSE),VLOOKUP(tables_484100!C235,input_484100!A:H,8,FALSE))</f>
        <v>98758.35</v>
      </c>
      <c r="P235" s="46">
        <f t="shared" ca="1" si="10"/>
        <v>6.0292032968468435E-3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input_484100!A$2</f>
        <v>484100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IFERROR(VLOOKUP(B236,input_484100!L:R,7,FALSE),VLOOKUP(tables_484100!C236,input_484100!A:H,8,FALSE))</f>
        <v>891.87883999999997</v>
      </c>
      <c r="P236" s="46">
        <f t="shared" ca="1" si="10"/>
        <v>5.4449257632553989E-5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input_484100!A$2</f>
        <v>484100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IFERROR(VLOOKUP(B237,input_484100!L:R,7,FALSE),VLOOKUP(tables_484100!C237,input_484100!A:H,8,FALSE))</f>
        <v>5280.4375</v>
      </c>
      <c r="P237" s="46">
        <f t="shared" ca="1" si="10"/>
        <v>3.2237103175370693E-4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input_484100!A$2</f>
        <v>484100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IFERROR(VLOOKUP(B238,input_484100!L:R,7,FALSE),VLOOKUP(tables_484100!C238,input_484100!A:H,8,FALSE))</f>
        <v>1219.5625</v>
      </c>
      <c r="P238" s="46">
        <f t="shared" ca="1" si="10"/>
        <v>7.4454365081137727E-5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input_484100!A$2</f>
        <v>484100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IFERROR(VLOOKUP(B239,input_484100!L:R,7,FALSE),VLOOKUP(tables_484100!C239,input_484100!A:H,8,FALSE))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input_484100!A$2</f>
        <v>484100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IFERROR(VLOOKUP(B240,input_484100!L:R,7,FALSE),VLOOKUP(tables_484100!C240,input_484100!A:H,8,FALSE))</f>
        <v>98758.35</v>
      </c>
      <c r="P240" s="46">
        <f t="shared" ca="1" si="10"/>
        <v>6.0292032968468435E-3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input_484100!A$2</f>
        <v>484100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IFERROR(VLOOKUP(B241,input_484100!L:R,7,FALSE),VLOOKUP(tables_484100!C241,input_484100!A:H,8,FALSE))</f>
        <v>891.87883999999997</v>
      </c>
      <c r="P241" s="46">
        <f t="shared" ca="1" si="10"/>
        <v>5.4449257632553989E-5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input_484100!A$2</f>
        <v>484100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IFERROR(VLOOKUP(B242,input_484100!L:R,7,FALSE),VLOOKUP(tables_484100!C242,input_484100!A:H,8,FALSE))</f>
        <v>5280.4375</v>
      </c>
      <c r="P242" s="46">
        <f t="shared" ca="1" si="10"/>
        <v>3.2237103175370693E-4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input_484100!A$2</f>
        <v>484100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IFERROR(VLOOKUP(B243,input_484100!L:R,7,FALSE),VLOOKUP(tables_484100!C243,input_484100!A:H,8,FALSE))</f>
        <v>1219.5625</v>
      </c>
      <c r="P243" s="46">
        <f t="shared" ca="1" si="10"/>
        <v>7.4454365081137727E-5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input_484100!A$2</f>
        <v>484100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IFERROR(VLOOKUP(B244,input_484100!L:R,7,FALSE),VLOOKUP(tables_484100!C244,input_484100!A:H,8,FALSE))</f>
        <v>5280.4375</v>
      </c>
      <c r="P244" s="46">
        <f t="shared" ca="1" si="10"/>
        <v>3.2237103175370693E-4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input_484100!A$2</f>
        <v>484100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IFERROR(VLOOKUP(B245,input_484100!L:R,7,FALSE),VLOOKUP(tables_484100!C245,input_484100!A:H,8,FALSE))</f>
        <v>1219.5625</v>
      </c>
      <c r="P245" s="46">
        <f t="shared" ca="1" si="10"/>
        <v>7.4454365081137727E-5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input_484100!A$2</f>
        <v>484100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IFERROR(VLOOKUP(B246,input_484100!L:R,7,FALSE),VLOOKUP(tables_484100!C246,input_484100!A:H,8,FALSE))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input_484100!A$2</f>
        <v>484100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IFERROR(VLOOKUP(B247,input_484100!L:R,7,FALSE),VLOOKUP(tables_484100!C247,input_484100!A:H,8,FALSE))</f>
        <v>98758.35</v>
      </c>
      <c r="P247" s="46">
        <f t="shared" ca="1" si="10"/>
        <v>6.0292032968468435E-3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input_484100!A$2</f>
        <v>484100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IFERROR(VLOOKUP(B248,input_484100!L:R,7,FALSE),VLOOKUP(tables_484100!C248,input_484100!A:H,8,FALSE))</f>
        <v>891.87883999999997</v>
      </c>
      <c r="P248" s="46">
        <f t="shared" ca="1" si="10"/>
        <v>5.4449257632553989E-5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input_484100!A$2</f>
        <v>484100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IFERROR(VLOOKUP(B249,input_484100!L:R,7,FALSE),VLOOKUP(tables_484100!C249,input_484100!A:H,8,FALSE))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input_484100!A$2</f>
        <v>484100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IFERROR(VLOOKUP(B250,input_484100!L:R,7,FALSE),VLOOKUP(tables_484100!C250,input_484100!A:H,8,FALSE))</f>
        <v>98758.35</v>
      </c>
      <c r="P250" s="46">
        <f t="shared" ca="1" si="10"/>
        <v>6.0292032968468435E-3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input_484100!A$2</f>
        <v>484100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IFERROR(VLOOKUP(B251,input_484100!L:R,7,FALSE),VLOOKUP(tables_484100!C251,input_484100!A:H,8,FALSE))</f>
        <v>891.87883999999997</v>
      </c>
      <c r="P251" s="46">
        <f t="shared" ca="1" si="10"/>
        <v>5.4449257632553989E-5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input_484100!A$2</f>
        <v>484100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IFERROR(VLOOKUP(B252,input_484100!L:R,7,FALSE),VLOOKUP(tables_484100!C252,input_484100!A:H,8,FALSE))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input_484100!A$2</f>
        <v>484100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IFERROR(VLOOKUP(B253,input_484100!L:R,7,FALSE),VLOOKUP(tables_484100!C253,input_484100!A:H,8,FALSE))</f>
        <v>98758.35</v>
      </c>
      <c r="P253" s="46">
        <f t="shared" ca="1" si="10"/>
        <v>6.0292032968468435E-3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input_484100!A$2</f>
        <v>484100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IFERROR(VLOOKUP(B254,input_484100!L:R,7,FALSE),VLOOKUP(tables_484100!C254,input_484100!A:H,8,FALSE))</f>
        <v>891.87883999999997</v>
      </c>
      <c r="P254" s="46">
        <f t="shared" ca="1" si="10"/>
        <v>5.4449257632553989E-5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input_484100!A$2</f>
        <v>484100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IFERROR(VLOOKUP(B255,input_484100!L:R,7,FALSE),VLOOKUP(tables_484100!C255,input_484100!A:H,8,FALSE))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input_484100!A$2</f>
        <v>484100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IFERROR(VLOOKUP(B256,input_484100!L:R,7,FALSE),VLOOKUP(tables_484100!C256,input_484100!A:H,8,FALSE))</f>
        <v>98758.35</v>
      </c>
      <c r="P256" s="46">
        <f t="shared" ca="1" si="10"/>
        <v>6.0292032968468435E-3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input_484100!A$2</f>
        <v>484100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IFERROR(VLOOKUP(B257,input_484100!L:R,7,FALSE),VLOOKUP(tables_484100!C257,input_484100!A:H,8,FALSE))</f>
        <v>891.87883999999997</v>
      </c>
      <c r="P257" s="46">
        <f t="shared" ca="1" si="10"/>
        <v>5.4449257632553989E-5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input_484100!A$2</f>
        <v>484100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IFERROR(VLOOKUP(B258,input_484100!L:R,7,FALSE),VLOOKUP(tables_484100!C258,input_484100!A:H,8,FALSE))</f>
        <v>5280.4375</v>
      </c>
      <c r="P258" s="46">
        <f t="shared" ref="P258:P294" ca="1" si="13">O258/SUM(O:O)</f>
        <v>3.2237103175370693E-4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input_484100!A$2</f>
        <v>484100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IFERROR(VLOOKUP(B259,input_484100!L:R,7,FALSE),VLOOKUP(tables_484100!C259,input_484100!A:H,8,FALSE))</f>
        <v>1219.5625</v>
      </c>
      <c r="P259" s="46">
        <f t="shared" ca="1" si="13"/>
        <v>7.4454365081137727E-5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input_484100!A$2</f>
        <v>484100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IFERROR(VLOOKUP(B260,input_484100!L:R,7,FALSE),VLOOKUP(tables_484100!C260,input_484100!A:H,8,FALSE))</f>
        <v>5280.4375</v>
      </c>
      <c r="P260" s="46">
        <f t="shared" ca="1" si="13"/>
        <v>3.2237103175370693E-4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input_484100!A$2</f>
        <v>484100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IFERROR(VLOOKUP(B261,input_484100!L:R,7,FALSE),VLOOKUP(tables_484100!C261,input_484100!A:H,8,FALSE))</f>
        <v>1219.5625</v>
      </c>
      <c r="P261" s="46">
        <f t="shared" ca="1" si="13"/>
        <v>7.4454365081137727E-5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input_484100!A$2</f>
        <v>484100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IFERROR(VLOOKUP(B262,input_484100!L:R,7,FALSE),VLOOKUP(tables_484100!C262,input_484100!A:H,8,FALSE))</f>
        <v>109023.06176</v>
      </c>
      <c r="P262" s="46">
        <f t="shared" ca="1" si="13"/>
        <v>6.6558645764710428E-3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input_484100!A$2</f>
        <v>484100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IFERROR(VLOOKUP(B263,input_484100!L:R,7,FALSE),VLOOKUP(tables_484100!C263,input_484100!A:H,8,FALSE))</f>
        <v>17869.91087</v>
      </c>
      <c r="P263" s="46">
        <f t="shared" ca="1" si="13"/>
        <v>1.0909591495986237E-3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input_484100!A$2</f>
        <v>484100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IFERROR(VLOOKUP(B264,input_484100!L:R,7,FALSE),VLOOKUP(tables_484100!C264,input_484100!A:H,8,FALSE))</f>
        <v>109023.06176</v>
      </c>
      <c r="P264" s="46">
        <f t="shared" ca="1" si="13"/>
        <v>6.6558645764710428E-3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input_484100!A$2</f>
        <v>484100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IFERROR(VLOOKUP(B265,input_484100!L:R,7,FALSE),VLOOKUP(tables_484100!C265,input_484100!A:H,8,FALSE))</f>
        <v>17869.91087</v>
      </c>
      <c r="P265" s="46">
        <f t="shared" ca="1" si="13"/>
        <v>1.0909591495986237E-3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input_484100!A$2</f>
        <v>484100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IFERROR(VLOOKUP(B266,input_484100!L:R,7,FALSE),VLOOKUP(tables_484100!C266,input_484100!A:H,8,FALSE))</f>
        <v>6500</v>
      </c>
      <c r="P266" s="46">
        <f t="shared" ca="1" si="13"/>
        <v>3.9682539683484467E-4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input_484100!A$2</f>
        <v>484100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IFERROR(VLOOKUP(B267,input_484100!L:R,7,FALSE),VLOOKUP(tables_484100!C267,input_484100!A:H,8,FALSE))</f>
        <v>6500</v>
      </c>
      <c r="P267" s="46">
        <f t="shared" ca="1" si="13"/>
        <v>3.9682539683484467E-4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input_484100!A$2</f>
        <v>484100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IFERROR(VLOOKUP(B268,input_484100!L:R,7,FALSE),VLOOKUP(tables_484100!C268,input_484100!A:H,8,FALSE))</f>
        <v>6500</v>
      </c>
      <c r="P268" s="46">
        <f t="shared" ca="1" si="13"/>
        <v>3.9682539683484467E-4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input_484100!A$2</f>
        <v>484100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IFERROR(VLOOKUP(B269,input_484100!L:R,7,FALSE),VLOOKUP(tables_484100!C269,input_484100!A:H,8,FALSE))</f>
        <v>6500</v>
      </c>
      <c r="P269" s="46">
        <f t="shared" ca="1" si="13"/>
        <v>3.9682539683484467E-4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input_484100!A$2</f>
        <v>484100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IFERROR(VLOOKUP(B270,input_484100!L:R,7,FALSE),VLOOKUP(tables_484100!C270,input_484100!A:H,8,FALSE))</f>
        <v>109023.06176</v>
      </c>
      <c r="P270" s="46">
        <f t="shared" ca="1" si="13"/>
        <v>6.6558645764710428E-3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input_484100!A$2</f>
        <v>484100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IFERROR(VLOOKUP(B271,input_484100!L:R,7,FALSE),VLOOKUP(tables_484100!C271,input_484100!A:H,8,FALSE))</f>
        <v>17869.91087</v>
      </c>
      <c r="P271" s="46">
        <f t="shared" ca="1" si="13"/>
        <v>1.0909591495986237E-3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input_484100!A$2</f>
        <v>484100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IFERROR(VLOOKUP(B272,input_484100!L:R,7,FALSE),VLOOKUP(tables_484100!C272,input_484100!A:H,8,FALSE))</f>
        <v>109023.06176</v>
      </c>
      <c r="P272" s="46">
        <f t="shared" ca="1" si="13"/>
        <v>6.6558645764710428E-3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input_484100!A$2</f>
        <v>484100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IFERROR(VLOOKUP(B273,input_484100!L:R,7,FALSE),VLOOKUP(tables_484100!C273,input_484100!A:H,8,FALSE))</f>
        <v>17869.91087</v>
      </c>
      <c r="P273" s="46">
        <f t="shared" ca="1" si="13"/>
        <v>1.0909591495986237E-3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input_484100!A$2</f>
        <v>484100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IFERROR(VLOOKUP(B274,input_484100!L:R,7,FALSE),VLOOKUP(tables_484100!C274,input_484100!A:H,8,FALSE))</f>
        <v>5280.4375</v>
      </c>
      <c r="P274" s="46">
        <f t="shared" ca="1" si="13"/>
        <v>3.2237103175370693E-4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input_484100!A$2</f>
        <v>484100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IFERROR(VLOOKUP(B275,input_484100!L:R,7,FALSE),VLOOKUP(tables_484100!C275,input_484100!A:H,8,FALSE))</f>
        <v>1219.5625</v>
      </c>
      <c r="P275" s="46">
        <f t="shared" ca="1" si="13"/>
        <v>7.4454365081137727E-5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input_484100!A$2</f>
        <v>484100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IFERROR(VLOOKUP(B276,input_484100!L:R,7,FALSE),VLOOKUP(tables_484100!C276,input_484100!A:H,8,FALSE))</f>
        <v>5280.4375</v>
      </c>
      <c r="P276" s="46">
        <f t="shared" ca="1" si="13"/>
        <v>3.2237103175370693E-4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input_484100!A$2</f>
        <v>484100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IFERROR(VLOOKUP(B277,input_484100!L:R,7,FALSE),VLOOKUP(tables_484100!C277,input_484100!A:H,8,FALSE))</f>
        <v>1219.5625</v>
      </c>
      <c r="P277" s="46">
        <f t="shared" ca="1" si="13"/>
        <v>7.4454365081137727E-5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input_484100!A$2</f>
        <v>484100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IFERROR(VLOOKUP(B278,input_484100!L:R,7,FALSE),VLOOKUP(tables_484100!C278,input_484100!A:H,8,FALSE))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input_484100!A$2</f>
        <v>484100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IFERROR(VLOOKUP(B279,input_484100!L:R,7,FALSE),VLOOKUP(tables_484100!C279,input_484100!A:H,8,FALSE))</f>
        <v>98758.35</v>
      </c>
      <c r="P279" s="46">
        <f t="shared" ca="1" si="13"/>
        <v>6.0292032968468435E-3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input_484100!A$2</f>
        <v>484100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IFERROR(VLOOKUP(B280,input_484100!L:R,7,FALSE),VLOOKUP(tables_484100!C280,input_484100!A:H,8,FALSE))</f>
        <v>891.87883999999997</v>
      </c>
      <c r="P280" s="46">
        <f t="shared" ca="1" si="13"/>
        <v>5.4449257632553989E-5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input_484100!A$2</f>
        <v>484100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IFERROR(VLOOKUP(B281,input_484100!L:R,7,FALSE),VLOOKUP(tables_484100!C281,input_484100!A:H,8,FALSE))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input_484100!A$2</f>
        <v>484100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IFERROR(VLOOKUP(B282,input_484100!L:R,7,FALSE),VLOOKUP(tables_484100!C282,input_484100!A:H,8,FALSE))</f>
        <v>98758.35</v>
      </c>
      <c r="P282" s="46">
        <f t="shared" ca="1" si="13"/>
        <v>6.0292032968468435E-3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input_484100!A$2</f>
        <v>484100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IFERROR(VLOOKUP(B283,input_484100!L:R,7,FALSE),VLOOKUP(tables_484100!C283,input_484100!A:H,8,FALSE))</f>
        <v>891.87883999999997</v>
      </c>
      <c r="P283" s="46">
        <f t="shared" ca="1" si="13"/>
        <v>5.4449257632553989E-5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input_484100!A$2</f>
        <v>484100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IFERROR(VLOOKUP(B284,input_484100!L:R,7,FALSE),VLOOKUP(tables_484100!C284,input_484100!A:H,8,FALSE))</f>
        <v>6500</v>
      </c>
      <c r="P284" s="46">
        <f t="shared" ca="1" si="13"/>
        <v>3.9682539683484467E-4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input_484100!A$2</f>
        <v>484100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IFERROR(VLOOKUP(B285,input_484100!L:R,7,FALSE),VLOOKUP(tables_484100!C285,input_484100!A:H,8,FALSE))</f>
        <v>6500</v>
      </c>
      <c r="P285" s="46">
        <f t="shared" ca="1" si="13"/>
        <v>3.9682539683484467E-4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input_484100!A$2</f>
        <v>484100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IFERROR(VLOOKUP(B286,input_484100!L:R,7,FALSE),VLOOKUP(tables_484100!C286,input_484100!A:H,8,FALSE))</f>
        <v>109023.06176</v>
      </c>
      <c r="P286" s="46">
        <f t="shared" ca="1" si="13"/>
        <v>6.6558645764710428E-3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input_484100!A$2</f>
        <v>484100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IFERROR(VLOOKUP(B287,input_484100!L:R,7,FALSE),VLOOKUP(tables_484100!C287,input_484100!A:H,8,FALSE))</f>
        <v>17869.91087</v>
      </c>
      <c r="P287" s="46">
        <f t="shared" ca="1" si="13"/>
        <v>1.0909591495986237E-3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input_484100!A$2</f>
        <v>484100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IFERROR(VLOOKUP(B288,input_484100!L:R,7,FALSE),VLOOKUP(tables_484100!C288,input_484100!A:H,8,FALSE))</f>
        <v>109023.06176</v>
      </c>
      <c r="P288" s="46">
        <f t="shared" ca="1" si="13"/>
        <v>6.6558645764710428E-3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input_484100!A$2</f>
        <v>484100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IFERROR(VLOOKUP(B289,input_484100!L:R,7,FALSE),VLOOKUP(tables_484100!C289,input_484100!A:H,8,FALSE))</f>
        <v>17869.91087</v>
      </c>
      <c r="P289" s="46">
        <f t="shared" ca="1" si="13"/>
        <v>1.0909591495986237E-3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input_484100!A$2</f>
        <v>484100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IFERROR(VLOOKUP(B290,input_484100!L:R,7,FALSE),VLOOKUP(tables_484100!C290,input_484100!A:H,8,FALSE))</f>
        <v>109023.06176</v>
      </c>
      <c r="P290" s="46">
        <f t="shared" ca="1" si="13"/>
        <v>6.6558645764710428E-3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input_484100!A$2</f>
        <v>484100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IFERROR(VLOOKUP(B291,input_484100!L:R,7,FALSE),VLOOKUP(tables_484100!C291,input_484100!A:H,8,FALSE))</f>
        <v>17869.91087</v>
      </c>
      <c r="P291" s="46">
        <f t="shared" ca="1" si="13"/>
        <v>1.0909591495986237E-3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input_484100!A$2</f>
        <v>484100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IFERROR(VLOOKUP(B292,input_484100!L:R,7,FALSE),VLOOKUP(tables_484100!C292,input_484100!A:H,8,FALSE))</f>
        <v>109023.06176</v>
      </c>
      <c r="P292" s="46">
        <f t="shared" ca="1" si="13"/>
        <v>6.6558645764710428E-3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input_484100!A$2</f>
        <v>484100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IFERROR(VLOOKUP(B293,input_484100!L:R,7,FALSE),VLOOKUP(tables_484100!C293,input_484100!A:H,8,FALSE))</f>
        <v>17869.91087</v>
      </c>
      <c r="P293" s="46">
        <f t="shared" ca="1" si="13"/>
        <v>1.0909591495986237E-3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input_484100!A$2</f>
        <v>484100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IFERROR(VLOOKUP(B294,input_484100!L:R,7,FALSE),VLOOKUP(tables_484100!C294,input_484100!A:H,8,FALSE))</f>
        <v>6500</v>
      </c>
      <c r="P294" s="46">
        <f t="shared" ca="1" si="13"/>
        <v>3.9682539683484467E-4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input_484100!A$2</f>
        <v>484100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IFERROR(VLOOKUP(B295,input_484100!L:R,7,FALSE),VLOOKUP(tables_484100!C295,input_484100!A:H,8,FALSE))</f>
        <v>6500</v>
      </c>
      <c r="P295" s="46">
        <f t="shared" ref="P295:P299" ca="1" si="20">O295/SUM(O:O)</f>
        <v>3.9682539683484467E-4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input_484100!A$2</f>
        <v>484100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IFERROR(VLOOKUP(B296,input_484100!L:R,7,FALSE),VLOOKUP(tables_484100!C296,input_484100!A:H,8,FALSE))</f>
        <v>6500</v>
      </c>
      <c r="P296" s="46">
        <f t="shared" ca="1" si="20"/>
        <v>3.9682539683484467E-4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input_484100!A$2</f>
        <v>484100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IFERROR(VLOOKUP(B297,input_484100!L:R,7,FALSE),VLOOKUP(tables_484100!C297,input_484100!A:H,8,FALSE))</f>
        <v>109023.06176</v>
      </c>
      <c r="P297" s="46">
        <f t="shared" ca="1" si="20"/>
        <v>6.6558645764710428E-3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input_484100!A$2</f>
        <v>484100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IFERROR(VLOOKUP(B298,input_484100!L:R,7,FALSE),VLOOKUP(tables_484100!C298,input_484100!A:H,8,FALSE))</f>
        <v>17869.91087</v>
      </c>
      <c r="P298" s="46">
        <f t="shared" ca="1" si="20"/>
        <v>1.0909591495986237E-3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input_484100!A$2</f>
        <v>484100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IFERROR(VLOOKUP(B299,input_484100!L:R,7,FALSE),VLOOKUP(tables_484100!C299,input_484100!A:H,8,FALSE))</f>
        <v>6500</v>
      </c>
      <c r="P299" s="46">
        <f t="shared" ca="1" si="20"/>
        <v>3.9682539683484467E-4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input_484100!A$2</f>
        <v>484100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IFERROR(VLOOKUP(B300,input_484100!L:R,7,FALSE),VLOOKUP(tables_484100!C300,input_484100!A:H,8,FALSE))</f>
        <v>6500</v>
      </c>
      <c r="P300" s="46">
        <f t="shared" ref="P300:P304" ca="1" si="22">O300/SUM(O:O)</f>
        <v>3.9682539683484467E-4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input_484100!A$2</f>
        <v>484100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IFERROR(VLOOKUP(B301,input_484100!L:R,7,FALSE),VLOOKUP(tables_484100!C301,input_484100!A:H,8,FALSE))</f>
        <v>6500</v>
      </c>
      <c r="P301" s="46">
        <f t="shared" ca="1" si="22"/>
        <v>3.9682539683484467E-4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input_484100!A$2</f>
        <v>484100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IFERROR(VLOOKUP(B302,input_484100!L:R,7,FALSE),VLOOKUP(tables_484100!C302,input_484100!A:H,8,FALSE))</f>
        <v>6500</v>
      </c>
      <c r="P302" s="46">
        <f t="shared" ca="1" si="22"/>
        <v>3.9682539683484467E-4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input_484100!A$2</f>
        <v>484100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IFERROR(VLOOKUP(B303,input_484100!L:R,7,FALSE),VLOOKUP(tables_484100!C303,input_484100!A:H,8,FALSE))</f>
        <v>109023.06176</v>
      </c>
      <c r="P303" s="46">
        <f t="shared" ca="1" si="22"/>
        <v>6.6558645764710428E-3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input_484100!A$2</f>
        <v>484100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IFERROR(VLOOKUP(B304,input_484100!L:R,7,FALSE),VLOOKUP(tables_484100!C304,input_484100!A:H,8,FALSE))</f>
        <v>17869.91087</v>
      </c>
      <c r="P304" s="46">
        <f t="shared" ca="1" si="22"/>
        <v>1.0909591495986237E-3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input_484100!A$2</f>
        <v>484100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IFERROR(VLOOKUP(B305,input_484100!L:R,7,FALSE),VLOOKUP(tables_484100!C305,input_484100!A:H,8,FALSE))</f>
        <v>6500</v>
      </c>
      <c r="P305" s="46">
        <f t="shared" ref="P305:P308" ca="1" si="24">O305/SUM(O:O)</f>
        <v>3.9682539683484467E-4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input_484100!A$2</f>
        <v>484100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IFERROR(VLOOKUP(B306,input_484100!L:R,7,FALSE),VLOOKUP(tables_484100!C306,input_484100!A:H,8,FALSE))</f>
        <v>109023.06176</v>
      </c>
      <c r="P306" s="46">
        <f t="shared" ca="1" si="24"/>
        <v>6.6558645764710428E-3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input_484100!A$2</f>
        <v>484100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IFERROR(VLOOKUP(B307,input_484100!L:R,7,FALSE),VLOOKUP(tables_484100!C307,input_484100!A:H,8,FALSE))</f>
        <v>17869.91087</v>
      </c>
      <c r="P307" s="46">
        <f t="shared" ca="1" si="24"/>
        <v>1.0909591495986237E-3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input_484100!A$2</f>
        <v>484100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IFERROR(VLOOKUP(B308,input_484100!L:R,7,FALSE),VLOOKUP(tables_484100!C308,input_484100!A:H,8,FALSE))</f>
        <v>6500</v>
      </c>
      <c r="P308" s="46">
        <f t="shared" ca="1" si="24"/>
        <v>3.9682539683484467E-4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input_484100!A$2</f>
        <v>484100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IFERROR(VLOOKUP(B309,input_484100!L:R,7,FALSE),VLOOKUP(tables_484100!C309,input_484100!A:H,8,FALSE))</f>
        <v>6500</v>
      </c>
      <c r="P309" s="46">
        <f t="shared" ref="P309" ca="1" si="26">O309/SUM(O:O)</f>
        <v>3.9682539683484467E-4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input_484100!A$2</f>
        <v>484100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IFERROR(VLOOKUP(B310,input_484100!L:R,7,FALSE),VLOOKUP(tables_484100!C310,input_484100!A:H,8,FALSE))</f>
        <v>6500</v>
      </c>
      <c r="P310" s="46">
        <f t="shared" ref="P310:P314" ca="1" si="28">O310/SUM(O:O)</f>
        <v>3.9682539683484467E-4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input_484100!A$2</f>
        <v>484100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IFERROR(VLOOKUP(B311,input_484100!L:R,7,FALSE),VLOOKUP(tables_484100!C311,input_484100!A:H,8,FALSE))</f>
        <v>109023.06176</v>
      </c>
      <c r="P311" s="46">
        <f t="shared" ca="1" si="28"/>
        <v>6.6558645764710428E-3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input_484100!A$2</f>
        <v>484100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IFERROR(VLOOKUP(B312,input_484100!L:R,7,FALSE),VLOOKUP(tables_484100!C312,input_484100!A:H,8,FALSE))</f>
        <v>17869.91087</v>
      </c>
      <c r="P312" s="46">
        <f t="shared" ca="1" si="28"/>
        <v>1.0909591495986237E-3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input_484100!A$2</f>
        <v>484100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IFERROR(VLOOKUP(B313,input_484100!L:R,7,FALSE),VLOOKUP(tables_484100!C313,input_484100!A:H,8,FALSE))</f>
        <v>6500</v>
      </c>
      <c r="P313" s="46">
        <f t="shared" ca="1" si="28"/>
        <v>3.9682539683484467E-4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input_484100!A$2</f>
        <v>484100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IFERROR(VLOOKUP(B314,input_484100!L:R,7,FALSE),VLOOKUP(tables_484100!C314,input_484100!A:H,8,FALSE))</f>
        <v>6500</v>
      </c>
      <c r="P314" s="46">
        <f t="shared" ca="1" si="28"/>
        <v>3.9682539683484467E-4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input_484100!A$2</f>
        <v>484100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IFERROR(VLOOKUP(B315,input_484100!L:R,7,FALSE),VLOOKUP(tables_484100!C315,input_484100!A:H,8,FALSE))</f>
        <v>6500</v>
      </c>
      <c r="P315" s="46">
        <f t="shared" ref="P315:P319" ca="1" si="30">O315/SUM(O:O)</f>
        <v>3.9682539683484467E-4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input_484100!A$2</f>
        <v>484100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IFERROR(VLOOKUP(B316,input_484100!L:R,7,FALSE),VLOOKUP(tables_484100!C316,input_484100!A:H,8,FALSE))</f>
        <v>6500</v>
      </c>
      <c r="P316" s="46">
        <f t="shared" ca="1" si="30"/>
        <v>3.9682539683484467E-4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input_484100!A$2</f>
        <v>484100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IFERROR(VLOOKUP(B317,input_484100!L:R,7,FALSE),VLOOKUP(tables_484100!C317,input_484100!A:H,8,FALSE))</f>
        <v>6500</v>
      </c>
      <c r="P317" s="46">
        <f t="shared" ca="1" si="30"/>
        <v>3.9682539683484467E-4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input_484100!A$2</f>
        <v>484100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IFERROR(VLOOKUP(B318,input_484100!L:R,7,FALSE),VLOOKUP(tables_484100!C318,input_484100!A:H,8,FALSE))</f>
        <v>109023.06176</v>
      </c>
      <c r="P318" s="46">
        <f t="shared" ca="1" si="30"/>
        <v>6.6558645764710428E-3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input_484100!A$2</f>
        <v>484100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IFERROR(VLOOKUP(B319,input_484100!L:R,7,FALSE),VLOOKUP(tables_484100!C319,input_484100!A:H,8,FALSE))</f>
        <v>17869.91087</v>
      </c>
      <c r="P319" s="46">
        <f t="shared" ca="1" si="30"/>
        <v>1.0909591495986237E-3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input_484100!A$2</f>
        <v>484100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IFERROR(VLOOKUP(B320,input_484100!L:R,7,FALSE),VLOOKUP(tables_484100!C320,input_484100!A:H,8,FALSE))</f>
        <v>6500</v>
      </c>
      <c r="P320" s="46">
        <f t="shared" ref="P320:P324" ca="1" si="32">O320/SUM(O:O)</f>
        <v>3.9682539683484467E-4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input_484100!A$2</f>
        <v>484100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IFERROR(VLOOKUP(B321,input_484100!L:R,7,FALSE),VLOOKUP(tables_484100!C321,input_484100!A:H,8,FALSE))</f>
        <v>6500</v>
      </c>
      <c r="P321" s="46">
        <f t="shared" ca="1" si="32"/>
        <v>3.9682539683484467E-4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input_484100!A$2</f>
        <v>484100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IFERROR(VLOOKUP(B322,input_484100!L:R,7,FALSE),VLOOKUP(tables_484100!C322,input_484100!A:H,8,FALSE))</f>
        <v>6500</v>
      </c>
      <c r="P322" s="46">
        <f t="shared" ca="1" si="32"/>
        <v>3.9682539683484467E-4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input_484100!A$2</f>
        <v>484100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IFERROR(VLOOKUP(B323,input_484100!L:R,7,FALSE),VLOOKUP(tables_484100!C323,input_484100!A:H,8,FALSE))</f>
        <v>6500</v>
      </c>
      <c r="P323" s="46">
        <f t="shared" ca="1" si="32"/>
        <v>3.9682539683484467E-4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input_484100!A$2</f>
        <v>484100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IFERROR(VLOOKUP(B324,input_484100!L:R,7,FALSE),VLOOKUP(tables_484100!C324,input_484100!A:H,8,FALSE))</f>
        <v>109023.06176</v>
      </c>
      <c r="P324" s="46">
        <f t="shared" ca="1" si="32"/>
        <v>6.6558645764710428E-3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input_484100!A$2</f>
        <v>484100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IFERROR(VLOOKUP(B325,input_484100!L:R,7,FALSE),VLOOKUP(tables_484100!C325,input_484100!A:H,8,FALSE))</f>
        <v>17869.91087</v>
      </c>
      <c r="P325" s="46">
        <f t="shared" ref="P325:P330" ca="1" si="35">O325/SUM(O:O)</f>
        <v>1.0909591495986237E-3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input_484100!A$2</f>
        <v>484100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IFERROR(VLOOKUP(B326,input_484100!L:R,7,FALSE),VLOOKUP(tables_484100!C326,input_484100!A:H,8,FALSE))</f>
        <v>109023.06176</v>
      </c>
      <c r="P326" s="46">
        <f t="shared" ca="1" si="35"/>
        <v>6.6558645764710428E-3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input_484100!A$2</f>
        <v>484100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IFERROR(VLOOKUP(B327,input_484100!L:R,7,FALSE),VLOOKUP(tables_484100!C327,input_484100!A:H,8,FALSE))</f>
        <v>17869.91087</v>
      </c>
      <c r="P327" s="46">
        <f t="shared" ca="1" si="35"/>
        <v>1.0909591495986237E-3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input_484100!A$2</f>
        <v>484100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IFERROR(VLOOKUP(B328,input_484100!L:R,7,FALSE),VLOOKUP(tables_484100!C328,input_484100!A:H,8,FALSE))</f>
        <v>6500</v>
      </c>
      <c r="P328" s="46">
        <f t="shared" ca="1" si="35"/>
        <v>3.9682539683484467E-4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input_484100!A$2</f>
        <v>484100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IFERROR(VLOOKUP(B329,input_484100!L:R,7,FALSE),VLOOKUP(tables_484100!C329,input_484100!A:H,8,FALSE))</f>
        <v>6500</v>
      </c>
      <c r="P329" s="46">
        <f t="shared" ca="1" si="35"/>
        <v>3.9682539683484467E-4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input_484100!A$2</f>
        <v>484100</v>
      </c>
      <c r="B330" s="2">
        <v>1157</v>
      </c>
      <c r="C330" s="7" t="str">
        <f t="shared" si="34"/>
        <v>PremiumSS5R5only</v>
      </c>
      <c r="D330" s="93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IFERROR(VLOOKUP(B330,input_484100!L:R,7,FALSE),VLOOKUP(tables_484100!C330,input_484100!A:H,8,FALSE))</f>
        <v>6500</v>
      </c>
      <c r="P330" s="46">
        <f t="shared" ca="1" si="35"/>
        <v>3.9682539683484467E-4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input_484100!A$2</f>
        <v>484100</v>
      </c>
      <c r="B331" s="60">
        <v>1214</v>
      </c>
      <c r="C331" s="7" t="str">
        <f t="shared" ref="C331:C335" si="36">D331&amp;J331&amp;E331&amp;F331&amp;G331</f>
        <v>PremiumSS5R5only</v>
      </c>
      <c r="D331" s="93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IFERROR(VLOOKUP(B331,input_484100!L:R,7,FALSE),VLOOKUP(tables_484100!C331,input_484100!A:H,8,FALSE))</f>
        <v>6500</v>
      </c>
      <c r="P331" s="46">
        <f t="shared" ref="P331:P335" ca="1" si="38">O331/SUM(O:O)</f>
        <v>3.9682539683484467E-4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input_484100!A$2</f>
        <v>484100</v>
      </c>
      <c r="B332" s="60">
        <v>1212</v>
      </c>
      <c r="C332" s="7" t="str">
        <f t="shared" si="36"/>
        <v>PremiumSS5R5only</v>
      </c>
      <c r="D332" s="93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IFERROR(VLOOKUP(B332,input_484100!L:R,7,FALSE),VLOOKUP(tables_484100!C332,input_484100!A:H,8,FALSE))</f>
        <v>6500</v>
      </c>
      <c r="P332" s="46">
        <f t="shared" ca="1" si="38"/>
        <v>3.9682539683484467E-4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input_484100!A$2</f>
        <v>484100</v>
      </c>
      <c r="B333" s="60">
        <v>1208</v>
      </c>
      <c r="C333" s="7" t="str">
        <f t="shared" si="36"/>
        <v>PremiumSS5R5only</v>
      </c>
      <c r="D333" s="93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IFERROR(VLOOKUP(B333,input_484100!L:R,7,FALSE),VLOOKUP(tables_484100!C333,input_484100!A:H,8,FALSE))</f>
        <v>6500</v>
      </c>
      <c r="P333" s="46">
        <f t="shared" ca="1" si="38"/>
        <v>3.9682539683484467E-4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input_484100!A$2</f>
        <v>484100</v>
      </c>
      <c r="B334" s="89">
        <v>1210</v>
      </c>
      <c r="C334" s="7" t="str">
        <f t="shared" si="36"/>
        <v>Premium4R3less</v>
      </c>
      <c r="D334" s="93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IFERROR(VLOOKUP(B334,input_484100!L:R,7,FALSE),VLOOKUP(tables_484100!C334,input_484100!A:H,8,FALSE))</f>
        <v>109023.06176</v>
      </c>
      <c r="P334" s="46">
        <f t="shared" ca="1" si="38"/>
        <v>6.6558645764710428E-3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input_484100!A$2</f>
        <v>484100</v>
      </c>
      <c r="B335" s="60">
        <v>1211</v>
      </c>
      <c r="C335" s="7" t="str">
        <f t="shared" si="36"/>
        <v>Premium5R3less</v>
      </c>
      <c r="D335" s="93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IFERROR(VLOOKUP(B335,input_484100!L:R,7,FALSE),VLOOKUP(tables_484100!C335,input_484100!A:H,8,FALSE))</f>
        <v>17869.91087</v>
      </c>
      <c r="P335" s="46">
        <f t="shared" ca="1" si="38"/>
        <v>1.0909591495986237E-3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input_484100!A$2</f>
        <v>484100</v>
      </c>
      <c r="B336" s="2">
        <v>1224</v>
      </c>
      <c r="C336" s="7" t="str">
        <f t="shared" ref="C336:C340" si="39">D336&amp;J336&amp;E336&amp;F336&amp;G336</f>
        <v>Premium4R3less</v>
      </c>
      <c r="D336" s="93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IFERROR(VLOOKUP(B336,input_484100!L:R,7,FALSE),VLOOKUP(tables_484100!C336,input_484100!A:H,8,FALSE))</f>
        <v>109023.06176</v>
      </c>
      <c r="P336" s="46">
        <f t="shared" ref="P336:P340" ca="1" si="41">O336/SUM(O:O)</f>
        <v>6.6558645764710428E-3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input_484100!A$2</f>
        <v>484100</v>
      </c>
      <c r="B337" s="2">
        <v>1225</v>
      </c>
      <c r="C337" s="7" t="str">
        <f t="shared" si="39"/>
        <v>Premium5R3less</v>
      </c>
      <c r="D337" s="93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IFERROR(VLOOKUP(B337,input_484100!L:R,7,FALSE),VLOOKUP(tables_484100!C337,input_484100!A:H,8,FALSE))</f>
        <v>17869.91087</v>
      </c>
      <c r="P337" s="46">
        <f t="shared" ca="1" si="41"/>
        <v>1.0909591495986237E-3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input_484100!A$2</f>
        <v>484100</v>
      </c>
      <c r="B338" s="2">
        <v>1226</v>
      </c>
      <c r="C338" s="7" t="str">
        <f t="shared" si="39"/>
        <v>PremiumSS5R5only</v>
      </c>
      <c r="D338" s="93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IFERROR(VLOOKUP(B338,input_484100!L:R,7,FALSE),VLOOKUP(tables_484100!C338,input_484100!A:H,8,FALSE))</f>
        <v>6500</v>
      </c>
      <c r="P338" s="46">
        <f t="shared" ca="1" si="41"/>
        <v>3.9682539683484467E-4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input_484100!A$2</f>
        <v>484100</v>
      </c>
      <c r="B339" s="2">
        <v>1228</v>
      </c>
      <c r="C339" s="7" t="str">
        <f t="shared" si="39"/>
        <v>PremiumSS5R5only</v>
      </c>
      <c r="D339" s="93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IFERROR(VLOOKUP(B339,input_484100!L:R,7,FALSE),VLOOKUP(tables_484100!C339,input_484100!A:H,8,FALSE))</f>
        <v>6500</v>
      </c>
      <c r="P339" s="46">
        <f t="shared" ca="1" si="41"/>
        <v>3.9682539683484467E-4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input_484100!A$2</f>
        <v>484100</v>
      </c>
      <c r="B340" s="2">
        <v>1230</v>
      </c>
      <c r="C340" s="7" t="str">
        <f t="shared" si="39"/>
        <v>PremiumSS5R5only</v>
      </c>
      <c r="D340" s="93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IFERROR(VLOOKUP(B340,input_484100!L:R,7,FALSE),VLOOKUP(tables_484100!C340,input_484100!A:H,8,FALSE))</f>
        <v>6500</v>
      </c>
      <c r="P340" s="46">
        <f t="shared" ca="1" si="41"/>
        <v>3.9682539683484467E-4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input_484100!A$2</f>
        <v>484100</v>
      </c>
      <c r="B341" s="60">
        <v>512</v>
      </c>
      <c r="C341" s="7" t="str">
        <f t="shared" ref="C341:C348" si="42">D341&amp;J341&amp;E341&amp;F341&amp;G341</f>
        <v>Premium4R3less</v>
      </c>
      <c r="D341" s="93" t="str">
        <f t="shared" ref="D341:D348" si="43">IF(OR(I341="PremiumSS",I341="PremiumSSw"),"PremiumSS",IF(I341="PremiumSSS",I341,IF(I341="PremiumW",IF(J341=5,"premium",I341),"Premium")))</f>
        <v>Premium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聖火の逆徒 クリスマス・ベリアル</v>
      </c>
      <c r="I341" s="7" t="str">
        <f>VLOOKUP(B341,[1]characters!$A:$J,10,FALSE)</f>
        <v>PremiumS</v>
      </c>
      <c r="J341" s="7">
        <f>VLOOKUP(B341,[1]characters!$A:$I,9,FALSE)</f>
        <v>4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god</v>
      </c>
      <c r="N341" s="7" t="str">
        <f>VLOOKUP(B341,[1]characters!$A:$G,7,FALSE)</f>
        <v>男性</v>
      </c>
      <c r="O341" s="45">
        <f>IFERROR(VLOOKUP(B341,input_484100!L:R,7,FALSE),VLOOKUP(tables_484100!C341,input_484100!A:H,8,FALSE))</f>
        <v>466830</v>
      </c>
      <c r="P341" s="46">
        <f t="shared" ref="P341:P348" ca="1" si="44">O341/SUM(O:O)</f>
        <v>2.8500000000678545E-2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input_484100!A$2</f>
        <v>484100</v>
      </c>
      <c r="B342" s="60">
        <v>513</v>
      </c>
      <c r="C342" s="7" t="str">
        <f t="shared" si="42"/>
        <v>Premium5R3less</v>
      </c>
      <c r="D342" s="93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爆進の荷炎 クリスマス・ベリアル</v>
      </c>
      <c r="I342" s="7" t="str">
        <f>VLOOKUP(B342,[1]characters!$A:$J,10,FALSE)</f>
        <v>PremiumS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god</v>
      </c>
      <c r="N342" s="7" t="str">
        <f>VLOOKUP(B342,[1]characters!$A:$G,7,FALSE)</f>
        <v>男性</v>
      </c>
      <c r="O342" s="45">
        <f>IFERROR(VLOOKUP(B342,input_484100!L:R,7,FALSE),VLOOKUP(tables_484100!C342,input_484100!A:H,8,FALSE))</f>
        <v>24570</v>
      </c>
      <c r="P342" s="46">
        <f t="shared" ca="1" si="44"/>
        <v>1.5000000000357128E-3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input_484100!A$2</f>
        <v>484100</v>
      </c>
      <c r="B343" s="60">
        <v>514</v>
      </c>
      <c r="C343" s="7" t="str">
        <f t="shared" si="42"/>
        <v>Premium4R3less</v>
      </c>
      <c r="D343" s="93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祝宴の識徒 サンタクロース・オセ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green</v>
      </c>
      <c r="L343" s="7" t="str">
        <f>VLOOKUP(B343,[1]characters!$A:$K,11,FALSE)</f>
        <v>attack</v>
      </c>
      <c r="M343" s="7" t="str">
        <f>VLOOKUP(B343,[1]characters!$A:$M,13,FALSE)</f>
        <v>god</v>
      </c>
      <c r="N343" s="7" t="str">
        <f>VLOOKUP(B343,[1]characters!$A:$G,7,FALSE)</f>
        <v>女性</v>
      </c>
      <c r="O343" s="45">
        <f>IFERROR(VLOOKUP(B343,input_484100!L:R,7,FALSE),VLOOKUP(tables_484100!C343,input_484100!A:H,8,FALSE))</f>
        <v>466830</v>
      </c>
      <c r="P343" s="46">
        <f t="shared" ca="1" si="44"/>
        <v>2.8500000000678545E-2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input_484100!A$2</f>
        <v>484100</v>
      </c>
      <c r="B344" s="60">
        <v>515</v>
      </c>
      <c r="C344" s="7" t="str">
        <f t="shared" si="42"/>
        <v>Premium5R3less</v>
      </c>
      <c r="D344" s="93" t="str">
        <f t="shared" si="4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聖夜の贈主 サンタクロース・オセ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attack</v>
      </c>
      <c r="M344" s="7" t="str">
        <f>VLOOKUP(B344,[1]characters!$A:$M,13,FALSE)</f>
        <v>god</v>
      </c>
      <c r="N344" s="7" t="str">
        <f>VLOOKUP(B344,[1]characters!$A:$G,7,FALSE)</f>
        <v>女性</v>
      </c>
      <c r="O344" s="45">
        <f>IFERROR(VLOOKUP(B344,input_484100!L:R,7,FALSE),VLOOKUP(tables_484100!C344,input_484100!A:H,8,FALSE))</f>
        <v>24570</v>
      </c>
      <c r="P344" s="46">
        <f t="shared" ca="1" si="44"/>
        <v>1.5000000000357128E-3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input_484100!A$2</f>
        <v>484100</v>
      </c>
      <c r="B345" s="60">
        <v>516</v>
      </c>
      <c r="C345" s="7" t="str">
        <f t="shared" si="42"/>
        <v>PremiumSS4R5only</v>
      </c>
      <c r="D345" s="93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聖母 マリア</v>
      </c>
      <c r="I345" s="7" t="str">
        <f>VLOOKUP(B345,[1]characters!$A:$J,10,FALSE)</f>
        <v>PremiumSS</v>
      </c>
      <c r="J345" s="7">
        <f>VLOOKUP(B345,[1]characters!$A:$I,9,FALSE)</f>
        <v>4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 t="str">
        <f>VLOOKUP(B345,[1]characters!$A:$G,7,FALSE)</f>
        <v>女性</v>
      </c>
      <c r="O345" s="45">
        <f>IFERROR(VLOOKUP(B345,input_484100!L:R,7,FALSE),VLOOKUP(tables_484100!C345,input_484100!A:H,8,FALSE))</f>
        <v>194512.5</v>
      </c>
      <c r="P345" s="46">
        <f t="shared" ca="1" si="44"/>
        <v>1.1875000000282727E-2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10</v>
      </c>
    </row>
    <row r="346" spans="1:22" ht="21" customHeight="1" x14ac:dyDescent="0.15">
      <c r="A346" s="2" t="str">
        <f ca="1">input_484100!A$2</f>
        <v>484100</v>
      </c>
      <c r="B346" s="60">
        <v>517</v>
      </c>
      <c r="C346" s="7" t="str">
        <f t="shared" si="42"/>
        <v>PremiumSS5R5only</v>
      </c>
      <c r="D346" s="93" t="str">
        <f t="shared" si="43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真冬の誕生祭 マリア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heal</v>
      </c>
      <c r="M346" s="7" t="str">
        <f>VLOOKUP(B346,[1]characters!$A:$M,13,FALSE)</f>
        <v>human</v>
      </c>
      <c r="N346" s="7" t="str">
        <f>VLOOKUP(B346,[1]characters!$A:$G,7,FALSE)</f>
        <v>女性</v>
      </c>
      <c r="O346" s="45">
        <f>IFERROR(VLOOKUP(B346,input_484100!L:R,7,FALSE),VLOOKUP(tables_484100!C346,input_484100!A:H,8,FALSE))</f>
        <v>10237.5</v>
      </c>
      <c r="P346" s="46">
        <f t="shared" ca="1" si="44"/>
        <v>6.2500000001488036E-4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10</v>
      </c>
    </row>
    <row r="347" spans="1:22" ht="21" customHeight="1" x14ac:dyDescent="0.15">
      <c r="A347" s="2" t="str">
        <f ca="1">input_484100!A$2</f>
        <v>484100</v>
      </c>
      <c r="B347" s="60">
        <v>518</v>
      </c>
      <c r="C347" s="7" t="str">
        <f t="shared" si="42"/>
        <v>Premium4R3less</v>
      </c>
      <c r="D347" s="93" t="str">
        <f t="shared" si="43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秘来の聖天使 ミカエル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yellow</v>
      </c>
      <c r="L347" s="7" t="str">
        <f>VLOOKUP(B347,[1]characters!$A:$K,11,FALSE)</f>
        <v>attack</v>
      </c>
      <c r="M347" s="7" t="str">
        <f>VLOOKUP(B347,[1]characters!$A:$M,13,FALSE)</f>
        <v>god</v>
      </c>
      <c r="N347" s="7" t="str">
        <f>VLOOKUP(B347,[1]characters!$A:$G,7,FALSE)</f>
        <v>女性</v>
      </c>
      <c r="O347" s="45">
        <f>IFERROR(VLOOKUP(B347,input_484100!L:R,7,FALSE),VLOOKUP(tables_484100!C347,input_484100!A:H,8,FALSE))</f>
        <v>466830</v>
      </c>
      <c r="P347" s="46">
        <f t="shared" ca="1" si="44"/>
        <v>2.8500000000678545E-2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input_484100!A$2</f>
        <v>484100</v>
      </c>
      <c r="B348" s="60">
        <v>519</v>
      </c>
      <c r="C348" s="7" t="str">
        <f t="shared" si="42"/>
        <v>Premium5R3less</v>
      </c>
      <c r="D348" s="93" t="str">
        <f t="shared" si="43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夜天の聖天使 ミカエル・ハレルヤ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yellow</v>
      </c>
      <c r="L348" s="7" t="str">
        <f>VLOOKUP(B348,[1]characters!$A:$K,11,FALSE)</f>
        <v>attack</v>
      </c>
      <c r="M348" s="7" t="str">
        <f>VLOOKUP(B348,[1]characters!$A:$M,13,FALSE)</f>
        <v>god</v>
      </c>
      <c r="N348" s="7" t="str">
        <f>VLOOKUP(B348,[1]characters!$A:$G,7,FALSE)</f>
        <v>女性</v>
      </c>
      <c r="O348" s="45">
        <f>IFERROR(VLOOKUP(B348,input_484100!L:R,7,FALSE),VLOOKUP(tables_484100!C348,input_484100!A:H,8,FALSE))</f>
        <v>24570</v>
      </c>
      <c r="P348" s="46">
        <f t="shared" ca="1" si="44"/>
        <v>1.5000000000357128E-3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input_484100!A$2</f>
        <v>484100</v>
      </c>
      <c r="B349" s="1">
        <v>1278</v>
      </c>
      <c r="C349" s="7" t="str">
        <f t="shared" ref="C349:C351" si="45">D349&amp;J349&amp;E349&amp;F349&amp;G349</f>
        <v>PremiumSS5R5only</v>
      </c>
      <c r="D349" s="93" t="str">
        <f t="shared" ref="D349:D351" si="46">IF(OR(I349="PremiumSS",I349="PremiumSSw"),"PremiumSS",IF(I349="PremiumSSS",I349,IF(I349="PremiumW",IF(J349=5,"premium",I349),"Premium")))</f>
        <v>PremiumSS</v>
      </c>
      <c r="E349" s="7" t="str">
        <f>IF(COUNTIF('R6追加前'!A:A,B349)=0,IF(OR(I349="PremiumSS",I349="PremiumSSw"),"R5only","R3less"),"")</f>
        <v>R5only</v>
      </c>
      <c r="F349" s="7" t="str">
        <f>IF(COUNTIF('R6開放'!A:A,B349)&gt;0,"R6release","")</f>
        <v/>
      </c>
      <c r="G349" s="7"/>
      <c r="H349" s="7" t="str">
        <f>VLOOKUP(B349,[1]characters!$A:$C,3,FALSE)</f>
        <v>ラチカ</v>
      </c>
      <c r="I349" s="7" t="str">
        <f>VLOOKUP(B349,[1]characters!$A:$J,10,FALSE)</f>
        <v>PremiumSS</v>
      </c>
      <c r="J349" s="7">
        <f>VLOOKUP(B349,[1]characters!$A:$I,9,FALSE)</f>
        <v>5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unknown</v>
      </c>
      <c r="N349" s="7">
        <f>VLOOKUP(B349,[1]characters!$A:$G,7,FALSE)</f>
        <v>0</v>
      </c>
      <c r="O349" s="45">
        <f>IFERROR(VLOOKUP(B349,input_484100!L:R,7,FALSE),VLOOKUP(tables_484100!C349,input_484100!A:H,8,FALSE))</f>
        <v>204750</v>
      </c>
      <c r="P349" s="46">
        <f t="shared" ref="P349:P351" ca="1" si="47">O349/SUM(O:O)</f>
        <v>1.2500000000297606E-2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10</v>
      </c>
    </row>
    <row r="350" spans="1:22" ht="21" customHeight="1" x14ac:dyDescent="0.15">
      <c r="A350" s="2" t="str">
        <f ca="1">input_484100!A$2</f>
        <v>484100</v>
      </c>
      <c r="B350" s="1">
        <v>1280</v>
      </c>
      <c r="C350" s="7" t="str">
        <f t="shared" si="45"/>
        <v>Premium5R3less</v>
      </c>
      <c r="D350" s="93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聖装の始祖帝 クリスマス卑弥呼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human</v>
      </c>
      <c r="N350" s="7">
        <f>VLOOKUP(B350,[1]characters!$A:$G,7,FALSE)</f>
        <v>0</v>
      </c>
      <c r="O350" s="45">
        <f>IFERROR(VLOOKUP(B350,input_484100!L:R,7,FALSE),VLOOKUP(tables_484100!C350,input_484100!A:H,8,FALSE))</f>
        <v>982800</v>
      </c>
      <c r="P350" s="46">
        <f t="shared" ca="1" si="47"/>
        <v>6.0000000001428515E-2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input_484100!A$2</f>
        <v>484100</v>
      </c>
      <c r="B351" s="1">
        <v>1281</v>
      </c>
      <c r="C351" s="7" t="str">
        <f t="shared" si="45"/>
        <v>Premium5R3less</v>
      </c>
      <c r="D351" s="93" t="str">
        <f t="shared" si="46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愛贈の白魔 ノエル・エスタブ</v>
      </c>
      <c r="I351" s="7" t="str">
        <f>VLOOKUP(B351,[1]characters!$A:$J,10,FALSE)</f>
        <v>PremiumS</v>
      </c>
      <c r="J351" s="7">
        <f>VLOOKUP(B351,[1]characters!$A:$I,9,FALSE)</f>
        <v>5</v>
      </c>
      <c r="K351" s="7" t="str">
        <f>VLOOKUP(B351,[1]characters!$A:$H,8,FALSE)</f>
        <v>green</v>
      </c>
      <c r="L351" s="7" t="str">
        <f>VLOOKUP(B351,[1]characters!$A:$K,11,FALSE)</f>
        <v>attack</v>
      </c>
      <c r="M351" s="7" t="str">
        <f>VLOOKUP(B351,[1]characters!$A:$M,13,FALSE)</f>
        <v>human</v>
      </c>
      <c r="N351" s="7">
        <f>VLOOKUP(B351,[1]characters!$A:$G,7,FALSE)</f>
        <v>0</v>
      </c>
      <c r="O351" s="45">
        <f>IFERROR(VLOOKUP(B351,input_484100!L:R,7,FALSE),VLOOKUP(tables_484100!C351,input_484100!A:H,8,FALSE))</f>
        <v>982800</v>
      </c>
      <c r="P351" s="46">
        <f t="shared" ca="1" si="47"/>
        <v>6.0000000001428515E-2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</sheetData>
  <autoFilter ref="A1:V29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11"/>
  <sheetViews>
    <sheetView showGridLines="0" workbookViewId="0">
      <pane ySplit="1" topLeftCell="A2" activePane="bottomLeft" state="frozen"/>
      <selection activeCell="M24" sqref="M24"/>
      <selection pane="bottomLeft" activeCell="D14" sqref="D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9">
        <v>484100</v>
      </c>
      <c r="B2" s="99">
        <v>4841001</v>
      </c>
      <c r="C2" s="78" t="s">
        <v>257</v>
      </c>
      <c r="D2" s="78">
        <v>611</v>
      </c>
      <c r="E2" s="78">
        <v>1</v>
      </c>
      <c r="F2" s="2">
        <v>1</v>
      </c>
      <c r="G2" s="100">
        <v>0</v>
      </c>
      <c r="H2" s="100">
        <v>0</v>
      </c>
      <c r="I2" s="100">
        <v>0</v>
      </c>
      <c r="J2" s="100">
        <v>0</v>
      </c>
      <c r="K2" s="100">
        <v>1</v>
      </c>
      <c r="L2" s="100">
        <v>1</v>
      </c>
      <c r="M2" s="100">
        <v>1</v>
      </c>
      <c r="N2" s="78" t="s">
        <v>259</v>
      </c>
      <c r="O2" s="78" t="s">
        <v>260</v>
      </c>
      <c r="P2" s="78" t="s">
        <v>271</v>
      </c>
      <c r="Q2" s="79" t="s">
        <v>272</v>
      </c>
    </row>
    <row r="3" spans="1:17" ht="21" customHeight="1" x14ac:dyDescent="0.15">
      <c r="A3" s="99">
        <v>484100</v>
      </c>
      <c r="B3" s="99">
        <v>4841002</v>
      </c>
      <c r="C3" s="78" t="s">
        <v>257</v>
      </c>
      <c r="D3" s="78">
        <v>612</v>
      </c>
      <c r="E3" s="78">
        <v>1</v>
      </c>
      <c r="F3" s="2">
        <v>1</v>
      </c>
      <c r="G3" s="100">
        <v>0</v>
      </c>
      <c r="H3" s="100">
        <v>0</v>
      </c>
      <c r="I3" s="100">
        <v>0</v>
      </c>
      <c r="J3" s="100">
        <v>0</v>
      </c>
      <c r="K3" s="100">
        <v>1</v>
      </c>
      <c r="L3" s="100">
        <v>1</v>
      </c>
      <c r="M3" s="100">
        <v>1</v>
      </c>
      <c r="N3" s="78" t="s">
        <v>259</v>
      </c>
      <c r="O3" s="78" t="s">
        <v>262</v>
      </c>
      <c r="P3" s="78" t="s">
        <v>270</v>
      </c>
      <c r="Q3" s="79" t="s">
        <v>273</v>
      </c>
    </row>
    <row r="4" spans="1:17" ht="21" customHeight="1" x14ac:dyDescent="0.15">
      <c r="A4" s="99">
        <v>484100</v>
      </c>
      <c r="B4" s="99">
        <v>4841003</v>
      </c>
      <c r="C4" s="78" t="s">
        <v>257</v>
      </c>
      <c r="D4" s="78">
        <v>613</v>
      </c>
      <c r="E4" s="78">
        <v>1</v>
      </c>
      <c r="F4" s="2">
        <v>1</v>
      </c>
      <c r="G4" s="100">
        <v>0</v>
      </c>
      <c r="H4" s="100">
        <v>0</v>
      </c>
      <c r="I4" s="100">
        <v>0</v>
      </c>
      <c r="J4" s="100">
        <v>0</v>
      </c>
      <c r="K4" s="100">
        <v>1</v>
      </c>
      <c r="L4" s="100">
        <v>1</v>
      </c>
      <c r="M4" s="100">
        <v>1</v>
      </c>
      <c r="N4" s="78" t="s">
        <v>259</v>
      </c>
      <c r="O4" s="78" t="s">
        <v>263</v>
      </c>
      <c r="P4" s="78" t="s">
        <v>270</v>
      </c>
      <c r="Q4" s="79" t="s">
        <v>274</v>
      </c>
    </row>
    <row r="5" spans="1:17" ht="21" customHeight="1" x14ac:dyDescent="0.15">
      <c r="A5" s="99">
        <v>484100</v>
      </c>
      <c r="B5" s="99">
        <v>4841004</v>
      </c>
      <c r="C5" s="78" t="s">
        <v>257</v>
      </c>
      <c r="D5" s="78">
        <v>610</v>
      </c>
      <c r="E5" s="78">
        <v>1</v>
      </c>
      <c r="F5" s="2">
        <v>1</v>
      </c>
      <c r="G5" s="100">
        <v>0</v>
      </c>
      <c r="H5" s="100">
        <v>0</v>
      </c>
      <c r="I5" s="100">
        <v>0</v>
      </c>
      <c r="J5" s="100">
        <v>0</v>
      </c>
      <c r="K5" s="100">
        <v>1</v>
      </c>
      <c r="L5" s="100">
        <v>1</v>
      </c>
      <c r="M5" s="100">
        <v>1</v>
      </c>
      <c r="N5" s="78" t="s">
        <v>259</v>
      </c>
      <c r="O5" s="78" t="s">
        <v>261</v>
      </c>
      <c r="P5" s="78" t="s">
        <v>270</v>
      </c>
      <c r="Q5" s="79" t="s">
        <v>275</v>
      </c>
    </row>
    <row r="6" spans="1:17" ht="21" customHeight="1" x14ac:dyDescent="0.15">
      <c r="A6" s="99">
        <v>484100</v>
      </c>
      <c r="B6" s="99">
        <v>4841005</v>
      </c>
      <c r="C6" s="2" t="s">
        <v>256</v>
      </c>
      <c r="D6" s="2">
        <v>335</v>
      </c>
      <c r="E6" s="78">
        <v>1</v>
      </c>
      <c r="F6" s="2">
        <v>1</v>
      </c>
      <c r="G6" s="100">
        <v>0</v>
      </c>
      <c r="H6" s="100">
        <v>0</v>
      </c>
      <c r="I6" s="100">
        <v>0</v>
      </c>
      <c r="J6" s="100">
        <v>0</v>
      </c>
      <c r="K6" s="100">
        <v>1</v>
      </c>
      <c r="L6" s="100">
        <v>1</v>
      </c>
      <c r="M6" s="100">
        <v>1</v>
      </c>
      <c r="N6" s="78" t="s">
        <v>259</v>
      </c>
      <c r="O6" s="78" t="s">
        <v>264</v>
      </c>
      <c r="P6" s="78" t="s">
        <v>270</v>
      </c>
      <c r="Q6" s="79" t="s">
        <v>276</v>
      </c>
    </row>
    <row r="7" spans="1:17" ht="21" customHeight="1" x14ac:dyDescent="0.15">
      <c r="A7" s="99">
        <v>484100</v>
      </c>
      <c r="B7" s="99">
        <v>4841006</v>
      </c>
      <c r="C7" s="2" t="s">
        <v>256</v>
      </c>
      <c r="D7" s="2">
        <v>339</v>
      </c>
      <c r="E7" s="78">
        <v>1</v>
      </c>
      <c r="F7" s="2">
        <v>1</v>
      </c>
      <c r="G7" s="100">
        <v>0</v>
      </c>
      <c r="H7" s="100">
        <v>0</v>
      </c>
      <c r="I7" s="100">
        <v>0</v>
      </c>
      <c r="J7" s="100">
        <v>0</v>
      </c>
      <c r="K7" s="100">
        <v>1</v>
      </c>
      <c r="L7" s="100">
        <v>1</v>
      </c>
      <c r="M7" s="100">
        <v>1</v>
      </c>
      <c r="N7" s="78" t="s">
        <v>259</v>
      </c>
      <c r="O7" s="78" t="s">
        <v>265</v>
      </c>
      <c r="P7" s="78" t="s">
        <v>270</v>
      </c>
      <c r="Q7" s="79" t="s">
        <v>277</v>
      </c>
    </row>
    <row r="8" spans="1:17" ht="21" customHeight="1" x14ac:dyDescent="0.15">
      <c r="A8" s="99">
        <v>484100</v>
      </c>
      <c r="B8" s="99">
        <v>4841007</v>
      </c>
      <c r="C8" s="2" t="s">
        <v>256</v>
      </c>
      <c r="D8" s="2">
        <v>343</v>
      </c>
      <c r="E8" s="78">
        <v>1</v>
      </c>
      <c r="F8" s="2">
        <v>1</v>
      </c>
      <c r="G8" s="100">
        <v>0</v>
      </c>
      <c r="H8" s="100">
        <v>0</v>
      </c>
      <c r="I8" s="100">
        <v>0</v>
      </c>
      <c r="J8" s="100">
        <v>0</v>
      </c>
      <c r="K8" s="100">
        <v>1</v>
      </c>
      <c r="L8" s="100">
        <v>1</v>
      </c>
      <c r="M8" s="100">
        <v>1</v>
      </c>
      <c r="N8" s="78" t="s">
        <v>259</v>
      </c>
      <c r="O8" s="2" t="s">
        <v>266</v>
      </c>
      <c r="P8" s="78" t="s">
        <v>270</v>
      </c>
      <c r="Q8" s="79" t="s">
        <v>278</v>
      </c>
    </row>
    <row r="9" spans="1:17" ht="21" customHeight="1" x14ac:dyDescent="0.15">
      <c r="A9" s="99">
        <v>484100</v>
      </c>
      <c r="B9" s="99">
        <v>4841008</v>
      </c>
      <c r="C9" s="2" t="s">
        <v>256</v>
      </c>
      <c r="D9" s="2">
        <v>347</v>
      </c>
      <c r="E9" s="78">
        <v>1</v>
      </c>
      <c r="F9" s="2">
        <v>1</v>
      </c>
      <c r="G9" s="100">
        <v>0</v>
      </c>
      <c r="H9" s="100">
        <v>0</v>
      </c>
      <c r="I9" s="100">
        <v>0</v>
      </c>
      <c r="J9" s="100">
        <v>0</v>
      </c>
      <c r="K9" s="100">
        <v>1</v>
      </c>
      <c r="L9" s="100">
        <v>1</v>
      </c>
      <c r="M9" s="100">
        <v>1</v>
      </c>
      <c r="N9" s="78" t="s">
        <v>259</v>
      </c>
      <c r="O9" s="2" t="s">
        <v>267</v>
      </c>
      <c r="P9" s="78" t="s">
        <v>270</v>
      </c>
      <c r="Q9" s="79" t="s">
        <v>279</v>
      </c>
    </row>
    <row r="10" spans="1:17" ht="21" customHeight="1" x14ac:dyDescent="0.15">
      <c r="A10" s="99">
        <v>484100</v>
      </c>
      <c r="B10" s="99">
        <v>4841009</v>
      </c>
      <c r="C10" s="2" t="s">
        <v>256</v>
      </c>
      <c r="D10" s="2">
        <v>837</v>
      </c>
      <c r="E10" s="78">
        <v>1</v>
      </c>
      <c r="F10" s="2">
        <v>1</v>
      </c>
      <c r="G10" s="100">
        <v>0</v>
      </c>
      <c r="H10" s="100">
        <v>0</v>
      </c>
      <c r="I10" s="100">
        <v>0</v>
      </c>
      <c r="J10" s="100">
        <v>0</v>
      </c>
      <c r="K10" s="100">
        <v>1</v>
      </c>
      <c r="L10" s="100">
        <v>1</v>
      </c>
      <c r="M10" s="100">
        <v>1</v>
      </c>
      <c r="N10" s="78" t="s">
        <v>259</v>
      </c>
      <c r="O10" s="2" t="s">
        <v>268</v>
      </c>
      <c r="P10" s="78" t="s">
        <v>270</v>
      </c>
      <c r="Q10" s="79" t="s">
        <v>280</v>
      </c>
    </row>
    <row r="11" spans="1:17" ht="21" customHeight="1" x14ac:dyDescent="0.15">
      <c r="A11" s="99">
        <v>484100</v>
      </c>
      <c r="B11" s="99">
        <v>4841010</v>
      </c>
      <c r="C11" s="2" t="s">
        <v>258</v>
      </c>
      <c r="D11" s="2">
        <v>300000</v>
      </c>
      <c r="E11" s="78">
        <v>1</v>
      </c>
      <c r="F11" s="2">
        <v>1</v>
      </c>
      <c r="G11" s="100">
        <v>0</v>
      </c>
      <c r="H11" s="100">
        <v>0</v>
      </c>
      <c r="I11" s="100">
        <v>0</v>
      </c>
      <c r="J11" s="100">
        <v>0</v>
      </c>
      <c r="K11" s="100">
        <v>1</v>
      </c>
      <c r="L11" s="100">
        <v>1</v>
      </c>
      <c r="M11" s="100">
        <v>1</v>
      </c>
      <c r="N11" s="78" t="s">
        <v>259</v>
      </c>
      <c r="O11" s="78" t="s">
        <v>269</v>
      </c>
      <c r="P11" s="78" t="s">
        <v>270</v>
      </c>
      <c r="Q11" s="79" t="s">
        <v>281</v>
      </c>
    </row>
  </sheetData>
  <autoFilter ref="A1:F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input_484100</vt:lpstr>
      <vt:lpstr>tables_484100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2016-12-07T03:24:34Z</dcterms:modified>
</cp:coreProperties>
</file>