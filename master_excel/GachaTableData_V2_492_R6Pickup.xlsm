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140" tabRatio="943" activeTab="5"/>
  </bookViews>
  <sheets>
    <sheet name="確率の考え方" sheetId="110" r:id="rId1"/>
    <sheet name="Sheet1" sheetId="107" r:id="rId2"/>
    <sheet name="output" sheetId="103" r:id="rId3"/>
    <sheet name="input_492010" sheetId="157" r:id="rId4"/>
    <sheet name="tables_492010" sheetId="158" r:id="rId5"/>
    <sheet name="input_492100" sheetId="153" r:id="rId6"/>
    <sheet name="tables_492100" sheetId="154" r:id="rId7"/>
    <sheet name="tables_settle_492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tables_492010!$A$1:$V$294</definedName>
    <definedName name="_xlnm._FilterDatabase" localSheetId="6" hidden="1">tables_492100!$A$1:$V$294</definedName>
    <definedName name="_xlnm._FilterDatabase" localSheetId="7" hidden="1">tables_settle_492105!$A$1:$V$5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53" l="1"/>
  <c r="B29" i="153"/>
  <c r="B28" i="153"/>
  <c r="B27" i="153"/>
  <c r="B26" i="153"/>
  <c r="B25" i="153"/>
  <c r="B24" i="153"/>
  <c r="B23" i="153"/>
  <c r="B22" i="153"/>
  <c r="B21" i="153"/>
  <c r="B20" i="153"/>
  <c r="B19" i="153"/>
  <c r="B17" i="153"/>
  <c r="B18" i="153"/>
  <c r="B27" i="157"/>
  <c r="B20" i="157"/>
  <c r="B29" i="157"/>
  <c r="H5" i="159"/>
  <c r="M6" i="153"/>
  <c r="M5" i="153"/>
  <c r="M4" i="153"/>
  <c r="M3" i="153"/>
  <c r="B10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8" i="157"/>
  <c r="E19" i="157"/>
  <c r="B19" i="157"/>
  <c r="E24" i="157"/>
  <c r="B24" i="157"/>
  <c r="B17" i="157"/>
  <c r="B18" i="157"/>
  <c r="E20" i="157"/>
  <c r="A2" i="157"/>
  <c r="F5" i="157"/>
  <c r="A36" i="157"/>
  <c r="E26" i="157"/>
  <c r="B26" i="157"/>
  <c r="G26" i="157"/>
  <c r="H26" i="157"/>
  <c r="O44" i="158"/>
  <c r="O47" i="158"/>
  <c r="O50" i="158"/>
  <c r="E23" i="157"/>
  <c r="B23" i="157"/>
  <c r="E5" i="157"/>
  <c r="E28" i="157"/>
  <c r="B28" i="157"/>
  <c r="E29" i="157"/>
  <c r="B21" i="157"/>
  <c r="G21" i="157"/>
  <c r="E21" i="157"/>
  <c r="H21" i="157"/>
  <c r="O53" i="158"/>
  <c r="G17" i="157"/>
  <c r="E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O45" i="158"/>
  <c r="O46" i="158"/>
  <c r="O48" i="158"/>
  <c r="O49" i="158"/>
  <c r="G19" i="157"/>
  <c r="H19" i="157"/>
  <c r="O51" i="158"/>
  <c r="G20" i="157"/>
  <c r="H20" i="157"/>
  <c r="O52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G27" i="157"/>
  <c r="H27" i="157"/>
  <c r="O138" i="158"/>
  <c r="G28" i="157"/>
  <c r="H28" i="157"/>
  <c r="O139" i="158"/>
  <c r="R3" i="157"/>
  <c r="O140" i="158"/>
  <c r="R4" i="157"/>
  <c r="O141" i="158"/>
  <c r="O142" i="158"/>
  <c r="O143" i="158"/>
  <c r="R5" i="157"/>
  <c r="O144" i="158"/>
  <c r="R6" i="157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F42" i="157"/>
  <c r="G42" i="157"/>
  <c r="F35" i="157"/>
  <c r="A2" i="153"/>
  <c r="I140" i="154"/>
  <c r="D140" i="154"/>
  <c r="J140" i="154"/>
  <c r="E140" i="154"/>
  <c r="F140" i="154"/>
  <c r="C140" i="154"/>
  <c r="I221" i="154"/>
  <c r="D221" i="154"/>
  <c r="J221" i="154"/>
  <c r="E221" i="154"/>
  <c r="C221" i="154"/>
  <c r="Q3" i="153"/>
  <c r="I141" i="154"/>
  <c r="D141" i="154"/>
  <c r="J141" i="154"/>
  <c r="E141" i="154"/>
  <c r="F141" i="154"/>
  <c r="C141" i="154"/>
  <c r="I222" i="154"/>
  <c r="D222" i="154"/>
  <c r="J222" i="154"/>
  <c r="E222" i="154"/>
  <c r="C222" i="154"/>
  <c r="Q4" i="153"/>
  <c r="I144" i="154"/>
  <c r="D144" i="154"/>
  <c r="J144" i="154"/>
  <c r="E144" i="154"/>
  <c r="F144" i="154"/>
  <c r="C144" i="154"/>
  <c r="I184" i="154"/>
  <c r="D184" i="154"/>
  <c r="J184" i="154"/>
  <c r="E184" i="154"/>
  <c r="C184" i="154"/>
  <c r="Q5" i="153"/>
  <c r="I145" i="154"/>
  <c r="D145" i="154"/>
  <c r="J145" i="154"/>
  <c r="E145" i="154"/>
  <c r="F145" i="154"/>
  <c r="C145" i="154"/>
  <c r="I185" i="154"/>
  <c r="D185" i="154"/>
  <c r="J185" i="154"/>
  <c r="E185" i="154"/>
  <c r="C185" i="154"/>
  <c r="Q6" i="153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F184" i="154"/>
  <c r="F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F221" i="154"/>
  <c r="F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F5" i="153"/>
  <c r="E5" i="153"/>
  <c r="F6" i="153"/>
  <c r="A36" i="153"/>
  <c r="G29" i="153"/>
  <c r="H29" i="153"/>
  <c r="E19" i="153"/>
  <c r="B10" i="153"/>
  <c r="E6" i="153"/>
  <c r="E24" i="153"/>
  <c r="G17" i="153"/>
  <c r="E17" i="153"/>
  <c r="H17" i="153"/>
  <c r="E18" i="153"/>
  <c r="G18" i="153"/>
  <c r="H18" i="153"/>
  <c r="G24" i="153"/>
  <c r="H24" i="153"/>
  <c r="E25" i="153"/>
  <c r="G25" i="153"/>
  <c r="H25" i="153"/>
  <c r="E26" i="153"/>
  <c r="G26" i="153"/>
  <c r="H26" i="153"/>
  <c r="G19" i="153"/>
  <c r="H19" i="153"/>
  <c r="E20" i="153"/>
  <c r="G20" i="153"/>
  <c r="H20" i="153"/>
  <c r="E23" i="153"/>
  <c r="E28" i="153"/>
  <c r="G21" i="153"/>
  <c r="E21" i="153"/>
  <c r="H21" i="153"/>
  <c r="E27" i="153"/>
  <c r="G27" i="153"/>
  <c r="H27" i="153"/>
  <c r="G28" i="153"/>
  <c r="H28" i="153"/>
  <c r="I2" i="159"/>
  <c r="D2" i="159"/>
  <c r="J2" i="159"/>
  <c r="E2" i="159"/>
  <c r="F2" i="159"/>
  <c r="C2" i="159"/>
  <c r="R3" i="153"/>
  <c r="I3" i="159"/>
  <c r="D3" i="159"/>
  <c r="J3" i="159"/>
  <c r="E3" i="159"/>
  <c r="F3" i="159"/>
  <c r="C3" i="159"/>
  <c r="R4" i="153"/>
  <c r="I4" i="159"/>
  <c r="D4" i="159"/>
  <c r="J4" i="159"/>
  <c r="E4" i="159"/>
  <c r="F4" i="159"/>
  <c r="C4" i="159"/>
  <c r="R5" i="153"/>
  <c r="I5" i="159"/>
  <c r="D5" i="159"/>
  <c r="J5" i="159"/>
  <c r="E5" i="159"/>
  <c r="F5" i="159"/>
  <c r="C5" i="159"/>
  <c r="R6" i="153"/>
  <c r="G23" i="153"/>
  <c r="H23" i="153"/>
  <c r="E22" i="153"/>
  <c r="G22" i="153"/>
  <c r="H22" i="153"/>
  <c r="P5" i="159"/>
  <c r="N5" i="159"/>
  <c r="M5" i="159"/>
  <c r="L5" i="159"/>
  <c r="K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H336" i="154"/>
  <c r="K336" i="154"/>
  <c r="L336" i="154"/>
  <c r="M336" i="154"/>
  <c r="N336" i="154"/>
  <c r="O336" i="154"/>
  <c r="O2" i="154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4" i="154"/>
  <c r="O45" i="154"/>
  <c r="O46" i="154"/>
  <c r="O47" i="154"/>
  <c r="O48" i="154"/>
  <c r="O49" i="154"/>
  <c r="O50" i="154"/>
  <c r="O51" i="154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O138" i="154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7" i="154"/>
  <c r="O338" i="154"/>
  <c r="O339" i="154"/>
  <c r="O340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7"/>
  <c r="G41" i="157"/>
  <c r="F34" i="157"/>
  <c r="F41" i="153"/>
  <c r="G41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F42" i="153"/>
  <c r="G42" i="153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<sst xmlns="http://schemas.openxmlformats.org/spreadsheetml/2006/main" count="535" uniqueCount="256">
  <si>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</si>
  <si>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</si>
  <si>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</si>
  <si>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</si>
  <si>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</si>
  <si>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</si>
  <si>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</si>
  <si>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</si>
  <si>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</si>
  <si>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</si>
  <si>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</si>
  <si>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</si>
  <si>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</si>
  <si>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</si>
  <si>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</si>
  <si>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</si>
  <si>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</si>
  <si>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</si>
  <si>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</si>
  <si>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</si>
  <si>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</si>
  <si>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</si>
  <si>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</si>
  <si>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</si>
  <si>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</si>
  <si>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</si>
  <si>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</si>
  <si>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</si>
  <si>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</si>
  <si>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</si>
  <si>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</si>
  <si>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</si>
  <si>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</si>
  <si>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</si>
  <si>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</si>
  <si>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</si>
  <si>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</si>
  <si>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</si>
  <si>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</si>
  <si>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</si>
  <si>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</si>
  <si>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</si>
  <si>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</si>
  <si>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</si>
  <si>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</si>
  <si>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</si>
  <si>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</si>
  <si>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</si>
  <si>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</si>
  <si>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</si>
  <si>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</si>
  <si>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</si>
  <si>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</si>
  <si>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</si>
  <si>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</si>
  <si>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</si>
  <si>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</si>
  <si>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</si>
  <si>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</si>
  <si>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</si>
  <si>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</si>
  <si>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</si>
  <si>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</si>
  <si>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</si>
  <si>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</si>
  <si>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</si>
  <si>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</si>
  <si>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</si>
  <si>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</si>
  <si>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</si>
  <si>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</si>
  <si>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</si>
  <si>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</si>
  <si>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</si>
  <si>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</si>
  <si>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</si>
  <si>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</si>
  <si>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</si>
  <si>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</si>
  <si>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</si>
  <si>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</si>
  <si>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</si>
  <si>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</si>
  <si>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</si>
  <si>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</si>
  <si>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</si>
  <si>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</si>
  <si>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</si>
  <si>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</si>
  <si>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</si>
  <si>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</si>
  <si>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</si>
  <si>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</si>
  <si>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</si>
  <si>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</si>
  <si>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</si>
  <si>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</si>
  <si>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</si>
  <si>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</si>
  <si>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</si>
  <si>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</si>
  <si>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</si>
  <si>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</si>
  <si>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</si>
  <si>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</si>
  <si>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</si>
  <si>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</si>
  <si>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</si>
  <si>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</si>
  <si>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</si>
  <si>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</si>
  <si>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</si>
  <si>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</si>
  <si>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</si>
  <si>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</si>
  <si>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</si>
  <si>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</si>
  <si>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</si>
  <si>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</si>
  <si>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</si>
  <si>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</si>
  <si>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</si>
  <si>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</si>
  <si>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</si>
  <si>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</si>
  <si>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</si>
  <si>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</si>
  <si>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</si>
  <si>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</si>
  <si>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</si>
  <si>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</si>
  <si>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</si>
  <si>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</si>
  <si>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</si>
  <si>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</si>
  <si>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</si>
  <si>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</si>
  <si>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</si>
  <si>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</si>
  <si>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</si>
  <si>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</si>
  <si>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</si>
  <si>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</si>
  <si>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</si>
  <si>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</si>
  <si>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</si>
  <si>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</si>
  <si>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</si>
  <si>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</si>
  <si>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</si>
  <si>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</si>
  <si>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</si>
  <si>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</si>
  <si>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</si>
  <si>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</si>
  <si>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</si>
  <si>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</si>
  <si>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</si>
  <si>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</si>
  <si>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</si>
  <si>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</si>
  <si>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</si>
  <si>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</si>
  <si>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</si>
  <si>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</si>
  <si>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</si>
  <si>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</si>
  <si>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</si>
  <si>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</si>
  <si>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</si>
  <si>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</si>
  <si>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</si>
  <si>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</si>
  <si>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</si>
  <si>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</si>
  <si>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</si>
  <si>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</si>
  <si>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</si>
  <si>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</si>
  <si>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</si>
  <si>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</si>
  <si>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</si>
  <si>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</si>
  <si>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</si>
  <si>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</si>
  <si>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</si>
  <si>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</si>
  <si>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</si>
  <si>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</si>
  <si>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</si>
  <si>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</si>
  <si>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</si>
  <si>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</si>
  <si>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</si>
  <si>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</si>
  <si>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</si>
  <si>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</si>
  <si>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</si>
  <si>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</si>
  <si>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</si>
  <si>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</si>
  <si>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</si>
  <si>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</si>
  <si>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</si>
  <si>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</si>
  <si>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</si>
  <si>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</si>
  <si>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</si>
  <si>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</si>
  <si>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</si>
  <si>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</si>
  <si>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</si>
  <si>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</si>
  <si>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</si>
  <si>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</si>
  <si>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</si>
  <si>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</si>
  <si>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</si>
  <si>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</si>
  <si>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</si>
  <si>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</si>
  <si>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</si>
  <si>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</si>
  <si>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</si>
  <si>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</si>
  <si>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</si>
  <si>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</si>
  <si>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</si>
  <si>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</si>
  <si>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</si>
  <si>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</si>
  <si>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</si>
  <si>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</si>
  <si>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</si>
  <si>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</si>
  <si>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</si>
  <si>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</si>
  <si>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</si>
  <si>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</si>
  <si>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</si>
  <si>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</si>
  <si>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</si>
  <si>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</si>
  <si>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</si>
  <si>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</si>
  <si>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</si>
  <si>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</si>
  <si>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</si>
  <si>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</si>
  <si>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</si>
  <si>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</si>
  <si>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</si>
  <si>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</si>
  <si>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tables_492100</t>
    <phoneticPr fontId="22"/>
  </si>
  <si>
    <t>tables_492010</t>
    <phoneticPr fontId="22"/>
  </si>
  <si>
    <t>tables_settle_492105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</si>
</sst>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0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balance</v>
          </cell>
          <cell r="L1263" t="str">
            <v>バランスタイプ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balance</v>
          </cell>
          <cell r="L1264" t="str">
            <v>バランスタイプ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アウリ(元狛犬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アウリ(元狛犬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8077</v>
          </cell>
          <cell r="B1473" t="str">
            <v>ja</v>
          </cell>
          <cell r="C1473" t="str">
            <v>鄭成功</v>
          </cell>
          <cell r="D1473" t="str">
            <v>ポムポムプリン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blue</v>
          </cell>
          <cell r="I1473">
            <v>5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8078</v>
          </cell>
          <cell r="B1474" t="str">
            <v>ja</v>
          </cell>
          <cell r="C1474" t="str">
            <v>レア６鄭成功</v>
          </cell>
          <cell r="D1474" t="str">
            <v>ポムポムプリン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attack</v>
          </cell>
          <cell r="L1474" t="str">
            <v>攻撃タイプ</v>
          </cell>
          <cell r="M1474" t="str">
            <v>human</v>
          </cell>
        </row>
        <row r="1475">
          <cell r="A1475">
            <v>8079</v>
          </cell>
          <cell r="B1475" t="str">
            <v>ja</v>
          </cell>
          <cell r="C1475" t="str">
            <v>赤鬼</v>
          </cell>
          <cell r="D1475" t="str">
            <v>ポムポムプリン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red</v>
          </cell>
          <cell r="I1475">
            <v>5</v>
          </cell>
          <cell r="J1475" t="str">
            <v>DropWizS</v>
          </cell>
          <cell r="K1475" t="str">
            <v>hp</v>
          </cell>
          <cell r="L1475" t="str">
            <v>体力タイプ</v>
          </cell>
          <cell r="M1475" t="str">
            <v>dragon</v>
          </cell>
        </row>
        <row r="1476">
          <cell r="A1476">
            <v>8080</v>
          </cell>
          <cell r="B1476" t="str">
            <v>ja</v>
          </cell>
          <cell r="C1476" t="str">
            <v>レア６赤鬼</v>
          </cell>
          <cell r="D1476" t="str">
            <v>ポムポムプリン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hp</v>
          </cell>
          <cell r="L1476" t="str">
            <v>体力タイプ</v>
          </cell>
          <cell r="M1476" t="str">
            <v>dragon</v>
          </cell>
        </row>
        <row r="1477">
          <cell r="A1477">
            <v>8095</v>
          </cell>
          <cell r="B1477" t="str">
            <v>ja</v>
          </cell>
          <cell r="C1477" t="str">
            <v>バハムートダック赤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red</v>
          </cell>
          <cell r="I1477">
            <v>6</v>
          </cell>
          <cell r="J1477" t="str">
            <v>Material</v>
          </cell>
          <cell r="K1477" t="str">
            <v>exp</v>
          </cell>
          <cell r="L1477" t="str">
            <v>強化素材タイプ</v>
          </cell>
          <cell r="M1477" t="str">
            <v>unknown</v>
          </cell>
        </row>
        <row r="1478">
          <cell r="A1478">
            <v>8096</v>
          </cell>
          <cell r="B1478" t="str">
            <v>ja</v>
          </cell>
          <cell r="C1478" t="str">
            <v>バハムートダック緑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6</v>
          </cell>
          <cell r="J1478" t="str">
            <v>Material</v>
          </cell>
          <cell r="K1478" t="str">
            <v>exp</v>
          </cell>
          <cell r="L1478" t="str">
            <v>強化素材タイプ</v>
          </cell>
          <cell r="M1478" t="str">
            <v>unknown</v>
          </cell>
        </row>
        <row r="1479">
          <cell r="A1479">
            <v>8097</v>
          </cell>
          <cell r="B1479" t="str">
            <v>ja</v>
          </cell>
          <cell r="C1479" t="str">
            <v>バハムートダック青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blue</v>
          </cell>
          <cell r="I1479">
            <v>6</v>
          </cell>
          <cell r="J1479" t="str">
            <v>Material</v>
          </cell>
          <cell r="K1479" t="str">
            <v>exp</v>
          </cell>
          <cell r="L1479" t="str">
            <v>強化素材タイプ</v>
          </cell>
          <cell r="M1479" t="str">
            <v>unknown</v>
          </cell>
        </row>
        <row r="1480">
          <cell r="A1480">
            <v>8098</v>
          </cell>
          <cell r="B1480" t="str">
            <v>ja</v>
          </cell>
          <cell r="C1480" t="str">
            <v>バハムートダック黄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yellow</v>
          </cell>
          <cell r="I1480">
            <v>6</v>
          </cell>
          <cell r="J1480" t="str">
            <v>Material</v>
          </cell>
          <cell r="K1480" t="str">
            <v>exp</v>
          </cell>
          <cell r="L1480" t="str">
            <v>強化素材タイプ</v>
          </cell>
          <cell r="M1480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A2" sqref="A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492100</v>
      </c>
      <c r="D2" s="19" t="s">
        <v>45</v>
      </c>
      <c r="E2" s="17" t="str">
        <f t="shared" ref="E2" si="1">B2&amp;C2&amp;D2</f>
        <v>gacha_select_tables_492100.tmp</v>
      </c>
      <c r="F2" s="99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492010</v>
      </c>
      <c r="D3" s="19" t="s">
        <v>45</v>
      </c>
      <c r="E3" s="17" t="str">
        <f t="shared" ref="E3:E10" si="3">B3&amp;C3&amp;D3</f>
        <v>gacha_select_tables_492010.tmp</v>
      </c>
      <c r="F3" s="99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252</v>
      </c>
      <c r="B4" s="95" t="s">
        <v>248</v>
      </c>
      <c r="C4" s="96" t="str">
        <f t="shared" si="2"/>
        <v>492105</v>
      </c>
      <c r="D4" s="19" t="s">
        <v>249</v>
      </c>
      <c r="E4" s="17" t="str">
        <f t="shared" si="3"/>
        <v>gacha_settle_tables_492105.tmp</v>
      </c>
      <c r="F4" s="99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31" sqref="B17:B3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586</v>
      </c>
      <c r="M3" s="37" t="str">
        <f>VLOOKUP(L3,[1]characters!$A:$C,3,FALSE)</f>
        <v>ユミル</v>
      </c>
      <c r="N3" s="63">
        <v>1.4999999999999999E-2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VLOOKUP(L3,tables_492010!B:C,2,FALSE)</f>
        <v>PremiumSS4</v>
      </c>
      <c r="R3" s="62">
        <f t="shared" ref="R3:R20" si="1">N3*A$36</f>
        <v>1701900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587</v>
      </c>
      <c r="M4" s="37" t="str">
        <f>VLOOKUP(L4,[1]characters!$A:$C,3,FALSE)</f>
        <v>原初の煉鋼巨刃 ユミル</v>
      </c>
      <c r="N4" s="63">
        <v>1.4999999999999999E-2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VLOOKUP(L4,tables_492010!B:C,2,FALSE)</f>
        <v>PremiumSS5</v>
      </c>
      <c r="R4" s="62">
        <f t="shared" si="1"/>
        <v>1701900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2.4590163934426229E-4</v>
      </c>
      <c r="F5">
        <f>(COUNTIF(tables_492010!C:C,input_492010!A28)+COUNTIF(tables_492010!C:C,input_492010!A29))</f>
        <v>63</v>
      </c>
      <c r="H5" s="84">
        <v>0.06</v>
      </c>
      <c r="I5" s="31">
        <v>2</v>
      </c>
      <c r="L5" s="60">
        <v>442</v>
      </c>
      <c r="M5" s="37" t="str">
        <f>VLOOKUP(L5,[1]characters!$A:$C,3,FALSE)</f>
        <v>ブレイブリー・ライオン</v>
      </c>
      <c r="N5" s="63">
        <v>1.4999999999999999E-2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VLOOKUP(L5,tables_492010!B:C,2,FALSE)</f>
        <v>PremiumSS4</v>
      </c>
      <c r="R5" s="62">
        <f t="shared" si="1"/>
        <v>1701900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9.9462365591397855E-3</v>
      </c>
      <c r="F6">
        <f>(COUNTIF(tables_492010!C:C,input_492010!A25)+COUNTIF(tables_492010!C:C,input_492010!A18)+COUNTIF(tables_492010!C:C,input_492010!A20)+COUNTIF(tables_492010!C:C,input_492010!A22))</f>
        <v>93</v>
      </c>
      <c r="H6" s="89">
        <v>0</v>
      </c>
      <c r="I6" s="31">
        <v>0</v>
      </c>
      <c r="L6" s="60">
        <v>443</v>
      </c>
      <c r="M6" s="37" t="str">
        <f>VLOOKUP(L6,[1]characters!$A:$C,3,FALSE)</f>
        <v>勇機結集 ブレイブリー・ライオン</v>
      </c>
      <c r="N6" s="63">
        <v>1.4999999999999999E-2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VLOOKUP(L6,tables_492010!B:C,2,FALSE)</f>
        <v>PremiumSS5</v>
      </c>
      <c r="R6" s="62">
        <f t="shared" si="1"/>
        <v>1701900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VLOOKUP(L7,tables_492010!B:C,2,FALSE)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VLOOKUP(L8,tables_492010!B:C,2,FALSE)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VLOOKUP(L9,tables_492010!B:C,2,FALSE)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VLOOKUP(L10,tables_492010!B:C,2,FALSE)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VLOOKUP(L11,tables_492010!B:C,2,FALSE)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VLOOKUP(L12,tables_492010!B:C,2,FALSE)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0.03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VLOOKUP(L13,tables_492010!B:C,2,FALSE)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VLOOKUP(L14,tables_492010!B:C,2,FALSE)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VLOOKUP(L15,tables_492010!B:C,2,FALSE)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VLOOKUP(L16,tables_492010!B:C,2,FALSE)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0.22150537634408601</v>
      </c>
      <c r="C17" s="85">
        <f t="shared" ref="C17:C31" si="2">SUMIF(Q:Q,A17,N:N)</f>
        <v>0</v>
      </c>
      <c r="D17" s="74">
        <f t="shared" ref="D17:D32" si="3">B17-C17</f>
        <v>0.22150537634408601</v>
      </c>
      <c r="E17">
        <f>COUNTIF(tables_492010!C:C,input_492010!A17)-COUNTIF(Q:Q,A17)</f>
        <v>20</v>
      </c>
      <c r="F17" s="43">
        <f>IFERROR(B17/E17,0)</f>
        <v>1.10752688172043E-2</v>
      </c>
      <c r="G17">
        <f t="shared" ref="G17:G31" si="4">A$36*B17</f>
        <v>25132000</v>
      </c>
      <c r="H17">
        <f t="shared" ref="H17:H31" si="5">IFERROR(ROUND(G17/E17,5),0)</f>
        <v>1256600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E$6*E18-B17+E34+0.04</f>
        <v>4.5633218756566445E-2</v>
      </c>
      <c r="C18" s="85">
        <f t="shared" si="2"/>
        <v>0</v>
      </c>
      <c r="D18" s="74">
        <f t="shared" si="3"/>
        <v>4.5633218756566445E-2</v>
      </c>
      <c r="E18">
        <f>COUNTIF(tables_492010!C:C,input_492010!A18)-COUNTIF(Q:Q,A18)</f>
        <v>20</v>
      </c>
      <c r="F18" s="43">
        <f>IFERROR(B18/E18,0)</f>
        <v>2.2816609378283224E-3</v>
      </c>
      <c r="G18">
        <f t="shared" si="4"/>
        <v>5177545.0001200289</v>
      </c>
      <c r="H18">
        <f t="shared" si="5"/>
        <v>258877.25000999999</v>
      </c>
      <c r="I18">
        <f t="shared" si="6"/>
        <v>0.25000999998883344</v>
      </c>
      <c r="J18">
        <f t="shared" si="7"/>
        <v>3.9998400065783946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0.25860215053763441</v>
      </c>
      <c r="C19" s="85">
        <f t="shared" si="2"/>
        <v>0</v>
      </c>
      <c r="D19" s="74">
        <f t="shared" si="3"/>
        <v>0.25860215053763441</v>
      </c>
      <c r="E19">
        <f>COUNTIF(tables_492010!C:C,input_492010!A19)-COUNTIF(Q:Q,A19)</f>
        <v>52</v>
      </c>
      <c r="F19" s="43">
        <f t="shared" ref="F19:F31" si="8">IFERROR(B19/E19,0)</f>
        <v>4.9731182795698927E-3</v>
      </c>
      <c r="G19">
        <f t="shared" si="4"/>
        <v>29341000</v>
      </c>
      <c r="H19">
        <f t="shared" si="5"/>
        <v>564250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E$6*E20*B$6-0.045</f>
        <v>0.18774193548387097</v>
      </c>
      <c r="C20" s="85">
        <f t="shared" si="2"/>
        <v>0</v>
      </c>
      <c r="D20" s="74">
        <f t="shared" si="3"/>
        <v>0.18774193548387097</v>
      </c>
      <c r="E20">
        <f>COUNTIF(tables_492010!C:C,input_492010!A20)-COUNTIF(Q:Q,A20)</f>
        <v>52</v>
      </c>
      <c r="F20" s="43">
        <f t="shared" si="8"/>
        <v>3.6104218362282879E-3</v>
      </c>
      <c r="G20">
        <f t="shared" si="4"/>
        <v>21301200</v>
      </c>
      <c r="H20">
        <f t="shared" si="5"/>
        <v>409638.46153999999</v>
      </c>
      <c r="I20">
        <f t="shared" si="6"/>
        <v>0.46153999998932704</v>
      </c>
      <c r="J20">
        <f t="shared" si="7"/>
        <v>2.1666594445186216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2.6463511362595157E-3</v>
      </c>
      <c r="C21" s="85">
        <f t="shared" si="2"/>
        <v>0</v>
      </c>
      <c r="D21" s="74">
        <f t="shared" si="3"/>
        <v>2.6463511362595157E-3</v>
      </c>
      <c r="E21">
        <f>COUNTIF(tables_492010!C:C,input_492010!A21)-COUNTIF(Q:Q,A21)</f>
        <v>52</v>
      </c>
      <c r="F21" s="43">
        <f t="shared" si="8"/>
        <v>5.0891368004990689E-5</v>
      </c>
      <c r="G21">
        <f t="shared" si="4"/>
        <v>300254.99992000463</v>
      </c>
      <c r="H21">
        <f t="shared" si="5"/>
        <v>5774.1346100000001</v>
      </c>
      <c r="I21">
        <f t="shared" si="6"/>
        <v>0.13461000000006607</v>
      </c>
      <c r="J21">
        <f t="shared" si="7"/>
        <v>7.4288685833111154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0.1576478494623656</v>
      </c>
      <c r="C22" s="85">
        <f t="shared" si="2"/>
        <v>0</v>
      </c>
      <c r="D22" s="74">
        <f t="shared" si="3"/>
        <v>0.1576478494623656</v>
      </c>
      <c r="E22">
        <f>COUNTIF(tables_492010!C:C,input_492010!A22)-COUNTIF(Q:Q,A22)</f>
        <v>17</v>
      </c>
      <c r="F22" s="43">
        <f t="shared" si="8"/>
        <v>9.2734029095509173E-3</v>
      </c>
      <c r="G22">
        <f t="shared" si="4"/>
        <v>17886725</v>
      </c>
      <c r="H22">
        <f t="shared" si="5"/>
        <v>1052160.29412</v>
      </c>
      <c r="I22">
        <f t="shared" si="6"/>
        <v>0.29411999997682869</v>
      </c>
      <c r="J22">
        <f t="shared" si="7"/>
        <v>3.3999728004854544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1.1438172043010755E-2</v>
      </c>
      <c r="C23" s="85">
        <f t="shared" si="2"/>
        <v>0</v>
      </c>
      <c r="D23" s="74">
        <f t="shared" si="3"/>
        <v>1.1438172043010755E-2</v>
      </c>
      <c r="E23">
        <f>COUNTIF(tables_492010!C:C,input_492010!A23)-COUNTIF(Q:Q,A23)</f>
        <v>23</v>
      </c>
      <c r="F23" s="43">
        <f t="shared" si="8"/>
        <v>4.9731182795698938E-4</v>
      </c>
      <c r="G23">
        <f t="shared" si="4"/>
        <v>1297775.0000000002</v>
      </c>
      <c r="H23">
        <f t="shared" si="5"/>
        <v>56425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1.9892473118279571E-2</v>
      </c>
      <c r="C24" s="85">
        <f t="shared" si="2"/>
        <v>0</v>
      </c>
      <c r="D24" s="74">
        <f t="shared" si="3"/>
        <v>1.9892473118279571E-2</v>
      </c>
      <c r="E24">
        <f>COUNTIF(tables_492010!C:C,input_492010!A24)-COUNTIF(Q:Q,A24)</f>
        <v>4</v>
      </c>
      <c r="F24" s="43">
        <f t="shared" si="8"/>
        <v>4.9731182795698927E-3</v>
      </c>
      <c r="G24">
        <f t="shared" si="4"/>
        <v>2257000</v>
      </c>
      <c r="H24">
        <f t="shared" si="5"/>
        <v>564250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1.7903225806451616E-2</v>
      </c>
      <c r="C25" s="85">
        <f t="shared" si="2"/>
        <v>0</v>
      </c>
      <c r="D25" s="74">
        <f t="shared" si="3"/>
        <v>1.7903225806451616E-2</v>
      </c>
      <c r="E25">
        <f>COUNTIF(tables_492010!C:C,input_492010!A25)-COUNTIF(Q:Q,A25)</f>
        <v>4</v>
      </c>
      <c r="F25" s="43">
        <f t="shared" si="8"/>
        <v>4.4758064516129039E-3</v>
      </c>
      <c r="G25">
        <f t="shared" si="4"/>
        <v>2031300.0000000002</v>
      </c>
      <c r="H25">
        <f t="shared" si="5"/>
        <v>507825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1.9892473118279571E-3</v>
      </c>
      <c r="C26" s="85">
        <f t="shared" si="2"/>
        <v>0</v>
      </c>
      <c r="D26" s="74">
        <f t="shared" si="3"/>
        <v>1.9892473118279571E-3</v>
      </c>
      <c r="E26">
        <f>COUNTIF(tables_492010!C:C,input_492010!A26)-COUNTIF(Q:Q,A26)</f>
        <v>4</v>
      </c>
      <c r="F26" s="43">
        <f t="shared" si="8"/>
        <v>4.9731182795698927E-4</v>
      </c>
      <c r="G26">
        <f t="shared" si="4"/>
        <v>225700</v>
      </c>
      <c r="H26">
        <f t="shared" si="5"/>
        <v>56425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E$5*E27*(B$5+B$6)+0.005</f>
        <v>1.1073770491803279E-2</v>
      </c>
      <c r="C27" s="85">
        <f t="shared" si="2"/>
        <v>0.03</v>
      </c>
      <c r="D27" s="74">
        <f t="shared" si="3"/>
        <v>-1.892622950819672E-2</v>
      </c>
      <c r="E27">
        <f>COUNTIF(tables_492010!C:C,input_492010!A27)-COUNTIF(Q:Q,A27)</f>
        <v>26</v>
      </c>
      <c r="F27" s="43">
        <f>IFERROR(B27/E27,0)</f>
        <v>4.2591424968474147E-4</v>
      </c>
      <c r="G27">
        <f t="shared" si="4"/>
        <v>1256430</v>
      </c>
      <c r="H27">
        <f t="shared" si="5"/>
        <v>48324.230770000002</v>
      </c>
      <c r="I27">
        <f t="shared" si="6"/>
        <v>0.23077000000193948</v>
      </c>
      <c r="J27">
        <f t="shared" si="7"/>
        <v>4.3333188889006182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3.1967213114754097E-4</v>
      </c>
      <c r="C28" s="85">
        <f t="shared" si="2"/>
        <v>0.03</v>
      </c>
      <c r="D28" s="74">
        <f t="shared" si="3"/>
        <v>-2.9680327868852458E-2</v>
      </c>
      <c r="E28">
        <f>COUNTIF(tables_492010!C:C,input_492010!A28)-COUNTIF(Q:Q,A28)</f>
        <v>26</v>
      </c>
      <c r="F28" s="43">
        <f t="shared" si="8"/>
        <v>1.2295081967213114E-5</v>
      </c>
      <c r="G28">
        <f t="shared" si="4"/>
        <v>36270</v>
      </c>
      <c r="H28">
        <f t="shared" si="5"/>
        <v>1395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E$5*E29-0.005</f>
        <v>3.6065573770491808E-3</v>
      </c>
      <c r="C29" s="85">
        <f t="shared" si="2"/>
        <v>0</v>
      </c>
      <c r="D29" s="74">
        <f t="shared" si="3"/>
        <v>3.6065573770491808E-3</v>
      </c>
      <c r="E29">
        <f>COUNTIF(tables_492010!C:C,input_492010!A29)-COUNTIF(Q:Q,A29)</f>
        <v>35</v>
      </c>
      <c r="F29" s="43">
        <f t="shared" si="8"/>
        <v>1.0304449648711945E-4</v>
      </c>
      <c r="G29">
        <f t="shared" si="4"/>
        <v>409200.00000000006</v>
      </c>
      <c r="H29">
        <f t="shared" si="5"/>
        <v>11691.42857</v>
      </c>
      <c r="I29">
        <f t="shared" si="6"/>
        <v>0.42857000000003609</v>
      </c>
      <c r="J29">
        <f t="shared" si="7"/>
        <v>2.3333411111368405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COUNTIF(tables_492010!C:C,input_492010!A30)-COUNTIF(Q:Q,A30)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COUNTIF(tables_492010!C:C,input_492010!A31)-COUNTIF(Q:Q,A31)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0.94000000000035289</v>
      </c>
      <c r="C32" s="41">
        <f>SUM(C19:C31)</f>
        <v>0.06</v>
      </c>
      <c r="D32" s="42">
        <f t="shared" si="3"/>
        <v>0.88000000000035294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2.8213863917856741E-2</v>
      </c>
      <c r="F34" s="55">
        <f ca="1">0.45-G41</f>
        <v>-2.9960478542534474E-12</v>
      </c>
    </row>
    <row r="35" spans="1:7" x14ac:dyDescent="0.15">
      <c r="A35" t="s">
        <v>73</v>
      </c>
      <c r="E35">
        <v>3.0000000000705046E-2</v>
      </c>
      <c r="F35">
        <f ca="1">G42-0.05</f>
        <v>-2.9083610519897718E-12</v>
      </c>
    </row>
    <row r="36" spans="1:7" x14ac:dyDescent="0.15">
      <c r="A36" s="31">
        <f>LCM(F5-I5,F6-I6)*1000*2*2*5</f>
        <v>113460000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SUMIF(tables_492010!C:C,input_492010!A40,tables_492010!O:O)</f>
        <v>29341000</v>
      </c>
      <c r="C40" s="54">
        <f t="shared" ref="C40:C46" ca="1" si="9">B40/B$47</f>
        <v>0.49694496810132688</v>
      </c>
      <c r="E40">
        <v>3</v>
      </c>
      <c r="F40">
        <f ca="1">SUMIF(tables_492010!J:J,input_492010!E40,tables_492010!O:O)</f>
        <v>56730000</v>
      </c>
      <c r="G40">
        <f ca="1">F40/A36</f>
        <v>0.5</v>
      </c>
    </row>
    <row r="41" spans="1:7" x14ac:dyDescent="0.15">
      <c r="A41" s="33" t="s">
        <v>104</v>
      </c>
      <c r="B41">
        <f ca="1">SUMIF(tables_492010!C:C,input_492010!A41,tables_492010!O:O)</f>
        <v>21301200.000079989</v>
      </c>
      <c r="C41" s="54">
        <f t="shared" ca="1" si="9"/>
        <v>0.36077584794518708</v>
      </c>
      <c r="E41">
        <v>4</v>
      </c>
      <c r="F41">
        <f ca="1">SUMIF(tables_492010!J:J,input_492010!E41,tables_492010!O:O)</f>
        <v>51057000.000339933</v>
      </c>
      <c r="G41">
        <f ca="1">F41/A36</f>
        <v>0.45000000000299606</v>
      </c>
    </row>
    <row r="42" spans="1:7" x14ac:dyDescent="0.15">
      <c r="A42" s="33" t="s">
        <v>106</v>
      </c>
      <c r="B42">
        <f ca="1">SUMIF(tables_492010!C:C,input_492010!A42,tables_492010!O:O)</f>
        <v>4660230.0000200011</v>
      </c>
      <c r="C42" s="54">
        <f t="shared" ca="1" si="9"/>
        <v>7.8929751838887077E-2</v>
      </c>
      <c r="E42">
        <v>5</v>
      </c>
      <c r="F42">
        <f ca="1">SUMIF(tables_492010!J:J,input_492010!E42,tables_492010!O:O)</f>
        <v>5672999.9996700175</v>
      </c>
      <c r="G42">
        <f ca="1">F42/A36</f>
        <v>4.9999999997091642E-2</v>
      </c>
    </row>
    <row r="43" spans="1:7" x14ac:dyDescent="0.15">
      <c r="A43" s="33" t="s">
        <v>109</v>
      </c>
      <c r="B43">
        <f>SUMIF(tables_492010!C:C,input_492010!A43,tables_492010!O:O)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SUMIF(tables_492010!C:C,input_492010!A44,tables_492010!O:O)</f>
        <v>300254.99972000014</v>
      </c>
      <c r="C44" s="54">
        <f t="shared" ca="1" si="9"/>
        <v>5.0853826133437641E-3</v>
      </c>
      <c r="E44" t="s">
        <v>54</v>
      </c>
      <c r="F44" s="55"/>
    </row>
    <row r="45" spans="1:7" x14ac:dyDescent="0.15">
      <c r="A45" s="33" t="s">
        <v>107</v>
      </c>
      <c r="B45">
        <f ca="1">SUMIF(tables_492010!C:C,input_492010!A45,tables_492010!O:O)</f>
        <v>3440070</v>
      </c>
      <c r="C45" s="54">
        <f t="shared" ca="1" si="9"/>
        <v>5.8264049501255293E-2</v>
      </c>
      <c r="E45" t="s">
        <v>204</v>
      </c>
      <c r="F45" s="55">
        <f ca="1">SUMIF(tables_492010!I:I,input_492010!E45,tables_492010!P:P)</f>
        <v>0.27012246606907542</v>
      </c>
    </row>
    <row r="46" spans="1:7" x14ac:dyDescent="0.15">
      <c r="A46" s="33" t="s">
        <v>108</v>
      </c>
      <c r="B46">
        <f>SUMIF(tables_492010!C:C,input_492010!A46,tables_492010!O:O)</f>
        <v>0</v>
      </c>
      <c r="C46" s="54">
        <f t="shared" ca="1" si="9"/>
        <v>0</v>
      </c>
      <c r="E46" t="s">
        <v>205</v>
      </c>
      <c r="F46" s="55">
        <f ca="1">SUMIF(tables_492010!I:I,input_492010!E46,tables_492010!P:P)</f>
        <v>0.17662404490171194</v>
      </c>
    </row>
    <row r="47" spans="1:7" x14ac:dyDescent="0.15">
      <c r="A47" s="39" t="s">
        <v>59</v>
      </c>
      <c r="B47">
        <f ca="1">SUM(B40:B46)</f>
        <v>59042754.999819987</v>
      </c>
      <c r="C47" s="55">
        <f ca="1">SUM(C40:C46)</f>
        <v>1</v>
      </c>
      <c r="E47" t="s">
        <v>206</v>
      </c>
      <c r="F47" s="55">
        <f ca="1">SUMIF(tables_492010!I:I,input_492010!E47,tables_492010!P:P)</f>
        <v>0.47825348902948389</v>
      </c>
    </row>
    <row r="48" spans="1:7" x14ac:dyDescent="0.15">
      <c r="E48" t="s">
        <v>207</v>
      </c>
      <c r="F48" s="55">
        <f ca="1">SUMIF(tables_492010!I:I,input_492010!E48,tables_492010!P:P)</f>
        <v>7.4381733020882038E-2</v>
      </c>
      <c r="G48" s="55"/>
    </row>
    <row r="49" spans="5:6" x14ac:dyDescent="0.15">
      <c r="E49" t="s">
        <v>250</v>
      </c>
      <c r="F49" s="55">
        <f ca="1">SUMIF(tables_492010!I:I,input_492010!E49,tables_492010!P:P)</f>
        <v>6.1826697884711655E-4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328" activePane="bottomLeft" state="frozen"/>
      <selection activeCell="H276" sqref="H276"/>
      <selection pane="bottomLeft" activeCell="B184" sqref="B184:B18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input_492010!A$2</f>
        <v>492010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IFERROR(VLOOKUP(B2,input_492010!L:R,7,FALSE),VLOOKUP(tables_492010!C2,input_492010!A:H,8,FALSE))</f>
        <v>1256600</v>
      </c>
      <c r="P2" s="46">
        <f t="shared" ref="P2:P65" ca="1" si="1">O2/SUM(O:O)</f>
        <v>1.107526881720333E-2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input_492010!A$2</f>
        <v>492010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IFERROR(VLOOKUP(B3,input_492010!L:R,7,FALSE),VLOOKUP(tables_492010!C3,input_492010!A:H,8,FALSE))</f>
        <v>258877.25000999999</v>
      </c>
      <c r="P3" s="46">
        <f t="shared" ca="1" si="1"/>
        <v>2.2816609378633638E-3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input_492010!A$2</f>
        <v>492010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IFERROR(VLOOKUP(B4,input_492010!L:R,7,FALSE),VLOOKUP(tables_492010!C4,input_492010!A:H,8,FALSE))</f>
        <v>1256600</v>
      </c>
      <c r="P4" s="46">
        <f t="shared" ca="1" si="1"/>
        <v>1.107526881720333E-2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input_492010!A$2</f>
        <v>492010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IFERROR(VLOOKUP(B5,input_492010!L:R,7,FALSE),VLOOKUP(tables_492010!C5,input_492010!A:H,8,FALSE))</f>
        <v>258877.25000999999</v>
      </c>
      <c r="P5" s="46">
        <f t="shared" ca="1" si="1"/>
        <v>2.2816609378633638E-3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input_492010!A$2</f>
        <v>492010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IFERROR(VLOOKUP(B6,input_492010!L:R,7,FALSE),VLOOKUP(tables_492010!C6,input_492010!A:H,8,FALSE))</f>
        <v>1256600</v>
      </c>
      <c r="P6" s="46">
        <f t="shared" ca="1" si="1"/>
        <v>1.107526881720333E-2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input_492010!A$2</f>
        <v>492010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IFERROR(VLOOKUP(B7,input_492010!L:R,7,FALSE),VLOOKUP(tables_492010!C7,input_492010!A:H,8,FALSE))</f>
        <v>258877.25000999999</v>
      </c>
      <c r="P7" s="46">
        <f t="shared" ca="1" si="1"/>
        <v>2.2816609378633638E-3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input_492010!A$2</f>
        <v>492010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IFERROR(VLOOKUP(B8,input_492010!L:R,7,FALSE),VLOOKUP(tables_492010!C8,input_492010!A:H,8,FALSE))</f>
        <v>1256600</v>
      </c>
      <c r="P8" s="46">
        <f t="shared" ca="1" si="1"/>
        <v>1.107526881720333E-2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input_492010!A$2</f>
        <v>492010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IFERROR(VLOOKUP(B9,input_492010!L:R,7,FALSE),VLOOKUP(tables_492010!C9,input_492010!A:H,8,FALSE))</f>
        <v>258877.25000999999</v>
      </c>
      <c r="P9" s="46">
        <f t="shared" ca="1" si="1"/>
        <v>2.2816609378633638E-3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input_492010!A$2</f>
        <v>492010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IFERROR(VLOOKUP(B10,input_492010!L:R,7,FALSE),VLOOKUP(tables_492010!C10,input_492010!A:H,8,FALSE))</f>
        <v>1256600</v>
      </c>
      <c r="P10" s="46">
        <f t="shared" ca="1" si="1"/>
        <v>1.107526881720333E-2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input_492010!A$2</f>
        <v>492010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IFERROR(VLOOKUP(B11,input_492010!L:R,7,FALSE),VLOOKUP(tables_492010!C11,input_492010!A:H,8,FALSE))</f>
        <v>258877.25000999999</v>
      </c>
      <c r="P11" s="46">
        <f t="shared" ca="1" si="1"/>
        <v>2.2816609378633638E-3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input_492010!A$2</f>
        <v>492010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IFERROR(VLOOKUP(B12,input_492010!L:R,7,FALSE),VLOOKUP(tables_492010!C12,input_492010!A:H,8,FALSE))</f>
        <v>1256600</v>
      </c>
      <c r="P12" s="46">
        <f t="shared" ca="1" si="1"/>
        <v>1.107526881720333E-2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input_492010!A$2</f>
        <v>492010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IFERROR(VLOOKUP(B13,input_492010!L:R,7,FALSE),VLOOKUP(tables_492010!C13,input_492010!A:H,8,FALSE))</f>
        <v>258877.25000999999</v>
      </c>
      <c r="P13" s="46">
        <f t="shared" ca="1" si="1"/>
        <v>2.2816609378633638E-3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input_492010!A$2</f>
        <v>492010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IFERROR(VLOOKUP(B14,input_492010!L:R,7,FALSE),VLOOKUP(tables_492010!C14,input_492010!A:H,8,FALSE))</f>
        <v>1256600</v>
      </c>
      <c r="P14" s="46">
        <f t="shared" ca="1" si="1"/>
        <v>1.107526881720333E-2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input_492010!A$2</f>
        <v>492010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IFERROR(VLOOKUP(B15,input_492010!L:R,7,FALSE),VLOOKUP(tables_492010!C15,input_492010!A:H,8,FALSE))</f>
        <v>258877.25000999999</v>
      </c>
      <c r="P15" s="46">
        <f t="shared" ca="1" si="1"/>
        <v>2.2816609378633638E-3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input_492010!A$2</f>
        <v>492010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IFERROR(VLOOKUP(B16,input_492010!L:R,7,FALSE),VLOOKUP(tables_492010!C16,input_492010!A:H,8,FALSE))</f>
        <v>1256600</v>
      </c>
      <c r="P16" s="46">
        <f t="shared" ca="1" si="1"/>
        <v>1.107526881720333E-2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input_492010!A$2</f>
        <v>492010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IFERROR(VLOOKUP(B17,input_492010!L:R,7,FALSE),VLOOKUP(tables_492010!C17,input_492010!A:H,8,FALSE))</f>
        <v>258877.25000999999</v>
      </c>
      <c r="P17" s="46">
        <f t="shared" ca="1" si="1"/>
        <v>2.2816609378633638E-3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input_492010!A$2</f>
        <v>492010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IFERROR(VLOOKUP(B18,input_492010!L:R,7,FALSE),VLOOKUP(tables_492010!C18,input_492010!A:H,8,FALSE))</f>
        <v>1256600</v>
      </c>
      <c r="P18" s="46">
        <f t="shared" ca="1" si="1"/>
        <v>1.107526881720333E-2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input_492010!A$2</f>
        <v>492010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IFERROR(VLOOKUP(B19,input_492010!L:R,7,FALSE),VLOOKUP(tables_492010!C19,input_492010!A:H,8,FALSE))</f>
        <v>258877.25000999999</v>
      </c>
      <c r="P19" s="46">
        <f t="shared" ca="1" si="1"/>
        <v>2.2816609378633638E-3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input_492010!A$2</f>
        <v>492010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IFERROR(VLOOKUP(B20,input_492010!L:R,7,FALSE),VLOOKUP(tables_492010!C20,input_492010!A:H,8,FALSE))</f>
        <v>1256600</v>
      </c>
      <c r="P20" s="46">
        <f t="shared" ca="1" si="1"/>
        <v>1.107526881720333E-2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input_492010!A$2</f>
        <v>492010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IFERROR(VLOOKUP(B21,input_492010!L:R,7,FALSE),VLOOKUP(tables_492010!C21,input_492010!A:H,8,FALSE))</f>
        <v>258877.25000999999</v>
      </c>
      <c r="P21" s="46">
        <f t="shared" ca="1" si="1"/>
        <v>2.2816609378633638E-3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input_492010!A$2</f>
        <v>492010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IFERROR(VLOOKUP(B22,input_492010!L:R,7,FALSE),VLOOKUP(tables_492010!C22,input_492010!A:H,8,FALSE))</f>
        <v>1256600</v>
      </c>
      <c r="P22" s="46">
        <f t="shared" ca="1" si="1"/>
        <v>1.107526881720333E-2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input_492010!A$2</f>
        <v>492010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IFERROR(VLOOKUP(B23,input_492010!L:R,7,FALSE),VLOOKUP(tables_492010!C23,input_492010!A:H,8,FALSE))</f>
        <v>258877.25000999999</v>
      </c>
      <c r="P23" s="46">
        <f t="shared" ca="1" si="1"/>
        <v>2.2816609378633638E-3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input_492010!A$2</f>
        <v>492010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IFERROR(VLOOKUP(B24,input_492010!L:R,7,FALSE),VLOOKUP(tables_492010!C24,input_492010!A:H,8,FALSE))</f>
        <v>1256600</v>
      </c>
      <c r="P24" s="46">
        <f t="shared" ca="1" si="1"/>
        <v>1.107526881720333E-2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input_492010!A$2</f>
        <v>492010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IFERROR(VLOOKUP(B25,input_492010!L:R,7,FALSE),VLOOKUP(tables_492010!C25,input_492010!A:H,8,FALSE))</f>
        <v>258877.25000999999</v>
      </c>
      <c r="P25" s="46">
        <f t="shared" ca="1" si="1"/>
        <v>2.2816609378633638E-3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input_492010!A$2</f>
        <v>492010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IFERROR(VLOOKUP(B26,input_492010!L:R,7,FALSE),VLOOKUP(tables_492010!C26,input_492010!A:H,8,FALSE))</f>
        <v>1256600</v>
      </c>
      <c r="P26" s="46">
        <f t="shared" ca="1" si="1"/>
        <v>1.107526881720333E-2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input_492010!A$2</f>
        <v>492010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IFERROR(VLOOKUP(B27,input_492010!L:R,7,FALSE),VLOOKUP(tables_492010!C27,input_492010!A:H,8,FALSE))</f>
        <v>258877.25000999999</v>
      </c>
      <c r="P27" s="46">
        <f t="shared" ca="1" si="1"/>
        <v>2.2816609378633638E-3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input_492010!A$2</f>
        <v>492010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IFERROR(VLOOKUP(B28,input_492010!L:R,7,FALSE),VLOOKUP(tables_492010!C28,input_492010!A:H,8,FALSE))</f>
        <v>1256600</v>
      </c>
      <c r="P28" s="46">
        <f t="shared" ca="1" si="1"/>
        <v>1.107526881720333E-2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input_492010!A$2</f>
        <v>492010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IFERROR(VLOOKUP(B29,input_492010!L:R,7,FALSE),VLOOKUP(tables_492010!C29,input_492010!A:H,8,FALSE))</f>
        <v>258877.25000999999</v>
      </c>
      <c r="P29" s="46">
        <f t="shared" ca="1" si="1"/>
        <v>2.2816609378633638E-3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input_492010!A$2</f>
        <v>492010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IFERROR(VLOOKUP(B30,input_492010!L:R,7,FALSE),VLOOKUP(tables_492010!C30,input_492010!A:H,8,FALSE))</f>
        <v>1256600</v>
      </c>
      <c r="P30" s="46">
        <f t="shared" ca="1" si="1"/>
        <v>1.107526881720333E-2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input_492010!A$2</f>
        <v>492010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IFERROR(VLOOKUP(B31,input_492010!L:R,7,FALSE),VLOOKUP(tables_492010!C31,input_492010!A:H,8,FALSE))</f>
        <v>258877.25000999999</v>
      </c>
      <c r="P31" s="46">
        <f t="shared" ca="1" si="1"/>
        <v>2.2816609378633638E-3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input_492010!A$2</f>
        <v>492010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IFERROR(VLOOKUP(B32,input_492010!L:R,7,FALSE),VLOOKUP(tables_492010!C32,input_492010!A:H,8,FALSE))</f>
        <v>1256600</v>
      </c>
      <c r="P32" s="46">
        <f t="shared" ca="1" si="1"/>
        <v>1.107526881720333E-2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input_492010!A$2</f>
        <v>492010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IFERROR(VLOOKUP(B33,input_492010!L:R,7,FALSE),VLOOKUP(tables_492010!C33,input_492010!A:H,8,FALSE))</f>
        <v>258877.25000999999</v>
      </c>
      <c r="P33" s="46">
        <f t="shared" ca="1" si="1"/>
        <v>2.2816609378633638E-3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input_492010!A$2</f>
        <v>492010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IFERROR(VLOOKUP(B34,input_492010!L:R,7,FALSE),VLOOKUP(tables_492010!C34,input_492010!A:H,8,FALSE))</f>
        <v>1256600</v>
      </c>
      <c r="P34" s="46">
        <f t="shared" ca="1" si="1"/>
        <v>1.107526881720333E-2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input_492010!A$2</f>
        <v>492010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IFERROR(VLOOKUP(B35,input_492010!L:R,7,FALSE),VLOOKUP(tables_492010!C35,input_492010!A:H,8,FALSE))</f>
        <v>258877.25000999999</v>
      </c>
      <c r="P35" s="46">
        <f t="shared" ca="1" si="1"/>
        <v>2.2816609378633638E-3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input_492010!A$2</f>
        <v>492010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IFERROR(VLOOKUP(B36,input_492010!L:R,7,FALSE),VLOOKUP(tables_492010!C36,input_492010!A:H,8,FALSE))</f>
        <v>1256600</v>
      </c>
      <c r="P36" s="46">
        <f t="shared" ca="1" si="1"/>
        <v>1.107526881720333E-2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input_492010!A$2</f>
        <v>492010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IFERROR(VLOOKUP(B37,input_492010!L:R,7,FALSE),VLOOKUP(tables_492010!C37,input_492010!A:H,8,FALSE))</f>
        <v>258877.25000999999</v>
      </c>
      <c r="P37" s="46">
        <f t="shared" ca="1" si="1"/>
        <v>2.2816609378633638E-3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input_492010!A$2</f>
        <v>492010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IFERROR(VLOOKUP(B38,input_492010!L:R,7,FALSE),VLOOKUP(tables_492010!C38,input_492010!A:H,8,FALSE))</f>
        <v>1256600</v>
      </c>
      <c r="P38" s="46">
        <f t="shared" ca="1" si="1"/>
        <v>1.107526881720333E-2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input_492010!A$2</f>
        <v>492010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IFERROR(VLOOKUP(B39,input_492010!L:R,7,FALSE),VLOOKUP(tables_492010!C39,input_492010!A:H,8,FALSE))</f>
        <v>258877.25000999999</v>
      </c>
      <c r="P39" s="46">
        <f t="shared" ca="1" si="1"/>
        <v>2.2816609378633638E-3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input_492010!A$2</f>
        <v>492010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IFERROR(VLOOKUP(B40,input_492010!L:R,7,FALSE),VLOOKUP(tables_492010!C40,input_492010!A:H,8,FALSE))</f>
        <v>1256600</v>
      </c>
      <c r="P40" s="46">
        <f t="shared" ca="1" si="1"/>
        <v>1.107526881720333E-2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input_492010!A$2</f>
        <v>492010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IFERROR(VLOOKUP(B41,input_492010!L:R,7,FALSE),VLOOKUP(tables_492010!C41,input_492010!A:H,8,FALSE))</f>
        <v>258877.25000999999</v>
      </c>
      <c r="P41" s="46">
        <f t="shared" ca="1" si="1"/>
        <v>2.2816609378633638E-3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input_492010!A$2</f>
        <v>492010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IFERROR(VLOOKUP(B42,input_492010!L:R,7,FALSE),VLOOKUP(tables_492010!C42,input_492010!A:H,8,FALSE))</f>
        <v>564250</v>
      </c>
      <c r="P42" s="46">
        <f t="shared" ca="1" si="1"/>
        <v>4.9731182795694565E-3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input_492010!A$2</f>
        <v>492010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IFERROR(VLOOKUP(B43,input_492010!L:R,7,FALSE),VLOOKUP(tables_492010!C43,input_492010!A:H,8,FALSE))</f>
        <v>507825</v>
      </c>
      <c r="P43" s="46">
        <f t="shared" ca="1" si="1"/>
        <v>4.475806451612511E-3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input_492010!A$2</f>
        <v>492010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IFERROR(VLOOKUP(B44,input_492010!L:R,7,FALSE),VLOOKUP(tables_492010!C44,input_492010!A:H,8,FALSE))</f>
        <v>56425</v>
      </c>
      <c r="P44" s="46">
        <f t="shared" ca="1" si="1"/>
        <v>4.9731182795694558E-4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input_492010!A$2</f>
        <v>492010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IFERROR(VLOOKUP(B45,input_492010!L:R,7,FALSE),VLOOKUP(tables_492010!C45,input_492010!A:H,8,FALSE))</f>
        <v>564250</v>
      </c>
      <c r="P45" s="46">
        <f t="shared" ca="1" si="1"/>
        <v>4.9731182795694565E-3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input_492010!A$2</f>
        <v>492010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IFERROR(VLOOKUP(B46,input_492010!L:R,7,FALSE),VLOOKUP(tables_492010!C46,input_492010!A:H,8,FALSE))</f>
        <v>507825</v>
      </c>
      <c r="P46" s="46">
        <f t="shared" ca="1" si="1"/>
        <v>4.475806451612511E-3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input_492010!A$2</f>
        <v>492010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IFERROR(VLOOKUP(B47,input_492010!L:R,7,FALSE),VLOOKUP(tables_492010!C47,input_492010!A:H,8,FALSE))</f>
        <v>56425</v>
      </c>
      <c r="P47" s="46">
        <f t="shared" ca="1" si="1"/>
        <v>4.9731182795694558E-4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input_492010!A$2</f>
        <v>492010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IFERROR(VLOOKUP(B48,input_492010!L:R,7,FALSE),VLOOKUP(tables_492010!C48,input_492010!A:H,8,FALSE))</f>
        <v>564250</v>
      </c>
      <c r="P48" s="46">
        <f t="shared" ca="1" si="1"/>
        <v>4.9731182795694565E-3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input_492010!A$2</f>
        <v>492010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IFERROR(VLOOKUP(B49,input_492010!L:R,7,FALSE),VLOOKUP(tables_492010!C49,input_492010!A:H,8,FALSE))</f>
        <v>507825</v>
      </c>
      <c r="P49" s="46">
        <f t="shared" ca="1" si="1"/>
        <v>4.475806451612511E-3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input_492010!A$2</f>
        <v>492010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IFERROR(VLOOKUP(B50,input_492010!L:R,7,FALSE),VLOOKUP(tables_492010!C50,input_492010!A:H,8,FALSE))</f>
        <v>56425</v>
      </c>
      <c r="P50" s="46">
        <f t="shared" ca="1" si="1"/>
        <v>4.9731182795694558E-4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input_492010!A$2</f>
        <v>492010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IFERROR(VLOOKUP(B51,input_492010!L:R,7,FALSE),VLOOKUP(tables_492010!C51,input_492010!A:H,8,FALSE))</f>
        <v>564250</v>
      </c>
      <c r="P51" s="46">
        <f t="shared" ca="1" si="1"/>
        <v>4.9731182795694565E-3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input_492010!A$2</f>
        <v>492010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IFERROR(VLOOKUP(B52,input_492010!L:R,7,FALSE),VLOOKUP(tables_492010!C52,input_492010!A:H,8,FALSE))</f>
        <v>409638.46153999999</v>
      </c>
      <c r="P52" s="46">
        <f t="shared" ca="1" si="1"/>
        <v>3.6104218362415304E-3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input_492010!A$2</f>
        <v>492010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IFERROR(VLOOKUP(B53,input_492010!L:R,7,FALSE),VLOOKUP(tables_492010!C53,input_492010!A:H,8,FALSE))</f>
        <v>5774.1346100000001</v>
      </c>
      <c r="P53" s="46">
        <f t="shared" ca="1" si="1"/>
        <v>5.089136797108667E-5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input_492010!A$2</f>
        <v>492010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IFERROR(VLOOKUP(B54,input_492010!L:R,7,FALSE),VLOOKUP(tables_492010!C54,input_492010!A:H,8,FALSE))</f>
        <v>564250</v>
      </c>
      <c r="P54" s="46">
        <f t="shared" ca="1" si="1"/>
        <v>4.9731182795694565E-3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input_492010!A$2</f>
        <v>492010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IFERROR(VLOOKUP(B55,input_492010!L:R,7,FALSE),VLOOKUP(tables_492010!C55,input_492010!A:H,8,FALSE))</f>
        <v>409638.46153999999</v>
      </c>
      <c r="P55" s="46">
        <f t="shared" ca="1" si="1"/>
        <v>3.6104218362415304E-3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input_492010!A$2</f>
        <v>492010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IFERROR(VLOOKUP(B56,input_492010!L:R,7,FALSE),VLOOKUP(tables_492010!C56,input_492010!A:H,8,FALSE))</f>
        <v>5774.1346100000001</v>
      </c>
      <c r="P56" s="46">
        <f t="shared" ca="1" si="1"/>
        <v>5.089136797108667E-5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input_492010!A$2</f>
        <v>492010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IFERROR(VLOOKUP(B57,input_492010!L:R,7,FALSE),VLOOKUP(tables_492010!C57,input_492010!A:H,8,FALSE))</f>
        <v>564250</v>
      </c>
      <c r="P57" s="46">
        <f t="shared" ca="1" si="1"/>
        <v>4.9731182795694565E-3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input_492010!A$2</f>
        <v>492010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IFERROR(VLOOKUP(B58,input_492010!L:R,7,FALSE),VLOOKUP(tables_492010!C58,input_492010!A:H,8,FALSE))</f>
        <v>409638.46153999999</v>
      </c>
      <c r="P58" s="46">
        <f t="shared" ca="1" si="1"/>
        <v>3.6104218362415304E-3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input_492010!A$2</f>
        <v>492010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IFERROR(VLOOKUP(B59,input_492010!L:R,7,FALSE),VLOOKUP(tables_492010!C59,input_492010!A:H,8,FALSE))</f>
        <v>5774.1346100000001</v>
      </c>
      <c r="P59" s="46">
        <f t="shared" ca="1" si="1"/>
        <v>5.089136797108667E-5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input_492010!A$2</f>
        <v>492010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IFERROR(VLOOKUP(B60,input_492010!L:R,7,FALSE),VLOOKUP(tables_492010!C60,input_492010!A:H,8,FALSE))</f>
        <v>564250</v>
      </c>
      <c r="P60" s="46">
        <f t="shared" ca="1" si="1"/>
        <v>4.9731182795694565E-3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input_492010!A$2</f>
        <v>492010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IFERROR(VLOOKUP(B61,input_492010!L:R,7,FALSE),VLOOKUP(tables_492010!C61,input_492010!A:H,8,FALSE))</f>
        <v>409638.46153999999</v>
      </c>
      <c r="P61" s="46">
        <f t="shared" ca="1" si="1"/>
        <v>3.6104218362415304E-3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input_492010!A$2</f>
        <v>492010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IFERROR(VLOOKUP(B62,input_492010!L:R,7,FALSE),VLOOKUP(tables_492010!C62,input_492010!A:H,8,FALSE))</f>
        <v>5774.1346100000001</v>
      </c>
      <c r="P62" s="46">
        <f t="shared" ca="1" si="1"/>
        <v>5.089136797108667E-5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input_492010!A$2</f>
        <v>492010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IFERROR(VLOOKUP(B63,input_492010!L:R,7,FALSE),VLOOKUP(tables_492010!C63,input_492010!A:H,8,FALSE))</f>
        <v>564250</v>
      </c>
      <c r="P63" s="46">
        <f t="shared" ca="1" si="1"/>
        <v>4.9731182795694565E-3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input_492010!A$2</f>
        <v>492010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IFERROR(VLOOKUP(B64,input_492010!L:R,7,FALSE),VLOOKUP(tables_492010!C64,input_492010!A:H,8,FALSE))</f>
        <v>409638.46153999999</v>
      </c>
      <c r="P64" s="46">
        <f t="shared" ca="1" si="1"/>
        <v>3.6104218362415304E-3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input_492010!A$2</f>
        <v>492010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IFERROR(VLOOKUP(B65,input_492010!L:R,7,FALSE),VLOOKUP(tables_492010!C65,input_492010!A:H,8,FALSE))</f>
        <v>5774.1346100000001</v>
      </c>
      <c r="P65" s="46">
        <f t="shared" ca="1" si="1"/>
        <v>5.089136797108667E-5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input_492010!A$2</f>
        <v>492010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IFERROR(VLOOKUP(B66,input_492010!L:R,7,FALSE),VLOOKUP(tables_492010!C66,input_492010!A:H,8,FALSE))</f>
        <v>564250</v>
      </c>
      <c r="P66" s="46">
        <f t="shared" ref="P66:P129" ca="1" si="4">O66/SUM(O:O)</f>
        <v>4.9731182795694565E-3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input_492010!A$2</f>
        <v>492010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IFERROR(VLOOKUP(B67,input_492010!L:R,7,FALSE),VLOOKUP(tables_492010!C67,input_492010!A:H,8,FALSE))</f>
        <v>409638.46153999999</v>
      </c>
      <c r="P67" s="46">
        <f t="shared" ca="1" si="4"/>
        <v>3.6104218362415304E-3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input_492010!A$2</f>
        <v>492010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IFERROR(VLOOKUP(B68,input_492010!L:R,7,FALSE),VLOOKUP(tables_492010!C68,input_492010!A:H,8,FALSE))</f>
        <v>5774.1346100000001</v>
      </c>
      <c r="P68" s="46">
        <f t="shared" ca="1" si="4"/>
        <v>5.089136797108667E-5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input_492010!A$2</f>
        <v>492010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IFERROR(VLOOKUP(B69,input_492010!L:R,7,FALSE),VLOOKUP(tables_492010!C69,input_492010!A:H,8,FALSE))</f>
        <v>564250</v>
      </c>
      <c r="P69" s="46">
        <f t="shared" ca="1" si="4"/>
        <v>4.9731182795694565E-3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input_492010!A$2</f>
        <v>492010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IFERROR(VLOOKUP(B70,input_492010!L:R,7,FALSE),VLOOKUP(tables_492010!C70,input_492010!A:H,8,FALSE))</f>
        <v>409638.46153999999</v>
      </c>
      <c r="P70" s="46">
        <f t="shared" ca="1" si="4"/>
        <v>3.6104218362415304E-3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input_492010!A$2</f>
        <v>492010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IFERROR(VLOOKUP(B71,input_492010!L:R,7,FALSE),VLOOKUP(tables_492010!C71,input_492010!A:H,8,FALSE))</f>
        <v>5774.1346100000001</v>
      </c>
      <c r="P71" s="46">
        <f t="shared" ca="1" si="4"/>
        <v>5.089136797108667E-5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input_492010!A$2</f>
        <v>492010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IFERROR(VLOOKUP(B72,input_492010!L:R,7,FALSE),VLOOKUP(tables_492010!C72,input_492010!A:H,8,FALSE))</f>
        <v>564250</v>
      </c>
      <c r="P72" s="46">
        <f t="shared" ca="1" si="4"/>
        <v>4.9731182795694565E-3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input_492010!A$2</f>
        <v>492010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IFERROR(VLOOKUP(B73,input_492010!L:R,7,FALSE),VLOOKUP(tables_492010!C73,input_492010!A:H,8,FALSE))</f>
        <v>409638.46153999999</v>
      </c>
      <c r="P73" s="46">
        <f t="shared" ca="1" si="4"/>
        <v>3.6104218362415304E-3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input_492010!A$2</f>
        <v>492010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IFERROR(VLOOKUP(B74,input_492010!L:R,7,FALSE),VLOOKUP(tables_492010!C74,input_492010!A:H,8,FALSE))</f>
        <v>5774.1346100000001</v>
      </c>
      <c r="P74" s="46">
        <f t="shared" ca="1" si="4"/>
        <v>5.089136797108667E-5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input_492010!A$2</f>
        <v>492010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IFERROR(VLOOKUP(B75,input_492010!L:R,7,FALSE),VLOOKUP(tables_492010!C75,input_492010!A:H,8,FALSE))</f>
        <v>564250</v>
      </c>
      <c r="P75" s="46">
        <f t="shared" ca="1" si="4"/>
        <v>4.9731182795694565E-3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input_492010!A$2</f>
        <v>492010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IFERROR(VLOOKUP(B76,input_492010!L:R,7,FALSE),VLOOKUP(tables_492010!C76,input_492010!A:H,8,FALSE))</f>
        <v>409638.46153999999</v>
      </c>
      <c r="P76" s="46">
        <f t="shared" ca="1" si="4"/>
        <v>3.6104218362415304E-3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input_492010!A$2</f>
        <v>492010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IFERROR(VLOOKUP(B77,input_492010!L:R,7,FALSE),VLOOKUP(tables_492010!C77,input_492010!A:H,8,FALSE))</f>
        <v>5774.1346100000001</v>
      </c>
      <c r="P77" s="46">
        <f t="shared" ca="1" si="4"/>
        <v>5.089136797108667E-5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input_492010!A$2</f>
        <v>492010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IFERROR(VLOOKUP(B78,input_492010!L:R,7,FALSE),VLOOKUP(tables_492010!C78,input_492010!A:H,8,FALSE))</f>
        <v>564250</v>
      </c>
      <c r="P78" s="46">
        <f t="shared" ca="1" si="4"/>
        <v>4.9731182795694565E-3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input_492010!A$2</f>
        <v>492010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IFERROR(VLOOKUP(B79,input_492010!L:R,7,FALSE),VLOOKUP(tables_492010!C79,input_492010!A:H,8,FALSE))</f>
        <v>409638.46153999999</v>
      </c>
      <c r="P79" s="46">
        <f t="shared" ca="1" si="4"/>
        <v>3.6104218362415304E-3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input_492010!A$2</f>
        <v>492010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IFERROR(VLOOKUP(B80,input_492010!L:R,7,FALSE),VLOOKUP(tables_492010!C80,input_492010!A:H,8,FALSE))</f>
        <v>5774.1346100000001</v>
      </c>
      <c r="P80" s="46">
        <f t="shared" ca="1" si="4"/>
        <v>5.089136797108667E-5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input_492010!A$2</f>
        <v>492010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IFERROR(VLOOKUP(B81,input_492010!L:R,7,FALSE),VLOOKUP(tables_492010!C81,input_492010!A:H,8,FALSE))</f>
        <v>564250</v>
      </c>
      <c r="P81" s="46">
        <f t="shared" ca="1" si="4"/>
        <v>4.9731182795694565E-3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input_492010!A$2</f>
        <v>492010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IFERROR(VLOOKUP(B82,input_492010!L:R,7,FALSE),VLOOKUP(tables_492010!C82,input_492010!A:H,8,FALSE))</f>
        <v>409638.46153999999</v>
      </c>
      <c r="P82" s="46">
        <f t="shared" ca="1" si="4"/>
        <v>3.6104218362415304E-3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input_492010!A$2</f>
        <v>492010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IFERROR(VLOOKUP(B83,input_492010!L:R,7,FALSE),VLOOKUP(tables_492010!C83,input_492010!A:H,8,FALSE))</f>
        <v>5774.1346100000001</v>
      </c>
      <c r="P83" s="46">
        <f t="shared" ca="1" si="4"/>
        <v>5.089136797108667E-5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input_492010!A$2</f>
        <v>492010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IFERROR(VLOOKUP(B84,input_492010!L:R,7,FALSE),VLOOKUP(tables_492010!C84,input_492010!A:H,8,FALSE))</f>
        <v>564250</v>
      </c>
      <c r="P84" s="46">
        <f t="shared" ca="1" si="4"/>
        <v>4.9731182795694565E-3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input_492010!A$2</f>
        <v>492010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IFERROR(VLOOKUP(B85,input_492010!L:R,7,FALSE),VLOOKUP(tables_492010!C85,input_492010!A:H,8,FALSE))</f>
        <v>409638.46153999999</v>
      </c>
      <c r="P85" s="46">
        <f t="shared" ca="1" si="4"/>
        <v>3.6104218362415304E-3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input_492010!A$2</f>
        <v>492010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IFERROR(VLOOKUP(B86,input_492010!L:R,7,FALSE),VLOOKUP(tables_492010!C86,input_492010!A:H,8,FALSE))</f>
        <v>5774.1346100000001</v>
      </c>
      <c r="P86" s="46">
        <f t="shared" ca="1" si="4"/>
        <v>5.089136797108667E-5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input_492010!A$2</f>
        <v>492010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IFERROR(VLOOKUP(B87,input_492010!L:R,7,FALSE),VLOOKUP(tables_492010!C87,input_492010!A:H,8,FALSE))</f>
        <v>564250</v>
      </c>
      <c r="P87" s="46">
        <f t="shared" ca="1" si="4"/>
        <v>4.9731182795694565E-3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input_492010!A$2</f>
        <v>492010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IFERROR(VLOOKUP(B88,input_492010!L:R,7,FALSE),VLOOKUP(tables_492010!C88,input_492010!A:H,8,FALSE))</f>
        <v>409638.46153999999</v>
      </c>
      <c r="P88" s="46">
        <f t="shared" ca="1" si="4"/>
        <v>3.6104218362415304E-3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input_492010!A$2</f>
        <v>492010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IFERROR(VLOOKUP(B89,input_492010!L:R,7,FALSE),VLOOKUP(tables_492010!C89,input_492010!A:H,8,FALSE))</f>
        <v>5774.1346100000001</v>
      </c>
      <c r="P89" s="46">
        <f t="shared" ca="1" si="4"/>
        <v>5.089136797108667E-5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input_492010!A$2</f>
        <v>492010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IFERROR(VLOOKUP(B90,input_492010!L:R,7,FALSE),VLOOKUP(tables_492010!C90,input_492010!A:H,8,FALSE))</f>
        <v>564250</v>
      </c>
      <c r="P90" s="46">
        <f t="shared" ca="1" si="4"/>
        <v>4.9731182795694565E-3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input_492010!A$2</f>
        <v>492010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IFERROR(VLOOKUP(B91,input_492010!L:R,7,FALSE),VLOOKUP(tables_492010!C91,input_492010!A:H,8,FALSE))</f>
        <v>409638.46153999999</v>
      </c>
      <c r="P91" s="46">
        <f t="shared" ca="1" si="4"/>
        <v>3.6104218362415304E-3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input_492010!A$2</f>
        <v>492010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IFERROR(VLOOKUP(B92,input_492010!L:R,7,FALSE),VLOOKUP(tables_492010!C92,input_492010!A:H,8,FALSE))</f>
        <v>5774.1346100000001</v>
      </c>
      <c r="P92" s="46">
        <f t="shared" ca="1" si="4"/>
        <v>5.089136797108667E-5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input_492010!A$2</f>
        <v>492010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IFERROR(VLOOKUP(B93,input_492010!L:R,7,FALSE),VLOOKUP(tables_492010!C93,input_492010!A:H,8,FALSE))</f>
        <v>564250</v>
      </c>
      <c r="P93" s="46">
        <f t="shared" ca="1" si="4"/>
        <v>4.9731182795694565E-3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input_492010!A$2</f>
        <v>492010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IFERROR(VLOOKUP(B94,input_492010!L:R,7,FALSE),VLOOKUP(tables_492010!C94,input_492010!A:H,8,FALSE))</f>
        <v>409638.46153999999</v>
      </c>
      <c r="P94" s="46">
        <f t="shared" ca="1" si="4"/>
        <v>3.6104218362415304E-3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input_492010!A$2</f>
        <v>492010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IFERROR(VLOOKUP(B95,input_492010!L:R,7,FALSE),VLOOKUP(tables_492010!C95,input_492010!A:H,8,FALSE))</f>
        <v>5774.1346100000001</v>
      </c>
      <c r="P95" s="46">
        <f t="shared" ca="1" si="4"/>
        <v>5.089136797108667E-5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input_492010!A$2</f>
        <v>492010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IFERROR(VLOOKUP(B96,input_492010!L:R,7,FALSE),VLOOKUP(tables_492010!C96,input_492010!A:H,8,FALSE))</f>
        <v>564250</v>
      </c>
      <c r="P96" s="46">
        <f t="shared" ca="1" si="4"/>
        <v>4.9731182795694565E-3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input_492010!A$2</f>
        <v>492010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IFERROR(VLOOKUP(B97,input_492010!L:R,7,FALSE),VLOOKUP(tables_492010!C97,input_492010!A:H,8,FALSE))</f>
        <v>409638.46153999999</v>
      </c>
      <c r="P97" s="46">
        <f t="shared" ca="1" si="4"/>
        <v>3.6104218362415304E-3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input_492010!A$2</f>
        <v>492010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IFERROR(VLOOKUP(B98,input_492010!L:R,7,FALSE),VLOOKUP(tables_492010!C98,input_492010!A:H,8,FALSE))</f>
        <v>5774.1346100000001</v>
      </c>
      <c r="P98" s="46">
        <f t="shared" ca="1" si="4"/>
        <v>5.089136797108667E-5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input_492010!A$2</f>
        <v>492010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IFERROR(VLOOKUP(B99,input_492010!L:R,7,FALSE),VLOOKUP(tables_492010!C99,input_492010!A:H,8,FALSE))</f>
        <v>564250</v>
      </c>
      <c r="P99" s="46">
        <f t="shared" ca="1" si="4"/>
        <v>4.9731182795694565E-3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input_492010!A$2</f>
        <v>492010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IFERROR(VLOOKUP(B100,input_492010!L:R,7,FALSE),VLOOKUP(tables_492010!C100,input_492010!A:H,8,FALSE))</f>
        <v>409638.46153999999</v>
      </c>
      <c r="P100" s="46">
        <f t="shared" ca="1" si="4"/>
        <v>3.6104218362415304E-3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input_492010!A$2</f>
        <v>492010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IFERROR(VLOOKUP(B101,input_492010!L:R,7,FALSE),VLOOKUP(tables_492010!C101,input_492010!A:H,8,FALSE))</f>
        <v>5774.1346100000001</v>
      </c>
      <c r="P101" s="46">
        <f t="shared" ca="1" si="4"/>
        <v>5.089136797108667E-5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input_492010!A$2</f>
        <v>492010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IFERROR(VLOOKUP(B102,input_492010!L:R,7,FALSE),VLOOKUP(tables_492010!C102,input_492010!A:H,8,FALSE))</f>
        <v>564250</v>
      </c>
      <c r="P102" s="46">
        <f t="shared" ca="1" si="4"/>
        <v>4.9731182795694565E-3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input_492010!A$2</f>
        <v>492010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IFERROR(VLOOKUP(B103,input_492010!L:R,7,FALSE),VLOOKUP(tables_492010!C103,input_492010!A:H,8,FALSE))</f>
        <v>409638.46153999999</v>
      </c>
      <c r="P103" s="46">
        <f t="shared" ca="1" si="4"/>
        <v>3.6104218362415304E-3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input_492010!A$2</f>
        <v>492010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IFERROR(VLOOKUP(B104,input_492010!L:R,7,FALSE),VLOOKUP(tables_492010!C104,input_492010!A:H,8,FALSE))</f>
        <v>5774.1346100000001</v>
      </c>
      <c r="P104" s="46">
        <f t="shared" ca="1" si="4"/>
        <v>5.089136797108667E-5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input_492010!A$2</f>
        <v>492010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IFERROR(VLOOKUP(B105,input_492010!L:R,7,FALSE),VLOOKUP(tables_492010!C105,input_492010!A:H,8,FALSE))</f>
        <v>564250</v>
      </c>
      <c r="P105" s="46">
        <f t="shared" ca="1" si="4"/>
        <v>4.9731182795694565E-3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input_492010!A$2</f>
        <v>492010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IFERROR(VLOOKUP(B106,input_492010!L:R,7,FALSE),VLOOKUP(tables_492010!C106,input_492010!A:H,8,FALSE))</f>
        <v>409638.46153999999</v>
      </c>
      <c r="P106" s="46">
        <f t="shared" ca="1" si="4"/>
        <v>3.6104218362415304E-3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input_492010!A$2</f>
        <v>492010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IFERROR(VLOOKUP(B107,input_492010!L:R,7,FALSE),VLOOKUP(tables_492010!C107,input_492010!A:H,8,FALSE))</f>
        <v>5774.1346100000001</v>
      </c>
      <c r="P107" s="46">
        <f t="shared" ca="1" si="4"/>
        <v>5.089136797108667E-5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input_492010!A$2</f>
        <v>492010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IFERROR(VLOOKUP(B108,input_492010!L:R,7,FALSE),VLOOKUP(tables_492010!C108,input_492010!A:H,8,FALSE))</f>
        <v>564250</v>
      </c>
      <c r="P108" s="46">
        <f t="shared" ca="1" si="4"/>
        <v>4.9731182795694565E-3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input_492010!A$2</f>
        <v>492010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IFERROR(VLOOKUP(B109,input_492010!L:R,7,FALSE),VLOOKUP(tables_492010!C109,input_492010!A:H,8,FALSE))</f>
        <v>409638.46153999999</v>
      </c>
      <c r="P109" s="46">
        <f t="shared" ca="1" si="4"/>
        <v>3.6104218362415304E-3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input_492010!A$2</f>
        <v>492010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IFERROR(VLOOKUP(B110,input_492010!L:R,7,FALSE),VLOOKUP(tables_492010!C110,input_492010!A:H,8,FALSE))</f>
        <v>5774.1346100000001</v>
      </c>
      <c r="P110" s="46">
        <f t="shared" ca="1" si="4"/>
        <v>5.089136797108667E-5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input_492010!A$2</f>
        <v>492010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IFERROR(VLOOKUP(B111,input_492010!L:R,7,FALSE),VLOOKUP(tables_492010!C111,input_492010!A:H,8,FALSE))</f>
        <v>564250</v>
      </c>
      <c r="P111" s="46">
        <f t="shared" ca="1" si="4"/>
        <v>4.9731182795694565E-3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input_492010!A$2</f>
        <v>492010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IFERROR(VLOOKUP(B112,input_492010!L:R,7,FALSE),VLOOKUP(tables_492010!C112,input_492010!A:H,8,FALSE))</f>
        <v>507825</v>
      </c>
      <c r="P112" s="46">
        <f t="shared" ca="1" si="4"/>
        <v>4.475806451612511E-3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input_492010!A$2</f>
        <v>492010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IFERROR(VLOOKUP(B113,input_492010!L:R,7,FALSE),VLOOKUP(tables_492010!C113,input_492010!A:H,8,FALSE))</f>
        <v>56425</v>
      </c>
      <c r="P113" s="46">
        <f t="shared" ca="1" si="4"/>
        <v>4.9731182795694558E-4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input_492010!A$2</f>
        <v>492010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IFERROR(VLOOKUP(B114,input_492010!L:R,7,FALSE),VLOOKUP(tables_492010!C114,input_492010!A:H,8,FALSE))</f>
        <v>564250</v>
      </c>
      <c r="P114" s="46">
        <f t="shared" ca="1" si="4"/>
        <v>4.9731182795694565E-3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input_492010!A$2</f>
        <v>492010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IFERROR(VLOOKUP(B115,input_492010!L:R,7,FALSE),VLOOKUP(tables_492010!C115,input_492010!A:H,8,FALSE))</f>
        <v>409638.46153999999</v>
      </c>
      <c r="P115" s="46">
        <f t="shared" ca="1" si="4"/>
        <v>3.6104218362415304E-3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input_492010!A$2</f>
        <v>492010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IFERROR(VLOOKUP(B116,input_492010!L:R,7,FALSE),VLOOKUP(tables_492010!C116,input_492010!A:H,8,FALSE))</f>
        <v>5774.1346100000001</v>
      </c>
      <c r="P116" s="46">
        <f t="shared" ca="1" si="4"/>
        <v>5.089136797108667E-5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input_492010!A$2</f>
        <v>492010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IFERROR(VLOOKUP(B117,input_492010!L:R,7,FALSE),VLOOKUP(tables_492010!C117,input_492010!A:H,8,FALSE))</f>
        <v>564250</v>
      </c>
      <c r="P117" s="46">
        <f t="shared" ca="1" si="4"/>
        <v>4.9731182795694565E-3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input_492010!A$2</f>
        <v>492010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IFERROR(VLOOKUP(B118,input_492010!L:R,7,FALSE),VLOOKUP(tables_492010!C118,input_492010!A:H,8,FALSE))</f>
        <v>409638.46153999999</v>
      </c>
      <c r="P118" s="46">
        <f t="shared" ca="1" si="4"/>
        <v>3.6104218362415304E-3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input_492010!A$2</f>
        <v>492010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IFERROR(VLOOKUP(B119,input_492010!L:R,7,FALSE),VLOOKUP(tables_492010!C119,input_492010!A:H,8,FALSE))</f>
        <v>5774.1346100000001</v>
      </c>
      <c r="P119" s="46">
        <f t="shared" ca="1" si="4"/>
        <v>5.089136797108667E-5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input_492010!A$2</f>
        <v>492010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IFERROR(VLOOKUP(B120,input_492010!L:R,7,FALSE),VLOOKUP(tables_492010!C120,input_492010!A:H,8,FALSE))</f>
        <v>564250</v>
      </c>
      <c r="P120" s="46">
        <f t="shared" ca="1" si="4"/>
        <v>4.9731182795694565E-3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input_492010!A$2</f>
        <v>492010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IFERROR(VLOOKUP(B121,input_492010!L:R,7,FALSE),VLOOKUP(tables_492010!C121,input_492010!A:H,8,FALSE))</f>
        <v>409638.46153999999</v>
      </c>
      <c r="P121" s="46">
        <f t="shared" ca="1" si="4"/>
        <v>3.6104218362415304E-3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input_492010!A$2</f>
        <v>492010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IFERROR(VLOOKUP(B122,input_492010!L:R,7,FALSE),VLOOKUP(tables_492010!C122,input_492010!A:H,8,FALSE))</f>
        <v>5774.1346100000001</v>
      </c>
      <c r="P122" s="46">
        <f t="shared" ca="1" si="4"/>
        <v>5.089136797108667E-5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input_492010!A$2</f>
        <v>492010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IFERROR(VLOOKUP(B123,input_492010!L:R,7,FALSE),VLOOKUP(tables_492010!C123,input_492010!A:H,8,FALSE))</f>
        <v>564250</v>
      </c>
      <c r="P123" s="46">
        <f t="shared" ca="1" si="4"/>
        <v>4.9731182795694565E-3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input_492010!A$2</f>
        <v>492010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IFERROR(VLOOKUP(B124,input_492010!L:R,7,FALSE),VLOOKUP(tables_492010!C124,input_492010!A:H,8,FALSE))</f>
        <v>409638.46153999999</v>
      </c>
      <c r="P124" s="46">
        <f t="shared" ca="1" si="4"/>
        <v>3.6104218362415304E-3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input_492010!A$2</f>
        <v>492010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IFERROR(VLOOKUP(B125,input_492010!L:R,7,FALSE),VLOOKUP(tables_492010!C125,input_492010!A:H,8,FALSE))</f>
        <v>5774.1346100000001</v>
      </c>
      <c r="P125" s="46">
        <f t="shared" ca="1" si="4"/>
        <v>5.089136797108667E-5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input_492010!A$2</f>
        <v>492010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IFERROR(VLOOKUP(B126,input_492010!L:R,7,FALSE),VLOOKUP(tables_492010!C126,input_492010!A:H,8,FALSE))</f>
        <v>564250</v>
      </c>
      <c r="P126" s="46">
        <f t="shared" ca="1" si="4"/>
        <v>4.9731182795694565E-3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input_492010!A$2</f>
        <v>492010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IFERROR(VLOOKUP(B127,input_492010!L:R,7,FALSE),VLOOKUP(tables_492010!C127,input_492010!A:H,8,FALSE))</f>
        <v>409638.46153999999</v>
      </c>
      <c r="P127" s="46">
        <f t="shared" ca="1" si="4"/>
        <v>3.6104218362415304E-3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input_492010!A$2</f>
        <v>492010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IFERROR(VLOOKUP(B128,input_492010!L:R,7,FALSE),VLOOKUP(tables_492010!C128,input_492010!A:H,8,FALSE))</f>
        <v>5774.1346100000001</v>
      </c>
      <c r="P128" s="46">
        <f t="shared" ca="1" si="4"/>
        <v>5.089136797108667E-5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input_492010!A$2</f>
        <v>492010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IFERROR(VLOOKUP(B129,input_492010!L:R,7,FALSE),VLOOKUP(tables_492010!C129,input_492010!A:H,8,FALSE))</f>
        <v>564250</v>
      </c>
      <c r="P129" s="46">
        <f t="shared" ca="1" si="4"/>
        <v>4.9731182795694565E-3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input_492010!A$2</f>
        <v>492010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IFERROR(VLOOKUP(B130,input_492010!L:R,7,FALSE),VLOOKUP(tables_492010!C130,input_492010!A:H,8,FALSE))</f>
        <v>409638.46153999999</v>
      </c>
      <c r="P130" s="46">
        <f t="shared" ref="P130:P193" ca="1" si="7">O130/SUM(O:O)</f>
        <v>3.6104218362415304E-3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input_492010!A$2</f>
        <v>492010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IFERROR(VLOOKUP(B131,input_492010!L:R,7,FALSE),VLOOKUP(tables_492010!C131,input_492010!A:H,8,FALSE))</f>
        <v>5774.1346100000001</v>
      </c>
      <c r="P131" s="46">
        <f t="shared" ca="1" si="7"/>
        <v>5.089136797108667E-5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input_492010!A$2</f>
        <v>492010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IFERROR(VLOOKUP(B132,input_492010!L:R,7,FALSE),VLOOKUP(tables_492010!C132,input_492010!A:H,8,FALSE))</f>
        <v>564250</v>
      </c>
      <c r="P132" s="46">
        <f t="shared" ca="1" si="7"/>
        <v>4.9731182795694565E-3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input_492010!A$2</f>
        <v>492010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IFERROR(VLOOKUP(B133,input_492010!L:R,7,FALSE),VLOOKUP(tables_492010!C133,input_492010!A:H,8,FALSE))</f>
        <v>409638.46153999999</v>
      </c>
      <c r="P133" s="46">
        <f t="shared" ca="1" si="7"/>
        <v>3.6104218362415304E-3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input_492010!A$2</f>
        <v>492010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IFERROR(VLOOKUP(B134,input_492010!L:R,7,FALSE),VLOOKUP(tables_492010!C134,input_492010!A:H,8,FALSE))</f>
        <v>5774.1346100000001</v>
      </c>
      <c r="P134" s="46">
        <f t="shared" ca="1" si="7"/>
        <v>5.089136797108667E-5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input_492010!A$2</f>
        <v>492010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IFERROR(VLOOKUP(B135,input_492010!L:R,7,FALSE),VLOOKUP(tables_492010!C135,input_492010!A:H,8,FALSE))</f>
        <v>564250</v>
      </c>
      <c r="P135" s="46">
        <f t="shared" ca="1" si="7"/>
        <v>4.9731182795694565E-3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input_492010!A$2</f>
        <v>492010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IFERROR(VLOOKUP(B136,input_492010!L:R,7,FALSE),VLOOKUP(tables_492010!C136,input_492010!A:H,8,FALSE))</f>
        <v>409638.46153999999</v>
      </c>
      <c r="P136" s="46">
        <f t="shared" ca="1" si="7"/>
        <v>3.6104218362415304E-3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input_492010!A$2</f>
        <v>492010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IFERROR(VLOOKUP(B137,input_492010!L:R,7,FALSE),VLOOKUP(tables_492010!C137,input_492010!A:H,8,FALSE))</f>
        <v>5774.1346100000001</v>
      </c>
      <c r="P137" s="46">
        <f t="shared" ca="1" si="7"/>
        <v>5.089136797108667E-5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input_492010!A$2</f>
        <v>492010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IFERROR(VLOOKUP(B138,input_492010!L:R,7,FALSE),VLOOKUP(tables_492010!C138,input_492010!A:H,8,FALSE))</f>
        <v>48324.230770000002</v>
      </c>
      <c r="P138" s="46">
        <f t="shared" ca="1" si="7"/>
        <v>4.2591424969148391E-4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input_492010!A$2</f>
        <v>492010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IFERROR(VLOOKUP(B139,input_492010!L:R,7,FALSE),VLOOKUP(tables_492010!C139,input_492010!A:H,8,FALSE))</f>
        <v>1395</v>
      </c>
      <c r="P139" s="46">
        <f t="shared" ca="1" si="7"/>
        <v>1.2295081967212037E-5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input_492010!A$2</f>
        <v>492010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IFERROR(VLOOKUP(B140,input_492010!L:R,7,FALSE),VLOOKUP(tables_492010!C140,input_492010!A:H,8,FALSE))</f>
        <v>48324.230770000002</v>
      </c>
      <c r="P140" s="46">
        <f t="shared" ca="1" si="7"/>
        <v>4.2591424969148391E-4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input_492010!A$2</f>
        <v>492010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IFERROR(VLOOKUP(B141,input_492010!L:R,7,FALSE),VLOOKUP(tables_492010!C141,input_492010!A:H,8,FALSE))</f>
        <v>1395</v>
      </c>
      <c r="P141" s="46">
        <f t="shared" ca="1" si="7"/>
        <v>1.2295081967212037E-5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input_492010!A$2</f>
        <v>492010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IFERROR(VLOOKUP(B142,input_492010!L:R,7,FALSE),VLOOKUP(tables_492010!C142,input_492010!A:H,8,FALSE))</f>
        <v>48324.230770000002</v>
      </c>
      <c r="P142" s="46">
        <f t="shared" ca="1" si="7"/>
        <v>4.2591424969148391E-4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input_492010!A$2</f>
        <v>492010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IFERROR(VLOOKUP(B143,input_492010!L:R,7,FALSE),VLOOKUP(tables_492010!C143,input_492010!A:H,8,FALSE))</f>
        <v>1395</v>
      </c>
      <c r="P143" s="46">
        <f t="shared" ca="1" si="7"/>
        <v>1.2295081967212037E-5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input_492010!A$2</f>
        <v>492010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IFERROR(VLOOKUP(B144,input_492010!L:R,7,FALSE),VLOOKUP(tables_492010!C144,input_492010!A:H,8,FALSE))</f>
        <v>48324.230770000002</v>
      </c>
      <c r="P144" s="46">
        <f t="shared" ca="1" si="7"/>
        <v>4.2591424969148391E-4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input_492010!A$2</f>
        <v>492010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IFERROR(VLOOKUP(B145,input_492010!L:R,7,FALSE),VLOOKUP(tables_492010!C145,input_492010!A:H,8,FALSE))</f>
        <v>1395</v>
      </c>
      <c r="P145" s="46">
        <f t="shared" ca="1" si="7"/>
        <v>1.2295081967212037E-5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input_492010!A$2</f>
        <v>492010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IFERROR(VLOOKUP(B146,input_492010!L:R,7,FALSE),VLOOKUP(tables_492010!C146,input_492010!A:H,8,FALSE))</f>
        <v>564250</v>
      </c>
      <c r="P146" s="46">
        <f t="shared" ca="1" si="7"/>
        <v>4.9731182795694565E-3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input_492010!A$2</f>
        <v>492010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IFERROR(VLOOKUP(B147,input_492010!L:R,7,FALSE),VLOOKUP(tables_492010!C147,input_492010!A:H,8,FALSE))</f>
        <v>409638.46153999999</v>
      </c>
      <c r="P147" s="46">
        <f t="shared" ca="1" si="7"/>
        <v>3.6104218362415304E-3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input_492010!A$2</f>
        <v>492010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IFERROR(VLOOKUP(B148,input_492010!L:R,7,FALSE),VLOOKUP(tables_492010!C148,input_492010!A:H,8,FALSE))</f>
        <v>5774.1346100000001</v>
      </c>
      <c r="P148" s="46">
        <f t="shared" ca="1" si="7"/>
        <v>5.089136797108667E-5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input_492010!A$2</f>
        <v>492010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IFERROR(VLOOKUP(B149,input_492010!L:R,7,FALSE),VLOOKUP(tables_492010!C149,input_492010!A:H,8,FALSE))</f>
        <v>48324.230770000002</v>
      </c>
      <c r="P149" s="46">
        <f t="shared" ca="1" si="7"/>
        <v>4.2591424969148391E-4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input_492010!A$2</f>
        <v>492010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IFERROR(VLOOKUP(B150,input_492010!L:R,7,FALSE),VLOOKUP(tables_492010!C150,input_492010!A:H,8,FALSE))</f>
        <v>1395</v>
      </c>
      <c r="P150" s="46">
        <f t="shared" ca="1" si="7"/>
        <v>1.2295081967212037E-5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input_492010!A$2</f>
        <v>492010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IFERROR(VLOOKUP(B151,input_492010!L:R,7,FALSE),VLOOKUP(tables_492010!C151,input_492010!A:H,8,FALSE))</f>
        <v>48324.230770000002</v>
      </c>
      <c r="P151" s="46">
        <f t="shared" ca="1" si="7"/>
        <v>4.2591424969148391E-4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input_492010!A$2</f>
        <v>492010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IFERROR(VLOOKUP(B152,input_492010!L:R,7,FALSE),VLOOKUP(tables_492010!C152,input_492010!A:H,8,FALSE))</f>
        <v>1395</v>
      </c>
      <c r="P152" s="46">
        <f t="shared" ca="1" si="7"/>
        <v>1.2295081967212037E-5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input_492010!A$2</f>
        <v>492010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IFERROR(VLOOKUP(B153,input_492010!L:R,7,FALSE),VLOOKUP(tables_492010!C153,input_492010!A:H,8,FALSE))</f>
        <v>564250</v>
      </c>
      <c r="P153" s="46">
        <f t="shared" ca="1" si="7"/>
        <v>4.9731182795694565E-3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input_492010!A$2</f>
        <v>492010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IFERROR(VLOOKUP(B154,input_492010!L:R,7,FALSE),VLOOKUP(tables_492010!C154,input_492010!A:H,8,FALSE))</f>
        <v>409638.46153999999</v>
      </c>
      <c r="P154" s="46">
        <f t="shared" ca="1" si="7"/>
        <v>3.6104218362415304E-3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input_492010!A$2</f>
        <v>492010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IFERROR(VLOOKUP(B155,input_492010!L:R,7,FALSE),VLOOKUP(tables_492010!C155,input_492010!A:H,8,FALSE))</f>
        <v>5774.1346100000001</v>
      </c>
      <c r="P155" s="46">
        <f t="shared" ca="1" si="7"/>
        <v>5.089136797108667E-5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input_492010!A$2</f>
        <v>492010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IFERROR(VLOOKUP(B156,input_492010!L:R,7,FALSE),VLOOKUP(tables_492010!C156,input_492010!A:H,8,FALSE))</f>
        <v>48324.230770000002</v>
      </c>
      <c r="P156" s="46">
        <f t="shared" ca="1" si="7"/>
        <v>4.2591424969148391E-4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input_492010!A$2</f>
        <v>492010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IFERROR(VLOOKUP(B157,input_492010!L:R,7,FALSE),VLOOKUP(tables_492010!C157,input_492010!A:H,8,FALSE))</f>
        <v>1395</v>
      </c>
      <c r="P157" s="46">
        <f t="shared" ca="1" si="7"/>
        <v>1.2295081967212037E-5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input_492010!A$2</f>
        <v>492010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IFERROR(VLOOKUP(B158,input_492010!L:R,7,FALSE),VLOOKUP(tables_492010!C158,input_492010!A:H,8,FALSE))</f>
        <v>564250</v>
      </c>
      <c r="P158" s="46">
        <f t="shared" ca="1" si="7"/>
        <v>4.9731182795694565E-3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input_492010!A$2</f>
        <v>492010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IFERROR(VLOOKUP(B159,input_492010!L:R,7,FALSE),VLOOKUP(tables_492010!C159,input_492010!A:H,8,FALSE))</f>
        <v>409638.46153999999</v>
      </c>
      <c r="P159" s="46">
        <f t="shared" ca="1" si="7"/>
        <v>3.6104218362415304E-3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input_492010!A$2</f>
        <v>492010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IFERROR(VLOOKUP(B160,input_492010!L:R,7,FALSE),VLOOKUP(tables_492010!C160,input_492010!A:H,8,FALSE))</f>
        <v>5774.1346100000001</v>
      </c>
      <c r="P160" s="46">
        <f t="shared" ca="1" si="7"/>
        <v>5.089136797108667E-5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input_492010!A$2</f>
        <v>492010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IFERROR(VLOOKUP(B161,input_492010!L:R,7,FALSE),VLOOKUP(tables_492010!C161,input_492010!A:H,8,FALSE))</f>
        <v>564250</v>
      </c>
      <c r="P161" s="46">
        <f t="shared" ca="1" si="7"/>
        <v>4.9731182795694565E-3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input_492010!A$2</f>
        <v>492010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IFERROR(VLOOKUP(B162,input_492010!L:R,7,FALSE),VLOOKUP(tables_492010!C162,input_492010!A:H,8,FALSE))</f>
        <v>409638.46153999999</v>
      </c>
      <c r="P162" s="46">
        <f t="shared" ca="1" si="7"/>
        <v>3.6104218362415304E-3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input_492010!A$2</f>
        <v>492010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IFERROR(VLOOKUP(B163,input_492010!L:R,7,FALSE),VLOOKUP(tables_492010!C163,input_492010!A:H,8,FALSE))</f>
        <v>5774.1346100000001</v>
      </c>
      <c r="P163" s="46">
        <f t="shared" ca="1" si="7"/>
        <v>5.089136797108667E-5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input_492010!A$2</f>
        <v>492010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IFERROR(VLOOKUP(B164,input_492010!L:R,7,FALSE),VLOOKUP(tables_492010!C164,input_492010!A:H,8,FALSE))</f>
        <v>48324.230770000002</v>
      </c>
      <c r="P164" s="46">
        <f t="shared" ca="1" si="7"/>
        <v>4.2591424969148391E-4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input_492010!A$2</f>
        <v>492010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IFERROR(VLOOKUP(B165,input_492010!L:R,7,FALSE),VLOOKUP(tables_492010!C165,input_492010!A:H,8,FALSE))</f>
        <v>1395</v>
      </c>
      <c r="P165" s="46">
        <f t="shared" ca="1" si="7"/>
        <v>1.2295081967212037E-5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input_492010!A$2</f>
        <v>492010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IFERROR(VLOOKUP(B166,input_492010!L:R,7,FALSE),VLOOKUP(tables_492010!C166,input_492010!A:H,8,FALSE))</f>
        <v>564250</v>
      </c>
      <c r="P166" s="46">
        <f t="shared" ca="1" si="7"/>
        <v>4.9731182795694565E-3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input_492010!A$2</f>
        <v>492010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IFERROR(VLOOKUP(B167,input_492010!L:R,7,FALSE),VLOOKUP(tables_492010!C167,input_492010!A:H,8,FALSE))</f>
        <v>409638.46153999999</v>
      </c>
      <c r="P167" s="46">
        <f t="shared" ca="1" si="7"/>
        <v>3.6104218362415304E-3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input_492010!A$2</f>
        <v>492010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IFERROR(VLOOKUP(B168,input_492010!L:R,7,FALSE),VLOOKUP(tables_492010!C168,input_492010!A:H,8,FALSE))</f>
        <v>5774.1346100000001</v>
      </c>
      <c r="P168" s="46">
        <f t="shared" ca="1" si="7"/>
        <v>5.089136797108667E-5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input_492010!A$2</f>
        <v>492010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IFERROR(VLOOKUP(B169,input_492010!L:R,7,FALSE),VLOOKUP(tables_492010!C169,input_492010!A:H,8,FALSE))</f>
        <v>48324.230770000002</v>
      </c>
      <c r="P169" s="46">
        <f t="shared" ca="1" si="7"/>
        <v>4.2591424969148391E-4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input_492010!A$2</f>
        <v>492010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IFERROR(VLOOKUP(B170,input_492010!L:R,7,FALSE),VLOOKUP(tables_492010!C170,input_492010!A:H,8,FALSE))</f>
        <v>1395</v>
      </c>
      <c r="P170" s="46">
        <f t="shared" ca="1" si="7"/>
        <v>1.2295081967212037E-5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input_492010!A$2</f>
        <v>492010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IFERROR(VLOOKUP(B171,input_492010!L:R,7,FALSE),VLOOKUP(tables_492010!C171,input_492010!A:H,8,FALSE))</f>
        <v>564250</v>
      </c>
      <c r="P171" s="46">
        <f t="shared" ca="1" si="7"/>
        <v>4.9731182795694565E-3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input_492010!A$2</f>
        <v>492010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IFERROR(VLOOKUP(B172,input_492010!L:R,7,FALSE),VLOOKUP(tables_492010!C172,input_492010!A:H,8,FALSE))</f>
        <v>409638.46153999999</v>
      </c>
      <c r="P172" s="46">
        <f t="shared" ca="1" si="7"/>
        <v>3.6104218362415304E-3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input_492010!A$2</f>
        <v>492010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IFERROR(VLOOKUP(B173,input_492010!L:R,7,FALSE),VLOOKUP(tables_492010!C173,input_492010!A:H,8,FALSE))</f>
        <v>5774.1346100000001</v>
      </c>
      <c r="P173" s="46">
        <f t="shared" ca="1" si="7"/>
        <v>5.089136797108667E-5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input_492010!A$2</f>
        <v>492010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IFERROR(VLOOKUP(B174,input_492010!L:R,7,FALSE),VLOOKUP(tables_492010!C174,input_492010!A:H,8,FALSE))</f>
        <v>48324.230770000002</v>
      </c>
      <c r="P174" s="46">
        <f t="shared" ca="1" si="7"/>
        <v>4.2591424969148391E-4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input_492010!A$2</f>
        <v>492010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IFERROR(VLOOKUP(B175,input_492010!L:R,7,FALSE),VLOOKUP(tables_492010!C175,input_492010!A:H,8,FALSE))</f>
        <v>1395</v>
      </c>
      <c r="P175" s="46">
        <f t="shared" ca="1" si="7"/>
        <v>1.2295081967212037E-5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input_492010!A$2</f>
        <v>492010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IFERROR(VLOOKUP(B176,input_492010!L:R,7,FALSE),VLOOKUP(tables_492010!C176,input_492010!A:H,8,FALSE))</f>
        <v>48324.230770000002</v>
      </c>
      <c r="P176" s="46">
        <f t="shared" ca="1" si="7"/>
        <v>4.2591424969148391E-4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input_492010!A$2</f>
        <v>492010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IFERROR(VLOOKUP(B177,input_492010!L:R,7,FALSE),VLOOKUP(tables_492010!C177,input_492010!A:H,8,FALSE))</f>
        <v>1395</v>
      </c>
      <c r="P177" s="46">
        <f t="shared" ca="1" si="7"/>
        <v>1.2295081967212037E-5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input_492010!A$2</f>
        <v>492010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IFERROR(VLOOKUP(B178,input_492010!L:R,7,FALSE),VLOOKUP(tables_492010!C178,input_492010!A:H,8,FALSE))</f>
        <v>564250</v>
      </c>
      <c r="P178" s="46">
        <f t="shared" ca="1" si="7"/>
        <v>4.9731182795694565E-3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input_492010!A$2</f>
        <v>492010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IFERROR(VLOOKUP(B179,input_492010!L:R,7,FALSE),VLOOKUP(tables_492010!C179,input_492010!A:H,8,FALSE))</f>
        <v>409638.46153999999</v>
      </c>
      <c r="P179" s="46">
        <f t="shared" ca="1" si="7"/>
        <v>3.6104218362415304E-3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input_492010!A$2</f>
        <v>492010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IFERROR(VLOOKUP(B180,input_492010!L:R,7,FALSE),VLOOKUP(tables_492010!C180,input_492010!A:H,8,FALSE))</f>
        <v>5774.1346100000001</v>
      </c>
      <c r="P180" s="46">
        <f t="shared" ca="1" si="7"/>
        <v>5.089136797108667E-5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input_492010!A$2</f>
        <v>492010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IFERROR(VLOOKUP(B181,input_492010!L:R,7,FALSE),VLOOKUP(tables_492010!C181,input_492010!A:H,8,FALSE))</f>
        <v>564250</v>
      </c>
      <c r="P181" s="46">
        <f t="shared" ca="1" si="7"/>
        <v>4.9731182795694565E-3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input_492010!A$2</f>
        <v>492010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IFERROR(VLOOKUP(B182,input_492010!L:R,7,FALSE),VLOOKUP(tables_492010!C182,input_492010!A:H,8,FALSE))</f>
        <v>409638.46153999999</v>
      </c>
      <c r="P182" s="46">
        <f t="shared" ca="1" si="7"/>
        <v>3.6104218362415304E-3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input_492010!A$2</f>
        <v>492010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IFERROR(VLOOKUP(B183,input_492010!L:R,7,FALSE),VLOOKUP(tables_492010!C183,input_492010!A:H,8,FALSE))</f>
        <v>5774.1346100000001</v>
      </c>
      <c r="P183" s="46">
        <f t="shared" ca="1" si="7"/>
        <v>5.089136797108667E-5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input_492010!A$2</f>
        <v>492010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>IFERROR(VLOOKUP(B184,input_492010!L:R,7,FALSE),VLOOKUP(tables_492010!C184,input_492010!A:H,8,FALSE))</f>
        <v>1701900</v>
      </c>
      <c r="P184" s="46">
        <f t="shared" ca="1" si="7"/>
        <v>1.4999999999998685E-2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input_492010!A$2</f>
        <v>492010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>IFERROR(VLOOKUP(B185,input_492010!L:R,7,FALSE),VLOOKUP(tables_492010!C185,input_492010!A:H,8,FALSE))</f>
        <v>1701900</v>
      </c>
      <c r="P185" s="46">
        <f t="shared" ca="1" si="7"/>
        <v>1.4999999999998685E-2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input_492010!A$2</f>
        <v>492010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IFERROR(VLOOKUP(B186,input_492010!L:R,7,FALSE),VLOOKUP(tables_492010!C186,input_492010!A:H,8,FALSE))</f>
        <v>564250</v>
      </c>
      <c r="P186" s="46">
        <f t="shared" ca="1" si="7"/>
        <v>4.9731182795694565E-3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input_492010!A$2</f>
        <v>492010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IFERROR(VLOOKUP(B187,input_492010!L:R,7,FALSE),VLOOKUP(tables_492010!C187,input_492010!A:H,8,FALSE))</f>
        <v>409638.46153999999</v>
      </c>
      <c r="P187" s="46">
        <f t="shared" ca="1" si="7"/>
        <v>3.6104218362415304E-3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input_492010!A$2</f>
        <v>492010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IFERROR(VLOOKUP(B188,input_492010!L:R,7,FALSE),VLOOKUP(tables_492010!C188,input_492010!A:H,8,FALSE))</f>
        <v>5774.1346100000001</v>
      </c>
      <c r="P188" s="46">
        <f t="shared" ca="1" si="7"/>
        <v>5.089136797108667E-5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input_492010!A$2</f>
        <v>492010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IFERROR(VLOOKUP(B189,input_492010!L:R,7,FALSE),VLOOKUP(tables_492010!C189,input_492010!A:H,8,FALSE))</f>
        <v>48324.230770000002</v>
      </c>
      <c r="P189" s="46">
        <f t="shared" ca="1" si="7"/>
        <v>4.2591424969148391E-4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input_492010!A$2</f>
        <v>492010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IFERROR(VLOOKUP(B190,input_492010!L:R,7,FALSE),VLOOKUP(tables_492010!C190,input_492010!A:H,8,FALSE))</f>
        <v>1395</v>
      </c>
      <c r="P190" s="46">
        <f t="shared" ca="1" si="7"/>
        <v>1.2295081967212037E-5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input_492010!A$2</f>
        <v>492010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IFERROR(VLOOKUP(B191,input_492010!L:R,7,FALSE),VLOOKUP(tables_492010!C191,input_492010!A:H,8,FALSE))</f>
        <v>48324.230770000002</v>
      </c>
      <c r="P191" s="46">
        <f t="shared" ca="1" si="7"/>
        <v>4.2591424969148391E-4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input_492010!A$2</f>
        <v>492010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IFERROR(VLOOKUP(B192,input_492010!L:R,7,FALSE),VLOOKUP(tables_492010!C192,input_492010!A:H,8,FALSE))</f>
        <v>1395</v>
      </c>
      <c r="P192" s="46">
        <f t="shared" ca="1" si="7"/>
        <v>1.2295081967212037E-5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input_492010!A$2</f>
        <v>492010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IFERROR(VLOOKUP(B193,input_492010!L:R,7,FALSE),VLOOKUP(tables_492010!C193,input_492010!A:H,8,FALSE))</f>
        <v>564250</v>
      </c>
      <c r="P193" s="46">
        <f t="shared" ca="1" si="7"/>
        <v>4.9731182795694565E-3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input_492010!A$2</f>
        <v>492010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IFERROR(VLOOKUP(B194,input_492010!L:R,7,FALSE),VLOOKUP(tables_492010!C194,input_492010!A:H,8,FALSE))</f>
        <v>409638.46153999999</v>
      </c>
      <c r="P194" s="46">
        <f t="shared" ref="P194:P257" ca="1" si="10">O194/SUM(O:O)</f>
        <v>3.6104218362415304E-3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input_492010!A$2</f>
        <v>492010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IFERROR(VLOOKUP(B195,input_492010!L:R,7,FALSE),VLOOKUP(tables_492010!C195,input_492010!A:H,8,FALSE))</f>
        <v>5774.1346100000001</v>
      </c>
      <c r="P195" s="46">
        <f t="shared" ca="1" si="10"/>
        <v>5.089136797108667E-5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input_492010!A$2</f>
        <v>492010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IFERROR(VLOOKUP(B196,input_492010!L:R,7,FALSE),VLOOKUP(tables_492010!C196,input_492010!A:H,8,FALSE))</f>
        <v>48324.230770000002</v>
      </c>
      <c r="P196" s="46">
        <f t="shared" ca="1" si="10"/>
        <v>4.2591424969148391E-4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input_492010!A$2</f>
        <v>492010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IFERROR(VLOOKUP(B197,input_492010!L:R,7,FALSE),VLOOKUP(tables_492010!C197,input_492010!A:H,8,FALSE))</f>
        <v>1395</v>
      </c>
      <c r="P197" s="46">
        <f t="shared" ca="1" si="10"/>
        <v>1.2295081967212037E-5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input_492010!A$2</f>
        <v>492010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IFERROR(VLOOKUP(B198,input_492010!L:R,7,FALSE),VLOOKUP(tables_492010!C198,input_492010!A:H,8,FALSE))</f>
        <v>564250</v>
      </c>
      <c r="P198" s="46">
        <f t="shared" ca="1" si="10"/>
        <v>4.9731182795694565E-3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input_492010!A$2</f>
        <v>492010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IFERROR(VLOOKUP(B199,input_492010!L:R,7,FALSE),VLOOKUP(tables_492010!C199,input_492010!A:H,8,FALSE))</f>
        <v>409638.46153999999</v>
      </c>
      <c r="P199" s="46">
        <f t="shared" ca="1" si="10"/>
        <v>3.6104218362415304E-3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input_492010!A$2</f>
        <v>492010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IFERROR(VLOOKUP(B200,input_492010!L:R,7,FALSE),VLOOKUP(tables_492010!C200,input_492010!A:H,8,FALSE))</f>
        <v>5774.1346100000001</v>
      </c>
      <c r="P200" s="46">
        <f t="shared" ca="1" si="10"/>
        <v>5.089136797108667E-5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input_492010!A$2</f>
        <v>492010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IFERROR(VLOOKUP(B201,input_492010!L:R,7,FALSE),VLOOKUP(tables_492010!C201,input_492010!A:H,8,FALSE))</f>
        <v>48324.230770000002</v>
      </c>
      <c r="P201" s="46">
        <f t="shared" ca="1" si="10"/>
        <v>4.2591424969148391E-4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input_492010!A$2</f>
        <v>492010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IFERROR(VLOOKUP(B202,input_492010!L:R,7,FALSE),VLOOKUP(tables_492010!C202,input_492010!A:H,8,FALSE))</f>
        <v>1395</v>
      </c>
      <c r="P202" s="46">
        <f t="shared" ca="1" si="10"/>
        <v>1.2295081967212037E-5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input_492010!A$2</f>
        <v>492010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IFERROR(VLOOKUP(B203,input_492010!L:R,7,FALSE),VLOOKUP(tables_492010!C203,input_492010!A:H,8,FALSE))</f>
        <v>564250</v>
      </c>
      <c r="P203" s="46">
        <f t="shared" ca="1" si="10"/>
        <v>4.9731182795694565E-3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input_492010!A$2</f>
        <v>492010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IFERROR(VLOOKUP(B204,input_492010!L:R,7,FALSE),VLOOKUP(tables_492010!C204,input_492010!A:H,8,FALSE))</f>
        <v>409638.46153999999</v>
      </c>
      <c r="P204" s="46">
        <f t="shared" ca="1" si="10"/>
        <v>3.6104218362415304E-3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input_492010!A$2</f>
        <v>492010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IFERROR(VLOOKUP(B205,input_492010!L:R,7,FALSE),VLOOKUP(tables_492010!C205,input_492010!A:H,8,FALSE))</f>
        <v>5774.1346100000001</v>
      </c>
      <c r="P205" s="46">
        <f t="shared" ca="1" si="10"/>
        <v>5.089136797108667E-5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input_492010!A$2</f>
        <v>492010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IFERROR(VLOOKUP(B206,input_492010!L:R,7,FALSE),VLOOKUP(tables_492010!C206,input_492010!A:H,8,FALSE))</f>
        <v>48324.230770000002</v>
      </c>
      <c r="P206" s="46">
        <f t="shared" ca="1" si="10"/>
        <v>4.2591424969148391E-4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input_492010!A$2</f>
        <v>492010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IFERROR(VLOOKUP(B207,input_492010!L:R,7,FALSE),VLOOKUP(tables_492010!C207,input_492010!A:H,8,FALSE))</f>
        <v>1395</v>
      </c>
      <c r="P207" s="46">
        <f t="shared" ca="1" si="10"/>
        <v>1.2295081967212037E-5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input_492010!A$2</f>
        <v>492010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IFERROR(VLOOKUP(B208,input_492010!L:R,7,FALSE),VLOOKUP(tables_492010!C208,input_492010!A:H,8,FALSE))</f>
        <v>48324.230770000002</v>
      </c>
      <c r="P208" s="46">
        <f t="shared" ca="1" si="10"/>
        <v>4.2591424969148391E-4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input_492010!A$2</f>
        <v>492010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IFERROR(VLOOKUP(B209,input_492010!L:R,7,FALSE),VLOOKUP(tables_492010!C209,input_492010!A:H,8,FALSE))</f>
        <v>1395</v>
      </c>
      <c r="P209" s="46">
        <f t="shared" ca="1" si="10"/>
        <v>1.2295081967212037E-5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input_492010!A$2</f>
        <v>492010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IFERROR(VLOOKUP(B210,input_492010!L:R,7,FALSE),VLOOKUP(tables_492010!C210,input_492010!A:H,8,FALSE))</f>
        <v>564250</v>
      </c>
      <c r="P210" s="46">
        <f t="shared" ca="1" si="10"/>
        <v>4.9731182795694565E-3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input_492010!A$2</f>
        <v>492010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IFERROR(VLOOKUP(B211,input_492010!L:R,7,FALSE),VLOOKUP(tables_492010!C211,input_492010!A:H,8,FALSE))</f>
        <v>409638.46153999999</v>
      </c>
      <c r="P211" s="46">
        <f t="shared" ca="1" si="10"/>
        <v>3.6104218362415304E-3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input_492010!A$2</f>
        <v>492010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IFERROR(VLOOKUP(B212,input_492010!L:R,7,FALSE),VLOOKUP(tables_492010!C212,input_492010!A:H,8,FALSE))</f>
        <v>5774.1346100000001</v>
      </c>
      <c r="P212" s="46">
        <f t="shared" ca="1" si="10"/>
        <v>5.089136797108667E-5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input_492010!A$2</f>
        <v>492010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IFERROR(VLOOKUP(B213,input_492010!L:R,7,FALSE),VLOOKUP(tables_492010!C213,input_492010!A:H,8,FALSE))</f>
        <v>48324.230770000002</v>
      </c>
      <c r="P213" s="46">
        <f t="shared" ca="1" si="10"/>
        <v>4.2591424969148391E-4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input_492010!A$2</f>
        <v>492010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IFERROR(VLOOKUP(B214,input_492010!L:R,7,FALSE),VLOOKUP(tables_492010!C214,input_492010!A:H,8,FALSE))</f>
        <v>1395</v>
      </c>
      <c r="P214" s="46">
        <f t="shared" ca="1" si="10"/>
        <v>1.2295081967212037E-5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input_492010!A$2</f>
        <v>492010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IFERROR(VLOOKUP(B215,input_492010!L:R,7,FALSE),VLOOKUP(tables_492010!C215,input_492010!A:H,8,FALSE))</f>
        <v>56425</v>
      </c>
      <c r="P215" s="46">
        <f t="shared" ca="1" si="10"/>
        <v>4.9731182795694558E-4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input_492010!A$2</f>
        <v>492010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IFERROR(VLOOKUP(B216,input_492010!L:R,7,FALSE),VLOOKUP(tables_492010!C216,input_492010!A:H,8,FALSE))</f>
        <v>56425</v>
      </c>
      <c r="P216" s="46">
        <f t="shared" ca="1" si="10"/>
        <v>4.9731182795694558E-4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input_492010!A$2</f>
        <v>492010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IFERROR(VLOOKUP(B217,input_492010!L:R,7,FALSE),VLOOKUP(tables_492010!C217,input_492010!A:H,8,FALSE))</f>
        <v>56425</v>
      </c>
      <c r="P217" s="46">
        <f t="shared" ca="1" si="10"/>
        <v>4.9731182795694558E-4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input_492010!A$2</f>
        <v>492010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IFERROR(VLOOKUP(B218,input_492010!L:R,7,FALSE),VLOOKUP(tables_492010!C218,input_492010!A:H,8,FALSE))</f>
        <v>56425</v>
      </c>
      <c r="P218" s="46">
        <f t="shared" ca="1" si="10"/>
        <v>4.9731182795694558E-4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input_492010!A$2</f>
        <v>492010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IFERROR(VLOOKUP(B219,input_492010!L:R,7,FALSE),VLOOKUP(tables_492010!C219,input_492010!A:H,8,FALSE))</f>
        <v>56425</v>
      </c>
      <c r="P219" s="46">
        <f t="shared" ca="1" si="10"/>
        <v>4.9731182795694558E-4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input_492010!A$2</f>
        <v>492010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IFERROR(VLOOKUP(B220,input_492010!L:R,7,FALSE),VLOOKUP(tables_492010!C220,input_492010!A:H,8,FALSE))</f>
        <v>56425</v>
      </c>
      <c r="P220" s="46">
        <f t="shared" ca="1" si="10"/>
        <v>4.9731182795694558E-4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input_492010!A$2</f>
        <v>492010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>IFERROR(VLOOKUP(B221,input_492010!L:R,7,FALSE),VLOOKUP(tables_492010!C221,input_492010!A:H,8,FALSE))</f>
        <v>1701900</v>
      </c>
      <c r="P221" s="46">
        <f t="shared" ca="1" si="10"/>
        <v>1.4999999999998685E-2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input_492010!A$2</f>
        <v>492010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>IFERROR(VLOOKUP(B222,input_492010!L:R,7,FALSE),VLOOKUP(tables_492010!C222,input_492010!A:H,8,FALSE))</f>
        <v>1701900</v>
      </c>
      <c r="P222" s="46">
        <f t="shared" ca="1" si="10"/>
        <v>1.4999999999998685E-2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input_492010!A$2</f>
        <v>492010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IFERROR(VLOOKUP(B223,input_492010!L:R,7,FALSE),VLOOKUP(tables_492010!C223,input_492010!A:H,8,FALSE))</f>
        <v>564250</v>
      </c>
      <c r="P223" s="46">
        <f t="shared" ca="1" si="10"/>
        <v>4.9731182795694565E-3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input_492010!A$2</f>
        <v>492010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IFERROR(VLOOKUP(B224,input_492010!L:R,7,FALSE),VLOOKUP(tables_492010!C224,input_492010!A:H,8,FALSE))</f>
        <v>409638.46153999999</v>
      </c>
      <c r="P224" s="46">
        <f t="shared" ca="1" si="10"/>
        <v>3.6104218362415304E-3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input_492010!A$2</f>
        <v>492010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IFERROR(VLOOKUP(B225,input_492010!L:R,7,FALSE),VLOOKUP(tables_492010!C225,input_492010!A:H,8,FALSE))</f>
        <v>5774.1346100000001</v>
      </c>
      <c r="P225" s="46">
        <f t="shared" ca="1" si="10"/>
        <v>5.089136797108667E-5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input_492010!A$2</f>
        <v>492010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IFERROR(VLOOKUP(B226,input_492010!L:R,7,FALSE),VLOOKUP(tables_492010!C226,input_492010!A:H,8,FALSE))</f>
        <v>564250</v>
      </c>
      <c r="P226" s="46">
        <f t="shared" ca="1" si="10"/>
        <v>4.9731182795694565E-3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input_492010!A$2</f>
        <v>492010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IFERROR(VLOOKUP(B227,input_492010!L:R,7,FALSE),VLOOKUP(tables_492010!C227,input_492010!A:H,8,FALSE))</f>
        <v>409638.46153999999</v>
      </c>
      <c r="P227" s="46">
        <f t="shared" ca="1" si="10"/>
        <v>3.6104218362415304E-3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input_492010!A$2</f>
        <v>492010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IFERROR(VLOOKUP(B228,input_492010!L:R,7,FALSE),VLOOKUP(tables_492010!C228,input_492010!A:H,8,FALSE))</f>
        <v>5774.1346100000001</v>
      </c>
      <c r="P228" s="46">
        <f t="shared" ca="1" si="10"/>
        <v>5.089136797108667E-5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input_492010!A$2</f>
        <v>492010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IFERROR(VLOOKUP(B229,input_492010!L:R,7,FALSE),VLOOKUP(tables_492010!C229,input_492010!A:H,8,FALSE))</f>
        <v>48324.230770000002</v>
      </c>
      <c r="P229" s="46">
        <f t="shared" ca="1" si="10"/>
        <v>4.2591424969148391E-4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input_492010!A$2</f>
        <v>492010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IFERROR(VLOOKUP(B230,input_492010!L:R,7,FALSE),VLOOKUP(tables_492010!C230,input_492010!A:H,8,FALSE))</f>
        <v>1395</v>
      </c>
      <c r="P230" s="46">
        <f t="shared" ca="1" si="10"/>
        <v>1.2295081967212037E-5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input_492010!A$2</f>
        <v>492010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IFERROR(VLOOKUP(B231,input_492010!L:R,7,FALSE),VLOOKUP(tables_492010!C231,input_492010!A:H,8,FALSE))</f>
        <v>564250</v>
      </c>
      <c r="P231" s="46">
        <f t="shared" ca="1" si="10"/>
        <v>4.9731182795694565E-3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input_492010!A$2</f>
        <v>492010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IFERROR(VLOOKUP(B232,input_492010!L:R,7,FALSE),VLOOKUP(tables_492010!C232,input_492010!A:H,8,FALSE))</f>
        <v>409638.46153999999</v>
      </c>
      <c r="P232" s="46">
        <f t="shared" ca="1" si="10"/>
        <v>3.6104218362415304E-3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input_492010!A$2</f>
        <v>492010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IFERROR(VLOOKUP(B233,input_492010!L:R,7,FALSE),VLOOKUP(tables_492010!C233,input_492010!A:H,8,FALSE))</f>
        <v>5774.1346100000001</v>
      </c>
      <c r="P233" s="46">
        <f t="shared" ca="1" si="10"/>
        <v>5.089136797108667E-5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input_492010!A$2</f>
        <v>492010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IFERROR(VLOOKUP(B234,input_492010!L:R,7,FALSE),VLOOKUP(tables_492010!C234,input_492010!A:H,8,FALSE))</f>
        <v>564250</v>
      </c>
      <c r="P234" s="46">
        <f t="shared" ca="1" si="10"/>
        <v>4.9731182795694565E-3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input_492010!A$2</f>
        <v>492010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IFERROR(VLOOKUP(B235,input_492010!L:R,7,FALSE),VLOOKUP(tables_492010!C235,input_492010!A:H,8,FALSE))</f>
        <v>409638.46153999999</v>
      </c>
      <c r="P235" s="46">
        <f t="shared" ca="1" si="10"/>
        <v>3.6104218362415304E-3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input_492010!A$2</f>
        <v>492010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IFERROR(VLOOKUP(B236,input_492010!L:R,7,FALSE),VLOOKUP(tables_492010!C236,input_492010!A:H,8,FALSE))</f>
        <v>5774.1346100000001</v>
      </c>
      <c r="P236" s="46">
        <f t="shared" ca="1" si="10"/>
        <v>5.089136797108667E-5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input_492010!A$2</f>
        <v>492010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IFERROR(VLOOKUP(B237,input_492010!L:R,7,FALSE),VLOOKUP(tables_492010!C237,input_492010!A:H,8,FALSE))</f>
        <v>48324.230770000002</v>
      </c>
      <c r="P237" s="46">
        <f t="shared" ca="1" si="10"/>
        <v>4.2591424969148391E-4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input_492010!A$2</f>
        <v>492010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IFERROR(VLOOKUP(B238,input_492010!L:R,7,FALSE),VLOOKUP(tables_492010!C238,input_492010!A:H,8,FALSE))</f>
        <v>1395</v>
      </c>
      <c r="P238" s="46">
        <f t="shared" ca="1" si="10"/>
        <v>1.2295081967212037E-5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input_492010!A$2</f>
        <v>492010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IFERROR(VLOOKUP(B239,input_492010!L:R,7,FALSE),VLOOKUP(tables_492010!C239,input_492010!A:H,8,FALSE))</f>
        <v>564250</v>
      </c>
      <c r="P239" s="46">
        <f t="shared" ca="1" si="10"/>
        <v>4.9731182795694565E-3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input_492010!A$2</f>
        <v>492010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IFERROR(VLOOKUP(B240,input_492010!L:R,7,FALSE),VLOOKUP(tables_492010!C240,input_492010!A:H,8,FALSE))</f>
        <v>409638.46153999999</v>
      </c>
      <c r="P240" s="46">
        <f t="shared" ca="1" si="10"/>
        <v>3.6104218362415304E-3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input_492010!A$2</f>
        <v>492010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IFERROR(VLOOKUP(B241,input_492010!L:R,7,FALSE),VLOOKUP(tables_492010!C241,input_492010!A:H,8,FALSE))</f>
        <v>5774.1346100000001</v>
      </c>
      <c r="P241" s="46">
        <f t="shared" ca="1" si="10"/>
        <v>5.089136797108667E-5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input_492010!A$2</f>
        <v>492010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IFERROR(VLOOKUP(B242,input_492010!L:R,7,FALSE),VLOOKUP(tables_492010!C242,input_492010!A:H,8,FALSE))</f>
        <v>48324.230770000002</v>
      </c>
      <c r="P242" s="46">
        <f t="shared" ca="1" si="10"/>
        <v>4.2591424969148391E-4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input_492010!A$2</f>
        <v>492010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IFERROR(VLOOKUP(B243,input_492010!L:R,7,FALSE),VLOOKUP(tables_492010!C243,input_492010!A:H,8,FALSE))</f>
        <v>1395</v>
      </c>
      <c r="P243" s="46">
        <f t="shared" ca="1" si="10"/>
        <v>1.2295081967212037E-5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input_492010!A$2</f>
        <v>492010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IFERROR(VLOOKUP(B244,input_492010!L:R,7,FALSE),VLOOKUP(tables_492010!C244,input_492010!A:H,8,FALSE))</f>
        <v>48324.230770000002</v>
      </c>
      <c r="P244" s="46">
        <f t="shared" ca="1" si="10"/>
        <v>4.2591424969148391E-4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input_492010!A$2</f>
        <v>492010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IFERROR(VLOOKUP(B245,input_492010!L:R,7,FALSE),VLOOKUP(tables_492010!C245,input_492010!A:H,8,FALSE))</f>
        <v>1395</v>
      </c>
      <c r="P245" s="46">
        <f t="shared" ca="1" si="10"/>
        <v>1.2295081967212037E-5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input_492010!A$2</f>
        <v>492010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IFERROR(VLOOKUP(B246,input_492010!L:R,7,FALSE),VLOOKUP(tables_492010!C246,input_492010!A:H,8,FALSE))</f>
        <v>564250</v>
      </c>
      <c r="P246" s="46">
        <f t="shared" ca="1" si="10"/>
        <v>4.9731182795694565E-3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input_492010!A$2</f>
        <v>492010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IFERROR(VLOOKUP(B247,input_492010!L:R,7,FALSE),VLOOKUP(tables_492010!C247,input_492010!A:H,8,FALSE))</f>
        <v>409638.46153999999</v>
      </c>
      <c r="P247" s="46">
        <f t="shared" ca="1" si="10"/>
        <v>3.6104218362415304E-3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input_492010!A$2</f>
        <v>492010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IFERROR(VLOOKUP(B248,input_492010!L:R,7,FALSE),VLOOKUP(tables_492010!C248,input_492010!A:H,8,FALSE))</f>
        <v>5774.1346100000001</v>
      </c>
      <c r="P248" s="46">
        <f t="shared" ca="1" si="10"/>
        <v>5.089136797108667E-5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input_492010!A$2</f>
        <v>492010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IFERROR(VLOOKUP(B249,input_492010!L:R,7,FALSE),VLOOKUP(tables_492010!C249,input_492010!A:H,8,FALSE))</f>
        <v>564250</v>
      </c>
      <c r="P249" s="46">
        <f t="shared" ca="1" si="10"/>
        <v>4.9731182795694565E-3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input_492010!A$2</f>
        <v>492010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IFERROR(VLOOKUP(B250,input_492010!L:R,7,FALSE),VLOOKUP(tables_492010!C250,input_492010!A:H,8,FALSE))</f>
        <v>409638.46153999999</v>
      </c>
      <c r="P250" s="46">
        <f t="shared" ca="1" si="10"/>
        <v>3.6104218362415304E-3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input_492010!A$2</f>
        <v>492010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IFERROR(VLOOKUP(B251,input_492010!L:R,7,FALSE),VLOOKUP(tables_492010!C251,input_492010!A:H,8,FALSE))</f>
        <v>5774.1346100000001</v>
      </c>
      <c r="P251" s="46">
        <f t="shared" ca="1" si="10"/>
        <v>5.089136797108667E-5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input_492010!A$2</f>
        <v>492010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IFERROR(VLOOKUP(B252,input_492010!L:R,7,FALSE),VLOOKUP(tables_492010!C252,input_492010!A:H,8,FALSE))</f>
        <v>564250</v>
      </c>
      <c r="P252" s="46">
        <f t="shared" ca="1" si="10"/>
        <v>4.9731182795694565E-3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input_492010!A$2</f>
        <v>492010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IFERROR(VLOOKUP(B253,input_492010!L:R,7,FALSE),VLOOKUP(tables_492010!C253,input_492010!A:H,8,FALSE))</f>
        <v>409638.46153999999</v>
      </c>
      <c r="P253" s="46">
        <f t="shared" ca="1" si="10"/>
        <v>3.6104218362415304E-3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input_492010!A$2</f>
        <v>492010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IFERROR(VLOOKUP(B254,input_492010!L:R,7,FALSE),VLOOKUP(tables_492010!C254,input_492010!A:H,8,FALSE))</f>
        <v>5774.1346100000001</v>
      </c>
      <c r="P254" s="46">
        <f t="shared" ca="1" si="10"/>
        <v>5.089136797108667E-5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input_492010!A$2</f>
        <v>492010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IFERROR(VLOOKUP(B255,input_492010!L:R,7,FALSE),VLOOKUP(tables_492010!C255,input_492010!A:H,8,FALSE))</f>
        <v>564250</v>
      </c>
      <c r="P255" s="46">
        <f t="shared" ca="1" si="10"/>
        <v>4.9731182795694565E-3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input_492010!A$2</f>
        <v>492010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IFERROR(VLOOKUP(B256,input_492010!L:R,7,FALSE),VLOOKUP(tables_492010!C256,input_492010!A:H,8,FALSE))</f>
        <v>409638.46153999999</v>
      </c>
      <c r="P256" s="46">
        <f t="shared" ca="1" si="10"/>
        <v>3.6104218362415304E-3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input_492010!A$2</f>
        <v>492010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IFERROR(VLOOKUP(B257,input_492010!L:R,7,FALSE),VLOOKUP(tables_492010!C257,input_492010!A:H,8,FALSE))</f>
        <v>5774.1346100000001</v>
      </c>
      <c r="P257" s="46">
        <f t="shared" ca="1" si="10"/>
        <v>5.089136797108667E-5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input_492010!A$2</f>
        <v>492010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IFERROR(VLOOKUP(B258,input_492010!L:R,7,FALSE),VLOOKUP(tables_492010!C258,input_492010!A:H,8,FALSE))</f>
        <v>48324.230770000002</v>
      </c>
      <c r="P258" s="46">
        <f t="shared" ref="P258:P321" ca="1" si="13">O258/SUM(O:O)</f>
        <v>4.2591424969148391E-4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input_492010!A$2</f>
        <v>492010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IFERROR(VLOOKUP(B259,input_492010!L:R,7,FALSE),VLOOKUP(tables_492010!C259,input_492010!A:H,8,FALSE))</f>
        <v>1395</v>
      </c>
      <c r="P259" s="46">
        <f t="shared" ca="1" si="13"/>
        <v>1.2295081967212037E-5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input_492010!A$2</f>
        <v>492010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IFERROR(VLOOKUP(B260,input_492010!L:R,7,FALSE),VLOOKUP(tables_492010!C260,input_492010!A:H,8,FALSE))</f>
        <v>48324.230770000002</v>
      </c>
      <c r="P260" s="46">
        <f t="shared" ca="1" si="13"/>
        <v>4.2591424969148391E-4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input_492010!A$2</f>
        <v>492010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IFERROR(VLOOKUP(B261,input_492010!L:R,7,FALSE),VLOOKUP(tables_492010!C261,input_492010!A:H,8,FALSE))</f>
        <v>1395</v>
      </c>
      <c r="P261" s="46">
        <f t="shared" ca="1" si="13"/>
        <v>1.2295081967212037E-5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input_492010!A$2</f>
        <v>492010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IFERROR(VLOOKUP(B262,input_492010!L:R,7,FALSE),VLOOKUP(tables_492010!C262,input_492010!A:H,8,FALSE))</f>
        <v>1052160.29412</v>
      </c>
      <c r="P262" s="46">
        <f t="shared" ca="1" si="13"/>
        <v>9.2734029095708423E-3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input_492010!A$2</f>
        <v>492010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IFERROR(VLOOKUP(B263,input_492010!L:R,7,FALSE),VLOOKUP(tables_492010!C263,input_492010!A:H,8,FALSE))</f>
        <v>56425</v>
      </c>
      <c r="P263" s="46">
        <f t="shared" ca="1" si="13"/>
        <v>4.9731182795694558E-4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input_492010!A$2</f>
        <v>492010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IFERROR(VLOOKUP(B264,input_492010!L:R,7,FALSE),VLOOKUP(tables_492010!C264,input_492010!A:H,8,FALSE))</f>
        <v>1052160.29412</v>
      </c>
      <c r="P264" s="46">
        <f t="shared" ca="1" si="13"/>
        <v>9.2734029095708423E-3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input_492010!A$2</f>
        <v>492010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IFERROR(VLOOKUP(B265,input_492010!L:R,7,FALSE),VLOOKUP(tables_492010!C265,input_492010!A:H,8,FALSE))</f>
        <v>56425</v>
      </c>
      <c r="P265" s="46">
        <f t="shared" ca="1" si="13"/>
        <v>4.9731182795694558E-4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input_492010!A$2</f>
        <v>492010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IFERROR(VLOOKUP(B266,input_492010!L:R,7,FALSE),VLOOKUP(tables_492010!C266,input_492010!A:H,8,FALSE))</f>
        <v>11691.42857</v>
      </c>
      <c r="P266" s="46">
        <f t="shared" ca="1" si="13"/>
        <v>1.0304449647451943E-4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input_492010!A$2</f>
        <v>492010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IFERROR(VLOOKUP(B267,input_492010!L:R,7,FALSE),VLOOKUP(tables_492010!C267,input_492010!A:H,8,FALSE))</f>
        <v>11691.42857</v>
      </c>
      <c r="P267" s="46">
        <f t="shared" ca="1" si="13"/>
        <v>1.0304449647451943E-4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input_492010!A$2</f>
        <v>492010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IFERROR(VLOOKUP(B268,input_492010!L:R,7,FALSE),VLOOKUP(tables_492010!C268,input_492010!A:H,8,FALSE))</f>
        <v>11691.42857</v>
      </c>
      <c r="P268" s="46">
        <f t="shared" ca="1" si="13"/>
        <v>1.0304449647451943E-4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input_492010!A$2</f>
        <v>492010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IFERROR(VLOOKUP(B269,input_492010!L:R,7,FALSE),VLOOKUP(tables_492010!C269,input_492010!A:H,8,FALSE))</f>
        <v>11691.42857</v>
      </c>
      <c r="P269" s="46">
        <f t="shared" ca="1" si="13"/>
        <v>1.0304449647451943E-4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input_492010!A$2</f>
        <v>492010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IFERROR(VLOOKUP(B270,input_492010!L:R,7,FALSE),VLOOKUP(tables_492010!C270,input_492010!A:H,8,FALSE))</f>
        <v>1052160.29412</v>
      </c>
      <c r="P270" s="46">
        <f t="shared" ca="1" si="13"/>
        <v>9.2734029095708423E-3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input_492010!A$2</f>
        <v>492010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IFERROR(VLOOKUP(B271,input_492010!L:R,7,FALSE),VLOOKUP(tables_492010!C271,input_492010!A:H,8,FALSE))</f>
        <v>56425</v>
      </c>
      <c r="P271" s="46">
        <f t="shared" ca="1" si="13"/>
        <v>4.9731182795694558E-4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input_492010!A$2</f>
        <v>492010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IFERROR(VLOOKUP(B272,input_492010!L:R,7,FALSE),VLOOKUP(tables_492010!C272,input_492010!A:H,8,FALSE))</f>
        <v>1052160.29412</v>
      </c>
      <c r="P272" s="46">
        <f t="shared" ca="1" si="13"/>
        <v>9.2734029095708423E-3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input_492010!A$2</f>
        <v>492010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IFERROR(VLOOKUP(B273,input_492010!L:R,7,FALSE),VLOOKUP(tables_492010!C273,input_492010!A:H,8,FALSE))</f>
        <v>56425</v>
      </c>
      <c r="P273" s="46">
        <f t="shared" ca="1" si="13"/>
        <v>4.9731182795694558E-4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input_492010!A$2</f>
        <v>492010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IFERROR(VLOOKUP(B274,input_492010!L:R,7,FALSE),VLOOKUP(tables_492010!C274,input_492010!A:H,8,FALSE))</f>
        <v>48324.230770000002</v>
      </c>
      <c r="P274" s="46">
        <f t="shared" ca="1" si="13"/>
        <v>4.2591424969148391E-4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input_492010!A$2</f>
        <v>492010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IFERROR(VLOOKUP(B275,input_492010!L:R,7,FALSE),VLOOKUP(tables_492010!C275,input_492010!A:H,8,FALSE))</f>
        <v>1395</v>
      </c>
      <c r="P275" s="46">
        <f t="shared" ca="1" si="13"/>
        <v>1.2295081967212037E-5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input_492010!A$2</f>
        <v>492010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IFERROR(VLOOKUP(B276,input_492010!L:R,7,FALSE),VLOOKUP(tables_492010!C276,input_492010!A:H,8,FALSE))</f>
        <v>48324.230770000002</v>
      </c>
      <c r="P276" s="46">
        <f t="shared" ca="1" si="13"/>
        <v>4.2591424969148391E-4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input_492010!A$2</f>
        <v>492010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IFERROR(VLOOKUP(B277,input_492010!L:R,7,FALSE),VLOOKUP(tables_492010!C277,input_492010!A:H,8,FALSE))</f>
        <v>1395</v>
      </c>
      <c r="P277" s="46">
        <f t="shared" ca="1" si="13"/>
        <v>1.2295081967212037E-5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input_492010!A$2</f>
        <v>492010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IFERROR(VLOOKUP(B278,input_492010!L:R,7,FALSE),VLOOKUP(tables_492010!C278,input_492010!A:H,8,FALSE))</f>
        <v>564250</v>
      </c>
      <c r="P278" s="46">
        <f t="shared" ca="1" si="13"/>
        <v>4.9731182795694565E-3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input_492010!A$2</f>
        <v>492010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IFERROR(VLOOKUP(B279,input_492010!L:R,7,FALSE),VLOOKUP(tables_492010!C279,input_492010!A:H,8,FALSE))</f>
        <v>409638.46153999999</v>
      </c>
      <c r="P279" s="46">
        <f t="shared" ca="1" si="13"/>
        <v>3.6104218362415304E-3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input_492010!A$2</f>
        <v>492010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IFERROR(VLOOKUP(B280,input_492010!L:R,7,FALSE),VLOOKUP(tables_492010!C280,input_492010!A:H,8,FALSE))</f>
        <v>5774.1346100000001</v>
      </c>
      <c r="P280" s="46">
        <f t="shared" ca="1" si="13"/>
        <v>5.089136797108667E-5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input_492010!A$2</f>
        <v>492010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IFERROR(VLOOKUP(B281,input_492010!L:R,7,FALSE),VLOOKUP(tables_492010!C281,input_492010!A:H,8,FALSE))</f>
        <v>564250</v>
      </c>
      <c r="P281" s="46">
        <f t="shared" ca="1" si="13"/>
        <v>4.9731182795694565E-3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input_492010!A$2</f>
        <v>492010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IFERROR(VLOOKUP(B282,input_492010!L:R,7,FALSE),VLOOKUP(tables_492010!C282,input_492010!A:H,8,FALSE))</f>
        <v>409638.46153999999</v>
      </c>
      <c r="P282" s="46">
        <f t="shared" ca="1" si="13"/>
        <v>3.6104218362415304E-3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input_492010!A$2</f>
        <v>492010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IFERROR(VLOOKUP(B283,input_492010!L:R,7,FALSE),VLOOKUP(tables_492010!C283,input_492010!A:H,8,FALSE))</f>
        <v>5774.1346100000001</v>
      </c>
      <c r="P283" s="46">
        <f t="shared" ca="1" si="13"/>
        <v>5.089136797108667E-5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input_492010!A$2</f>
        <v>492010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IFERROR(VLOOKUP(B284,input_492010!L:R,7,FALSE),VLOOKUP(tables_492010!C284,input_492010!A:H,8,FALSE))</f>
        <v>11691.42857</v>
      </c>
      <c r="P284" s="46">
        <f t="shared" ca="1" si="13"/>
        <v>1.0304449647451943E-4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input_492010!A$2</f>
        <v>492010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IFERROR(VLOOKUP(B285,input_492010!L:R,7,FALSE),VLOOKUP(tables_492010!C285,input_492010!A:H,8,FALSE))</f>
        <v>11691.42857</v>
      </c>
      <c r="P285" s="46">
        <f t="shared" ca="1" si="13"/>
        <v>1.0304449647451943E-4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input_492010!A$2</f>
        <v>492010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IFERROR(VLOOKUP(B286,input_492010!L:R,7,FALSE),VLOOKUP(tables_492010!C286,input_492010!A:H,8,FALSE))</f>
        <v>1052160.29412</v>
      </c>
      <c r="P286" s="46">
        <f t="shared" ca="1" si="13"/>
        <v>9.2734029095708423E-3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input_492010!A$2</f>
        <v>492010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IFERROR(VLOOKUP(B287,input_492010!L:R,7,FALSE),VLOOKUP(tables_492010!C287,input_492010!A:H,8,FALSE))</f>
        <v>56425</v>
      </c>
      <c r="P287" s="46">
        <f t="shared" ca="1" si="13"/>
        <v>4.9731182795694558E-4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input_492010!A$2</f>
        <v>492010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IFERROR(VLOOKUP(B288,input_492010!L:R,7,FALSE),VLOOKUP(tables_492010!C288,input_492010!A:H,8,FALSE))</f>
        <v>1052160.29412</v>
      </c>
      <c r="P288" s="46">
        <f t="shared" ca="1" si="13"/>
        <v>9.2734029095708423E-3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input_492010!A$2</f>
        <v>492010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IFERROR(VLOOKUP(B289,input_492010!L:R,7,FALSE),VLOOKUP(tables_492010!C289,input_492010!A:H,8,FALSE))</f>
        <v>56425</v>
      </c>
      <c r="P289" s="46">
        <f t="shared" ca="1" si="13"/>
        <v>4.9731182795694558E-4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input_492010!A$2</f>
        <v>492010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IFERROR(VLOOKUP(B290,input_492010!L:R,7,FALSE),VLOOKUP(tables_492010!C290,input_492010!A:H,8,FALSE))</f>
        <v>1052160.29412</v>
      </c>
      <c r="P290" s="46">
        <f t="shared" ca="1" si="13"/>
        <v>9.2734029095708423E-3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input_492010!A$2</f>
        <v>492010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IFERROR(VLOOKUP(B291,input_492010!L:R,7,FALSE),VLOOKUP(tables_492010!C291,input_492010!A:H,8,FALSE))</f>
        <v>56425</v>
      </c>
      <c r="P291" s="46">
        <f t="shared" ca="1" si="13"/>
        <v>4.9731182795694558E-4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input_492010!A$2</f>
        <v>492010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IFERROR(VLOOKUP(B292,input_492010!L:R,7,FALSE),VLOOKUP(tables_492010!C292,input_492010!A:H,8,FALSE))</f>
        <v>1052160.29412</v>
      </c>
      <c r="P292" s="46">
        <f t="shared" ca="1" si="13"/>
        <v>9.2734029095708423E-3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input_492010!A$2</f>
        <v>492010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IFERROR(VLOOKUP(B293,input_492010!L:R,7,FALSE),VLOOKUP(tables_492010!C293,input_492010!A:H,8,FALSE))</f>
        <v>56425</v>
      </c>
      <c r="P293" s="46">
        <f t="shared" ca="1" si="13"/>
        <v>4.9731182795694558E-4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input_492010!A$2</f>
        <v>492010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IFERROR(VLOOKUP(B294,input_492010!L:R,7,FALSE),VLOOKUP(tables_492010!C294,input_492010!A:H,8,FALSE))</f>
        <v>11691.42857</v>
      </c>
      <c r="P294" s="46">
        <f t="shared" ca="1" si="13"/>
        <v>1.0304449647451943E-4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input_492010!A$2</f>
        <v>492010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IFERROR(VLOOKUP(B295,input_492010!L:R,7,FALSE),VLOOKUP(tables_492010!C295,input_492010!A:H,8,FALSE))</f>
        <v>11691.42857</v>
      </c>
      <c r="P295" s="46">
        <f t="shared" ca="1" si="13"/>
        <v>1.0304449647451943E-4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input_492010!A$2</f>
        <v>492010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IFERROR(VLOOKUP(B296,input_492010!L:R,7,FALSE),VLOOKUP(tables_492010!C296,input_492010!A:H,8,FALSE))</f>
        <v>11691.42857</v>
      </c>
      <c r="P296" s="46">
        <f t="shared" ca="1" si="13"/>
        <v>1.0304449647451943E-4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input_492010!A$2</f>
        <v>492010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IFERROR(VLOOKUP(B297,input_492010!L:R,7,FALSE),VLOOKUP(tables_492010!C297,input_492010!A:H,8,FALSE))</f>
        <v>1052160.29412</v>
      </c>
      <c r="P297" s="46">
        <f t="shared" ca="1" si="13"/>
        <v>9.2734029095708423E-3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input_492010!A$2</f>
        <v>492010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IFERROR(VLOOKUP(B298,input_492010!L:R,7,FALSE),VLOOKUP(tables_492010!C298,input_492010!A:H,8,FALSE))</f>
        <v>56425</v>
      </c>
      <c r="P298" s="46">
        <f t="shared" ca="1" si="13"/>
        <v>4.9731182795694558E-4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input_492010!A$2</f>
        <v>492010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IFERROR(VLOOKUP(B299,input_492010!L:R,7,FALSE),VLOOKUP(tables_492010!C299,input_492010!A:H,8,FALSE))</f>
        <v>11691.42857</v>
      </c>
      <c r="P299" s="46">
        <f t="shared" ca="1" si="13"/>
        <v>1.0304449647451943E-4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input_492010!A$2</f>
        <v>492010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IFERROR(VLOOKUP(B300,input_492010!L:R,7,FALSE),VLOOKUP(tables_492010!C300,input_492010!A:H,8,FALSE))</f>
        <v>11691.42857</v>
      </c>
      <c r="P300" s="46">
        <f t="shared" ca="1" si="13"/>
        <v>1.0304449647451943E-4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input_492010!A$2</f>
        <v>492010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IFERROR(VLOOKUP(B301,input_492010!L:R,7,FALSE),VLOOKUP(tables_492010!C301,input_492010!A:H,8,FALSE))</f>
        <v>11691.42857</v>
      </c>
      <c r="P301" s="46">
        <f t="shared" ca="1" si="13"/>
        <v>1.0304449647451943E-4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input_492010!A$2</f>
        <v>492010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IFERROR(VLOOKUP(B302,input_492010!L:R,7,FALSE),VLOOKUP(tables_492010!C302,input_492010!A:H,8,FALSE))</f>
        <v>11691.42857</v>
      </c>
      <c r="P302" s="46">
        <f t="shared" ca="1" si="13"/>
        <v>1.0304449647451943E-4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input_492010!A$2</f>
        <v>492010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IFERROR(VLOOKUP(B303,input_492010!L:R,7,FALSE),VLOOKUP(tables_492010!C303,input_492010!A:H,8,FALSE))</f>
        <v>1052160.29412</v>
      </c>
      <c r="P303" s="46">
        <f t="shared" ca="1" si="13"/>
        <v>9.2734029095708423E-3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input_492010!A$2</f>
        <v>492010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IFERROR(VLOOKUP(B304,input_492010!L:R,7,FALSE),VLOOKUP(tables_492010!C304,input_492010!A:H,8,FALSE))</f>
        <v>56425</v>
      </c>
      <c r="P304" s="46">
        <f t="shared" ca="1" si="13"/>
        <v>4.9731182795694558E-4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input_492010!A$2</f>
        <v>492010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IFERROR(VLOOKUP(B305,input_492010!L:R,7,FALSE),VLOOKUP(tables_492010!C305,input_492010!A:H,8,FALSE))</f>
        <v>11691.42857</v>
      </c>
      <c r="P305" s="46">
        <f t="shared" ca="1" si="13"/>
        <v>1.0304449647451943E-4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input_492010!A$2</f>
        <v>492010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IFERROR(VLOOKUP(B306,input_492010!L:R,7,FALSE),VLOOKUP(tables_492010!C306,input_492010!A:H,8,FALSE))</f>
        <v>1052160.29412</v>
      </c>
      <c r="P306" s="46">
        <f t="shared" ca="1" si="13"/>
        <v>9.2734029095708423E-3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input_492010!A$2</f>
        <v>492010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IFERROR(VLOOKUP(B307,input_492010!L:R,7,FALSE),VLOOKUP(tables_492010!C307,input_492010!A:H,8,FALSE))</f>
        <v>56425</v>
      </c>
      <c r="P307" s="46">
        <f t="shared" ca="1" si="13"/>
        <v>4.9731182795694558E-4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input_492010!A$2</f>
        <v>492010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IFERROR(VLOOKUP(B308,input_492010!L:R,7,FALSE),VLOOKUP(tables_492010!C308,input_492010!A:H,8,FALSE))</f>
        <v>11691.42857</v>
      </c>
      <c r="P308" s="46">
        <f t="shared" ca="1" si="13"/>
        <v>1.0304449647451943E-4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input_492010!A$2</f>
        <v>492010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IFERROR(VLOOKUP(B309,input_492010!L:R,7,FALSE),VLOOKUP(tables_492010!C309,input_492010!A:H,8,FALSE))</f>
        <v>11691.42857</v>
      </c>
      <c r="P309" s="46">
        <f t="shared" ca="1" si="13"/>
        <v>1.0304449647451943E-4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input_492010!A$2</f>
        <v>492010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IFERROR(VLOOKUP(B310,input_492010!L:R,7,FALSE),VLOOKUP(tables_492010!C310,input_492010!A:H,8,FALSE))</f>
        <v>11691.42857</v>
      </c>
      <c r="P310" s="46">
        <f t="shared" ca="1" si="13"/>
        <v>1.0304449647451943E-4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input_492010!A$2</f>
        <v>492010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IFERROR(VLOOKUP(B311,input_492010!L:R,7,FALSE),VLOOKUP(tables_492010!C311,input_492010!A:H,8,FALSE))</f>
        <v>1052160.29412</v>
      </c>
      <c r="P311" s="46">
        <f t="shared" ca="1" si="13"/>
        <v>9.2734029095708423E-3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input_492010!A$2</f>
        <v>492010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IFERROR(VLOOKUP(B312,input_492010!L:R,7,FALSE),VLOOKUP(tables_492010!C312,input_492010!A:H,8,FALSE))</f>
        <v>56425</v>
      </c>
      <c r="P312" s="46">
        <f t="shared" ca="1" si="13"/>
        <v>4.9731182795694558E-4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input_492010!A$2</f>
        <v>492010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IFERROR(VLOOKUP(B313,input_492010!L:R,7,FALSE),VLOOKUP(tables_492010!C313,input_492010!A:H,8,FALSE))</f>
        <v>11691.42857</v>
      </c>
      <c r="P313" s="46">
        <f t="shared" ca="1" si="13"/>
        <v>1.0304449647451943E-4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input_492010!A$2</f>
        <v>492010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IFERROR(VLOOKUP(B314,input_492010!L:R,7,FALSE),VLOOKUP(tables_492010!C314,input_492010!A:H,8,FALSE))</f>
        <v>11691.42857</v>
      </c>
      <c r="P314" s="46">
        <f t="shared" ca="1" si="13"/>
        <v>1.0304449647451943E-4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input_492010!A$2</f>
        <v>492010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IFERROR(VLOOKUP(B315,input_492010!L:R,7,FALSE),VLOOKUP(tables_492010!C315,input_492010!A:H,8,FALSE))</f>
        <v>11691.42857</v>
      </c>
      <c r="P315" s="46">
        <f t="shared" ca="1" si="13"/>
        <v>1.0304449647451943E-4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input_492010!A$2</f>
        <v>492010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IFERROR(VLOOKUP(B316,input_492010!L:R,7,FALSE),VLOOKUP(tables_492010!C316,input_492010!A:H,8,FALSE))</f>
        <v>11691.42857</v>
      </c>
      <c r="P316" s="46">
        <f t="shared" ca="1" si="13"/>
        <v>1.0304449647451943E-4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input_492010!A$2</f>
        <v>492010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IFERROR(VLOOKUP(B317,input_492010!L:R,7,FALSE),VLOOKUP(tables_492010!C317,input_492010!A:H,8,FALSE))</f>
        <v>11691.42857</v>
      </c>
      <c r="P317" s="46">
        <f t="shared" ca="1" si="13"/>
        <v>1.0304449647451943E-4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input_492010!A$2</f>
        <v>492010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IFERROR(VLOOKUP(B318,input_492010!L:R,7,FALSE),VLOOKUP(tables_492010!C318,input_492010!A:H,8,FALSE))</f>
        <v>1052160.29412</v>
      </c>
      <c r="P318" s="46">
        <f t="shared" ca="1" si="13"/>
        <v>9.2734029095708423E-3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input_492010!A$2</f>
        <v>492010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IFERROR(VLOOKUP(B319,input_492010!L:R,7,FALSE),VLOOKUP(tables_492010!C319,input_492010!A:H,8,FALSE))</f>
        <v>56425</v>
      </c>
      <c r="P319" s="46">
        <f t="shared" ca="1" si="13"/>
        <v>4.9731182795694558E-4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input_492010!A$2</f>
        <v>492010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IFERROR(VLOOKUP(B320,input_492010!L:R,7,FALSE),VLOOKUP(tables_492010!C320,input_492010!A:H,8,FALSE))</f>
        <v>11691.42857</v>
      </c>
      <c r="P320" s="46">
        <f t="shared" ca="1" si="13"/>
        <v>1.0304449647451943E-4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input_492010!A$2</f>
        <v>492010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IFERROR(VLOOKUP(B321,input_492010!L:R,7,FALSE),VLOOKUP(tables_492010!C321,input_492010!A:H,8,FALSE))</f>
        <v>11691.42857</v>
      </c>
      <c r="P321" s="46">
        <f t="shared" ca="1" si="13"/>
        <v>1.0304449647451943E-4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input_492010!A$2</f>
        <v>492010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IFERROR(VLOOKUP(B322,input_492010!L:R,7,FALSE),VLOOKUP(tables_492010!C322,input_492010!A:H,8,FALSE))</f>
        <v>11691.42857</v>
      </c>
      <c r="P322" s="46">
        <f t="shared" ref="P322:P330" ca="1" si="23">O322/SUM(O:O)</f>
        <v>1.0304449647451943E-4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input_492010!A$2</f>
        <v>492010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IFERROR(VLOOKUP(B323,input_492010!L:R,7,FALSE),VLOOKUP(tables_492010!C323,input_492010!A:H,8,FALSE))</f>
        <v>11691.42857</v>
      </c>
      <c r="P323" s="46">
        <f t="shared" ca="1" si="23"/>
        <v>1.0304449647451943E-4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input_492010!A$2</f>
        <v>492010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IFERROR(VLOOKUP(B324,input_492010!L:R,7,FALSE),VLOOKUP(tables_492010!C324,input_492010!A:H,8,FALSE))</f>
        <v>1052160.29412</v>
      </c>
      <c r="P324" s="46">
        <f t="shared" ca="1" si="23"/>
        <v>9.2734029095708423E-3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input_492010!A$2</f>
        <v>492010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IFERROR(VLOOKUP(B325,input_492010!L:R,7,FALSE),VLOOKUP(tables_492010!C325,input_492010!A:H,8,FALSE))</f>
        <v>56425</v>
      </c>
      <c r="P325" s="46">
        <f t="shared" ca="1" si="23"/>
        <v>4.9731182795694558E-4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input_492010!A$2</f>
        <v>492010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IFERROR(VLOOKUP(B326,input_492010!L:R,7,FALSE),VLOOKUP(tables_492010!C326,input_492010!A:H,8,FALSE))</f>
        <v>1052160.29412</v>
      </c>
      <c r="P326" s="46">
        <f t="shared" ca="1" si="23"/>
        <v>9.2734029095708423E-3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input_492010!A$2</f>
        <v>492010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IFERROR(VLOOKUP(B327,input_492010!L:R,7,FALSE),VLOOKUP(tables_492010!C327,input_492010!A:H,8,FALSE))</f>
        <v>56425</v>
      </c>
      <c r="P327" s="46">
        <f t="shared" ca="1" si="23"/>
        <v>4.9731182795694558E-4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input_492010!A$2</f>
        <v>492010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IFERROR(VLOOKUP(B328,input_492010!L:R,7,FALSE),VLOOKUP(tables_492010!C328,input_492010!A:H,8,FALSE))</f>
        <v>11691.42857</v>
      </c>
      <c r="P328" s="46">
        <f t="shared" ca="1" si="23"/>
        <v>1.0304449647451943E-4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input_492010!A$2</f>
        <v>492010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IFERROR(VLOOKUP(B329,input_492010!L:R,7,FALSE),VLOOKUP(tables_492010!C329,input_492010!A:H,8,FALSE))</f>
        <v>11691.42857</v>
      </c>
      <c r="P329" s="46">
        <f t="shared" ca="1" si="23"/>
        <v>1.0304449647451943E-4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input_492010!A$2</f>
        <v>492010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IFERROR(VLOOKUP(B330,input_492010!L:R,7,FALSE),VLOOKUP(tables_492010!C330,input_492010!A:H,8,FALSE))</f>
        <v>11691.42857</v>
      </c>
      <c r="P330" s="46">
        <f t="shared" ca="1" si="23"/>
        <v>1.0304449647451943E-4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input_492010!A$2</f>
        <v>492010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IFERROR(VLOOKUP(B331,input_492010!L:R,7,FALSE),VLOOKUP(tables_492010!C331,input_492010!A:H,8,FALSE))</f>
        <v>11691.42857</v>
      </c>
      <c r="P331" s="46">
        <f t="shared" ref="P331:P335" ca="1" si="28">O331/SUM(O:O)</f>
        <v>1.0304449647451943E-4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input_492010!A$2</f>
        <v>492010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IFERROR(VLOOKUP(B332,input_492010!L:R,7,FALSE),VLOOKUP(tables_492010!C332,input_492010!A:H,8,FALSE))</f>
        <v>11691.42857</v>
      </c>
      <c r="P332" s="46">
        <f t="shared" ca="1" si="28"/>
        <v>1.0304449647451943E-4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input_492010!A$2</f>
        <v>492010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IFERROR(VLOOKUP(B333,input_492010!L:R,7,FALSE),VLOOKUP(tables_492010!C333,input_492010!A:H,8,FALSE))</f>
        <v>11691.42857</v>
      </c>
      <c r="P333" s="46">
        <f t="shared" ca="1" si="28"/>
        <v>1.0304449647451943E-4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input_492010!A$2</f>
        <v>492010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IFERROR(VLOOKUP(B334,input_492010!L:R,7,FALSE),VLOOKUP(tables_492010!C334,input_492010!A:H,8,FALSE))</f>
        <v>1052160.29412</v>
      </c>
      <c r="P334" s="46">
        <f t="shared" ca="1" si="28"/>
        <v>9.2734029095708423E-3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input_492010!A$2</f>
        <v>492010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IFERROR(VLOOKUP(B335,input_492010!L:R,7,FALSE),VLOOKUP(tables_492010!C335,input_492010!A:H,8,FALSE))</f>
        <v>56425</v>
      </c>
      <c r="P335" s="46">
        <f t="shared" ca="1" si="28"/>
        <v>4.9731182795694558E-4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input_492010!A$2</f>
        <v>492010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IFERROR(VLOOKUP(B336,input_492010!L:R,7,FALSE),VLOOKUP(tables_492010!C336,input_492010!A:H,8,FALSE))</f>
        <v>1052160.29412</v>
      </c>
      <c r="P336" s="46">
        <f t="shared" ref="P336:P340" ca="1" si="31">O336/SUM(O:O)</f>
        <v>9.2734029095708423E-3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input_492010!A$2</f>
        <v>492010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IFERROR(VLOOKUP(B337,input_492010!L:R,7,FALSE),VLOOKUP(tables_492010!C337,input_492010!A:H,8,FALSE))</f>
        <v>56425</v>
      </c>
      <c r="P337" s="46">
        <f t="shared" ca="1" si="31"/>
        <v>4.9731182795694558E-4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input_492010!A$2</f>
        <v>492010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IFERROR(VLOOKUP(B338,input_492010!L:R,7,FALSE),VLOOKUP(tables_492010!C338,input_492010!A:H,8,FALSE))</f>
        <v>11691.42857</v>
      </c>
      <c r="P338" s="46">
        <f t="shared" ca="1" si="31"/>
        <v>1.0304449647451943E-4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input_492010!A$2</f>
        <v>492010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IFERROR(VLOOKUP(B339,input_492010!L:R,7,FALSE),VLOOKUP(tables_492010!C339,input_492010!A:H,8,FALSE))</f>
        <v>11691.42857</v>
      </c>
      <c r="P339" s="46">
        <f t="shared" ca="1" si="31"/>
        <v>1.0304449647451943E-4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input_492010!A$2</f>
        <v>492010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IFERROR(VLOOKUP(B340,input_492010!L:R,7,FALSE),VLOOKUP(tables_492010!C340,input_492010!A:H,8,FALSE))</f>
        <v>11691.42857</v>
      </c>
      <c r="P340" s="46">
        <f t="shared" ca="1" si="31"/>
        <v>1.0304449647451943E-4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tabSelected="1" workbookViewId="0">
      <selection activeCell="I43" sqref="I4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586</v>
      </c>
      <c r="M3" s="37" t="str">
        <f>VLOOKUP(L3,[1]characters!$A:$C,3,FALSE)</f>
        <v>ユミル</v>
      </c>
      <c r="N3" s="63">
        <v>1.4999999999999999E-2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VLOOKUP(L3,tables_492100!B:C,2,FALSE)</f>
        <v>PremiumSS4</v>
      </c>
      <c r="R3" s="62">
        <f t="shared" ref="R3:R20" si="1">N3*A$36</f>
        <v>1701900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587</v>
      </c>
      <c r="M4" s="37" t="str">
        <f>VLOOKUP(L4,[1]characters!$A:$C,3,FALSE)</f>
        <v>原初の煉鋼巨刃 ユミル</v>
      </c>
      <c r="N4" s="63">
        <v>1.4999999999999999E-2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VLOOKUP(L4,tables_492100!B:C,2,FALSE)</f>
        <v>PremiumSS5</v>
      </c>
      <c r="R4" s="62">
        <f t="shared" si="1"/>
        <v>1701900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2.4590163934426229E-4</v>
      </c>
      <c r="F5">
        <f>(COUNTIF(tables_492100!C:C,input_492100!A28)+COUNTIF(tables_492100!C:C,input_492100!A29))</f>
        <v>63</v>
      </c>
      <c r="H5" s="84">
        <v>0.06</v>
      </c>
      <c r="I5" s="31">
        <v>2</v>
      </c>
      <c r="L5" s="60">
        <v>442</v>
      </c>
      <c r="M5" s="37" t="str">
        <f>VLOOKUP(L5,[1]characters!$A:$C,3,FALSE)</f>
        <v>ブレイブリー・ライオン</v>
      </c>
      <c r="N5" s="63">
        <v>1.4999999999999999E-2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VLOOKUP(L5,tables_492100!B:C,2,FALSE)</f>
        <v>PremiumSS4</v>
      </c>
      <c r="R5" s="62">
        <f t="shared" si="1"/>
        <v>1701900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9.9462365591397855E-3</v>
      </c>
      <c r="F6">
        <f>(COUNTIF(tables_492100!C:C,input_492100!A25)+COUNTIF(tables_492100!C:C,input_492100!A18)+COUNTIF(tables_492100!C:C,input_492100!A20)+COUNTIF(tables_492100!C:C,input_492100!A22))</f>
        <v>93</v>
      </c>
      <c r="H6" s="89">
        <v>0</v>
      </c>
      <c r="I6" s="31">
        <v>0</v>
      </c>
      <c r="L6" s="60">
        <v>443</v>
      </c>
      <c r="M6" s="37" t="str">
        <f>VLOOKUP(L6,[1]characters!$A:$C,3,FALSE)</f>
        <v>勇機結集 ブレイブリー・ライオン</v>
      </c>
      <c r="N6" s="63">
        <v>1.4999999999999999E-2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VLOOKUP(L6,tables_492100!B:C,2,FALSE)</f>
        <v>PremiumSS5</v>
      </c>
      <c r="R6" s="62">
        <f t="shared" si="1"/>
        <v>1701900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VLOOKUP(L7,tables_492100!B:C,2,FALSE)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VLOOKUP(L8,tables_492100!B:C,2,FALSE)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VLOOKUP(L9,tables_492100!B:C,2,FALSE)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VLOOKUP(L10,tables_492100!B:C,2,FALSE)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VLOOKUP(L11,tables_492100!B:C,2,FALSE)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VLOOKUP(L12,tables_492100!B:C,2,FALSE)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0.03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VLOOKUP(L13,tables_492100!B:C,2,FALSE)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0.03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VLOOKUP(L14,tables_492100!B:C,2,FALSE)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VLOOKUP(L15,tables_492100!B:C,2,FALSE)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VLOOKUP(L16,tables_492100!B:C,2,FALSE)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COUNTIF(tables_492100!C:C,input_492100!A17)-COUNTIF(Q:Q,A17)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E$6*E18-B17+E34+0.04</f>
        <v>0.26713859510065247</v>
      </c>
      <c r="C18" s="85">
        <f t="shared" si="2"/>
        <v>0</v>
      </c>
      <c r="D18" s="74">
        <f t="shared" si="3"/>
        <v>0.26713859510065247</v>
      </c>
      <c r="E18">
        <f>COUNTIF(tables_492100!C:C,input_492100!A18)-COUNTIF(Q:Q,A18)</f>
        <v>20</v>
      </c>
      <c r="F18" s="43">
        <f>IFERROR(B18/E18,0)</f>
        <v>1.3356929755032623E-2</v>
      </c>
      <c r="G18">
        <f t="shared" si="4"/>
        <v>30309545.000120029</v>
      </c>
      <c r="H18">
        <f t="shared" si="5"/>
        <v>1515477.2500100001</v>
      </c>
      <c r="I18">
        <f t="shared" si="6"/>
        <v>0.25001000007614493</v>
      </c>
      <c r="J18">
        <f t="shared" si="7"/>
        <v>3.9998400051815226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COUNTIF(tables_492100!C:C,input_492100!A19)-COUNTIF(Q:Q,A19)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E$6*E20*B$6-0.045</f>
        <v>0.44634408602150538</v>
      </c>
      <c r="C20" s="85">
        <f t="shared" si="2"/>
        <v>0</v>
      </c>
      <c r="D20" s="74">
        <f t="shared" si="3"/>
        <v>0.44634408602150538</v>
      </c>
      <c r="E20">
        <f>COUNTIF(tables_492100!C:C,input_492100!A20)-COUNTIF(Q:Q,A20)</f>
        <v>52</v>
      </c>
      <c r="F20" s="43">
        <f t="shared" si="8"/>
        <v>8.5835401157981807E-3</v>
      </c>
      <c r="G20">
        <f t="shared" si="4"/>
        <v>50642200</v>
      </c>
      <c r="H20">
        <f t="shared" si="5"/>
        <v>973888.46154000005</v>
      </c>
      <c r="I20">
        <f t="shared" si="6"/>
        <v>0.4615400000475347</v>
      </c>
      <c r="J20">
        <f t="shared" si="7"/>
        <v>2.1666594442453708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2.6463511362595157E-3</v>
      </c>
      <c r="C21" s="85">
        <f t="shared" si="2"/>
        <v>0</v>
      </c>
      <c r="D21" s="74">
        <f t="shared" si="3"/>
        <v>2.6463511362595157E-3</v>
      </c>
      <c r="E21">
        <f>COUNTIF(tables_492100!C:C,input_492100!A21)-COUNTIF(Q:Q,A21)</f>
        <v>52</v>
      </c>
      <c r="F21" s="43">
        <f t="shared" si="8"/>
        <v>5.0891368004990689E-5</v>
      </c>
      <c r="G21">
        <f t="shared" si="4"/>
        <v>300254.99992000463</v>
      </c>
      <c r="H21">
        <f t="shared" si="5"/>
        <v>5774.1346100000001</v>
      </c>
      <c r="I21">
        <f t="shared" si="6"/>
        <v>0.13461000000006607</v>
      </c>
      <c r="J21">
        <f t="shared" si="7"/>
        <v>7.4288685833111154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0.1576478494623656</v>
      </c>
      <c r="C22" s="85">
        <f t="shared" si="2"/>
        <v>0</v>
      </c>
      <c r="D22" s="74">
        <f t="shared" si="3"/>
        <v>0.1576478494623656</v>
      </c>
      <c r="E22">
        <f>COUNTIF(tables_492100!C:C,input_492100!A22)-COUNTIF(Q:Q,A22)</f>
        <v>17</v>
      </c>
      <c r="F22" s="43">
        <f t="shared" si="8"/>
        <v>9.2734029095509173E-3</v>
      </c>
      <c r="G22">
        <f t="shared" si="4"/>
        <v>17886725</v>
      </c>
      <c r="H22">
        <f t="shared" si="5"/>
        <v>1052160.29412</v>
      </c>
      <c r="I22">
        <f t="shared" si="6"/>
        <v>0.29411999997682869</v>
      </c>
      <c r="J22">
        <f t="shared" si="7"/>
        <v>3.3999728004854544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1.1438172043010755E-2</v>
      </c>
      <c r="C23" s="85">
        <f t="shared" si="2"/>
        <v>0</v>
      </c>
      <c r="D23" s="74">
        <f t="shared" si="3"/>
        <v>1.1438172043010755E-2</v>
      </c>
      <c r="E23">
        <f>COUNTIF(tables_492100!C:C,input_492100!A23)-COUNTIF(Q:Q,A23)</f>
        <v>23</v>
      </c>
      <c r="F23" s="43">
        <f t="shared" si="8"/>
        <v>4.9731182795698938E-4</v>
      </c>
      <c r="G23">
        <f t="shared" si="4"/>
        <v>1297775.0000000002</v>
      </c>
      <c r="H23">
        <f t="shared" si="5"/>
        <v>56425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COUNTIF(tables_492100!C:C,input_492100!A24)-COUNTIF(Q:Q,A24)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3.7795698924731183E-2</v>
      </c>
      <c r="C25" s="85">
        <f t="shared" si="2"/>
        <v>0</v>
      </c>
      <c r="D25" s="74">
        <f t="shared" si="3"/>
        <v>3.7795698924731183E-2</v>
      </c>
      <c r="E25">
        <f>COUNTIF(tables_492100!C:C,input_492100!A25)-COUNTIF(Q:Q,A25)</f>
        <v>4</v>
      </c>
      <c r="F25" s="43">
        <f t="shared" si="8"/>
        <v>9.4489247311827958E-3</v>
      </c>
      <c r="G25">
        <f t="shared" si="4"/>
        <v>4288300</v>
      </c>
      <c r="H25">
        <f t="shared" si="5"/>
        <v>1072075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1.9892473118279571E-3</v>
      </c>
      <c r="C26" s="85">
        <f t="shared" si="2"/>
        <v>0</v>
      </c>
      <c r="D26" s="74">
        <f t="shared" si="3"/>
        <v>1.9892473118279571E-3</v>
      </c>
      <c r="E26">
        <f>COUNTIF(tables_492100!C:C,input_492100!A26)-COUNTIF(Q:Q,A26)</f>
        <v>4</v>
      </c>
      <c r="F26" s="43">
        <f t="shared" si="8"/>
        <v>4.9731182795698927E-4</v>
      </c>
      <c r="G26">
        <f t="shared" si="4"/>
        <v>225700</v>
      </c>
      <c r="H26">
        <f t="shared" si="5"/>
        <v>56425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E$5*E27*(B$5+B$6)+0.005</f>
        <v>1.1073770491803279E-2</v>
      </c>
      <c r="C27" s="85">
        <f t="shared" si="2"/>
        <v>0.03</v>
      </c>
      <c r="D27" s="74">
        <f t="shared" si="3"/>
        <v>-1.892622950819672E-2</v>
      </c>
      <c r="E27">
        <f>COUNTIF(tables_492100!C:C,input_492100!A27)-COUNTIF(Q:Q,A27)</f>
        <v>26</v>
      </c>
      <c r="F27" s="43">
        <f>IFERROR(B27/E27,0)</f>
        <v>4.2591424968474147E-4</v>
      </c>
      <c r="G27">
        <f t="shared" si="4"/>
        <v>1256430</v>
      </c>
      <c r="H27">
        <f t="shared" si="5"/>
        <v>48324.230770000002</v>
      </c>
      <c r="I27">
        <f t="shared" si="6"/>
        <v>0.23077000000193948</v>
      </c>
      <c r="J27">
        <f t="shared" si="7"/>
        <v>4.3333188889006182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3.1967213114754097E-4</v>
      </c>
      <c r="C28" s="85">
        <f t="shared" si="2"/>
        <v>0.03</v>
      </c>
      <c r="D28" s="74">
        <f t="shared" si="3"/>
        <v>-2.9680327868852458E-2</v>
      </c>
      <c r="E28">
        <f>COUNTIF(tables_492100!C:C,input_492100!A28)-COUNTIF(Q:Q,A28)</f>
        <v>26</v>
      </c>
      <c r="F28" s="43">
        <f t="shared" si="8"/>
        <v>1.2295081967213114E-5</v>
      </c>
      <c r="G28">
        <f t="shared" si="4"/>
        <v>36270</v>
      </c>
      <c r="H28">
        <f t="shared" si="5"/>
        <v>1395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E$5*E29-0.005</f>
        <v>3.6065573770491808E-3</v>
      </c>
      <c r="C29" s="85">
        <f t="shared" si="2"/>
        <v>0</v>
      </c>
      <c r="D29" s="74">
        <f t="shared" si="3"/>
        <v>3.6065573770491808E-3</v>
      </c>
      <c r="E29">
        <f>COUNTIF(tables_492100!C:C,input_492100!A29)-COUNTIF(Q:Q,A29)</f>
        <v>35</v>
      </c>
      <c r="F29" s="43">
        <f t="shared" si="8"/>
        <v>1.0304449648711945E-4</v>
      </c>
      <c r="G29">
        <f t="shared" si="4"/>
        <v>409200.00000000006</v>
      </c>
      <c r="H29">
        <f t="shared" si="5"/>
        <v>11691.42857</v>
      </c>
      <c r="I29">
        <f t="shared" si="6"/>
        <v>0.42857000000003609</v>
      </c>
      <c r="J29">
        <f t="shared" si="7"/>
        <v>2.3333411111368405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COUNTIF(tables_492100!C:C,input_492100!A30)-COUNTIF(Q:Q,A30)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COUNTIF(tables_492100!C:C,input_492100!A31)-COUNTIF(Q:Q,A31)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0.94000000000035289</v>
      </c>
      <c r="C32" s="41">
        <f>SUM(C19:C31)</f>
        <v>0.06</v>
      </c>
      <c r="D32" s="42">
        <f t="shared" si="3"/>
        <v>0.88000000000035294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2.8213863917856741E-2</v>
      </c>
      <c r="F34" s="55"/>
    </row>
    <row r="35" spans="1:7" x14ac:dyDescent="0.15">
      <c r="A35" t="s">
        <v>73</v>
      </c>
      <c r="E35">
        <v>3.0000000000705046E-2</v>
      </c>
    </row>
    <row r="36" spans="1:7" x14ac:dyDescent="0.15">
      <c r="A36" s="31">
        <f>LCM(F5-I5,F6-I6)*1000*2*2*5</f>
        <v>113460000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SUMIF(tables_492100!C:C,input_492100!A40,tables_492100!O:O)</f>
        <v>0</v>
      </c>
      <c r="C40" s="54">
        <f t="shared" ref="C40:C46" ca="1" si="9">B40/B$47</f>
        <v>0</v>
      </c>
      <c r="E40">
        <v>3</v>
      </c>
      <c r="F40">
        <f ca="1">SUMIF(tables_492100!J:J,input_492100!E40,tables_492100!O:O)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SUMIF(tables_492100!C:C,input_492100!A41,tables_492100!O:O)</f>
        <v>50642200.00007996</v>
      </c>
      <c r="C41" s="54">
        <f t="shared" ca="1" si="9"/>
        <v>0.85772081604651385</v>
      </c>
      <c r="E41">
        <v>4</v>
      </c>
      <c r="F41">
        <f ca="1">SUMIF(tables_492100!J:J,input_492100!E41,tables_492100!O:O)</f>
        <v>107787000.00034003</v>
      </c>
      <c r="G41">
        <f ca="1">F41/A36</f>
        <v>0.95000000000299689</v>
      </c>
    </row>
    <row r="42" spans="1:7" x14ac:dyDescent="0.15">
      <c r="A42" s="33" t="s">
        <v>106</v>
      </c>
      <c r="B42">
        <f ca="1">SUMIF(tables_492100!C:C,input_492100!A42,tables_492100!O:O)</f>
        <v>4660230.0000200011</v>
      </c>
      <c r="C42" s="54">
        <f t="shared" ca="1" si="9"/>
        <v>7.8929751838887119E-2</v>
      </c>
      <c r="E42">
        <v>5</v>
      </c>
      <c r="F42">
        <f ca="1">SUMIF(tables_492100!J:J,input_492100!E42,tables_492100!O:O)</f>
        <v>5672999.9996700175</v>
      </c>
      <c r="G42">
        <f ca="1">F42/A36</f>
        <v>4.9999999997091642E-2</v>
      </c>
    </row>
    <row r="43" spans="1:7" x14ac:dyDescent="0.15">
      <c r="A43" s="33" t="s">
        <v>109</v>
      </c>
      <c r="B43">
        <f>SUMIF(tables_492100!C:C,input_492100!A43,tables_492100!O:O)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SUMIF(tables_492100!C:C,input_492100!A44,tables_492100!O:O)</f>
        <v>300254.99972000014</v>
      </c>
      <c r="C44" s="54">
        <f t="shared" ca="1" si="9"/>
        <v>5.0853826133437667E-3</v>
      </c>
      <c r="E44" t="s">
        <v>54</v>
      </c>
      <c r="F44" s="55"/>
    </row>
    <row r="45" spans="1:7" x14ac:dyDescent="0.15">
      <c r="A45" s="33" t="s">
        <v>107</v>
      </c>
      <c r="B45">
        <f ca="1">SUMIF(tables_492100!C:C,input_492100!A45,tables_492100!O:O)</f>
        <v>3440070</v>
      </c>
      <c r="C45" s="54">
        <f t="shared" ca="1" si="9"/>
        <v>5.826404950125532E-2</v>
      </c>
      <c r="E45" t="s">
        <v>204</v>
      </c>
      <c r="F45" s="55">
        <f ca="1">SUMIF(tables_492100!I:I,input_492100!E45,tables_492100!P:P)</f>
        <v>0.27012246606907547</v>
      </c>
    </row>
    <row r="46" spans="1:7" x14ac:dyDescent="0.15">
      <c r="A46" s="33" t="s">
        <v>108</v>
      </c>
      <c r="B46">
        <f>SUMIF(tables_492100!C:C,input_492100!A46,tables_492100!O:O)</f>
        <v>0</v>
      </c>
      <c r="C46" s="54">
        <f t="shared" ca="1" si="9"/>
        <v>0</v>
      </c>
      <c r="E46" t="s">
        <v>205</v>
      </c>
      <c r="F46" s="55">
        <f ca="1">SUMIF(tables_492100!I:I,input_492100!E46,tables_492100!P:P)</f>
        <v>0.17662404490171196</v>
      </c>
    </row>
    <row r="47" spans="1:7" x14ac:dyDescent="0.15">
      <c r="A47" s="39" t="s">
        <v>59</v>
      </c>
      <c r="B47">
        <f ca="1">SUM(B40:B46)</f>
        <v>59042754.999819957</v>
      </c>
      <c r="C47" s="55">
        <f ca="1">SUM(C40:C46)</f>
        <v>1</v>
      </c>
      <c r="E47" t="s">
        <v>206</v>
      </c>
      <c r="F47" s="55">
        <f ca="1">SUMIF(tables_492100!I:I,input_492100!E47,tables_492100!P:P)</f>
        <v>0.4782534890294835</v>
      </c>
    </row>
    <row r="48" spans="1:7" x14ac:dyDescent="0.15">
      <c r="E48" t="s">
        <v>207</v>
      </c>
      <c r="F48" s="55">
        <f ca="1">SUMIF(tables_492100!I:I,input_492100!E48,tables_492100!P:P)</f>
        <v>7.4381733020882038E-2</v>
      </c>
    </row>
    <row r="49" spans="5:6" x14ac:dyDescent="0.15">
      <c r="E49" t="s">
        <v>251</v>
      </c>
      <c r="F49" s="55">
        <f ca="1">SUMIF(tables_492100!I:I,input_492100!E49,tables_492100!P:P)</f>
        <v>6.1826697884711655E-4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input_492100!A$2</f>
        <v>492100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IFERROR(VLOOKUP(B2,input_492100!L:R,7,FALSE),VLOOKUP(tables_492100!C2,input_492100!A:H,8,FALSE))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input_492100!A$2</f>
        <v>492100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IFERROR(VLOOKUP(B3,input_492100!L:R,7,FALSE),VLOOKUP(tables_492100!C3,input_492100!A:H,8,FALSE))</f>
        <v>1515477.2500100001</v>
      </c>
      <c r="P3" s="46">
        <f t="shared" ca="1" si="1"/>
        <v>1.3356929755066695E-2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input_492100!A$2</f>
        <v>492100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IFERROR(VLOOKUP(B4,input_492100!L:R,7,FALSE),VLOOKUP(tables_492100!C4,input_492100!A:H,8,FALSE))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input_492100!A$2</f>
        <v>492100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IFERROR(VLOOKUP(B5,input_492100!L:R,7,FALSE),VLOOKUP(tables_492100!C5,input_492100!A:H,8,FALSE))</f>
        <v>1515477.2500100001</v>
      </c>
      <c r="P5" s="46">
        <f t="shared" ca="1" si="1"/>
        <v>1.3356929755066695E-2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input_492100!A$2</f>
        <v>492100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IFERROR(VLOOKUP(B6,input_492100!L:R,7,FALSE),VLOOKUP(tables_492100!C6,input_492100!A:H,8,FALSE))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input_492100!A$2</f>
        <v>492100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IFERROR(VLOOKUP(B7,input_492100!L:R,7,FALSE),VLOOKUP(tables_492100!C7,input_492100!A:H,8,FALSE))</f>
        <v>1515477.2500100001</v>
      </c>
      <c r="P7" s="46">
        <f t="shared" ca="1" si="1"/>
        <v>1.3356929755066695E-2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input_492100!A$2</f>
        <v>492100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IFERROR(VLOOKUP(B8,input_492100!L:R,7,FALSE),VLOOKUP(tables_492100!C8,input_492100!A:H,8,FALSE))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input_492100!A$2</f>
        <v>492100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IFERROR(VLOOKUP(B9,input_492100!L:R,7,FALSE),VLOOKUP(tables_492100!C9,input_492100!A:H,8,FALSE))</f>
        <v>1515477.2500100001</v>
      </c>
      <c r="P9" s="46">
        <f t="shared" ca="1" si="1"/>
        <v>1.3356929755066695E-2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input_492100!A$2</f>
        <v>492100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IFERROR(VLOOKUP(B10,input_492100!L:R,7,FALSE),VLOOKUP(tables_492100!C10,input_492100!A:H,8,FALSE))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input_492100!A$2</f>
        <v>492100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IFERROR(VLOOKUP(B11,input_492100!L:R,7,FALSE),VLOOKUP(tables_492100!C11,input_492100!A:H,8,FALSE))</f>
        <v>1515477.2500100001</v>
      </c>
      <c r="P11" s="46">
        <f t="shared" ca="1" si="1"/>
        <v>1.3356929755066695E-2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input_492100!A$2</f>
        <v>492100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IFERROR(VLOOKUP(B12,input_492100!L:R,7,FALSE),VLOOKUP(tables_492100!C12,input_492100!A:H,8,FALSE))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input_492100!A$2</f>
        <v>492100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IFERROR(VLOOKUP(B13,input_492100!L:R,7,FALSE),VLOOKUP(tables_492100!C13,input_492100!A:H,8,FALSE))</f>
        <v>1515477.2500100001</v>
      </c>
      <c r="P13" s="46">
        <f t="shared" ca="1" si="1"/>
        <v>1.3356929755066695E-2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input_492100!A$2</f>
        <v>492100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IFERROR(VLOOKUP(B14,input_492100!L:R,7,FALSE),VLOOKUP(tables_492100!C14,input_492100!A:H,8,FALSE))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input_492100!A$2</f>
        <v>492100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IFERROR(VLOOKUP(B15,input_492100!L:R,7,FALSE),VLOOKUP(tables_492100!C15,input_492100!A:H,8,FALSE))</f>
        <v>1515477.2500100001</v>
      </c>
      <c r="P15" s="46">
        <f t="shared" ca="1" si="1"/>
        <v>1.3356929755066695E-2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input_492100!A$2</f>
        <v>492100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IFERROR(VLOOKUP(B16,input_492100!L:R,7,FALSE),VLOOKUP(tables_492100!C16,input_492100!A:H,8,FALSE))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input_492100!A$2</f>
        <v>492100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IFERROR(VLOOKUP(B17,input_492100!L:R,7,FALSE),VLOOKUP(tables_492100!C17,input_492100!A:H,8,FALSE))</f>
        <v>1515477.2500100001</v>
      </c>
      <c r="P17" s="46">
        <f t="shared" ca="1" si="1"/>
        <v>1.3356929755066695E-2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input_492100!A$2</f>
        <v>492100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IFERROR(VLOOKUP(B18,input_492100!L:R,7,FALSE),VLOOKUP(tables_492100!C18,input_492100!A:H,8,FALSE))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input_492100!A$2</f>
        <v>492100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IFERROR(VLOOKUP(B19,input_492100!L:R,7,FALSE),VLOOKUP(tables_492100!C19,input_492100!A:H,8,FALSE))</f>
        <v>1515477.2500100001</v>
      </c>
      <c r="P19" s="46">
        <f t="shared" ca="1" si="1"/>
        <v>1.3356929755066695E-2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input_492100!A$2</f>
        <v>492100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IFERROR(VLOOKUP(B20,input_492100!L:R,7,FALSE),VLOOKUP(tables_492100!C20,input_492100!A:H,8,FALSE))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input_492100!A$2</f>
        <v>492100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IFERROR(VLOOKUP(B21,input_492100!L:R,7,FALSE),VLOOKUP(tables_492100!C21,input_492100!A:H,8,FALSE))</f>
        <v>1515477.2500100001</v>
      </c>
      <c r="P21" s="46">
        <f t="shared" ca="1" si="1"/>
        <v>1.3356929755066695E-2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input_492100!A$2</f>
        <v>492100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IFERROR(VLOOKUP(B22,input_492100!L:R,7,FALSE),VLOOKUP(tables_492100!C22,input_492100!A:H,8,FALSE))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input_492100!A$2</f>
        <v>492100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IFERROR(VLOOKUP(B23,input_492100!L:R,7,FALSE),VLOOKUP(tables_492100!C23,input_492100!A:H,8,FALSE))</f>
        <v>1515477.2500100001</v>
      </c>
      <c r="P23" s="46">
        <f t="shared" ca="1" si="1"/>
        <v>1.3356929755066695E-2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input_492100!A$2</f>
        <v>492100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IFERROR(VLOOKUP(B24,input_492100!L:R,7,FALSE),VLOOKUP(tables_492100!C24,input_492100!A:H,8,FALSE))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input_492100!A$2</f>
        <v>492100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IFERROR(VLOOKUP(B25,input_492100!L:R,7,FALSE),VLOOKUP(tables_492100!C25,input_492100!A:H,8,FALSE))</f>
        <v>1515477.2500100001</v>
      </c>
      <c r="P25" s="46">
        <f t="shared" ca="1" si="1"/>
        <v>1.3356929755066695E-2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input_492100!A$2</f>
        <v>492100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IFERROR(VLOOKUP(B26,input_492100!L:R,7,FALSE),VLOOKUP(tables_492100!C26,input_492100!A:H,8,FALSE))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input_492100!A$2</f>
        <v>492100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IFERROR(VLOOKUP(B27,input_492100!L:R,7,FALSE),VLOOKUP(tables_492100!C27,input_492100!A:H,8,FALSE))</f>
        <v>1515477.2500100001</v>
      </c>
      <c r="P27" s="46">
        <f t="shared" ca="1" si="1"/>
        <v>1.3356929755066695E-2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input_492100!A$2</f>
        <v>492100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IFERROR(VLOOKUP(B28,input_492100!L:R,7,FALSE),VLOOKUP(tables_492100!C28,input_492100!A:H,8,FALSE))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input_492100!A$2</f>
        <v>492100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IFERROR(VLOOKUP(B29,input_492100!L:R,7,FALSE),VLOOKUP(tables_492100!C29,input_492100!A:H,8,FALSE))</f>
        <v>1515477.2500100001</v>
      </c>
      <c r="P29" s="46">
        <f t="shared" ca="1" si="1"/>
        <v>1.3356929755066695E-2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input_492100!A$2</f>
        <v>492100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IFERROR(VLOOKUP(B30,input_492100!L:R,7,FALSE),VLOOKUP(tables_492100!C30,input_492100!A:H,8,FALSE))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input_492100!A$2</f>
        <v>492100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IFERROR(VLOOKUP(B31,input_492100!L:R,7,FALSE),VLOOKUP(tables_492100!C31,input_492100!A:H,8,FALSE))</f>
        <v>1515477.2500100001</v>
      </c>
      <c r="P31" s="46">
        <f t="shared" ca="1" si="1"/>
        <v>1.3356929755066695E-2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input_492100!A$2</f>
        <v>492100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IFERROR(VLOOKUP(B32,input_492100!L:R,7,FALSE),VLOOKUP(tables_492100!C32,input_492100!A:H,8,FALSE))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input_492100!A$2</f>
        <v>492100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IFERROR(VLOOKUP(B33,input_492100!L:R,7,FALSE),VLOOKUP(tables_492100!C33,input_492100!A:H,8,FALSE))</f>
        <v>1515477.2500100001</v>
      </c>
      <c r="P33" s="46">
        <f t="shared" ca="1" si="1"/>
        <v>1.3356929755066695E-2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input_492100!A$2</f>
        <v>492100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IFERROR(VLOOKUP(B34,input_492100!L:R,7,FALSE),VLOOKUP(tables_492100!C34,input_492100!A:H,8,FALSE))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input_492100!A$2</f>
        <v>492100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IFERROR(VLOOKUP(B35,input_492100!L:R,7,FALSE),VLOOKUP(tables_492100!C35,input_492100!A:H,8,FALSE))</f>
        <v>1515477.2500100001</v>
      </c>
      <c r="P35" s="46">
        <f t="shared" ca="1" si="1"/>
        <v>1.3356929755066695E-2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input_492100!A$2</f>
        <v>492100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IFERROR(VLOOKUP(B36,input_492100!L:R,7,FALSE),VLOOKUP(tables_492100!C36,input_492100!A:H,8,FALSE))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input_492100!A$2</f>
        <v>492100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IFERROR(VLOOKUP(B37,input_492100!L:R,7,FALSE),VLOOKUP(tables_492100!C37,input_492100!A:H,8,FALSE))</f>
        <v>1515477.2500100001</v>
      </c>
      <c r="P37" s="46">
        <f t="shared" ca="1" si="1"/>
        <v>1.3356929755066695E-2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input_492100!A$2</f>
        <v>492100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IFERROR(VLOOKUP(B38,input_492100!L:R,7,FALSE),VLOOKUP(tables_492100!C38,input_492100!A:H,8,FALSE))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input_492100!A$2</f>
        <v>492100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IFERROR(VLOOKUP(B39,input_492100!L:R,7,FALSE),VLOOKUP(tables_492100!C39,input_492100!A:H,8,FALSE))</f>
        <v>1515477.2500100001</v>
      </c>
      <c r="P39" s="46">
        <f t="shared" ca="1" si="1"/>
        <v>1.3356929755066695E-2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input_492100!A$2</f>
        <v>492100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IFERROR(VLOOKUP(B40,input_492100!L:R,7,FALSE),VLOOKUP(tables_492100!C40,input_492100!A:H,8,FALSE))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input_492100!A$2</f>
        <v>492100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IFERROR(VLOOKUP(B41,input_492100!L:R,7,FALSE),VLOOKUP(tables_492100!C41,input_492100!A:H,8,FALSE))</f>
        <v>1515477.2500100001</v>
      </c>
      <c r="P41" s="46">
        <f t="shared" ca="1" si="1"/>
        <v>1.3356929755066695E-2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input_492100!A$2</f>
        <v>492100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IFERROR(VLOOKUP(B42,input_492100!L:R,7,FALSE),VLOOKUP(tables_492100!C42,input_492100!A:H,8,FALSE))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input_492100!A$2</f>
        <v>492100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IFERROR(VLOOKUP(B43,input_492100!L:R,7,FALSE),VLOOKUP(tables_492100!C43,input_492100!A:H,8,FALSE))</f>
        <v>1072075</v>
      </c>
      <c r="P43" s="46">
        <f t="shared" ca="1" si="1"/>
        <v>9.4489247311819666E-3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input_492100!A$2</f>
        <v>492100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IFERROR(VLOOKUP(B44,input_492100!L:R,7,FALSE),VLOOKUP(tables_492100!C44,input_492100!A:H,8,FALSE))</f>
        <v>56425</v>
      </c>
      <c r="P44" s="46">
        <f t="shared" ca="1" si="1"/>
        <v>4.9731182795694558E-4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input_492100!A$2</f>
        <v>492100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IFERROR(VLOOKUP(B45,input_492100!L:R,7,FALSE),VLOOKUP(tables_492100!C45,input_492100!A:H,8,FALSE))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input_492100!A$2</f>
        <v>492100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IFERROR(VLOOKUP(B46,input_492100!L:R,7,FALSE),VLOOKUP(tables_492100!C46,input_492100!A:H,8,FALSE))</f>
        <v>1072075</v>
      </c>
      <c r="P46" s="46">
        <f t="shared" ca="1" si="1"/>
        <v>9.4489247311819666E-3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input_492100!A$2</f>
        <v>492100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IFERROR(VLOOKUP(B47,input_492100!L:R,7,FALSE),VLOOKUP(tables_492100!C47,input_492100!A:H,8,FALSE))</f>
        <v>56425</v>
      </c>
      <c r="P47" s="46">
        <f t="shared" ca="1" si="1"/>
        <v>4.9731182795694558E-4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input_492100!A$2</f>
        <v>492100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IFERROR(VLOOKUP(B48,input_492100!L:R,7,FALSE),VLOOKUP(tables_492100!C48,input_492100!A:H,8,FALSE))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input_492100!A$2</f>
        <v>492100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IFERROR(VLOOKUP(B49,input_492100!L:R,7,FALSE),VLOOKUP(tables_492100!C49,input_492100!A:H,8,FALSE))</f>
        <v>1072075</v>
      </c>
      <c r="P49" s="46">
        <f t="shared" ca="1" si="1"/>
        <v>9.4489247311819666E-3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input_492100!A$2</f>
        <v>492100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IFERROR(VLOOKUP(B50,input_492100!L:R,7,FALSE),VLOOKUP(tables_492100!C50,input_492100!A:H,8,FALSE))</f>
        <v>56425</v>
      </c>
      <c r="P50" s="46">
        <f t="shared" ca="1" si="1"/>
        <v>4.9731182795694558E-4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input_492100!A$2</f>
        <v>492100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IFERROR(VLOOKUP(B51,input_492100!L:R,7,FALSE),VLOOKUP(tables_492100!C51,input_492100!A:H,8,FALSE))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input_492100!A$2</f>
        <v>492100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IFERROR(VLOOKUP(B52,input_492100!L:R,7,FALSE),VLOOKUP(tables_492100!C52,input_492100!A:H,8,FALSE))</f>
        <v>973888.46154000005</v>
      </c>
      <c r="P52" s="46">
        <f t="shared" ca="1" si="1"/>
        <v>8.5835401158109864E-3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input_492100!A$2</f>
        <v>492100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IFERROR(VLOOKUP(B53,input_492100!L:R,7,FALSE),VLOOKUP(tables_492100!C53,input_492100!A:H,8,FALSE))</f>
        <v>5774.1346100000001</v>
      </c>
      <c r="P53" s="46">
        <f t="shared" ca="1" si="1"/>
        <v>5.089136797108667E-5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input_492100!A$2</f>
        <v>492100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IFERROR(VLOOKUP(B54,input_492100!L:R,7,FALSE),VLOOKUP(tables_492100!C54,input_492100!A:H,8,FALSE))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input_492100!A$2</f>
        <v>492100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IFERROR(VLOOKUP(B55,input_492100!L:R,7,FALSE),VLOOKUP(tables_492100!C55,input_492100!A:H,8,FALSE))</f>
        <v>973888.46154000005</v>
      </c>
      <c r="P55" s="46">
        <f t="shared" ca="1" si="1"/>
        <v>8.5835401158109864E-3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input_492100!A$2</f>
        <v>492100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IFERROR(VLOOKUP(B56,input_492100!L:R,7,FALSE),VLOOKUP(tables_492100!C56,input_492100!A:H,8,FALSE))</f>
        <v>5774.1346100000001</v>
      </c>
      <c r="P56" s="46">
        <f t="shared" ca="1" si="1"/>
        <v>5.089136797108667E-5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input_492100!A$2</f>
        <v>492100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IFERROR(VLOOKUP(B57,input_492100!L:R,7,FALSE),VLOOKUP(tables_492100!C57,input_492100!A:H,8,FALSE))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input_492100!A$2</f>
        <v>492100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IFERROR(VLOOKUP(B58,input_492100!L:R,7,FALSE),VLOOKUP(tables_492100!C58,input_492100!A:H,8,FALSE))</f>
        <v>973888.46154000005</v>
      </c>
      <c r="P58" s="46">
        <f t="shared" ca="1" si="1"/>
        <v>8.5835401158109864E-3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input_492100!A$2</f>
        <v>492100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IFERROR(VLOOKUP(B59,input_492100!L:R,7,FALSE),VLOOKUP(tables_492100!C59,input_492100!A:H,8,FALSE))</f>
        <v>5774.1346100000001</v>
      </c>
      <c r="P59" s="46">
        <f t="shared" ca="1" si="1"/>
        <v>5.089136797108667E-5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input_492100!A$2</f>
        <v>492100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IFERROR(VLOOKUP(B60,input_492100!L:R,7,FALSE),VLOOKUP(tables_492100!C60,input_492100!A:H,8,FALSE))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input_492100!A$2</f>
        <v>492100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IFERROR(VLOOKUP(B61,input_492100!L:R,7,FALSE),VLOOKUP(tables_492100!C61,input_492100!A:H,8,FALSE))</f>
        <v>973888.46154000005</v>
      </c>
      <c r="P61" s="46">
        <f t="shared" ca="1" si="1"/>
        <v>8.5835401158109864E-3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input_492100!A$2</f>
        <v>492100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IFERROR(VLOOKUP(B62,input_492100!L:R,7,FALSE),VLOOKUP(tables_492100!C62,input_492100!A:H,8,FALSE))</f>
        <v>5774.1346100000001</v>
      </c>
      <c r="P62" s="46">
        <f t="shared" ca="1" si="1"/>
        <v>5.089136797108667E-5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input_492100!A$2</f>
        <v>492100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IFERROR(VLOOKUP(B63,input_492100!L:R,7,FALSE),VLOOKUP(tables_492100!C63,input_492100!A:H,8,FALSE))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input_492100!A$2</f>
        <v>492100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IFERROR(VLOOKUP(B64,input_492100!L:R,7,FALSE),VLOOKUP(tables_492100!C64,input_492100!A:H,8,FALSE))</f>
        <v>973888.46154000005</v>
      </c>
      <c r="P64" s="46">
        <f t="shared" ca="1" si="1"/>
        <v>8.5835401158109864E-3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input_492100!A$2</f>
        <v>492100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IFERROR(VLOOKUP(B65,input_492100!L:R,7,FALSE),VLOOKUP(tables_492100!C65,input_492100!A:H,8,FALSE))</f>
        <v>5774.1346100000001</v>
      </c>
      <c r="P65" s="46">
        <f t="shared" ca="1" si="1"/>
        <v>5.089136797108667E-5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input_492100!A$2</f>
        <v>492100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IFERROR(VLOOKUP(B66,input_492100!L:R,7,FALSE),VLOOKUP(tables_492100!C66,input_492100!A:H,8,FALSE))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input_492100!A$2</f>
        <v>492100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IFERROR(VLOOKUP(B67,input_492100!L:R,7,FALSE),VLOOKUP(tables_492100!C67,input_492100!A:H,8,FALSE))</f>
        <v>973888.46154000005</v>
      </c>
      <c r="P67" s="46">
        <f t="shared" ca="1" si="4"/>
        <v>8.5835401158109864E-3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input_492100!A$2</f>
        <v>492100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IFERROR(VLOOKUP(B68,input_492100!L:R,7,FALSE),VLOOKUP(tables_492100!C68,input_492100!A:H,8,FALSE))</f>
        <v>5774.1346100000001</v>
      </c>
      <c r="P68" s="46">
        <f t="shared" ca="1" si="4"/>
        <v>5.089136797108667E-5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input_492100!A$2</f>
        <v>492100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IFERROR(VLOOKUP(B69,input_492100!L:R,7,FALSE),VLOOKUP(tables_492100!C69,input_492100!A:H,8,FALSE))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input_492100!A$2</f>
        <v>492100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IFERROR(VLOOKUP(B70,input_492100!L:R,7,FALSE),VLOOKUP(tables_492100!C70,input_492100!A:H,8,FALSE))</f>
        <v>973888.46154000005</v>
      </c>
      <c r="P70" s="46">
        <f t="shared" ca="1" si="4"/>
        <v>8.5835401158109864E-3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input_492100!A$2</f>
        <v>492100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IFERROR(VLOOKUP(B71,input_492100!L:R,7,FALSE),VLOOKUP(tables_492100!C71,input_492100!A:H,8,FALSE))</f>
        <v>5774.1346100000001</v>
      </c>
      <c r="P71" s="46">
        <f t="shared" ca="1" si="4"/>
        <v>5.089136797108667E-5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input_492100!A$2</f>
        <v>492100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IFERROR(VLOOKUP(B72,input_492100!L:R,7,FALSE),VLOOKUP(tables_492100!C72,input_492100!A:H,8,FALSE))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input_492100!A$2</f>
        <v>492100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IFERROR(VLOOKUP(B73,input_492100!L:R,7,FALSE),VLOOKUP(tables_492100!C73,input_492100!A:H,8,FALSE))</f>
        <v>973888.46154000005</v>
      </c>
      <c r="P73" s="46">
        <f t="shared" ca="1" si="4"/>
        <v>8.5835401158109864E-3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input_492100!A$2</f>
        <v>492100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IFERROR(VLOOKUP(B74,input_492100!L:R,7,FALSE),VLOOKUP(tables_492100!C74,input_492100!A:H,8,FALSE))</f>
        <v>5774.1346100000001</v>
      </c>
      <c r="P74" s="46">
        <f t="shared" ca="1" si="4"/>
        <v>5.089136797108667E-5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input_492100!A$2</f>
        <v>492100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IFERROR(VLOOKUP(B75,input_492100!L:R,7,FALSE),VLOOKUP(tables_492100!C75,input_492100!A:H,8,FALSE))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input_492100!A$2</f>
        <v>492100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IFERROR(VLOOKUP(B76,input_492100!L:R,7,FALSE),VLOOKUP(tables_492100!C76,input_492100!A:H,8,FALSE))</f>
        <v>973888.46154000005</v>
      </c>
      <c r="P76" s="46">
        <f t="shared" ca="1" si="4"/>
        <v>8.5835401158109864E-3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input_492100!A$2</f>
        <v>492100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IFERROR(VLOOKUP(B77,input_492100!L:R,7,FALSE),VLOOKUP(tables_492100!C77,input_492100!A:H,8,FALSE))</f>
        <v>5774.1346100000001</v>
      </c>
      <c r="P77" s="46">
        <f t="shared" ca="1" si="4"/>
        <v>5.089136797108667E-5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input_492100!A$2</f>
        <v>492100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IFERROR(VLOOKUP(B78,input_492100!L:R,7,FALSE),VLOOKUP(tables_492100!C78,input_492100!A:H,8,FALSE))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input_492100!A$2</f>
        <v>492100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IFERROR(VLOOKUP(B79,input_492100!L:R,7,FALSE),VLOOKUP(tables_492100!C79,input_492100!A:H,8,FALSE))</f>
        <v>973888.46154000005</v>
      </c>
      <c r="P79" s="46">
        <f t="shared" ca="1" si="4"/>
        <v>8.5835401158109864E-3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input_492100!A$2</f>
        <v>492100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IFERROR(VLOOKUP(B80,input_492100!L:R,7,FALSE),VLOOKUP(tables_492100!C80,input_492100!A:H,8,FALSE))</f>
        <v>5774.1346100000001</v>
      </c>
      <c r="P80" s="46">
        <f t="shared" ca="1" si="4"/>
        <v>5.089136797108667E-5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input_492100!A$2</f>
        <v>492100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IFERROR(VLOOKUP(B81,input_492100!L:R,7,FALSE),VLOOKUP(tables_492100!C81,input_492100!A:H,8,FALSE))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input_492100!A$2</f>
        <v>492100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IFERROR(VLOOKUP(B82,input_492100!L:R,7,FALSE),VLOOKUP(tables_492100!C82,input_492100!A:H,8,FALSE))</f>
        <v>973888.46154000005</v>
      </c>
      <c r="P82" s="46">
        <f t="shared" ca="1" si="4"/>
        <v>8.5835401158109864E-3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input_492100!A$2</f>
        <v>492100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IFERROR(VLOOKUP(B83,input_492100!L:R,7,FALSE),VLOOKUP(tables_492100!C83,input_492100!A:H,8,FALSE))</f>
        <v>5774.1346100000001</v>
      </c>
      <c r="P83" s="46">
        <f t="shared" ca="1" si="4"/>
        <v>5.089136797108667E-5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input_492100!A$2</f>
        <v>492100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IFERROR(VLOOKUP(B84,input_492100!L:R,7,FALSE),VLOOKUP(tables_492100!C84,input_492100!A:H,8,FALSE))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input_492100!A$2</f>
        <v>492100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IFERROR(VLOOKUP(B85,input_492100!L:R,7,FALSE),VLOOKUP(tables_492100!C85,input_492100!A:H,8,FALSE))</f>
        <v>973888.46154000005</v>
      </c>
      <c r="P85" s="46">
        <f t="shared" ca="1" si="4"/>
        <v>8.5835401158109864E-3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input_492100!A$2</f>
        <v>492100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IFERROR(VLOOKUP(B86,input_492100!L:R,7,FALSE),VLOOKUP(tables_492100!C86,input_492100!A:H,8,FALSE))</f>
        <v>5774.1346100000001</v>
      </c>
      <c r="P86" s="46">
        <f t="shared" ca="1" si="4"/>
        <v>5.089136797108667E-5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input_492100!A$2</f>
        <v>492100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IFERROR(VLOOKUP(B87,input_492100!L:R,7,FALSE),VLOOKUP(tables_492100!C87,input_492100!A:H,8,FALSE))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input_492100!A$2</f>
        <v>492100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IFERROR(VLOOKUP(B88,input_492100!L:R,7,FALSE),VLOOKUP(tables_492100!C88,input_492100!A:H,8,FALSE))</f>
        <v>973888.46154000005</v>
      </c>
      <c r="P88" s="46">
        <f t="shared" ca="1" si="4"/>
        <v>8.5835401158109864E-3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input_492100!A$2</f>
        <v>492100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IFERROR(VLOOKUP(B89,input_492100!L:R,7,FALSE),VLOOKUP(tables_492100!C89,input_492100!A:H,8,FALSE))</f>
        <v>5774.1346100000001</v>
      </c>
      <c r="P89" s="46">
        <f t="shared" ca="1" si="4"/>
        <v>5.089136797108667E-5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input_492100!A$2</f>
        <v>492100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IFERROR(VLOOKUP(B90,input_492100!L:R,7,FALSE),VLOOKUP(tables_492100!C90,input_492100!A:H,8,FALSE))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input_492100!A$2</f>
        <v>492100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IFERROR(VLOOKUP(B91,input_492100!L:R,7,FALSE),VLOOKUP(tables_492100!C91,input_492100!A:H,8,FALSE))</f>
        <v>973888.46154000005</v>
      </c>
      <c r="P91" s="46">
        <f t="shared" ca="1" si="4"/>
        <v>8.5835401158109864E-3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input_492100!A$2</f>
        <v>492100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IFERROR(VLOOKUP(B92,input_492100!L:R,7,FALSE),VLOOKUP(tables_492100!C92,input_492100!A:H,8,FALSE))</f>
        <v>5774.1346100000001</v>
      </c>
      <c r="P92" s="46">
        <f t="shared" ca="1" si="4"/>
        <v>5.089136797108667E-5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input_492100!A$2</f>
        <v>492100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IFERROR(VLOOKUP(B93,input_492100!L:R,7,FALSE),VLOOKUP(tables_492100!C93,input_492100!A:H,8,FALSE))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input_492100!A$2</f>
        <v>492100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IFERROR(VLOOKUP(B94,input_492100!L:R,7,FALSE),VLOOKUP(tables_492100!C94,input_492100!A:H,8,FALSE))</f>
        <v>973888.46154000005</v>
      </c>
      <c r="P94" s="46">
        <f t="shared" ca="1" si="4"/>
        <v>8.5835401158109864E-3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input_492100!A$2</f>
        <v>492100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IFERROR(VLOOKUP(B95,input_492100!L:R,7,FALSE),VLOOKUP(tables_492100!C95,input_492100!A:H,8,FALSE))</f>
        <v>5774.1346100000001</v>
      </c>
      <c r="P95" s="46">
        <f t="shared" ca="1" si="4"/>
        <v>5.089136797108667E-5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input_492100!A$2</f>
        <v>492100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IFERROR(VLOOKUP(B96,input_492100!L:R,7,FALSE),VLOOKUP(tables_492100!C96,input_492100!A:H,8,FALSE))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input_492100!A$2</f>
        <v>492100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IFERROR(VLOOKUP(B97,input_492100!L:R,7,FALSE),VLOOKUP(tables_492100!C97,input_492100!A:H,8,FALSE))</f>
        <v>973888.46154000005</v>
      </c>
      <c r="P97" s="46">
        <f t="shared" ca="1" si="4"/>
        <v>8.5835401158109864E-3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input_492100!A$2</f>
        <v>492100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IFERROR(VLOOKUP(B98,input_492100!L:R,7,FALSE),VLOOKUP(tables_492100!C98,input_492100!A:H,8,FALSE))</f>
        <v>5774.1346100000001</v>
      </c>
      <c r="P98" s="46">
        <f t="shared" ca="1" si="4"/>
        <v>5.089136797108667E-5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input_492100!A$2</f>
        <v>492100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IFERROR(VLOOKUP(B99,input_492100!L:R,7,FALSE),VLOOKUP(tables_492100!C99,input_492100!A:H,8,FALSE))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input_492100!A$2</f>
        <v>492100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IFERROR(VLOOKUP(B100,input_492100!L:R,7,FALSE),VLOOKUP(tables_492100!C100,input_492100!A:H,8,FALSE))</f>
        <v>973888.46154000005</v>
      </c>
      <c r="P100" s="46">
        <f t="shared" ca="1" si="4"/>
        <v>8.5835401158109864E-3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input_492100!A$2</f>
        <v>492100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IFERROR(VLOOKUP(B101,input_492100!L:R,7,FALSE),VLOOKUP(tables_492100!C101,input_492100!A:H,8,FALSE))</f>
        <v>5774.1346100000001</v>
      </c>
      <c r="P101" s="46">
        <f t="shared" ca="1" si="4"/>
        <v>5.089136797108667E-5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input_492100!A$2</f>
        <v>492100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IFERROR(VLOOKUP(B102,input_492100!L:R,7,FALSE),VLOOKUP(tables_492100!C102,input_492100!A:H,8,FALSE))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input_492100!A$2</f>
        <v>492100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IFERROR(VLOOKUP(B103,input_492100!L:R,7,FALSE),VLOOKUP(tables_492100!C103,input_492100!A:H,8,FALSE))</f>
        <v>973888.46154000005</v>
      </c>
      <c r="P103" s="46">
        <f t="shared" ca="1" si="4"/>
        <v>8.5835401158109864E-3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input_492100!A$2</f>
        <v>492100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IFERROR(VLOOKUP(B104,input_492100!L:R,7,FALSE),VLOOKUP(tables_492100!C104,input_492100!A:H,8,FALSE))</f>
        <v>5774.1346100000001</v>
      </c>
      <c r="P104" s="46">
        <f t="shared" ca="1" si="4"/>
        <v>5.089136797108667E-5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input_492100!A$2</f>
        <v>492100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IFERROR(VLOOKUP(B105,input_492100!L:R,7,FALSE),VLOOKUP(tables_492100!C105,input_492100!A:H,8,FALSE))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input_492100!A$2</f>
        <v>492100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IFERROR(VLOOKUP(B106,input_492100!L:R,7,FALSE),VLOOKUP(tables_492100!C106,input_492100!A:H,8,FALSE))</f>
        <v>973888.46154000005</v>
      </c>
      <c r="P106" s="46">
        <f t="shared" ca="1" si="4"/>
        <v>8.5835401158109864E-3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input_492100!A$2</f>
        <v>492100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IFERROR(VLOOKUP(B107,input_492100!L:R,7,FALSE),VLOOKUP(tables_492100!C107,input_492100!A:H,8,FALSE))</f>
        <v>5774.1346100000001</v>
      </c>
      <c r="P107" s="46">
        <f t="shared" ca="1" si="4"/>
        <v>5.089136797108667E-5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input_492100!A$2</f>
        <v>492100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IFERROR(VLOOKUP(B108,input_492100!L:R,7,FALSE),VLOOKUP(tables_492100!C108,input_492100!A:H,8,FALSE))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input_492100!A$2</f>
        <v>492100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IFERROR(VLOOKUP(B109,input_492100!L:R,7,FALSE),VLOOKUP(tables_492100!C109,input_492100!A:H,8,FALSE))</f>
        <v>973888.46154000005</v>
      </c>
      <c r="P109" s="46">
        <f t="shared" ca="1" si="4"/>
        <v>8.5835401158109864E-3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input_492100!A$2</f>
        <v>492100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IFERROR(VLOOKUP(B110,input_492100!L:R,7,FALSE),VLOOKUP(tables_492100!C110,input_492100!A:H,8,FALSE))</f>
        <v>5774.1346100000001</v>
      </c>
      <c r="P110" s="46">
        <f t="shared" ca="1" si="4"/>
        <v>5.089136797108667E-5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input_492100!A$2</f>
        <v>492100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IFERROR(VLOOKUP(B111,input_492100!L:R,7,FALSE),VLOOKUP(tables_492100!C111,input_492100!A:H,8,FALSE))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input_492100!A$2</f>
        <v>492100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IFERROR(VLOOKUP(B112,input_492100!L:R,7,FALSE),VLOOKUP(tables_492100!C112,input_492100!A:H,8,FALSE))</f>
        <v>1072075</v>
      </c>
      <c r="P112" s="46">
        <f t="shared" ca="1" si="4"/>
        <v>9.4489247311819666E-3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input_492100!A$2</f>
        <v>492100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IFERROR(VLOOKUP(B113,input_492100!L:R,7,FALSE),VLOOKUP(tables_492100!C113,input_492100!A:H,8,FALSE))</f>
        <v>56425</v>
      </c>
      <c r="P113" s="46">
        <f t="shared" ca="1" si="4"/>
        <v>4.9731182795694558E-4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input_492100!A$2</f>
        <v>492100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IFERROR(VLOOKUP(B114,input_492100!L:R,7,FALSE),VLOOKUP(tables_492100!C114,input_492100!A:H,8,FALSE))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input_492100!A$2</f>
        <v>492100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IFERROR(VLOOKUP(B115,input_492100!L:R,7,FALSE),VLOOKUP(tables_492100!C115,input_492100!A:H,8,FALSE))</f>
        <v>973888.46154000005</v>
      </c>
      <c r="P115" s="46">
        <f t="shared" ca="1" si="4"/>
        <v>8.5835401158109864E-3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input_492100!A$2</f>
        <v>492100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IFERROR(VLOOKUP(B116,input_492100!L:R,7,FALSE),VLOOKUP(tables_492100!C116,input_492100!A:H,8,FALSE))</f>
        <v>5774.1346100000001</v>
      </c>
      <c r="P116" s="46">
        <f t="shared" ca="1" si="4"/>
        <v>5.089136797108667E-5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input_492100!A$2</f>
        <v>492100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IFERROR(VLOOKUP(B117,input_492100!L:R,7,FALSE),VLOOKUP(tables_492100!C117,input_492100!A:H,8,FALSE))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input_492100!A$2</f>
        <v>492100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IFERROR(VLOOKUP(B118,input_492100!L:R,7,FALSE),VLOOKUP(tables_492100!C118,input_492100!A:H,8,FALSE))</f>
        <v>973888.46154000005</v>
      </c>
      <c r="P118" s="46">
        <f t="shared" ca="1" si="4"/>
        <v>8.5835401158109864E-3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input_492100!A$2</f>
        <v>492100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IFERROR(VLOOKUP(B119,input_492100!L:R,7,FALSE),VLOOKUP(tables_492100!C119,input_492100!A:H,8,FALSE))</f>
        <v>5774.1346100000001</v>
      </c>
      <c r="P119" s="46">
        <f t="shared" ca="1" si="4"/>
        <v>5.089136797108667E-5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input_492100!A$2</f>
        <v>492100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IFERROR(VLOOKUP(B120,input_492100!L:R,7,FALSE),VLOOKUP(tables_492100!C120,input_492100!A:H,8,FALSE))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input_492100!A$2</f>
        <v>492100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IFERROR(VLOOKUP(B121,input_492100!L:R,7,FALSE),VLOOKUP(tables_492100!C121,input_492100!A:H,8,FALSE))</f>
        <v>973888.46154000005</v>
      </c>
      <c r="P121" s="46">
        <f t="shared" ca="1" si="4"/>
        <v>8.5835401158109864E-3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input_492100!A$2</f>
        <v>492100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IFERROR(VLOOKUP(B122,input_492100!L:R,7,FALSE),VLOOKUP(tables_492100!C122,input_492100!A:H,8,FALSE))</f>
        <v>5774.1346100000001</v>
      </c>
      <c r="P122" s="46">
        <f t="shared" ca="1" si="4"/>
        <v>5.089136797108667E-5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input_492100!A$2</f>
        <v>492100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IFERROR(VLOOKUP(B123,input_492100!L:R,7,FALSE),VLOOKUP(tables_492100!C123,input_492100!A:H,8,FALSE))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input_492100!A$2</f>
        <v>492100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IFERROR(VLOOKUP(B124,input_492100!L:R,7,FALSE),VLOOKUP(tables_492100!C124,input_492100!A:H,8,FALSE))</f>
        <v>973888.46154000005</v>
      </c>
      <c r="P124" s="46">
        <f t="shared" ca="1" si="4"/>
        <v>8.5835401158109864E-3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input_492100!A$2</f>
        <v>492100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IFERROR(VLOOKUP(B125,input_492100!L:R,7,FALSE),VLOOKUP(tables_492100!C125,input_492100!A:H,8,FALSE))</f>
        <v>5774.1346100000001</v>
      </c>
      <c r="P125" s="46">
        <f t="shared" ca="1" si="4"/>
        <v>5.089136797108667E-5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input_492100!A$2</f>
        <v>492100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IFERROR(VLOOKUP(B126,input_492100!L:R,7,FALSE),VLOOKUP(tables_492100!C126,input_492100!A:H,8,FALSE))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input_492100!A$2</f>
        <v>492100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IFERROR(VLOOKUP(B127,input_492100!L:R,7,FALSE),VLOOKUP(tables_492100!C127,input_492100!A:H,8,FALSE))</f>
        <v>973888.46154000005</v>
      </c>
      <c r="P127" s="46">
        <f t="shared" ca="1" si="4"/>
        <v>8.5835401158109864E-3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input_492100!A$2</f>
        <v>492100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IFERROR(VLOOKUP(B128,input_492100!L:R,7,FALSE),VLOOKUP(tables_492100!C128,input_492100!A:H,8,FALSE))</f>
        <v>5774.1346100000001</v>
      </c>
      <c r="P128" s="46">
        <f t="shared" ca="1" si="4"/>
        <v>5.089136797108667E-5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input_492100!A$2</f>
        <v>492100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IFERROR(VLOOKUP(B129,input_492100!L:R,7,FALSE),VLOOKUP(tables_492100!C129,input_492100!A:H,8,FALSE))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input_492100!A$2</f>
        <v>492100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IFERROR(VLOOKUP(B130,input_492100!L:R,7,FALSE),VLOOKUP(tables_492100!C130,input_492100!A:H,8,FALSE))</f>
        <v>973888.46154000005</v>
      </c>
      <c r="P130" s="46">
        <f t="shared" ref="P130:P193" ca="1" si="7">O130/SUM(O:O)</f>
        <v>8.5835401158109864E-3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input_492100!A$2</f>
        <v>492100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IFERROR(VLOOKUP(B131,input_492100!L:R,7,FALSE),VLOOKUP(tables_492100!C131,input_492100!A:H,8,FALSE))</f>
        <v>5774.1346100000001</v>
      </c>
      <c r="P131" s="46">
        <f t="shared" ca="1" si="7"/>
        <v>5.089136797108667E-5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input_492100!A$2</f>
        <v>492100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IFERROR(VLOOKUP(B132,input_492100!L:R,7,FALSE),VLOOKUP(tables_492100!C132,input_492100!A:H,8,FALSE))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input_492100!A$2</f>
        <v>492100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IFERROR(VLOOKUP(B133,input_492100!L:R,7,FALSE),VLOOKUP(tables_492100!C133,input_492100!A:H,8,FALSE))</f>
        <v>973888.46154000005</v>
      </c>
      <c r="P133" s="46">
        <f t="shared" ca="1" si="7"/>
        <v>8.5835401158109864E-3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input_492100!A$2</f>
        <v>492100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IFERROR(VLOOKUP(B134,input_492100!L:R,7,FALSE),VLOOKUP(tables_492100!C134,input_492100!A:H,8,FALSE))</f>
        <v>5774.1346100000001</v>
      </c>
      <c r="P134" s="46">
        <f t="shared" ca="1" si="7"/>
        <v>5.089136797108667E-5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input_492100!A$2</f>
        <v>492100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IFERROR(VLOOKUP(B135,input_492100!L:R,7,FALSE),VLOOKUP(tables_492100!C135,input_492100!A:H,8,FALSE))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input_492100!A$2</f>
        <v>492100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IFERROR(VLOOKUP(B136,input_492100!L:R,7,FALSE),VLOOKUP(tables_492100!C136,input_492100!A:H,8,FALSE))</f>
        <v>973888.46154000005</v>
      </c>
      <c r="P136" s="46">
        <f t="shared" ca="1" si="7"/>
        <v>8.5835401158109864E-3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input_492100!A$2</f>
        <v>492100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IFERROR(VLOOKUP(B137,input_492100!L:R,7,FALSE),VLOOKUP(tables_492100!C137,input_492100!A:H,8,FALSE))</f>
        <v>5774.1346100000001</v>
      </c>
      <c r="P137" s="46">
        <f t="shared" ca="1" si="7"/>
        <v>5.089136797108667E-5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input_492100!A$2</f>
        <v>492100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IFERROR(VLOOKUP(B138,input_492100!L:R,7,FALSE),VLOOKUP(tables_492100!C138,input_492100!A:H,8,FALSE))</f>
        <v>48324.230770000002</v>
      </c>
      <c r="P138" s="46">
        <f t="shared" ca="1" si="7"/>
        <v>4.2591424969148391E-4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input_492100!A$2</f>
        <v>492100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IFERROR(VLOOKUP(B139,input_492100!L:R,7,FALSE),VLOOKUP(tables_492100!C139,input_492100!A:H,8,FALSE))</f>
        <v>1395</v>
      </c>
      <c r="P139" s="46">
        <f t="shared" ca="1" si="7"/>
        <v>1.2295081967212037E-5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input_492100!A$2</f>
        <v>492100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IFERROR(VLOOKUP(B140,input_492100!L:R,7,FALSE),VLOOKUP(tables_492100!C140,input_492100!A:H,8,FALSE))</f>
        <v>48324.230770000002</v>
      </c>
      <c r="P140" s="46">
        <f t="shared" ca="1" si="7"/>
        <v>4.2591424969148391E-4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input_492100!A$2</f>
        <v>492100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IFERROR(VLOOKUP(B141,input_492100!L:R,7,FALSE),VLOOKUP(tables_492100!C141,input_492100!A:H,8,FALSE))</f>
        <v>1395</v>
      </c>
      <c r="P141" s="46">
        <f t="shared" ca="1" si="7"/>
        <v>1.2295081967212037E-5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input_492100!A$2</f>
        <v>492100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IFERROR(VLOOKUP(B142,input_492100!L:R,7,FALSE),VLOOKUP(tables_492100!C142,input_492100!A:H,8,FALSE))</f>
        <v>48324.230770000002</v>
      </c>
      <c r="P142" s="46">
        <f t="shared" ca="1" si="7"/>
        <v>4.2591424969148391E-4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input_492100!A$2</f>
        <v>492100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IFERROR(VLOOKUP(B143,input_492100!L:R,7,FALSE),VLOOKUP(tables_492100!C143,input_492100!A:H,8,FALSE))</f>
        <v>1395</v>
      </c>
      <c r="P143" s="46">
        <f t="shared" ca="1" si="7"/>
        <v>1.2295081967212037E-5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input_492100!A$2</f>
        <v>492100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IFERROR(VLOOKUP(B144,input_492100!L:R,7,FALSE),VLOOKUP(tables_492100!C144,input_492100!A:H,8,FALSE))</f>
        <v>48324.230770000002</v>
      </c>
      <c r="P144" s="46">
        <f t="shared" ca="1" si="7"/>
        <v>4.2591424969148391E-4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input_492100!A$2</f>
        <v>492100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IFERROR(VLOOKUP(B145,input_492100!L:R,7,FALSE),VLOOKUP(tables_492100!C145,input_492100!A:H,8,FALSE))</f>
        <v>1395</v>
      </c>
      <c r="P145" s="46">
        <f t="shared" ca="1" si="7"/>
        <v>1.2295081967212037E-5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input_492100!A$2</f>
        <v>492100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IFERROR(VLOOKUP(B146,input_492100!L:R,7,FALSE),VLOOKUP(tables_492100!C146,input_492100!A:H,8,FALSE))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input_492100!A$2</f>
        <v>492100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IFERROR(VLOOKUP(B147,input_492100!L:R,7,FALSE),VLOOKUP(tables_492100!C147,input_492100!A:H,8,FALSE))</f>
        <v>973888.46154000005</v>
      </c>
      <c r="P147" s="46">
        <f t="shared" ca="1" si="7"/>
        <v>8.5835401158109864E-3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input_492100!A$2</f>
        <v>492100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IFERROR(VLOOKUP(B148,input_492100!L:R,7,FALSE),VLOOKUP(tables_492100!C148,input_492100!A:H,8,FALSE))</f>
        <v>5774.1346100000001</v>
      </c>
      <c r="P148" s="46">
        <f t="shared" ca="1" si="7"/>
        <v>5.089136797108667E-5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input_492100!A$2</f>
        <v>492100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IFERROR(VLOOKUP(B149,input_492100!L:R,7,FALSE),VLOOKUP(tables_492100!C149,input_492100!A:H,8,FALSE))</f>
        <v>48324.230770000002</v>
      </c>
      <c r="P149" s="46">
        <f t="shared" ca="1" si="7"/>
        <v>4.2591424969148391E-4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input_492100!A$2</f>
        <v>492100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IFERROR(VLOOKUP(B150,input_492100!L:R,7,FALSE),VLOOKUP(tables_492100!C150,input_492100!A:H,8,FALSE))</f>
        <v>1395</v>
      </c>
      <c r="P150" s="46">
        <f t="shared" ca="1" si="7"/>
        <v>1.2295081967212037E-5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input_492100!A$2</f>
        <v>492100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IFERROR(VLOOKUP(B151,input_492100!L:R,7,FALSE),VLOOKUP(tables_492100!C151,input_492100!A:H,8,FALSE))</f>
        <v>48324.230770000002</v>
      </c>
      <c r="P151" s="46">
        <f t="shared" ca="1" si="7"/>
        <v>4.2591424969148391E-4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input_492100!A$2</f>
        <v>492100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IFERROR(VLOOKUP(B152,input_492100!L:R,7,FALSE),VLOOKUP(tables_492100!C152,input_492100!A:H,8,FALSE))</f>
        <v>1395</v>
      </c>
      <c r="P152" s="46">
        <f t="shared" ca="1" si="7"/>
        <v>1.2295081967212037E-5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input_492100!A$2</f>
        <v>492100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IFERROR(VLOOKUP(B153,input_492100!L:R,7,FALSE),VLOOKUP(tables_492100!C153,input_492100!A:H,8,FALSE))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input_492100!A$2</f>
        <v>492100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IFERROR(VLOOKUP(B154,input_492100!L:R,7,FALSE),VLOOKUP(tables_492100!C154,input_492100!A:H,8,FALSE))</f>
        <v>973888.46154000005</v>
      </c>
      <c r="P154" s="46">
        <f t="shared" ca="1" si="7"/>
        <v>8.5835401158109864E-3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input_492100!A$2</f>
        <v>492100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IFERROR(VLOOKUP(B155,input_492100!L:R,7,FALSE),VLOOKUP(tables_492100!C155,input_492100!A:H,8,FALSE))</f>
        <v>5774.1346100000001</v>
      </c>
      <c r="P155" s="46">
        <f t="shared" ca="1" si="7"/>
        <v>5.089136797108667E-5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input_492100!A$2</f>
        <v>492100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IFERROR(VLOOKUP(B156,input_492100!L:R,7,FALSE),VLOOKUP(tables_492100!C156,input_492100!A:H,8,FALSE))</f>
        <v>48324.230770000002</v>
      </c>
      <c r="P156" s="46">
        <f t="shared" ca="1" si="7"/>
        <v>4.2591424969148391E-4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input_492100!A$2</f>
        <v>492100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IFERROR(VLOOKUP(B157,input_492100!L:R,7,FALSE),VLOOKUP(tables_492100!C157,input_492100!A:H,8,FALSE))</f>
        <v>1395</v>
      </c>
      <c r="P157" s="46">
        <f t="shared" ca="1" si="7"/>
        <v>1.2295081967212037E-5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input_492100!A$2</f>
        <v>492100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IFERROR(VLOOKUP(B158,input_492100!L:R,7,FALSE),VLOOKUP(tables_492100!C158,input_492100!A:H,8,FALSE))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input_492100!A$2</f>
        <v>492100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IFERROR(VLOOKUP(B159,input_492100!L:R,7,FALSE),VLOOKUP(tables_492100!C159,input_492100!A:H,8,FALSE))</f>
        <v>973888.46154000005</v>
      </c>
      <c r="P159" s="46">
        <f t="shared" ca="1" si="7"/>
        <v>8.5835401158109864E-3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input_492100!A$2</f>
        <v>492100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IFERROR(VLOOKUP(B160,input_492100!L:R,7,FALSE),VLOOKUP(tables_492100!C160,input_492100!A:H,8,FALSE))</f>
        <v>5774.1346100000001</v>
      </c>
      <c r="P160" s="46">
        <f t="shared" ca="1" si="7"/>
        <v>5.089136797108667E-5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input_492100!A$2</f>
        <v>492100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IFERROR(VLOOKUP(B161,input_492100!L:R,7,FALSE),VLOOKUP(tables_492100!C161,input_492100!A:H,8,FALSE))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input_492100!A$2</f>
        <v>492100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IFERROR(VLOOKUP(B162,input_492100!L:R,7,FALSE),VLOOKUP(tables_492100!C162,input_492100!A:H,8,FALSE))</f>
        <v>973888.46154000005</v>
      </c>
      <c r="P162" s="46">
        <f t="shared" ca="1" si="7"/>
        <v>8.5835401158109864E-3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input_492100!A$2</f>
        <v>492100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IFERROR(VLOOKUP(B163,input_492100!L:R,7,FALSE),VLOOKUP(tables_492100!C163,input_492100!A:H,8,FALSE))</f>
        <v>5774.1346100000001</v>
      </c>
      <c r="P163" s="46">
        <f t="shared" ca="1" si="7"/>
        <v>5.089136797108667E-5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input_492100!A$2</f>
        <v>492100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IFERROR(VLOOKUP(B164,input_492100!L:R,7,FALSE),VLOOKUP(tables_492100!C164,input_492100!A:H,8,FALSE))</f>
        <v>48324.230770000002</v>
      </c>
      <c r="P164" s="46">
        <f t="shared" ca="1" si="7"/>
        <v>4.2591424969148391E-4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input_492100!A$2</f>
        <v>492100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IFERROR(VLOOKUP(B165,input_492100!L:R,7,FALSE),VLOOKUP(tables_492100!C165,input_492100!A:H,8,FALSE))</f>
        <v>1395</v>
      </c>
      <c r="P165" s="46">
        <f t="shared" ca="1" si="7"/>
        <v>1.2295081967212037E-5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input_492100!A$2</f>
        <v>492100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IFERROR(VLOOKUP(B166,input_492100!L:R,7,FALSE),VLOOKUP(tables_492100!C166,input_492100!A:H,8,FALSE))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input_492100!A$2</f>
        <v>492100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IFERROR(VLOOKUP(B167,input_492100!L:R,7,FALSE),VLOOKUP(tables_492100!C167,input_492100!A:H,8,FALSE))</f>
        <v>973888.46154000005</v>
      </c>
      <c r="P167" s="46">
        <f t="shared" ca="1" si="7"/>
        <v>8.5835401158109864E-3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input_492100!A$2</f>
        <v>492100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IFERROR(VLOOKUP(B168,input_492100!L:R,7,FALSE),VLOOKUP(tables_492100!C168,input_492100!A:H,8,FALSE))</f>
        <v>5774.1346100000001</v>
      </c>
      <c r="P168" s="46">
        <f t="shared" ca="1" si="7"/>
        <v>5.089136797108667E-5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input_492100!A$2</f>
        <v>492100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IFERROR(VLOOKUP(B169,input_492100!L:R,7,FALSE),VLOOKUP(tables_492100!C169,input_492100!A:H,8,FALSE))</f>
        <v>48324.230770000002</v>
      </c>
      <c r="P169" s="46">
        <f t="shared" ca="1" si="7"/>
        <v>4.2591424969148391E-4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input_492100!A$2</f>
        <v>492100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IFERROR(VLOOKUP(B170,input_492100!L:R,7,FALSE),VLOOKUP(tables_492100!C170,input_492100!A:H,8,FALSE))</f>
        <v>1395</v>
      </c>
      <c r="P170" s="46">
        <f t="shared" ca="1" si="7"/>
        <v>1.2295081967212037E-5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input_492100!A$2</f>
        <v>492100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IFERROR(VLOOKUP(B171,input_492100!L:R,7,FALSE),VLOOKUP(tables_492100!C171,input_492100!A:H,8,FALSE))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input_492100!A$2</f>
        <v>492100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IFERROR(VLOOKUP(B172,input_492100!L:R,7,FALSE),VLOOKUP(tables_492100!C172,input_492100!A:H,8,FALSE))</f>
        <v>973888.46154000005</v>
      </c>
      <c r="P172" s="46">
        <f t="shared" ca="1" si="7"/>
        <v>8.5835401158109864E-3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input_492100!A$2</f>
        <v>492100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IFERROR(VLOOKUP(B173,input_492100!L:R,7,FALSE),VLOOKUP(tables_492100!C173,input_492100!A:H,8,FALSE))</f>
        <v>5774.1346100000001</v>
      </c>
      <c r="P173" s="46">
        <f t="shared" ca="1" si="7"/>
        <v>5.089136797108667E-5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input_492100!A$2</f>
        <v>492100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IFERROR(VLOOKUP(B174,input_492100!L:R,7,FALSE),VLOOKUP(tables_492100!C174,input_492100!A:H,8,FALSE))</f>
        <v>48324.230770000002</v>
      </c>
      <c r="P174" s="46">
        <f t="shared" ca="1" si="7"/>
        <v>4.2591424969148391E-4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input_492100!A$2</f>
        <v>492100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IFERROR(VLOOKUP(B175,input_492100!L:R,7,FALSE),VLOOKUP(tables_492100!C175,input_492100!A:H,8,FALSE))</f>
        <v>1395</v>
      </c>
      <c r="P175" s="46">
        <f t="shared" ca="1" si="7"/>
        <v>1.2295081967212037E-5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input_492100!A$2</f>
        <v>492100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IFERROR(VLOOKUP(B176,input_492100!L:R,7,FALSE),VLOOKUP(tables_492100!C176,input_492100!A:H,8,FALSE))</f>
        <v>48324.230770000002</v>
      </c>
      <c r="P176" s="46">
        <f t="shared" ca="1" si="7"/>
        <v>4.2591424969148391E-4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input_492100!A$2</f>
        <v>492100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IFERROR(VLOOKUP(B177,input_492100!L:R,7,FALSE),VLOOKUP(tables_492100!C177,input_492100!A:H,8,FALSE))</f>
        <v>1395</v>
      </c>
      <c r="P177" s="46">
        <f t="shared" ca="1" si="7"/>
        <v>1.2295081967212037E-5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input_492100!A$2</f>
        <v>492100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IFERROR(VLOOKUP(B178,input_492100!L:R,7,FALSE),VLOOKUP(tables_492100!C178,input_492100!A:H,8,FALSE))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input_492100!A$2</f>
        <v>492100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IFERROR(VLOOKUP(B179,input_492100!L:R,7,FALSE),VLOOKUP(tables_492100!C179,input_492100!A:H,8,FALSE))</f>
        <v>973888.46154000005</v>
      </c>
      <c r="P179" s="46">
        <f t="shared" ca="1" si="7"/>
        <v>8.5835401158109864E-3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input_492100!A$2</f>
        <v>492100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IFERROR(VLOOKUP(B180,input_492100!L:R,7,FALSE),VLOOKUP(tables_492100!C180,input_492100!A:H,8,FALSE))</f>
        <v>5774.1346100000001</v>
      </c>
      <c r="P180" s="46">
        <f t="shared" ca="1" si="7"/>
        <v>5.089136797108667E-5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input_492100!A$2</f>
        <v>492100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IFERROR(VLOOKUP(B181,input_492100!L:R,7,FALSE),VLOOKUP(tables_492100!C181,input_492100!A:H,8,FALSE))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input_492100!A$2</f>
        <v>492100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IFERROR(VLOOKUP(B182,input_492100!L:R,7,FALSE),VLOOKUP(tables_492100!C182,input_492100!A:H,8,FALSE))</f>
        <v>973888.46154000005</v>
      </c>
      <c r="P182" s="46">
        <f t="shared" ca="1" si="7"/>
        <v>8.5835401158109864E-3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input_492100!A$2</f>
        <v>492100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IFERROR(VLOOKUP(B183,input_492100!L:R,7,FALSE),VLOOKUP(tables_492100!C183,input_492100!A:H,8,FALSE))</f>
        <v>5774.1346100000001</v>
      </c>
      <c r="P183" s="46">
        <f t="shared" ca="1" si="7"/>
        <v>5.089136797108667E-5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input_492100!A$2</f>
        <v>492100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>IFERROR(VLOOKUP(B184,input_492100!L:R,7,FALSE),VLOOKUP(tables_492100!C184,input_492100!A:H,8,FALSE))</f>
        <v>1701900</v>
      </c>
      <c r="P184" s="46">
        <f t="shared" ca="1" si="7"/>
        <v>1.4999999999998685E-2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input_492100!A$2</f>
        <v>492100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>IFERROR(VLOOKUP(B185,input_492100!L:R,7,FALSE),VLOOKUP(tables_492100!C185,input_492100!A:H,8,FALSE))</f>
        <v>1701900</v>
      </c>
      <c r="P185" s="46">
        <f t="shared" ca="1" si="7"/>
        <v>1.4999999999998685E-2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input_492100!A$2</f>
        <v>492100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IFERROR(VLOOKUP(B186,input_492100!L:R,7,FALSE),VLOOKUP(tables_492100!C186,input_492100!A:H,8,FALSE))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input_492100!A$2</f>
        <v>492100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IFERROR(VLOOKUP(B187,input_492100!L:R,7,FALSE),VLOOKUP(tables_492100!C187,input_492100!A:H,8,FALSE))</f>
        <v>973888.46154000005</v>
      </c>
      <c r="P187" s="46">
        <f t="shared" ca="1" si="7"/>
        <v>8.5835401158109864E-3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input_492100!A$2</f>
        <v>492100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IFERROR(VLOOKUP(B188,input_492100!L:R,7,FALSE),VLOOKUP(tables_492100!C188,input_492100!A:H,8,FALSE))</f>
        <v>5774.1346100000001</v>
      </c>
      <c r="P188" s="46">
        <f t="shared" ca="1" si="7"/>
        <v>5.089136797108667E-5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input_492100!A$2</f>
        <v>492100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IFERROR(VLOOKUP(B189,input_492100!L:R,7,FALSE),VLOOKUP(tables_492100!C189,input_492100!A:H,8,FALSE))</f>
        <v>48324.230770000002</v>
      </c>
      <c r="P189" s="46">
        <f t="shared" ca="1" si="7"/>
        <v>4.2591424969148391E-4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input_492100!A$2</f>
        <v>492100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IFERROR(VLOOKUP(B190,input_492100!L:R,7,FALSE),VLOOKUP(tables_492100!C190,input_492100!A:H,8,FALSE))</f>
        <v>1395</v>
      </c>
      <c r="P190" s="46">
        <f t="shared" ca="1" si="7"/>
        <v>1.2295081967212037E-5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input_492100!A$2</f>
        <v>492100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IFERROR(VLOOKUP(B191,input_492100!L:R,7,FALSE),VLOOKUP(tables_492100!C191,input_492100!A:H,8,FALSE))</f>
        <v>48324.230770000002</v>
      </c>
      <c r="P191" s="46">
        <f t="shared" ca="1" si="7"/>
        <v>4.2591424969148391E-4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input_492100!A$2</f>
        <v>492100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IFERROR(VLOOKUP(B192,input_492100!L:R,7,FALSE),VLOOKUP(tables_492100!C192,input_492100!A:H,8,FALSE))</f>
        <v>1395</v>
      </c>
      <c r="P192" s="46">
        <f t="shared" ca="1" si="7"/>
        <v>1.2295081967212037E-5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input_492100!A$2</f>
        <v>492100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IFERROR(VLOOKUP(B193,input_492100!L:R,7,FALSE),VLOOKUP(tables_492100!C193,input_492100!A:H,8,FALSE))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input_492100!A$2</f>
        <v>492100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IFERROR(VLOOKUP(B194,input_492100!L:R,7,FALSE),VLOOKUP(tables_492100!C194,input_492100!A:H,8,FALSE))</f>
        <v>973888.46154000005</v>
      </c>
      <c r="P194" s="46">
        <f t="shared" ref="P194:P257" ca="1" si="10">O194/SUM(O:O)</f>
        <v>8.5835401158109864E-3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input_492100!A$2</f>
        <v>492100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IFERROR(VLOOKUP(B195,input_492100!L:R,7,FALSE),VLOOKUP(tables_492100!C195,input_492100!A:H,8,FALSE))</f>
        <v>5774.1346100000001</v>
      </c>
      <c r="P195" s="46">
        <f t="shared" ca="1" si="10"/>
        <v>5.089136797108667E-5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input_492100!A$2</f>
        <v>492100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IFERROR(VLOOKUP(B196,input_492100!L:R,7,FALSE),VLOOKUP(tables_492100!C196,input_492100!A:H,8,FALSE))</f>
        <v>48324.230770000002</v>
      </c>
      <c r="P196" s="46">
        <f t="shared" ca="1" si="10"/>
        <v>4.2591424969148391E-4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input_492100!A$2</f>
        <v>492100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IFERROR(VLOOKUP(B197,input_492100!L:R,7,FALSE),VLOOKUP(tables_492100!C197,input_492100!A:H,8,FALSE))</f>
        <v>1395</v>
      </c>
      <c r="P197" s="46">
        <f t="shared" ca="1" si="10"/>
        <v>1.2295081967212037E-5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input_492100!A$2</f>
        <v>492100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IFERROR(VLOOKUP(B198,input_492100!L:R,7,FALSE),VLOOKUP(tables_492100!C198,input_492100!A:H,8,FALSE))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input_492100!A$2</f>
        <v>492100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IFERROR(VLOOKUP(B199,input_492100!L:R,7,FALSE),VLOOKUP(tables_492100!C199,input_492100!A:H,8,FALSE))</f>
        <v>973888.46154000005</v>
      </c>
      <c r="P199" s="46">
        <f t="shared" ca="1" si="10"/>
        <v>8.5835401158109864E-3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input_492100!A$2</f>
        <v>492100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IFERROR(VLOOKUP(B200,input_492100!L:R,7,FALSE),VLOOKUP(tables_492100!C200,input_492100!A:H,8,FALSE))</f>
        <v>5774.1346100000001</v>
      </c>
      <c r="P200" s="46">
        <f t="shared" ca="1" si="10"/>
        <v>5.089136797108667E-5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input_492100!A$2</f>
        <v>492100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IFERROR(VLOOKUP(B201,input_492100!L:R,7,FALSE),VLOOKUP(tables_492100!C201,input_492100!A:H,8,FALSE))</f>
        <v>48324.230770000002</v>
      </c>
      <c r="P201" s="46">
        <f t="shared" ca="1" si="10"/>
        <v>4.2591424969148391E-4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input_492100!A$2</f>
        <v>492100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IFERROR(VLOOKUP(B202,input_492100!L:R,7,FALSE),VLOOKUP(tables_492100!C202,input_492100!A:H,8,FALSE))</f>
        <v>1395</v>
      </c>
      <c r="P202" s="46">
        <f t="shared" ca="1" si="10"/>
        <v>1.2295081967212037E-5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input_492100!A$2</f>
        <v>492100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IFERROR(VLOOKUP(B203,input_492100!L:R,7,FALSE),VLOOKUP(tables_492100!C203,input_492100!A:H,8,FALSE))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input_492100!A$2</f>
        <v>492100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IFERROR(VLOOKUP(B204,input_492100!L:R,7,FALSE),VLOOKUP(tables_492100!C204,input_492100!A:H,8,FALSE))</f>
        <v>973888.46154000005</v>
      </c>
      <c r="P204" s="46">
        <f t="shared" ca="1" si="10"/>
        <v>8.5835401158109864E-3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input_492100!A$2</f>
        <v>492100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IFERROR(VLOOKUP(B205,input_492100!L:R,7,FALSE),VLOOKUP(tables_492100!C205,input_492100!A:H,8,FALSE))</f>
        <v>5774.1346100000001</v>
      </c>
      <c r="P205" s="46">
        <f t="shared" ca="1" si="10"/>
        <v>5.089136797108667E-5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input_492100!A$2</f>
        <v>492100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IFERROR(VLOOKUP(B206,input_492100!L:R,7,FALSE),VLOOKUP(tables_492100!C206,input_492100!A:H,8,FALSE))</f>
        <v>48324.230770000002</v>
      </c>
      <c r="P206" s="46">
        <f t="shared" ca="1" si="10"/>
        <v>4.2591424969148391E-4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input_492100!A$2</f>
        <v>492100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IFERROR(VLOOKUP(B207,input_492100!L:R,7,FALSE),VLOOKUP(tables_492100!C207,input_492100!A:H,8,FALSE))</f>
        <v>1395</v>
      </c>
      <c r="P207" s="46">
        <f t="shared" ca="1" si="10"/>
        <v>1.2295081967212037E-5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input_492100!A$2</f>
        <v>492100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IFERROR(VLOOKUP(B208,input_492100!L:R,7,FALSE),VLOOKUP(tables_492100!C208,input_492100!A:H,8,FALSE))</f>
        <v>48324.230770000002</v>
      </c>
      <c r="P208" s="46">
        <f t="shared" ca="1" si="10"/>
        <v>4.2591424969148391E-4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input_492100!A$2</f>
        <v>492100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IFERROR(VLOOKUP(B209,input_492100!L:R,7,FALSE),VLOOKUP(tables_492100!C209,input_492100!A:H,8,FALSE))</f>
        <v>1395</v>
      </c>
      <c r="P209" s="46">
        <f t="shared" ca="1" si="10"/>
        <v>1.2295081967212037E-5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input_492100!A$2</f>
        <v>492100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IFERROR(VLOOKUP(B210,input_492100!L:R,7,FALSE),VLOOKUP(tables_492100!C210,input_492100!A:H,8,FALSE))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input_492100!A$2</f>
        <v>492100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IFERROR(VLOOKUP(B211,input_492100!L:R,7,FALSE),VLOOKUP(tables_492100!C211,input_492100!A:H,8,FALSE))</f>
        <v>973888.46154000005</v>
      </c>
      <c r="P211" s="46">
        <f t="shared" ca="1" si="10"/>
        <v>8.5835401158109864E-3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input_492100!A$2</f>
        <v>492100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IFERROR(VLOOKUP(B212,input_492100!L:R,7,FALSE),VLOOKUP(tables_492100!C212,input_492100!A:H,8,FALSE))</f>
        <v>5774.1346100000001</v>
      </c>
      <c r="P212" s="46">
        <f t="shared" ca="1" si="10"/>
        <v>5.089136797108667E-5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input_492100!A$2</f>
        <v>492100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IFERROR(VLOOKUP(B213,input_492100!L:R,7,FALSE),VLOOKUP(tables_492100!C213,input_492100!A:H,8,FALSE))</f>
        <v>48324.230770000002</v>
      </c>
      <c r="P213" s="46">
        <f t="shared" ca="1" si="10"/>
        <v>4.2591424969148391E-4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input_492100!A$2</f>
        <v>492100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IFERROR(VLOOKUP(B214,input_492100!L:R,7,FALSE),VLOOKUP(tables_492100!C214,input_492100!A:H,8,FALSE))</f>
        <v>1395</v>
      </c>
      <c r="P214" s="46">
        <f t="shared" ca="1" si="10"/>
        <v>1.2295081967212037E-5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input_492100!A$2</f>
        <v>492100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IFERROR(VLOOKUP(B215,input_492100!L:R,7,FALSE),VLOOKUP(tables_492100!C215,input_492100!A:H,8,FALSE))</f>
        <v>56425</v>
      </c>
      <c r="P215" s="46">
        <f t="shared" ca="1" si="10"/>
        <v>4.9731182795694558E-4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input_492100!A$2</f>
        <v>492100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IFERROR(VLOOKUP(B216,input_492100!L:R,7,FALSE),VLOOKUP(tables_492100!C216,input_492100!A:H,8,FALSE))</f>
        <v>56425</v>
      </c>
      <c r="P216" s="46">
        <f t="shared" ca="1" si="10"/>
        <v>4.9731182795694558E-4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input_492100!A$2</f>
        <v>492100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IFERROR(VLOOKUP(B217,input_492100!L:R,7,FALSE),VLOOKUP(tables_492100!C217,input_492100!A:H,8,FALSE))</f>
        <v>56425</v>
      </c>
      <c r="P217" s="46">
        <f t="shared" ca="1" si="10"/>
        <v>4.9731182795694558E-4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input_492100!A$2</f>
        <v>492100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IFERROR(VLOOKUP(B218,input_492100!L:R,7,FALSE),VLOOKUP(tables_492100!C218,input_492100!A:H,8,FALSE))</f>
        <v>56425</v>
      </c>
      <c r="P218" s="46">
        <f t="shared" ca="1" si="10"/>
        <v>4.9731182795694558E-4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input_492100!A$2</f>
        <v>492100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IFERROR(VLOOKUP(B219,input_492100!L:R,7,FALSE),VLOOKUP(tables_492100!C219,input_492100!A:H,8,FALSE))</f>
        <v>56425</v>
      </c>
      <c r="P219" s="46">
        <f t="shared" ca="1" si="10"/>
        <v>4.9731182795694558E-4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input_492100!A$2</f>
        <v>492100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IFERROR(VLOOKUP(B220,input_492100!L:R,7,FALSE),VLOOKUP(tables_492100!C220,input_492100!A:H,8,FALSE))</f>
        <v>56425</v>
      </c>
      <c r="P220" s="46">
        <f t="shared" ca="1" si="10"/>
        <v>4.9731182795694558E-4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input_492100!A$2</f>
        <v>492100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>IFERROR(VLOOKUP(B221,input_492100!L:R,7,FALSE),VLOOKUP(tables_492100!C221,input_492100!A:H,8,FALSE))</f>
        <v>1701900</v>
      </c>
      <c r="P221" s="46">
        <f t="shared" ca="1" si="10"/>
        <v>1.4999999999998685E-2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input_492100!A$2</f>
        <v>492100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>IFERROR(VLOOKUP(B222,input_492100!L:R,7,FALSE),VLOOKUP(tables_492100!C222,input_492100!A:H,8,FALSE))</f>
        <v>1701900</v>
      </c>
      <c r="P222" s="46">
        <f t="shared" ca="1" si="10"/>
        <v>1.4999999999998685E-2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input_492100!A$2</f>
        <v>492100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IFERROR(VLOOKUP(B223,input_492100!L:R,7,FALSE),VLOOKUP(tables_492100!C223,input_492100!A:H,8,FALSE))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input_492100!A$2</f>
        <v>492100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IFERROR(VLOOKUP(B224,input_492100!L:R,7,FALSE),VLOOKUP(tables_492100!C224,input_492100!A:H,8,FALSE))</f>
        <v>973888.46154000005</v>
      </c>
      <c r="P224" s="46">
        <f t="shared" ca="1" si="10"/>
        <v>8.5835401158109864E-3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input_492100!A$2</f>
        <v>492100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IFERROR(VLOOKUP(B225,input_492100!L:R,7,FALSE),VLOOKUP(tables_492100!C225,input_492100!A:H,8,FALSE))</f>
        <v>5774.1346100000001</v>
      </c>
      <c r="P225" s="46">
        <f t="shared" ca="1" si="10"/>
        <v>5.089136797108667E-5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input_492100!A$2</f>
        <v>492100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IFERROR(VLOOKUP(B226,input_492100!L:R,7,FALSE),VLOOKUP(tables_492100!C226,input_492100!A:H,8,FALSE))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input_492100!A$2</f>
        <v>492100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IFERROR(VLOOKUP(B227,input_492100!L:R,7,FALSE),VLOOKUP(tables_492100!C227,input_492100!A:H,8,FALSE))</f>
        <v>973888.46154000005</v>
      </c>
      <c r="P227" s="46">
        <f t="shared" ca="1" si="10"/>
        <v>8.5835401158109864E-3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input_492100!A$2</f>
        <v>492100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IFERROR(VLOOKUP(B228,input_492100!L:R,7,FALSE),VLOOKUP(tables_492100!C228,input_492100!A:H,8,FALSE))</f>
        <v>5774.1346100000001</v>
      </c>
      <c r="P228" s="46">
        <f t="shared" ca="1" si="10"/>
        <v>5.089136797108667E-5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input_492100!A$2</f>
        <v>492100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IFERROR(VLOOKUP(B229,input_492100!L:R,7,FALSE),VLOOKUP(tables_492100!C229,input_492100!A:H,8,FALSE))</f>
        <v>48324.230770000002</v>
      </c>
      <c r="P229" s="46">
        <f t="shared" ca="1" si="10"/>
        <v>4.2591424969148391E-4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input_492100!A$2</f>
        <v>492100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IFERROR(VLOOKUP(B230,input_492100!L:R,7,FALSE),VLOOKUP(tables_492100!C230,input_492100!A:H,8,FALSE))</f>
        <v>1395</v>
      </c>
      <c r="P230" s="46">
        <f t="shared" ca="1" si="10"/>
        <v>1.2295081967212037E-5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input_492100!A$2</f>
        <v>492100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IFERROR(VLOOKUP(B231,input_492100!L:R,7,FALSE),VLOOKUP(tables_492100!C231,input_492100!A:H,8,FALSE))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input_492100!A$2</f>
        <v>492100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IFERROR(VLOOKUP(B232,input_492100!L:R,7,FALSE),VLOOKUP(tables_492100!C232,input_492100!A:H,8,FALSE))</f>
        <v>973888.46154000005</v>
      </c>
      <c r="P232" s="46">
        <f t="shared" ca="1" si="10"/>
        <v>8.5835401158109864E-3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input_492100!A$2</f>
        <v>492100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IFERROR(VLOOKUP(B233,input_492100!L:R,7,FALSE),VLOOKUP(tables_492100!C233,input_492100!A:H,8,FALSE))</f>
        <v>5774.1346100000001</v>
      </c>
      <c r="P233" s="46">
        <f t="shared" ca="1" si="10"/>
        <v>5.089136797108667E-5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input_492100!A$2</f>
        <v>492100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IFERROR(VLOOKUP(B234,input_492100!L:R,7,FALSE),VLOOKUP(tables_492100!C234,input_492100!A:H,8,FALSE))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input_492100!A$2</f>
        <v>492100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IFERROR(VLOOKUP(B235,input_492100!L:R,7,FALSE),VLOOKUP(tables_492100!C235,input_492100!A:H,8,FALSE))</f>
        <v>973888.46154000005</v>
      </c>
      <c r="P235" s="46">
        <f t="shared" ca="1" si="10"/>
        <v>8.5835401158109864E-3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input_492100!A$2</f>
        <v>492100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IFERROR(VLOOKUP(B236,input_492100!L:R,7,FALSE),VLOOKUP(tables_492100!C236,input_492100!A:H,8,FALSE))</f>
        <v>5774.1346100000001</v>
      </c>
      <c r="P236" s="46">
        <f t="shared" ca="1" si="10"/>
        <v>5.089136797108667E-5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input_492100!A$2</f>
        <v>492100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IFERROR(VLOOKUP(B237,input_492100!L:R,7,FALSE),VLOOKUP(tables_492100!C237,input_492100!A:H,8,FALSE))</f>
        <v>48324.230770000002</v>
      </c>
      <c r="P237" s="46">
        <f t="shared" ca="1" si="10"/>
        <v>4.2591424969148391E-4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input_492100!A$2</f>
        <v>492100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IFERROR(VLOOKUP(B238,input_492100!L:R,7,FALSE),VLOOKUP(tables_492100!C238,input_492100!A:H,8,FALSE))</f>
        <v>1395</v>
      </c>
      <c r="P238" s="46">
        <f t="shared" ca="1" si="10"/>
        <v>1.2295081967212037E-5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input_492100!A$2</f>
        <v>492100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IFERROR(VLOOKUP(B239,input_492100!L:R,7,FALSE),VLOOKUP(tables_492100!C239,input_492100!A:H,8,FALSE))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input_492100!A$2</f>
        <v>492100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IFERROR(VLOOKUP(B240,input_492100!L:R,7,FALSE),VLOOKUP(tables_492100!C240,input_492100!A:H,8,FALSE))</f>
        <v>973888.46154000005</v>
      </c>
      <c r="P240" s="46">
        <f t="shared" ca="1" si="10"/>
        <v>8.5835401158109864E-3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input_492100!A$2</f>
        <v>492100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IFERROR(VLOOKUP(B241,input_492100!L:R,7,FALSE),VLOOKUP(tables_492100!C241,input_492100!A:H,8,FALSE))</f>
        <v>5774.1346100000001</v>
      </c>
      <c r="P241" s="46">
        <f t="shared" ca="1" si="10"/>
        <v>5.089136797108667E-5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input_492100!A$2</f>
        <v>492100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IFERROR(VLOOKUP(B242,input_492100!L:R,7,FALSE),VLOOKUP(tables_492100!C242,input_492100!A:H,8,FALSE))</f>
        <v>48324.230770000002</v>
      </c>
      <c r="P242" s="46">
        <f t="shared" ca="1" si="10"/>
        <v>4.2591424969148391E-4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input_492100!A$2</f>
        <v>492100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IFERROR(VLOOKUP(B243,input_492100!L:R,7,FALSE),VLOOKUP(tables_492100!C243,input_492100!A:H,8,FALSE))</f>
        <v>1395</v>
      </c>
      <c r="P243" s="46">
        <f t="shared" ca="1" si="10"/>
        <v>1.2295081967212037E-5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input_492100!A$2</f>
        <v>492100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IFERROR(VLOOKUP(B244,input_492100!L:R,7,FALSE),VLOOKUP(tables_492100!C244,input_492100!A:H,8,FALSE))</f>
        <v>48324.230770000002</v>
      </c>
      <c r="P244" s="46">
        <f t="shared" ca="1" si="10"/>
        <v>4.2591424969148391E-4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input_492100!A$2</f>
        <v>492100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IFERROR(VLOOKUP(B245,input_492100!L:R,7,FALSE),VLOOKUP(tables_492100!C245,input_492100!A:H,8,FALSE))</f>
        <v>1395</v>
      </c>
      <c r="P245" s="46">
        <f t="shared" ca="1" si="10"/>
        <v>1.2295081967212037E-5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input_492100!A$2</f>
        <v>492100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IFERROR(VLOOKUP(B246,input_492100!L:R,7,FALSE),VLOOKUP(tables_492100!C246,input_492100!A:H,8,FALSE))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input_492100!A$2</f>
        <v>492100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IFERROR(VLOOKUP(B247,input_492100!L:R,7,FALSE),VLOOKUP(tables_492100!C247,input_492100!A:H,8,FALSE))</f>
        <v>973888.46154000005</v>
      </c>
      <c r="P247" s="46">
        <f t="shared" ca="1" si="10"/>
        <v>8.5835401158109864E-3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input_492100!A$2</f>
        <v>492100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IFERROR(VLOOKUP(B248,input_492100!L:R,7,FALSE),VLOOKUP(tables_492100!C248,input_492100!A:H,8,FALSE))</f>
        <v>5774.1346100000001</v>
      </c>
      <c r="P248" s="46">
        <f t="shared" ca="1" si="10"/>
        <v>5.089136797108667E-5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input_492100!A$2</f>
        <v>492100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IFERROR(VLOOKUP(B249,input_492100!L:R,7,FALSE),VLOOKUP(tables_492100!C249,input_492100!A:H,8,FALSE))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input_492100!A$2</f>
        <v>492100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IFERROR(VLOOKUP(B250,input_492100!L:R,7,FALSE),VLOOKUP(tables_492100!C250,input_492100!A:H,8,FALSE))</f>
        <v>973888.46154000005</v>
      </c>
      <c r="P250" s="46">
        <f t="shared" ca="1" si="10"/>
        <v>8.5835401158109864E-3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input_492100!A$2</f>
        <v>492100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IFERROR(VLOOKUP(B251,input_492100!L:R,7,FALSE),VLOOKUP(tables_492100!C251,input_492100!A:H,8,FALSE))</f>
        <v>5774.1346100000001</v>
      </c>
      <c r="P251" s="46">
        <f t="shared" ca="1" si="10"/>
        <v>5.089136797108667E-5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input_492100!A$2</f>
        <v>492100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IFERROR(VLOOKUP(B252,input_492100!L:R,7,FALSE),VLOOKUP(tables_492100!C252,input_492100!A:H,8,FALSE))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input_492100!A$2</f>
        <v>492100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IFERROR(VLOOKUP(B253,input_492100!L:R,7,FALSE),VLOOKUP(tables_492100!C253,input_492100!A:H,8,FALSE))</f>
        <v>973888.46154000005</v>
      </c>
      <c r="P253" s="46">
        <f t="shared" ca="1" si="10"/>
        <v>8.5835401158109864E-3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input_492100!A$2</f>
        <v>492100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IFERROR(VLOOKUP(B254,input_492100!L:R,7,FALSE),VLOOKUP(tables_492100!C254,input_492100!A:H,8,FALSE))</f>
        <v>5774.1346100000001</v>
      </c>
      <c r="P254" s="46">
        <f t="shared" ca="1" si="10"/>
        <v>5.089136797108667E-5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input_492100!A$2</f>
        <v>492100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IFERROR(VLOOKUP(B255,input_492100!L:R,7,FALSE),VLOOKUP(tables_492100!C255,input_492100!A:H,8,FALSE))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input_492100!A$2</f>
        <v>492100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IFERROR(VLOOKUP(B256,input_492100!L:R,7,FALSE),VLOOKUP(tables_492100!C256,input_492100!A:H,8,FALSE))</f>
        <v>973888.46154000005</v>
      </c>
      <c r="P256" s="46">
        <f t="shared" ca="1" si="10"/>
        <v>8.5835401158109864E-3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input_492100!A$2</f>
        <v>492100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IFERROR(VLOOKUP(B257,input_492100!L:R,7,FALSE),VLOOKUP(tables_492100!C257,input_492100!A:H,8,FALSE))</f>
        <v>5774.1346100000001</v>
      </c>
      <c r="P257" s="46">
        <f t="shared" ca="1" si="10"/>
        <v>5.089136797108667E-5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input_492100!A$2</f>
        <v>492100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IFERROR(VLOOKUP(B258,input_492100!L:R,7,FALSE),VLOOKUP(tables_492100!C258,input_492100!A:H,8,FALSE))</f>
        <v>48324.230770000002</v>
      </c>
      <c r="P258" s="46">
        <f t="shared" ref="P258:P294" ca="1" si="13">O258/SUM(O:O)</f>
        <v>4.2591424969148391E-4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input_492100!A$2</f>
        <v>492100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IFERROR(VLOOKUP(B259,input_492100!L:R,7,FALSE),VLOOKUP(tables_492100!C259,input_492100!A:H,8,FALSE))</f>
        <v>1395</v>
      </c>
      <c r="P259" s="46">
        <f t="shared" ca="1" si="13"/>
        <v>1.2295081967212037E-5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input_492100!A$2</f>
        <v>492100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IFERROR(VLOOKUP(B260,input_492100!L:R,7,FALSE),VLOOKUP(tables_492100!C260,input_492100!A:H,8,FALSE))</f>
        <v>48324.230770000002</v>
      </c>
      <c r="P260" s="46">
        <f t="shared" ca="1" si="13"/>
        <v>4.2591424969148391E-4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input_492100!A$2</f>
        <v>492100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IFERROR(VLOOKUP(B261,input_492100!L:R,7,FALSE),VLOOKUP(tables_492100!C261,input_492100!A:H,8,FALSE))</f>
        <v>1395</v>
      </c>
      <c r="P261" s="46">
        <f t="shared" ca="1" si="13"/>
        <v>1.2295081967212037E-5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input_492100!A$2</f>
        <v>492100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IFERROR(VLOOKUP(B262,input_492100!L:R,7,FALSE),VLOOKUP(tables_492100!C262,input_492100!A:H,8,FALSE))</f>
        <v>1052160.29412</v>
      </c>
      <c r="P262" s="46">
        <f t="shared" ca="1" si="13"/>
        <v>9.2734029095708423E-3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input_492100!A$2</f>
        <v>492100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IFERROR(VLOOKUP(B263,input_492100!L:R,7,FALSE),VLOOKUP(tables_492100!C263,input_492100!A:H,8,FALSE))</f>
        <v>56425</v>
      </c>
      <c r="P263" s="46">
        <f t="shared" ca="1" si="13"/>
        <v>4.9731182795694558E-4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input_492100!A$2</f>
        <v>492100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IFERROR(VLOOKUP(B264,input_492100!L:R,7,FALSE),VLOOKUP(tables_492100!C264,input_492100!A:H,8,FALSE))</f>
        <v>1052160.29412</v>
      </c>
      <c r="P264" s="46">
        <f t="shared" ca="1" si="13"/>
        <v>9.2734029095708423E-3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input_492100!A$2</f>
        <v>492100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IFERROR(VLOOKUP(B265,input_492100!L:R,7,FALSE),VLOOKUP(tables_492100!C265,input_492100!A:H,8,FALSE))</f>
        <v>56425</v>
      </c>
      <c r="P265" s="46">
        <f t="shared" ca="1" si="13"/>
        <v>4.9731182795694558E-4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input_492100!A$2</f>
        <v>492100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IFERROR(VLOOKUP(B266,input_492100!L:R,7,FALSE),VLOOKUP(tables_492100!C266,input_492100!A:H,8,FALSE))</f>
        <v>11691.42857</v>
      </c>
      <c r="P266" s="46">
        <f t="shared" ca="1" si="13"/>
        <v>1.0304449647451943E-4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input_492100!A$2</f>
        <v>492100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IFERROR(VLOOKUP(B267,input_492100!L:R,7,FALSE),VLOOKUP(tables_492100!C267,input_492100!A:H,8,FALSE))</f>
        <v>11691.42857</v>
      </c>
      <c r="P267" s="46">
        <f t="shared" ca="1" si="13"/>
        <v>1.0304449647451943E-4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input_492100!A$2</f>
        <v>492100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IFERROR(VLOOKUP(B268,input_492100!L:R,7,FALSE),VLOOKUP(tables_492100!C268,input_492100!A:H,8,FALSE))</f>
        <v>11691.42857</v>
      </c>
      <c r="P268" s="46">
        <f t="shared" ca="1" si="13"/>
        <v>1.0304449647451943E-4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input_492100!A$2</f>
        <v>492100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IFERROR(VLOOKUP(B269,input_492100!L:R,7,FALSE),VLOOKUP(tables_492100!C269,input_492100!A:H,8,FALSE))</f>
        <v>11691.42857</v>
      </c>
      <c r="P269" s="46">
        <f t="shared" ca="1" si="13"/>
        <v>1.0304449647451943E-4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input_492100!A$2</f>
        <v>492100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IFERROR(VLOOKUP(B270,input_492100!L:R,7,FALSE),VLOOKUP(tables_492100!C270,input_492100!A:H,8,FALSE))</f>
        <v>1052160.29412</v>
      </c>
      <c r="P270" s="46">
        <f t="shared" ca="1" si="13"/>
        <v>9.2734029095708423E-3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input_492100!A$2</f>
        <v>492100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IFERROR(VLOOKUP(B271,input_492100!L:R,7,FALSE),VLOOKUP(tables_492100!C271,input_492100!A:H,8,FALSE))</f>
        <v>56425</v>
      </c>
      <c r="P271" s="46">
        <f t="shared" ca="1" si="13"/>
        <v>4.9731182795694558E-4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input_492100!A$2</f>
        <v>492100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IFERROR(VLOOKUP(B272,input_492100!L:R,7,FALSE),VLOOKUP(tables_492100!C272,input_492100!A:H,8,FALSE))</f>
        <v>1052160.29412</v>
      </c>
      <c r="P272" s="46">
        <f t="shared" ca="1" si="13"/>
        <v>9.2734029095708423E-3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input_492100!A$2</f>
        <v>492100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IFERROR(VLOOKUP(B273,input_492100!L:R,7,FALSE),VLOOKUP(tables_492100!C273,input_492100!A:H,8,FALSE))</f>
        <v>56425</v>
      </c>
      <c r="P273" s="46">
        <f t="shared" ca="1" si="13"/>
        <v>4.9731182795694558E-4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input_492100!A$2</f>
        <v>492100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IFERROR(VLOOKUP(B274,input_492100!L:R,7,FALSE),VLOOKUP(tables_492100!C274,input_492100!A:H,8,FALSE))</f>
        <v>48324.230770000002</v>
      </c>
      <c r="P274" s="46">
        <f t="shared" ca="1" si="13"/>
        <v>4.2591424969148391E-4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input_492100!A$2</f>
        <v>492100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IFERROR(VLOOKUP(B275,input_492100!L:R,7,FALSE),VLOOKUP(tables_492100!C275,input_492100!A:H,8,FALSE))</f>
        <v>1395</v>
      </c>
      <c r="P275" s="46">
        <f t="shared" ca="1" si="13"/>
        <v>1.2295081967212037E-5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input_492100!A$2</f>
        <v>492100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IFERROR(VLOOKUP(B276,input_492100!L:R,7,FALSE),VLOOKUP(tables_492100!C276,input_492100!A:H,8,FALSE))</f>
        <v>48324.230770000002</v>
      </c>
      <c r="P276" s="46">
        <f t="shared" ca="1" si="13"/>
        <v>4.2591424969148391E-4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input_492100!A$2</f>
        <v>492100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IFERROR(VLOOKUP(B277,input_492100!L:R,7,FALSE),VLOOKUP(tables_492100!C277,input_492100!A:H,8,FALSE))</f>
        <v>1395</v>
      </c>
      <c r="P277" s="46">
        <f t="shared" ca="1" si="13"/>
        <v>1.2295081967212037E-5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input_492100!A$2</f>
        <v>492100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IFERROR(VLOOKUP(B278,input_492100!L:R,7,FALSE),VLOOKUP(tables_492100!C278,input_492100!A:H,8,FALSE))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input_492100!A$2</f>
        <v>492100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IFERROR(VLOOKUP(B279,input_492100!L:R,7,FALSE),VLOOKUP(tables_492100!C279,input_492100!A:H,8,FALSE))</f>
        <v>973888.46154000005</v>
      </c>
      <c r="P279" s="46">
        <f t="shared" ca="1" si="13"/>
        <v>8.5835401158109864E-3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input_492100!A$2</f>
        <v>492100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IFERROR(VLOOKUP(B280,input_492100!L:R,7,FALSE),VLOOKUP(tables_492100!C280,input_492100!A:H,8,FALSE))</f>
        <v>5774.1346100000001</v>
      </c>
      <c r="P280" s="46">
        <f t="shared" ca="1" si="13"/>
        <v>5.089136797108667E-5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input_492100!A$2</f>
        <v>492100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IFERROR(VLOOKUP(B281,input_492100!L:R,7,FALSE),VLOOKUP(tables_492100!C281,input_492100!A:H,8,FALSE))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input_492100!A$2</f>
        <v>492100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IFERROR(VLOOKUP(B282,input_492100!L:R,7,FALSE),VLOOKUP(tables_492100!C282,input_492100!A:H,8,FALSE))</f>
        <v>973888.46154000005</v>
      </c>
      <c r="P282" s="46">
        <f t="shared" ca="1" si="13"/>
        <v>8.5835401158109864E-3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input_492100!A$2</f>
        <v>492100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IFERROR(VLOOKUP(B283,input_492100!L:R,7,FALSE),VLOOKUP(tables_492100!C283,input_492100!A:H,8,FALSE))</f>
        <v>5774.1346100000001</v>
      </c>
      <c r="P283" s="46">
        <f t="shared" ca="1" si="13"/>
        <v>5.089136797108667E-5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input_492100!A$2</f>
        <v>492100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IFERROR(VLOOKUP(B284,input_492100!L:R,7,FALSE),VLOOKUP(tables_492100!C284,input_492100!A:H,8,FALSE))</f>
        <v>11691.42857</v>
      </c>
      <c r="P284" s="46">
        <f t="shared" ca="1" si="13"/>
        <v>1.0304449647451943E-4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input_492100!A$2</f>
        <v>492100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IFERROR(VLOOKUP(B285,input_492100!L:R,7,FALSE),VLOOKUP(tables_492100!C285,input_492100!A:H,8,FALSE))</f>
        <v>11691.42857</v>
      </c>
      <c r="P285" s="46">
        <f t="shared" ca="1" si="13"/>
        <v>1.0304449647451943E-4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input_492100!A$2</f>
        <v>492100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IFERROR(VLOOKUP(B286,input_492100!L:R,7,FALSE),VLOOKUP(tables_492100!C286,input_492100!A:H,8,FALSE))</f>
        <v>1052160.29412</v>
      </c>
      <c r="P286" s="46">
        <f t="shared" ca="1" si="13"/>
        <v>9.2734029095708423E-3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input_492100!A$2</f>
        <v>492100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IFERROR(VLOOKUP(B287,input_492100!L:R,7,FALSE),VLOOKUP(tables_492100!C287,input_492100!A:H,8,FALSE))</f>
        <v>56425</v>
      </c>
      <c r="P287" s="46">
        <f t="shared" ca="1" si="13"/>
        <v>4.9731182795694558E-4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input_492100!A$2</f>
        <v>492100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IFERROR(VLOOKUP(B288,input_492100!L:R,7,FALSE),VLOOKUP(tables_492100!C288,input_492100!A:H,8,FALSE))</f>
        <v>1052160.29412</v>
      </c>
      <c r="P288" s="46">
        <f t="shared" ca="1" si="13"/>
        <v>9.2734029095708423E-3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input_492100!A$2</f>
        <v>492100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IFERROR(VLOOKUP(B289,input_492100!L:R,7,FALSE),VLOOKUP(tables_492100!C289,input_492100!A:H,8,FALSE))</f>
        <v>56425</v>
      </c>
      <c r="P289" s="46">
        <f t="shared" ca="1" si="13"/>
        <v>4.9731182795694558E-4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input_492100!A$2</f>
        <v>492100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IFERROR(VLOOKUP(B290,input_492100!L:R,7,FALSE),VLOOKUP(tables_492100!C290,input_492100!A:H,8,FALSE))</f>
        <v>1052160.29412</v>
      </c>
      <c r="P290" s="46">
        <f t="shared" ca="1" si="13"/>
        <v>9.2734029095708423E-3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input_492100!A$2</f>
        <v>492100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IFERROR(VLOOKUP(B291,input_492100!L:R,7,FALSE),VLOOKUP(tables_492100!C291,input_492100!A:H,8,FALSE))</f>
        <v>56425</v>
      </c>
      <c r="P291" s="46">
        <f t="shared" ca="1" si="13"/>
        <v>4.9731182795694558E-4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input_492100!A$2</f>
        <v>492100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IFERROR(VLOOKUP(B292,input_492100!L:R,7,FALSE),VLOOKUP(tables_492100!C292,input_492100!A:H,8,FALSE))</f>
        <v>1052160.29412</v>
      </c>
      <c r="P292" s="46">
        <f t="shared" ca="1" si="13"/>
        <v>9.2734029095708423E-3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input_492100!A$2</f>
        <v>492100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IFERROR(VLOOKUP(B293,input_492100!L:R,7,FALSE),VLOOKUP(tables_492100!C293,input_492100!A:H,8,FALSE))</f>
        <v>56425</v>
      </c>
      <c r="P293" s="46">
        <f t="shared" ca="1" si="13"/>
        <v>4.9731182795694558E-4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input_492100!A$2</f>
        <v>492100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IFERROR(VLOOKUP(B294,input_492100!L:R,7,FALSE),VLOOKUP(tables_492100!C294,input_492100!A:H,8,FALSE))</f>
        <v>11691.42857</v>
      </c>
      <c r="P294" s="46">
        <f t="shared" ca="1" si="13"/>
        <v>1.0304449647451943E-4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input_492100!A$2</f>
        <v>492100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IFERROR(VLOOKUP(B295,input_492100!L:R,7,FALSE),VLOOKUP(tables_492100!C295,input_492100!A:H,8,FALSE))</f>
        <v>11691.42857</v>
      </c>
      <c r="P295" s="46">
        <f t="shared" ref="P295:P299" ca="1" si="20">O295/SUM(O:O)</f>
        <v>1.0304449647451943E-4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input_492100!A$2</f>
        <v>492100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IFERROR(VLOOKUP(B296,input_492100!L:R,7,FALSE),VLOOKUP(tables_492100!C296,input_492100!A:H,8,FALSE))</f>
        <v>11691.42857</v>
      </c>
      <c r="P296" s="46">
        <f t="shared" ca="1" si="20"/>
        <v>1.0304449647451943E-4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input_492100!A$2</f>
        <v>492100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IFERROR(VLOOKUP(B297,input_492100!L:R,7,FALSE),VLOOKUP(tables_492100!C297,input_492100!A:H,8,FALSE))</f>
        <v>1052160.29412</v>
      </c>
      <c r="P297" s="46">
        <f t="shared" ca="1" si="20"/>
        <v>9.2734029095708423E-3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input_492100!A$2</f>
        <v>492100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IFERROR(VLOOKUP(B298,input_492100!L:R,7,FALSE),VLOOKUP(tables_492100!C298,input_492100!A:H,8,FALSE))</f>
        <v>56425</v>
      </c>
      <c r="P298" s="46">
        <f t="shared" ca="1" si="20"/>
        <v>4.9731182795694558E-4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input_492100!A$2</f>
        <v>492100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IFERROR(VLOOKUP(B299,input_492100!L:R,7,FALSE),VLOOKUP(tables_492100!C299,input_492100!A:H,8,FALSE))</f>
        <v>11691.42857</v>
      </c>
      <c r="P299" s="46">
        <f t="shared" ca="1" si="20"/>
        <v>1.0304449647451943E-4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input_492100!A$2</f>
        <v>492100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IFERROR(VLOOKUP(B300,input_492100!L:R,7,FALSE),VLOOKUP(tables_492100!C300,input_492100!A:H,8,FALSE))</f>
        <v>11691.42857</v>
      </c>
      <c r="P300" s="46">
        <f t="shared" ref="P300:P304" ca="1" si="22">O300/SUM(O:O)</f>
        <v>1.0304449647451943E-4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input_492100!A$2</f>
        <v>492100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IFERROR(VLOOKUP(B301,input_492100!L:R,7,FALSE),VLOOKUP(tables_492100!C301,input_492100!A:H,8,FALSE))</f>
        <v>11691.42857</v>
      </c>
      <c r="P301" s="46">
        <f t="shared" ca="1" si="22"/>
        <v>1.0304449647451943E-4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input_492100!A$2</f>
        <v>492100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IFERROR(VLOOKUP(B302,input_492100!L:R,7,FALSE),VLOOKUP(tables_492100!C302,input_492100!A:H,8,FALSE))</f>
        <v>11691.42857</v>
      </c>
      <c r="P302" s="46">
        <f t="shared" ca="1" si="22"/>
        <v>1.0304449647451943E-4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input_492100!A$2</f>
        <v>492100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IFERROR(VLOOKUP(B303,input_492100!L:R,7,FALSE),VLOOKUP(tables_492100!C303,input_492100!A:H,8,FALSE))</f>
        <v>1052160.29412</v>
      </c>
      <c r="P303" s="46">
        <f t="shared" ca="1" si="22"/>
        <v>9.2734029095708423E-3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input_492100!A$2</f>
        <v>492100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IFERROR(VLOOKUP(B304,input_492100!L:R,7,FALSE),VLOOKUP(tables_492100!C304,input_492100!A:H,8,FALSE))</f>
        <v>56425</v>
      </c>
      <c r="P304" s="46">
        <f t="shared" ca="1" si="22"/>
        <v>4.9731182795694558E-4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input_492100!A$2</f>
        <v>492100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IFERROR(VLOOKUP(B305,input_492100!L:R,7,FALSE),VLOOKUP(tables_492100!C305,input_492100!A:H,8,FALSE))</f>
        <v>11691.42857</v>
      </c>
      <c r="P305" s="46">
        <f t="shared" ref="P305:P308" ca="1" si="24">O305/SUM(O:O)</f>
        <v>1.0304449647451943E-4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input_492100!A$2</f>
        <v>492100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IFERROR(VLOOKUP(B306,input_492100!L:R,7,FALSE),VLOOKUP(tables_492100!C306,input_492100!A:H,8,FALSE))</f>
        <v>1052160.29412</v>
      </c>
      <c r="P306" s="46">
        <f t="shared" ca="1" si="24"/>
        <v>9.2734029095708423E-3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input_492100!A$2</f>
        <v>492100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IFERROR(VLOOKUP(B307,input_492100!L:R,7,FALSE),VLOOKUP(tables_492100!C307,input_492100!A:H,8,FALSE))</f>
        <v>56425</v>
      </c>
      <c r="P307" s="46">
        <f t="shared" ca="1" si="24"/>
        <v>4.9731182795694558E-4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input_492100!A$2</f>
        <v>492100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IFERROR(VLOOKUP(B308,input_492100!L:R,7,FALSE),VLOOKUP(tables_492100!C308,input_492100!A:H,8,FALSE))</f>
        <v>11691.42857</v>
      </c>
      <c r="P308" s="46">
        <f t="shared" ca="1" si="24"/>
        <v>1.0304449647451943E-4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input_492100!A$2</f>
        <v>492100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IFERROR(VLOOKUP(B309,input_492100!L:R,7,FALSE),VLOOKUP(tables_492100!C309,input_492100!A:H,8,FALSE))</f>
        <v>11691.42857</v>
      </c>
      <c r="P309" s="46">
        <f t="shared" ref="P309" ca="1" si="26">O309/SUM(O:O)</f>
        <v>1.0304449647451943E-4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input_492100!A$2</f>
        <v>492100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IFERROR(VLOOKUP(B310,input_492100!L:R,7,FALSE),VLOOKUP(tables_492100!C310,input_492100!A:H,8,FALSE))</f>
        <v>11691.42857</v>
      </c>
      <c r="P310" s="46">
        <f t="shared" ref="P310:P314" ca="1" si="28">O310/SUM(O:O)</f>
        <v>1.0304449647451943E-4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input_492100!A$2</f>
        <v>492100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IFERROR(VLOOKUP(B311,input_492100!L:R,7,FALSE),VLOOKUP(tables_492100!C311,input_492100!A:H,8,FALSE))</f>
        <v>1052160.29412</v>
      </c>
      <c r="P311" s="46">
        <f t="shared" ca="1" si="28"/>
        <v>9.2734029095708423E-3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input_492100!A$2</f>
        <v>492100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IFERROR(VLOOKUP(B312,input_492100!L:R,7,FALSE),VLOOKUP(tables_492100!C312,input_492100!A:H,8,FALSE))</f>
        <v>56425</v>
      </c>
      <c r="P312" s="46">
        <f t="shared" ca="1" si="28"/>
        <v>4.9731182795694558E-4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input_492100!A$2</f>
        <v>492100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IFERROR(VLOOKUP(B313,input_492100!L:R,7,FALSE),VLOOKUP(tables_492100!C313,input_492100!A:H,8,FALSE))</f>
        <v>11691.42857</v>
      </c>
      <c r="P313" s="46">
        <f t="shared" ca="1" si="28"/>
        <v>1.0304449647451943E-4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input_492100!A$2</f>
        <v>492100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IFERROR(VLOOKUP(B314,input_492100!L:R,7,FALSE),VLOOKUP(tables_492100!C314,input_492100!A:H,8,FALSE))</f>
        <v>11691.42857</v>
      </c>
      <c r="P314" s="46">
        <f t="shared" ca="1" si="28"/>
        <v>1.0304449647451943E-4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input_492100!A$2</f>
        <v>492100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IFERROR(VLOOKUP(B315,input_492100!L:R,7,FALSE),VLOOKUP(tables_492100!C315,input_492100!A:H,8,FALSE))</f>
        <v>11691.42857</v>
      </c>
      <c r="P315" s="46">
        <f t="shared" ref="P315:P319" ca="1" si="30">O315/SUM(O:O)</f>
        <v>1.0304449647451943E-4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input_492100!A$2</f>
        <v>492100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IFERROR(VLOOKUP(B316,input_492100!L:R,7,FALSE),VLOOKUP(tables_492100!C316,input_492100!A:H,8,FALSE))</f>
        <v>11691.42857</v>
      </c>
      <c r="P316" s="46">
        <f t="shared" ca="1" si="30"/>
        <v>1.0304449647451943E-4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input_492100!A$2</f>
        <v>492100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IFERROR(VLOOKUP(B317,input_492100!L:R,7,FALSE),VLOOKUP(tables_492100!C317,input_492100!A:H,8,FALSE))</f>
        <v>11691.42857</v>
      </c>
      <c r="P317" s="46">
        <f t="shared" ca="1" si="30"/>
        <v>1.0304449647451943E-4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input_492100!A$2</f>
        <v>492100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IFERROR(VLOOKUP(B318,input_492100!L:R,7,FALSE),VLOOKUP(tables_492100!C318,input_492100!A:H,8,FALSE))</f>
        <v>1052160.29412</v>
      </c>
      <c r="P318" s="46">
        <f t="shared" ca="1" si="30"/>
        <v>9.2734029095708423E-3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input_492100!A$2</f>
        <v>492100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IFERROR(VLOOKUP(B319,input_492100!L:R,7,FALSE),VLOOKUP(tables_492100!C319,input_492100!A:H,8,FALSE))</f>
        <v>56425</v>
      </c>
      <c r="P319" s="46">
        <f t="shared" ca="1" si="30"/>
        <v>4.9731182795694558E-4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input_492100!A$2</f>
        <v>492100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IFERROR(VLOOKUP(B320,input_492100!L:R,7,FALSE),VLOOKUP(tables_492100!C320,input_492100!A:H,8,FALSE))</f>
        <v>11691.42857</v>
      </c>
      <c r="P320" s="46">
        <f t="shared" ref="P320:P324" ca="1" si="32">O320/SUM(O:O)</f>
        <v>1.0304449647451943E-4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input_492100!A$2</f>
        <v>492100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IFERROR(VLOOKUP(B321,input_492100!L:R,7,FALSE),VLOOKUP(tables_492100!C321,input_492100!A:H,8,FALSE))</f>
        <v>11691.42857</v>
      </c>
      <c r="P321" s="46">
        <f t="shared" ca="1" si="32"/>
        <v>1.0304449647451943E-4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input_492100!A$2</f>
        <v>492100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IFERROR(VLOOKUP(B322,input_492100!L:R,7,FALSE),VLOOKUP(tables_492100!C322,input_492100!A:H,8,FALSE))</f>
        <v>11691.42857</v>
      </c>
      <c r="P322" s="46">
        <f t="shared" ca="1" si="32"/>
        <v>1.0304449647451943E-4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input_492100!A$2</f>
        <v>492100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IFERROR(VLOOKUP(B323,input_492100!L:R,7,FALSE),VLOOKUP(tables_492100!C323,input_492100!A:H,8,FALSE))</f>
        <v>11691.42857</v>
      </c>
      <c r="P323" s="46">
        <f t="shared" ca="1" si="32"/>
        <v>1.0304449647451943E-4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input_492100!A$2</f>
        <v>492100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IFERROR(VLOOKUP(B324,input_492100!L:R,7,FALSE),VLOOKUP(tables_492100!C324,input_492100!A:H,8,FALSE))</f>
        <v>1052160.29412</v>
      </c>
      <c r="P324" s="46">
        <f t="shared" ca="1" si="32"/>
        <v>9.2734029095708423E-3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input_492100!A$2</f>
        <v>492100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IFERROR(VLOOKUP(B325,input_492100!L:R,7,FALSE),VLOOKUP(tables_492100!C325,input_492100!A:H,8,FALSE))</f>
        <v>56425</v>
      </c>
      <c r="P325" s="46">
        <f t="shared" ref="P325:P330" ca="1" si="35">O325/SUM(O:O)</f>
        <v>4.9731182795694558E-4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input_492100!A$2</f>
        <v>492100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IFERROR(VLOOKUP(B326,input_492100!L:R,7,FALSE),VLOOKUP(tables_492100!C326,input_492100!A:H,8,FALSE))</f>
        <v>1052160.29412</v>
      </c>
      <c r="P326" s="46">
        <f t="shared" ca="1" si="35"/>
        <v>9.2734029095708423E-3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input_492100!A$2</f>
        <v>492100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IFERROR(VLOOKUP(B327,input_492100!L:R,7,FALSE),VLOOKUP(tables_492100!C327,input_492100!A:H,8,FALSE))</f>
        <v>56425</v>
      </c>
      <c r="P327" s="46">
        <f t="shared" ca="1" si="35"/>
        <v>4.9731182795694558E-4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input_492100!A$2</f>
        <v>492100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IFERROR(VLOOKUP(B328,input_492100!L:R,7,FALSE),VLOOKUP(tables_492100!C328,input_492100!A:H,8,FALSE))</f>
        <v>11691.42857</v>
      </c>
      <c r="P328" s="46">
        <f t="shared" ca="1" si="35"/>
        <v>1.0304449647451943E-4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input_492100!A$2</f>
        <v>492100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IFERROR(VLOOKUP(B329,input_492100!L:R,7,FALSE),VLOOKUP(tables_492100!C329,input_492100!A:H,8,FALSE))</f>
        <v>11691.42857</v>
      </c>
      <c r="P329" s="46">
        <f t="shared" ca="1" si="35"/>
        <v>1.0304449647451943E-4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input_492100!A$2</f>
        <v>492100</v>
      </c>
      <c r="B330" s="2">
        <v>1157</v>
      </c>
      <c r="C330" s="7" t="str">
        <f t="shared" si="34"/>
        <v>PremiumSS5R5only</v>
      </c>
      <c r="D330" s="97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IFERROR(VLOOKUP(B330,input_492100!L:R,7,FALSE),VLOOKUP(tables_492100!C330,input_492100!A:H,8,FALSE))</f>
        <v>11691.42857</v>
      </c>
      <c r="P330" s="46">
        <f t="shared" ca="1" si="35"/>
        <v>1.0304449647451943E-4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input_492100!A$2</f>
        <v>492100</v>
      </c>
      <c r="B331" s="60">
        <v>1214</v>
      </c>
      <c r="C331" s="7" t="str">
        <f t="shared" ref="C331:C335" si="36">D331&amp;J331&amp;E331&amp;F331&amp;G331</f>
        <v>PremiumSS5R5only</v>
      </c>
      <c r="D331" s="97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IFERROR(VLOOKUP(B331,input_492100!L:R,7,FALSE),VLOOKUP(tables_492100!C331,input_492100!A:H,8,FALSE))</f>
        <v>11691.42857</v>
      </c>
      <c r="P331" s="46">
        <f t="shared" ref="P331:P335" ca="1" si="38">O331/SUM(O:O)</f>
        <v>1.0304449647451943E-4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input_492100!A$2</f>
        <v>492100</v>
      </c>
      <c r="B332" s="60">
        <v>1212</v>
      </c>
      <c r="C332" s="7" t="str">
        <f t="shared" si="36"/>
        <v>PremiumSS5R5only</v>
      </c>
      <c r="D332" s="97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IFERROR(VLOOKUP(B332,input_492100!L:R,7,FALSE),VLOOKUP(tables_492100!C332,input_492100!A:H,8,FALSE))</f>
        <v>11691.42857</v>
      </c>
      <c r="P332" s="46">
        <f t="shared" ca="1" si="38"/>
        <v>1.0304449647451943E-4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input_492100!A$2</f>
        <v>492100</v>
      </c>
      <c r="B333" s="60">
        <v>1208</v>
      </c>
      <c r="C333" s="7" t="str">
        <f t="shared" si="36"/>
        <v>PremiumSS5R5only</v>
      </c>
      <c r="D333" s="97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IFERROR(VLOOKUP(B333,input_492100!L:R,7,FALSE),VLOOKUP(tables_492100!C333,input_492100!A:H,8,FALSE))</f>
        <v>11691.42857</v>
      </c>
      <c r="P333" s="46">
        <f t="shared" ca="1" si="38"/>
        <v>1.0304449647451943E-4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input_492100!A$2</f>
        <v>492100</v>
      </c>
      <c r="B334" s="93">
        <v>1210</v>
      </c>
      <c r="C334" s="7" t="str">
        <f t="shared" si="36"/>
        <v>Premium4R3less</v>
      </c>
      <c r="D334" s="97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IFERROR(VLOOKUP(B334,input_492100!L:R,7,FALSE),VLOOKUP(tables_492100!C334,input_492100!A:H,8,FALSE))</f>
        <v>1052160.29412</v>
      </c>
      <c r="P334" s="46">
        <f t="shared" ca="1" si="38"/>
        <v>9.2734029095708423E-3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input_492100!A$2</f>
        <v>492100</v>
      </c>
      <c r="B335" s="60">
        <v>1211</v>
      </c>
      <c r="C335" s="7" t="str">
        <f t="shared" si="36"/>
        <v>Premium5R3less</v>
      </c>
      <c r="D335" s="97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IFERROR(VLOOKUP(B335,input_492100!L:R,7,FALSE),VLOOKUP(tables_492100!C335,input_492100!A:H,8,FALSE))</f>
        <v>56425</v>
      </c>
      <c r="P335" s="46">
        <f t="shared" ca="1" si="38"/>
        <v>4.9731182795694558E-4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input_492100!A$2</f>
        <v>492100</v>
      </c>
      <c r="B336" s="2">
        <v>1224</v>
      </c>
      <c r="C336" s="7" t="str">
        <f t="shared" ref="C336:C340" si="39">D336&amp;J336&amp;E336&amp;F336&amp;G336</f>
        <v>Premium4R3less</v>
      </c>
      <c r="D336" s="97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IFERROR(VLOOKUP(B336,input_492100!L:R,7,FALSE),VLOOKUP(tables_492100!C336,input_492100!A:H,8,FALSE))</f>
        <v>1052160.29412</v>
      </c>
      <c r="P336" s="46">
        <f t="shared" ref="P336:P340" ca="1" si="41">O336/SUM(O:O)</f>
        <v>9.2734029095708423E-3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input_492100!A$2</f>
        <v>492100</v>
      </c>
      <c r="B337" s="2">
        <v>1225</v>
      </c>
      <c r="C337" s="7" t="str">
        <f t="shared" si="39"/>
        <v>Premium5R3less</v>
      </c>
      <c r="D337" s="97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IFERROR(VLOOKUP(B337,input_492100!L:R,7,FALSE),VLOOKUP(tables_492100!C337,input_492100!A:H,8,FALSE))</f>
        <v>56425</v>
      </c>
      <c r="P337" s="46">
        <f t="shared" ca="1" si="41"/>
        <v>4.9731182795694558E-4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input_492100!A$2</f>
        <v>492100</v>
      </c>
      <c r="B338" s="2">
        <v>1226</v>
      </c>
      <c r="C338" s="7" t="str">
        <f t="shared" si="39"/>
        <v>PremiumSS5R5only</v>
      </c>
      <c r="D338" s="97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IFERROR(VLOOKUP(B338,input_492100!L:R,7,FALSE),VLOOKUP(tables_492100!C338,input_492100!A:H,8,FALSE))</f>
        <v>11691.42857</v>
      </c>
      <c r="P338" s="46">
        <f t="shared" ca="1" si="41"/>
        <v>1.0304449647451943E-4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input_492100!A$2</f>
        <v>492100</v>
      </c>
      <c r="B339" s="2">
        <v>1228</v>
      </c>
      <c r="C339" s="7" t="str">
        <f t="shared" si="39"/>
        <v>PremiumSS5R5only</v>
      </c>
      <c r="D339" s="97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IFERROR(VLOOKUP(B339,input_492100!L:R,7,FALSE),VLOOKUP(tables_492100!C339,input_492100!A:H,8,FALSE))</f>
        <v>11691.42857</v>
      </c>
      <c r="P339" s="46">
        <f t="shared" ca="1" si="41"/>
        <v>1.0304449647451943E-4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input_492100!A$2</f>
        <v>492100</v>
      </c>
      <c r="B340" s="2">
        <v>1230</v>
      </c>
      <c r="C340" s="7" t="str">
        <f t="shared" si="39"/>
        <v>PremiumSS5R5only</v>
      </c>
      <c r="D340" s="97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IFERROR(VLOOKUP(B340,input_492100!L:R,7,FALSE),VLOOKUP(tables_492100!C340,input_492100!A:H,8,FALSE))</f>
        <v>11691.42857</v>
      </c>
      <c r="P340" s="46">
        <f t="shared" ca="1" si="41"/>
        <v>1.0304449647451943E-4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A2" sqref="A2:A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492105</v>
      </c>
      <c r="B2" s="60">
        <v>586</v>
      </c>
      <c r="C2" s="7" t="str">
        <f t="shared" ref="C2:C5" si="0">D2&amp;J2&amp;E2&amp;F2&amp;G2</f>
        <v>PremiumSS4</v>
      </c>
      <c r="D2" s="7" t="str">
        <f t="shared" ref="D2:D5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ユミル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machine</v>
      </c>
      <c r="N2" s="7" t="str">
        <f>VLOOKUP(B2,[1]characters!$A:$G,7,FALSE)</f>
        <v>不明</v>
      </c>
      <c r="O2" s="45">
        <v>10</v>
      </c>
      <c r="P2" s="46">
        <f>O2/SUM(O:O)</f>
        <v>0.25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492105</v>
      </c>
      <c r="B3" s="60">
        <v>587</v>
      </c>
      <c r="C3" s="7" t="str">
        <f t="shared" si="0"/>
        <v>PremiumSS5</v>
      </c>
      <c r="D3" s="7" t="str">
        <f t="shared" si="1"/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原初の煉鋼巨刃 ユミル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machine</v>
      </c>
      <c r="N3" s="7" t="str">
        <f>VLOOKUP(B3,[1]characters!$A:$G,7,FALSE)</f>
        <v>不明</v>
      </c>
      <c r="O3" s="45">
        <v>10</v>
      </c>
      <c r="P3" s="46">
        <f>O3/SUM(O:O)</f>
        <v>0.25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492105</v>
      </c>
      <c r="B4" s="60">
        <v>442</v>
      </c>
      <c r="C4" s="7" t="str">
        <f t="shared" si="0"/>
        <v>PremiumSS4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ブレイブリー・ライオン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yellow</v>
      </c>
      <c r="L4" s="7" t="str">
        <f>VLOOKUP(B4,[1]characters!$A:$K,11,FALSE)</f>
        <v>hp</v>
      </c>
      <c r="M4" s="7" t="str">
        <f>VLOOKUP(B4,[1]characters!$A:$M,13,FALSE)</f>
        <v>animal</v>
      </c>
      <c r="N4" s="7" t="str">
        <f>VLOOKUP(B4,[1]characters!$A:$G,7,FALSE)</f>
        <v>不明</v>
      </c>
      <c r="O4" s="45">
        <v>10</v>
      </c>
      <c r="P4" s="46">
        <f>O4/SUM(O:O)</f>
        <v>0.25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492105</v>
      </c>
      <c r="B5" s="60">
        <v>443</v>
      </c>
      <c r="C5" s="7" t="str">
        <f t="shared" si="0"/>
        <v>PremiumSS5</v>
      </c>
      <c r="D5" s="7" t="str">
        <f t="shared" si="1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勇機結集 ブレイブリー・ライオン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hp</v>
      </c>
      <c r="M5" s="7" t="str">
        <f>VLOOKUP(B5,[1]characters!$A:$M,13,FALSE)</f>
        <v>animal</v>
      </c>
      <c r="N5" s="7" t="str">
        <f>VLOOKUP(B5,[1]characters!$A:$G,7,FALSE)</f>
        <v>不明</v>
      </c>
      <c r="O5" s="45">
        <v>10</v>
      </c>
      <c r="P5" s="46">
        <f>O5/SUM(O:O)</f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</sheetData>
  <autoFilter ref="A1:V5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input_492010</vt:lpstr>
      <vt:lpstr>tables_492010</vt:lpstr>
      <vt:lpstr>input_492100</vt:lpstr>
      <vt:lpstr>tables_492100</vt:lpstr>
      <vt:lpstr>tables_settle_492105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2016-12-16T04:00:53Z</dcterms:modified>
</cp:coreProperties>
</file>