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460" windowWidth="25600" windowHeight="13600" tabRatio="869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enemy_habitat_S!$B$1:$Y$3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1" l="1"/>
  <c r="O14" i="9"/>
  <c r="N14" i="9"/>
  <c r="M14" i="9"/>
  <c r="L14" i="9"/>
  <c r="K14" i="9"/>
  <c r="J14" i="9"/>
  <c r="I14" i="9"/>
  <c r="H14" i="9"/>
  <c r="G14" i="9"/>
  <c r="E14" i="9"/>
  <c r="D14" i="9"/>
  <c r="A14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G24" i="9"/>
  <c r="W2" i="7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2" i="7"/>
  <c r="I2" i="7"/>
  <c r="D2" i="7"/>
  <c r="F2" i="7"/>
  <c r="E2" i="7"/>
  <c r="A2" i="7"/>
  <c r="W6" i="7"/>
  <c r="R6" i="7"/>
  <c r="Q6" i="7"/>
  <c r="P6" i="7"/>
  <c r="O6" i="7"/>
  <c r="N6" i="7"/>
  <c r="H6" i="7"/>
  <c r="J6" i="7"/>
  <c r="I6" i="7"/>
  <c r="D6" i="7"/>
  <c r="F6" i="7"/>
  <c r="E6" i="7"/>
  <c r="A6" i="7"/>
  <c r="E2" i="9"/>
  <c r="V2" i="1"/>
  <c r="E4" i="9"/>
  <c r="V3" i="1"/>
  <c r="E6" i="9"/>
  <c r="V4" i="1"/>
  <c r="E8" i="9"/>
  <c r="E11" i="9"/>
  <c r="E17" i="9"/>
  <c r="E18" i="9"/>
  <c r="V5" i="1"/>
  <c r="V6" i="1"/>
  <c r="E31" i="9"/>
  <c r="V7" i="1"/>
  <c r="V8" i="1"/>
  <c r="V9" i="1"/>
  <c r="V10" i="1"/>
  <c r="V11" i="1"/>
  <c r="V12" i="1"/>
  <c r="V13" i="1"/>
  <c r="V14" i="1"/>
  <c r="V15" i="1"/>
  <c r="V16" i="1"/>
  <c r="V17" i="1"/>
  <c r="V18" i="1"/>
  <c r="E19" i="9"/>
  <c r="V19" i="1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G2" i="9"/>
  <c r="H2" i="9"/>
  <c r="I2" i="9"/>
  <c r="J2" i="9"/>
  <c r="K2" i="9"/>
  <c r="L2" i="9"/>
  <c r="M2" i="9"/>
  <c r="N2" i="9"/>
  <c r="J2" i="11"/>
  <c r="O2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5" i="9"/>
  <c r="H15" i="9"/>
  <c r="I15" i="9"/>
  <c r="J15" i="9"/>
  <c r="K15" i="9"/>
  <c r="L15" i="9"/>
  <c r="M15" i="9"/>
  <c r="N15" i="9"/>
  <c r="J14" i="11"/>
  <c r="O15" i="9"/>
  <c r="G16" i="9"/>
  <c r="H16" i="9"/>
  <c r="I16" i="9"/>
  <c r="J16" i="9"/>
  <c r="K16" i="9"/>
  <c r="L16" i="9"/>
  <c r="M16" i="9"/>
  <c r="N16" i="9"/>
  <c r="J15" i="11"/>
  <c r="O16" i="9"/>
  <c r="G17" i="9"/>
  <c r="H17" i="9"/>
  <c r="I17" i="9"/>
  <c r="J17" i="9"/>
  <c r="K17" i="9"/>
  <c r="L17" i="9"/>
  <c r="M17" i="9"/>
  <c r="N17" i="9"/>
  <c r="J16" i="11"/>
  <c r="O17" i="9"/>
  <c r="G18" i="9"/>
  <c r="H18" i="9"/>
  <c r="I18" i="9"/>
  <c r="J18" i="9"/>
  <c r="K18" i="9"/>
  <c r="L18" i="9"/>
  <c r="M18" i="9"/>
  <c r="N18" i="9"/>
  <c r="J17" i="11"/>
  <c r="O18" i="9"/>
  <c r="G19" i="9"/>
  <c r="H19" i="9"/>
  <c r="I19" i="9"/>
  <c r="J19" i="9"/>
  <c r="K19" i="9"/>
  <c r="L19" i="9"/>
  <c r="M19" i="9"/>
  <c r="N19" i="9"/>
  <c r="J18" i="11"/>
  <c r="O19" i="9"/>
  <c r="G20" i="9"/>
  <c r="H20" i="9"/>
  <c r="I20" i="9"/>
  <c r="J20" i="9"/>
  <c r="K20" i="9"/>
  <c r="L20" i="9"/>
  <c r="M20" i="9"/>
  <c r="N20" i="9"/>
  <c r="J19" i="11"/>
  <c r="O20" i="9"/>
  <c r="G21" i="9"/>
  <c r="H21" i="9"/>
  <c r="I21" i="9"/>
  <c r="J21" i="9"/>
  <c r="K21" i="9"/>
  <c r="L21" i="9"/>
  <c r="M21" i="9"/>
  <c r="N21" i="9"/>
  <c r="J20" i="11"/>
  <c r="O21" i="9"/>
  <c r="G22" i="9"/>
  <c r="H22" i="9"/>
  <c r="I22" i="9"/>
  <c r="J22" i="9"/>
  <c r="K22" i="9"/>
  <c r="L22" i="9"/>
  <c r="M22" i="9"/>
  <c r="N22" i="9"/>
  <c r="J21" i="11"/>
  <c r="O22" i="9"/>
  <c r="G23" i="9"/>
  <c r="H23" i="9"/>
  <c r="I23" i="9"/>
  <c r="J23" i="9"/>
  <c r="K23" i="9"/>
  <c r="L23" i="9"/>
  <c r="M23" i="9"/>
  <c r="N23" i="9"/>
  <c r="J22" i="11"/>
  <c r="O23" i="9"/>
  <c r="H24" i="9"/>
  <c r="I24" i="9"/>
  <c r="J24" i="9"/>
  <c r="K24" i="9"/>
  <c r="L24" i="9"/>
  <c r="M24" i="9"/>
  <c r="N24" i="9"/>
  <c r="J23" i="11"/>
  <c r="O24" i="9"/>
  <c r="G25" i="9"/>
  <c r="H25" i="9"/>
  <c r="I25" i="9"/>
  <c r="J25" i="9"/>
  <c r="K25" i="9"/>
  <c r="L25" i="9"/>
  <c r="M25" i="9"/>
  <c r="N25" i="9"/>
  <c r="J24" i="11"/>
  <c r="O25" i="9"/>
  <c r="G26" i="9"/>
  <c r="H26" i="9"/>
  <c r="I26" i="9"/>
  <c r="J26" i="9"/>
  <c r="K26" i="9"/>
  <c r="L26" i="9"/>
  <c r="M26" i="9"/>
  <c r="N26" i="9"/>
  <c r="J25" i="11"/>
  <c r="O26" i="9"/>
  <c r="G27" i="9"/>
  <c r="H27" i="9"/>
  <c r="I27" i="9"/>
  <c r="J27" i="9"/>
  <c r="K27" i="9"/>
  <c r="L27" i="9"/>
  <c r="M27" i="9"/>
  <c r="N27" i="9"/>
  <c r="J26" i="11"/>
  <c r="O27" i="9"/>
  <c r="G28" i="9"/>
  <c r="H28" i="9"/>
  <c r="I28" i="9"/>
  <c r="J28" i="9"/>
  <c r="K28" i="9"/>
  <c r="L28" i="9"/>
  <c r="M28" i="9"/>
  <c r="N28" i="9"/>
  <c r="J27" i="11"/>
  <c r="O28" i="9"/>
  <c r="G29" i="9"/>
  <c r="H29" i="9"/>
  <c r="I29" i="9"/>
  <c r="J29" i="9"/>
  <c r="K29" i="9"/>
  <c r="L29" i="9"/>
  <c r="M29" i="9"/>
  <c r="N29" i="9"/>
  <c r="J28" i="11"/>
  <c r="O29" i="9"/>
  <c r="G30" i="9"/>
  <c r="H30" i="9"/>
  <c r="I30" i="9"/>
  <c r="J30" i="9"/>
  <c r="K30" i="9"/>
  <c r="L30" i="9"/>
  <c r="M30" i="9"/>
  <c r="N30" i="9"/>
  <c r="J29" i="11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O42" i="9"/>
  <c r="E42" i="9"/>
  <c r="D42" i="9"/>
  <c r="A42" i="9"/>
  <c r="E41" i="9"/>
  <c r="D41" i="9"/>
  <c r="A41" i="9"/>
  <c r="E40" i="9"/>
  <c r="D40" i="9"/>
  <c r="A40" i="9"/>
  <c r="E39" i="9"/>
  <c r="D39" i="9"/>
  <c r="A39" i="9"/>
  <c r="E38" i="9"/>
  <c r="D38" i="9"/>
  <c r="A38" i="9"/>
  <c r="E37" i="9"/>
  <c r="D37" i="9"/>
  <c r="A37" i="9"/>
  <c r="E36" i="9"/>
  <c r="D36" i="9"/>
  <c r="A36" i="9"/>
  <c r="E35" i="9"/>
  <c r="D35" i="9"/>
  <c r="A35" i="9"/>
  <c r="E34" i="9"/>
  <c r="D34" i="9"/>
  <c r="A34" i="9"/>
  <c r="E33" i="9"/>
  <c r="D33" i="9"/>
  <c r="A33" i="9"/>
  <c r="E32" i="9"/>
  <c r="D32" i="9"/>
  <c r="A32" i="9"/>
  <c r="D31" i="9"/>
  <c r="A31" i="9"/>
  <c r="A3" i="9"/>
  <c r="D3" i="9"/>
  <c r="E3" i="9"/>
  <c r="A4" i="9"/>
  <c r="D4" i="9"/>
  <c r="A5" i="9"/>
  <c r="D5" i="9"/>
  <c r="E5" i="9"/>
  <c r="A6" i="9"/>
  <c r="D6" i="9"/>
  <c r="A7" i="9"/>
  <c r="D7" i="9"/>
  <c r="E7" i="9"/>
  <c r="A8" i="9"/>
  <c r="D8" i="9"/>
  <c r="A9" i="9"/>
  <c r="D9" i="9"/>
  <c r="E9" i="9"/>
  <c r="A10" i="9"/>
  <c r="D10" i="9"/>
  <c r="E10" i="9"/>
  <c r="A11" i="9"/>
  <c r="D11" i="9"/>
  <c r="A12" i="9"/>
  <c r="D12" i="9"/>
  <c r="E12" i="9"/>
  <c r="A13" i="9"/>
  <c r="D13" i="9"/>
  <c r="E13" i="9"/>
  <c r="A15" i="9"/>
  <c r="D15" i="9"/>
  <c r="E15" i="9"/>
  <c r="A16" i="9"/>
  <c r="D16" i="9"/>
  <c r="E16" i="9"/>
  <c r="A17" i="9"/>
  <c r="D17" i="9"/>
  <c r="A18" i="9"/>
  <c r="D18" i="9"/>
  <c r="A19" i="9"/>
  <c r="D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D2" i="9"/>
  <c r="A2" i="9"/>
  <c r="M13" i="10"/>
  <c r="T13" i="10"/>
  <c r="W13" i="10"/>
  <c r="V13" i="10"/>
  <c r="X13" i="10"/>
  <c r="U13" i="10"/>
  <c r="Y13" i="10"/>
  <c r="M28" i="10"/>
  <c r="N28" i="10"/>
  <c r="Q28" i="10"/>
  <c r="P28" i="10"/>
  <c r="R28" i="10"/>
  <c r="O28" i="10"/>
  <c r="S28" i="10"/>
  <c r="M21" i="10"/>
  <c r="N21" i="10"/>
  <c r="Q21" i="10"/>
  <c r="P21" i="10"/>
  <c r="R21" i="10"/>
  <c r="O21" i="10"/>
  <c r="S21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M27" i="10"/>
  <c r="N27" i="10"/>
  <c r="Q27" i="10"/>
  <c r="P27" i="10"/>
  <c r="R27" i="10"/>
  <c r="O27" i="10"/>
  <c r="S27" i="10"/>
  <c r="M20" i="10"/>
  <c r="N20" i="10"/>
  <c r="Q20" i="10"/>
  <c r="P20" i="10"/>
  <c r="R20" i="10"/>
  <c r="O20" i="10"/>
  <c r="S20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3" i="10"/>
  <c r="H3" i="10"/>
  <c r="I3" i="10"/>
  <c r="J3" i="10"/>
  <c r="K3" i="10"/>
  <c r="L3" i="10"/>
  <c r="M3" i="10"/>
  <c r="M15" i="10"/>
  <c r="N15" i="10"/>
  <c r="Q15" i="10"/>
  <c r="P15" i="10"/>
  <c r="R15" i="10"/>
  <c r="O15" i="10"/>
  <c r="S15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6" i="10"/>
  <c r="N16" i="10"/>
  <c r="Q16" i="10"/>
  <c r="P16" i="10"/>
  <c r="R16" i="10"/>
  <c r="O16" i="10"/>
  <c r="S16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7" i="10"/>
  <c r="N17" i="10"/>
  <c r="Q17" i="10"/>
  <c r="P17" i="10"/>
  <c r="R17" i="10"/>
  <c r="O17" i="10"/>
  <c r="S17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AD19" i="1"/>
  <c r="AG19" i="1"/>
  <c r="AE19" i="1"/>
  <c r="AC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E9" i="16"/>
  <c r="W3" i="7"/>
  <c r="R3" i="7"/>
  <c r="Q3" i="7"/>
  <c r="P3" i="7"/>
  <c r="O3" i="7"/>
  <c r="N3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3" i="7"/>
  <c r="J3" i="7"/>
  <c r="E8" i="16"/>
  <c r="E7" i="16"/>
  <c r="E6" i="16"/>
  <c r="E5" i="16"/>
  <c r="E4" i="16"/>
  <c r="E3" i="16"/>
  <c r="E2" i="16"/>
  <c r="A3" i="1"/>
  <c r="A2" i="1"/>
  <c r="AG3" i="1"/>
  <c r="J3" i="1"/>
  <c r="I3" i="1"/>
  <c r="D3" i="1"/>
  <c r="F3" i="1"/>
  <c r="E3" i="1"/>
  <c r="A3" i="7"/>
  <c r="I3" i="7"/>
  <c r="D3" i="7"/>
  <c r="F3" i="7"/>
  <c r="E3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<sst xmlns="http://schemas.openxmlformats.org/spreadsheetml/2006/main" count="1060" uniqueCount="327">
  <si>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</si>
  <si>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</si>
  <si>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</si>
  <si>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</si>
  <si>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</si>
  <si>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</si>
  <si>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</si>
  <si>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</si>
  <si>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</si>
  <si>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</si>
  <si>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</si>
  <si>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</si>
  <si>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</si>
  <si>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</si>
  <si>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</si>
  <si>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</si>
  <si>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</si>
  <si>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</si>
  <si>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</si>
  <si>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</si>
  <si>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</si>
  <si>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</si>
  <si>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</si>
  <si>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</si>
  <si>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</si>
  <si>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</si>
  <si>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</si>
  <si>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</si>
  <si>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</si>
  <si>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</si>
  <si>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</si>
  <si>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</si>
  <si>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</si>
  <si>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</si>
  <si>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</si>
  <si>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</si>
  <si>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</si>
  <si>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</si>
  <si>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</si>
  <si>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</si>
  <si>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</si>
  <si>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</si>
  <si>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</si>
  <si>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</si>
  <si>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</si>
  <si>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</si>
  <si>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</si>
  <si>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</si>
  <si>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</si>
  <si>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</si>
  <si>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</si>
  <si>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</si>
  <si>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</si>
  <si>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</si>
  <si>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</si>
  <si>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</si>
  <si>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</si>
  <si>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</si>
  <si>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</si>
  <si>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</si>
  <si>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</si>
  <si>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</si>
  <si>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</si>
  <si>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</si>
  <si>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</si>
  <si>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</si>
  <si>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</si>
  <si>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</si>
  <si>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</si>
  <si>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</si>
  <si>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</si>
  <si>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</si>
  <si>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</si>
  <si>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</si>
  <si>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</si>
  <si>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</si>
  <si>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</si>
  <si>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</si>
  <si>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</si>
  <si>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</si>
  <si>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</si>
  <si>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</si>
  <si>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</si>
  <si>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</si>
  <si>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</si>
  <si>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</si>
  <si>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</si>
  <si>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</si>
  <si>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</si>
  <si>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</si>
  <si>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</si>
  <si>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</si>
  <si>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</si>
  <si>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</si>
  <si>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</si>
  <si>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</si>
  <si>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</si>
  <si>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</si>
  <si>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</si>
  <si>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</si>
  <si>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</si>
  <si>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</si>
  <si>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</si>
  <si>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</si>
  <si>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</si>
  <si>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</si>
  <si>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</si>
  <si>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</si>
  <si>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</si>
  <si>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</si>
  <si>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</si>
  <si>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</si>
  <si>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</si>
  <si>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</si>
  <si>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</si>
  <si>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</si>
  <si>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</si>
  <si>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</si>
  <si>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</si>
  <si>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</si>
  <si>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</si>
  <si>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</si>
  <si>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</si>
  <si>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</si>
  <si>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</si>
  <si>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</si>
  <si>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</si>
  <si>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</si>
  <si>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</si>
  <si>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</si>
  <si>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</si>
  <si>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</si>
  <si>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</si>
  <si>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</si>
  <si>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</si>
  <si>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</si>
  <si>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</si>
  <si>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</si>
  <si>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</si>
  <si>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</si>
  <si>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</si>
  <si>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</si>
  <si>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</si>
  <si>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</si>
  <si>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</si>
  <si>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</si>
  <si>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</si>
  <si>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</si>
  <si>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</si>
  <si>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</si>
  <si>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</si>
  <si>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</si>
  <si>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</si>
  <si>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</si>
  <si>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</si>
  <si>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</si>
  <si>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</si>
  <si>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</si>
  <si>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</si>
  <si>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</si>
  <si>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</si>
  <si>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</si>
  <si>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</si>
  <si>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</si>
  <si>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</si>
  <si>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</si>
  <si>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</si>
  <si>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</si>
  <si>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</si>
  <si>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</si>
  <si>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</si>
  <si>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</si>
  <si>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</si>
  <si>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</si>
  <si>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</si>
  <si>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</si>
  <si>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</si>
  <si>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</si>
  <si>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</si>
  <si>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</si>
  <si>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</si>
  <si>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</si>
  <si>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</si>
  <si>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</si>
  <si>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</si>
  <si>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</si>
  <si>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</si>
  <si>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</si>
  <si>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</si>
  <si>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</si>
  <si>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</si>
  <si>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</si>
  <si>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</si>
  <si>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</si>
  <si>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</si>
  <si>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</si>
  <si>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</si>
  <si>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</si>
  <si>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</si>
  <si>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</si>
  <si>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</si>
  <si>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</si>
  <si>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</si>
  <si>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</si>
  <si>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</si>
  <si>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</si>
  <si>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</si>
  <si>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</si>
  <si>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</si>
  <si>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</si>
  <si>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</si>
  <si>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</si>
  <si>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  <phoneticPr fontId="5"/>
  </si>
  <si>
    <t>null</t>
    <phoneticPr fontId="5"/>
  </si>
  <si>
    <t>ハヤト</t>
  </si>
  <si>
    <t>ベリアル</t>
  </si>
  <si>
    <t>斎藤</t>
  </si>
  <si>
    <t>トニー</t>
  </si>
  <si>
    <t>ヒロ</t>
  </si>
  <si>
    <t>土蜘蛛１</t>
  </si>
  <si>
    <t>土蜘蛛2</t>
  </si>
  <si>
    <t>8連続攻撃</t>
    <rPh sb="1" eb="5">
      <t>レンゾクコウゲキ</t>
    </rPh>
    <phoneticPr fontId="5"/>
  </si>
  <si>
    <t>斎藤2</t>
  </si>
  <si>
    <t>null</t>
    <phoneticPr fontId="5"/>
  </si>
  <si>
    <t>null</t>
    <phoneticPr fontId="5"/>
  </si>
  <si>
    <t>斎藤2</t>
    <phoneticPr fontId="5"/>
  </si>
  <si>
    <t>土蜘蛛１</t>
    <phoneticPr fontId="5"/>
  </si>
  <si>
    <t>土蜘蛛2</t>
    <phoneticPr fontId="5"/>
  </si>
  <si>
    <t>土蜘蛛１</t>
    <phoneticPr fontId="5"/>
  </si>
  <si>
    <t>土蜘蛛１超級</t>
    <rPh sb="4" eb="6">
      <t>チョウキュウ</t>
    </rPh>
    <phoneticPr fontId="5"/>
  </si>
  <si>
    <t>土蜘蛛２超級</t>
    <rPh sb="4" eb="6">
      <t>チョウキュウ</t>
    </rPh>
    <phoneticPr fontId="5"/>
  </si>
  <si>
    <t xml:space="preserve">[effect:rush, count:2, val:0.6]    </t>
    <phoneticPr fontId="5"/>
  </si>
  <si>
    <t xml:space="preserve">[effect:rush, count:4, val:0.3]    </t>
    <phoneticPr fontId="5"/>
  </si>
  <si>
    <t>[effect:suicide, val:1, dead_type:escape, target:myself]</t>
    <phoneticPr fontId="5"/>
  </si>
  <si>
    <t>[effect:change_panel_ratio, turn:8, block_type:yellow, val:0.3, animation:block_incidence04]</t>
    <phoneticPr fontId="5"/>
  </si>
  <si>
    <t xml:space="preserve">[effect:rush, count:1, val:1]    </t>
    <phoneticPr fontId="5"/>
  </si>
  <si>
    <t xml:space="preserve">[effect:enhance_enemy, target:enemy_all, turn:3, status:attack, val:1.3, animation:enemy_enhance_attack]    </t>
    <phoneticPr fontId="5"/>
  </si>
  <si>
    <t>null</t>
    <phoneticPr fontId="5"/>
  </si>
  <si>
    <t xml:space="preserve">[effect:change_block, new_block:time_bomb, target:block_yellow, count:0, val:0.1, animation:change_block]    </t>
    <phoneticPr fontId="5"/>
  </si>
  <si>
    <t>[effect:critical, val:1.5],[effect:heal, target:enemy_one, val:0.1, animation:enemy_heal]</t>
    <phoneticPr fontId="5"/>
  </si>
  <si>
    <t>[effect:spread, val:0.2],[effect:heal, target:enemy_one, val:0.1, animation:enemy_heal]</t>
    <phoneticPr fontId="5"/>
  </si>
  <si>
    <t xml:space="preserve">[effect:virus, turn:-1, rate:1, val:0.05, animation:enemy_virus]    </t>
    <phoneticPr fontId="5"/>
  </si>
  <si>
    <t xml:space="preserve">[effect:virus, turn:-1, rate:1, val:0.05, animation:enemy_virus]    </t>
    <phoneticPr fontId="5"/>
  </si>
  <si>
    <t xml:space="preserve">[effect:virus, turn:-1, rate:1, val:0.11, animation:enemy_virus]    </t>
    <phoneticPr fontId="5"/>
  </si>
  <si>
    <t>[effect:damage_anti_abnormal, target:unit_all, target_effect01:virus, val1:0.5, val2:0.3],[effect:heal, target:enemy_one, val:0.08, animation:enemy_heal]</t>
    <phoneticPr fontId="5"/>
  </si>
  <si>
    <t xml:space="preserve">[effect:damage_anti_abnormal, target:unit_all, target_effect01:virus, val1:0.5, val2:0.3]    </t>
    <phoneticPr fontId="5"/>
  </si>
  <si>
    <t>[effect:critical, val:1.4]</t>
    <phoneticPr fontId="5"/>
  </si>
  <si>
    <t>[effect:damage_anti_abnormal, target:unit_all, target_effect01:virus, val1:0.4, val2:0.3],[effect:heal, target:enemy_one, val:0.05, animation:enemy_heal]</t>
    <phoneticPr fontId="5"/>
  </si>
  <si>
    <t>去っていった</t>
    <rPh sb="0" eb="1">
      <t>サ</t>
    </rPh>
    <phoneticPr fontId="5"/>
  </si>
  <si>
    <t>フン、せいぜい頑張れよ</t>
    <rPh sb="7" eb="9">
      <t>ガンバ</t>
    </rPh>
    <phoneticPr fontId="5"/>
  </si>
  <si>
    <t>ハハハ！お前強いじゃん！</t>
    <rPh sb="5" eb="6">
      <t>マエ</t>
    </rPh>
    <rPh sb="6" eb="7">
      <t>ツヨ</t>
    </rPh>
    <phoneticPr fontId="5"/>
  </si>
  <si>
    <t>2連続攻撃</t>
    <rPh sb="1" eb="5">
      <t>レンゾクコウゲキ</t>
    </rPh>
    <phoneticPr fontId="5"/>
  </si>
  <si>
    <t>警戒心を感じる…</t>
    <rPh sb="0" eb="3">
      <t>ケイカイシン</t>
    </rPh>
    <rPh sb="4" eb="5">
      <t>カン</t>
    </rPh>
    <phoneticPr fontId="5"/>
  </si>
  <si>
    <t>ここはアタシのエリアだァ！</t>
    <phoneticPr fontId="5"/>
  </si>
  <si>
    <t>ja</t>
    <phoneticPr fontId="5"/>
  </si>
  <si>
    <t>ja</t>
    <phoneticPr fontId="5"/>
  </si>
  <si>
    <t>刺突！</t>
    <rPh sb="0" eb="2">
      <t>sitotu</t>
    </rPh>
    <phoneticPr fontId="5"/>
  </si>
  <si>
    <t>連撃の構え</t>
    <rPh sb="0" eb="1">
      <t>レンゾク</t>
    </rPh>
    <rPh sb="1" eb="2">
      <t>コウゲキ</t>
    </rPh>
    <rPh sb="3" eb="4">
      <t>カマ</t>
    </rPh>
    <phoneticPr fontId="5"/>
  </si>
  <si>
    <t>隙だらけだァ！</t>
    <rPh sb="0" eb="4">
      <t>sukidarake</t>
    </rPh>
    <phoneticPr fontId="5"/>
  </si>
  <si>
    <t>いくぜェ！！</t>
    <phoneticPr fontId="5"/>
  </si>
  <si>
    <t>反撃だァ！</t>
    <rPh sb="0" eb="2">
      <t>ハンゲキ</t>
    </rPh>
    <phoneticPr fontId="5"/>
  </si>
  <si>
    <t>キックフリップ</t>
    <phoneticPr fontId="5"/>
  </si>
  <si>
    <t>サンダーダンス</t>
    <phoneticPr fontId="5"/>
  </si>
  <si>
    <t>斬り崩すッ！</t>
    <rPh sb="0" eb="1">
      <t>キ</t>
    </rPh>
    <phoneticPr fontId="5"/>
  </si>
  <si>
    <t>…秘剣の構え！</t>
    <rPh sb="1" eb="3">
      <t>hikeンン</t>
    </rPh>
    <rPh sb="4" eb="5">
      <t>カマ</t>
    </rPh>
    <phoneticPr fontId="5"/>
  </si>
  <si>
    <t>必殺・流星斬撃！</t>
    <rPh sb="0" eb="2">
      <t>ヒッサツ</t>
    </rPh>
    <rPh sb="3" eb="5">
      <t>リュウセイ</t>
    </rPh>
    <rPh sb="5" eb="6">
      <t>ギ</t>
    </rPh>
    <rPh sb="6" eb="7">
      <t>コウゲキ</t>
    </rPh>
    <phoneticPr fontId="5"/>
  </si>
  <si>
    <t>斬り崩すッ！！</t>
    <phoneticPr fontId="5"/>
  </si>
  <si>
    <t>お前、なんの用だ？</t>
    <rPh sb="1" eb="2">
      <t>マエ</t>
    </rPh>
    <rPh sb="6" eb="7">
      <t>ヨウ</t>
    </rPh>
    <phoneticPr fontId="5"/>
  </si>
  <si>
    <t>電光石火</t>
    <rPh sb="0" eb="4">
      <t>デンコウセッカ</t>
    </rPh>
    <phoneticPr fontId="5"/>
  </si>
  <si>
    <t>あ？なんだテメェは？？</t>
    <phoneticPr fontId="5"/>
  </si>
  <si>
    <t>オレの養分になりやがれ！</t>
    <rPh sb="3" eb="5">
      <t>ヨウブン</t>
    </rPh>
    <phoneticPr fontId="5"/>
  </si>
  <si>
    <t>調子乗ってんじゃねーぞ！</t>
    <rPh sb="0" eb="2">
      <t>チョウシ</t>
    </rPh>
    <rPh sb="2" eb="3">
      <t>ノ</t>
    </rPh>
    <phoneticPr fontId="5"/>
  </si>
  <si>
    <t>かわしてみやがれッ！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</si>
  <si>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</si>
  <si>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</si>
  <si>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</si>
  <si>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</si>
  <si>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 xml:space="preserve">[effect:freq_turn, target:myself, turn:-1, val:1, animation:enemy_freq_turn]    </t>
    <phoneticPr fontId="5"/>
  </si>
  <si>
    <t xml:space="preserve">[effect:break_attack_fix, val:1250, lowest_val:800, count:-1, block:block_yellow, target:unit_one]    </t>
    <phoneticPr fontId="5"/>
  </si>
  <si>
    <t>クリティカル！</t>
    <phoneticPr fontId="5"/>
  </si>
  <si>
    <t>2連続攻撃</t>
    <rPh sb="0" eb="5">
      <t>ニレンゾクコウゲキ</t>
    </rPh>
    <phoneticPr fontId="5"/>
  </si>
  <si>
    <t>4連続攻撃</t>
    <rPh sb="1" eb="5">
      <t>レンゾクコウゲキ</t>
    </rPh>
    <phoneticPr fontId="5"/>
  </si>
  <si>
    <t>強力な8連続攻撃</t>
    <rPh sb="0" eb="1">
      <t>ツヨ</t>
    </rPh>
    <rPh sb="1" eb="3">
      <t>チカラ</t>
    </rPh>
    <rPh sb="4" eb="8">
      <t>レンゾクコウゲキ</t>
    </rPh>
    <phoneticPr fontId="5"/>
  </si>
  <si>
    <t>次のターン強力な8連続攻撃</t>
    <rPh sb="0" eb="1">
      <t>ツギ</t>
    </rPh>
    <rPh sb="5" eb="8">
      <t>キョ</t>
    </rPh>
    <rPh sb="9" eb="13">
      <t>レンゾクコウゲキ</t>
    </rPh>
    <phoneticPr fontId="5"/>
  </si>
  <si>
    <t>全体攻撃＆回復</t>
    <rPh sb="0" eb="4">
      <t>ゼンタイコウゲキ</t>
    </rPh>
    <rPh sb="5" eb="7">
      <t>カイフク</t>
    </rPh>
    <phoneticPr fontId="5"/>
  </si>
  <si>
    <t>ウィルス状態のユニットに対して大ダメージ
＆回復</t>
    <rPh sb="4" eb="6">
      <t>ジョ</t>
    </rPh>
    <rPh sb="12" eb="20">
      <t>タイs</t>
    </rPh>
    <rPh sb="22" eb="24">
      <t>カイフク</t>
    </rPh>
    <phoneticPr fontId="5"/>
  </si>
  <si>
    <t>クリティカル＆回復</t>
    <rPh sb="7" eb="9">
      <t>カイフク</t>
    </rPh>
    <phoneticPr fontId="5"/>
  </si>
  <si>
    <t>次のターンに黄パネルを時限式パネルに変換</t>
    <phoneticPr fontId="5"/>
  </si>
  <si>
    <t>黄パネルを時限式パネルに変換</t>
    <phoneticPr fontId="5"/>
  </si>
  <si>
    <t>クリティカル！</t>
    <phoneticPr fontId="5"/>
  </si>
  <si>
    <t>カウンター状態のユニットに大ダメージ
＆カウンター解除</t>
    <rPh sb="5" eb="7">
      <t>ジョウタイ</t>
    </rPh>
    <rPh sb="13" eb="14">
      <t>ダイ</t>
    </rPh>
    <rPh sb="25" eb="27">
      <t>カイジョ</t>
    </rPh>
    <phoneticPr fontId="5"/>
  </si>
  <si>
    <t>攻撃頻度が1ターンにUP</t>
    <phoneticPr fontId="5"/>
  </si>
  <si>
    <t>次のターン黄パネル破壊攻撃</t>
    <rPh sb="0" eb="1">
      <t>ツギ</t>
    </rPh>
    <rPh sb="11" eb="13">
      <t>コウゲキ</t>
    </rPh>
    <phoneticPr fontId="5"/>
  </si>
  <si>
    <t>黄パネル破壊攻撃</t>
    <rPh sb="0" eb="1">
      <t>キイロ</t>
    </rPh>
    <rPh sb="4" eb="6">
      <t>ハカイ</t>
    </rPh>
    <rPh sb="6" eb="8">
      <t>コウゲキ</t>
    </rPh>
    <phoneticPr fontId="5"/>
  </si>
  <si>
    <t>毎ターンダメージを受けるウィルス</t>
    <rPh sb="0" eb="4">
      <t>マイ</t>
    </rPh>
    <rPh sb="9" eb="12">
      <t>ウk</t>
    </rPh>
    <phoneticPr fontId="5"/>
  </si>
  <si>
    <t>毎ターン少しだけダメージを受けるウィルス</t>
    <rPh sb="0" eb="4">
      <t>マイ</t>
    </rPh>
    <rPh sb="4" eb="5">
      <t>スコ</t>
    </rPh>
    <rPh sb="13" eb="16">
      <t>ウk</t>
    </rPh>
    <phoneticPr fontId="5"/>
  </si>
  <si>
    <t>毎ターン少しだけダメージを受けるウィルス</t>
    <rPh sb="0" eb="4">
      <t>マイ</t>
    </rPh>
    <rPh sb="13" eb="16">
      <t>ウk</t>
    </rPh>
    <phoneticPr fontId="5"/>
  </si>
  <si>
    <t>ウィルス状態のユニットに対して大ダメージ</t>
    <phoneticPr fontId="5"/>
  </si>
  <si>
    <t>次のターンに8連続攻撃</t>
    <rPh sb="0" eb="1">
      <t>ツギ</t>
    </rPh>
    <rPh sb="7" eb="11">
      <t>レンゾクコウゲキ</t>
    </rPh>
    <phoneticPr fontId="5"/>
  </si>
  <si>
    <t>クソッ…マジでブッ飛ばす！！</t>
    <rPh sb="9" eb="10">
      <t>ト</t>
    </rPh>
    <phoneticPr fontId="5"/>
  </si>
  <si>
    <t>なめんじゃねーぜ！！</t>
    <phoneticPr fontId="5"/>
  </si>
  <si>
    <t>ヒロ・トニーの全員から
一斉に攻撃を受けると大変です
タップでターゲットをして
一体ずつ倒しましょう</t>
    <phoneticPr fontId="5"/>
  </si>
  <si>
    <t>土蜘蛛から連続攻撃の予告が出たら
スキルなどで対策しておくと安心です</t>
    <phoneticPr fontId="5"/>
  </si>
  <si>
    <t>斎藤一の使うパネル破壊攻撃は
破壊した数に応じてダメージが増えます</t>
  </si>
  <si>
    <t xml:space="preserve">斎藤一の使う時限式ダメージパネル攻撃の
解除が難しいときは　フィーバーで流すか
SPクラッシュパネルの爆風で消しましょう
</t>
  </si>
  <si>
    <t>土蜘蛛はウィルス状態のユニットに
大ダメージを与えて
追い打ちをするのが得意なユニットです</t>
    <rPh sb="17" eb="18">
      <t>ダイ</t>
    </rPh>
    <rPh sb="23" eb="24">
      <t>アタ</t>
    </rPh>
    <phoneticPr fontId="5"/>
  </si>
  <si>
    <t>追い打ちだァ！！</t>
    <rPh sb="0" eb="1">
      <t>オ</t>
    </rPh>
    <rPh sb="2" eb="3">
      <t>ウ</t>
    </rPh>
    <phoneticPr fontId="5"/>
  </si>
  <si>
    <t>チッ…ウィルス強化だ！</t>
    <rPh sb="7" eb="9">
      <t>キョウカ</t>
    </rPh>
    <phoneticPr fontId="5"/>
  </si>
  <si>
    <t>ウィルス強化！ヒャハハ！</t>
    <rPh sb="4" eb="6">
      <t>キョウカ</t>
    </rPh>
    <phoneticPr fontId="5"/>
  </si>
  <si>
    <t>やるぜェ！！</t>
    <phoneticPr fontId="5"/>
  </si>
  <si>
    <t>まとめて捕食ターイム！！</t>
    <rPh sb="4" eb="6">
      <t>ホショク</t>
    </rPh>
    <phoneticPr fontId="5"/>
  </si>
  <si>
    <t>8ターン黄パネルの出現率UP</t>
    <rPh sb="4" eb="5">
      <t>キイロ</t>
    </rPh>
    <rPh sb="9" eb="12">
      <t>シュツゲンリツ</t>
    </rPh>
    <phoneticPr fontId="5"/>
  </si>
  <si>
    <t xml:space="preserve">[effect:fix_speed, target:enemy_animal, turn:1],[effect:fix_speed, target:myself, turn:2]    </t>
    <phoneticPr fontId="5"/>
  </si>
  <si>
    <t>3ターン全体攻撃力UP</t>
    <rPh sb="4" eb="11">
      <t>ゼンタイコウゲキリョクアップ</t>
    </rPh>
    <phoneticPr fontId="5"/>
  </si>
  <si>
    <t>全体攻撃</t>
    <rPh sb="0" eb="4">
      <t>ゼンタイコウゲキ</t>
    </rPh>
    <phoneticPr fontId="5"/>
  </si>
  <si>
    <t>滅多斬りだァ！</t>
    <rPh sb="0" eb="4">
      <t>メッt</t>
    </rPh>
    <phoneticPr fontId="5"/>
  </si>
  <si>
    <t>[effect:critical, val:1.4]</t>
    <phoneticPr fontId="5"/>
  </si>
  <si>
    <t>[effect:rush, count:8, val:0.28]</t>
    <phoneticPr fontId="5"/>
  </si>
  <si>
    <t xml:space="preserve">[effect:rush, count:4, val:0.3]    </t>
    <phoneticPr fontId="5"/>
  </si>
  <si>
    <t>[effect:rush, count:8, val:0.26]</t>
    <phoneticPr fontId="5"/>
  </si>
  <si>
    <t>[effect:spread, val:0.28]</t>
    <phoneticPr fontId="5"/>
  </si>
  <si>
    <t>[effect:damage_anti_abnormal, target:unit_all, target_effect01:counter, target_effect02:counter_new, val1:0.8, val2:0.28],[effect:remove_enhancement, target:unit_all, target_effect:counter, target_type:buff]    ,[effect:remove_enhancement, target:unit_all, target_effect:counter_new, target_type:buff, animation:frozen_wave]</t>
    <phoneticPr fontId="5"/>
  </si>
  <si>
    <t>[effect:damage_anti_abnormal, target:unit_all, target_effect01:counter, target_effect02:counter_new, val1:0.8, val2:0.28],[effect:remove_enhancement, target:unit_all, target_effect:counter, target_type:buff],[effect:remove_enhancement, target:unit_all, target_effect:counter_new, target_type:buff, animation:frozen_wave]</t>
    <phoneticPr fontId="5"/>
  </si>
  <si>
    <t>オラオラどうしたァ！！！</t>
    <phoneticPr fontId="5"/>
  </si>
  <si>
    <t>喰らいなッ！ヒャハハ！！</t>
    <rPh sb="0" eb="1">
      <t>ク</t>
    </rPh>
    <phoneticPr fontId="5"/>
  </si>
  <si>
    <t>いくぜェ！！覚悟しやがれ！！</t>
    <rPh sb="6" eb="8">
      <t>カクゴ</t>
    </rPh>
    <phoneticPr fontId="5"/>
  </si>
  <si>
    <t>アキレスは体力が高いですが
ハヤトがいなくなると去っていきます
ハヤトは攻撃頻度が早いですが
一定ターン数で去っていきます</t>
    <rPh sb="24" eb="25">
      <t>サ</t>
    </rPh>
    <rPh sb="53" eb="54">
      <t>スウ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</si>
</sst>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9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29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11" fillId="0" borderId="25" xfId="0" applyFont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11" fillId="0" borderId="31" xfId="0" applyFont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vertical="center"/>
    </xf>
    <xf numFmtId="0" fontId="4" fillId="3" borderId="31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6" fillId="5" borderId="35" xfId="0" applyFont="1" applyFill="1" applyBorder="1" applyAlignment="1">
      <alignment vertical="center"/>
    </xf>
    <xf numFmtId="0" fontId="6" fillId="5" borderId="36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6" fillId="5" borderId="40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41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6" fillId="5" borderId="44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6" fillId="5" borderId="45" xfId="0" applyFont="1" applyFill="1" applyBorder="1" applyAlignment="1">
      <alignment vertical="center"/>
    </xf>
    <xf numFmtId="0" fontId="8" fillId="0" borderId="46" xfId="0" applyFont="1" applyBorder="1" applyAlignment="1">
      <alignment vertical="center"/>
    </xf>
    <xf numFmtId="176" fontId="8" fillId="0" borderId="46" xfId="0" applyNumberFormat="1" applyFont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vertical="center"/>
    </xf>
    <xf numFmtId="0" fontId="4" fillId="0" borderId="48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49" xfId="0" applyFont="1" applyFill="1" applyBorder="1" applyAlignment="1">
      <alignment horizontal="left" vertical="center"/>
    </xf>
    <xf numFmtId="0" fontId="4" fillId="3" borderId="50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8" fillId="0" borderId="5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52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29" xfId="0" applyFont="1" applyFill="1" applyBorder="1" applyAlignment="1">
      <alignment vertical="center"/>
    </xf>
    <xf numFmtId="0" fontId="16" fillId="0" borderId="31" xfId="0" applyFont="1" applyFill="1" applyBorder="1" applyAlignment="1">
      <alignment vertical="center"/>
    </xf>
    <xf numFmtId="0" fontId="16" fillId="3" borderId="31" xfId="0" applyFont="1" applyFill="1" applyBorder="1" applyAlignment="1">
      <alignment horizontal="left" vertical="center"/>
    </xf>
    <xf numFmtId="0" fontId="16" fillId="3" borderId="31" xfId="0" applyFont="1" applyFill="1" applyBorder="1" applyAlignment="1">
      <alignment vertical="center"/>
    </xf>
    <xf numFmtId="0" fontId="16" fillId="0" borderId="30" xfId="0" applyFont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0" borderId="8" xfId="0" applyFont="1" applyFill="1" applyBorder="1" applyAlignment="1">
      <alignment vertical="center"/>
    </xf>
    <xf numFmtId="0" fontId="16" fillId="3" borderId="53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0" fontId="16" fillId="3" borderId="54" xfId="0" applyFont="1" applyFill="1" applyBorder="1" applyAlignment="1">
      <alignment vertical="center"/>
    </xf>
    <xf numFmtId="0" fontId="16" fillId="3" borderId="28" xfId="0" applyFont="1" applyFill="1" applyBorder="1" applyAlignment="1">
      <alignment vertical="center"/>
    </xf>
    <xf numFmtId="0" fontId="16" fillId="3" borderId="55" xfId="0" applyFont="1" applyFill="1" applyBorder="1" applyAlignment="1">
      <alignment vertical="center"/>
    </xf>
    <xf numFmtId="0" fontId="16" fillId="3" borderId="32" xfId="0" applyFont="1" applyFill="1" applyBorder="1" applyAlignment="1">
      <alignment vertical="center"/>
    </xf>
    <xf numFmtId="0" fontId="4" fillId="0" borderId="56" xfId="0" applyFont="1" applyBorder="1" applyAlignment="1">
      <alignment horizontal="center" vertical="center"/>
    </xf>
    <xf numFmtId="0" fontId="16" fillId="0" borderId="57" xfId="0" applyFont="1" applyFill="1" applyBorder="1" applyAlignment="1">
      <alignment vertical="center"/>
    </xf>
    <xf numFmtId="0" fontId="16" fillId="0" borderId="58" xfId="0" applyFont="1" applyFill="1" applyBorder="1" applyAlignment="1">
      <alignment vertical="center"/>
    </xf>
    <xf numFmtId="0" fontId="16" fillId="0" borderId="59" xfId="0" applyFont="1" applyFill="1" applyBorder="1" applyAlignment="1">
      <alignment vertical="center"/>
    </xf>
    <xf numFmtId="176" fontId="8" fillId="0" borderId="60" xfId="0" applyNumberFormat="1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53" xfId="0" applyFont="1" applyFill="1" applyBorder="1"/>
    <xf numFmtId="0" fontId="28" fillId="0" borderId="25" xfId="0" applyFont="1" applyFill="1" applyBorder="1"/>
    <xf numFmtId="0" fontId="29" fillId="3" borderId="25" xfId="0" applyFont="1" applyFill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30" fillId="30" borderId="25" xfId="0" applyFont="1" applyFill="1" applyBorder="1"/>
    <xf numFmtId="0" fontId="30" fillId="14" borderId="25" xfId="0" applyFont="1" applyFill="1" applyBorder="1"/>
    <xf numFmtId="0" fontId="31" fillId="0" borderId="25" xfId="0" applyFont="1" applyFill="1" applyBorder="1"/>
    <xf numFmtId="38" fontId="16" fillId="0" borderId="25" xfId="628" applyFont="1" applyFill="1" applyBorder="1" applyAlignment="1">
      <alignment wrapText="1"/>
    </xf>
    <xf numFmtId="0" fontId="0" fillId="0" borderId="26" xfId="0" applyBorder="1"/>
    <xf numFmtId="0" fontId="27" fillId="0" borderId="54" xfId="0" applyFont="1" applyFill="1" applyBorder="1"/>
    <xf numFmtId="0" fontId="0" fillId="0" borderId="28" xfId="0" applyBorder="1"/>
    <xf numFmtId="0" fontId="27" fillId="0" borderId="55" xfId="0" applyFont="1" applyFill="1" applyBorder="1"/>
    <xf numFmtId="0" fontId="28" fillId="0" borderId="31" xfId="0" applyFont="1" applyFill="1" applyBorder="1"/>
    <xf numFmtId="0" fontId="29" fillId="3" borderId="59" xfId="0" applyFont="1" applyFill="1" applyBorder="1" applyAlignment="1">
      <alignment vertical="center"/>
    </xf>
    <xf numFmtId="0" fontId="30" fillId="0" borderId="31" xfId="0" applyFont="1" applyFill="1" applyBorder="1"/>
    <xf numFmtId="0" fontId="29" fillId="0" borderId="59" xfId="0" applyFont="1" applyFill="1" applyBorder="1" applyAlignment="1">
      <alignment vertical="center"/>
    </xf>
    <xf numFmtId="0" fontId="30" fillId="30" borderId="31" xfId="0" applyFont="1" applyFill="1" applyBorder="1"/>
    <xf numFmtId="0" fontId="30" fillId="14" borderId="31" xfId="0" applyFont="1" applyFill="1" applyBorder="1"/>
    <xf numFmtId="0" fontId="31" fillId="0" borderId="31" xfId="0" applyFont="1" applyFill="1" applyBorder="1"/>
    <xf numFmtId="38" fontId="16" fillId="0" borderId="31" xfId="628" applyFont="1" applyFill="1" applyBorder="1" applyAlignment="1">
      <alignment wrapText="1"/>
    </xf>
    <xf numFmtId="0" fontId="0" fillId="0" borderId="32" xfId="0" applyBorder="1"/>
    <xf numFmtId="0" fontId="27" fillId="6" borderId="2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30" borderId="2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56" fontId="16" fillId="14" borderId="2" xfId="0" applyNumberFormat="1" applyFont="1" applyFill="1" applyBorder="1" applyAlignment="1">
      <alignment horizontal="center"/>
    </xf>
    <xf numFmtId="0" fontId="0" fillId="15" borderId="2" xfId="0" applyFill="1" applyBorder="1"/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0" fillId="0" borderId="61" xfId="0" applyBorder="1"/>
    <xf numFmtId="0" fontId="27" fillId="0" borderId="61" xfId="0" applyFont="1" applyFill="1" applyBorder="1"/>
    <xf numFmtId="0" fontId="0" fillId="3" borderId="61" xfId="0" applyFill="1" applyBorder="1"/>
    <xf numFmtId="0" fontId="6" fillId="5" borderId="61" xfId="0" applyFont="1" applyFill="1" applyBorder="1" applyAlignment="1">
      <alignment vertical="center"/>
    </xf>
  </cellXfs>
  <cellStyles count="89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21" sqref="B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3" t="s">
        <v>129</v>
      </c>
      <c r="B1" s="48" t="s">
        <v>99</v>
      </c>
      <c r="C1" s="48" t="s">
        <v>100</v>
      </c>
      <c r="D1" s="48" t="s">
        <v>101</v>
      </c>
      <c r="E1" s="48" t="s">
        <v>102</v>
      </c>
      <c r="F1" s="48" t="s">
        <v>103</v>
      </c>
      <c r="G1" s="48" t="s">
        <v>104</v>
      </c>
      <c r="H1" s="48"/>
      <c r="I1" s="48"/>
      <c r="J1" s="48"/>
      <c r="K1" s="48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</row>
    <row r="2" spans="1:30" x14ac:dyDescent="0.15">
      <c r="A2" s="54" t="s">
        <v>212</v>
      </c>
      <c r="B2" s="50" t="s">
        <v>105</v>
      </c>
      <c r="C2" s="90">
        <v>30028</v>
      </c>
      <c r="D2" s="50" t="s">
        <v>106</v>
      </c>
      <c r="E2" s="49" t="str">
        <f>B2&amp;C2&amp;D2</f>
        <v>floors_30028.tmp</v>
      </c>
      <c r="F2" s="50" t="s">
        <v>107</v>
      </c>
      <c r="G2" s="51" t="s">
        <v>0</v>
      </c>
      <c r="H2" s="51" t="s">
        <v>1</v>
      </c>
      <c r="I2" s="51" t="s">
        <v>13</v>
      </c>
      <c r="J2" s="51" t="s">
        <v>14</v>
      </c>
      <c r="K2" s="51" t="s">
        <v>15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</row>
    <row r="3" spans="1:30" x14ac:dyDescent="0.15">
      <c r="A3" s="54" t="s">
        <v>212</v>
      </c>
      <c r="B3" s="50" t="s">
        <v>108</v>
      </c>
      <c r="C3" s="90">
        <v>30028</v>
      </c>
      <c r="D3" s="50" t="s">
        <v>106</v>
      </c>
      <c r="E3" s="49" t="str">
        <f>B3&amp;C3&amp;D3</f>
        <v>enemy_habitats_30028.tmp</v>
      </c>
      <c r="F3" s="50" t="s">
        <v>109</v>
      </c>
      <c r="G3" s="51" t="s">
        <v>0</v>
      </c>
      <c r="H3" s="51" t="s">
        <v>1</v>
      </c>
      <c r="I3" s="51" t="s">
        <v>13</v>
      </c>
      <c r="J3" s="51" t="s">
        <v>2</v>
      </c>
      <c r="K3" s="51" t="s">
        <v>3</v>
      </c>
      <c r="L3" s="51" t="s">
        <v>47</v>
      </c>
      <c r="M3" s="51" t="s">
        <v>49</v>
      </c>
      <c r="N3" s="51" t="s">
        <v>51</v>
      </c>
      <c r="O3" s="51" t="s">
        <v>22</v>
      </c>
      <c r="P3" s="51" t="s">
        <v>5</v>
      </c>
      <c r="Q3" s="51" t="s">
        <v>6</v>
      </c>
      <c r="R3" s="51" t="s">
        <v>7</v>
      </c>
      <c r="S3" s="51" t="s">
        <v>8</v>
      </c>
      <c r="T3" s="51" t="s">
        <v>9</v>
      </c>
      <c r="U3" s="51" t="s">
        <v>10</v>
      </c>
      <c r="V3" s="51" t="s">
        <v>11</v>
      </c>
      <c r="W3" s="51" t="s">
        <v>12</v>
      </c>
      <c r="X3" s="51" t="s">
        <v>37</v>
      </c>
      <c r="Y3" s="51" t="s">
        <v>39</v>
      </c>
      <c r="Z3" s="51" t="s">
        <v>41</v>
      </c>
      <c r="AA3" s="51" t="s">
        <v>43</v>
      </c>
      <c r="AB3" s="51" t="s">
        <v>45</v>
      </c>
      <c r="AC3" s="51" t="s">
        <v>54</v>
      </c>
      <c r="AD3" s="51" t="s">
        <v>177</v>
      </c>
    </row>
    <row r="4" spans="1:30" x14ac:dyDescent="0.15">
      <c r="A4" s="54" t="s">
        <v>212</v>
      </c>
      <c r="B4" s="50" t="s">
        <v>110</v>
      </c>
      <c r="C4" s="90">
        <v>30028</v>
      </c>
      <c r="D4" s="50" t="s">
        <v>106</v>
      </c>
      <c r="E4" s="49" t="str">
        <f>B4&amp;C4&amp;D4</f>
        <v>enemy_habitat_S_30028.tmp</v>
      </c>
      <c r="F4" s="50" t="s">
        <v>111</v>
      </c>
      <c r="G4" s="51" t="s">
        <v>0</v>
      </c>
      <c r="H4" s="51" t="s">
        <v>1</v>
      </c>
      <c r="I4" s="51" t="s">
        <v>13</v>
      </c>
      <c r="J4" s="51" t="s">
        <v>54</v>
      </c>
      <c r="K4" s="51" t="s">
        <v>55</v>
      </c>
      <c r="L4" s="51" t="s">
        <v>56</v>
      </c>
      <c r="M4" s="51" t="s">
        <v>57</v>
      </c>
      <c r="N4" s="51" t="s">
        <v>58</v>
      </c>
      <c r="O4" s="51" t="s">
        <v>59</v>
      </c>
      <c r="P4" s="51" t="s">
        <v>48</v>
      </c>
      <c r="Q4" s="51" t="s">
        <v>50</v>
      </c>
      <c r="R4" s="51" t="s">
        <v>52</v>
      </c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</row>
    <row r="5" spans="1:30" x14ac:dyDescent="0.15">
      <c r="A5" s="54" t="s">
        <v>212</v>
      </c>
      <c r="B5" s="50" t="s">
        <v>112</v>
      </c>
      <c r="C5" s="90">
        <v>30028</v>
      </c>
      <c r="D5" s="50" t="s">
        <v>106</v>
      </c>
      <c r="E5" s="49" t="str">
        <f>B5&amp;C5&amp;D5</f>
        <v>enemy_skill_sets_30028.tmp</v>
      </c>
      <c r="F5" s="50" t="s">
        <v>113</v>
      </c>
      <c r="G5" s="52" t="s">
        <v>22</v>
      </c>
      <c r="H5" s="52" t="s">
        <v>98</v>
      </c>
      <c r="I5" s="52" t="s">
        <v>93</v>
      </c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</row>
    <row r="6" spans="1:30" x14ac:dyDescent="0.15">
      <c r="A6" s="54" t="s">
        <v>212</v>
      </c>
      <c r="B6" s="50" t="s">
        <v>114</v>
      </c>
      <c r="C6" s="90">
        <v>30028</v>
      </c>
      <c r="D6" s="50" t="s">
        <v>115</v>
      </c>
      <c r="E6" s="49" t="str">
        <f t="shared" ref="E6:E10" si="0">B6&amp;C6&amp;D6</f>
        <v>enemy_skills_tmp_30028.tmp</v>
      </c>
      <c r="F6" s="50" t="s">
        <v>89</v>
      </c>
      <c r="G6" s="51" t="s">
        <v>79</v>
      </c>
      <c r="H6" s="51" t="s">
        <v>80</v>
      </c>
      <c r="I6" s="51" t="s">
        <v>81</v>
      </c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</row>
    <row r="7" spans="1:30" x14ac:dyDescent="0.15">
      <c r="A7" s="54" t="s">
        <v>212</v>
      </c>
      <c r="B7" s="50" t="s">
        <v>116</v>
      </c>
      <c r="C7" s="90">
        <v>30028</v>
      </c>
      <c r="D7" s="50" t="s">
        <v>106</v>
      </c>
      <c r="E7" s="49" t="str">
        <f>B7&amp;C7&amp;D7</f>
        <v>enemy_skills_i18n_30028.tmp</v>
      </c>
      <c r="F7" s="50" t="s">
        <v>117</v>
      </c>
      <c r="G7" s="51" t="s">
        <v>79</v>
      </c>
      <c r="H7" s="51" t="s">
        <v>90</v>
      </c>
      <c r="I7" s="51" t="s">
        <v>91</v>
      </c>
      <c r="J7" s="51" t="s">
        <v>92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</row>
    <row r="8" spans="1:30" x14ac:dyDescent="0.15">
      <c r="A8" s="54" t="s">
        <v>212</v>
      </c>
      <c r="B8" s="50" t="s">
        <v>118</v>
      </c>
      <c r="C8" s="90">
        <v>30028</v>
      </c>
      <c r="D8" s="50" t="s">
        <v>119</v>
      </c>
      <c r="E8" s="49" t="str">
        <f t="shared" si="0"/>
        <v>enemy_skill_triggers_30028.tmp</v>
      </c>
      <c r="F8" s="50" t="s">
        <v>120</v>
      </c>
      <c r="G8" s="51" t="s">
        <v>93</v>
      </c>
      <c r="H8" s="51" t="s">
        <v>94</v>
      </c>
      <c r="I8" s="51" t="s">
        <v>95</v>
      </c>
      <c r="J8" s="51" t="s">
        <v>96</v>
      </c>
      <c r="K8" s="51" t="s">
        <v>121</v>
      </c>
      <c r="L8" s="51" t="s">
        <v>97</v>
      </c>
      <c r="M8" s="51" t="s">
        <v>122</v>
      </c>
      <c r="N8" s="51" t="s">
        <v>123</v>
      </c>
      <c r="O8" s="51" t="s">
        <v>124</v>
      </c>
      <c r="P8" s="51" t="s">
        <v>67</v>
      </c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</row>
    <row r="9" spans="1:30" x14ac:dyDescent="0.15">
      <c r="A9" s="54" t="s">
        <v>212</v>
      </c>
      <c r="B9" s="59" t="s">
        <v>176</v>
      </c>
      <c r="C9" s="90">
        <v>30028</v>
      </c>
      <c r="D9" s="59" t="s">
        <v>170</v>
      </c>
      <c r="E9" s="60" t="str">
        <f t="shared" si="0"/>
        <v>stage_bug_bonuses_30028.tmp</v>
      </c>
      <c r="F9" s="59" t="s">
        <v>171</v>
      </c>
      <c r="G9" s="56" t="s">
        <v>149</v>
      </c>
      <c r="H9" s="56" t="s">
        <v>172</v>
      </c>
      <c r="I9" s="56" t="s">
        <v>173</v>
      </c>
      <c r="J9" s="58" t="s">
        <v>174</v>
      </c>
      <c r="K9" s="56" t="s">
        <v>175</v>
      </c>
      <c r="L9" s="56" t="s">
        <v>155</v>
      </c>
      <c r="M9" s="56" t="s">
        <v>156</v>
      </c>
      <c r="N9" s="56" t="s">
        <v>157</v>
      </c>
      <c r="O9" s="56" t="s">
        <v>158</v>
      </c>
      <c r="P9" s="56" t="s">
        <v>159</v>
      </c>
      <c r="Q9" s="56" t="s">
        <v>160</v>
      </c>
      <c r="R9" s="56" t="s">
        <v>161</v>
      </c>
      <c r="S9" s="56" t="s">
        <v>162</v>
      </c>
      <c r="T9" s="56" t="s">
        <v>163</v>
      </c>
      <c r="U9" s="56" t="s">
        <v>164</v>
      </c>
      <c r="V9" s="56" t="s">
        <v>165</v>
      </c>
      <c r="W9" s="56" t="s">
        <v>166</v>
      </c>
    </row>
    <row r="10" spans="1:30" s="68" customFormat="1" x14ac:dyDescent="0.15">
      <c r="A10" s="54" t="s">
        <v>212</v>
      </c>
      <c r="B10" s="59" t="s">
        <v>200</v>
      </c>
      <c r="C10" s="90">
        <v>30028</v>
      </c>
      <c r="D10" s="59" t="s">
        <v>179</v>
      </c>
      <c r="E10" s="60" t="str">
        <f t="shared" si="0"/>
        <v>stage_hints_data_c_30028.tmp</v>
      </c>
      <c r="F10" s="59" t="s">
        <v>208</v>
      </c>
      <c r="G10" s="65" t="s">
        <v>180</v>
      </c>
      <c r="H10" s="65" t="s">
        <v>172</v>
      </c>
      <c r="I10" s="66" t="s">
        <v>181</v>
      </c>
      <c r="J10" s="58" t="s">
        <v>182</v>
      </c>
      <c r="K10" s="67" t="s">
        <v>183</v>
      </c>
    </row>
    <row r="11" spans="1:30" s="68" customFormat="1" x14ac:dyDescent="0.15">
      <c r="A11" s="54" t="s">
        <v>212</v>
      </c>
      <c r="B11" s="59" t="s">
        <v>201</v>
      </c>
      <c r="C11" s="90">
        <v>30028</v>
      </c>
      <c r="D11" s="59" t="s">
        <v>170</v>
      </c>
      <c r="E11" s="60" t="str">
        <f t="shared" ref="E11:E12" si="1">B11&amp;C11&amp;D11</f>
        <v>stage_hints_data_f_30028.tmp</v>
      </c>
      <c r="F11" s="59" t="s">
        <v>210</v>
      </c>
      <c r="G11" s="65" t="s">
        <v>180</v>
      </c>
      <c r="H11" s="65" t="s">
        <v>172</v>
      </c>
      <c r="I11" s="66" t="s">
        <v>181</v>
      </c>
      <c r="J11" s="58" t="s">
        <v>182</v>
      </c>
      <c r="K11" s="67" t="s">
        <v>183</v>
      </c>
    </row>
    <row r="12" spans="1:30" s="68" customFormat="1" x14ac:dyDescent="0.15">
      <c r="A12" s="54" t="s">
        <v>212</v>
      </c>
      <c r="B12" s="59" t="s">
        <v>202</v>
      </c>
      <c r="C12" s="90">
        <v>30028</v>
      </c>
      <c r="D12" s="59" t="s">
        <v>170</v>
      </c>
      <c r="E12" s="60" t="str">
        <f t="shared" si="1"/>
        <v>stage_hints_i18n_30028.tmp</v>
      </c>
      <c r="F12" s="59" t="s">
        <v>211</v>
      </c>
      <c r="G12" s="66" t="s">
        <v>203</v>
      </c>
      <c r="H12" s="87" t="s">
        <v>204</v>
      </c>
      <c r="I12" s="65" t="s">
        <v>205</v>
      </c>
      <c r="J12" s="88" t="s">
        <v>206</v>
      </c>
      <c r="K12" s="67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6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3" t="s">
        <v>30</v>
      </c>
      <c r="B1" s="13" t="s">
        <v>36</v>
      </c>
      <c r="C1" s="92" t="s">
        <v>0</v>
      </c>
      <c r="D1" s="93" t="s">
        <v>18</v>
      </c>
      <c r="E1" s="93" t="s">
        <v>33</v>
      </c>
      <c r="F1" s="92" t="s">
        <v>1</v>
      </c>
      <c r="G1" s="94" t="s">
        <v>32</v>
      </c>
      <c r="H1" s="93" t="s">
        <v>34</v>
      </c>
      <c r="I1" s="92" t="s">
        <v>13</v>
      </c>
      <c r="J1" s="92" t="s">
        <v>14</v>
      </c>
      <c r="K1" s="92" t="s">
        <v>15</v>
      </c>
    </row>
    <row r="2" spans="1:11" ht="21" customHeight="1" x14ac:dyDescent="0.15">
      <c r="A2" s="101" t="str">
        <f>G2&amp;"-"&amp;I2</f>
        <v>30028_1-1</v>
      </c>
      <c r="B2" s="102" t="str">
        <f>IF(COUNTIF(enemy_habitats!$H:$H,A2),"OK","NG")</f>
        <v>OK</v>
      </c>
      <c r="C2" s="103">
        <v>30028</v>
      </c>
      <c r="D2" s="104" t="str">
        <f ca="1">VLOOKUP($C2,OFFSET([2]quests!$A$1,0,0,COUNTA([2]quests!$A:$A),MATCH(D$1,[2]quests!$1:$1,0)-MATCH($C$1,[2]quests!$1:$1,0)+1),MATCH(D$1,[2]quests!$1:$1,0)-MATCH($C$1,[2]quests!$1:$1,0)+1,FALSE)</f>
        <v>最悪の刺客</v>
      </c>
      <c r="E2" s="104" t="str">
        <f ca="1">VLOOKUP($C2,OFFSET([2]quests!$A$1,0,0,COUNTA([2]quests!$A:$A),MATCH(E$1,[2]quests!$1:$1,0)-MATCH($C$1,[2]quests!$1:$1,0)+1),MATCH(E$1,[2]quests!$1:$1,0)-MATCH($C$1,[2]quests!$1:$1,0)+1,FALSE)</f>
        <v>ドロップイベント8（マルチ専用）</v>
      </c>
      <c r="F2" s="105">
        <v>1</v>
      </c>
      <c r="G2" s="106" t="str">
        <f>C2&amp;"_"&amp;F2</f>
        <v>30028_1</v>
      </c>
      <c r="H2" s="107" t="str">
        <f ca="1">VLOOKUP($G2,OFFSET([2]stages!$A$1,0,0,COUNTA([2]stages!$A:$A),MATCH(H$1,[2]stages!$2:$2,0)-MATCH($G$1,[2]stages!$2:$2,0)+1),MATCH(H$1,[2]stages!$2:$2,0)-MATCH($G$1,[2]stages!$2:$2,0)+1,FALSE)</f>
        <v>【中級】最悪の刺客</v>
      </c>
      <c r="I2" s="105">
        <v>1</v>
      </c>
      <c r="J2" s="108">
        <v>50</v>
      </c>
      <c r="K2" s="109">
        <v>50</v>
      </c>
    </row>
    <row r="3" spans="1:11" ht="21" customHeight="1" x14ac:dyDescent="0.15">
      <c r="A3" s="110" t="str">
        <f t="shared" ref="A3:A13" si="0">G3&amp;"-"&amp;I3</f>
        <v>30028_1-2</v>
      </c>
      <c r="B3" s="111" t="str">
        <f>IF(COUNTIF(enemy_habitats!$H:$H,A3),"OK","NG")</f>
        <v>OK</v>
      </c>
      <c r="C3" s="91">
        <v>30028</v>
      </c>
      <c r="D3" s="15" t="str">
        <f ca="1">VLOOKUP($C3,OFFSET([2]quests!$A$1,0,0,COUNTA([2]quests!$A:$A),MATCH(D$1,[2]quests!$1:$1,0)-MATCH($C$1,[2]quests!$1:$1,0)+1),MATCH(D$1,[2]quests!$1:$1,0)-MATCH($C$1,[2]quests!$1:$1,0)+1,FALSE)</f>
        <v>最悪の刺客</v>
      </c>
      <c r="E3" s="15" t="str">
        <f ca="1">VLOOKUP($C3,OFFSET([2]quests!$A$1,0,0,COUNTA([2]quests!$A:$A),MATCH(E$1,[2]quests!$1:$1,0)-MATCH($C$1,[2]quests!$1:$1,0)+1),MATCH(E$1,[2]quests!$1:$1,0)-MATCH($C$1,[2]quests!$1:$1,0)+1,FALSE)</f>
        <v>ドロップイベント8（マルチ専用）</v>
      </c>
      <c r="F3" s="112">
        <v>1</v>
      </c>
      <c r="G3" s="18" t="str">
        <f t="shared" ref="G3:G13" si="1">C3&amp;"_"&amp;F3</f>
        <v>30028_1</v>
      </c>
      <c r="H3" s="12" t="str">
        <f ca="1">VLOOKUP($G3,OFFSET([2]stages!$A$1,0,0,COUNTA([2]stages!$A:$A),MATCH(H$1,[2]stages!$2:$2,0)-MATCH($G$1,[2]stages!$2:$2,0)+1),MATCH(H$1,[2]stages!$2:$2,0)-MATCH($G$1,[2]stages!$2:$2,0)+1,FALSE)</f>
        <v>【中級】最悪の刺客</v>
      </c>
      <c r="I3" s="112">
        <v>2</v>
      </c>
      <c r="J3" s="32">
        <v>60</v>
      </c>
      <c r="K3" s="113">
        <v>60</v>
      </c>
    </row>
    <row r="4" spans="1:11" ht="21" customHeight="1" x14ac:dyDescent="0.15">
      <c r="A4" s="110" t="str">
        <f t="shared" si="0"/>
        <v>30028_1-3</v>
      </c>
      <c r="B4" s="111" t="str">
        <f>IF(COUNTIF(enemy_habitats!$H:$H,A4),"OK","NG")</f>
        <v>OK</v>
      </c>
      <c r="C4" s="91">
        <v>30028</v>
      </c>
      <c r="D4" s="15" t="str">
        <f ca="1">VLOOKUP($C4,OFFSET([2]quests!$A$1,0,0,COUNTA([2]quests!$A:$A),MATCH(D$1,[2]quests!$1:$1,0)-MATCH($C$1,[2]quests!$1:$1,0)+1),MATCH(D$1,[2]quests!$1:$1,0)-MATCH($C$1,[2]quests!$1:$1,0)+1,FALSE)</f>
        <v>最悪の刺客</v>
      </c>
      <c r="E4" s="15" t="str">
        <f ca="1">VLOOKUP($C4,OFFSET([2]quests!$A$1,0,0,COUNTA([2]quests!$A:$A),MATCH(E$1,[2]quests!$1:$1,0)-MATCH($C$1,[2]quests!$1:$1,0)+1),MATCH(E$1,[2]quests!$1:$1,0)-MATCH($C$1,[2]quests!$1:$1,0)+1,FALSE)</f>
        <v>ドロップイベント8（マルチ専用）</v>
      </c>
      <c r="F4" s="112">
        <v>1</v>
      </c>
      <c r="G4" s="18" t="str">
        <f t="shared" si="1"/>
        <v>30028_1</v>
      </c>
      <c r="H4" s="12" t="str">
        <f ca="1">VLOOKUP($G4,OFFSET([2]stages!$A$1,0,0,COUNTA([2]stages!$A:$A),MATCH(H$1,[2]stages!$2:$2,0)-MATCH($G$1,[2]stages!$2:$2,0)+1),MATCH(H$1,[2]stages!$2:$2,0)-MATCH($G$1,[2]stages!$2:$2,0)+1,FALSE)</f>
        <v>【中級】最悪の刺客</v>
      </c>
      <c r="I4" s="112">
        <v>3</v>
      </c>
      <c r="J4" s="32">
        <v>60</v>
      </c>
      <c r="K4" s="113">
        <v>60</v>
      </c>
    </row>
    <row r="5" spans="1:11" ht="21" customHeight="1" thickBot="1" x14ac:dyDescent="0.2">
      <c r="A5" s="114" t="str">
        <f t="shared" si="0"/>
        <v>30028_1-4</v>
      </c>
      <c r="B5" s="115" t="str">
        <f>IF(COUNTIF(enemy_habitats!$H:$H,A5),"OK","NG")</f>
        <v>OK</v>
      </c>
      <c r="C5" s="116">
        <v>30028</v>
      </c>
      <c r="D5" s="117" t="str">
        <f ca="1">VLOOKUP($C5,OFFSET([2]quests!$A$1,0,0,COUNTA([2]quests!$A:$A),MATCH(D$1,[2]quests!$1:$1,0)-MATCH($C$1,[2]quests!$1:$1,0)+1),MATCH(D$1,[2]quests!$1:$1,0)-MATCH($C$1,[2]quests!$1:$1,0)+1,FALSE)</f>
        <v>最悪の刺客</v>
      </c>
      <c r="E5" s="117" t="str">
        <f ca="1">VLOOKUP($C5,OFFSET([2]quests!$A$1,0,0,COUNTA([2]quests!$A:$A),MATCH(E$1,[2]quests!$1:$1,0)-MATCH($C$1,[2]quests!$1:$1,0)+1),MATCH(E$1,[2]quests!$1:$1,0)-MATCH($C$1,[2]quests!$1:$1,0)+1,FALSE)</f>
        <v>ドロップイベント8（マルチ専用）</v>
      </c>
      <c r="F5" s="118">
        <v>1</v>
      </c>
      <c r="G5" s="119" t="str">
        <f t="shared" si="1"/>
        <v>30028_1</v>
      </c>
      <c r="H5" s="120" t="str">
        <f ca="1">VLOOKUP($G5,OFFSET([2]stages!$A$1,0,0,COUNTA([2]stages!$A:$A),MATCH(H$1,[2]stages!$2:$2,0)-MATCH($G$1,[2]stages!$2:$2,0)+1),MATCH(H$1,[2]stages!$2:$2,0)-MATCH($G$1,[2]stages!$2:$2,0)+1,FALSE)</f>
        <v>【中級】最悪の刺客</v>
      </c>
      <c r="I5" s="118">
        <v>4</v>
      </c>
      <c r="J5" s="121">
        <v>60</v>
      </c>
      <c r="K5" s="122">
        <v>60</v>
      </c>
    </row>
    <row r="6" spans="1:11" ht="21" customHeight="1" x14ac:dyDescent="0.15">
      <c r="A6" s="110" t="str">
        <f t="shared" si="0"/>
        <v>30028_2-1</v>
      </c>
      <c r="B6" s="111" t="str">
        <f>IF(COUNTIF(enemy_habitats!$H:$H,A6),"OK","NG")</f>
        <v>OK</v>
      </c>
      <c r="C6" s="95">
        <v>30028</v>
      </c>
      <c r="D6" s="96" t="str">
        <f ca="1">VLOOKUP($C6,OFFSET([2]quests!$A$1,0,0,COUNTA([2]quests!$A:$A),MATCH(D$1,[2]quests!$1:$1,0)-MATCH($C$1,[2]quests!$1:$1,0)+1),MATCH(D$1,[2]quests!$1:$1,0)-MATCH($C$1,[2]quests!$1:$1,0)+1,FALSE)</f>
        <v>最悪の刺客</v>
      </c>
      <c r="E6" s="96" t="str">
        <f ca="1">VLOOKUP($C6,OFFSET([2]quests!$A$1,0,0,COUNTA([2]quests!$A:$A),MATCH(E$1,[2]quests!$1:$1,0)-MATCH($C$1,[2]quests!$1:$1,0)+1),MATCH(E$1,[2]quests!$1:$1,0)-MATCH($C$1,[2]quests!$1:$1,0)+1,FALSE)</f>
        <v>ドロップイベント8（マルチ専用）</v>
      </c>
      <c r="F6" s="97">
        <v>2</v>
      </c>
      <c r="G6" s="98" t="str">
        <f t="shared" si="1"/>
        <v>30028_2</v>
      </c>
      <c r="H6" s="99" t="str">
        <f ca="1">VLOOKUP($G6,OFFSET([2]stages!$A$1,0,0,COUNTA([2]stages!$A:$A),MATCH(H$1,[2]stages!$2:$2,0)-MATCH($G$1,[2]stages!$2:$2,0)+1),MATCH(H$1,[2]stages!$2:$2,0)-MATCH($G$1,[2]stages!$2:$2,0)+1,FALSE)</f>
        <v>【上級】最悪の刺客</v>
      </c>
      <c r="I6" s="97">
        <v>1</v>
      </c>
      <c r="J6" s="100">
        <v>50</v>
      </c>
      <c r="K6" s="127">
        <v>50</v>
      </c>
    </row>
    <row r="7" spans="1:11" ht="21" customHeight="1" x14ac:dyDescent="0.15">
      <c r="A7" s="110" t="str">
        <f t="shared" si="0"/>
        <v>30028_2-2</v>
      </c>
      <c r="B7" s="111" t="str">
        <f>IF(COUNTIF(enemy_habitats!$H:$H,A7),"OK","NG")</f>
        <v>OK</v>
      </c>
      <c r="C7" s="91">
        <v>30028</v>
      </c>
      <c r="D7" s="15" t="str">
        <f ca="1">VLOOKUP($C7,OFFSET([2]quests!$A$1,0,0,COUNTA([2]quests!$A:$A),MATCH(D$1,[2]quests!$1:$1,0)-MATCH($C$1,[2]quests!$1:$1,0)+1),MATCH(D$1,[2]quests!$1:$1,0)-MATCH($C$1,[2]quests!$1:$1,0)+1,FALSE)</f>
        <v>最悪の刺客</v>
      </c>
      <c r="E7" s="15" t="str">
        <f ca="1">VLOOKUP($C7,OFFSET([2]quests!$A$1,0,0,COUNTA([2]quests!$A:$A),MATCH(E$1,[2]quests!$1:$1,0)-MATCH($C$1,[2]quests!$1:$1,0)+1),MATCH(E$1,[2]quests!$1:$1,0)-MATCH($C$1,[2]quests!$1:$1,0)+1,FALSE)</f>
        <v>ドロップイベント8（マルチ専用）</v>
      </c>
      <c r="F7" s="112">
        <v>2</v>
      </c>
      <c r="G7" s="18" t="str">
        <f t="shared" si="1"/>
        <v>30028_2</v>
      </c>
      <c r="H7" s="12" t="str">
        <f ca="1">VLOOKUP($G7,OFFSET([2]stages!$A$1,0,0,COUNTA([2]stages!$A:$A),MATCH(H$1,[2]stages!$2:$2,0)-MATCH($G$1,[2]stages!$2:$2,0)+1),MATCH(H$1,[2]stages!$2:$2,0)-MATCH($G$1,[2]stages!$2:$2,0)+1,FALSE)</f>
        <v>【上級】最悪の刺客</v>
      </c>
      <c r="I7" s="112">
        <v>2</v>
      </c>
      <c r="J7" s="32">
        <v>60</v>
      </c>
      <c r="K7" s="113">
        <v>60</v>
      </c>
    </row>
    <row r="8" spans="1:11" ht="21" customHeight="1" x14ac:dyDescent="0.15">
      <c r="A8" s="110" t="str">
        <f t="shared" si="0"/>
        <v>30028_2-3</v>
      </c>
      <c r="B8" s="111" t="str">
        <f>IF(COUNTIF(enemy_habitats!$H:$H,A8),"OK","NG")</f>
        <v>OK</v>
      </c>
      <c r="C8" s="91">
        <v>30028</v>
      </c>
      <c r="D8" s="15" t="str">
        <f ca="1">VLOOKUP($C8,OFFSET([2]quests!$A$1,0,0,COUNTA([2]quests!$A:$A),MATCH(D$1,[2]quests!$1:$1,0)-MATCH($C$1,[2]quests!$1:$1,0)+1),MATCH(D$1,[2]quests!$1:$1,0)-MATCH($C$1,[2]quests!$1:$1,0)+1,FALSE)</f>
        <v>最悪の刺客</v>
      </c>
      <c r="E8" s="15" t="str">
        <f ca="1">VLOOKUP($C8,OFFSET([2]quests!$A$1,0,0,COUNTA([2]quests!$A:$A),MATCH(E$1,[2]quests!$1:$1,0)-MATCH($C$1,[2]quests!$1:$1,0)+1),MATCH(E$1,[2]quests!$1:$1,0)-MATCH($C$1,[2]quests!$1:$1,0)+1,FALSE)</f>
        <v>ドロップイベント8（マルチ専用）</v>
      </c>
      <c r="F8" s="112">
        <v>2</v>
      </c>
      <c r="G8" s="18" t="str">
        <f t="shared" si="1"/>
        <v>30028_2</v>
      </c>
      <c r="H8" s="12" t="str">
        <f ca="1">VLOOKUP($G8,OFFSET([2]stages!$A$1,0,0,COUNTA([2]stages!$A:$A),MATCH(H$1,[2]stages!$2:$2,0)-MATCH($G$1,[2]stages!$2:$2,0)+1),MATCH(H$1,[2]stages!$2:$2,0)-MATCH($G$1,[2]stages!$2:$2,0)+1,FALSE)</f>
        <v>【上級】最悪の刺客</v>
      </c>
      <c r="I8" s="112">
        <v>3</v>
      </c>
      <c r="J8" s="32">
        <v>60</v>
      </c>
      <c r="K8" s="113">
        <v>60</v>
      </c>
    </row>
    <row r="9" spans="1:11" ht="21" customHeight="1" thickBot="1" x14ac:dyDescent="0.2">
      <c r="A9" s="110" t="str">
        <f t="shared" si="0"/>
        <v>30028_2-4</v>
      </c>
      <c r="B9" s="111" t="str">
        <f>IF(COUNTIF(enemy_habitats!$H:$H,A9),"OK","NG")</f>
        <v>OK</v>
      </c>
      <c r="C9" s="123">
        <v>30028</v>
      </c>
      <c r="D9" s="124" t="str">
        <f ca="1">VLOOKUP($C9,OFFSET([2]quests!$A$1,0,0,COUNTA([2]quests!$A:$A),MATCH(D$1,[2]quests!$1:$1,0)-MATCH($C$1,[2]quests!$1:$1,0)+1),MATCH(D$1,[2]quests!$1:$1,0)-MATCH($C$1,[2]quests!$1:$1,0)+1,FALSE)</f>
        <v>最悪の刺客</v>
      </c>
      <c r="E9" s="124" t="str">
        <f ca="1">VLOOKUP($C9,OFFSET([2]quests!$A$1,0,0,COUNTA([2]quests!$A:$A),MATCH(E$1,[2]quests!$1:$1,0)-MATCH($C$1,[2]quests!$1:$1,0)+1),MATCH(E$1,[2]quests!$1:$1,0)-MATCH($C$1,[2]quests!$1:$1,0)+1,FALSE)</f>
        <v>ドロップイベント8（マルチ専用）</v>
      </c>
      <c r="F9" s="125">
        <v>2</v>
      </c>
      <c r="G9" s="94" t="str">
        <f t="shared" si="1"/>
        <v>30028_2</v>
      </c>
      <c r="H9" s="93" t="str">
        <f ca="1">VLOOKUP($G9,OFFSET([2]stages!$A$1,0,0,COUNTA([2]stages!$A:$A),MATCH(H$1,[2]stages!$2:$2,0)-MATCH($G$1,[2]stages!$2:$2,0)+1),MATCH(H$1,[2]stages!$2:$2,0)-MATCH($G$1,[2]stages!$2:$2,0)+1,FALSE)</f>
        <v>【上級】最悪の刺客</v>
      </c>
      <c r="I9" s="125">
        <v>4</v>
      </c>
      <c r="J9" s="126">
        <v>60</v>
      </c>
      <c r="K9" s="128">
        <v>60</v>
      </c>
    </row>
    <row r="10" spans="1:11" ht="21" customHeight="1" x14ac:dyDescent="0.15">
      <c r="A10" s="101" t="str">
        <f t="shared" si="0"/>
        <v>30028_3-1</v>
      </c>
      <c r="B10" s="102" t="str">
        <f>IF(COUNTIF(enemy_habitats!$H:$H,A10),"OK","NG")</f>
        <v>OK</v>
      </c>
      <c r="C10" s="103">
        <v>30028</v>
      </c>
      <c r="D10" s="104" t="str">
        <f ca="1">VLOOKUP($C10,OFFSET([2]quests!$A$1,0,0,COUNTA([2]quests!$A:$A),MATCH(D$1,[2]quests!$1:$1,0)-MATCH($C$1,[2]quests!$1:$1,0)+1),MATCH(D$1,[2]quests!$1:$1,0)-MATCH($C$1,[2]quests!$1:$1,0)+1,FALSE)</f>
        <v>最悪の刺客</v>
      </c>
      <c r="E10" s="104" t="str">
        <f ca="1">VLOOKUP($C10,OFFSET([2]quests!$A$1,0,0,COUNTA([2]quests!$A:$A),MATCH(E$1,[2]quests!$1:$1,0)-MATCH($C$1,[2]quests!$1:$1,0)+1),MATCH(E$1,[2]quests!$1:$1,0)-MATCH($C$1,[2]quests!$1:$1,0)+1,FALSE)</f>
        <v>ドロップイベント8（マルチ専用）</v>
      </c>
      <c r="F10" s="105">
        <v>3</v>
      </c>
      <c r="G10" s="106" t="str">
        <f t="shared" si="1"/>
        <v>30028_3</v>
      </c>
      <c r="H10" s="107" t="str">
        <f ca="1">VLOOKUP($G10,OFFSET([2]stages!$A$1,0,0,COUNTA([2]stages!$A:$A),MATCH(H$1,[2]stages!$2:$2,0)-MATCH($G$1,[2]stages!$2:$2,0)+1),MATCH(H$1,[2]stages!$2:$2,0)-MATCH($G$1,[2]stages!$2:$2,0)+1,FALSE)</f>
        <v>【超級】最悪の刺客</v>
      </c>
      <c r="I10" s="105">
        <v>1</v>
      </c>
      <c r="J10" s="108">
        <v>50</v>
      </c>
      <c r="K10" s="109">
        <v>50</v>
      </c>
    </row>
    <row r="11" spans="1:11" ht="21" customHeight="1" x14ac:dyDescent="0.15">
      <c r="A11" s="110" t="str">
        <f t="shared" si="0"/>
        <v>30028_3-2</v>
      </c>
      <c r="B11" s="111" t="str">
        <f>IF(COUNTIF(enemy_habitats!$H:$H,A11),"OK","NG")</f>
        <v>OK</v>
      </c>
      <c r="C11" s="91">
        <v>30028</v>
      </c>
      <c r="D11" s="15" t="str">
        <f ca="1">VLOOKUP($C11,OFFSET([2]quests!$A$1,0,0,COUNTA([2]quests!$A:$A),MATCH(D$1,[2]quests!$1:$1,0)-MATCH($C$1,[2]quests!$1:$1,0)+1),MATCH(D$1,[2]quests!$1:$1,0)-MATCH($C$1,[2]quests!$1:$1,0)+1,FALSE)</f>
        <v>最悪の刺客</v>
      </c>
      <c r="E11" s="15" t="str">
        <f ca="1">VLOOKUP($C11,OFFSET([2]quests!$A$1,0,0,COUNTA([2]quests!$A:$A),MATCH(E$1,[2]quests!$1:$1,0)-MATCH($C$1,[2]quests!$1:$1,0)+1),MATCH(E$1,[2]quests!$1:$1,0)-MATCH($C$1,[2]quests!$1:$1,0)+1,FALSE)</f>
        <v>ドロップイベント8（マルチ専用）</v>
      </c>
      <c r="F11" s="112">
        <v>3</v>
      </c>
      <c r="G11" s="18" t="str">
        <f t="shared" si="1"/>
        <v>30028_3</v>
      </c>
      <c r="H11" s="12" t="str">
        <f ca="1">VLOOKUP($G11,OFFSET([2]stages!$A$1,0,0,COUNTA([2]stages!$A:$A),MATCH(H$1,[2]stages!$2:$2,0)-MATCH($G$1,[2]stages!$2:$2,0)+1),MATCH(H$1,[2]stages!$2:$2,0)-MATCH($G$1,[2]stages!$2:$2,0)+1,FALSE)</f>
        <v>【超級】最悪の刺客</v>
      </c>
      <c r="I11" s="112">
        <v>2</v>
      </c>
      <c r="J11" s="32">
        <v>60</v>
      </c>
      <c r="K11" s="113">
        <v>60</v>
      </c>
    </row>
    <row r="12" spans="1:11" ht="21" customHeight="1" x14ac:dyDescent="0.15">
      <c r="A12" s="110" t="str">
        <f t="shared" si="0"/>
        <v>30028_3-3</v>
      </c>
      <c r="B12" s="111" t="str">
        <f>IF(COUNTIF(enemy_habitats!$H:$H,A12),"OK","NG")</f>
        <v>OK</v>
      </c>
      <c r="C12" s="91">
        <v>30028</v>
      </c>
      <c r="D12" s="15" t="str">
        <f ca="1">VLOOKUP($C12,OFFSET([2]quests!$A$1,0,0,COUNTA([2]quests!$A:$A),MATCH(D$1,[2]quests!$1:$1,0)-MATCH($C$1,[2]quests!$1:$1,0)+1),MATCH(D$1,[2]quests!$1:$1,0)-MATCH($C$1,[2]quests!$1:$1,0)+1,FALSE)</f>
        <v>最悪の刺客</v>
      </c>
      <c r="E12" s="15" t="str">
        <f ca="1">VLOOKUP($C12,OFFSET([2]quests!$A$1,0,0,COUNTA([2]quests!$A:$A),MATCH(E$1,[2]quests!$1:$1,0)-MATCH($C$1,[2]quests!$1:$1,0)+1),MATCH(E$1,[2]quests!$1:$1,0)-MATCH($C$1,[2]quests!$1:$1,0)+1,FALSE)</f>
        <v>ドロップイベント8（マルチ専用）</v>
      </c>
      <c r="F12" s="112">
        <v>3</v>
      </c>
      <c r="G12" s="18" t="str">
        <f t="shared" si="1"/>
        <v>30028_3</v>
      </c>
      <c r="H12" s="12" t="str">
        <f ca="1">VLOOKUP($G12,OFFSET([2]stages!$A$1,0,0,COUNTA([2]stages!$A:$A),MATCH(H$1,[2]stages!$2:$2,0)-MATCH($G$1,[2]stages!$2:$2,0)+1),MATCH(H$1,[2]stages!$2:$2,0)-MATCH($G$1,[2]stages!$2:$2,0)+1,FALSE)</f>
        <v>【超級】最悪の刺客</v>
      </c>
      <c r="I12" s="112">
        <v>3</v>
      </c>
      <c r="J12" s="32">
        <v>60</v>
      </c>
      <c r="K12" s="113">
        <v>60</v>
      </c>
    </row>
    <row r="13" spans="1:11" ht="21" customHeight="1" thickBot="1" x14ac:dyDescent="0.2">
      <c r="A13" s="114" t="str">
        <f t="shared" si="0"/>
        <v>30028_3-4</v>
      </c>
      <c r="B13" s="115" t="str">
        <f>IF(COUNTIF(enemy_habitats!$H:$H,A13),"OK","NG")</f>
        <v>OK</v>
      </c>
      <c r="C13" s="116">
        <v>30028</v>
      </c>
      <c r="D13" s="117" t="str">
        <f ca="1">VLOOKUP($C13,OFFSET([2]quests!$A$1,0,0,COUNTA([2]quests!$A:$A),MATCH(D$1,[2]quests!$1:$1,0)-MATCH($C$1,[2]quests!$1:$1,0)+1),MATCH(D$1,[2]quests!$1:$1,0)-MATCH($C$1,[2]quests!$1:$1,0)+1,FALSE)</f>
        <v>最悪の刺客</v>
      </c>
      <c r="E13" s="117" t="str">
        <f ca="1">VLOOKUP($C13,OFFSET([2]quests!$A$1,0,0,COUNTA([2]quests!$A:$A),MATCH(E$1,[2]quests!$1:$1,0)-MATCH($C$1,[2]quests!$1:$1,0)+1),MATCH(E$1,[2]quests!$1:$1,0)-MATCH($C$1,[2]quests!$1:$1,0)+1,FALSE)</f>
        <v>ドロップイベント8（マルチ専用）</v>
      </c>
      <c r="F13" s="118">
        <v>3</v>
      </c>
      <c r="G13" s="119" t="str">
        <f t="shared" si="1"/>
        <v>30028_3</v>
      </c>
      <c r="H13" s="120" t="str">
        <f ca="1">VLOOKUP($G13,OFFSET([2]stages!$A$1,0,0,COUNTA([2]stages!$A:$A),MATCH(H$1,[2]stages!$2:$2,0)-MATCH($G$1,[2]stages!$2:$2,0)+1),MATCH(H$1,[2]stages!$2:$2,0)-MATCH($G$1,[2]stages!$2:$2,0)+1,FALSE)</f>
        <v>【超級】最悪の刺客</v>
      </c>
      <c r="I13" s="118">
        <v>4</v>
      </c>
      <c r="J13" s="121">
        <v>60</v>
      </c>
      <c r="K13" s="12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workbookViewId="0">
      <pane xSplit="17" ySplit="1" topLeftCell="AH2" activePane="bottomRight" state="frozen"/>
      <selection pane="topRight" activeCell="N1" sqref="N1"/>
      <selection pane="bottomLeft" activeCell="A2" sqref="A2"/>
      <selection pane="bottomRight" activeCell="AH14" sqref="AH14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2" bestFit="1" customWidth="1"/>
    <col min="3" max="3" width="10.6640625" style="2" bestFit="1" customWidth="1"/>
    <col min="4" max="4" width="13" style="11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8" bestFit="1" customWidth="1" collapsed="1"/>
    <col min="13" max="13" width="8.83203125" style="2" hidden="1" customWidth="1" outlineLevel="1"/>
    <col min="14" max="14" width="8.6640625" style="2" hidden="1" customWidth="1" outlineLevel="1"/>
    <col min="15" max="15" width="12" style="2" hidden="1" customWidth="1" outlineLevel="1"/>
    <col min="16" max="16" width="21" style="2" hidden="1" customWidth="1" outlineLevel="1"/>
    <col min="17" max="17" width="8" style="2" hidden="1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9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29" customFormat="1" ht="21" customHeight="1" thickBot="1" x14ac:dyDescent="0.2">
      <c r="A1" s="22" t="s">
        <v>29</v>
      </c>
      <c r="B1" s="28" t="s">
        <v>0</v>
      </c>
      <c r="C1" s="28" t="s">
        <v>1</v>
      </c>
      <c r="D1" s="162" t="s">
        <v>28</v>
      </c>
      <c r="E1" s="162" t="s">
        <v>20</v>
      </c>
      <c r="F1" s="162" t="s">
        <v>20</v>
      </c>
      <c r="G1" s="28" t="s">
        <v>19</v>
      </c>
      <c r="H1" s="162" t="s">
        <v>35</v>
      </c>
      <c r="I1" s="162" t="s">
        <v>14</v>
      </c>
      <c r="J1" s="162" t="s">
        <v>15</v>
      </c>
      <c r="K1" s="163" t="s">
        <v>54</v>
      </c>
      <c r="L1" s="163" t="s">
        <v>2</v>
      </c>
      <c r="M1" s="164" t="s">
        <v>21</v>
      </c>
      <c r="N1" s="162" t="s">
        <v>24</v>
      </c>
      <c r="O1" s="162" t="s">
        <v>23</v>
      </c>
      <c r="P1" s="165" t="s">
        <v>26</v>
      </c>
      <c r="Q1" s="162" t="s">
        <v>25</v>
      </c>
      <c r="R1" s="28" t="s">
        <v>3</v>
      </c>
      <c r="S1" s="28" t="s">
        <v>48</v>
      </c>
      <c r="T1" s="28" t="s">
        <v>50</v>
      </c>
      <c r="U1" s="28" t="s">
        <v>52</v>
      </c>
      <c r="V1" s="162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28" t="s">
        <v>9</v>
      </c>
      <c r="AC1" s="166" t="s">
        <v>16</v>
      </c>
      <c r="AD1" s="166" t="s">
        <v>17</v>
      </c>
      <c r="AE1" s="166" t="s">
        <v>27</v>
      </c>
      <c r="AF1" s="28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163" t="s">
        <v>178</v>
      </c>
    </row>
    <row r="2" spans="1:40" s="146" customFormat="1" ht="21" customHeight="1" x14ac:dyDescent="0.15">
      <c r="A2" s="101" t="str">
        <f t="shared" ref="A2:A19" si="0">B2&amp;"_"&amp;C2&amp;"-"&amp;G2&amp;"/"&amp;L2&amp;"&lt;lv"&amp;R2&amp;"&gt;s"&amp;AA2</f>
        <v>30028_1-1/132&lt;lv25&gt;s1</v>
      </c>
      <c r="B2" s="103">
        <v>30028</v>
      </c>
      <c r="C2" s="105">
        <v>1</v>
      </c>
      <c r="D2" s="107" t="str">
        <f t="shared" ref="D2:D19" si="1">B2&amp;"_"&amp;C2</f>
        <v>30028_1</v>
      </c>
      <c r="E2" s="137" t="str">
        <f ca="1">VLOOKUP($B2,OFFSET([2]quests!$A$1,0,0,COUNTA([2]quests!$A:$A),MATCH(E$1,[2]quests!$1:$1,0)-MATCH($B$1,[2]quests!$1:$1,0)+1),MATCH(E$1,[2]quests!$1:$1,0)-MATCH($B$1,[2]quests!$1:$1,0)+1,FALSE)</f>
        <v>最悪の刺客</v>
      </c>
      <c r="F2" s="137" t="str">
        <f ca="1">VLOOKUP($D2,OFFSET([2]stages!$A$1,0,0,COUNTA([2]stages!$A:$A),MATCH(F$1,[2]stages!$2:$2,0)-MATCH($D$1,[2]stages!$2:$2,0)+1),MATCH(F$1,[2]stages!$2:$2,0)-MATCH($D$1,[2]stages!$2:$2,0)+1,FALSE)</f>
        <v>【中級】最悪の刺客</v>
      </c>
      <c r="G2" s="105">
        <v>1</v>
      </c>
      <c r="H2" s="107" t="str">
        <f t="shared" ref="H2:H19" si="2">B2&amp;"_"&amp;C2&amp;"-"&amp;G2</f>
        <v>30028_1-1</v>
      </c>
      <c r="I2" s="137">
        <f ca="1">VLOOKUP($H2,OFFSET(floors!$A$1,0,0,COUNTA(floors!$A:$A),MATCH(I$1,floors!$1:$1,0)-MATCH($H$1,floors!$1:$1,0)+1),MATCH(I$1,floors!$1:$1,0)-MATCH($H$1,floors!$1:$1,0)+1,FALSE)</f>
        <v>50</v>
      </c>
      <c r="J2" s="137">
        <f ca="1">VLOOKUP($H2,OFFSET(floors!$A$1,0,0,COUNTA(floors!$A:$A),MATCH(J$1,floors!$1:$1,0)-MATCH($H$1,floors!$1:$1,0)+1),MATCH(J$1,floors!$1:$1,0)-MATCH($H$1,floors!$1:$1,0)+1,FALSE)</f>
        <v>50</v>
      </c>
      <c r="K2" s="108" t="s">
        <v>53</v>
      </c>
      <c r="L2" s="138">
        <v>132</v>
      </c>
      <c r="M2" s="139" t="str">
        <f ca="1">VLOOKUP($L2,OFFSET([3]enemies!$A$1,0,0,COUNTA([3]enemies!$A:$A),MATCH(M$1,[3]enemies!$1:$1,0)-MATCH($L$1,[3]enemies!$1:$1,0)+1),MATCH(M$1,[3]enemies!$1:$1,0)-MATCH($L$1,[3]enemies!$1:$1,0)+1,FALSE)</f>
        <v>鳥人ハヤト</v>
      </c>
      <c r="N2" s="139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39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39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39">
        <f ca="1">VLOOKUP($L2,OFFSET([3]enemies!$A$1,0,0,COUNTA([3]enemies!$A:$A),MATCH(Q$1,[3]enemies!$1:$1,0)-MATCH($L$1,[3]enemies!$1:$1,0)+1),MATCH(Q$1,[3]enemies!$1:$1,0)-MATCH($L$1,[3]enemies!$1:$1,0)+1,FALSE)</f>
        <v>20</v>
      </c>
      <c r="R2" s="140">
        <v>25</v>
      </c>
      <c r="S2" s="204">
        <v>0.6</v>
      </c>
      <c r="T2" s="204">
        <v>0.7</v>
      </c>
      <c r="U2" s="140">
        <v>0</v>
      </c>
      <c r="V2" s="3" t="str">
        <f ca="1">VLOOKUP($W2,OFFSET(enemy_skill_sets!$B$1,0,0,COUNTA(enemy_skill_sets!$B:$B),MATCH(M$1,enemy_skill_sets!$1:$1,0)-MATCH($W$1,enemy_skill_sets!$1:$1,0)+2),MATCH(M$1,enemy_skill_sets!$1:$1,0)-MATCH($W$1,enemy_skill_sets!$1:$1,0)+2,FALSE)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2" s="40">
        <v>30028001</v>
      </c>
      <c r="X2" s="141">
        <v>1</v>
      </c>
      <c r="Y2" s="141">
        <v>100</v>
      </c>
      <c r="Z2" s="141">
        <v>0</v>
      </c>
      <c r="AA2" s="139">
        <v>1</v>
      </c>
      <c r="AB2" s="142">
        <f t="shared" ref="AB2:AB18" si="3">L2</f>
        <v>132</v>
      </c>
      <c r="AC2" s="137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鳥人ハヤト</v>
      </c>
      <c r="AD2" s="137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137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143">
        <v>1</v>
      </c>
      <c r="AG2" s="142">
        <f t="shared" ref="AG2:AG19" ca="1" si="4">AD2</f>
        <v>3</v>
      </c>
      <c r="AH2" s="144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1</v>
      </c>
      <c r="AN2" s="145">
        <v>1</v>
      </c>
    </row>
    <row r="3" spans="1:40" s="150" customFormat="1" ht="21" customHeight="1" x14ac:dyDescent="0.15">
      <c r="A3" s="110" t="str">
        <f t="shared" si="0"/>
        <v>30028_1-1/197&lt;lv25&gt;s2</v>
      </c>
      <c r="B3" s="91">
        <v>30028</v>
      </c>
      <c r="C3" s="112">
        <v>1</v>
      </c>
      <c r="D3" s="12" t="str">
        <f t="shared" si="1"/>
        <v>30028_1</v>
      </c>
      <c r="E3" s="3" t="str">
        <f ca="1">VLOOKUP($B3,OFFSET([2]quests!$A$1,0,0,COUNTA([2]quests!$A:$A),MATCH(E$1,[2]quests!$1:$1,0)-MATCH($B$1,[2]quests!$1:$1,0)+1),MATCH(E$1,[2]quests!$1:$1,0)-MATCH($B$1,[2]quests!$1:$1,0)+1,FALSE)</f>
        <v>最悪の刺客</v>
      </c>
      <c r="F3" s="3" t="str">
        <f ca="1">VLOOKUP($D3,OFFSET([2]stages!$A$1,0,0,COUNTA([2]stages!$A:$A),MATCH(F$1,[2]stages!$2:$2,0)-MATCH($D$1,[2]stages!$2:$2,0)+1),MATCH(F$1,[2]stages!$2:$2,0)-MATCH($D$1,[2]stages!$2:$2,0)+1,FALSE)</f>
        <v>【中級】最悪の刺客</v>
      </c>
      <c r="G3" s="112">
        <v>1</v>
      </c>
      <c r="H3" s="12" t="str">
        <f t="shared" si="2"/>
        <v>30028_1-1</v>
      </c>
      <c r="I3" s="3">
        <f ca="1">VLOOKUP($H3,OFFSET(floors!$A$1,0,0,COUNTA(floors!$A:$A),MATCH(I$1,floors!$1:$1,0)-MATCH($H$1,floors!$1:$1,0)+1),MATCH(I$1,floors!$1:$1,0)-MATCH($H$1,floors!$1:$1,0)+1,FALSE)</f>
        <v>50</v>
      </c>
      <c r="J3" s="3">
        <f ca="1">VLOOKUP($H3,OFFSET(floors!$A$1,0,0,COUNTA(floors!$A:$A),MATCH(J$1,floors!$1:$1,0)-MATCH($H$1,floors!$1:$1,0)+1),MATCH(J$1,floors!$1:$1,0)-MATCH($H$1,floors!$1:$1,0)+1,FALSE)</f>
        <v>50</v>
      </c>
      <c r="K3" s="32" t="s">
        <v>213</v>
      </c>
      <c r="L3" s="147">
        <v>197</v>
      </c>
      <c r="M3" s="14" t="str">
        <f ca="1">VLOOKUP($L3,OFFSET([3]enemies!$A$1,0,0,COUNTA([3]enemies!$A:$A),MATCH(M$1,[3]enemies!$1:$1,0)-MATCH($L$1,[3]enemies!$1:$1,0)+1),MATCH(M$1,[3]enemies!$1:$1,0)-MATCH($L$1,[3]enemies!$1:$1,0)+1,FALSE)</f>
        <v>鉄腕 アキレス</v>
      </c>
      <c r="N3" s="14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4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4">
        <f ca="1">VLOOKUP($L3,OFFSET([3]enemies!$A$1,0,0,COUNTA([3]enemies!$A:$A),MATCH(Q$1,[3]enemies!$1:$1,0)-MATCH($L$1,[3]enemies!$1:$1,0)+1),MATCH(Q$1,[3]enemies!$1:$1,0)-MATCH($L$1,[3]enemies!$1:$1,0)+1,FALSE)</f>
        <v>30</v>
      </c>
      <c r="R3" s="4">
        <v>25</v>
      </c>
      <c r="S3" s="20">
        <v>0.7</v>
      </c>
      <c r="T3" s="20">
        <v>1.2</v>
      </c>
      <c r="U3" s="205">
        <v>0</v>
      </c>
      <c r="V3" s="3" t="str">
        <f ca="1">VLOOKUP($W3,OFFSET(enemy_skill_sets!$B$1,0,0,COUNTA(enemy_skill_sets!$B:$B),MATCH(M$1,enemy_skill_sets!$1:$1,0)-MATCH($W$1,enemy_skill_sets!$1:$1,0)+2),MATCH(M$1,enemy_skill_sets!$1:$1,0)-MATCH($W$1,enemy_skill_sets!$1:$1,0)+2,FALSE)</f>
        <v>警戒心を感じる…</v>
      </c>
      <c r="W3" s="40">
        <v>30028002</v>
      </c>
      <c r="X3" s="5">
        <v>1</v>
      </c>
      <c r="Y3" s="5">
        <v>100</v>
      </c>
      <c r="Z3" s="5">
        <v>1</v>
      </c>
      <c r="AA3" s="14">
        <v>2</v>
      </c>
      <c r="AB3" s="148">
        <f t="shared" si="3"/>
        <v>197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鉄腕 アキレス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" s="149">
        <v>1</v>
      </c>
      <c r="AG3" s="148">
        <f t="shared" ca="1" si="4"/>
        <v>4</v>
      </c>
      <c r="AH3" s="7">
        <v>0</v>
      </c>
      <c r="AI3" s="149">
        <v>0</v>
      </c>
      <c r="AJ3" s="149">
        <v>0</v>
      </c>
      <c r="AK3" s="149">
        <v>0</v>
      </c>
      <c r="AL3" s="149">
        <v>0</v>
      </c>
      <c r="AM3" s="149">
        <v>1</v>
      </c>
      <c r="AN3" s="61">
        <v>1</v>
      </c>
    </row>
    <row r="4" spans="1:40" s="150" customFormat="1" ht="21" customHeight="1" x14ac:dyDescent="0.15">
      <c r="A4" s="110" t="str">
        <f t="shared" si="0"/>
        <v>30028_1-2/326&lt;lv30&gt;s2</v>
      </c>
      <c r="B4" s="91">
        <v>30028</v>
      </c>
      <c r="C4" s="112">
        <v>1</v>
      </c>
      <c r="D4" s="12" t="str">
        <f t="shared" si="1"/>
        <v>30028_1</v>
      </c>
      <c r="E4" s="3" t="str">
        <f ca="1">VLOOKUP($B4,OFFSET([2]quests!$A$1,0,0,COUNTA([2]quests!$A:$A),MATCH(E$1,[2]quests!$1:$1,0)-MATCH($B$1,[2]quests!$1:$1,0)+1),MATCH(E$1,[2]quests!$1:$1,0)-MATCH($B$1,[2]quests!$1:$1,0)+1,FALSE)</f>
        <v>最悪の刺客</v>
      </c>
      <c r="F4" s="3" t="str">
        <f ca="1">VLOOKUP($D4,OFFSET([2]stages!$A$1,0,0,COUNTA([2]stages!$A:$A),MATCH(F$1,[2]stages!$2:$2,0)-MATCH($D$1,[2]stages!$2:$2,0)+1),MATCH(F$1,[2]stages!$2:$2,0)-MATCH($D$1,[2]stages!$2:$2,0)+1,FALSE)</f>
        <v>【中級】最悪の刺客</v>
      </c>
      <c r="G4" s="112">
        <v>2</v>
      </c>
      <c r="H4" s="12" t="str">
        <f t="shared" si="2"/>
        <v>30028_1-2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2" t="s">
        <v>53</v>
      </c>
      <c r="L4" s="147">
        <v>326</v>
      </c>
      <c r="M4" s="14" t="str">
        <f ca="1">VLOOKUP($L4,OFFSET([3]enemies!$A$1,0,0,COUNTA([3]enemies!$A:$A),MATCH(M$1,[3]enemies!$1:$1,0)-MATCH($L$1,[3]enemies!$1:$1,0)+1),MATCH(M$1,[3]enemies!$1:$1,0)-MATCH($L$1,[3]enemies!$1:$1,0)+1,FALSE)</f>
        <v>妖志士 斎藤一</v>
      </c>
      <c r="N4" s="14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4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4">
        <f ca="1">VLOOKUP($L4,OFFSET([3]enemies!$A$1,0,0,COUNTA([3]enemies!$A:$A),MATCH(Q$1,[3]enemies!$1:$1,0)-MATCH($L$1,[3]enemies!$1:$1,0)+1),MATCH(Q$1,[3]enemies!$1:$1,0)-MATCH($L$1,[3]enemies!$1:$1,0)+1,FALSE)</f>
        <v>30</v>
      </c>
      <c r="R4" s="4">
        <v>30</v>
      </c>
      <c r="S4" s="20">
        <v>1.7</v>
      </c>
      <c r="T4" s="20">
        <v>1</v>
      </c>
      <c r="U4" s="4">
        <v>0</v>
      </c>
      <c r="V4" s="3" t="str">
        <f ca="1">VLOOKUP($W4,OFFSET(enemy_skill_sets!$B$1,0,0,COUNTA(enemy_skill_sets!$B:$B),MATCH(M$1,enemy_skill_sets!$1:$1,0)-MATCH($W$1,enemy_skill_sets!$1:$1,0)+2),MATCH(M$1,enemy_skill_sets!$1:$1,0)-MATCH($W$1,enemy_skill_sets!$1:$1,0)+2,FALSE)</f>
        <v>8ターン黄パネルの出現率UP</v>
      </c>
      <c r="W4" s="40">
        <v>30028004</v>
      </c>
      <c r="X4" s="5">
        <v>1</v>
      </c>
      <c r="Y4" s="5">
        <v>100</v>
      </c>
      <c r="Z4" s="5">
        <v>1</v>
      </c>
      <c r="AA4" s="14">
        <v>2</v>
      </c>
      <c r="AB4" s="148">
        <f t="shared" si="3"/>
        <v>326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妖志士 斎藤一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" s="149">
        <v>1</v>
      </c>
      <c r="AG4" s="148">
        <f t="shared" ca="1" si="4"/>
        <v>4</v>
      </c>
      <c r="AH4" s="7">
        <v>0</v>
      </c>
      <c r="AI4" s="149">
        <v>0</v>
      </c>
      <c r="AJ4" s="149">
        <v>0</v>
      </c>
      <c r="AK4" s="149">
        <v>0</v>
      </c>
      <c r="AL4" s="149">
        <v>0</v>
      </c>
      <c r="AM4" s="149">
        <v>1</v>
      </c>
      <c r="AN4" s="61">
        <v>1</v>
      </c>
    </row>
    <row r="5" spans="1:40" s="150" customFormat="1" ht="21" customHeight="1" x14ac:dyDescent="0.15">
      <c r="A5" s="110" t="str">
        <f t="shared" si="0"/>
        <v>30028_1-3/47&lt;lv30&gt;s2</v>
      </c>
      <c r="B5" s="91">
        <v>30028</v>
      </c>
      <c r="C5" s="112">
        <v>1</v>
      </c>
      <c r="D5" s="12" t="str">
        <f t="shared" si="1"/>
        <v>30028_1</v>
      </c>
      <c r="E5" s="3" t="str">
        <f ca="1">VLOOKUP($B5,OFFSET([2]quests!$A$1,0,0,COUNTA([2]quests!$A:$A),MATCH(E$1,[2]quests!$1:$1,0)-MATCH($B$1,[2]quests!$1:$1,0)+1),MATCH(E$1,[2]quests!$1:$1,0)-MATCH($B$1,[2]quests!$1:$1,0)+1,FALSE)</f>
        <v>最悪の刺客</v>
      </c>
      <c r="F5" s="3" t="str">
        <f ca="1">VLOOKUP($D5,OFFSET([2]stages!$A$1,0,0,COUNTA([2]stages!$A:$A),MATCH(F$1,[2]stages!$2:$2,0)-MATCH($D$1,[2]stages!$2:$2,0)+1),MATCH(F$1,[2]stages!$2:$2,0)-MATCH($D$1,[2]stages!$2:$2,0)+1,FALSE)</f>
        <v>【中級】最悪の刺客</v>
      </c>
      <c r="G5" s="112">
        <v>3</v>
      </c>
      <c r="H5" s="12" t="str">
        <f t="shared" si="2"/>
        <v>30028_1-3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2" t="s">
        <v>213</v>
      </c>
      <c r="L5" s="147">
        <v>47</v>
      </c>
      <c r="M5" s="14" t="str">
        <f ca="1">VLOOKUP($L5,OFFSET([3]enemies!$A$1,0,0,COUNTA([3]enemies!$A:$A),MATCH(M$1,[3]enemies!$1:$1,0)-MATCH($L$1,[3]enemies!$1:$1,0)+1),MATCH(M$1,[3]enemies!$1:$1,0)-MATCH($L$1,[3]enemies!$1:$1,0)+1,FALSE)</f>
        <v>ヒロ</v>
      </c>
      <c r="N5" s="14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4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4">
        <f ca="1">VLOOKUP($L5,OFFSET([3]enemies!$A$1,0,0,COUNTA([3]enemies!$A:$A),MATCH(Q$1,[3]enemies!$1:$1,0)-MATCH($L$1,[3]enemies!$1:$1,0)+1),MATCH(Q$1,[3]enemies!$1:$1,0)-MATCH($L$1,[3]enemies!$1:$1,0)+1,FALSE)</f>
        <v>15</v>
      </c>
      <c r="R5" s="4">
        <v>30</v>
      </c>
      <c r="S5" s="20">
        <v>1.2</v>
      </c>
      <c r="T5" s="20">
        <v>1</v>
      </c>
      <c r="U5" s="4">
        <v>0</v>
      </c>
      <c r="V5" s="3" t="str">
        <f ca="1">VLOOKUP($W5,OFFSET(enemy_skill_sets!$B$1,0,0,COUNTA(enemy_skill_sets!$B:$B),MATCH(M$1,enemy_skill_sets!$1:$1,0)-MATCH($W$1,enemy_skill_sets!$1:$1,0)+2),MATCH(M$1,enemy_skill_sets!$1:$1,0)-MATCH($W$1,enemy_skill_sets!$1:$1,0)+2,FALSE)</f>
        <v>3ターン全体攻撃力UP</v>
      </c>
      <c r="W5" s="40">
        <v>30028007</v>
      </c>
      <c r="X5" s="5">
        <v>2</v>
      </c>
      <c r="Y5" s="5">
        <v>100</v>
      </c>
      <c r="Z5" s="5">
        <v>0</v>
      </c>
      <c r="AA5" s="14">
        <v>2</v>
      </c>
      <c r="AB5" s="148">
        <f t="shared" si="3"/>
        <v>47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ヒロ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49">
        <v>1</v>
      </c>
      <c r="AG5" s="148">
        <f t="shared" ca="1" si="4"/>
        <v>2</v>
      </c>
      <c r="AH5" s="7">
        <v>20</v>
      </c>
      <c r="AI5" s="149">
        <v>0</v>
      </c>
      <c r="AJ5" s="149">
        <v>0</v>
      </c>
      <c r="AK5" s="149">
        <v>0</v>
      </c>
      <c r="AL5" s="149">
        <v>0</v>
      </c>
      <c r="AM5" s="149">
        <v>1</v>
      </c>
      <c r="AN5" s="61">
        <v>1</v>
      </c>
    </row>
    <row r="6" spans="1:40" s="150" customFormat="1" ht="21" customHeight="1" x14ac:dyDescent="0.15">
      <c r="A6" s="110" t="str">
        <f t="shared" si="0"/>
        <v>30028_1-3/63&lt;lv30&gt;s2</v>
      </c>
      <c r="B6" s="91">
        <v>30028</v>
      </c>
      <c r="C6" s="112">
        <v>1</v>
      </c>
      <c r="D6" s="12" t="str">
        <f t="shared" si="1"/>
        <v>30028_1</v>
      </c>
      <c r="E6" s="3" t="str">
        <f ca="1">VLOOKUP($B6,OFFSET([2]quests!$A$1,0,0,COUNTA([2]quests!$A:$A),MATCH(E$1,[2]quests!$1:$1,0)-MATCH($B$1,[2]quests!$1:$1,0)+1),MATCH(E$1,[2]quests!$1:$1,0)-MATCH($B$1,[2]quests!$1:$1,0)+1,FALSE)</f>
        <v>最悪の刺客</v>
      </c>
      <c r="F6" s="3" t="str">
        <f ca="1">VLOOKUP($D6,OFFSET([2]stages!$A$1,0,0,COUNTA([2]stages!$A:$A),MATCH(F$1,[2]stages!$2:$2,0)-MATCH($D$1,[2]stages!$2:$2,0)+1),MATCH(F$1,[2]stages!$2:$2,0)-MATCH($D$1,[2]stages!$2:$2,0)+1,FALSE)</f>
        <v>【中級】最悪の刺客</v>
      </c>
      <c r="G6" s="112">
        <v>3</v>
      </c>
      <c r="H6" s="12" t="str">
        <f t="shared" si="2"/>
        <v>30028_1-3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2" t="s">
        <v>53</v>
      </c>
      <c r="L6" s="147">
        <v>63</v>
      </c>
      <c r="M6" s="14" t="str">
        <f ca="1">VLOOKUP($L6,OFFSET([3]enemies!$A$1,0,0,COUNTA([3]enemies!$A:$A),MATCH(M$1,[3]enemies!$1:$1,0)-MATCH($L$1,[3]enemies!$1:$1,0)+1),MATCH(M$1,[3]enemies!$1:$1,0)-MATCH($L$1,[3]enemies!$1:$1,0)+1,FALSE)</f>
        <v>トニー</v>
      </c>
      <c r="N6" s="14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4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4">
        <f ca="1">VLOOKUP($L6,OFFSET([3]enemies!$A$1,0,0,COUNTA([3]enemies!$A:$A),MATCH(Q$1,[3]enemies!$1:$1,0)-MATCH($L$1,[3]enemies!$1:$1,0)+1),MATCH(Q$1,[3]enemies!$1:$1,0)-MATCH($L$1,[3]enemies!$1:$1,0)+1,FALSE)</f>
        <v>15</v>
      </c>
      <c r="R6" s="4">
        <v>30</v>
      </c>
      <c r="S6" s="20">
        <v>1.3</v>
      </c>
      <c r="T6" s="20">
        <v>1</v>
      </c>
      <c r="U6" s="4">
        <v>0</v>
      </c>
      <c r="V6" s="3" t="str">
        <f ca="1">VLOOKUP($W6,OFFSET(enemy_skill_sets!$B$1,0,0,COUNTA(enemy_skill_sets!$B:$B),MATCH(M$1,enemy_skill_sets!$1:$1,0)-MATCH($W$1,enemy_skill_sets!$1:$1,0)+2),MATCH(M$1,enemy_skill_sets!$1:$1,0)-MATCH($W$1,enemy_skill_sets!$1:$1,0)+2,FALSE)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6" s="40">
        <v>30028006</v>
      </c>
      <c r="X6" s="5">
        <v>2</v>
      </c>
      <c r="Y6" s="5">
        <v>100</v>
      </c>
      <c r="Z6" s="5">
        <v>0</v>
      </c>
      <c r="AA6" s="14">
        <v>2</v>
      </c>
      <c r="AB6" s="148">
        <f t="shared" si="3"/>
        <v>63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149">
        <v>1</v>
      </c>
      <c r="AG6" s="148">
        <f t="shared" ca="1" si="4"/>
        <v>2</v>
      </c>
      <c r="AH6" s="7">
        <v>20</v>
      </c>
      <c r="AI6" s="149">
        <v>0</v>
      </c>
      <c r="AJ6" s="149">
        <v>0</v>
      </c>
      <c r="AK6" s="149">
        <v>0</v>
      </c>
      <c r="AL6" s="149">
        <v>0</v>
      </c>
      <c r="AM6" s="149">
        <v>1</v>
      </c>
      <c r="AN6" s="61">
        <v>1</v>
      </c>
    </row>
    <row r="7" spans="1:40" s="161" customFormat="1" ht="21" customHeight="1" thickBot="1" x14ac:dyDescent="0.2">
      <c r="A7" s="114" t="str">
        <f t="shared" si="0"/>
        <v>30028_1-4/650&lt;lv40&gt;s1</v>
      </c>
      <c r="B7" s="116">
        <v>30028</v>
      </c>
      <c r="C7" s="118">
        <v>1</v>
      </c>
      <c r="D7" s="120" t="str">
        <f t="shared" si="1"/>
        <v>30028_1</v>
      </c>
      <c r="E7" s="151" t="str">
        <f ca="1">VLOOKUP($B7,OFFSET([2]quests!$A$1,0,0,COUNTA([2]quests!$A:$A),MATCH(E$1,[2]quests!$1:$1,0)-MATCH($B$1,[2]quests!$1:$1,0)+1),MATCH(E$1,[2]quests!$1:$1,0)-MATCH($B$1,[2]quests!$1:$1,0)+1,FALSE)</f>
        <v>最悪の刺客</v>
      </c>
      <c r="F7" s="151" t="str">
        <f ca="1">VLOOKUP($D7,OFFSET([2]stages!$A$1,0,0,COUNTA([2]stages!$A:$A),MATCH(F$1,[2]stages!$2:$2,0)-MATCH($D$1,[2]stages!$2:$2,0)+1),MATCH(F$1,[2]stages!$2:$2,0)-MATCH($D$1,[2]stages!$2:$2,0)+1,FALSE)</f>
        <v>【中級】最悪の刺客</v>
      </c>
      <c r="G7" s="118">
        <v>4</v>
      </c>
      <c r="H7" s="120" t="str">
        <f t="shared" si="2"/>
        <v>30028_1-4</v>
      </c>
      <c r="I7" s="151">
        <f ca="1">VLOOKUP($H7,OFFSET(floors!$A$1,0,0,COUNTA(floors!$A:$A),MATCH(I$1,floors!$1:$1,0)-MATCH($H$1,floors!$1:$1,0)+1),MATCH(I$1,floors!$1:$1,0)-MATCH($H$1,floors!$1:$1,0)+1,FALSE)</f>
        <v>60</v>
      </c>
      <c r="J7" s="151">
        <f ca="1">VLOOKUP($H7,OFFSET(floors!$A$1,0,0,COUNTA(floors!$A:$A),MATCH(J$1,floors!$1:$1,0)-MATCH($H$1,floors!$1:$1,0)+1),MATCH(J$1,floors!$1:$1,0)-MATCH($H$1,floors!$1:$1,0)+1,FALSE)</f>
        <v>60</v>
      </c>
      <c r="K7" s="121">
        <v>3</v>
      </c>
      <c r="L7" s="152">
        <v>650</v>
      </c>
      <c r="M7" s="153" t="str">
        <f ca="1">VLOOKUP($L7,OFFSET([3]enemies!$A$1,0,0,COUNTA([3]enemies!$A:$A),MATCH(M$1,[3]enemies!$1:$1,0)-MATCH($L$1,[3]enemies!$1:$1,0)+1),MATCH(M$1,[3]enemies!$1:$1,0)-MATCH($L$1,[3]enemies!$1:$1,0)+1,FALSE)</f>
        <v>土蜘蛛 ユウヤ</v>
      </c>
      <c r="N7" s="153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53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53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53">
        <f ca="1">VLOOKUP($L7,OFFSET([3]enemies!$A$1,0,0,COUNTA([3]enemies!$A:$A),MATCH(Q$1,[3]enemies!$1:$1,0)-MATCH($L$1,[3]enemies!$1:$1,0)+1),MATCH(Q$1,[3]enemies!$1:$1,0)-MATCH($L$1,[3]enemies!$1:$1,0)+1,FALSE)</f>
        <v>30</v>
      </c>
      <c r="R7" s="154">
        <v>40</v>
      </c>
      <c r="S7" s="155">
        <v>1.3</v>
      </c>
      <c r="T7" s="155">
        <v>1.2</v>
      </c>
      <c r="U7" s="154">
        <v>0</v>
      </c>
      <c r="V7" s="3" t="str">
        <f ca="1">VLOOKUP($W7,OFFSET(enemy_skill_sets!$B$1,0,0,COUNTA(enemy_skill_sets!$B:$B),MATCH(M$1,enemy_skill_sets!$1:$1,0)-MATCH($W$1,enemy_skill_sets!$1:$1,0)+2),MATCH(M$1,enemy_skill_sets!$1:$1,0)-MATCH($W$1,enemy_skill_sets!$1:$1,0)+2,FALSE)</f>
        <v>毎ターン少しだけダメージを受けるウィルス</v>
      </c>
      <c r="W7" s="40">
        <v>30028010</v>
      </c>
      <c r="X7" s="156">
        <v>1</v>
      </c>
      <c r="Y7" s="156">
        <v>100</v>
      </c>
      <c r="Z7" s="156">
        <v>1</v>
      </c>
      <c r="AA7" s="153">
        <v>1</v>
      </c>
      <c r="AB7" s="157">
        <f t="shared" si="3"/>
        <v>650</v>
      </c>
      <c r="AC7" s="151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土蜘蛛 ユウヤ</v>
      </c>
      <c r="AD7" s="151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151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158">
        <v>1</v>
      </c>
      <c r="AG7" s="157">
        <f t="shared" ca="1" si="4"/>
        <v>4</v>
      </c>
      <c r="AH7" s="159">
        <v>20</v>
      </c>
      <c r="AI7" s="158">
        <v>0</v>
      </c>
      <c r="AJ7" s="158">
        <v>0</v>
      </c>
      <c r="AK7" s="158">
        <v>0</v>
      </c>
      <c r="AL7" s="158">
        <v>0</v>
      </c>
      <c r="AM7" s="158">
        <v>1</v>
      </c>
      <c r="AN7" s="160">
        <v>1</v>
      </c>
    </row>
    <row r="8" spans="1:40" ht="21" customHeight="1" x14ac:dyDescent="0.15">
      <c r="A8" s="13" t="str">
        <f t="shared" si="0"/>
        <v>30028_2-1/132&lt;lv30&gt;s1</v>
      </c>
      <c r="B8" s="95">
        <v>30028</v>
      </c>
      <c r="C8" s="97">
        <v>2</v>
      </c>
      <c r="D8" s="99" t="str">
        <f t="shared" si="1"/>
        <v>30028_2</v>
      </c>
      <c r="E8" s="3" t="str">
        <f ca="1">VLOOKUP($B8,OFFSET([2]quests!$A$1,0,0,COUNTA([2]quests!$A:$A),MATCH(E$1,[2]quests!$1:$1,0)-MATCH($B$1,[2]quests!$1:$1,0)+1),MATCH(E$1,[2]quests!$1:$1,0)-MATCH($B$1,[2]quests!$1:$1,0)+1,FALSE)</f>
        <v>最悪の刺客</v>
      </c>
      <c r="F8" s="3" t="str">
        <f ca="1">VLOOKUP($D8,OFFSET([2]stages!$A$1,0,0,COUNTA([2]stages!$A:$A),MATCH(F$1,[2]stages!$2:$2,0)-MATCH($D$1,[2]stages!$2:$2,0)+1),MATCH(F$1,[2]stages!$2:$2,0)-MATCH($D$1,[2]stages!$2:$2,0)+1,FALSE)</f>
        <v>【上級】最悪の刺客</v>
      </c>
      <c r="G8" s="97">
        <v>1</v>
      </c>
      <c r="H8" s="99" t="str">
        <f t="shared" si="2"/>
        <v>30028_2-1</v>
      </c>
      <c r="I8" s="3">
        <f ca="1">VLOOKUP($H8,OFFSET(floors!$A$1,0,0,COUNTA(floors!$A:$A),MATCH(I$1,floors!$1:$1,0)-MATCH($H$1,floors!$1:$1,0)+1),MATCH(I$1,floors!$1:$1,0)-MATCH($H$1,floors!$1:$1,0)+1,FALSE)</f>
        <v>50</v>
      </c>
      <c r="J8" s="3">
        <f ca="1">VLOOKUP($H8,OFFSET(floors!$A$1,0,0,COUNTA(floors!$A:$A),MATCH(J$1,floors!$1:$1,0)-MATCH($H$1,floors!$1:$1,0)+1),MATCH(J$1,floors!$1:$1,0)-MATCH($H$1,floors!$1:$1,0)+1,FALSE)</f>
        <v>50</v>
      </c>
      <c r="K8" s="100" t="s">
        <v>53</v>
      </c>
      <c r="L8" s="138">
        <v>132</v>
      </c>
      <c r="M8" s="14" t="str">
        <f ca="1">VLOOKUP($L8,OFFSET([3]enemies!$A$1,0,0,COUNTA([3]enemies!$A:$A),MATCH(M$1,[3]enemies!$1:$1,0)-MATCH($L$1,[3]enemies!$1:$1,0)+1),MATCH(M$1,[3]enemies!$1:$1,0)-MATCH($L$1,[3]enemies!$1:$1,0)+1,FALSE)</f>
        <v>鳥人ハヤト</v>
      </c>
      <c r="N8" s="14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4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4">
        <f ca="1">VLOOKUP($L8,OFFSET([3]enemies!$A$1,0,0,COUNTA([3]enemies!$A:$A),MATCH(Q$1,[3]enemies!$1:$1,0)-MATCH($L$1,[3]enemies!$1:$1,0)+1),MATCH(Q$1,[3]enemies!$1:$1,0)-MATCH($L$1,[3]enemies!$1:$1,0)+1,FALSE)</f>
        <v>20</v>
      </c>
      <c r="R8" s="167">
        <v>30</v>
      </c>
      <c r="S8" s="204">
        <v>0.7</v>
      </c>
      <c r="T8" s="204">
        <v>0.8</v>
      </c>
      <c r="U8" s="140">
        <v>0</v>
      </c>
      <c r="V8" s="3" t="str">
        <f ca="1">VLOOKUP($W8,OFFSET(enemy_skill_sets!$B$1,0,0,COUNTA(enemy_skill_sets!$B:$B),MATCH(M$1,enemy_skill_sets!$1:$1,0)-MATCH($W$1,enemy_skill_sets!$1:$1,0)+2),MATCH(M$1,enemy_skill_sets!$1:$1,0)-MATCH($W$1,enemy_skill_sets!$1:$1,0)+2,FALSE)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8" s="40">
        <v>30028001</v>
      </c>
      <c r="X8" s="141">
        <v>1</v>
      </c>
      <c r="Y8" s="168">
        <v>100</v>
      </c>
      <c r="Z8" s="168">
        <v>0</v>
      </c>
      <c r="AA8" s="139">
        <v>1</v>
      </c>
      <c r="AB8" s="169">
        <f t="shared" si="3"/>
        <v>132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鳥人ハヤト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8" s="170">
        <v>1</v>
      </c>
      <c r="AG8" s="169">
        <f t="shared" ca="1" si="4"/>
        <v>3</v>
      </c>
      <c r="AH8" s="171">
        <v>0</v>
      </c>
      <c r="AI8" s="170">
        <v>0</v>
      </c>
      <c r="AJ8" s="170">
        <v>0</v>
      </c>
      <c r="AK8" s="170">
        <v>0</v>
      </c>
      <c r="AL8" s="170">
        <v>0</v>
      </c>
      <c r="AM8" s="170">
        <v>1</v>
      </c>
      <c r="AN8" s="172">
        <v>1</v>
      </c>
    </row>
    <row r="9" spans="1:40" ht="21" customHeight="1" x14ac:dyDescent="0.15">
      <c r="A9" s="13" t="str">
        <f t="shared" si="0"/>
        <v>30028_2-1/197&lt;lv30&gt;s2</v>
      </c>
      <c r="B9" s="91">
        <v>30028</v>
      </c>
      <c r="C9" s="17">
        <v>2</v>
      </c>
      <c r="D9" s="1" t="str">
        <f t="shared" si="1"/>
        <v>30028_2</v>
      </c>
      <c r="E9" s="3" t="str">
        <f ca="1">VLOOKUP($B9,OFFSET([2]quests!$A$1,0,0,COUNTA([2]quests!$A:$A),MATCH(E$1,[2]quests!$1:$1,0)-MATCH($B$1,[2]quests!$1:$1,0)+1),MATCH(E$1,[2]quests!$1:$1,0)-MATCH($B$1,[2]quests!$1:$1,0)+1,FALSE)</f>
        <v>最悪の刺客</v>
      </c>
      <c r="F9" s="3" t="str">
        <f ca="1">VLOOKUP($D9,OFFSET([2]stages!$A$1,0,0,COUNTA([2]stages!$A:$A),MATCH(F$1,[2]stages!$2:$2,0)-MATCH($D$1,[2]stages!$2:$2,0)+1),MATCH(F$1,[2]stages!$2:$2,0)-MATCH($D$1,[2]stages!$2:$2,0)+1,FALSE)</f>
        <v>【上級】最悪の刺客</v>
      </c>
      <c r="G9" s="17">
        <v>1</v>
      </c>
      <c r="H9" s="12" t="str">
        <f t="shared" si="2"/>
        <v>30028_2-1</v>
      </c>
      <c r="I9" s="3">
        <f ca="1">VLOOKUP($H9,OFFSET(floors!$A$1,0,0,COUNTA(floors!$A:$A),MATCH(I$1,floors!$1:$1,0)-MATCH($H$1,floors!$1:$1,0)+1),MATCH(I$1,floors!$1:$1,0)-MATCH($H$1,floors!$1:$1,0)+1,FALSE)</f>
        <v>50</v>
      </c>
      <c r="J9" s="3">
        <f ca="1">VLOOKUP($H9,OFFSET(floors!$A$1,0,0,COUNTA(floors!$A:$A),MATCH(J$1,floors!$1:$1,0)-MATCH($H$1,floors!$1:$1,0)+1),MATCH(J$1,floors!$1:$1,0)-MATCH($H$1,floors!$1:$1,0)+1,FALSE)</f>
        <v>50</v>
      </c>
      <c r="K9" s="32" t="s">
        <v>213</v>
      </c>
      <c r="L9" s="147">
        <v>197</v>
      </c>
      <c r="M9" s="14" t="str">
        <f ca="1">VLOOKUP($L9,OFFSET([3]enemies!$A$1,0,0,COUNTA([3]enemies!$A:$A),MATCH(M$1,[3]enemies!$1:$1,0)-MATCH($L$1,[3]enemies!$1:$1,0)+1),MATCH(M$1,[3]enemies!$1:$1,0)-MATCH($L$1,[3]enemies!$1:$1,0)+1,FALSE)</f>
        <v>鉄腕 アキレス</v>
      </c>
      <c r="N9" s="14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4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4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4">
        <f ca="1">VLOOKUP($L9,OFFSET([3]enemies!$A$1,0,0,COUNTA([3]enemies!$A:$A),MATCH(Q$1,[3]enemies!$1:$1,0)-MATCH($L$1,[3]enemies!$1:$1,0)+1),MATCH(Q$1,[3]enemies!$1:$1,0)-MATCH($L$1,[3]enemies!$1:$1,0)+1,FALSE)</f>
        <v>30</v>
      </c>
      <c r="R9" s="4">
        <v>30</v>
      </c>
      <c r="S9" s="20">
        <v>0.7</v>
      </c>
      <c r="T9" s="20">
        <v>1.3</v>
      </c>
      <c r="U9" s="205">
        <v>0</v>
      </c>
      <c r="V9" s="3" t="str">
        <f ca="1">VLOOKUP($W9,OFFSET(enemy_skill_sets!$B$1,0,0,COUNTA(enemy_skill_sets!$B:$B),MATCH(M$1,enemy_skill_sets!$1:$1,0)-MATCH($W$1,enemy_skill_sets!$1:$1,0)+2),MATCH(M$1,enemy_skill_sets!$1:$1,0)-MATCH($W$1,enemy_skill_sets!$1:$1,0)+2,FALSE)</f>
        <v>警戒心を感じる…</v>
      </c>
      <c r="W9" s="40">
        <v>30028002</v>
      </c>
      <c r="X9" s="5">
        <v>1</v>
      </c>
      <c r="Y9" s="5">
        <v>100</v>
      </c>
      <c r="Z9" s="5">
        <v>1</v>
      </c>
      <c r="AA9" s="14">
        <v>2</v>
      </c>
      <c r="AB9" s="19">
        <f t="shared" si="3"/>
        <v>197</v>
      </c>
      <c r="AC9" s="3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鉄腕 アキレス</v>
      </c>
      <c r="AD9" s="3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3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6">
        <v>1</v>
      </c>
      <c r="AG9" s="19">
        <f t="shared" ca="1" si="4"/>
        <v>4</v>
      </c>
      <c r="AH9" s="7">
        <v>0</v>
      </c>
      <c r="AI9" s="6">
        <v>0</v>
      </c>
      <c r="AJ9" s="6">
        <v>0</v>
      </c>
      <c r="AK9" s="6">
        <v>0</v>
      </c>
      <c r="AL9" s="6">
        <v>0</v>
      </c>
      <c r="AM9" s="6">
        <v>1</v>
      </c>
      <c r="AN9" s="61">
        <v>1</v>
      </c>
    </row>
    <row r="10" spans="1:40" ht="21" customHeight="1" x14ac:dyDescent="0.15">
      <c r="A10" s="13" t="str">
        <f t="shared" si="0"/>
        <v>30028_2-2/326&lt;lv40&gt;s2</v>
      </c>
      <c r="B10" s="91">
        <v>30028</v>
      </c>
      <c r="C10" s="17">
        <v>2</v>
      </c>
      <c r="D10" s="1" t="str">
        <f t="shared" si="1"/>
        <v>30028_2</v>
      </c>
      <c r="E10" s="3" t="str">
        <f ca="1">VLOOKUP($B10,OFFSET([2]quests!$A$1,0,0,COUNTA([2]quests!$A:$A),MATCH(E$1,[2]quests!$1:$1,0)-MATCH($B$1,[2]quests!$1:$1,0)+1),MATCH(E$1,[2]quests!$1:$1,0)-MATCH($B$1,[2]quests!$1:$1,0)+1,FALSE)</f>
        <v>最悪の刺客</v>
      </c>
      <c r="F10" s="3" t="str">
        <f ca="1">VLOOKUP($D10,OFFSET([2]stages!$A$1,0,0,COUNTA([2]stages!$A:$A),MATCH(F$1,[2]stages!$2:$2,0)-MATCH($D$1,[2]stages!$2:$2,0)+1),MATCH(F$1,[2]stages!$2:$2,0)-MATCH($D$1,[2]stages!$2:$2,0)+1,FALSE)</f>
        <v>【上級】最悪の刺客</v>
      </c>
      <c r="G10" s="17">
        <v>2</v>
      </c>
      <c r="H10" s="12" t="str">
        <f t="shared" si="2"/>
        <v>30028_2-2</v>
      </c>
      <c r="I10" s="3">
        <f ca="1">VLOOKUP($H10,OFFSET(floors!$A$1,0,0,COUNTA(floors!$A:$A),MATCH(I$1,floors!$1:$1,0)-MATCH($H$1,floors!$1:$1,0)+1),MATCH(I$1,floors!$1:$1,0)-MATCH($H$1,floors!$1:$1,0)+1,FALSE)</f>
        <v>60</v>
      </c>
      <c r="J10" s="3">
        <f ca="1">VLOOKUP($H10,OFFSET(floors!$A$1,0,0,COUNTA(floors!$A:$A),MATCH(J$1,floors!$1:$1,0)-MATCH($H$1,floors!$1:$1,0)+1),MATCH(J$1,floors!$1:$1,0)-MATCH($H$1,floors!$1:$1,0)+1,FALSE)</f>
        <v>60</v>
      </c>
      <c r="K10" s="32">
        <v>1</v>
      </c>
      <c r="L10" s="147">
        <v>326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妖志士 斎藤一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4">
        <f ca="1">VLOOKUP($L10,OFFSET([3]enemies!$A$1,0,0,COUNTA([3]enemies!$A:$A),MATCH(Q$1,[3]enemies!$1:$1,0)-MATCH($L$1,[3]enemies!$1:$1,0)+1),MATCH(Q$1,[3]enemies!$1:$1,0)-MATCH($L$1,[3]enemies!$1:$1,0)+1,FALSE)</f>
        <v>30</v>
      </c>
      <c r="R10" s="4">
        <v>40</v>
      </c>
      <c r="S10" s="20">
        <v>1.6</v>
      </c>
      <c r="T10" s="20">
        <v>1</v>
      </c>
      <c r="U10" s="4">
        <v>0</v>
      </c>
      <c r="V10" s="3" t="str">
        <f ca="1">VLOOKUP($W10,OFFSET(enemy_skill_sets!$B$1,0,0,COUNTA(enemy_skill_sets!$B:$B),MATCH(M$1,enemy_skill_sets!$1:$1,0)-MATCH($W$1,enemy_skill_sets!$1:$1,0)+2),MATCH(M$1,enemy_skill_sets!$1:$1,0)-MATCH($W$1,enemy_skill_sets!$1:$1,0)+2,FALSE)</f>
        <v>8ターン黄パネルの出現率UP</v>
      </c>
      <c r="W10" s="40">
        <v>30028004</v>
      </c>
      <c r="X10" s="5">
        <v>1</v>
      </c>
      <c r="Y10" s="5">
        <v>100</v>
      </c>
      <c r="Z10" s="5">
        <v>0</v>
      </c>
      <c r="AA10" s="14">
        <v>2</v>
      </c>
      <c r="AB10" s="19">
        <f t="shared" si="3"/>
        <v>326</v>
      </c>
      <c r="AC10" s="3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妖志士 斎藤一</v>
      </c>
      <c r="AD10" s="3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3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6">
        <v>1</v>
      </c>
      <c r="AG10" s="19">
        <f t="shared" ca="1" si="4"/>
        <v>4</v>
      </c>
      <c r="AH10" s="7">
        <v>0</v>
      </c>
      <c r="AI10" s="6">
        <v>0</v>
      </c>
      <c r="AJ10" s="6">
        <v>0</v>
      </c>
      <c r="AK10" s="6">
        <v>0</v>
      </c>
      <c r="AL10" s="6">
        <v>0</v>
      </c>
      <c r="AM10" s="6">
        <v>1</v>
      </c>
      <c r="AN10" s="61">
        <v>1</v>
      </c>
    </row>
    <row r="11" spans="1:40" ht="21" customHeight="1" x14ac:dyDescent="0.15">
      <c r="A11" s="13" t="str">
        <f t="shared" si="0"/>
        <v>30028_2-3/47&lt;lv40&gt;s2</v>
      </c>
      <c r="B11" s="91">
        <v>30028</v>
      </c>
      <c r="C11" s="17">
        <v>2</v>
      </c>
      <c r="D11" s="1" t="str">
        <f t="shared" si="1"/>
        <v>30028_2</v>
      </c>
      <c r="E11" s="3" t="str">
        <f ca="1">VLOOKUP($B11,OFFSET([2]quests!$A$1,0,0,COUNTA([2]quests!$A:$A),MATCH(E$1,[2]quests!$1:$1,0)-MATCH($B$1,[2]quests!$1:$1,0)+1),MATCH(E$1,[2]quests!$1:$1,0)-MATCH($B$1,[2]quests!$1:$1,0)+1,FALSE)</f>
        <v>最悪の刺客</v>
      </c>
      <c r="F11" s="3" t="str">
        <f ca="1">VLOOKUP($D11,OFFSET([2]stages!$A$1,0,0,COUNTA([2]stages!$A:$A),MATCH(F$1,[2]stages!$2:$2,0)-MATCH($D$1,[2]stages!$2:$2,0)+1),MATCH(F$1,[2]stages!$2:$2,0)-MATCH($D$1,[2]stages!$2:$2,0)+1,FALSE)</f>
        <v>【上級】最悪の刺客</v>
      </c>
      <c r="G11" s="17">
        <v>3</v>
      </c>
      <c r="H11" s="12" t="str">
        <f t="shared" si="2"/>
        <v>30028_2-3</v>
      </c>
      <c r="I11" s="3">
        <f ca="1">VLOOKUP($H11,OFFSET(floors!$A$1,0,0,COUNTA(floors!$A:$A),MATCH(I$1,floors!$1:$1,0)-MATCH($H$1,floors!$1:$1,0)+1),MATCH(I$1,floors!$1:$1,0)-MATCH($H$1,floors!$1:$1,0)+1,FALSE)</f>
        <v>60</v>
      </c>
      <c r="J11" s="3">
        <f ca="1">VLOOKUP($H11,OFFSET(floors!$A$1,0,0,COUNTA(floors!$A:$A),MATCH(J$1,floors!$1:$1,0)-MATCH($H$1,floors!$1:$1,0)+1),MATCH(J$1,floors!$1:$1,0)-MATCH($H$1,floors!$1:$1,0)+1,FALSE)</f>
        <v>60</v>
      </c>
      <c r="K11" s="32" t="s">
        <v>213</v>
      </c>
      <c r="L11" s="147">
        <v>47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ヒロ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4">
        <f ca="1">VLOOKUP($L11,OFFSET([3]enemies!$A$1,0,0,COUNTA([3]enemies!$A:$A),MATCH(Q$1,[3]enemies!$1:$1,0)-MATCH($L$1,[3]enemies!$1:$1,0)+1),MATCH(Q$1,[3]enemies!$1:$1,0)-MATCH($L$1,[3]enemies!$1:$1,0)+1,FALSE)</f>
        <v>15</v>
      </c>
      <c r="R11" s="4">
        <v>40</v>
      </c>
      <c r="S11" s="20">
        <v>1.3</v>
      </c>
      <c r="T11" s="20">
        <v>1</v>
      </c>
      <c r="U11" s="4">
        <v>0</v>
      </c>
      <c r="V11" s="3" t="str">
        <f ca="1">VLOOKUP($W11,OFFSET(enemy_skill_sets!$B$1,0,0,COUNTA(enemy_skill_sets!$B:$B),MATCH(M$1,enemy_skill_sets!$1:$1,0)-MATCH($W$1,enemy_skill_sets!$1:$1,0)+2),MATCH(M$1,enemy_skill_sets!$1:$1,0)-MATCH($W$1,enemy_skill_sets!$1:$1,0)+2,FALSE)</f>
        <v>3ターン全体攻撃力UP</v>
      </c>
      <c r="W11" s="40">
        <v>30028007</v>
      </c>
      <c r="X11" s="5">
        <v>2</v>
      </c>
      <c r="Y11" s="5">
        <v>100</v>
      </c>
      <c r="Z11" s="5">
        <v>0</v>
      </c>
      <c r="AA11" s="14">
        <v>2</v>
      </c>
      <c r="AB11" s="19">
        <f t="shared" si="3"/>
        <v>47</v>
      </c>
      <c r="AC11" s="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ヒロ</v>
      </c>
      <c r="AD11" s="3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6">
        <v>1</v>
      </c>
      <c r="AG11" s="19">
        <f t="shared" ca="1" si="4"/>
        <v>2</v>
      </c>
      <c r="AH11" s="7">
        <v>20</v>
      </c>
      <c r="AI11" s="6">
        <v>0</v>
      </c>
      <c r="AJ11" s="6">
        <v>0</v>
      </c>
      <c r="AK11" s="6">
        <v>0</v>
      </c>
      <c r="AL11" s="6">
        <v>0</v>
      </c>
      <c r="AM11" s="6">
        <v>1</v>
      </c>
      <c r="AN11" s="61">
        <v>1</v>
      </c>
    </row>
    <row r="12" spans="1:40" ht="21" customHeight="1" x14ac:dyDescent="0.15">
      <c r="A12" s="13" t="str">
        <f t="shared" si="0"/>
        <v>30028_2-3/63&lt;lv40&gt;s2</v>
      </c>
      <c r="B12" s="91">
        <v>30028</v>
      </c>
      <c r="C12" s="17">
        <v>2</v>
      </c>
      <c r="D12" s="1" t="str">
        <f t="shared" si="1"/>
        <v>30028_2</v>
      </c>
      <c r="E12" s="3" t="str">
        <f ca="1">VLOOKUP($B12,OFFSET([2]quests!$A$1,0,0,COUNTA([2]quests!$A:$A),MATCH(E$1,[2]quests!$1:$1,0)-MATCH($B$1,[2]quests!$1:$1,0)+1),MATCH(E$1,[2]quests!$1:$1,0)-MATCH($B$1,[2]quests!$1:$1,0)+1,FALSE)</f>
        <v>最悪の刺客</v>
      </c>
      <c r="F12" s="3" t="str">
        <f ca="1">VLOOKUP($D12,OFFSET([2]stages!$A$1,0,0,COUNTA([2]stages!$A:$A),MATCH(F$1,[2]stages!$2:$2,0)-MATCH($D$1,[2]stages!$2:$2,0)+1),MATCH(F$1,[2]stages!$2:$2,0)-MATCH($D$1,[2]stages!$2:$2,0)+1,FALSE)</f>
        <v>【上級】最悪の刺客</v>
      </c>
      <c r="G12" s="17">
        <v>3</v>
      </c>
      <c r="H12" s="12" t="str">
        <f t="shared" si="2"/>
        <v>30028_2-3</v>
      </c>
      <c r="I12" s="3">
        <f ca="1">VLOOKUP($H12,OFFSET(floors!$A$1,0,0,COUNTA(floors!$A:$A),MATCH(I$1,floors!$1:$1,0)-MATCH($H$1,floors!$1:$1,0)+1),MATCH(I$1,floors!$1:$1,0)-MATCH($H$1,floors!$1:$1,0)+1,FALSE)</f>
        <v>60</v>
      </c>
      <c r="J12" s="3">
        <f ca="1">VLOOKUP($H12,OFFSET(floors!$A$1,0,0,COUNTA(floors!$A:$A),MATCH(J$1,floors!$1:$1,0)-MATCH($H$1,floors!$1:$1,0)+1),MATCH(J$1,floors!$1:$1,0)-MATCH($H$1,floors!$1:$1,0)+1,FALSE)</f>
        <v>60</v>
      </c>
      <c r="K12" s="32" t="s">
        <v>53</v>
      </c>
      <c r="L12" s="147">
        <v>63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トニー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4">
        <f ca="1">VLOOKUP($L12,OFFSET([3]enemies!$A$1,0,0,COUNTA([3]enemies!$A:$A),MATCH(Q$1,[3]enemies!$1:$1,0)-MATCH($L$1,[3]enemies!$1:$1,0)+1),MATCH(Q$1,[3]enemies!$1:$1,0)-MATCH($L$1,[3]enemies!$1:$1,0)+1,FALSE)</f>
        <v>15</v>
      </c>
      <c r="R12" s="4">
        <v>40</v>
      </c>
      <c r="S12" s="20">
        <v>1.3</v>
      </c>
      <c r="T12" s="20">
        <v>1</v>
      </c>
      <c r="U12" s="4">
        <v>0</v>
      </c>
      <c r="V12" s="3" t="str">
        <f ca="1">VLOOKUP($W12,OFFSET(enemy_skill_sets!$B$1,0,0,COUNTA(enemy_skill_sets!$B:$B),MATCH(M$1,enemy_skill_sets!$1:$1,0)-MATCH($W$1,enemy_skill_sets!$1:$1,0)+2),MATCH(M$1,enemy_skill_sets!$1:$1,0)-MATCH($W$1,enemy_skill_sets!$1:$1,0)+2,FALSE)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12" s="40">
        <v>30028006</v>
      </c>
      <c r="X12" s="5">
        <v>2</v>
      </c>
      <c r="Y12" s="5">
        <v>100</v>
      </c>
      <c r="Z12" s="5">
        <v>0</v>
      </c>
      <c r="AA12" s="14">
        <v>2</v>
      </c>
      <c r="AB12" s="19">
        <f t="shared" si="3"/>
        <v>63</v>
      </c>
      <c r="AC12" s="3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12" s="3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3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6">
        <v>1</v>
      </c>
      <c r="AG12" s="19">
        <f t="shared" ca="1" si="4"/>
        <v>2</v>
      </c>
      <c r="AH12" s="7">
        <v>20</v>
      </c>
      <c r="AI12" s="6">
        <v>0</v>
      </c>
      <c r="AJ12" s="6">
        <v>0</v>
      </c>
      <c r="AK12" s="6">
        <v>0</v>
      </c>
      <c r="AL12" s="6">
        <v>0</v>
      </c>
      <c r="AM12" s="6">
        <v>1</v>
      </c>
      <c r="AN12" s="61">
        <v>1</v>
      </c>
    </row>
    <row r="13" spans="1:40" ht="21" customHeight="1" thickBot="1" x14ac:dyDescent="0.2">
      <c r="A13" s="13" t="str">
        <f t="shared" si="0"/>
        <v>30028_2-4/650&lt;lv50&gt;s1</v>
      </c>
      <c r="B13" s="123">
        <v>30028</v>
      </c>
      <c r="C13" s="125">
        <v>2</v>
      </c>
      <c r="D13" s="93" t="str">
        <f t="shared" si="1"/>
        <v>30028_2</v>
      </c>
      <c r="E13" s="129" t="str">
        <f ca="1">VLOOKUP($B13,OFFSET([2]quests!$A$1,0,0,COUNTA([2]quests!$A:$A),MATCH(E$1,[2]quests!$1:$1,0)-MATCH($B$1,[2]quests!$1:$1,0)+1),MATCH(E$1,[2]quests!$1:$1,0)-MATCH($B$1,[2]quests!$1:$1,0)+1,FALSE)</f>
        <v>最悪の刺客</v>
      </c>
      <c r="F13" s="129" t="str">
        <f ca="1">VLOOKUP($D13,OFFSET([2]stages!$A$1,0,0,COUNTA([2]stages!$A:$A),MATCH(F$1,[2]stages!$2:$2,0)-MATCH($D$1,[2]stages!$2:$2,0)+1),MATCH(F$1,[2]stages!$2:$2,0)-MATCH($D$1,[2]stages!$2:$2,0)+1,FALSE)</f>
        <v>【上級】最悪の刺客</v>
      </c>
      <c r="G13" s="125">
        <v>4</v>
      </c>
      <c r="H13" s="93" t="str">
        <f t="shared" si="2"/>
        <v>30028_2-4</v>
      </c>
      <c r="I13" s="129">
        <f ca="1">VLOOKUP($H13,OFFSET(floors!$A$1,0,0,COUNTA(floors!$A:$A),MATCH(I$1,floors!$1:$1,0)-MATCH($H$1,floors!$1:$1,0)+1),MATCH(I$1,floors!$1:$1,0)-MATCH($H$1,floors!$1:$1,0)+1,FALSE)</f>
        <v>60</v>
      </c>
      <c r="J13" s="129">
        <f ca="1">VLOOKUP($H13,OFFSET(floors!$A$1,0,0,COUNTA(floors!$A:$A),MATCH(J$1,floors!$1:$1,0)-MATCH($H$1,floors!$1:$1,0)+1),MATCH(J$1,floors!$1:$1,0)-MATCH($H$1,floors!$1:$1,0)+1,FALSE)</f>
        <v>60</v>
      </c>
      <c r="K13" s="126">
        <v>4</v>
      </c>
      <c r="L13" s="152">
        <v>650</v>
      </c>
      <c r="M13" s="130" t="str">
        <f ca="1">VLOOKUP($L13,OFFSET([3]enemies!$A$1,0,0,COUNTA([3]enemies!$A:$A),MATCH(M$1,[3]enemies!$1:$1,0)-MATCH($L$1,[3]enemies!$1:$1,0)+1),MATCH(M$1,[3]enemies!$1:$1,0)-MATCH($L$1,[3]enemies!$1:$1,0)+1,FALSE)</f>
        <v>土蜘蛛 ユウヤ</v>
      </c>
      <c r="N13" s="130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30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30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30">
        <f ca="1">VLOOKUP($L13,OFFSET([3]enemies!$A$1,0,0,COUNTA([3]enemies!$A:$A),MATCH(Q$1,[3]enemies!$1:$1,0)-MATCH($L$1,[3]enemies!$1:$1,0)+1),MATCH(Q$1,[3]enemies!$1:$1,0)-MATCH($L$1,[3]enemies!$1:$1,0)+1,FALSE)</f>
        <v>30</v>
      </c>
      <c r="R13" s="131">
        <v>50</v>
      </c>
      <c r="S13" s="155">
        <v>1.4</v>
      </c>
      <c r="T13" s="155">
        <v>1.2</v>
      </c>
      <c r="U13" s="154">
        <v>0</v>
      </c>
      <c r="V13" s="3" t="str">
        <f ca="1">VLOOKUP($W13,OFFSET(enemy_skill_sets!$B$1,0,0,COUNTA(enemy_skill_sets!$B:$B),MATCH(M$1,enemy_skill_sets!$1:$1,0)-MATCH($W$1,enemy_skill_sets!$1:$1,0)+2),MATCH(M$1,enemy_skill_sets!$1:$1,0)-MATCH($W$1,enemy_skill_sets!$1:$1,0)+2,FALSE)</f>
        <v>毎ターン少しだけダメージを受けるウィルス</v>
      </c>
      <c r="W13" s="40">
        <v>30028010</v>
      </c>
      <c r="X13" s="156">
        <v>1</v>
      </c>
      <c r="Y13" s="132">
        <v>100</v>
      </c>
      <c r="Z13" s="132">
        <v>1</v>
      </c>
      <c r="AA13" s="153">
        <v>1</v>
      </c>
      <c r="AB13" s="133">
        <f t="shared" si="3"/>
        <v>650</v>
      </c>
      <c r="AC13" s="129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土蜘蛛 ユウヤ</v>
      </c>
      <c r="AD13" s="129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129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134">
        <v>1</v>
      </c>
      <c r="AG13" s="133">
        <f t="shared" ca="1" si="4"/>
        <v>4</v>
      </c>
      <c r="AH13" s="135">
        <v>50</v>
      </c>
      <c r="AI13" s="134">
        <v>0</v>
      </c>
      <c r="AJ13" s="134">
        <v>0</v>
      </c>
      <c r="AK13" s="134">
        <v>0</v>
      </c>
      <c r="AL13" s="134">
        <v>0</v>
      </c>
      <c r="AM13" s="134">
        <v>1</v>
      </c>
      <c r="AN13" s="136">
        <v>1</v>
      </c>
    </row>
    <row r="14" spans="1:40" s="146" customFormat="1" ht="21" customHeight="1" x14ac:dyDescent="0.15">
      <c r="A14" s="101" t="str">
        <f t="shared" si="0"/>
        <v>30028_3-1/132&lt;lv40&gt;s1</v>
      </c>
      <c r="B14" s="103">
        <v>30028</v>
      </c>
      <c r="C14" s="105">
        <v>3</v>
      </c>
      <c r="D14" s="107" t="str">
        <f t="shared" si="1"/>
        <v>30028_3</v>
      </c>
      <c r="E14" s="137" t="str">
        <f ca="1">VLOOKUP($B14,OFFSET([2]quests!$A$1,0,0,COUNTA([2]quests!$A:$A),MATCH(E$1,[2]quests!$1:$1,0)-MATCH($B$1,[2]quests!$1:$1,0)+1),MATCH(E$1,[2]quests!$1:$1,0)-MATCH($B$1,[2]quests!$1:$1,0)+1,FALSE)</f>
        <v>最悪の刺客</v>
      </c>
      <c r="F14" s="137" t="str">
        <f ca="1">VLOOKUP($D14,OFFSET([2]stages!$A$1,0,0,COUNTA([2]stages!$A:$A),MATCH(F$1,[2]stages!$2:$2,0)-MATCH($D$1,[2]stages!$2:$2,0)+1),MATCH(F$1,[2]stages!$2:$2,0)-MATCH($D$1,[2]stages!$2:$2,0)+1,FALSE)</f>
        <v>【超級】最悪の刺客</v>
      </c>
      <c r="G14" s="105">
        <v>1</v>
      </c>
      <c r="H14" s="107" t="str">
        <f t="shared" si="2"/>
        <v>30028_3-1</v>
      </c>
      <c r="I14" s="137">
        <f ca="1">VLOOKUP($H14,OFFSET(floors!$A$1,0,0,COUNTA(floors!$A:$A),MATCH(I$1,floors!$1:$1,0)-MATCH($H$1,floors!$1:$1,0)+1),MATCH(I$1,floors!$1:$1,0)-MATCH($H$1,floors!$1:$1,0)+1,FALSE)</f>
        <v>50</v>
      </c>
      <c r="J14" s="137">
        <f ca="1">VLOOKUP($H14,OFFSET(floors!$A$1,0,0,COUNTA(floors!$A:$A),MATCH(J$1,floors!$1:$1,0)-MATCH($H$1,floors!$1:$1,0)+1),MATCH(J$1,floors!$1:$1,0)-MATCH($H$1,floors!$1:$1,0)+1,FALSE)</f>
        <v>50</v>
      </c>
      <c r="K14" s="108" t="s">
        <v>53</v>
      </c>
      <c r="L14" s="138">
        <v>132</v>
      </c>
      <c r="M14" s="139" t="str">
        <f ca="1">VLOOKUP($L14,OFFSET([3]enemies!$A$1,0,0,COUNTA([3]enemies!$A:$A),MATCH(M$1,[3]enemies!$1:$1,0)-MATCH($L$1,[3]enemies!$1:$1,0)+1),MATCH(M$1,[3]enemies!$1:$1,0)-MATCH($L$1,[3]enemies!$1:$1,0)+1,FALSE)</f>
        <v>鳥人ハヤト</v>
      </c>
      <c r="N14" s="139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39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39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39">
        <f ca="1">VLOOKUP($L14,OFFSET([3]enemies!$A$1,0,0,COUNTA([3]enemies!$A:$A),MATCH(Q$1,[3]enemies!$1:$1,0)-MATCH($L$1,[3]enemies!$1:$1,0)+1),MATCH(Q$1,[3]enemies!$1:$1,0)-MATCH($L$1,[3]enemies!$1:$1,0)+1,FALSE)</f>
        <v>20</v>
      </c>
      <c r="R14" s="140">
        <v>40</v>
      </c>
      <c r="S14" s="204">
        <v>0.8</v>
      </c>
      <c r="T14" s="204">
        <v>0.7</v>
      </c>
      <c r="U14" s="140">
        <v>0</v>
      </c>
      <c r="V14" s="3" t="str">
        <f ca="1">VLOOKUP($W14,OFFSET(enemy_skill_sets!$B$1,0,0,COUNTA(enemy_skill_sets!$B:$B),MATCH(M$1,enemy_skill_sets!$1:$1,0)-MATCH($W$1,enemy_skill_sets!$1:$1,0)+2),MATCH(M$1,enemy_skill_sets!$1:$1,0)-MATCH($W$1,enemy_skill_sets!$1:$1,0)+2,FALSE)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14" s="40">
        <v>30028001</v>
      </c>
      <c r="X14" s="141">
        <v>1</v>
      </c>
      <c r="Y14" s="141">
        <v>100</v>
      </c>
      <c r="Z14" s="141">
        <v>0</v>
      </c>
      <c r="AA14" s="139">
        <v>1</v>
      </c>
      <c r="AB14" s="142">
        <f t="shared" si="3"/>
        <v>132</v>
      </c>
      <c r="AC14" s="137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鳥人ハヤト</v>
      </c>
      <c r="AD14" s="137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137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4" s="143">
        <v>1</v>
      </c>
      <c r="AG14" s="142">
        <f t="shared" ca="1" si="4"/>
        <v>3</v>
      </c>
      <c r="AH14" s="144">
        <v>0</v>
      </c>
      <c r="AI14" s="143">
        <v>0</v>
      </c>
      <c r="AJ14" s="143">
        <v>0</v>
      </c>
      <c r="AK14" s="143">
        <v>0</v>
      </c>
      <c r="AL14" s="143">
        <v>0</v>
      </c>
      <c r="AM14" s="143">
        <v>1</v>
      </c>
      <c r="AN14" s="145">
        <v>1</v>
      </c>
    </row>
    <row r="15" spans="1:40" s="150" customFormat="1" ht="21" customHeight="1" x14ac:dyDescent="0.15">
      <c r="A15" s="110" t="str">
        <f t="shared" si="0"/>
        <v>30028_3-1/197&lt;lv40&gt;s2</v>
      </c>
      <c r="B15" s="91">
        <v>30028</v>
      </c>
      <c r="C15" s="112">
        <v>3</v>
      </c>
      <c r="D15" s="12" t="str">
        <f t="shared" si="1"/>
        <v>30028_3</v>
      </c>
      <c r="E15" s="3" t="str">
        <f ca="1">VLOOKUP($B15,OFFSET([2]quests!$A$1,0,0,COUNTA([2]quests!$A:$A),MATCH(E$1,[2]quests!$1:$1,0)-MATCH($B$1,[2]quests!$1:$1,0)+1),MATCH(E$1,[2]quests!$1:$1,0)-MATCH($B$1,[2]quests!$1:$1,0)+1,FALSE)</f>
        <v>最悪の刺客</v>
      </c>
      <c r="F15" s="3" t="str">
        <f ca="1">VLOOKUP($D15,OFFSET([2]stages!$A$1,0,0,COUNTA([2]stages!$A:$A),MATCH(F$1,[2]stages!$2:$2,0)-MATCH($D$1,[2]stages!$2:$2,0)+1),MATCH(F$1,[2]stages!$2:$2,0)-MATCH($D$1,[2]stages!$2:$2,0)+1,FALSE)</f>
        <v>【超級】最悪の刺客</v>
      </c>
      <c r="G15" s="112">
        <v>1</v>
      </c>
      <c r="H15" s="12" t="str">
        <f t="shared" si="2"/>
        <v>30028_3-1</v>
      </c>
      <c r="I15" s="3">
        <f ca="1">VLOOKUP($H15,OFFSET(floors!$A$1,0,0,COUNTA(floors!$A:$A),MATCH(I$1,floors!$1:$1,0)-MATCH($H$1,floors!$1:$1,0)+1),MATCH(I$1,floors!$1:$1,0)-MATCH($H$1,floors!$1:$1,0)+1,FALSE)</f>
        <v>50</v>
      </c>
      <c r="J15" s="3">
        <f ca="1">VLOOKUP($H15,OFFSET(floors!$A$1,0,0,COUNTA(floors!$A:$A),MATCH(J$1,floors!$1:$1,0)-MATCH($H$1,floors!$1:$1,0)+1),MATCH(J$1,floors!$1:$1,0)-MATCH($H$1,floors!$1:$1,0)+1,FALSE)</f>
        <v>50</v>
      </c>
      <c r="K15" s="32" t="s">
        <v>213</v>
      </c>
      <c r="L15" s="147">
        <v>197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鉄腕 アキレス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PremiumN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4">
        <f ca="1">VLOOKUP($L15,OFFSET([3]enemies!$A$1,0,0,COUNTA([3]enemies!$A:$A),MATCH(Q$1,[3]enemies!$1:$1,0)-MATCH($L$1,[3]enemies!$1:$1,0)+1),MATCH(Q$1,[3]enemies!$1:$1,0)-MATCH($L$1,[3]enemies!$1:$1,0)+1,FALSE)</f>
        <v>30</v>
      </c>
      <c r="R15" s="4">
        <v>40</v>
      </c>
      <c r="S15" s="20">
        <v>0.8</v>
      </c>
      <c r="T15" s="20">
        <v>1.3</v>
      </c>
      <c r="U15" s="205">
        <v>0</v>
      </c>
      <c r="V15" s="3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警戒心を感じる…</v>
      </c>
      <c r="W15" s="40">
        <v>30028002</v>
      </c>
      <c r="X15" s="5">
        <v>1</v>
      </c>
      <c r="Y15" s="5">
        <v>100</v>
      </c>
      <c r="Z15" s="5">
        <v>1</v>
      </c>
      <c r="AA15" s="14">
        <v>2</v>
      </c>
      <c r="AB15" s="148">
        <f t="shared" si="3"/>
        <v>197</v>
      </c>
      <c r="AC15" s="3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鉄腕 アキレス</v>
      </c>
      <c r="AD15" s="3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3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5" s="149">
        <v>1</v>
      </c>
      <c r="AG15" s="148">
        <f t="shared" ca="1" si="4"/>
        <v>4</v>
      </c>
      <c r="AH15" s="7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1</v>
      </c>
      <c r="AN15" s="61">
        <v>1</v>
      </c>
    </row>
    <row r="16" spans="1:40" s="150" customFormat="1" ht="21" customHeight="1" x14ac:dyDescent="0.15">
      <c r="A16" s="110" t="str">
        <f t="shared" si="0"/>
        <v>30028_3-2/327&lt;lv60&gt;s2</v>
      </c>
      <c r="B16" s="91">
        <v>30028</v>
      </c>
      <c r="C16" s="112">
        <v>3</v>
      </c>
      <c r="D16" s="12" t="str">
        <f t="shared" si="1"/>
        <v>30028_3</v>
      </c>
      <c r="E16" s="3" t="str">
        <f ca="1">VLOOKUP($B16,OFFSET([2]quests!$A$1,0,0,COUNTA([2]quests!$A:$A),MATCH(E$1,[2]quests!$1:$1,0)-MATCH($B$1,[2]quests!$1:$1,0)+1),MATCH(E$1,[2]quests!$1:$1,0)-MATCH($B$1,[2]quests!$1:$1,0)+1,FALSE)</f>
        <v>最悪の刺客</v>
      </c>
      <c r="F16" s="3" t="str">
        <f ca="1">VLOOKUP($D16,OFFSET([2]stages!$A$1,0,0,COUNTA([2]stages!$A:$A),MATCH(F$1,[2]stages!$2:$2,0)-MATCH($D$1,[2]stages!$2:$2,0)+1),MATCH(F$1,[2]stages!$2:$2,0)-MATCH($D$1,[2]stages!$2:$2,0)+1,FALSE)</f>
        <v>【超級】最悪の刺客</v>
      </c>
      <c r="G16" s="112">
        <v>2</v>
      </c>
      <c r="H16" s="12" t="str">
        <f t="shared" si="2"/>
        <v>30028_3-2</v>
      </c>
      <c r="I16" s="3">
        <f ca="1">VLOOKUP($H16,OFFSET(floors!$A$1,0,0,COUNTA(floors!$A:$A),MATCH(I$1,floors!$1:$1,0)-MATCH($H$1,floors!$1:$1,0)+1),MATCH(I$1,floors!$1:$1,0)-MATCH($H$1,floors!$1:$1,0)+1,FALSE)</f>
        <v>60</v>
      </c>
      <c r="J16" s="3">
        <f ca="1">VLOOKUP($H16,OFFSET(floors!$A$1,0,0,COUNTA(floors!$A:$A),MATCH(J$1,floors!$1:$1,0)-MATCH($H$1,floors!$1:$1,0)+1),MATCH(J$1,floors!$1:$1,0)-MATCH($H$1,floors!$1:$1,0)+1,FALSE)</f>
        <v>60</v>
      </c>
      <c r="K16" s="32">
        <v>2</v>
      </c>
      <c r="L16" s="147">
        <v>327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千殺の妖志士 斎藤一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PremiumSS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4">
        <f ca="1">VLOOKUP($L16,OFFSET([3]enemies!$A$1,0,0,COUNTA([3]enemies!$A:$A),MATCH(Q$1,[3]enemies!$1:$1,0)-MATCH($L$1,[3]enemies!$1:$1,0)+1),MATCH(Q$1,[3]enemies!$1:$1,0)-MATCH($L$1,[3]enemies!$1:$1,0)+1,FALSE)</f>
        <v>60</v>
      </c>
      <c r="R16" s="4">
        <v>60</v>
      </c>
      <c r="S16" s="20">
        <v>1.6</v>
      </c>
      <c r="T16" s="20">
        <v>1</v>
      </c>
      <c r="U16" s="4">
        <v>0</v>
      </c>
      <c r="V16" s="3" t="str">
        <f ca="1">VLOOKUP($W16,OFFSET(enemy_skill_sets!$B$1,0,0,COUNTA(enemy_skill_sets!$B:$B),MATCH(M$1,enemy_skill_sets!$1:$1,0)-MATCH($W$1,enemy_skill_sets!$1:$1,0)+2),MATCH(M$1,enemy_skill_sets!$1:$1,0)-MATCH($W$1,enemy_skill_sets!$1:$1,0)+2,FALSE)</f>
        <v>8ターン黄パネルの出現率UP</v>
      </c>
      <c r="W16" s="40">
        <v>30028004</v>
      </c>
      <c r="X16" s="5">
        <v>1</v>
      </c>
      <c r="Y16" s="5">
        <v>100</v>
      </c>
      <c r="Z16" s="5">
        <v>1</v>
      </c>
      <c r="AA16" s="14">
        <v>2</v>
      </c>
      <c r="AB16" s="148">
        <f t="shared" si="3"/>
        <v>327</v>
      </c>
      <c r="AC16" s="3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千殺の妖志士 斎藤一</v>
      </c>
      <c r="AD16" s="3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3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6" s="149">
        <v>1</v>
      </c>
      <c r="AG16" s="148">
        <f t="shared" ca="1" si="4"/>
        <v>5</v>
      </c>
      <c r="AH16" s="7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1</v>
      </c>
      <c r="AN16" s="61">
        <v>1</v>
      </c>
    </row>
    <row r="17" spans="1:40" s="150" customFormat="1" ht="21" customHeight="1" x14ac:dyDescent="0.15">
      <c r="A17" s="110" t="str">
        <f t="shared" si="0"/>
        <v>30028_3-3/47&lt;lv60&gt;s2</v>
      </c>
      <c r="B17" s="91">
        <v>30028</v>
      </c>
      <c r="C17" s="112">
        <v>3</v>
      </c>
      <c r="D17" s="12" t="str">
        <f t="shared" si="1"/>
        <v>30028_3</v>
      </c>
      <c r="E17" s="3" t="str">
        <f ca="1">VLOOKUP($B17,OFFSET([2]quests!$A$1,0,0,COUNTA([2]quests!$A:$A),MATCH(E$1,[2]quests!$1:$1,0)-MATCH($B$1,[2]quests!$1:$1,0)+1),MATCH(E$1,[2]quests!$1:$1,0)-MATCH($B$1,[2]quests!$1:$1,0)+1,FALSE)</f>
        <v>最悪の刺客</v>
      </c>
      <c r="F17" s="3" t="str">
        <f ca="1">VLOOKUP($D17,OFFSET([2]stages!$A$1,0,0,COUNTA([2]stages!$A:$A),MATCH(F$1,[2]stages!$2:$2,0)-MATCH($D$1,[2]stages!$2:$2,0)+1),MATCH(F$1,[2]stages!$2:$2,0)-MATCH($D$1,[2]stages!$2:$2,0)+1,FALSE)</f>
        <v>【超級】最悪の刺客</v>
      </c>
      <c r="G17" s="112">
        <v>3</v>
      </c>
      <c r="H17" s="12" t="str">
        <f t="shared" si="2"/>
        <v>30028_3-3</v>
      </c>
      <c r="I17" s="3">
        <f ca="1">VLOOKUP($H17,OFFSET(floors!$A$1,0,0,COUNTA(floors!$A:$A),MATCH(I$1,floors!$1:$1,0)-MATCH($H$1,floors!$1:$1,0)+1),MATCH(I$1,floors!$1:$1,0)-MATCH($H$1,floors!$1:$1,0)+1,FALSE)</f>
        <v>60</v>
      </c>
      <c r="J17" s="3">
        <f ca="1">VLOOKUP($H17,OFFSET(floors!$A$1,0,0,COUNTA(floors!$A:$A),MATCH(J$1,floors!$1:$1,0)-MATCH($H$1,floors!$1:$1,0)+1),MATCH(J$1,floors!$1:$1,0)-MATCH($H$1,floors!$1:$1,0)+1,FALSE)</f>
        <v>60</v>
      </c>
      <c r="K17" s="32" t="s">
        <v>213</v>
      </c>
      <c r="L17" s="147">
        <v>47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ヒロ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4">
        <f ca="1">VLOOKUP($L17,OFFSET([3]enemies!$A$1,0,0,COUNTA([3]enemies!$A:$A),MATCH(Q$1,[3]enemies!$1:$1,0)-MATCH($L$1,[3]enemies!$1:$1,0)+1),MATCH(Q$1,[3]enemies!$1:$1,0)-MATCH($L$1,[3]enemies!$1:$1,0)+1,FALSE)</f>
        <v>15</v>
      </c>
      <c r="R17" s="4">
        <v>60</v>
      </c>
      <c r="S17" s="20">
        <v>1.3</v>
      </c>
      <c r="T17" s="20">
        <v>1</v>
      </c>
      <c r="U17" s="4">
        <v>0</v>
      </c>
      <c r="V17" s="3" t="str">
        <f ca="1">VLOOKUP($W17,OFFSET(enemy_skill_sets!$B$1,0,0,COUNTA(enemy_skill_sets!$B:$B),MATCH(M$1,enemy_skill_sets!$1:$1,0)-MATCH($W$1,enemy_skill_sets!$1:$1,0)+2),MATCH(M$1,enemy_skill_sets!$1:$1,0)-MATCH($W$1,enemy_skill_sets!$1:$1,0)+2,FALSE)</f>
        <v>3ターン全体攻撃力UP</v>
      </c>
      <c r="W17" s="40">
        <v>30028007</v>
      </c>
      <c r="X17" s="5">
        <v>2</v>
      </c>
      <c r="Y17" s="5">
        <v>100</v>
      </c>
      <c r="Z17" s="5">
        <v>0</v>
      </c>
      <c r="AA17" s="14">
        <v>2</v>
      </c>
      <c r="AB17" s="148">
        <f t="shared" si="3"/>
        <v>47</v>
      </c>
      <c r="AC17" s="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ヒロ</v>
      </c>
      <c r="AD17" s="3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149">
        <v>1</v>
      </c>
      <c r="AG17" s="148">
        <f t="shared" ca="1" si="4"/>
        <v>2</v>
      </c>
      <c r="AH17" s="7">
        <v>20</v>
      </c>
      <c r="AI17" s="149">
        <v>0</v>
      </c>
      <c r="AJ17" s="149">
        <v>0</v>
      </c>
      <c r="AK17" s="149">
        <v>0</v>
      </c>
      <c r="AL17" s="149">
        <v>0</v>
      </c>
      <c r="AM17" s="149">
        <v>1</v>
      </c>
      <c r="AN17" s="61">
        <v>1</v>
      </c>
    </row>
    <row r="18" spans="1:40" s="150" customFormat="1" ht="21" customHeight="1" x14ac:dyDescent="0.15">
      <c r="A18" s="110" t="str">
        <f t="shared" si="0"/>
        <v>30028_3-3/63&lt;lv60&gt;s2</v>
      </c>
      <c r="B18" s="91">
        <v>30028</v>
      </c>
      <c r="C18" s="112">
        <v>3</v>
      </c>
      <c r="D18" s="12" t="str">
        <f t="shared" si="1"/>
        <v>30028_3</v>
      </c>
      <c r="E18" s="3" t="str">
        <f ca="1">VLOOKUP($B18,OFFSET([2]quests!$A$1,0,0,COUNTA([2]quests!$A:$A),MATCH(E$1,[2]quests!$1:$1,0)-MATCH($B$1,[2]quests!$1:$1,0)+1),MATCH(E$1,[2]quests!$1:$1,0)-MATCH($B$1,[2]quests!$1:$1,0)+1,FALSE)</f>
        <v>最悪の刺客</v>
      </c>
      <c r="F18" s="3" t="str">
        <f ca="1">VLOOKUP($D18,OFFSET([2]stages!$A$1,0,0,COUNTA([2]stages!$A:$A),MATCH(F$1,[2]stages!$2:$2,0)-MATCH($D$1,[2]stages!$2:$2,0)+1),MATCH(F$1,[2]stages!$2:$2,0)-MATCH($D$1,[2]stages!$2:$2,0)+1,FALSE)</f>
        <v>【超級】最悪の刺客</v>
      </c>
      <c r="G18" s="112">
        <v>3</v>
      </c>
      <c r="H18" s="12" t="str">
        <f t="shared" si="2"/>
        <v>30028_3-3</v>
      </c>
      <c r="I18" s="3">
        <f ca="1">VLOOKUP($H18,OFFSET(floors!$A$1,0,0,COUNTA(floors!$A:$A),MATCH(I$1,floors!$1:$1,0)-MATCH($H$1,floors!$1:$1,0)+1),MATCH(I$1,floors!$1:$1,0)-MATCH($H$1,floors!$1:$1,0)+1,FALSE)</f>
        <v>60</v>
      </c>
      <c r="J18" s="3">
        <f ca="1">VLOOKUP($H18,OFFSET(floors!$A$1,0,0,COUNTA(floors!$A:$A),MATCH(J$1,floors!$1:$1,0)-MATCH($H$1,floors!$1:$1,0)+1),MATCH(J$1,floors!$1:$1,0)-MATCH($H$1,floors!$1:$1,0)+1,FALSE)</f>
        <v>60</v>
      </c>
      <c r="K18" s="32" t="s">
        <v>53</v>
      </c>
      <c r="L18" s="147">
        <v>63</v>
      </c>
      <c r="M18" s="14" t="str">
        <f ca="1">VLOOKUP($L18,OFFSET([3]enemies!$A$1,0,0,COUNTA([3]enemies!$A:$A),MATCH(M$1,[3]enemies!$1:$1,0)-MATCH($L$1,[3]enemies!$1:$1,0)+1),MATCH(M$1,[3]enemies!$1:$1,0)-MATCH($L$1,[3]enemies!$1:$1,0)+1,FALSE)</f>
        <v>トニー</v>
      </c>
      <c r="N18" s="14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4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4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4">
        <f ca="1">VLOOKUP($L18,OFFSET([3]enemies!$A$1,0,0,COUNTA([3]enemies!$A:$A),MATCH(Q$1,[3]enemies!$1:$1,0)-MATCH($L$1,[3]enemies!$1:$1,0)+1),MATCH(Q$1,[3]enemies!$1:$1,0)-MATCH($L$1,[3]enemies!$1:$1,0)+1,FALSE)</f>
        <v>15</v>
      </c>
      <c r="R18" s="4">
        <v>60</v>
      </c>
      <c r="S18" s="20">
        <v>1.3</v>
      </c>
      <c r="T18" s="20">
        <v>1</v>
      </c>
      <c r="U18" s="4">
        <v>0</v>
      </c>
      <c r="V18" s="3" t="str">
        <f ca="1">VLOOKUP($W18,OFFSET(enemy_skill_sets!$B$1,0,0,COUNTA(enemy_skill_sets!$B:$B),MATCH(M$1,enemy_skill_sets!$1:$1,0)-MATCH($W$1,enemy_skill_sets!$1:$1,0)+2),MATCH(M$1,enemy_skill_sets!$1:$1,0)-MATCH($W$1,enemy_skill_sets!$1:$1,0)+2,FALSE)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18" s="40">
        <v>30028006</v>
      </c>
      <c r="X18" s="5">
        <v>2</v>
      </c>
      <c r="Y18" s="5">
        <v>100</v>
      </c>
      <c r="Z18" s="5">
        <v>0</v>
      </c>
      <c r="AA18" s="14">
        <v>2</v>
      </c>
      <c r="AB18" s="148">
        <f t="shared" si="3"/>
        <v>63</v>
      </c>
      <c r="AC18" s="3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18" s="3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3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149">
        <v>1</v>
      </c>
      <c r="AG18" s="148">
        <f t="shared" ca="1" si="4"/>
        <v>2</v>
      </c>
      <c r="AH18" s="7">
        <v>20</v>
      </c>
      <c r="AI18" s="149">
        <v>0</v>
      </c>
      <c r="AJ18" s="149">
        <v>0</v>
      </c>
      <c r="AK18" s="149">
        <v>0</v>
      </c>
      <c r="AL18" s="149">
        <v>0</v>
      </c>
      <c r="AM18" s="149">
        <v>1</v>
      </c>
      <c r="AN18" s="61">
        <v>1</v>
      </c>
    </row>
    <row r="19" spans="1:40" s="161" customFormat="1" ht="21" customHeight="1" thickBot="1" x14ac:dyDescent="0.2">
      <c r="A19" s="114" t="str">
        <f t="shared" si="0"/>
        <v>30028_3-4/651&lt;lv65&gt;s1</v>
      </c>
      <c r="B19" s="116">
        <v>30028</v>
      </c>
      <c r="C19" s="118">
        <v>3</v>
      </c>
      <c r="D19" s="120" t="str">
        <f t="shared" si="1"/>
        <v>30028_3</v>
      </c>
      <c r="E19" s="151" t="str">
        <f ca="1">VLOOKUP($B19,OFFSET([2]quests!$A$1,0,0,COUNTA([2]quests!$A:$A),MATCH(E$1,[2]quests!$1:$1,0)-MATCH($B$1,[2]quests!$1:$1,0)+1),MATCH(E$1,[2]quests!$1:$1,0)-MATCH($B$1,[2]quests!$1:$1,0)+1,FALSE)</f>
        <v>最悪の刺客</v>
      </c>
      <c r="F19" s="151" t="str">
        <f ca="1">VLOOKUP($D19,OFFSET([2]stages!$A$1,0,0,COUNTA([2]stages!$A:$A),MATCH(F$1,[2]stages!$2:$2,0)-MATCH($D$1,[2]stages!$2:$2,0)+1),MATCH(F$1,[2]stages!$2:$2,0)-MATCH($D$1,[2]stages!$2:$2,0)+1,FALSE)</f>
        <v>【超級】最悪の刺客</v>
      </c>
      <c r="G19" s="118">
        <v>4</v>
      </c>
      <c r="H19" s="120" t="str">
        <f t="shared" si="2"/>
        <v>30028_3-4</v>
      </c>
      <c r="I19" s="151">
        <f ca="1">VLOOKUP($H19,OFFSET(floors!$A$1,0,0,COUNTA(floors!$A:$A),MATCH(I$1,floors!$1:$1,0)-MATCH($H$1,floors!$1:$1,0)+1),MATCH(I$1,floors!$1:$1,0)-MATCH($H$1,floors!$1:$1,0)+1,FALSE)</f>
        <v>60</v>
      </c>
      <c r="J19" s="151">
        <f ca="1">VLOOKUP($H19,OFFSET(floors!$A$1,0,0,COUNTA(floors!$A:$A),MATCH(J$1,floors!$1:$1,0)-MATCH($H$1,floors!$1:$1,0)+1),MATCH(J$1,floors!$1:$1,0)-MATCH($H$1,floors!$1:$1,0)+1,FALSE)</f>
        <v>60</v>
      </c>
      <c r="K19" s="121">
        <v>5</v>
      </c>
      <c r="L19" s="152">
        <v>651</v>
      </c>
      <c r="M19" s="153" t="str">
        <f ca="1">VLOOKUP($L19,OFFSET([3]enemies!$A$1,0,0,COUNTA([3]enemies!$A:$A),MATCH(M$1,[3]enemies!$1:$1,0)-MATCH($L$1,[3]enemies!$1:$1,0)+1),MATCH(M$1,[3]enemies!$1:$1,0)-MATCH($L$1,[3]enemies!$1:$1,0)+1,FALSE)</f>
        <v>八重祟障 ユウヤ</v>
      </c>
      <c r="N19" s="153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53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53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53">
        <f ca="1">VLOOKUP($L19,OFFSET([3]enemies!$A$1,0,0,COUNTA([3]enemies!$A:$A),MATCH(Q$1,[3]enemies!$1:$1,0)-MATCH($L$1,[3]enemies!$1:$1,0)+1),MATCH(Q$1,[3]enemies!$1:$1,0)-MATCH($L$1,[3]enemies!$1:$1,0)+1,FALSE)</f>
        <v>60</v>
      </c>
      <c r="R19" s="154">
        <v>65</v>
      </c>
      <c r="S19" s="155">
        <v>1.4</v>
      </c>
      <c r="T19" s="155">
        <v>1</v>
      </c>
      <c r="U19" s="154">
        <v>0</v>
      </c>
      <c r="V19" s="3" t="str">
        <f ca="1">VLOOKUP($W19,OFFSET(enemy_skill_sets!$B$1,0,0,COUNTA(enemy_skill_sets!$B:$B),MATCH(M$1,enemy_skill_sets!$1:$1,0)-MATCH($W$1,enemy_skill_sets!$1:$1,0)+2),MATCH(M$1,enemy_skill_sets!$1:$1,0)-MATCH($W$1,enemy_skill_sets!$1:$1,0)+2,FALSE)</f>
        <v>毎ターン少しだけダメージを受けるウィルス</v>
      </c>
      <c r="W19" s="40">
        <v>30028008</v>
      </c>
      <c r="X19" s="156">
        <v>1</v>
      </c>
      <c r="Y19" s="156">
        <v>100</v>
      </c>
      <c r="Z19" s="156">
        <v>1</v>
      </c>
      <c r="AA19" s="153">
        <v>1</v>
      </c>
      <c r="AB19" s="157">
        <v>650</v>
      </c>
      <c r="AC19" s="151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土蜘蛛 ユウヤ</v>
      </c>
      <c r="AD19" s="151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151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158">
        <v>1</v>
      </c>
      <c r="AG19" s="157">
        <f t="shared" ca="1" si="4"/>
        <v>4</v>
      </c>
      <c r="AH19" s="159">
        <v>100</v>
      </c>
      <c r="AI19" s="158">
        <v>0</v>
      </c>
      <c r="AJ19" s="158">
        <v>0</v>
      </c>
      <c r="AK19" s="158">
        <v>0</v>
      </c>
      <c r="AL19" s="158">
        <v>0</v>
      </c>
      <c r="AM19" s="158">
        <v>1</v>
      </c>
      <c r="AN19" s="160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130" zoomScaleNormal="130" zoomScalePageLayoutView="13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C4" sqref="C4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2" bestFit="1" customWidth="1"/>
    <col min="3" max="3" width="10.6640625" style="2" bestFit="1" customWidth="1"/>
    <col min="4" max="4" width="13" style="11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/>
    <col min="8" max="9" width="12.33203125" style="2" bestFit="1" customWidth="1" outlineLevel="1"/>
    <col min="10" max="10" width="12.33203125" style="2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29" customFormat="1" ht="21" customHeight="1" x14ac:dyDescent="0.15">
      <c r="A1" s="22" t="s">
        <v>29</v>
      </c>
      <c r="B1" s="23" t="s">
        <v>0</v>
      </c>
      <c r="C1" s="23" t="s">
        <v>1</v>
      </c>
      <c r="D1" s="24" t="s">
        <v>28</v>
      </c>
      <c r="E1" s="25" t="s">
        <v>16</v>
      </c>
      <c r="F1" s="25" t="s">
        <v>16</v>
      </c>
      <c r="G1" s="23" t="s">
        <v>19</v>
      </c>
      <c r="H1" s="24" t="s">
        <v>30</v>
      </c>
      <c r="I1" s="24" t="s">
        <v>14</v>
      </c>
      <c r="J1" s="24" t="s">
        <v>15</v>
      </c>
      <c r="K1" s="30" t="s">
        <v>54</v>
      </c>
      <c r="L1" s="30" t="s">
        <v>55</v>
      </c>
      <c r="M1" s="31" t="s">
        <v>2</v>
      </c>
      <c r="N1" s="26" t="s">
        <v>16</v>
      </c>
      <c r="O1" s="24" t="s">
        <v>24</v>
      </c>
      <c r="P1" s="24" t="s">
        <v>23</v>
      </c>
      <c r="Q1" s="27" t="s">
        <v>26</v>
      </c>
      <c r="R1" s="25" t="s">
        <v>25</v>
      </c>
      <c r="S1" s="23" t="s">
        <v>3</v>
      </c>
      <c r="T1" s="21" t="s">
        <v>48</v>
      </c>
      <c r="U1" s="21" t="s">
        <v>50</v>
      </c>
      <c r="V1" s="21" t="s">
        <v>52</v>
      </c>
      <c r="W1" s="23" t="s">
        <v>128</v>
      </c>
      <c r="X1" s="24" t="s">
        <v>127</v>
      </c>
      <c r="Y1" s="23" t="s">
        <v>8</v>
      </c>
    </row>
    <row r="2" spans="1:25" ht="21" customHeight="1" x14ac:dyDescent="0.15">
      <c r="A2" s="13" t="str">
        <f>B2&amp;"_"&amp;C2&amp;"-"&amp;G2&amp;"/"&amp;M2&amp;"&lt;lv"&amp;S2&amp;"&gt;sq"&amp;K2&amp;"st"&amp;L2</f>
        <v>30028_2-2/327&lt;lv40&gt;sq1st2</v>
      </c>
      <c r="B2" s="91">
        <v>30028</v>
      </c>
      <c r="C2" s="17">
        <v>2</v>
      </c>
      <c r="D2" s="1" t="str">
        <f>B2&amp;"_"&amp;C2</f>
        <v>30028_2</v>
      </c>
      <c r="E2" s="3" t="str">
        <f ca="1">VLOOKUP($B2,OFFSET([2]quests!$A$1,0,0,COUNTA([2]quests!$A:$A),MATCH(E$1,[2]quests!$1:$1,0)-MATCH($B$1,[2]quests!$1:$1,0)+1),MATCH(E$1,[2]quests!$1:$1,0)-MATCH($B$1,[2]quests!$1:$1,0)+1,FALSE)</f>
        <v>最悪の刺客</v>
      </c>
      <c r="F2" s="3" t="str">
        <f ca="1">VLOOKUP($D2,OFFSET([2]stages!$A$1,0,0,COUNTA([2]stages!$A:$A),MATCH(F$1,[2]stages!$2:$2,0)-MATCH($D$1,[2]stages!$2:$2,0)+1),MATCH(F$1,[2]stages!$2:$2,0)-MATCH($D$1,[2]stages!$2:$2,0)+1,FALSE)</f>
        <v>【上級】最悪の刺客</v>
      </c>
      <c r="G2" s="17">
        <v>2</v>
      </c>
      <c r="H2" s="12" t="str">
        <f>B2&amp;"_"&amp;C2&amp;"-"&amp;G2</f>
        <v>30028_2-2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2">
        <v>1</v>
      </c>
      <c r="L2" s="32">
        <v>2</v>
      </c>
      <c r="M2" s="147">
        <v>327</v>
      </c>
      <c r="N2" s="14" t="str">
        <f ca="1">VLOOKUP($M2,OFFSET([3]enemies!$A$1,0,0,COUNTA([3]enemies!$A:$A),MATCH(N$1,[3]enemies!$1:$1,0)-MATCH($M$1,[3]enemies!$1:$1,0)+1),MATCH(N$1,[3]enemies!$1:$1,0)-MATCH($M$1,[3]enemies!$1:$1,0)+1,FALSE)</f>
        <v>千殺の妖志士 斎藤一</v>
      </c>
      <c r="O2" s="14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4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4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4">
        <f ca="1">VLOOKUP($M2,OFFSET([3]enemies!$A$1,0,0,COUNTA([3]enemies!$A:$A),MATCH(R$1,[3]enemies!$1:$1,0)-MATCH($M$1,[3]enemies!$1:$1,0)+1),MATCH(R$1,[3]enemies!$1:$1,0)-MATCH($M$1,[3]enemies!$1:$1,0)+1,FALSE)</f>
        <v>60</v>
      </c>
      <c r="S2" s="4">
        <v>40</v>
      </c>
      <c r="T2" s="20">
        <v>1.6</v>
      </c>
      <c r="U2" s="20">
        <v>1</v>
      </c>
      <c r="V2" s="4">
        <v>0</v>
      </c>
      <c r="W2" s="3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1">
        <v>30028005</v>
      </c>
      <c r="Y2" s="62">
        <v>2</v>
      </c>
    </row>
    <row r="3" spans="1:25" ht="21" customHeight="1" x14ac:dyDescent="0.15">
      <c r="A3" s="13" t="str">
        <f>B3&amp;"_"&amp;C3&amp;"-"&amp;G3&amp;"/"&amp;M3&amp;"&lt;lv"&amp;S3&amp;"&gt;sq"&amp;K3&amp;"st"&amp;L3</f>
        <v>30028_3-2/327&lt;lv60&gt;sq2st2</v>
      </c>
      <c r="B3" s="91">
        <v>30028</v>
      </c>
      <c r="C3" s="17">
        <v>3</v>
      </c>
      <c r="D3" s="1" t="str">
        <f>B3&amp;"_"&amp;C3</f>
        <v>30028_3</v>
      </c>
      <c r="E3" s="3" t="str">
        <f ca="1">VLOOKUP($B3,OFFSET([2]quests!$A$1,0,0,COUNTA([2]quests!$A:$A),MATCH(E$1,[2]quests!$1:$1,0)-MATCH($B$1,[2]quests!$1:$1,0)+1),MATCH(E$1,[2]quests!$1:$1,0)-MATCH($B$1,[2]quests!$1:$1,0)+1,FALSE)</f>
        <v>最悪の刺客</v>
      </c>
      <c r="F3" s="3" t="str">
        <f ca="1">VLOOKUP($D3,OFFSET([2]stages!$A$1,0,0,COUNTA([2]stages!$A:$A),MATCH(F$1,[2]stages!$2:$2,0)-MATCH($D$1,[2]stages!$2:$2,0)+1),MATCH(F$1,[2]stages!$2:$2,0)-MATCH($D$1,[2]stages!$2:$2,0)+1,FALSE)</f>
        <v>【超級】最悪の刺客</v>
      </c>
      <c r="G3" s="17">
        <v>2</v>
      </c>
      <c r="H3" s="12" t="str">
        <f>B3&amp;"_"&amp;C3&amp;"-"&amp;G3</f>
        <v>30028_3-2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2">
        <v>2</v>
      </c>
      <c r="L3" s="32">
        <v>2</v>
      </c>
      <c r="M3" s="147">
        <v>327</v>
      </c>
      <c r="N3" s="14" t="str">
        <f ca="1">VLOOKUP($M3,OFFSET([3]enemies!$A$1,0,0,COUNTA([3]enemies!$A:$A),MATCH(N$1,[3]enemies!$1:$1,0)-MATCH($M$1,[3]enemies!$1:$1,0)+1),MATCH(N$1,[3]enemies!$1:$1,0)-MATCH($M$1,[3]enemies!$1:$1,0)+1,FALSE)</f>
        <v>千殺の妖志士 斎藤一</v>
      </c>
      <c r="O3" s="14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4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4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4">
        <f ca="1">VLOOKUP($M3,OFFSET([3]enemies!$A$1,0,0,COUNTA([3]enemies!$A:$A),MATCH(R$1,[3]enemies!$1:$1,0)-MATCH($M$1,[3]enemies!$1:$1,0)+1),MATCH(R$1,[3]enemies!$1:$1,0)-MATCH($M$1,[3]enemies!$1:$1,0)+1,FALSE)</f>
        <v>60</v>
      </c>
      <c r="S3" s="4">
        <v>60</v>
      </c>
      <c r="T3" s="20">
        <v>1.6</v>
      </c>
      <c r="U3" s="20">
        <v>1</v>
      </c>
      <c r="V3" s="4">
        <v>0</v>
      </c>
      <c r="W3" s="3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1">
        <v>30028005</v>
      </c>
      <c r="Y3" s="62">
        <v>2</v>
      </c>
    </row>
    <row r="4" spans="1:25" ht="21" customHeight="1" x14ac:dyDescent="0.15">
      <c r="A4" s="13" t="str">
        <f>B4&amp;"_"&amp;C4&amp;"-"&amp;G4&amp;"/"&amp;M4&amp;"&lt;lv"&amp;S4&amp;"&gt;sq"&amp;K4&amp;"st"&amp;L4</f>
        <v>30028_1-4/651&lt;lv40&gt;sq3st2</v>
      </c>
      <c r="B4" s="91">
        <v>30028</v>
      </c>
      <c r="C4" s="17">
        <v>1</v>
      </c>
      <c r="D4" s="1" t="str">
        <f>B4&amp;"_"&amp;C4</f>
        <v>30028_1</v>
      </c>
      <c r="E4" s="3" t="str">
        <f ca="1">VLOOKUP($B4,OFFSET([2]quests!$A$1,0,0,COUNTA([2]quests!$A:$A),MATCH(E$1,[2]quests!$1:$1,0)-MATCH($B$1,[2]quests!$1:$1,0)+1),MATCH(E$1,[2]quests!$1:$1,0)-MATCH($B$1,[2]quests!$1:$1,0)+1,FALSE)</f>
        <v>最悪の刺客</v>
      </c>
      <c r="F4" s="3" t="str">
        <f ca="1">VLOOKUP($D4,OFFSET([2]stages!$A$1,0,0,COUNTA([2]stages!$A:$A),MATCH(F$1,[2]stages!$2:$2,0)-MATCH($D$1,[2]stages!$2:$2,0)+1),MATCH(F$1,[2]stages!$2:$2,0)-MATCH($D$1,[2]stages!$2:$2,0)+1,FALSE)</f>
        <v>【中級】最悪の刺客</v>
      </c>
      <c r="G4" s="17">
        <v>4</v>
      </c>
      <c r="H4" s="12" t="str">
        <f>B4&amp;"_"&amp;C4&amp;"-"&amp;G4</f>
        <v>30028_1-4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2">
        <v>3</v>
      </c>
      <c r="L4" s="32">
        <v>2</v>
      </c>
      <c r="M4" s="200">
        <v>651</v>
      </c>
      <c r="N4" s="14" t="str">
        <f ca="1">VLOOKUP($M4,OFFSET([3]enemies!$A$1,0,0,COUNTA([3]enemies!$A:$A),MATCH(N$1,[3]enemies!$1:$1,0)-MATCH($M$1,[3]enemies!$1:$1,0)+1),MATCH(N$1,[3]enemies!$1:$1,0)-MATCH($M$1,[3]enemies!$1:$1,0)+1,FALSE)</f>
        <v>八重祟障 ユウヤ</v>
      </c>
      <c r="O4" s="14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4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4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4">
        <f ca="1">VLOOKUP($M4,OFFSET([3]enemies!$A$1,0,0,COUNTA([3]enemies!$A:$A),MATCH(R$1,[3]enemies!$1:$1,0)-MATCH($M$1,[3]enemies!$1:$1,0)+1),MATCH(R$1,[3]enemies!$1:$1,0)-MATCH($M$1,[3]enemies!$1:$1,0)+1,FALSE)</f>
        <v>60</v>
      </c>
      <c r="S4" s="4">
        <v>40</v>
      </c>
      <c r="T4" s="20">
        <v>1.5</v>
      </c>
      <c r="U4" s="20">
        <v>1.2</v>
      </c>
      <c r="V4" s="4">
        <v>0</v>
      </c>
      <c r="W4" s="3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5">
        <v>30028011</v>
      </c>
      <c r="Y4" s="62">
        <v>1</v>
      </c>
    </row>
    <row r="5" spans="1:25" ht="21" customHeight="1" x14ac:dyDescent="0.15">
      <c r="A5" s="13" t="str">
        <f>B5&amp;"_"&amp;C5&amp;"-"&amp;G5&amp;"/"&amp;M5&amp;"&lt;lv"&amp;S5&amp;"&gt;sq"&amp;K5&amp;"st"&amp;L5</f>
        <v>30028_2-4/651&lt;lv50&gt;sq4st2</v>
      </c>
      <c r="B5" s="91">
        <v>30028</v>
      </c>
      <c r="C5" s="17">
        <v>2</v>
      </c>
      <c r="D5" s="1" t="str">
        <f>B5&amp;"_"&amp;C5</f>
        <v>30028_2</v>
      </c>
      <c r="E5" s="3" t="str">
        <f ca="1">VLOOKUP($B5,OFFSET([2]quests!$A$1,0,0,COUNTA([2]quests!$A:$A),MATCH(E$1,[2]quests!$1:$1,0)-MATCH($B$1,[2]quests!$1:$1,0)+1),MATCH(E$1,[2]quests!$1:$1,0)-MATCH($B$1,[2]quests!$1:$1,0)+1,FALSE)</f>
        <v>最悪の刺客</v>
      </c>
      <c r="F5" s="3" t="str">
        <f ca="1">VLOOKUP($D5,OFFSET([2]stages!$A$1,0,0,COUNTA([2]stages!$A:$A),MATCH(F$1,[2]stages!$2:$2,0)-MATCH($D$1,[2]stages!$2:$2,0)+1),MATCH(F$1,[2]stages!$2:$2,0)-MATCH($D$1,[2]stages!$2:$2,0)+1,FALSE)</f>
        <v>【上級】最悪の刺客</v>
      </c>
      <c r="G5" s="17">
        <v>4</v>
      </c>
      <c r="H5" s="12" t="str">
        <f>B5&amp;"_"&amp;C5&amp;"-"&amp;G5</f>
        <v>30028_2-4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2">
        <v>4</v>
      </c>
      <c r="L5" s="32">
        <v>2</v>
      </c>
      <c r="M5" s="200">
        <v>651</v>
      </c>
      <c r="N5" s="14" t="str">
        <f ca="1">VLOOKUP($M5,OFFSET([3]enemies!$A$1,0,0,COUNTA([3]enemies!$A:$A),MATCH(N$1,[3]enemies!$1:$1,0)-MATCH($M$1,[3]enemies!$1:$1,0)+1),MATCH(N$1,[3]enemies!$1:$1,0)-MATCH($M$1,[3]enemies!$1:$1,0)+1,FALSE)</f>
        <v>八重祟障 ユウヤ</v>
      </c>
      <c r="O5" s="14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4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4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4">
        <f ca="1">VLOOKUP($M5,OFFSET([3]enemies!$A$1,0,0,COUNTA([3]enemies!$A:$A),MATCH(R$1,[3]enemies!$1:$1,0)-MATCH($M$1,[3]enemies!$1:$1,0)+1),MATCH(R$1,[3]enemies!$1:$1,0)-MATCH($M$1,[3]enemies!$1:$1,0)+1,FALSE)</f>
        <v>60</v>
      </c>
      <c r="S5" s="4">
        <v>50</v>
      </c>
      <c r="T5" s="20">
        <v>1.6</v>
      </c>
      <c r="U5" s="20">
        <v>1.2</v>
      </c>
      <c r="V5" s="4">
        <v>0</v>
      </c>
      <c r="W5" s="3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95">
        <v>30028011</v>
      </c>
      <c r="Y5" s="62">
        <v>1</v>
      </c>
    </row>
    <row r="6" spans="1:25" ht="21" customHeight="1" x14ac:dyDescent="0.15">
      <c r="A6" s="13" t="str">
        <f>B6&amp;"_"&amp;C6&amp;"-"&amp;G6&amp;"/"&amp;M6&amp;"&lt;lv"&amp;S6&amp;"&gt;sq"&amp;K6&amp;"st"&amp;L6</f>
        <v>30028_3-4/651&lt;lv65&gt;sq5st2</v>
      </c>
      <c r="B6" s="91">
        <v>30028</v>
      </c>
      <c r="C6" s="17">
        <v>3</v>
      </c>
      <c r="D6" s="1" t="str">
        <f>B6&amp;"_"&amp;C6</f>
        <v>30028_3</v>
      </c>
      <c r="E6" s="3" t="str">
        <f ca="1">VLOOKUP($B6,OFFSET([2]quests!$A$1,0,0,COUNTA([2]quests!$A:$A),MATCH(E$1,[2]quests!$1:$1,0)-MATCH($B$1,[2]quests!$1:$1,0)+1),MATCH(E$1,[2]quests!$1:$1,0)-MATCH($B$1,[2]quests!$1:$1,0)+1,FALSE)</f>
        <v>最悪の刺客</v>
      </c>
      <c r="F6" s="3" t="str">
        <f ca="1">VLOOKUP($D6,OFFSET([2]stages!$A$1,0,0,COUNTA([2]stages!$A:$A),MATCH(F$1,[2]stages!$2:$2,0)-MATCH($D$1,[2]stages!$2:$2,0)+1),MATCH(F$1,[2]stages!$2:$2,0)-MATCH($D$1,[2]stages!$2:$2,0)+1,FALSE)</f>
        <v>【超級】最悪の刺客</v>
      </c>
      <c r="G6" s="17">
        <v>4</v>
      </c>
      <c r="H6" s="12" t="str">
        <f>B6&amp;"_"&amp;C6&amp;"-"&amp;G6</f>
        <v>30028_3-4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2">
        <v>5</v>
      </c>
      <c r="L6" s="32">
        <v>2</v>
      </c>
      <c r="M6" s="200">
        <v>651</v>
      </c>
      <c r="N6" s="14" t="str">
        <f ca="1">VLOOKUP($M6,OFFSET([3]enemies!$A$1,0,0,COUNTA([3]enemies!$A:$A),MATCH(N$1,[3]enemies!$1:$1,0)-MATCH($M$1,[3]enemies!$1:$1,0)+1),MATCH(N$1,[3]enemies!$1:$1,0)-MATCH($M$1,[3]enemies!$1:$1,0)+1,FALSE)</f>
        <v>八重祟障 ユウヤ</v>
      </c>
      <c r="O6" s="14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4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4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4">
        <f ca="1">VLOOKUP($M6,OFFSET([3]enemies!$A$1,0,0,COUNTA([3]enemies!$A:$A),MATCH(R$1,[3]enemies!$1:$1,0)-MATCH($M$1,[3]enemies!$1:$1,0)+1),MATCH(R$1,[3]enemies!$1:$1,0)-MATCH($M$1,[3]enemies!$1:$1,0)+1,FALSE)</f>
        <v>60</v>
      </c>
      <c r="S6" s="4">
        <v>65</v>
      </c>
      <c r="T6" s="20">
        <v>1.4</v>
      </c>
      <c r="U6" s="20">
        <v>1</v>
      </c>
      <c r="V6" s="4">
        <v>0</v>
      </c>
      <c r="W6" s="3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95">
        <v>30028009</v>
      </c>
      <c r="Y6" s="62">
        <v>1</v>
      </c>
    </row>
  </sheetData>
  <sheetProtection selectLockedCells="1" selectUnlockedCells="1"/>
  <autoFilter ref="B1:Y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2"/>
  <sheetViews>
    <sheetView showGridLines="0" workbookViewId="0">
      <pane xSplit="5" ySplit="1" topLeftCell="F4" activePane="bottomRight" state="frozen"/>
      <selection pane="topRight"/>
      <selection pane="bottomLeft"/>
      <selection pane="bottomRight" activeCell="K23" sqref="K23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2" bestFit="1" customWidth="1"/>
    <col min="3" max="3" width="9.6640625" style="42" customWidth="1"/>
    <col min="4" max="4" width="18.5" style="42" customWidth="1" outlineLevel="1"/>
    <col min="5" max="5" width="44.1640625" style="42" bestFit="1" customWidth="1" outlineLevel="1"/>
    <col min="6" max="6" width="10.83203125" style="42" bestFit="1" customWidth="1"/>
    <col min="7" max="7" width="8.33203125" style="42" bestFit="1" customWidth="1" outlineLevel="1"/>
    <col min="8" max="9" width="12.83203125" style="42" outlineLevel="1"/>
    <col min="10" max="10" width="17.6640625" style="42" bestFit="1" customWidth="1" outlineLevel="1"/>
    <col min="11" max="15" width="12.83203125" style="42" outlineLevel="1"/>
    <col min="16" max="16" width="8.33203125" style="38" bestFit="1" customWidth="1"/>
    <col min="17" max="17" width="9.6640625" style="38" customWidth="1"/>
    <col min="18" max="18" width="56.5" style="38" bestFit="1" customWidth="1"/>
    <col min="19" max="16384" width="12.83203125" style="38"/>
  </cols>
  <sheetData>
    <row r="1" spans="1:18" ht="21" customHeight="1" x14ac:dyDescent="0.15">
      <c r="A1" s="33" t="s">
        <v>60</v>
      </c>
      <c r="B1" s="188" t="s">
        <v>61</v>
      </c>
      <c r="C1" s="188" t="s">
        <v>62</v>
      </c>
      <c r="D1" s="189" t="s">
        <v>63</v>
      </c>
      <c r="E1" s="189" t="s">
        <v>64</v>
      </c>
      <c r="F1" s="46" t="s">
        <v>65</v>
      </c>
      <c r="G1" s="37" t="s">
        <v>66</v>
      </c>
      <c r="H1" s="37" t="s">
        <v>68</v>
      </c>
      <c r="I1" s="37" t="s">
        <v>69</v>
      </c>
      <c r="J1" s="37" t="s">
        <v>70</v>
      </c>
      <c r="K1" s="37" t="s">
        <v>71</v>
      </c>
      <c r="L1" s="37" t="s">
        <v>72</v>
      </c>
      <c r="M1" s="37" t="s">
        <v>73</v>
      </c>
      <c r="N1" s="37" t="s">
        <v>74</v>
      </c>
      <c r="O1" s="37" t="s">
        <v>75</v>
      </c>
      <c r="P1" s="189" t="s">
        <v>76</v>
      </c>
      <c r="Q1" s="189" t="s">
        <v>77</v>
      </c>
      <c r="R1" s="189" t="s">
        <v>78</v>
      </c>
    </row>
    <row r="2" spans="1:18" s="182" customFormat="1" ht="21" customHeight="1" x14ac:dyDescent="0.15">
      <c r="A2" s="181" t="str">
        <f t="shared" ref="A2" si="0">B2&amp;"_"&amp;C2</f>
        <v>30028001_30028001</v>
      </c>
      <c r="B2" s="40">
        <v>30028001</v>
      </c>
      <c r="C2" s="40">
        <v>30028001</v>
      </c>
      <c r="D2" s="39" t="str">
        <f ca="1">VLOOKUP($C2,OFFSET(enemy_skills!$A$1,0,0,COUNTA(enemy_skills!$A:$A),MATCH(D$1,enemy_skills!$1:$1,0)-MATCH("enemy_skill_id",enemy_skills!$1:$1,0)+1),MATCH(D$1,enemy_skills!$1:$1,0)-MATCH("enemy_skill_id",enemy_skills!$1:$1,0)+1,FALSE)</f>
        <v>電光石火</v>
      </c>
      <c r="E2" s="39" t="str">
        <f ca="1">VLOOKUP($C2,OFFSET(enemy_skills!$A$1,0,0,COUNTA(enemy_skills!$A:$A),MATCH(E$1,enemy_skills!$1:$1,0)-MATCH("enemy_skill_id",enemy_skills!$1:$1,0)+1),MATCH(E$1,enemy_skills!$1:$1,0)-MATCH("enemy_skill_id",enemy_skills!$1:$1,0)+1,FALSE)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2" s="40">
        <v>30028001</v>
      </c>
      <c r="G2" s="41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1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1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1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1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1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1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1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1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0"/>
      <c r="Q2" s="40"/>
      <c r="R2" s="40" t="s">
        <v>214</v>
      </c>
    </row>
    <row r="3" spans="1:18" s="182" customFormat="1" ht="21" customHeight="1" x14ac:dyDescent="0.15">
      <c r="A3" s="181" t="str">
        <f t="shared" ref="A3:A30" si="1">B3&amp;"_"&amp;C3</f>
        <v>30028001_30028002</v>
      </c>
      <c r="B3" s="40">
        <v>30028001</v>
      </c>
      <c r="C3" s="40">
        <v>30028002</v>
      </c>
      <c r="D3" s="39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ハハハ！お前強いじゃん！</v>
      </c>
      <c r="E3" s="39" t="str">
        <f ca="1">VLOOKUP($C3,OFFSET(enemy_skills!$A$1,0,0,COUNTA(enemy_skills!$A:$A),MATCH(E$1,enemy_skills!$1:$1,0)-MATCH("enemy_skill_id",enemy_skills!$1:$1,0)+1),MATCH(E$1,enemy_skills!$1:$1,0)-MATCH("enemy_skill_id",enemy_skills!$1:$1,0)+1,FALSE)</f>
        <v>去っていった</v>
      </c>
      <c r="F3" s="40">
        <v>30028002</v>
      </c>
      <c r="G3" s="41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1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1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1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1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1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1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" s="41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1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0"/>
      <c r="Q3" s="40"/>
      <c r="R3" s="40" t="s">
        <v>214</v>
      </c>
    </row>
    <row r="4" spans="1:18" s="182" customFormat="1" ht="21" customHeight="1" x14ac:dyDescent="0.15">
      <c r="A4" s="181" t="str">
        <f t="shared" si="1"/>
        <v>30028002_30028003</v>
      </c>
      <c r="B4" s="40">
        <v>30028002</v>
      </c>
      <c r="C4" s="40">
        <v>30028003</v>
      </c>
      <c r="D4" s="39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お前、なんの用だ？</v>
      </c>
      <c r="E4" s="39" t="str">
        <f ca="1">VLOOKUP($C4,OFFSET(enemy_skills!$A$1,0,0,COUNTA(enemy_skills!$A:$A),MATCH(E$1,enemy_skills!$1:$1,0)-MATCH("enemy_skill_id",enemy_skills!$1:$1,0)+1),MATCH(E$1,enemy_skills!$1:$1,0)-MATCH("enemy_skill_id",enemy_skills!$1:$1,0)+1,FALSE)</f>
        <v>警戒心を感じる…</v>
      </c>
      <c r="F4" s="40">
        <v>30028003</v>
      </c>
      <c r="G4" s="41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1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1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1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1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1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1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1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1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0"/>
      <c r="Q4" s="40"/>
      <c r="R4" s="40" t="s">
        <v>215</v>
      </c>
    </row>
    <row r="5" spans="1:18" s="187" customFormat="1" ht="21" customHeight="1" thickBot="1" x14ac:dyDescent="0.2">
      <c r="A5" s="183" t="str">
        <f t="shared" si="1"/>
        <v>30028002_30028004</v>
      </c>
      <c r="B5" s="184">
        <v>30028002</v>
      </c>
      <c r="C5" s="184">
        <v>30028004</v>
      </c>
      <c r="D5" s="18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フン、せいぜい頑張れよ</v>
      </c>
      <c r="E5" s="18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去っていった</v>
      </c>
      <c r="F5" s="184">
        <v>30028004</v>
      </c>
      <c r="G5" s="18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8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18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8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8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8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8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86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132</v>
      </c>
      <c r="O5" s="18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84"/>
      <c r="Q5" s="184"/>
      <c r="R5" s="184" t="s">
        <v>215</v>
      </c>
    </row>
    <row r="6" spans="1:18" s="182" customFormat="1" ht="21" customHeight="1" x14ac:dyDescent="0.15">
      <c r="A6" s="181" t="str">
        <f t="shared" si="1"/>
        <v>30028004_30028005</v>
      </c>
      <c r="B6" s="190">
        <v>30028004</v>
      </c>
      <c r="C6" s="190">
        <v>30028005</v>
      </c>
      <c r="D6" s="19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ここはアタシのエリアだァ！</v>
      </c>
      <c r="E6" s="191" t="str">
        <f ca="1">VLOOKUP($C6,OFFSET(enemy_skills!$A$1,0,0,COUNTA(enemy_skills!$A:$A),MATCH(E$1,enemy_skills!$1:$1,0)-MATCH("enemy_skill_id",enemy_skills!$1:$1,0)+1),MATCH(E$1,enemy_skills!$1:$1,0)-MATCH("enemy_skill_id",enemy_skills!$1:$1,0)+1,FALSE)</f>
        <v>8ターン黄パネルの出現率UP</v>
      </c>
      <c r="F6" s="190">
        <v>30028005</v>
      </c>
      <c r="G6" s="19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192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9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9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9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92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92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92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9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90"/>
      <c r="Q6" s="190"/>
      <c r="R6" s="190" t="s">
        <v>216</v>
      </c>
    </row>
    <row r="7" spans="1:18" s="182" customFormat="1" ht="21" customHeight="1" x14ac:dyDescent="0.15">
      <c r="A7" s="181" t="str">
        <f t="shared" si="1"/>
        <v>30028004_30028006</v>
      </c>
      <c r="B7" s="40">
        <v>30028004</v>
      </c>
      <c r="C7" s="40">
        <v>30028006</v>
      </c>
      <c r="D7" s="39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いくぜェ！！</v>
      </c>
      <c r="E7" s="39" t="str">
        <f ca="1">VLOOKUP($C7,OFFSET(enemy_skills!$A$1,0,0,COUNTA(enemy_skills!$A:$A),MATCH(E$1,enemy_skills!$1:$1,0)-MATCH("enemy_skill_id",enemy_skills!$1:$1,0)+1),MATCH(E$1,enemy_skills!$1:$1,0)-MATCH("enemy_skill_id",enemy_skills!$1:$1,0)+1,FALSE)</f>
        <v>次のターンに黄パネルを時限式パネルに変換</v>
      </c>
      <c r="F7" s="40">
        <v>30028006</v>
      </c>
      <c r="G7" s="41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1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" s="41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1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1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1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1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1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1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0"/>
      <c r="Q7" s="40"/>
      <c r="R7" s="40" t="s">
        <v>216</v>
      </c>
    </row>
    <row r="8" spans="1:18" s="182" customFormat="1" ht="21" customHeight="1" x14ac:dyDescent="0.15">
      <c r="A8" s="181" t="str">
        <f t="shared" si="1"/>
        <v>30028004_30028007</v>
      </c>
      <c r="B8" s="40">
        <v>30028004</v>
      </c>
      <c r="C8" s="40">
        <v>30028007</v>
      </c>
      <c r="D8" s="39" t="str">
        <f ca="1">VLOOKUP($C8,OFFSET(enemy_skills!$A$1,0,0,COUNTA(enemy_skills!$A:$A),MATCH(D$1,enemy_skills!$1:$1,0)-MATCH("enemy_skill_id",enemy_skills!$1:$1,0)+1),MATCH(D$1,enemy_skills!$1:$1,0)-MATCH("enemy_skill_id",enemy_skills!$1:$1,0)+1,FALSE)</f>
        <v>反撃だァ！</v>
      </c>
      <c r="E8" s="39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黄パネルを時限式パネルに変換</v>
      </c>
      <c r="F8" s="40">
        <v>30028007</v>
      </c>
      <c r="G8" s="41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1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8" s="41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1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1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1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1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1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1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0"/>
      <c r="Q8" s="40"/>
      <c r="R8" s="40" t="s">
        <v>216</v>
      </c>
    </row>
    <row r="9" spans="1:18" s="182" customFormat="1" ht="21" customHeight="1" x14ac:dyDescent="0.15">
      <c r="A9" s="181" t="str">
        <f t="shared" si="1"/>
        <v>30028004_30028008</v>
      </c>
      <c r="B9" s="40">
        <v>30028004</v>
      </c>
      <c r="C9" s="40">
        <v>30028008</v>
      </c>
      <c r="D9" s="39" t="str">
        <f ca="1">VLOOKUP($C9,OFFSET(enemy_skills!$A$1,0,0,COUNTA(enemy_skills!$A:$A),MATCH(D$1,enemy_skills!$1:$1,0)-MATCH("enemy_skill_id",enemy_skills!$1:$1,0)+1),MATCH(D$1,enemy_skills!$1:$1,0)-MATCH("enemy_skill_id",enemy_skills!$1:$1,0)+1,FALSE)</f>
        <v>刺突！</v>
      </c>
      <c r="E9" s="39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" s="40">
        <v>30028008</v>
      </c>
      <c r="G9" s="4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1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1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1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1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1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0"/>
      <c r="Q9" s="40"/>
      <c r="R9" s="40" t="s">
        <v>216</v>
      </c>
    </row>
    <row r="10" spans="1:18" s="182" customFormat="1" ht="21" customHeight="1" x14ac:dyDescent="0.15">
      <c r="A10" s="181" t="str">
        <f t="shared" si="1"/>
        <v>30028004_30028009</v>
      </c>
      <c r="B10" s="40">
        <v>30028004</v>
      </c>
      <c r="C10" s="40">
        <v>30028009</v>
      </c>
      <c r="D10" s="3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斬り崩すッ！</v>
      </c>
      <c r="E10" s="3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カウンター状態のユニットに大ダメージ_x000D_＆カウンター解除</v>
      </c>
      <c r="F10" s="40">
        <v>30028009</v>
      </c>
      <c r="G10" s="4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0" s="41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1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1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1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0" s="40"/>
      <c r="Q10" s="40"/>
      <c r="R10" s="40" t="s">
        <v>216</v>
      </c>
    </row>
    <row r="11" spans="1:18" s="182" customFormat="1" ht="21" customHeight="1" x14ac:dyDescent="0.15">
      <c r="A11" s="181" t="str">
        <f t="shared" si="1"/>
        <v>30028005_30028010</v>
      </c>
      <c r="B11" s="40">
        <v>30028005</v>
      </c>
      <c r="C11" s="40">
        <v>30028010</v>
      </c>
      <c r="D11" s="39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連撃の構え</v>
      </c>
      <c r="E11" s="39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11" s="40">
        <v>30028010</v>
      </c>
      <c r="G11" s="41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1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1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1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1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1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1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1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1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0"/>
      <c r="Q11" s="40"/>
      <c r="R11" s="40" t="s">
        <v>222</v>
      </c>
    </row>
    <row r="12" spans="1:18" s="182" customFormat="1" ht="21" customHeight="1" x14ac:dyDescent="0.15">
      <c r="A12" s="181" t="str">
        <f t="shared" si="1"/>
        <v>30028005_30028011</v>
      </c>
      <c r="B12" s="40">
        <v>30028005</v>
      </c>
      <c r="C12" s="40">
        <v>30028011</v>
      </c>
      <c r="D12" s="39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…秘剣の構え！</v>
      </c>
      <c r="E12" s="39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次のターン黄パネル破壊攻撃</v>
      </c>
      <c r="F12" s="40">
        <v>30028011</v>
      </c>
      <c r="G12" s="41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1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" s="41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1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1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1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1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1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1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0"/>
      <c r="Q12" s="40"/>
      <c r="R12" s="40" t="s">
        <v>222</v>
      </c>
    </row>
    <row r="13" spans="1:18" s="182" customFormat="1" ht="21" customHeight="1" x14ac:dyDescent="0.15">
      <c r="A13" s="181" t="str">
        <f t="shared" si="1"/>
        <v>30028005_30028012</v>
      </c>
      <c r="B13" s="40">
        <v>30028005</v>
      </c>
      <c r="C13" s="40">
        <v>30028012</v>
      </c>
      <c r="D13" s="39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必殺・流星斬撃！</v>
      </c>
      <c r="E13" s="39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黄パネル破壊攻撃</v>
      </c>
      <c r="F13" s="40">
        <v>30028012</v>
      </c>
      <c r="G13" s="41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1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41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1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1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1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1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1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1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0"/>
      <c r="Q13" s="40"/>
      <c r="R13" s="40" t="s">
        <v>225</v>
      </c>
    </row>
    <row r="14" spans="1:18" s="182" customFormat="1" ht="21" customHeight="1" x14ac:dyDescent="0.15">
      <c r="A14" s="181" t="str">
        <f t="shared" ref="A14" si="2">B14&amp;"_"&amp;C14</f>
        <v>30028005_30028036</v>
      </c>
      <c r="B14" s="40">
        <v>30028005</v>
      </c>
      <c r="C14" s="40">
        <v>30028036</v>
      </c>
      <c r="D14" s="39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滅多斬りだァ！</v>
      </c>
      <c r="E14" s="39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0">
        <v>30028034</v>
      </c>
      <c r="G14" s="41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1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1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1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1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1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4" s="41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1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1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0"/>
      <c r="Q14" s="40"/>
      <c r="R14" s="40" t="s">
        <v>222</v>
      </c>
    </row>
    <row r="15" spans="1:18" s="182" customFormat="1" ht="21" customHeight="1" x14ac:dyDescent="0.15">
      <c r="A15" s="181" t="str">
        <f t="shared" si="1"/>
        <v>30028005_30028013</v>
      </c>
      <c r="B15" s="40">
        <v>30028005</v>
      </c>
      <c r="C15" s="40">
        <v>30028013</v>
      </c>
      <c r="D15" s="3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隙だらけだァ！</v>
      </c>
      <c r="E15" s="3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40">
        <v>30028013</v>
      </c>
      <c r="G15" s="41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1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1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1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1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1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1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1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1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0"/>
      <c r="Q15" s="40"/>
      <c r="R15" s="40" t="s">
        <v>222</v>
      </c>
    </row>
    <row r="16" spans="1:18" s="182" customFormat="1" ht="21" customHeight="1" thickBot="1" x14ac:dyDescent="0.2">
      <c r="A16" s="181" t="str">
        <f t="shared" si="1"/>
        <v>30028005_30028014</v>
      </c>
      <c r="B16" s="173">
        <v>30028005</v>
      </c>
      <c r="C16" s="173">
        <v>30028014</v>
      </c>
      <c r="D16" s="17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斬り崩すッ！！</v>
      </c>
      <c r="E16" s="17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カウンター状態のユニットに大ダメージ_x000D_＆カウンター解除</v>
      </c>
      <c r="F16" s="173">
        <v>30028014</v>
      </c>
      <c r="G16" s="17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17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17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17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7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75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17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17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7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173"/>
      <c r="Q16" s="173"/>
      <c r="R16" s="173" t="s">
        <v>222</v>
      </c>
    </row>
    <row r="17" spans="1:18" s="180" customFormat="1" ht="21" customHeight="1" x14ac:dyDescent="0.15">
      <c r="A17" s="176" t="str">
        <f t="shared" si="1"/>
        <v>30028006_30028015</v>
      </c>
      <c r="B17" s="177">
        <v>30028006</v>
      </c>
      <c r="C17" s="177">
        <v>30028015</v>
      </c>
      <c r="D17" s="178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キックフリップ</v>
      </c>
      <c r="E17" s="178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17" s="177">
        <v>30028015</v>
      </c>
      <c r="G17" s="179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79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179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" s="179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79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79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79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79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79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" s="177"/>
      <c r="Q17" s="177"/>
      <c r="R17" s="177" t="s">
        <v>217</v>
      </c>
    </row>
    <row r="18" spans="1:18" s="187" customFormat="1" ht="21" customHeight="1" thickBot="1" x14ac:dyDescent="0.2">
      <c r="A18" s="183" t="str">
        <f t="shared" si="1"/>
        <v>30028007_30028016</v>
      </c>
      <c r="B18" s="184">
        <v>30028007</v>
      </c>
      <c r="C18" s="184">
        <v>30028016</v>
      </c>
      <c r="D18" s="18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サンダーダンス</v>
      </c>
      <c r="E18" s="18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3ターン全体攻撃力UP</v>
      </c>
      <c r="F18" s="184">
        <v>30028016</v>
      </c>
      <c r="G18" s="18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8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18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86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18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8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8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8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8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84"/>
      <c r="Q18" s="184"/>
      <c r="R18" s="184" t="s">
        <v>218</v>
      </c>
    </row>
    <row r="19" spans="1:18" s="182" customFormat="1" ht="21" customHeight="1" x14ac:dyDescent="0.15">
      <c r="A19" s="181" t="str">
        <f t="shared" si="1"/>
        <v>30028008_30028017</v>
      </c>
      <c r="B19" s="190">
        <v>30028008</v>
      </c>
      <c r="C19" s="190">
        <v>30028017</v>
      </c>
      <c r="D19" s="19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あ？なんだテメェは？？</v>
      </c>
      <c r="E19" s="19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毎ターン少しだけダメージを受けるウィルス</v>
      </c>
      <c r="F19" s="190">
        <v>30028017</v>
      </c>
      <c r="G19" s="192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192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192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92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92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92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92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92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92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90"/>
      <c r="Q19" s="190"/>
      <c r="R19" s="190" t="s">
        <v>229</v>
      </c>
    </row>
    <row r="20" spans="1:18" s="182" customFormat="1" ht="21" customHeight="1" x14ac:dyDescent="0.15">
      <c r="A20" s="181" t="str">
        <f t="shared" si="1"/>
        <v>30028008_30028020</v>
      </c>
      <c r="B20" s="40">
        <v>30028008</v>
      </c>
      <c r="C20" s="40">
        <v>30028020</v>
      </c>
      <c r="D20" s="39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ウィルス強化！ヒャハハ！</v>
      </c>
      <c r="E20" s="3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毎ターンダメージを受けるウィルス</v>
      </c>
      <c r="F20" s="40">
        <v>30028020</v>
      </c>
      <c r="G20" s="4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1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1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1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1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0" s="4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0"/>
      <c r="Q20" s="40"/>
      <c r="R20" s="190" t="s">
        <v>229</v>
      </c>
    </row>
    <row r="21" spans="1:18" s="182" customFormat="1" ht="21" customHeight="1" x14ac:dyDescent="0.15">
      <c r="A21" s="181" t="str">
        <f t="shared" si="1"/>
        <v>30028008_30028021</v>
      </c>
      <c r="B21" s="40">
        <v>30028008</v>
      </c>
      <c r="C21" s="40">
        <v>30028021</v>
      </c>
      <c r="D21" s="3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追い打ちだァ！！</v>
      </c>
      <c r="E21" s="3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ウィルス状態のユニットに対して大ダメージ</v>
      </c>
      <c r="F21" s="40">
        <v>30028021</v>
      </c>
      <c r="G21" s="41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1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1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1" s="41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1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1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1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1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1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1" s="40"/>
      <c r="Q21" s="40"/>
      <c r="R21" s="190" t="s">
        <v>229</v>
      </c>
    </row>
    <row r="22" spans="1:18" s="182" customFormat="1" ht="21" customHeight="1" x14ac:dyDescent="0.15">
      <c r="A22" s="181" t="str">
        <f t="shared" si="1"/>
        <v>30028008_30028022</v>
      </c>
      <c r="B22" s="40">
        <v>30028008</v>
      </c>
      <c r="C22" s="40">
        <v>30028022</v>
      </c>
      <c r="D22" s="39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いくぜェ！！覚悟しやがれ！！</v>
      </c>
      <c r="E22" s="39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次のターンに8連続攻撃</v>
      </c>
      <c r="F22" s="40">
        <v>30028022</v>
      </c>
      <c r="G22" s="41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1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2" s="41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1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1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1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1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1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1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0"/>
      <c r="Q22" s="40"/>
      <c r="R22" s="190" t="s">
        <v>229</v>
      </c>
    </row>
    <row r="23" spans="1:18" s="182" customFormat="1" ht="21" customHeight="1" x14ac:dyDescent="0.15">
      <c r="A23" s="181" t="str">
        <f t="shared" si="1"/>
        <v>30028008_30028023</v>
      </c>
      <c r="B23" s="40">
        <v>30028008</v>
      </c>
      <c r="C23" s="40">
        <v>30028023</v>
      </c>
      <c r="D23" s="39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かわしてみやがれッ！</v>
      </c>
      <c r="E23" s="39" t="str">
        <f ca="1">VLOOKUP($C23,OFFSET(enemy_skills!$A$1,0,0,COUNTA(enemy_skills!$A:$A),MATCH(E$1,enemy_skills!$1:$1,0)-MATCH("enemy_skill_id",enemy_skills!$1:$1,0)+1),MATCH(E$1,enemy_skills!$1:$1,0)-MATCH("enemy_skill_id",enemy_skills!$1:$1,0)+1,FALSE)</f>
        <v>8連続攻撃</v>
      </c>
      <c r="F23" s="40">
        <v>30028023</v>
      </c>
      <c r="G23" s="41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1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3" s="41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1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1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1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1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1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1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0"/>
      <c r="Q23" s="40"/>
      <c r="R23" s="190" t="s">
        <v>229</v>
      </c>
    </row>
    <row r="24" spans="1:18" s="182" customFormat="1" ht="21" customHeight="1" thickBot="1" x14ac:dyDescent="0.2">
      <c r="A24" s="181" t="str">
        <f t="shared" si="1"/>
        <v>30028008_30028024</v>
      </c>
      <c r="B24" s="173">
        <v>30028008</v>
      </c>
      <c r="C24" s="173">
        <v>30028024</v>
      </c>
      <c r="D24" s="17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まとめて捕食ターイム！！</v>
      </c>
      <c r="E24" s="17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全体攻撃＆回復</v>
      </c>
      <c r="F24" s="173">
        <v>30028024</v>
      </c>
      <c r="G24" s="17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75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17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4" s="17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7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75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17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7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7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4" s="173"/>
      <c r="Q24" s="173"/>
      <c r="R24" s="202" t="s">
        <v>229</v>
      </c>
    </row>
    <row r="25" spans="1:18" s="180" customFormat="1" ht="21" customHeight="1" x14ac:dyDescent="0.15">
      <c r="A25" s="176" t="str">
        <f t="shared" si="1"/>
        <v>30028009_30028026</v>
      </c>
      <c r="B25" s="177">
        <v>30028009</v>
      </c>
      <c r="C25" s="177">
        <v>30028026</v>
      </c>
      <c r="D25" s="178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クソッ…マジでブッ飛ばす！！</v>
      </c>
      <c r="E25" s="178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毎ターン少しだけダメージを受けるウィルス</v>
      </c>
      <c r="F25" s="177">
        <v>30028026</v>
      </c>
      <c r="G25" s="179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179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179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79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79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79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179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179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79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77"/>
      <c r="Q25" s="177"/>
      <c r="R25" s="177" t="s">
        <v>230</v>
      </c>
    </row>
    <row r="26" spans="1:18" s="182" customFormat="1" ht="21" customHeight="1" x14ac:dyDescent="0.15">
      <c r="A26" s="181" t="str">
        <f t="shared" si="1"/>
        <v>30028009_30028029</v>
      </c>
      <c r="B26" s="40">
        <v>30028009</v>
      </c>
      <c r="C26" s="40">
        <v>30028029</v>
      </c>
      <c r="D26" s="39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チッ…ウィルス強化だ！</v>
      </c>
      <c r="E26" s="39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毎ターンダメージを受けるウィルス</v>
      </c>
      <c r="F26" s="40">
        <v>30028029</v>
      </c>
      <c r="G26" s="41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1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41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1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1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1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1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6" s="41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1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0"/>
      <c r="Q26" s="40"/>
      <c r="R26" s="190" t="s">
        <v>230</v>
      </c>
    </row>
    <row r="27" spans="1:18" s="182" customFormat="1" ht="21" customHeight="1" x14ac:dyDescent="0.15">
      <c r="A27" s="181" t="str">
        <f t="shared" si="1"/>
        <v>30028009_30028030</v>
      </c>
      <c r="B27" s="40">
        <v>30028009</v>
      </c>
      <c r="C27" s="40">
        <v>30028030</v>
      </c>
      <c r="D27" s="39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オレの養分になりやがれ！</v>
      </c>
      <c r="E27" s="39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ウィルス状態のユニットに対して大ダメージ_x000D_＆回復</v>
      </c>
      <c r="F27" s="40">
        <v>30028030</v>
      </c>
      <c r="G27" s="41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1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1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7" s="41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1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1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1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1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1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7" s="40"/>
      <c r="Q27" s="40"/>
      <c r="R27" s="190" t="s">
        <v>230</v>
      </c>
    </row>
    <row r="28" spans="1:18" s="182" customFormat="1" ht="21" customHeight="1" x14ac:dyDescent="0.15">
      <c r="A28" s="181" t="str">
        <f t="shared" si="1"/>
        <v>30028009_30028031</v>
      </c>
      <c r="B28" s="40">
        <v>30028009</v>
      </c>
      <c r="C28" s="40">
        <v>30028031</v>
      </c>
      <c r="D28" s="39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調子乗ってんじゃねーぞ！</v>
      </c>
      <c r="E28" s="39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次のターン強力な8連続攻撃</v>
      </c>
      <c r="F28" s="40">
        <v>30028031</v>
      </c>
      <c r="G28" s="41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1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8" s="41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1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1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1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1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1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1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0"/>
      <c r="Q28" s="40"/>
      <c r="R28" s="190" t="s">
        <v>230</v>
      </c>
    </row>
    <row r="29" spans="1:18" s="182" customFormat="1" ht="21" customHeight="1" x14ac:dyDescent="0.15">
      <c r="A29" s="181" t="str">
        <f t="shared" si="1"/>
        <v>30028009_30028032</v>
      </c>
      <c r="B29" s="40">
        <v>30028009</v>
      </c>
      <c r="C29" s="40">
        <v>30028032</v>
      </c>
      <c r="D29" s="39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オラオラどうしたァ！！！</v>
      </c>
      <c r="E29" s="39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強力な8連続攻撃</v>
      </c>
      <c r="F29" s="40">
        <v>30028032</v>
      </c>
      <c r="G29" s="41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1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9" s="41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1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1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1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1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1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1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0"/>
      <c r="Q29" s="40"/>
      <c r="R29" s="190" t="s">
        <v>230</v>
      </c>
    </row>
    <row r="30" spans="1:18" s="187" customFormat="1" ht="21" customHeight="1" thickBot="1" x14ac:dyDescent="0.2">
      <c r="A30" s="183" t="str">
        <f t="shared" si="1"/>
        <v>30028009_30028033</v>
      </c>
      <c r="B30" s="184">
        <v>30028009</v>
      </c>
      <c r="C30" s="184">
        <v>30028033</v>
      </c>
      <c r="D30" s="18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やるぜェ！！</v>
      </c>
      <c r="E30" s="18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クリティカル＆回復</v>
      </c>
      <c r="F30" s="184">
        <v>30028033</v>
      </c>
      <c r="G30" s="18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86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18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0" s="18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8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8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18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8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8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0" s="184"/>
      <c r="Q30" s="184"/>
      <c r="R30" s="203" t="s">
        <v>230</v>
      </c>
    </row>
    <row r="31" spans="1:18" s="182" customFormat="1" ht="21" customHeight="1" x14ac:dyDescent="0.15">
      <c r="A31" s="181" t="str">
        <f t="shared" ref="A31:A42" si="3">B31&amp;"_"&amp;C31</f>
        <v>30028010_30028017</v>
      </c>
      <c r="B31" s="190">
        <v>30028010</v>
      </c>
      <c r="C31" s="190">
        <v>30028017</v>
      </c>
      <c r="D31" s="19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あ？なんだテメェは？？</v>
      </c>
      <c r="E31" s="19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毎ターン少しだけダメージを受けるウィルス</v>
      </c>
      <c r="F31" s="190">
        <v>30028017</v>
      </c>
      <c r="G31" s="19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92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192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92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92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92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92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92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9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90"/>
      <c r="Q31" s="190"/>
      <c r="R31" s="190" t="s">
        <v>228</v>
      </c>
    </row>
    <row r="32" spans="1:18" s="182" customFormat="1" ht="21" customHeight="1" x14ac:dyDescent="0.15">
      <c r="A32" s="181" t="str">
        <f t="shared" si="3"/>
        <v>30028010_30028020</v>
      </c>
      <c r="B32" s="40">
        <v>30028010</v>
      </c>
      <c r="C32" s="40">
        <v>30028020</v>
      </c>
      <c r="D32" s="39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ウィルス強化！ヒャハハ！</v>
      </c>
      <c r="E32" s="39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毎ターンダメージを受けるウィルス</v>
      </c>
      <c r="F32" s="40">
        <v>30028020</v>
      </c>
      <c r="G32" s="41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1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2" s="41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1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1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1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1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2" s="41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1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0"/>
      <c r="Q32" s="40"/>
      <c r="R32" s="40" t="s">
        <v>219</v>
      </c>
    </row>
    <row r="33" spans="1:18" s="182" customFormat="1" ht="21" customHeight="1" x14ac:dyDescent="0.15">
      <c r="A33" s="181" t="str">
        <f t="shared" si="3"/>
        <v>30028010_30028021</v>
      </c>
      <c r="B33" s="40">
        <v>30028010</v>
      </c>
      <c r="C33" s="40">
        <v>30028021</v>
      </c>
      <c r="D33" s="39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追い打ちだァ！！</v>
      </c>
      <c r="E33" s="39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ウィルス状態のユニットに対して大ダメージ</v>
      </c>
      <c r="F33" s="40">
        <v>30028021</v>
      </c>
      <c r="G33" s="41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1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1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3" s="41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1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1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1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1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1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3" s="40"/>
      <c r="Q33" s="40"/>
      <c r="R33" s="40" t="s">
        <v>219</v>
      </c>
    </row>
    <row r="34" spans="1:18" s="182" customFormat="1" ht="21" customHeight="1" x14ac:dyDescent="0.15">
      <c r="A34" s="181" t="str">
        <f t="shared" si="3"/>
        <v>30028010_30028022</v>
      </c>
      <c r="B34" s="40">
        <v>30028010</v>
      </c>
      <c r="C34" s="40">
        <v>30028022</v>
      </c>
      <c r="D34" s="39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いくぜェ！！覚悟しやがれ！！</v>
      </c>
      <c r="E34" s="39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次のターンに8連続攻撃</v>
      </c>
      <c r="F34" s="40">
        <v>30028022</v>
      </c>
      <c r="G34" s="41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1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4" s="41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1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1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1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1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1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1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0"/>
      <c r="Q34" s="40"/>
      <c r="R34" s="40" t="s">
        <v>219</v>
      </c>
    </row>
    <row r="35" spans="1:18" s="182" customFormat="1" ht="21" customHeight="1" x14ac:dyDescent="0.15">
      <c r="A35" s="181" t="str">
        <f t="shared" si="3"/>
        <v>30028010_30028023</v>
      </c>
      <c r="B35" s="40">
        <v>30028010</v>
      </c>
      <c r="C35" s="40">
        <v>30028023</v>
      </c>
      <c r="D35" s="39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かわしてみやがれッ！</v>
      </c>
      <c r="E35" s="39" t="str">
        <f ca="1">VLOOKUP($C35,OFFSET(enemy_skills!$A$1,0,0,COUNTA(enemy_skills!$A:$A),MATCH(E$1,enemy_skills!$1:$1,0)-MATCH("enemy_skill_id",enemy_skills!$1:$1,0)+1),MATCH(E$1,enemy_skills!$1:$1,0)-MATCH("enemy_skill_id",enemy_skills!$1:$1,0)+1,FALSE)</f>
        <v>8連続攻撃</v>
      </c>
      <c r="F35" s="40">
        <v>30028023</v>
      </c>
      <c r="G35" s="41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1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5" s="41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1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1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1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1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1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1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0"/>
      <c r="Q35" s="40"/>
      <c r="R35" s="40" t="s">
        <v>219</v>
      </c>
    </row>
    <row r="36" spans="1:18" s="182" customFormat="1" ht="21" customHeight="1" thickBot="1" x14ac:dyDescent="0.2">
      <c r="A36" s="181" t="str">
        <f t="shared" si="3"/>
        <v>30028010_30028025</v>
      </c>
      <c r="B36" s="40">
        <v>30028010</v>
      </c>
      <c r="C36" s="173">
        <v>30028025</v>
      </c>
      <c r="D36" s="17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なめんじゃねーぜ！！</v>
      </c>
      <c r="E36" s="17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36" s="173">
        <v>30028024</v>
      </c>
      <c r="G36" s="17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175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17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6" s="17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7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75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17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7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7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6" s="173"/>
      <c r="Q36" s="173"/>
      <c r="R36" s="173" t="s">
        <v>226</v>
      </c>
    </row>
    <row r="37" spans="1:18" s="180" customFormat="1" ht="21" customHeight="1" x14ac:dyDescent="0.15">
      <c r="A37" s="176" t="str">
        <f t="shared" si="3"/>
        <v>30028011_30028026</v>
      </c>
      <c r="B37" s="201">
        <v>30028011</v>
      </c>
      <c r="C37" s="177">
        <v>30028026</v>
      </c>
      <c r="D37" s="178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クソッ…マジでブッ飛ばす！！</v>
      </c>
      <c r="E37" s="178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毎ターン少しだけダメージを受けるウィルス</v>
      </c>
      <c r="F37" s="177">
        <v>30028026</v>
      </c>
      <c r="G37" s="179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179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179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79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79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79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179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179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79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77"/>
      <c r="Q37" s="177"/>
      <c r="R37" s="177" t="s">
        <v>220</v>
      </c>
    </row>
    <row r="38" spans="1:18" s="182" customFormat="1" ht="21" customHeight="1" x14ac:dyDescent="0.15">
      <c r="A38" s="181" t="str">
        <f t="shared" si="3"/>
        <v>30028011_30028029</v>
      </c>
      <c r="B38" s="40">
        <v>30028011</v>
      </c>
      <c r="C38" s="40">
        <v>30028029</v>
      </c>
      <c r="D38" s="39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チッ…ウィルス強化だ！</v>
      </c>
      <c r="E38" s="39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毎ターンダメージを受けるウィルス</v>
      </c>
      <c r="F38" s="40">
        <v>30028029</v>
      </c>
      <c r="G38" s="41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1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8" s="41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1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1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1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1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8" s="41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1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0"/>
      <c r="Q38" s="40"/>
      <c r="R38" s="40" t="s">
        <v>220</v>
      </c>
    </row>
    <row r="39" spans="1:18" s="182" customFormat="1" ht="21" customHeight="1" x14ac:dyDescent="0.15">
      <c r="A39" s="181" t="str">
        <f t="shared" si="3"/>
        <v>30028011_30028035</v>
      </c>
      <c r="B39" s="40">
        <v>30028011</v>
      </c>
      <c r="C39" s="40">
        <v>30028035</v>
      </c>
      <c r="D39" s="39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オレの養分になりやがれ！</v>
      </c>
      <c r="E39" s="39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ウィルス状態のユニットに対して大ダメージ_x000D_＆回復</v>
      </c>
      <c r="F39" s="40">
        <v>30028030</v>
      </c>
      <c r="G39" s="41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1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1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9" s="41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1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1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1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1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1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9" s="40"/>
      <c r="Q39" s="40"/>
      <c r="R39" s="40" t="s">
        <v>220</v>
      </c>
    </row>
    <row r="40" spans="1:18" s="182" customFormat="1" ht="21" customHeight="1" x14ac:dyDescent="0.15">
      <c r="A40" s="181" t="str">
        <f t="shared" si="3"/>
        <v>30028011_30028031</v>
      </c>
      <c r="B40" s="40">
        <v>30028011</v>
      </c>
      <c r="C40" s="40">
        <v>30028031</v>
      </c>
      <c r="D40" s="39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調子乗ってんじゃねーぞ！</v>
      </c>
      <c r="E40" s="3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次のターン強力な8連続攻撃</v>
      </c>
      <c r="F40" s="40">
        <v>30028031</v>
      </c>
      <c r="G40" s="41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1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0" s="4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1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1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1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1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1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1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0"/>
      <c r="Q40" s="40"/>
      <c r="R40" s="40" t="s">
        <v>220</v>
      </c>
    </row>
    <row r="41" spans="1:18" s="182" customFormat="1" ht="21" customHeight="1" x14ac:dyDescent="0.15">
      <c r="A41" s="181" t="str">
        <f t="shared" si="3"/>
        <v>30028011_30028032</v>
      </c>
      <c r="B41" s="40">
        <v>30028011</v>
      </c>
      <c r="C41" s="40">
        <v>30028032</v>
      </c>
      <c r="D41" s="39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オラオラどうしたァ！！！</v>
      </c>
      <c r="E41" s="39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強力な8連続攻撃</v>
      </c>
      <c r="F41" s="40">
        <v>30028032</v>
      </c>
      <c r="G41" s="41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1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41" s="41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1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1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1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1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1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1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0"/>
      <c r="Q41" s="40"/>
      <c r="R41" s="40" t="s">
        <v>220</v>
      </c>
    </row>
    <row r="42" spans="1:18" s="187" customFormat="1" ht="21" customHeight="1" thickBot="1" x14ac:dyDescent="0.2">
      <c r="A42" s="183" t="str">
        <f t="shared" si="3"/>
        <v>30028011_30028034</v>
      </c>
      <c r="B42" s="40">
        <v>30028011</v>
      </c>
      <c r="C42" s="184">
        <v>30028034</v>
      </c>
      <c r="D42" s="18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喰らいなッ！ヒャハハ！！</v>
      </c>
      <c r="E42" s="18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42" s="184">
        <v>30028033</v>
      </c>
      <c r="G42" s="18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86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18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2" s="18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8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86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18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8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8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2" s="184"/>
      <c r="Q42" s="184"/>
      <c r="R42" s="184" t="s">
        <v>227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3"/>
  <sheetViews>
    <sheetView showGridLines="0" workbookViewId="0">
      <pane ySplit="1" topLeftCell="A2" activePane="bottomLeft" state="frozenSplit"/>
      <selection pane="bottomLeft" activeCell="B8" sqref="B8"/>
    </sheetView>
  </sheetViews>
  <sheetFormatPr baseColWidth="12" defaultColWidth="12.83203125" defaultRowHeight="21" customHeight="1" outlineLevelCol="1" x14ac:dyDescent="0.15"/>
  <cols>
    <col min="1" max="1" width="12.83203125" style="42"/>
    <col min="2" max="2" width="67.1640625" style="42" customWidth="1"/>
    <col min="3" max="4" width="12.83203125" style="42"/>
    <col min="5" max="5" width="23.6640625" style="42" bestFit="1" customWidth="1"/>
    <col min="6" max="6" width="44.1640625" style="42" bestFit="1" customWidth="1"/>
    <col min="7" max="7" width="52" style="42" hidden="1" customWidth="1" outlineLevel="1"/>
    <col min="8" max="8" width="18.33203125" style="42" hidden="1" customWidth="1" outlineLevel="1"/>
    <col min="9" max="11" width="18.6640625" style="42" hidden="1" customWidth="1" outlineLevel="1"/>
    <col min="12" max="12" width="23.6640625" style="42" customWidth="1" collapsed="1"/>
    <col min="13" max="18" width="23.6640625" style="42" hidden="1" customWidth="1" outlineLevel="1"/>
    <col min="19" max="19" width="23.6640625" style="42" customWidth="1" collapsed="1"/>
    <col min="20" max="24" width="23.6640625" style="42" hidden="1" customWidth="1" outlineLevel="1"/>
    <col min="25" max="25" width="23.6640625" style="42" customWidth="1" collapsed="1"/>
    <col min="26" max="27" width="12.83203125" style="42"/>
    <col min="28" max="28" width="44.5" style="42" customWidth="1"/>
    <col min="29" max="16384" width="12.83203125" style="42"/>
  </cols>
  <sheetData>
    <row r="1" spans="1:28" ht="21" customHeight="1" x14ac:dyDescent="0.15">
      <c r="A1" s="34" t="s">
        <v>79</v>
      </c>
      <c r="B1" s="34" t="s">
        <v>80</v>
      </c>
      <c r="C1" s="34" t="s">
        <v>81</v>
      </c>
      <c r="D1" s="34" t="s">
        <v>125</v>
      </c>
      <c r="E1" s="34" t="s">
        <v>82</v>
      </c>
      <c r="F1" s="34" t="s">
        <v>83</v>
      </c>
      <c r="G1" s="35" t="s">
        <v>131</v>
      </c>
      <c r="H1" s="35" t="s">
        <v>137</v>
      </c>
      <c r="I1" s="35" t="s">
        <v>139</v>
      </c>
      <c r="J1" s="35" t="s">
        <v>138</v>
      </c>
      <c r="K1" s="35" t="s">
        <v>140</v>
      </c>
      <c r="L1" s="35" t="s">
        <v>132</v>
      </c>
      <c r="M1" s="35" t="s">
        <v>130</v>
      </c>
      <c r="N1" s="35" t="s">
        <v>133</v>
      </c>
      <c r="O1" s="35" t="s">
        <v>141</v>
      </c>
      <c r="P1" s="35" t="s">
        <v>142</v>
      </c>
      <c r="Q1" s="35" t="s">
        <v>143</v>
      </c>
      <c r="R1" s="35" t="s">
        <v>144</v>
      </c>
      <c r="S1" s="35" t="s">
        <v>134</v>
      </c>
      <c r="T1" s="35" t="s">
        <v>135</v>
      </c>
      <c r="U1" s="35" t="s">
        <v>145</v>
      </c>
      <c r="V1" s="35" t="s">
        <v>146</v>
      </c>
      <c r="W1" s="35" t="s">
        <v>147</v>
      </c>
      <c r="X1" s="35" t="s">
        <v>148</v>
      </c>
      <c r="Y1" s="35" t="s">
        <v>136</v>
      </c>
      <c r="Z1" s="35" t="s">
        <v>76</v>
      </c>
      <c r="AA1" s="35" t="s">
        <v>77</v>
      </c>
      <c r="AB1" s="35" t="s">
        <v>78</v>
      </c>
    </row>
    <row r="2" spans="1:28" ht="21" customHeight="1" x14ac:dyDescent="0.15">
      <c r="A2" s="40">
        <v>30028001</v>
      </c>
      <c r="B2" s="40" t="s">
        <v>231</v>
      </c>
      <c r="C2" s="43">
        <v>3</v>
      </c>
      <c r="D2" s="43" t="s">
        <v>126</v>
      </c>
      <c r="E2" s="44" t="s">
        <v>268</v>
      </c>
      <c r="F2" s="44" t="s">
        <v>251</v>
      </c>
      <c r="G2" s="55" t="str">
        <f>IFERROR(LEFT(B2,FIND("],",B2)),B2)</f>
        <v xml:space="preserve">[effect:rush, count:2, val:0.6]    </v>
      </c>
      <c r="H2" s="55">
        <f>FIND("effect:",G2)+7</f>
        <v>9</v>
      </c>
      <c r="I2" s="55">
        <f>IFERROR(FIND(",",G2),LEN(G2))</f>
        <v>13</v>
      </c>
      <c r="J2" s="55" t="e">
        <f>FIND("target:",G2)+7</f>
        <v>#VALUE!</v>
      </c>
      <c r="K2" s="55">
        <f>FIND(",",G2,I2+1)</f>
        <v>22</v>
      </c>
      <c r="L2" s="55" t="str">
        <f>IFERROR(VLOOKUP(MID(G2,J2,K2-J2),[6]skilldef!$C:$D,2,FALSE),"-") &amp; " / " &amp; IFERROR(VLOOKUP(MID(G2,H2,I2-H2),[6]skilldef!$A:$B,2,FALSE),"-")</f>
        <v>- / 連続攻撃</v>
      </c>
      <c r="M2" s="55" t="str">
        <f>IFERROR(RIGHT(B2,LEN(B2)-FIND("],",B2)-1),"none")</f>
        <v>none</v>
      </c>
      <c r="N2" s="41" t="str">
        <f t="shared" ref="N2:N6" si="0">IFERROR(LEFT(M2,FIND("],",M2)+S14),M2)</f>
        <v>none</v>
      </c>
      <c r="O2" s="55" t="e">
        <f>FIND("effect:",N2)+7</f>
        <v>#VALUE!</v>
      </c>
      <c r="P2" s="55">
        <f>IFERROR(FIND(",",N2),LEN(N2))</f>
        <v>4</v>
      </c>
      <c r="Q2" s="55" t="e">
        <f>FIND("target:",N2)+7</f>
        <v>#VALUE!</v>
      </c>
      <c r="R2" s="55" t="e">
        <f>FIND(",",N2,P2+1)</f>
        <v>#VALUE!</v>
      </c>
      <c r="S2" s="55" t="str">
        <f>IFERROR(VLOOKUP(MID(N2,Q2,R2-Q2),[6]skilldef!$C:$D,2,FALSE),"-") &amp; " / " &amp; IFERROR(VLOOKUP(MID(N2,O2,P2-O2),[6]skilldef!$A:$B,2,FALSE),"-")</f>
        <v>- / -</v>
      </c>
      <c r="T2" s="41" t="str">
        <f>IFERROR(RIGHT(M2,LEN(M2)-FIND("],",M2)-1),"none")</f>
        <v>none</v>
      </c>
      <c r="U2" s="55" t="e">
        <f>FIND("effect:",T2)+7</f>
        <v>#VALUE!</v>
      </c>
      <c r="V2" s="55">
        <f>IFERROR(FIND(",",T2),LEN(T2))</f>
        <v>4</v>
      </c>
      <c r="W2" s="55" t="e">
        <f>FIND("target:",T2)+7</f>
        <v>#VALUE!</v>
      </c>
      <c r="X2" s="55" t="e">
        <f>FIND(",",T2,V2+1)</f>
        <v>#VALUE!</v>
      </c>
      <c r="Y2" s="55" t="str">
        <f>IFERROR(VLOOKUP(MID(T2,W2,X2-W2),[6]skilldef!$C:$D,2,FALSE),"-") &amp; " / " &amp; IFERROR(VLOOKUP(MID(T2,U2,V2-U2),[6]skilldef!$A:$B,2,FALSE),"-")</f>
        <v>- / -</v>
      </c>
      <c r="Z2" s="43"/>
      <c r="AA2" s="45"/>
      <c r="AB2" s="43"/>
    </row>
    <row r="3" spans="1:28" ht="21" customHeight="1" x14ac:dyDescent="0.15">
      <c r="A3" s="40">
        <v>30028002</v>
      </c>
      <c r="B3" s="40" t="s">
        <v>233</v>
      </c>
      <c r="C3" s="43">
        <v>3</v>
      </c>
      <c r="D3" s="43" t="s">
        <v>126</v>
      </c>
      <c r="E3" s="44" t="s">
        <v>250</v>
      </c>
      <c r="F3" s="44" t="s">
        <v>248</v>
      </c>
      <c r="G3" s="55" t="str">
        <f t="shared" ref="G3:G17" si="1">IFERROR(LEFT(B3,FIND("],",B3)),B3)</f>
        <v>[effect:suicide, val:1, dead_type:escape, target:myself]</v>
      </c>
      <c r="H3" s="55">
        <f t="shared" ref="H3:H31" si="2">FIND("effect:",G3)+7</f>
        <v>9</v>
      </c>
      <c r="I3" s="55">
        <f t="shared" ref="I3:I17" si="3">IFERROR(FIND(",",G3),LEN(G3))</f>
        <v>16</v>
      </c>
      <c r="J3" s="55">
        <f t="shared" ref="J3:J17" si="4">FIND("target:",G3)+7</f>
        <v>50</v>
      </c>
      <c r="K3" s="55">
        <f t="shared" ref="K3:K17" si="5">FIND(",",G3,I3+1)</f>
        <v>23</v>
      </c>
      <c r="L3" s="55" t="str">
        <f>IFERROR(VLOOKUP(MID(G3,J3,K3-J3),[6]skilldef!$C:$D,2,FALSE),"-") &amp; " / " &amp; IFERROR(VLOOKUP(MID(G3,H3,I3-H3),[6]skilldef!$A:$B,2,FALSE),"-")</f>
        <v>- / -</v>
      </c>
      <c r="M3" s="55" t="str">
        <f t="shared" ref="M3:M17" si="6">IFERROR(RIGHT(B3,LEN(B3)-FIND("],",B3)-1),"none")</f>
        <v>none</v>
      </c>
      <c r="N3" s="41" t="str">
        <f t="shared" si="0"/>
        <v>none</v>
      </c>
      <c r="O3" s="55" t="e">
        <f t="shared" ref="O3:O31" si="7">FIND("effect:",N3)+7</f>
        <v>#VALUE!</v>
      </c>
      <c r="P3" s="55">
        <f t="shared" ref="P3:P17" si="8">IFERROR(FIND(",",N3),LEN(N3))</f>
        <v>4</v>
      </c>
      <c r="Q3" s="55" t="e">
        <f t="shared" ref="Q3:Q17" si="9">FIND("target:",N3)+7</f>
        <v>#VALUE!</v>
      </c>
      <c r="R3" s="55" t="e">
        <f t="shared" ref="R3:R17" si="10">FIND(",",N3,P3+1)</f>
        <v>#VALUE!</v>
      </c>
      <c r="S3" s="55" t="str">
        <f>IFERROR(VLOOKUP(MID(N3,Q3,R3-Q3),[6]skilldef!$C:$D,2,FALSE),"-") &amp; " / " &amp; IFERROR(VLOOKUP(MID(N3,O3,P3-O3),[6]skilldef!$A:$B,2,FALSE),"-")</f>
        <v>- / -</v>
      </c>
      <c r="T3" s="41" t="str">
        <f t="shared" ref="T3:T17" si="11">IFERROR(RIGHT(M3,LEN(M3)-FIND("],",M3)-1),"none")</f>
        <v>none</v>
      </c>
      <c r="U3" s="55" t="e">
        <f t="shared" ref="U3:U31" si="12">FIND("effect:",T3)+7</f>
        <v>#VALUE!</v>
      </c>
      <c r="V3" s="55">
        <f t="shared" ref="V3:V17" si="13">IFERROR(FIND(",",T3),LEN(T3))</f>
        <v>4</v>
      </c>
      <c r="W3" s="55" t="e">
        <f t="shared" ref="W3:W17" si="14">FIND("target:",T3)+7</f>
        <v>#VALUE!</v>
      </c>
      <c r="X3" s="55" t="e">
        <f t="shared" ref="X3:X17" si="15">FIND(",",T3,V3+1)</f>
        <v>#VALUE!</v>
      </c>
      <c r="Y3" s="55" t="str">
        <f>IFERROR(VLOOKUP(MID(T3,W3,X3-W3),[6]skilldef!$C:$D,2,FALSE),"-") &amp; " / " &amp; IFERROR(VLOOKUP(MID(T3,U3,V3-U3),[6]skilldef!$A:$B,2,FALSE),"-")</f>
        <v>- / -</v>
      </c>
      <c r="Z3" s="43"/>
      <c r="AA3" s="45"/>
      <c r="AB3" s="43"/>
    </row>
    <row r="4" spans="1:28" ht="21" customHeight="1" x14ac:dyDescent="0.15">
      <c r="A4" s="40">
        <v>30028003</v>
      </c>
      <c r="B4" s="40" t="s">
        <v>312</v>
      </c>
      <c r="C4" s="43">
        <v>3</v>
      </c>
      <c r="D4" s="43" t="s">
        <v>126</v>
      </c>
      <c r="E4" s="44" t="s">
        <v>267</v>
      </c>
      <c r="F4" s="44" t="s">
        <v>252</v>
      </c>
      <c r="G4" s="55" t="str">
        <f t="shared" si="1"/>
        <v>[effect:fix_speed, target:enemy_animal, turn:1]</v>
      </c>
      <c r="H4" s="55">
        <f t="shared" si="2"/>
        <v>9</v>
      </c>
      <c r="I4" s="55">
        <f t="shared" si="3"/>
        <v>18</v>
      </c>
      <c r="J4" s="55">
        <f t="shared" si="4"/>
        <v>27</v>
      </c>
      <c r="K4" s="55">
        <f t="shared" si="5"/>
        <v>39</v>
      </c>
      <c r="L4" s="55" t="str">
        <f>IFERROR(VLOOKUP(MID(G4,J4,K4-J4),[6]skilldef!$C:$D,2,FALSE),"-") &amp; " / " &amp; IFERROR(VLOOKUP(MID(G4,H4,I4-H4),[6]skilldef!$A:$B,2,FALSE),"-")</f>
        <v>- / 行動値設定</v>
      </c>
      <c r="M4" s="55" t="str">
        <f t="shared" si="6"/>
        <v xml:space="preserve">[effect:fix_speed, target:myself, turn:2]    </v>
      </c>
      <c r="N4" s="41" t="str">
        <f t="shared" si="0"/>
        <v xml:space="preserve">[effect:fix_speed, target:myself, turn:2]    </v>
      </c>
      <c r="O4" s="55">
        <f t="shared" si="7"/>
        <v>9</v>
      </c>
      <c r="P4" s="55">
        <f t="shared" si="8"/>
        <v>18</v>
      </c>
      <c r="Q4" s="55">
        <f t="shared" si="9"/>
        <v>27</v>
      </c>
      <c r="R4" s="55">
        <f t="shared" si="10"/>
        <v>33</v>
      </c>
      <c r="S4" s="55" t="str">
        <f>IFERROR(VLOOKUP(MID(N4,Q4,R4-Q4),[6]skilldef!$C:$D,2,FALSE),"-") &amp; " / " &amp; IFERROR(VLOOKUP(MID(N4,O4,P4-O4),[6]skilldef!$A:$B,2,FALSE),"-")</f>
        <v>自分自身に / 行動値設定</v>
      </c>
      <c r="T4" s="41" t="str">
        <f t="shared" si="11"/>
        <v>none</v>
      </c>
      <c r="U4" s="55" t="e">
        <f t="shared" si="12"/>
        <v>#VALUE!</v>
      </c>
      <c r="V4" s="55">
        <f t="shared" si="13"/>
        <v>4</v>
      </c>
      <c r="W4" s="55" t="e">
        <f t="shared" si="14"/>
        <v>#VALUE!</v>
      </c>
      <c r="X4" s="55" t="e">
        <f t="shared" si="15"/>
        <v>#VALUE!</v>
      </c>
      <c r="Y4" s="55" t="str">
        <f>IFERROR(VLOOKUP(MID(T4,W4,X4-W4),[6]skilldef!$C:$D,2,FALSE),"-") &amp; " / " &amp; IFERROR(VLOOKUP(MID(T4,U4,V4-U4),[6]skilldef!$A:$B,2,FALSE),"-")</f>
        <v>- / -</v>
      </c>
      <c r="Z4" s="43"/>
      <c r="AA4" s="45"/>
      <c r="AB4" s="43"/>
    </row>
    <row r="5" spans="1:28" ht="21" customHeight="1" x14ac:dyDescent="0.15">
      <c r="A5" s="40">
        <v>30028004</v>
      </c>
      <c r="B5" s="40" t="s">
        <v>233</v>
      </c>
      <c r="C5" s="43">
        <v>3</v>
      </c>
      <c r="D5" s="43" t="s">
        <v>126</v>
      </c>
      <c r="E5" s="44" t="s">
        <v>249</v>
      </c>
      <c r="F5" s="44" t="s">
        <v>248</v>
      </c>
      <c r="G5" s="55" t="str">
        <f t="shared" si="1"/>
        <v>[effect:suicide, val:1, dead_type:escape, target:myself]</v>
      </c>
      <c r="H5" s="55">
        <f t="shared" si="2"/>
        <v>9</v>
      </c>
      <c r="I5" s="55">
        <f t="shared" si="3"/>
        <v>16</v>
      </c>
      <c r="J5" s="55">
        <f t="shared" si="4"/>
        <v>50</v>
      </c>
      <c r="K5" s="55">
        <f t="shared" si="5"/>
        <v>23</v>
      </c>
      <c r="L5" s="55" t="str">
        <f>IFERROR(VLOOKUP(MID(G5,J5,K5-J5),[6]skilldef!$C:$D,2,FALSE),"-") &amp; " / " &amp; IFERROR(VLOOKUP(MID(G5,H5,I5-H5),[6]skilldef!$A:$B,2,FALSE),"-")</f>
        <v>- / -</v>
      </c>
      <c r="M5" s="55" t="str">
        <f t="shared" si="6"/>
        <v>none</v>
      </c>
      <c r="N5" s="41" t="str">
        <f t="shared" si="0"/>
        <v>none</v>
      </c>
      <c r="O5" s="55" t="e">
        <f t="shared" si="7"/>
        <v>#VALUE!</v>
      </c>
      <c r="P5" s="55">
        <f t="shared" si="8"/>
        <v>4</v>
      </c>
      <c r="Q5" s="55" t="e">
        <f t="shared" si="9"/>
        <v>#VALUE!</v>
      </c>
      <c r="R5" s="55" t="e">
        <f t="shared" si="10"/>
        <v>#VALUE!</v>
      </c>
      <c r="S5" s="55" t="str">
        <f>IFERROR(VLOOKUP(MID(N5,Q5,R5-Q5),[6]skilldef!$C:$D,2,FALSE),"-") &amp; " / " &amp; IFERROR(VLOOKUP(MID(N5,O5,P5-O5),[6]skilldef!$A:$B,2,FALSE),"-")</f>
        <v>- / -</v>
      </c>
      <c r="T5" s="41" t="str">
        <f t="shared" si="11"/>
        <v>none</v>
      </c>
      <c r="U5" s="55" t="e">
        <f t="shared" si="12"/>
        <v>#VALUE!</v>
      </c>
      <c r="V5" s="55">
        <f t="shared" si="13"/>
        <v>4</v>
      </c>
      <c r="W5" s="55" t="e">
        <f t="shared" si="14"/>
        <v>#VALUE!</v>
      </c>
      <c r="X5" s="55" t="e">
        <f t="shared" si="15"/>
        <v>#VALUE!</v>
      </c>
      <c r="Y5" s="55" t="str">
        <f>IFERROR(VLOOKUP(MID(T5,W5,X5-W5),[6]skilldef!$C:$D,2,FALSE),"-") &amp; " / " &amp; IFERROR(VLOOKUP(MID(T5,U5,V5-U5),[6]skilldef!$A:$B,2,FALSE),"-")</f>
        <v>- / -</v>
      </c>
      <c r="Z5" s="43"/>
      <c r="AA5" s="45"/>
      <c r="AB5" s="43"/>
    </row>
    <row r="6" spans="1:28" ht="21" customHeight="1" x14ac:dyDescent="0.15">
      <c r="A6" s="40">
        <v>30028005</v>
      </c>
      <c r="B6" s="40" t="s">
        <v>234</v>
      </c>
      <c r="C6" s="43">
        <v>3</v>
      </c>
      <c r="D6" s="43" t="s">
        <v>126</v>
      </c>
      <c r="E6" s="44" t="s">
        <v>253</v>
      </c>
      <c r="F6" s="44" t="s">
        <v>311</v>
      </c>
      <c r="G6" s="55" t="str">
        <f t="shared" si="1"/>
        <v>[effect:change_panel_ratio, turn:8, block_type:yellow, val:0.3, animation:block_incidence04]</v>
      </c>
      <c r="H6" s="55">
        <f t="shared" si="2"/>
        <v>9</v>
      </c>
      <c r="I6" s="55">
        <f t="shared" si="3"/>
        <v>27</v>
      </c>
      <c r="J6" s="55" t="e">
        <f t="shared" si="4"/>
        <v>#VALUE!</v>
      </c>
      <c r="K6" s="55">
        <f t="shared" si="5"/>
        <v>35</v>
      </c>
      <c r="L6" s="55" t="str">
        <f>IFERROR(VLOOKUP(MID(G6,J6,K6-J6),[6]skilldef!$C:$D,2,FALSE),"-") &amp; " / " &amp; IFERROR(VLOOKUP(MID(G6,H6,I6-H6),[6]skilldef!$A:$B,2,FALSE),"-")</f>
        <v>- / -</v>
      </c>
      <c r="M6" s="55" t="str">
        <f t="shared" si="6"/>
        <v>none</v>
      </c>
      <c r="N6" s="41" t="str">
        <f t="shared" si="0"/>
        <v>none</v>
      </c>
      <c r="O6" s="55" t="e">
        <f t="shared" si="7"/>
        <v>#VALUE!</v>
      </c>
      <c r="P6" s="55">
        <f t="shared" si="8"/>
        <v>4</v>
      </c>
      <c r="Q6" s="55" t="e">
        <f t="shared" si="9"/>
        <v>#VALUE!</v>
      </c>
      <c r="R6" s="55" t="e">
        <f t="shared" si="10"/>
        <v>#VALUE!</v>
      </c>
      <c r="S6" s="55" t="str">
        <f>IFERROR(VLOOKUP(MID(N6,Q6,R6-Q6),[6]skilldef!$C:$D,2,FALSE),"-") &amp; " / " &amp; IFERROR(VLOOKUP(MID(N6,O6,P6-O6),[6]skilldef!$A:$B,2,FALSE),"-")</f>
        <v>- / -</v>
      </c>
      <c r="T6" s="41" t="str">
        <f t="shared" si="11"/>
        <v>none</v>
      </c>
      <c r="U6" s="55" t="e">
        <f t="shared" si="12"/>
        <v>#VALUE!</v>
      </c>
      <c r="V6" s="55">
        <f t="shared" si="13"/>
        <v>4</v>
      </c>
      <c r="W6" s="55" t="e">
        <f t="shared" si="14"/>
        <v>#VALUE!</v>
      </c>
      <c r="X6" s="55" t="e">
        <f t="shared" si="15"/>
        <v>#VALUE!</v>
      </c>
      <c r="Y6" s="55" t="str">
        <f>IFERROR(VLOOKUP(MID(T6,W6,X6-W6),[6]skilldef!$C:$D,2,FALSE),"-") &amp; " / " &amp; IFERROR(VLOOKUP(MID(T6,U6,V6-U6),[6]skilldef!$A:$B,2,FALSE),"-")</f>
        <v>- / -</v>
      </c>
      <c r="Z6" s="43"/>
      <c r="AA6" s="45"/>
      <c r="AB6" s="43"/>
    </row>
    <row r="7" spans="1:28" ht="21" customHeight="1" x14ac:dyDescent="0.15">
      <c r="A7" s="40">
        <v>30028006</v>
      </c>
      <c r="B7" s="40" t="s">
        <v>235</v>
      </c>
      <c r="C7" s="43">
        <v>3</v>
      </c>
      <c r="D7" s="43" t="s">
        <v>126</v>
      </c>
      <c r="E7" s="44" t="s">
        <v>259</v>
      </c>
      <c r="F7" s="44" t="s">
        <v>287</v>
      </c>
      <c r="G7" s="55" t="str">
        <f t="shared" si="1"/>
        <v xml:space="preserve">[effect:rush, count:1, val:1]    </v>
      </c>
      <c r="H7" s="55">
        <f t="shared" si="2"/>
        <v>9</v>
      </c>
      <c r="I7" s="55">
        <f t="shared" si="3"/>
        <v>13</v>
      </c>
      <c r="J7" s="55" t="e">
        <f t="shared" si="4"/>
        <v>#VALUE!</v>
      </c>
      <c r="K7" s="55">
        <f t="shared" si="5"/>
        <v>22</v>
      </c>
      <c r="L7" s="55" t="str">
        <f>IFERROR(VLOOKUP(MID(G7,J7,K7-J7),[6]skilldef!$C:$D,2,FALSE),"-") &amp; " / " &amp; IFERROR(VLOOKUP(MID(G7,H7,I7-H7),[6]skilldef!$A:$B,2,FALSE),"-")</f>
        <v>- / 連続攻撃</v>
      </c>
      <c r="M7" s="55" t="str">
        <f t="shared" si="6"/>
        <v>none</v>
      </c>
      <c r="N7" s="41" t="str">
        <f>IFERROR(LEFT(M7,FIND("],",M7)+#REF!),M7)</f>
        <v>none</v>
      </c>
      <c r="O7" s="55" t="e">
        <f t="shared" si="7"/>
        <v>#VALUE!</v>
      </c>
      <c r="P7" s="55">
        <f t="shared" si="8"/>
        <v>4</v>
      </c>
      <c r="Q7" s="55" t="e">
        <f t="shared" si="9"/>
        <v>#VALUE!</v>
      </c>
      <c r="R7" s="55" t="e">
        <f t="shared" si="10"/>
        <v>#VALUE!</v>
      </c>
      <c r="S7" s="55" t="str">
        <f>IFERROR(VLOOKUP(MID(N7,Q7,R7-Q7),[6]skilldef!$C:$D,2,FALSE),"-") &amp; " / " &amp; IFERROR(VLOOKUP(MID(N7,O7,P7-O7),[6]skilldef!$A:$B,2,FALSE),"-")</f>
        <v>- / -</v>
      </c>
      <c r="T7" s="41" t="str">
        <f t="shared" si="11"/>
        <v>none</v>
      </c>
      <c r="U7" s="55" t="e">
        <f t="shared" si="12"/>
        <v>#VALUE!</v>
      </c>
      <c r="V7" s="55">
        <f t="shared" si="13"/>
        <v>4</v>
      </c>
      <c r="W7" s="55" t="e">
        <f t="shared" si="14"/>
        <v>#VALUE!</v>
      </c>
      <c r="X7" s="55" t="e">
        <f t="shared" si="15"/>
        <v>#VALUE!</v>
      </c>
      <c r="Y7" s="55" t="str">
        <f>IFERROR(VLOOKUP(MID(T7,W7,X7-W7),[6]skilldef!$C:$D,2,FALSE),"-") &amp; " / " &amp; IFERROR(VLOOKUP(MID(T7,U7,V7-U7),[6]skilldef!$A:$B,2,FALSE),"-")</f>
        <v>- / -</v>
      </c>
      <c r="Z7" s="43"/>
      <c r="AA7" s="45"/>
      <c r="AB7" s="43"/>
    </row>
    <row r="8" spans="1:28" ht="21" customHeight="1" x14ac:dyDescent="0.15">
      <c r="A8" s="40">
        <v>30028007</v>
      </c>
      <c r="B8" s="40" t="s">
        <v>238</v>
      </c>
      <c r="C8" s="43">
        <v>3</v>
      </c>
      <c r="D8" s="43" t="s">
        <v>126</v>
      </c>
      <c r="E8" s="44" t="s">
        <v>260</v>
      </c>
      <c r="F8" s="44" t="s">
        <v>288</v>
      </c>
      <c r="G8" s="55" t="str">
        <f t="shared" si="1"/>
        <v xml:space="preserve">[effect:change_block, new_block:time_bomb, target:block_yellow, count:0, val:0.1, animation:change_block]    </v>
      </c>
      <c r="H8" s="55">
        <f t="shared" si="2"/>
        <v>9</v>
      </c>
      <c r="I8" s="55">
        <f t="shared" si="3"/>
        <v>21</v>
      </c>
      <c r="J8" s="55">
        <f t="shared" si="4"/>
        <v>51</v>
      </c>
      <c r="K8" s="55">
        <f t="shared" si="5"/>
        <v>42</v>
      </c>
      <c r="L8" s="55" t="str">
        <f>IFERROR(VLOOKUP(MID(G8,J8,K8-J8),[6]skilldef!$C:$D,2,FALSE),"-") &amp; " / " &amp; IFERROR(VLOOKUP(MID(G8,H8,I8-H8),[6]skilldef!$A:$B,2,FALSE),"-")</f>
        <v>- / ブロック変換</v>
      </c>
      <c r="M8" s="55" t="str">
        <f t="shared" si="6"/>
        <v>none</v>
      </c>
      <c r="N8" s="41" t="str">
        <f>IFERROR(LEFT(M8,FIND("],",M8)+#REF!),M8)</f>
        <v>none</v>
      </c>
      <c r="O8" s="55" t="e">
        <f t="shared" si="7"/>
        <v>#VALUE!</v>
      </c>
      <c r="P8" s="55">
        <f t="shared" si="8"/>
        <v>4</v>
      </c>
      <c r="Q8" s="55" t="e">
        <f t="shared" si="9"/>
        <v>#VALUE!</v>
      </c>
      <c r="R8" s="55" t="e">
        <f t="shared" si="10"/>
        <v>#VALUE!</v>
      </c>
      <c r="S8" s="55" t="str">
        <f>IFERROR(VLOOKUP(MID(N8,Q8,R8-Q8),[6]skilldef!$C:$D,2,FALSE),"-") &amp; " / " &amp; IFERROR(VLOOKUP(MID(N8,O8,P8-O8),[6]skilldef!$A:$B,2,FALSE),"-")</f>
        <v>- / -</v>
      </c>
      <c r="T8" s="41" t="str">
        <f t="shared" si="11"/>
        <v>none</v>
      </c>
      <c r="U8" s="55" t="e">
        <f t="shared" si="12"/>
        <v>#VALUE!</v>
      </c>
      <c r="V8" s="55">
        <f t="shared" si="13"/>
        <v>4</v>
      </c>
      <c r="W8" s="55" t="e">
        <f t="shared" si="14"/>
        <v>#VALUE!</v>
      </c>
      <c r="X8" s="55" t="e">
        <f t="shared" si="15"/>
        <v>#VALUE!</v>
      </c>
      <c r="Y8" s="55" t="str">
        <f>IFERROR(VLOOKUP(MID(T8,W8,X8-W8),[6]skilldef!$C:$D,2,FALSE),"-") &amp; " / " &amp; IFERROR(VLOOKUP(MID(T8,U8,V8-U8),[6]skilldef!$A:$B,2,FALSE),"-")</f>
        <v>- / -</v>
      </c>
      <c r="Z8" s="43"/>
      <c r="AA8" s="45"/>
      <c r="AB8" s="43"/>
    </row>
    <row r="9" spans="1:28" ht="21" customHeight="1" x14ac:dyDescent="0.15">
      <c r="A9" s="40">
        <v>30028008</v>
      </c>
      <c r="B9" s="40" t="s">
        <v>246</v>
      </c>
      <c r="C9" s="43">
        <v>3</v>
      </c>
      <c r="D9" s="43" t="s">
        <v>254</v>
      </c>
      <c r="E9" s="44" t="s">
        <v>256</v>
      </c>
      <c r="F9" s="44" t="s">
        <v>289</v>
      </c>
      <c r="G9" s="55" t="str">
        <f t="shared" si="1"/>
        <v>[effect:critical, val:1.4]</v>
      </c>
      <c r="H9" s="55">
        <f t="shared" si="2"/>
        <v>9</v>
      </c>
      <c r="I9" s="55">
        <f t="shared" si="3"/>
        <v>17</v>
      </c>
      <c r="J9" s="55" t="e">
        <f t="shared" si="4"/>
        <v>#VALUE!</v>
      </c>
      <c r="K9" s="55" t="e">
        <f t="shared" si="5"/>
        <v>#VALUE!</v>
      </c>
      <c r="L9" s="55" t="str">
        <f>IFERROR(VLOOKUP(MID(G9,J9,K9-J9),[6]skilldef!$C:$D,2,FALSE),"-") &amp; " / " &amp; IFERROR(VLOOKUP(MID(G9,H9,I9-H9),[6]skilldef!$A:$B,2,FALSE),"-")</f>
        <v>- / 大攻撃</v>
      </c>
      <c r="M9" s="55" t="str">
        <f t="shared" si="6"/>
        <v>none</v>
      </c>
      <c r="N9" s="41" t="str">
        <f>IFERROR(LEFT(M9,FIND("],",M9)+S19),M9)</f>
        <v>none</v>
      </c>
      <c r="O9" s="55" t="e">
        <f t="shared" si="7"/>
        <v>#VALUE!</v>
      </c>
      <c r="P9" s="55">
        <f t="shared" si="8"/>
        <v>4</v>
      </c>
      <c r="Q9" s="55" t="e">
        <f t="shared" si="9"/>
        <v>#VALUE!</v>
      </c>
      <c r="R9" s="55" t="e">
        <f t="shared" si="10"/>
        <v>#VALUE!</v>
      </c>
      <c r="S9" s="55" t="str">
        <f>IFERROR(VLOOKUP(MID(N9,Q9,R9-Q9),[6]skilldef!$C:$D,2,FALSE),"-") &amp; " / " &amp; IFERROR(VLOOKUP(MID(N9,O9,P9-O9),[6]skilldef!$A:$B,2,FALSE),"-")</f>
        <v>- / -</v>
      </c>
      <c r="T9" s="41" t="str">
        <f t="shared" si="11"/>
        <v>none</v>
      </c>
      <c r="U9" s="55" t="e">
        <f t="shared" si="12"/>
        <v>#VALUE!</v>
      </c>
      <c r="V9" s="55">
        <f t="shared" si="13"/>
        <v>4</v>
      </c>
      <c r="W9" s="55" t="e">
        <f t="shared" si="14"/>
        <v>#VALUE!</v>
      </c>
      <c r="X9" s="55" t="e">
        <f t="shared" si="15"/>
        <v>#VALUE!</v>
      </c>
      <c r="Y9" s="55" t="str">
        <f>IFERROR(VLOOKUP(MID(T9,W9,X9-W9),[6]skilldef!$C:$D,2,FALSE),"-") &amp; " / " &amp; IFERROR(VLOOKUP(MID(T9,U9,V9-U9),[6]skilldef!$A:$B,2,FALSE),"-")</f>
        <v>- / -</v>
      </c>
      <c r="Z9" s="43"/>
      <c r="AA9" s="45"/>
      <c r="AB9" s="43"/>
    </row>
    <row r="10" spans="1:28" ht="21" customHeight="1" x14ac:dyDescent="0.15">
      <c r="A10" s="40">
        <v>30028009</v>
      </c>
      <c r="B10" s="40" t="s">
        <v>322</v>
      </c>
      <c r="C10" s="43">
        <v>3</v>
      </c>
      <c r="D10" s="43" t="s">
        <v>255</v>
      </c>
      <c r="E10" s="44" t="s">
        <v>263</v>
      </c>
      <c r="F10" s="44" t="s">
        <v>290</v>
      </c>
      <c r="G10" s="55" t="str">
        <f t="shared" si="1"/>
        <v>[effect:damage_anti_abnormal, target:unit_all, target_effect01:counter, target_effect02:counter_new, val1:0.8, val2:0.28]</v>
      </c>
      <c r="H10" s="55">
        <f t="shared" si="2"/>
        <v>9</v>
      </c>
      <c r="I10" s="55">
        <f t="shared" si="3"/>
        <v>29</v>
      </c>
      <c r="J10" s="55">
        <f t="shared" si="4"/>
        <v>38</v>
      </c>
      <c r="K10" s="55">
        <f t="shared" si="5"/>
        <v>46</v>
      </c>
      <c r="L10" s="55" t="str">
        <f>IFERROR(VLOOKUP(MID(G10,J10,K10-J10),[6]skilldef!$C:$D,2,FALSE),"-") &amp; " / " &amp; IFERROR(VLOOKUP(MID(G10,H10,I10-H10),[6]skilldef!$A:$B,2,FALSE),"-")</f>
        <v>味方全体に / -</v>
      </c>
      <c r="M10" s="55" t="str">
        <f t="shared" si="6"/>
        <v>[effect:remove_enhancement, target:unit_all, target_effect:counter, target_type:buff],[effect:remove_enhancement, target:unit_all, target_effect:counter_new, target_type:buff, animation:frozen_wave]</v>
      </c>
      <c r="N10" s="41" t="str">
        <f>IFERROR(LEFT(M10,FIND("],",M10)+S20),M10)</f>
        <v>[effect:remove_enhancement, target:unit_all, target_effect:counter, target_type:buff],[effect:remove_enhancement, target:unit_all, target_effect:counter_new, target_type:buff, animation:frozen_wave]</v>
      </c>
      <c r="O10" s="55">
        <f t="shared" si="7"/>
        <v>9</v>
      </c>
      <c r="P10" s="55">
        <f t="shared" si="8"/>
        <v>27</v>
      </c>
      <c r="Q10" s="55">
        <f t="shared" si="9"/>
        <v>36</v>
      </c>
      <c r="R10" s="55">
        <f t="shared" si="10"/>
        <v>44</v>
      </c>
      <c r="S10" s="55" t="str">
        <f>IFERROR(VLOOKUP(MID(N10,Q10,R10-Q10),[6]skilldef!$C:$D,2,FALSE),"-") &amp; " / " &amp; IFERROR(VLOOKUP(MID(N10,O10,P10-O10),[6]skilldef!$A:$B,2,FALSE),"-")</f>
        <v>味方全体に / -</v>
      </c>
      <c r="T10" s="41" t="str">
        <f t="shared" si="11"/>
        <v>[effect:remove_enhancement, target:unit_all, target_effect:counter_new, target_type:buff, animation:frozen_wave]</v>
      </c>
      <c r="U10" s="55">
        <f t="shared" si="12"/>
        <v>9</v>
      </c>
      <c r="V10" s="55">
        <f t="shared" si="13"/>
        <v>27</v>
      </c>
      <c r="W10" s="55">
        <f t="shared" si="14"/>
        <v>36</v>
      </c>
      <c r="X10" s="55">
        <f t="shared" si="15"/>
        <v>44</v>
      </c>
      <c r="Y10" s="55" t="str">
        <f>IFERROR(VLOOKUP(MID(T10,W10,X10-W10),[6]skilldef!$C:$D,2,FALSE),"-") &amp; " / " &amp; IFERROR(VLOOKUP(MID(T10,U10,V10-U10),[6]skilldef!$A:$B,2,FALSE),"-")</f>
        <v>味方全体に / -</v>
      </c>
      <c r="Z10" s="43"/>
      <c r="AA10" s="45"/>
      <c r="AB10" s="43"/>
    </row>
    <row r="11" spans="1:28" ht="21" customHeight="1" x14ac:dyDescent="0.15">
      <c r="A11" s="40">
        <v>30028010</v>
      </c>
      <c r="B11" s="40" t="s">
        <v>277</v>
      </c>
      <c r="C11" s="43">
        <v>3</v>
      </c>
      <c r="D11" s="43" t="s">
        <v>126</v>
      </c>
      <c r="E11" s="44" t="s">
        <v>257</v>
      </c>
      <c r="F11" s="44" t="s">
        <v>291</v>
      </c>
      <c r="G11" s="55" t="str">
        <f t="shared" si="1"/>
        <v xml:space="preserve">[effect:freq_turn, target:myself, turn:-1, val:1, animation:enemy_freq_turn]    </v>
      </c>
      <c r="H11" s="55">
        <f t="shared" si="2"/>
        <v>9</v>
      </c>
      <c r="I11" s="55">
        <f t="shared" si="3"/>
        <v>18</v>
      </c>
      <c r="J11" s="55">
        <f t="shared" si="4"/>
        <v>27</v>
      </c>
      <c r="K11" s="55">
        <f t="shared" si="5"/>
        <v>33</v>
      </c>
      <c r="L11" s="55" t="str">
        <f>IFERROR(VLOOKUP(MID(G11,J11,K11-J11),[6]skilldef!$C:$D,2,FALSE),"-") &amp; " / " &amp; IFERROR(VLOOKUP(MID(G11,H11,I11-H11),[6]skilldef!$A:$B,2,FALSE),"-")</f>
        <v>自分自身に / 攻撃頻度がUP</v>
      </c>
      <c r="M11" s="55" t="str">
        <f t="shared" si="6"/>
        <v>none</v>
      </c>
      <c r="N11" s="41" t="str">
        <f>IFERROR(LEFT(M11,FIND("],",M11)+S21),M11)</f>
        <v>none</v>
      </c>
      <c r="O11" s="55" t="e">
        <f t="shared" si="7"/>
        <v>#VALUE!</v>
      </c>
      <c r="P11" s="55">
        <f t="shared" si="8"/>
        <v>4</v>
      </c>
      <c r="Q11" s="55" t="e">
        <f t="shared" si="9"/>
        <v>#VALUE!</v>
      </c>
      <c r="R11" s="55" t="e">
        <f t="shared" si="10"/>
        <v>#VALUE!</v>
      </c>
      <c r="S11" s="55" t="str">
        <f>IFERROR(VLOOKUP(MID(N11,Q11,R11-Q11),[6]skilldef!$C:$D,2,FALSE),"-") &amp; " / " &amp; IFERROR(VLOOKUP(MID(N11,O11,P11-O11),[6]skilldef!$A:$B,2,FALSE),"-")</f>
        <v>- / -</v>
      </c>
      <c r="T11" s="41" t="str">
        <f t="shared" si="11"/>
        <v>none</v>
      </c>
      <c r="U11" s="55" t="e">
        <f t="shared" si="12"/>
        <v>#VALUE!</v>
      </c>
      <c r="V11" s="55">
        <f t="shared" si="13"/>
        <v>4</v>
      </c>
      <c r="W11" s="55" t="e">
        <f t="shared" si="14"/>
        <v>#VALUE!</v>
      </c>
      <c r="X11" s="55" t="e">
        <f t="shared" si="15"/>
        <v>#VALUE!</v>
      </c>
      <c r="Y11" s="55" t="str">
        <f>IFERROR(VLOOKUP(MID(T11,W11,X11-W11),[6]skilldef!$C:$D,2,FALSE),"-") &amp; " / " &amp; IFERROR(VLOOKUP(MID(T11,U11,V11-U11),[6]skilldef!$A:$B,2,FALSE),"-")</f>
        <v>- / -</v>
      </c>
      <c r="Z11" s="43"/>
      <c r="AA11" s="45"/>
      <c r="AB11" s="43"/>
    </row>
    <row r="12" spans="1:28" ht="21" customHeight="1" x14ac:dyDescent="0.15">
      <c r="A12" s="40">
        <v>30028011</v>
      </c>
      <c r="B12" s="40" t="s">
        <v>235</v>
      </c>
      <c r="C12" s="43">
        <v>3</v>
      </c>
      <c r="D12" s="43" t="s">
        <v>126</v>
      </c>
      <c r="E12" s="44" t="s">
        <v>264</v>
      </c>
      <c r="F12" s="44" t="s">
        <v>292</v>
      </c>
      <c r="G12" s="55" t="str">
        <f t="shared" ref="G12:G13" si="16">IFERROR(LEFT(B12,FIND("],",B12)),B12)</f>
        <v xml:space="preserve">[effect:rush, count:1, val:1]    </v>
      </c>
      <c r="H12" s="55">
        <f t="shared" si="2"/>
        <v>9</v>
      </c>
      <c r="I12" s="55">
        <f t="shared" ref="I12:I13" si="17">IFERROR(FIND(",",G12),LEN(G12))</f>
        <v>13</v>
      </c>
      <c r="J12" s="55" t="e">
        <f t="shared" ref="J12:J13" si="18">FIND("target:",G12)+7</f>
        <v>#VALUE!</v>
      </c>
      <c r="K12" s="55">
        <f t="shared" ref="K12:K13" si="19">FIND(",",G12,I12+1)</f>
        <v>22</v>
      </c>
      <c r="L12" s="55" t="str">
        <f>IFERROR(VLOOKUP(MID(G12,J12,K12-J12),[6]skilldef!$C:$D,2,FALSE),"-") &amp; " / " &amp; IFERROR(VLOOKUP(MID(G12,H12,I12-H12),[6]skilldef!$A:$B,2,FALSE),"-")</f>
        <v>- / 連続攻撃</v>
      </c>
      <c r="M12" s="55" t="str">
        <f t="shared" ref="M12:M13" si="20">IFERROR(RIGHT(B12,LEN(B12)-FIND("],",B12)-1),"none")</f>
        <v>none</v>
      </c>
      <c r="N12" s="41" t="str">
        <f>IFERROR(LEFT(M12,FIND("],",M12)+S20),M12)</f>
        <v>none</v>
      </c>
      <c r="O12" s="55" t="e">
        <f t="shared" si="7"/>
        <v>#VALUE!</v>
      </c>
      <c r="P12" s="55">
        <f t="shared" ref="P12:P13" si="21">IFERROR(FIND(",",N12),LEN(N12))</f>
        <v>4</v>
      </c>
      <c r="Q12" s="55" t="e">
        <f t="shared" ref="Q12:Q13" si="22">FIND("target:",N12)+7</f>
        <v>#VALUE!</v>
      </c>
      <c r="R12" s="55" t="e">
        <f t="shared" ref="R12:R13" si="23">FIND(",",N12,P12+1)</f>
        <v>#VALUE!</v>
      </c>
      <c r="S12" s="55" t="str">
        <f>IFERROR(VLOOKUP(MID(N12,Q12,R12-Q12),[6]skilldef!$C:$D,2,FALSE),"-") &amp; " / " &amp; IFERROR(VLOOKUP(MID(N12,O12,P12-O12),[6]skilldef!$A:$B,2,FALSE),"-")</f>
        <v>- / -</v>
      </c>
      <c r="T12" s="41" t="str">
        <f t="shared" ref="T12:T13" si="24">IFERROR(RIGHT(M12,LEN(M12)-FIND("],",M12)-1),"none")</f>
        <v>none</v>
      </c>
      <c r="U12" s="55" t="e">
        <f t="shared" si="12"/>
        <v>#VALUE!</v>
      </c>
      <c r="V12" s="55">
        <f t="shared" ref="V12:V13" si="25">IFERROR(FIND(",",T12),LEN(T12))</f>
        <v>4</v>
      </c>
      <c r="W12" s="55" t="e">
        <f t="shared" ref="W12:W13" si="26">FIND("target:",T12)+7</f>
        <v>#VALUE!</v>
      </c>
      <c r="X12" s="55" t="e">
        <f t="shared" ref="X12:X13" si="27">FIND(",",T12,V12+1)</f>
        <v>#VALUE!</v>
      </c>
      <c r="Y12" s="55" t="str">
        <f>IFERROR(VLOOKUP(MID(T12,W12,X12-W12),[6]skilldef!$C:$D,2,FALSE),"-") &amp; " / " &amp; IFERROR(VLOOKUP(MID(T12,U12,V12-U12),[6]skilldef!$A:$B,2,FALSE),"-")</f>
        <v>- / -</v>
      </c>
      <c r="Z12" s="43"/>
      <c r="AA12" s="45"/>
      <c r="AB12" s="43"/>
    </row>
    <row r="13" spans="1:28" ht="21" customHeight="1" x14ac:dyDescent="0.15">
      <c r="A13" s="40">
        <v>30028012</v>
      </c>
      <c r="B13" s="40" t="s">
        <v>278</v>
      </c>
      <c r="C13" s="43">
        <v>3</v>
      </c>
      <c r="D13" s="43" t="s">
        <v>126</v>
      </c>
      <c r="E13" s="44" t="s">
        <v>265</v>
      </c>
      <c r="F13" s="44" t="s">
        <v>293</v>
      </c>
      <c r="G13" s="55" t="str">
        <f t="shared" si="16"/>
        <v xml:space="preserve">[effect:break_attack_fix, val:1250, lowest_val:800, count:-1, block:block_yellow, target:unit_one]    </v>
      </c>
      <c r="H13" s="55">
        <f t="shared" si="2"/>
        <v>9</v>
      </c>
      <c r="I13" s="55">
        <f t="shared" si="17"/>
        <v>25</v>
      </c>
      <c r="J13" s="55">
        <f t="shared" si="18"/>
        <v>90</v>
      </c>
      <c r="K13" s="55">
        <f t="shared" si="19"/>
        <v>35</v>
      </c>
      <c r="L13" s="55" t="str">
        <f>IFERROR(VLOOKUP(MID(G13,J13,K13-J13),[6]skilldef!$C:$D,2,FALSE),"-") &amp; " / " &amp; IFERROR(VLOOKUP(MID(G13,H13,I13-H13),[6]skilldef!$A:$B,2,FALSE),"-")</f>
        <v>- / -</v>
      </c>
      <c r="M13" s="55" t="str">
        <f t="shared" si="20"/>
        <v>none</v>
      </c>
      <c r="N13" s="41" t="str">
        <f>IFERROR(LEFT(M13,FIND("],",M13)+S21),M13)</f>
        <v>none</v>
      </c>
      <c r="O13" s="55" t="e">
        <f t="shared" si="7"/>
        <v>#VALUE!</v>
      </c>
      <c r="P13" s="55">
        <f t="shared" si="21"/>
        <v>4</v>
      </c>
      <c r="Q13" s="55" t="e">
        <f t="shared" si="22"/>
        <v>#VALUE!</v>
      </c>
      <c r="R13" s="55" t="e">
        <f t="shared" si="23"/>
        <v>#VALUE!</v>
      </c>
      <c r="S13" s="55" t="str">
        <f>IFERROR(VLOOKUP(MID(N13,Q13,R13-Q13),[6]skilldef!$C:$D,2,FALSE),"-") &amp; " / " &amp; IFERROR(VLOOKUP(MID(N13,O13,P13-O13),[6]skilldef!$A:$B,2,FALSE),"-")</f>
        <v>- / -</v>
      </c>
      <c r="T13" s="41" t="str">
        <f t="shared" si="24"/>
        <v>none</v>
      </c>
      <c r="U13" s="55" t="e">
        <f t="shared" si="12"/>
        <v>#VALUE!</v>
      </c>
      <c r="V13" s="55">
        <f t="shared" si="25"/>
        <v>4</v>
      </c>
      <c r="W13" s="55" t="e">
        <f t="shared" si="26"/>
        <v>#VALUE!</v>
      </c>
      <c r="X13" s="55" t="e">
        <f t="shared" si="27"/>
        <v>#VALUE!</v>
      </c>
      <c r="Y13" s="55" t="str">
        <f>IFERROR(VLOOKUP(MID(T13,W13,X13-W13),[6]skilldef!$C:$D,2,FALSE),"-") &amp; " / " &amp; IFERROR(VLOOKUP(MID(T13,U13,V13-U13),[6]skilldef!$A:$B,2,FALSE),"-")</f>
        <v>- / -</v>
      </c>
      <c r="Z13" s="43"/>
      <c r="AA13" s="45"/>
      <c r="AB13" s="43"/>
    </row>
    <row r="14" spans="1:28" ht="21" customHeight="1" x14ac:dyDescent="0.15">
      <c r="A14" s="40">
        <v>30028013</v>
      </c>
      <c r="B14" s="40" t="s">
        <v>316</v>
      </c>
      <c r="C14" s="43">
        <v>3</v>
      </c>
      <c r="D14" s="43" t="s">
        <v>126</v>
      </c>
      <c r="E14" s="44" t="s">
        <v>258</v>
      </c>
      <c r="F14" s="44" t="s">
        <v>279</v>
      </c>
      <c r="G14" s="55" t="str">
        <f t="shared" si="1"/>
        <v>[effect:critical, val:1.4]</v>
      </c>
      <c r="H14" s="55">
        <f t="shared" si="2"/>
        <v>9</v>
      </c>
      <c r="I14" s="55">
        <f t="shared" si="3"/>
        <v>17</v>
      </c>
      <c r="J14" s="55" t="e">
        <f t="shared" si="4"/>
        <v>#VALUE!</v>
      </c>
      <c r="K14" s="55" t="e">
        <f t="shared" si="5"/>
        <v>#VALUE!</v>
      </c>
      <c r="L14" s="55" t="str">
        <f>IFERROR(VLOOKUP(MID(G14,J14,K14-J14),[6]skilldef!$C:$D,2,FALSE),"-") &amp; " / " &amp; IFERROR(VLOOKUP(MID(G14,H14,I14-H14),[6]skilldef!$A:$B,2,FALSE),"-")</f>
        <v>- / 大攻撃</v>
      </c>
      <c r="M14" s="55" t="str">
        <f t="shared" si="6"/>
        <v>none</v>
      </c>
      <c r="N14" s="41" t="str">
        <f>IFERROR(LEFT(M14,FIND("],",M14)+S22),M14)</f>
        <v>none</v>
      </c>
      <c r="O14" s="55" t="e">
        <f t="shared" si="7"/>
        <v>#VALUE!</v>
      </c>
      <c r="P14" s="55">
        <f t="shared" si="8"/>
        <v>4</v>
      </c>
      <c r="Q14" s="55" t="e">
        <f t="shared" si="9"/>
        <v>#VALUE!</v>
      </c>
      <c r="R14" s="55" t="e">
        <f t="shared" si="10"/>
        <v>#VALUE!</v>
      </c>
      <c r="S14" s="55" t="str">
        <f>IFERROR(VLOOKUP(MID(N14,Q14,R14-Q14),[6]skilldef!$C:$D,2,FALSE),"-") &amp; " / " &amp; IFERROR(VLOOKUP(MID(N14,O14,P14-O14),[6]skilldef!$A:$B,2,FALSE),"-")</f>
        <v>- / -</v>
      </c>
      <c r="T14" s="41" t="str">
        <f t="shared" si="11"/>
        <v>none</v>
      </c>
      <c r="U14" s="55" t="e">
        <f t="shared" si="12"/>
        <v>#VALUE!</v>
      </c>
      <c r="V14" s="55">
        <f t="shared" si="13"/>
        <v>4</v>
      </c>
      <c r="W14" s="55" t="e">
        <f t="shared" si="14"/>
        <v>#VALUE!</v>
      </c>
      <c r="X14" s="55" t="e">
        <f t="shared" si="15"/>
        <v>#VALUE!</v>
      </c>
      <c r="Y14" s="55" t="str">
        <f>IFERROR(VLOOKUP(MID(T14,W14,X14-W14),[6]skilldef!$C:$D,2,FALSE),"-") &amp; " / " &amp; IFERROR(VLOOKUP(MID(T14,U14,V14-U14),[6]skilldef!$A:$B,2,FALSE),"-")</f>
        <v>- / -</v>
      </c>
      <c r="Z14" s="43"/>
      <c r="AA14" s="45"/>
      <c r="AB14" s="43"/>
    </row>
    <row r="15" spans="1:28" ht="21" customHeight="1" x14ac:dyDescent="0.15">
      <c r="A15" s="40">
        <v>30028014</v>
      </c>
      <c r="B15" s="40" t="s">
        <v>321</v>
      </c>
      <c r="C15" s="43">
        <v>3</v>
      </c>
      <c r="D15" s="43" t="s">
        <v>126</v>
      </c>
      <c r="E15" s="44" t="s">
        <v>266</v>
      </c>
      <c r="F15" s="44" t="s">
        <v>290</v>
      </c>
      <c r="G15" s="55" t="str">
        <f t="shared" si="1"/>
        <v>[effect:damage_anti_abnormal, target:unit_all, target_effect01:counter, target_effect02:counter_new, val1:0.8, val2:0.28]</v>
      </c>
      <c r="H15" s="55">
        <f t="shared" si="2"/>
        <v>9</v>
      </c>
      <c r="I15" s="55">
        <f t="shared" si="3"/>
        <v>29</v>
      </c>
      <c r="J15" s="55">
        <f t="shared" si="4"/>
        <v>38</v>
      </c>
      <c r="K15" s="55">
        <f t="shared" si="5"/>
        <v>46</v>
      </c>
      <c r="L15" s="55" t="str">
        <f>IFERROR(VLOOKUP(MID(G15,J15,K15-J15),[6]skilldef!$C:$D,2,FALSE),"-") &amp; " / " &amp; IFERROR(VLOOKUP(MID(G15,H15,I15-H15),[6]skilldef!$A:$B,2,FALSE),"-")</f>
        <v>味方全体に / -</v>
      </c>
      <c r="M15" s="55" t="str">
        <f t="shared" si="6"/>
        <v>[effect:remove_enhancement, target:unit_all, target_effect:counter, target_type:buff]    ,[effect:remove_enhancement, target:unit_all, target_effect:counter_new, target_type:buff, animation:frozen_wave]</v>
      </c>
      <c r="N15" s="41" t="str">
        <f>IFERROR(LEFT(M15,FIND("],",M15)+S23),M15)</f>
        <v>[effect:remove_enhancement, target:unit_all, target_effect:counter, target_type:buff]    ,[effect:remove_enhancement, target:unit_all, target_effect:counter_new, target_type:buff, animation:frozen_wave]</v>
      </c>
      <c r="O15" s="55">
        <f t="shared" si="7"/>
        <v>9</v>
      </c>
      <c r="P15" s="55">
        <f t="shared" si="8"/>
        <v>27</v>
      </c>
      <c r="Q15" s="55">
        <f t="shared" si="9"/>
        <v>36</v>
      </c>
      <c r="R15" s="55">
        <f t="shared" si="10"/>
        <v>44</v>
      </c>
      <c r="S15" s="55" t="str">
        <f>IFERROR(VLOOKUP(MID(N15,Q15,R15-Q15),[6]skilldef!$C:$D,2,FALSE),"-") &amp; " / " &amp; IFERROR(VLOOKUP(MID(N15,O15,P15-O15),[6]skilldef!$A:$B,2,FALSE),"-")</f>
        <v>味方全体に / -</v>
      </c>
      <c r="T15" s="41" t="str">
        <f t="shared" si="11"/>
        <v>none</v>
      </c>
      <c r="U15" s="55" t="e">
        <f t="shared" si="12"/>
        <v>#VALUE!</v>
      </c>
      <c r="V15" s="55">
        <f t="shared" si="13"/>
        <v>4</v>
      </c>
      <c r="W15" s="55" t="e">
        <f t="shared" si="14"/>
        <v>#VALUE!</v>
      </c>
      <c r="X15" s="55" t="e">
        <f t="shared" si="15"/>
        <v>#VALUE!</v>
      </c>
      <c r="Y15" s="55" t="str">
        <f>IFERROR(VLOOKUP(MID(T15,W15,X15-W15),[6]skilldef!$C:$D,2,FALSE),"-") &amp; " / " &amp; IFERROR(VLOOKUP(MID(T15,U15,V15-U15),[6]skilldef!$A:$B,2,FALSE),"-")</f>
        <v>- / -</v>
      </c>
      <c r="Z15" s="43"/>
      <c r="AA15" s="45"/>
      <c r="AB15" s="43"/>
    </row>
    <row r="16" spans="1:28" ht="21" customHeight="1" x14ac:dyDescent="0.15">
      <c r="A16" s="40">
        <v>30028015</v>
      </c>
      <c r="B16" s="40" t="s">
        <v>231</v>
      </c>
      <c r="C16" s="43">
        <v>3</v>
      </c>
      <c r="D16" s="43" t="s">
        <v>126</v>
      </c>
      <c r="E16" s="44" t="s">
        <v>261</v>
      </c>
      <c r="F16" s="44" t="s">
        <v>280</v>
      </c>
      <c r="G16" s="55" t="str">
        <f t="shared" si="1"/>
        <v xml:space="preserve">[effect:rush, count:2, val:0.6]    </v>
      </c>
      <c r="H16" s="55">
        <f t="shared" si="2"/>
        <v>9</v>
      </c>
      <c r="I16" s="55">
        <f t="shared" si="3"/>
        <v>13</v>
      </c>
      <c r="J16" s="55" t="e">
        <f t="shared" si="4"/>
        <v>#VALUE!</v>
      </c>
      <c r="K16" s="55">
        <f t="shared" si="5"/>
        <v>22</v>
      </c>
      <c r="L16" s="55" t="str">
        <f>IFERROR(VLOOKUP(MID(G16,J16,K16-J16),[6]skilldef!$C:$D,2,FALSE),"-") &amp; " / " &amp; IFERROR(VLOOKUP(MID(G16,H16,I16-H16),[6]skilldef!$A:$B,2,FALSE),"-")</f>
        <v>- / 連続攻撃</v>
      </c>
      <c r="M16" s="55" t="str">
        <f t="shared" si="6"/>
        <v>none</v>
      </c>
      <c r="N16" s="41" t="str">
        <f>IFERROR(LEFT(M16,FIND("],",M16)+#REF!),M16)</f>
        <v>none</v>
      </c>
      <c r="O16" s="55" t="e">
        <f t="shared" si="7"/>
        <v>#VALUE!</v>
      </c>
      <c r="P16" s="55">
        <f t="shared" si="8"/>
        <v>4</v>
      </c>
      <c r="Q16" s="55" t="e">
        <f t="shared" si="9"/>
        <v>#VALUE!</v>
      </c>
      <c r="R16" s="55" t="e">
        <f t="shared" si="10"/>
        <v>#VALUE!</v>
      </c>
      <c r="S16" s="55" t="str">
        <f>IFERROR(VLOOKUP(MID(N16,Q16,R16-Q16),[6]skilldef!$C:$D,2,FALSE),"-") &amp; " / " &amp; IFERROR(VLOOKUP(MID(N16,O16,P16-O16),[6]skilldef!$A:$B,2,FALSE),"-")</f>
        <v>- / -</v>
      </c>
      <c r="T16" s="41" t="str">
        <f t="shared" si="11"/>
        <v>none</v>
      </c>
      <c r="U16" s="55" t="e">
        <f t="shared" si="12"/>
        <v>#VALUE!</v>
      </c>
      <c r="V16" s="55">
        <f t="shared" si="13"/>
        <v>4</v>
      </c>
      <c r="W16" s="55" t="e">
        <f t="shared" si="14"/>
        <v>#VALUE!</v>
      </c>
      <c r="X16" s="55" t="e">
        <f t="shared" si="15"/>
        <v>#VALUE!</v>
      </c>
      <c r="Y16" s="55" t="str">
        <f>IFERROR(VLOOKUP(MID(T16,W16,X16-W16),[6]skilldef!$C:$D,2,FALSE),"-") &amp; " / " &amp; IFERROR(VLOOKUP(MID(T16,U16,V16-U16),[6]skilldef!$A:$B,2,FALSE),"-")</f>
        <v>- / -</v>
      </c>
      <c r="Z16" s="43"/>
      <c r="AA16" s="45"/>
      <c r="AB16" s="43"/>
    </row>
    <row r="17" spans="1:28" ht="21" customHeight="1" x14ac:dyDescent="0.15">
      <c r="A17" s="40">
        <v>30028016</v>
      </c>
      <c r="B17" s="40" t="s">
        <v>236</v>
      </c>
      <c r="C17" s="43">
        <v>3</v>
      </c>
      <c r="D17" s="43" t="s">
        <v>126</v>
      </c>
      <c r="E17" s="44" t="s">
        <v>262</v>
      </c>
      <c r="F17" s="44" t="s">
        <v>313</v>
      </c>
      <c r="G17" s="55" t="str">
        <f t="shared" si="1"/>
        <v xml:space="preserve">[effect:enhance_enemy, target:enemy_all, turn:3, status:attack, val:1.3, animation:enemy_enhance_attack]    </v>
      </c>
      <c r="H17" s="55">
        <f t="shared" si="2"/>
        <v>9</v>
      </c>
      <c r="I17" s="55">
        <f t="shared" si="3"/>
        <v>22</v>
      </c>
      <c r="J17" s="55">
        <f t="shared" si="4"/>
        <v>31</v>
      </c>
      <c r="K17" s="55">
        <f t="shared" si="5"/>
        <v>40</v>
      </c>
      <c r="L17" s="55" t="str">
        <f>IFERROR(VLOOKUP(MID(G17,J17,K17-J17),[6]skilldef!$C:$D,2,FALSE),"-") &amp; " / " &amp; IFERROR(VLOOKUP(MID(G17,H17,I17-H17),[6]skilldef!$A:$B,2,FALSE),"-")</f>
        <v>敵全体に / ステータス強化</v>
      </c>
      <c r="M17" s="55" t="str">
        <f t="shared" si="6"/>
        <v>none</v>
      </c>
      <c r="N17" s="41" t="str">
        <f t="shared" ref="N17:N23" si="28">IFERROR(LEFT(M17,FIND("],",M17)+S24),M17)</f>
        <v>none</v>
      </c>
      <c r="O17" s="55" t="e">
        <f t="shared" si="7"/>
        <v>#VALUE!</v>
      </c>
      <c r="P17" s="55">
        <f t="shared" si="8"/>
        <v>4</v>
      </c>
      <c r="Q17" s="55" t="e">
        <f t="shared" si="9"/>
        <v>#VALUE!</v>
      </c>
      <c r="R17" s="55" t="e">
        <f t="shared" si="10"/>
        <v>#VALUE!</v>
      </c>
      <c r="S17" s="55" t="str">
        <f>IFERROR(VLOOKUP(MID(N17,Q17,R17-Q17),[6]skilldef!$C:$D,2,FALSE),"-") &amp; " / " &amp; IFERROR(VLOOKUP(MID(N17,O17,P17-O17),[6]skilldef!$A:$B,2,FALSE),"-")</f>
        <v>- / -</v>
      </c>
      <c r="T17" s="41" t="str">
        <f t="shared" si="11"/>
        <v>none</v>
      </c>
      <c r="U17" s="55" t="e">
        <f t="shared" si="12"/>
        <v>#VALUE!</v>
      </c>
      <c r="V17" s="55">
        <f t="shared" si="13"/>
        <v>4</v>
      </c>
      <c r="W17" s="55" t="e">
        <f t="shared" si="14"/>
        <v>#VALUE!</v>
      </c>
      <c r="X17" s="55" t="e">
        <f t="shared" si="15"/>
        <v>#VALUE!</v>
      </c>
      <c r="Y17" s="55" t="str">
        <f>IFERROR(VLOOKUP(MID(T17,W17,X17-W17),[6]skilldef!$C:$D,2,FALSE),"-") &amp; " / " &amp; IFERROR(VLOOKUP(MID(T17,U17,V17-U17),[6]skilldef!$A:$B,2,FALSE),"-")</f>
        <v>- / -</v>
      </c>
      <c r="Z17" s="43"/>
      <c r="AA17" s="45"/>
      <c r="AB17" s="43"/>
    </row>
    <row r="18" spans="1:28" ht="21" customHeight="1" x14ac:dyDescent="0.15">
      <c r="A18" s="40">
        <v>30028017</v>
      </c>
      <c r="B18" s="40" t="s">
        <v>242</v>
      </c>
      <c r="C18" s="43">
        <v>3</v>
      </c>
      <c r="D18" s="43" t="s">
        <v>126</v>
      </c>
      <c r="E18" s="44" t="s">
        <v>269</v>
      </c>
      <c r="F18" s="44" t="s">
        <v>296</v>
      </c>
      <c r="G18" s="55" t="str">
        <f t="shared" ref="G18:G24" si="29">IFERROR(LEFT(B18,FIND("],",B18)),B18)</f>
        <v xml:space="preserve">[effect:virus, turn:-1, rate:1, val:0.05, animation:enemy_virus]    </v>
      </c>
      <c r="H18" s="55">
        <f t="shared" si="2"/>
        <v>9</v>
      </c>
      <c r="I18" s="55">
        <f t="shared" ref="I18:I24" si="30">IFERROR(FIND(",",G18),LEN(G18))</f>
        <v>14</v>
      </c>
      <c r="J18" s="55" t="e">
        <f t="shared" ref="J18:J24" si="31">FIND("target:",G18)+7</f>
        <v>#VALUE!</v>
      </c>
      <c r="K18" s="55">
        <f t="shared" ref="K18:K24" si="32">FIND(",",G18,I18+1)</f>
        <v>23</v>
      </c>
      <c r="L18" s="55" t="str">
        <f>IFERROR(VLOOKUP(MID(G18,J18,K18-J18),[6]skilldef!$C:$D,2,FALSE),"-") &amp; " / " &amp; IFERROR(VLOOKUP(MID(G18,H18,I18-H18),[6]skilldef!$A:$B,2,FALSE),"-")</f>
        <v>- / ウィルス</v>
      </c>
      <c r="M18" s="55" t="str">
        <f t="shared" ref="M18:M24" si="33">IFERROR(RIGHT(B18,LEN(B18)-FIND("],",B18)-1),"none")</f>
        <v>none</v>
      </c>
      <c r="N18" s="41" t="str">
        <f t="shared" si="28"/>
        <v>none</v>
      </c>
      <c r="O18" s="55" t="e">
        <f t="shared" si="7"/>
        <v>#VALUE!</v>
      </c>
      <c r="P18" s="55">
        <f t="shared" ref="P18:P24" si="34">IFERROR(FIND(",",N18),LEN(N18))</f>
        <v>4</v>
      </c>
      <c r="Q18" s="55" t="e">
        <f t="shared" ref="Q18:Q24" si="35">FIND("target:",N18)+7</f>
        <v>#VALUE!</v>
      </c>
      <c r="R18" s="55" t="e">
        <f t="shared" ref="R18:R24" si="36">FIND(",",N18,P18+1)</f>
        <v>#VALUE!</v>
      </c>
      <c r="S18" s="55" t="str">
        <f>IFERROR(VLOOKUP(MID(N18,Q18,R18-Q18),[6]skilldef!$C:$D,2,FALSE),"-") &amp; " / " &amp; IFERROR(VLOOKUP(MID(N18,O18,P18-O18),[6]skilldef!$A:$B,2,FALSE),"-")</f>
        <v>- / -</v>
      </c>
      <c r="T18" s="41" t="str">
        <f t="shared" ref="T18:T24" si="37">IFERROR(RIGHT(M18,LEN(M18)-FIND("],",M18)-1),"none")</f>
        <v>none</v>
      </c>
      <c r="U18" s="55" t="e">
        <f t="shared" si="12"/>
        <v>#VALUE!</v>
      </c>
      <c r="V18" s="55">
        <f t="shared" ref="V18:V24" si="38">IFERROR(FIND(",",T18),LEN(T18))</f>
        <v>4</v>
      </c>
      <c r="W18" s="55" t="e">
        <f t="shared" ref="W18:W24" si="39">FIND("target:",T18)+7</f>
        <v>#VALUE!</v>
      </c>
      <c r="X18" s="55" t="e">
        <f t="shared" ref="X18:X24" si="40">FIND(",",T18,V18+1)</f>
        <v>#VALUE!</v>
      </c>
      <c r="Y18" s="55" t="str">
        <f>IFERROR(VLOOKUP(MID(T18,W18,X18-W18),[6]skilldef!$C:$D,2,FALSE),"-") &amp; " / " &amp; IFERROR(VLOOKUP(MID(T18,U18,V18-U18),[6]skilldef!$A:$B,2,FALSE),"-")</f>
        <v>- / -</v>
      </c>
      <c r="Z18" s="43"/>
      <c r="AA18" s="45"/>
      <c r="AB18" s="43"/>
    </row>
    <row r="19" spans="1:28" ht="21" customHeight="1" x14ac:dyDescent="0.15">
      <c r="A19" s="40">
        <v>30028020</v>
      </c>
      <c r="B19" s="40" t="s">
        <v>243</v>
      </c>
      <c r="C19" s="43">
        <v>3</v>
      </c>
      <c r="D19" s="43" t="s">
        <v>126</v>
      </c>
      <c r="E19" s="44" t="s">
        <v>308</v>
      </c>
      <c r="F19" s="44" t="s">
        <v>294</v>
      </c>
      <c r="G19" s="55" t="str">
        <f t="shared" si="29"/>
        <v xml:space="preserve">[effect:virus, turn:-1, rate:1, val:0.11, animation:enemy_virus]    </v>
      </c>
      <c r="H19" s="55">
        <f t="shared" si="2"/>
        <v>9</v>
      </c>
      <c r="I19" s="55">
        <f t="shared" si="30"/>
        <v>14</v>
      </c>
      <c r="J19" s="55" t="e">
        <f t="shared" si="31"/>
        <v>#VALUE!</v>
      </c>
      <c r="K19" s="55">
        <f t="shared" si="32"/>
        <v>23</v>
      </c>
      <c r="L19" s="55" t="str">
        <f>IFERROR(VLOOKUP(MID(G19,J19,K19-J19),[6]skilldef!$C:$D,2,FALSE),"-") &amp; " / " &amp; IFERROR(VLOOKUP(MID(G19,H19,I19-H19),[6]skilldef!$A:$B,2,FALSE),"-")</f>
        <v>- / ウィルス</v>
      </c>
      <c r="M19" s="55" t="str">
        <f t="shared" si="33"/>
        <v>none</v>
      </c>
      <c r="N19" s="41" t="str">
        <f t="shared" si="28"/>
        <v>none</v>
      </c>
      <c r="O19" s="55" t="e">
        <f t="shared" si="7"/>
        <v>#VALUE!</v>
      </c>
      <c r="P19" s="55">
        <f t="shared" si="34"/>
        <v>4</v>
      </c>
      <c r="Q19" s="55" t="e">
        <f t="shared" si="35"/>
        <v>#VALUE!</v>
      </c>
      <c r="R19" s="55" t="e">
        <f t="shared" si="36"/>
        <v>#VALUE!</v>
      </c>
      <c r="S19" s="55" t="str">
        <f>IFERROR(VLOOKUP(MID(N19,Q19,R19-Q19),[6]skilldef!$C:$D,2,FALSE),"-") &amp; " / " &amp; IFERROR(VLOOKUP(MID(N19,O19,P19-O19),[6]skilldef!$A:$B,2,FALSE),"-")</f>
        <v>- / -</v>
      </c>
      <c r="T19" s="41" t="str">
        <f t="shared" si="37"/>
        <v>none</v>
      </c>
      <c r="U19" s="55" t="e">
        <f t="shared" si="12"/>
        <v>#VALUE!</v>
      </c>
      <c r="V19" s="55">
        <f t="shared" si="38"/>
        <v>4</v>
      </c>
      <c r="W19" s="55" t="e">
        <f t="shared" si="39"/>
        <v>#VALUE!</v>
      </c>
      <c r="X19" s="55" t="e">
        <f t="shared" si="40"/>
        <v>#VALUE!</v>
      </c>
      <c r="Y19" s="55" t="str">
        <f>IFERROR(VLOOKUP(MID(T19,W19,X19-W19),[6]skilldef!$C:$D,2,FALSE),"-") &amp; " / " &amp; IFERROR(VLOOKUP(MID(T19,U19,V19-U19),[6]skilldef!$A:$B,2,FALSE),"-")</f>
        <v>- / -</v>
      </c>
      <c r="Z19" s="43"/>
      <c r="AA19" s="45"/>
      <c r="AB19" s="43"/>
    </row>
    <row r="20" spans="1:28" ht="21" customHeight="1" x14ac:dyDescent="0.15">
      <c r="A20" s="40">
        <v>30028021</v>
      </c>
      <c r="B20" s="40" t="s">
        <v>245</v>
      </c>
      <c r="C20" s="43">
        <v>3</v>
      </c>
      <c r="D20" s="43" t="s">
        <v>126</v>
      </c>
      <c r="E20" s="44" t="s">
        <v>306</v>
      </c>
      <c r="F20" s="44" t="s">
        <v>297</v>
      </c>
      <c r="G20" s="55" t="str">
        <f t="shared" si="29"/>
        <v xml:space="preserve">[effect:damage_anti_abnormal, target:unit_all, target_effect01:virus, val1:0.5, val2:0.3]    </v>
      </c>
      <c r="H20" s="55">
        <f t="shared" si="2"/>
        <v>9</v>
      </c>
      <c r="I20" s="55">
        <f t="shared" si="30"/>
        <v>29</v>
      </c>
      <c r="J20" s="55">
        <f t="shared" si="31"/>
        <v>38</v>
      </c>
      <c r="K20" s="55">
        <f t="shared" si="32"/>
        <v>46</v>
      </c>
      <c r="L20" s="55" t="str">
        <f>IFERROR(VLOOKUP(MID(G20,J20,K20-J20),[6]skilldef!$C:$D,2,FALSE),"-") &amp; " / " &amp; IFERROR(VLOOKUP(MID(G20,H20,I20-H20),[6]skilldef!$A:$B,2,FALSE),"-")</f>
        <v>味方全体に / -</v>
      </c>
      <c r="M20" s="55" t="str">
        <f t="shared" si="33"/>
        <v>none</v>
      </c>
      <c r="N20" s="41" t="str">
        <f t="shared" si="28"/>
        <v>none</v>
      </c>
      <c r="O20" s="55" t="e">
        <f t="shared" si="7"/>
        <v>#VALUE!</v>
      </c>
      <c r="P20" s="55">
        <f t="shared" si="34"/>
        <v>4</v>
      </c>
      <c r="Q20" s="55" t="e">
        <f t="shared" si="35"/>
        <v>#VALUE!</v>
      </c>
      <c r="R20" s="55" t="e">
        <f t="shared" si="36"/>
        <v>#VALUE!</v>
      </c>
      <c r="S20" s="55" t="str">
        <f>IFERROR(VLOOKUP(MID(N20,Q20,R20-Q20),[6]skilldef!$C:$D,2,FALSE),"-") &amp; " / " &amp; IFERROR(VLOOKUP(MID(N20,O20,P20-O20),[6]skilldef!$A:$B,2,FALSE),"-")</f>
        <v>- / -</v>
      </c>
      <c r="T20" s="41" t="str">
        <f t="shared" si="37"/>
        <v>none</v>
      </c>
      <c r="U20" s="55" t="e">
        <f t="shared" si="12"/>
        <v>#VALUE!</v>
      </c>
      <c r="V20" s="55">
        <f t="shared" si="38"/>
        <v>4</v>
      </c>
      <c r="W20" s="55" t="e">
        <f t="shared" si="39"/>
        <v>#VALUE!</v>
      </c>
      <c r="X20" s="55" t="e">
        <f t="shared" si="40"/>
        <v>#VALUE!</v>
      </c>
      <c r="Y20" s="55" t="str">
        <f>IFERROR(VLOOKUP(MID(T20,W20,X20-W20),[6]skilldef!$C:$D,2,FALSE),"-") &amp; " / " &amp; IFERROR(VLOOKUP(MID(T20,U20,V20-U20),[6]skilldef!$A:$B,2,FALSE),"-")</f>
        <v>- / -</v>
      </c>
      <c r="Z20" s="43"/>
      <c r="AA20" s="45"/>
      <c r="AB20" s="43"/>
    </row>
    <row r="21" spans="1:28" ht="21" customHeight="1" x14ac:dyDescent="0.15">
      <c r="A21" s="40">
        <v>30028022</v>
      </c>
      <c r="B21" s="40" t="s">
        <v>235</v>
      </c>
      <c r="C21" s="43">
        <v>3</v>
      </c>
      <c r="D21" s="43" t="s">
        <v>126</v>
      </c>
      <c r="E21" s="44" t="s">
        <v>325</v>
      </c>
      <c r="F21" s="44" t="s">
        <v>298</v>
      </c>
      <c r="G21" s="55" t="str">
        <f t="shared" si="29"/>
        <v xml:space="preserve">[effect:rush, count:1, val:1]    </v>
      </c>
      <c r="H21" s="55">
        <f t="shared" si="2"/>
        <v>9</v>
      </c>
      <c r="I21" s="55">
        <f t="shared" si="30"/>
        <v>13</v>
      </c>
      <c r="J21" s="55" t="e">
        <f t="shared" si="31"/>
        <v>#VALUE!</v>
      </c>
      <c r="K21" s="55">
        <f t="shared" si="32"/>
        <v>22</v>
      </c>
      <c r="L21" s="55" t="str">
        <f>IFERROR(VLOOKUP(MID(G21,J21,K21-J21),[6]skilldef!$C:$D,2,FALSE),"-") &amp; " / " &amp; IFERROR(VLOOKUP(MID(G21,H21,I21-H21),[6]skilldef!$A:$B,2,FALSE),"-")</f>
        <v>- / 連続攻撃</v>
      </c>
      <c r="M21" s="55" t="str">
        <f t="shared" si="33"/>
        <v>none</v>
      </c>
      <c r="N21" s="41" t="str">
        <f t="shared" si="28"/>
        <v>none</v>
      </c>
      <c r="O21" s="55" t="e">
        <f t="shared" si="7"/>
        <v>#VALUE!</v>
      </c>
      <c r="P21" s="55">
        <f t="shared" si="34"/>
        <v>4</v>
      </c>
      <c r="Q21" s="55" t="e">
        <f t="shared" si="35"/>
        <v>#VALUE!</v>
      </c>
      <c r="R21" s="55" t="e">
        <f t="shared" si="36"/>
        <v>#VALUE!</v>
      </c>
      <c r="S21" s="55" t="str">
        <f>IFERROR(VLOOKUP(MID(N21,Q21,R21-Q21),[6]skilldef!$C:$D,2,FALSE),"-") &amp; " / " &amp; IFERROR(VLOOKUP(MID(N21,O21,P21-O21),[6]skilldef!$A:$B,2,FALSE),"-")</f>
        <v>- / -</v>
      </c>
      <c r="T21" s="41" t="str">
        <f t="shared" si="37"/>
        <v>none</v>
      </c>
      <c r="U21" s="55" t="e">
        <f t="shared" si="12"/>
        <v>#VALUE!</v>
      </c>
      <c r="V21" s="55">
        <f t="shared" si="38"/>
        <v>4</v>
      </c>
      <c r="W21" s="55" t="e">
        <f t="shared" si="39"/>
        <v>#VALUE!</v>
      </c>
      <c r="X21" s="55" t="e">
        <f t="shared" si="40"/>
        <v>#VALUE!</v>
      </c>
      <c r="Y21" s="55" t="str">
        <f>IFERROR(VLOOKUP(MID(T21,W21,X21-W21),[6]skilldef!$C:$D,2,FALSE),"-") &amp; " / " &amp; IFERROR(VLOOKUP(MID(T21,U21,V21-U21),[6]skilldef!$A:$B,2,FALSE),"-")</f>
        <v>- / -</v>
      </c>
      <c r="Z21" s="43"/>
      <c r="AA21" s="45"/>
      <c r="AB21" s="43"/>
    </row>
    <row r="22" spans="1:28" ht="21" customHeight="1" x14ac:dyDescent="0.15">
      <c r="A22" s="40">
        <v>30028023</v>
      </c>
      <c r="B22" s="40" t="s">
        <v>319</v>
      </c>
      <c r="C22" s="43">
        <v>3</v>
      </c>
      <c r="D22" s="43" t="s">
        <v>126</v>
      </c>
      <c r="E22" s="44" t="s">
        <v>272</v>
      </c>
      <c r="F22" s="44" t="s">
        <v>221</v>
      </c>
      <c r="G22" s="55" t="str">
        <f t="shared" si="29"/>
        <v>[effect:rush, count:8, val:0.26]</v>
      </c>
      <c r="H22" s="55">
        <f t="shared" si="2"/>
        <v>9</v>
      </c>
      <c r="I22" s="55">
        <f t="shared" si="30"/>
        <v>13</v>
      </c>
      <c r="J22" s="55" t="e">
        <f t="shared" si="31"/>
        <v>#VALUE!</v>
      </c>
      <c r="K22" s="55">
        <f t="shared" si="32"/>
        <v>22</v>
      </c>
      <c r="L22" s="55" t="str">
        <f>IFERROR(VLOOKUP(MID(G22,J22,K22-J22),[6]skilldef!$C:$D,2,FALSE),"-") &amp; " / " &amp; IFERROR(VLOOKUP(MID(G22,H22,I22-H22),[6]skilldef!$A:$B,2,FALSE),"-")</f>
        <v>- / 連続攻撃</v>
      </c>
      <c r="M22" s="55" t="str">
        <f t="shared" si="33"/>
        <v>none</v>
      </c>
      <c r="N22" s="41" t="str">
        <f t="shared" si="28"/>
        <v>none</v>
      </c>
      <c r="O22" s="55" t="e">
        <f t="shared" si="7"/>
        <v>#VALUE!</v>
      </c>
      <c r="P22" s="55">
        <f t="shared" si="34"/>
        <v>4</v>
      </c>
      <c r="Q22" s="55" t="e">
        <f t="shared" si="35"/>
        <v>#VALUE!</v>
      </c>
      <c r="R22" s="55" t="e">
        <f t="shared" si="36"/>
        <v>#VALUE!</v>
      </c>
      <c r="S22" s="55" t="str">
        <f>IFERROR(VLOOKUP(MID(N22,Q22,R22-Q22),[6]skilldef!$C:$D,2,FALSE),"-") &amp; " / " &amp; IFERROR(VLOOKUP(MID(N22,O22,P22-O22),[6]skilldef!$A:$B,2,FALSE),"-")</f>
        <v>- / -</v>
      </c>
      <c r="T22" s="41" t="str">
        <f t="shared" si="37"/>
        <v>none</v>
      </c>
      <c r="U22" s="55" t="e">
        <f t="shared" si="12"/>
        <v>#VALUE!</v>
      </c>
      <c r="V22" s="55">
        <f t="shared" si="38"/>
        <v>4</v>
      </c>
      <c r="W22" s="55" t="e">
        <f t="shared" si="39"/>
        <v>#VALUE!</v>
      </c>
      <c r="X22" s="55" t="e">
        <f t="shared" si="40"/>
        <v>#VALUE!</v>
      </c>
      <c r="Y22" s="55" t="str">
        <f>IFERROR(VLOOKUP(MID(T22,W22,X22-W22),[6]skilldef!$C:$D,2,FALSE),"-") &amp; " / " &amp; IFERROR(VLOOKUP(MID(T22,U22,V22-U22),[6]skilldef!$A:$B,2,FALSE),"-")</f>
        <v>- / -</v>
      </c>
      <c r="Z22" s="43"/>
      <c r="AA22" s="45"/>
      <c r="AB22" s="43"/>
    </row>
    <row r="23" spans="1:28" ht="21" customHeight="1" x14ac:dyDescent="0.15">
      <c r="A23" s="40">
        <v>30028024</v>
      </c>
      <c r="B23" s="40" t="s">
        <v>240</v>
      </c>
      <c r="C23" s="43">
        <v>3</v>
      </c>
      <c r="D23" s="43" t="s">
        <v>126</v>
      </c>
      <c r="E23" s="44" t="s">
        <v>310</v>
      </c>
      <c r="F23" s="44" t="s">
        <v>284</v>
      </c>
      <c r="G23" s="55" t="e">
        <f>IFERROR(LEFT(#REF!,FIND("],",#REF!)),#REF!)</f>
        <v>#REF!</v>
      </c>
      <c r="H23" s="55" t="e">
        <f t="shared" si="2"/>
        <v>#REF!</v>
      </c>
      <c r="I23" s="55" t="e">
        <f t="shared" si="30"/>
        <v>#REF!</v>
      </c>
      <c r="J23" s="55" t="e">
        <f t="shared" si="31"/>
        <v>#REF!</v>
      </c>
      <c r="K23" s="55" t="e">
        <f t="shared" si="32"/>
        <v>#REF!</v>
      </c>
      <c r="L23" s="55" t="str">
        <f>IFERROR(VLOOKUP(MID(G23,J23,K23-J23),[6]skilldef!$C:$D,2,FALSE),"-") &amp; " / " &amp; IFERROR(VLOOKUP(MID(G23,H23,I23-H23),[6]skilldef!$A:$B,2,FALSE),"-")</f>
        <v>- / -</v>
      </c>
      <c r="M23" s="55" t="str">
        <f>IFERROR(RIGHT(#REF!,LEN(#REF!)-FIND("],",#REF!)-1),"none")</f>
        <v>none</v>
      </c>
      <c r="N23" s="41" t="str">
        <f t="shared" si="28"/>
        <v>none</v>
      </c>
      <c r="O23" s="55" t="e">
        <f t="shared" si="7"/>
        <v>#VALUE!</v>
      </c>
      <c r="P23" s="55">
        <f t="shared" si="34"/>
        <v>4</v>
      </c>
      <c r="Q23" s="55" t="e">
        <f t="shared" si="35"/>
        <v>#VALUE!</v>
      </c>
      <c r="R23" s="55" t="e">
        <f t="shared" si="36"/>
        <v>#VALUE!</v>
      </c>
      <c r="S23" s="55" t="str">
        <f>IFERROR(VLOOKUP(MID(N23,Q23,R23-Q23),[6]skilldef!$C:$D,2,FALSE),"-") &amp; " / " &amp; IFERROR(VLOOKUP(MID(N23,O23,P23-O23),[6]skilldef!$A:$B,2,FALSE),"-")</f>
        <v>- / -</v>
      </c>
      <c r="T23" s="41" t="str">
        <f t="shared" si="37"/>
        <v>none</v>
      </c>
      <c r="U23" s="55" t="e">
        <f t="shared" si="12"/>
        <v>#VALUE!</v>
      </c>
      <c r="V23" s="55">
        <f t="shared" si="38"/>
        <v>4</v>
      </c>
      <c r="W23" s="55" t="e">
        <f t="shared" si="39"/>
        <v>#VALUE!</v>
      </c>
      <c r="X23" s="55" t="e">
        <f t="shared" si="40"/>
        <v>#VALUE!</v>
      </c>
      <c r="Y23" s="55" t="str">
        <f>IFERROR(VLOOKUP(MID(T23,W23,X23-W23),[6]skilldef!$C:$D,2,FALSE),"-") &amp; " / " &amp; IFERROR(VLOOKUP(MID(T23,U23,V23-U23),[6]skilldef!$A:$B,2,FALSE),"-")</f>
        <v>- / -</v>
      </c>
      <c r="Z23" s="43"/>
      <c r="AA23" s="45"/>
      <c r="AB23" s="43"/>
    </row>
    <row r="24" spans="1:28" ht="21" customHeight="1" x14ac:dyDescent="0.15">
      <c r="A24" s="40">
        <v>30028025</v>
      </c>
      <c r="B24" s="40" t="s">
        <v>318</v>
      </c>
      <c r="C24" s="43">
        <v>3</v>
      </c>
      <c r="D24" s="43" t="s">
        <v>126</v>
      </c>
      <c r="E24" s="44" t="s">
        <v>300</v>
      </c>
      <c r="F24" s="44" t="s">
        <v>281</v>
      </c>
      <c r="G24" s="55" t="str">
        <f t="shared" si="29"/>
        <v xml:space="preserve">[effect:rush, count:4, val:0.3]    </v>
      </c>
      <c r="H24" s="55">
        <f t="shared" si="2"/>
        <v>9</v>
      </c>
      <c r="I24" s="55">
        <f t="shared" si="30"/>
        <v>13</v>
      </c>
      <c r="J24" s="55" t="e">
        <f t="shared" si="31"/>
        <v>#VALUE!</v>
      </c>
      <c r="K24" s="55">
        <f t="shared" si="32"/>
        <v>22</v>
      </c>
      <c r="L24" s="55" t="str">
        <f>IFERROR(VLOOKUP(MID(G24,J24,K24-J24),[6]skilldef!$C:$D,2,FALSE),"-") &amp; " / " &amp; IFERROR(VLOOKUP(MID(G24,H24,I24-H24),[6]skilldef!$A:$B,2,FALSE),"-")</f>
        <v>- / 連続攻撃</v>
      </c>
      <c r="M24" s="55" t="str">
        <f t="shared" si="33"/>
        <v>none</v>
      </c>
      <c r="N24" s="41" t="str">
        <f>IFERROR(LEFT(M24,FIND("],",M24)+S32),M24)</f>
        <v>none</v>
      </c>
      <c r="O24" s="55" t="e">
        <f t="shared" si="7"/>
        <v>#VALUE!</v>
      </c>
      <c r="P24" s="55">
        <f t="shared" si="34"/>
        <v>4</v>
      </c>
      <c r="Q24" s="55" t="e">
        <f t="shared" si="35"/>
        <v>#VALUE!</v>
      </c>
      <c r="R24" s="55" t="e">
        <f t="shared" si="36"/>
        <v>#VALUE!</v>
      </c>
      <c r="S24" s="55" t="str">
        <f>IFERROR(VLOOKUP(MID(N24,Q24,R24-Q24),[6]skilldef!$C:$D,2,FALSE),"-") &amp; " / " &amp; IFERROR(VLOOKUP(MID(N24,O24,P24-O24),[6]skilldef!$A:$B,2,FALSE),"-")</f>
        <v>- / -</v>
      </c>
      <c r="T24" s="41" t="str">
        <f t="shared" si="37"/>
        <v>none</v>
      </c>
      <c r="U24" s="55" t="e">
        <f t="shared" si="12"/>
        <v>#VALUE!</v>
      </c>
      <c r="V24" s="55">
        <f t="shared" si="38"/>
        <v>4</v>
      </c>
      <c r="W24" s="55" t="e">
        <f t="shared" si="39"/>
        <v>#VALUE!</v>
      </c>
      <c r="X24" s="55" t="e">
        <f t="shared" si="40"/>
        <v>#VALUE!</v>
      </c>
      <c r="Y24" s="55" t="str">
        <f>IFERROR(VLOOKUP(MID(T24,W24,X24-W24),[6]skilldef!$C:$D,2,FALSE),"-") &amp; " / " &amp; IFERROR(VLOOKUP(MID(T24,U24,V24-U24),[6]skilldef!$A:$B,2,FALSE),"-")</f>
        <v>- / -</v>
      </c>
      <c r="Z24" s="43"/>
      <c r="AA24" s="45"/>
      <c r="AB24" s="43"/>
    </row>
    <row r="25" spans="1:28" ht="21" customHeight="1" x14ac:dyDescent="0.15">
      <c r="A25" s="40">
        <v>30028026</v>
      </c>
      <c r="B25" s="40" t="s">
        <v>241</v>
      </c>
      <c r="C25" s="43">
        <v>3</v>
      </c>
      <c r="D25" s="43" t="s">
        <v>126</v>
      </c>
      <c r="E25" s="44" t="s">
        <v>299</v>
      </c>
      <c r="F25" s="44" t="s">
        <v>295</v>
      </c>
      <c r="G25" s="55" t="str">
        <f t="shared" ref="G25:G31" si="41">IFERROR(LEFT(B25,FIND("],",B25)),B25)</f>
        <v xml:space="preserve">[effect:virus, turn:-1, rate:1, val:0.05, animation:enemy_virus]    </v>
      </c>
      <c r="H25" s="55">
        <f t="shared" si="2"/>
        <v>9</v>
      </c>
      <c r="I25" s="55">
        <f t="shared" ref="I25:I31" si="42">IFERROR(FIND(",",G25),LEN(G25))</f>
        <v>14</v>
      </c>
      <c r="J25" s="55" t="e">
        <f t="shared" ref="J25:J31" si="43">FIND("target:",G25)+7</f>
        <v>#VALUE!</v>
      </c>
      <c r="K25" s="55">
        <f t="shared" ref="K25:K31" si="44">FIND(",",G25,I25+1)</f>
        <v>23</v>
      </c>
      <c r="L25" s="55" t="str">
        <f>IFERROR(VLOOKUP(MID(G25,J25,K25-J25),[6]skilldef!$C:$D,2,FALSE),"-") &amp; " / " &amp; IFERROR(VLOOKUP(MID(G25,H25,I25-H25),[6]skilldef!$A:$B,2,FALSE),"-")</f>
        <v>- / ウィルス</v>
      </c>
      <c r="M25" s="55" t="str">
        <f t="shared" ref="M25:M31" si="45">IFERROR(RIGHT(B25,LEN(B25)-FIND("],",B25)-1),"none")</f>
        <v>none</v>
      </c>
      <c r="N25" s="41" t="str">
        <f>IFERROR(LEFT(M25,FIND("],",M25)+S33),M25)</f>
        <v>none</v>
      </c>
      <c r="O25" s="55" t="e">
        <f t="shared" si="7"/>
        <v>#VALUE!</v>
      </c>
      <c r="P25" s="55">
        <f t="shared" ref="P25:P31" si="46">IFERROR(FIND(",",N25),LEN(N25))</f>
        <v>4</v>
      </c>
      <c r="Q25" s="55" t="e">
        <f t="shared" ref="Q25:Q31" si="47">FIND("target:",N25)+7</f>
        <v>#VALUE!</v>
      </c>
      <c r="R25" s="55" t="e">
        <f t="shared" ref="R25:R31" si="48">FIND(",",N25,P25+1)</f>
        <v>#VALUE!</v>
      </c>
      <c r="S25" s="55" t="str">
        <f>IFERROR(VLOOKUP(MID(N25,Q25,R25-Q25),[6]skilldef!$C:$D,2,FALSE),"-") &amp; " / " &amp; IFERROR(VLOOKUP(MID(N25,O25,P25-O25),[6]skilldef!$A:$B,2,FALSE),"-")</f>
        <v>- / -</v>
      </c>
      <c r="T25" s="41" t="str">
        <f t="shared" ref="T25:T31" si="49">IFERROR(RIGHT(M25,LEN(M25)-FIND("],",M25)-1),"none")</f>
        <v>none</v>
      </c>
      <c r="U25" s="55" t="e">
        <f t="shared" si="12"/>
        <v>#VALUE!</v>
      </c>
      <c r="V25" s="55">
        <f t="shared" ref="V25:V31" si="50">IFERROR(FIND(",",T25),LEN(T25))</f>
        <v>4</v>
      </c>
      <c r="W25" s="55" t="e">
        <f t="shared" ref="W25:W31" si="51">FIND("target:",T25)+7</f>
        <v>#VALUE!</v>
      </c>
      <c r="X25" s="55" t="e">
        <f t="shared" ref="X25:X31" si="52">FIND(",",T25,V25+1)</f>
        <v>#VALUE!</v>
      </c>
      <c r="Y25" s="55" t="str">
        <f>IFERROR(VLOOKUP(MID(T25,W25,X25-W25),[6]skilldef!$C:$D,2,FALSE),"-") &amp; " / " &amp; IFERROR(VLOOKUP(MID(T25,U25,V25-U25),[6]skilldef!$A:$B,2,FALSE),"-")</f>
        <v>- / -</v>
      </c>
      <c r="Z25" s="43"/>
      <c r="AA25" s="45"/>
      <c r="AB25" s="43"/>
    </row>
    <row r="26" spans="1:28" ht="21" customHeight="1" x14ac:dyDescent="0.15">
      <c r="A26" s="40">
        <v>30028029</v>
      </c>
      <c r="B26" s="40" t="s">
        <v>243</v>
      </c>
      <c r="C26" s="43">
        <v>3</v>
      </c>
      <c r="D26" s="43" t="s">
        <v>126</v>
      </c>
      <c r="E26" s="44" t="s">
        <v>307</v>
      </c>
      <c r="F26" s="44" t="s">
        <v>294</v>
      </c>
      <c r="G26" s="55" t="str">
        <f t="shared" si="41"/>
        <v xml:space="preserve">[effect:virus, turn:-1, rate:1, val:0.11, animation:enemy_virus]    </v>
      </c>
      <c r="H26" s="55">
        <f t="shared" si="2"/>
        <v>9</v>
      </c>
      <c r="I26" s="55">
        <f t="shared" si="42"/>
        <v>14</v>
      </c>
      <c r="J26" s="55" t="e">
        <f t="shared" si="43"/>
        <v>#VALUE!</v>
      </c>
      <c r="K26" s="55">
        <f t="shared" si="44"/>
        <v>23</v>
      </c>
      <c r="L26" s="55" t="str">
        <f>IFERROR(VLOOKUP(MID(G26,J26,K26-J26),[6]skilldef!$C:$D,2,FALSE),"-") &amp; " / " &amp; IFERROR(VLOOKUP(MID(G26,H26,I26-H26),[6]skilldef!$A:$B,2,FALSE),"-")</f>
        <v>- / ウィルス</v>
      </c>
      <c r="M26" s="55" t="str">
        <f t="shared" si="45"/>
        <v>none</v>
      </c>
      <c r="N26" s="41" t="str">
        <f t="shared" ref="N26:N31" si="53">IFERROR(LEFT(M26,FIND("],",M26)+S36),M26)</f>
        <v>none</v>
      </c>
      <c r="O26" s="55" t="e">
        <f t="shared" si="7"/>
        <v>#VALUE!</v>
      </c>
      <c r="P26" s="55">
        <f t="shared" si="46"/>
        <v>4</v>
      </c>
      <c r="Q26" s="55" t="e">
        <f t="shared" si="47"/>
        <v>#VALUE!</v>
      </c>
      <c r="R26" s="55" t="e">
        <f t="shared" si="48"/>
        <v>#VALUE!</v>
      </c>
      <c r="S26" s="55" t="str">
        <f>IFERROR(VLOOKUP(MID(N26,Q26,R26-Q26),[6]skilldef!$C:$D,2,FALSE),"-") &amp; " / " &amp; IFERROR(VLOOKUP(MID(N26,O26,P26-O26),[6]skilldef!$A:$B,2,FALSE),"-")</f>
        <v>- / -</v>
      </c>
      <c r="T26" s="41" t="str">
        <f t="shared" si="49"/>
        <v>none</v>
      </c>
      <c r="U26" s="55" t="e">
        <f t="shared" si="12"/>
        <v>#VALUE!</v>
      </c>
      <c r="V26" s="55">
        <f t="shared" si="50"/>
        <v>4</v>
      </c>
      <c r="W26" s="55" t="e">
        <f t="shared" si="51"/>
        <v>#VALUE!</v>
      </c>
      <c r="X26" s="55" t="e">
        <f t="shared" si="52"/>
        <v>#VALUE!</v>
      </c>
      <c r="Y26" s="55" t="str">
        <f>IFERROR(VLOOKUP(MID(T26,W26,X26-W26),[6]skilldef!$C:$D,2,FALSE),"-") &amp; " / " &amp; IFERROR(VLOOKUP(MID(T26,U26,V26-U26),[6]skilldef!$A:$B,2,FALSE),"-")</f>
        <v>- / -</v>
      </c>
      <c r="Z26" s="43"/>
      <c r="AA26" s="45"/>
      <c r="AB26" s="43"/>
    </row>
    <row r="27" spans="1:28" ht="21" customHeight="1" x14ac:dyDescent="0.15">
      <c r="A27" s="40">
        <v>30028030</v>
      </c>
      <c r="B27" s="40" t="s">
        <v>244</v>
      </c>
      <c r="C27" s="43">
        <v>3</v>
      </c>
      <c r="D27" s="43" t="s">
        <v>126</v>
      </c>
      <c r="E27" s="44" t="s">
        <v>270</v>
      </c>
      <c r="F27" s="44" t="s">
        <v>285</v>
      </c>
      <c r="G27" s="55" t="str">
        <f t="shared" si="41"/>
        <v>[effect:damage_anti_abnormal, target:unit_all, target_effect01:virus, val1:0.5, val2:0.3]</v>
      </c>
      <c r="H27" s="55">
        <f t="shared" si="2"/>
        <v>9</v>
      </c>
      <c r="I27" s="55">
        <f t="shared" si="42"/>
        <v>29</v>
      </c>
      <c r="J27" s="55">
        <f t="shared" si="43"/>
        <v>38</v>
      </c>
      <c r="K27" s="55">
        <f t="shared" si="44"/>
        <v>46</v>
      </c>
      <c r="L27" s="55" t="str">
        <f>IFERROR(VLOOKUP(MID(G27,J27,K27-J27),[6]skilldef!$C:$D,2,FALSE),"-") &amp; " / " &amp; IFERROR(VLOOKUP(MID(G27,H27,I27-H27),[6]skilldef!$A:$B,2,FALSE),"-")</f>
        <v>味方全体に / -</v>
      </c>
      <c r="M27" s="55" t="str">
        <f t="shared" si="45"/>
        <v>[effect:heal, target:enemy_one, val:0.08, animation:enemy_heal]</v>
      </c>
      <c r="N27" s="41" t="str">
        <f t="shared" si="53"/>
        <v>[effect:heal, target:enemy_one, val:0.08, animation:enemy_heal]</v>
      </c>
      <c r="O27" s="55">
        <f t="shared" si="7"/>
        <v>9</v>
      </c>
      <c r="P27" s="55">
        <f t="shared" si="46"/>
        <v>13</v>
      </c>
      <c r="Q27" s="55">
        <f t="shared" si="47"/>
        <v>22</v>
      </c>
      <c r="R27" s="55">
        <f t="shared" si="48"/>
        <v>31</v>
      </c>
      <c r="S27" s="55" t="str">
        <f>IFERROR(VLOOKUP(MID(N27,Q27,R27-Q27),[6]skilldef!$C:$D,2,FALSE),"-") &amp; " / " &amp; IFERROR(VLOOKUP(MID(N27,O27,P27-O27),[6]skilldef!$A:$B,2,FALSE),"-")</f>
        <v>敵単体に / 回復</v>
      </c>
      <c r="T27" s="41" t="str">
        <f t="shared" si="49"/>
        <v>none</v>
      </c>
      <c r="U27" s="55" t="e">
        <f t="shared" si="12"/>
        <v>#VALUE!</v>
      </c>
      <c r="V27" s="55">
        <f t="shared" si="50"/>
        <v>4</v>
      </c>
      <c r="W27" s="55" t="e">
        <f t="shared" si="51"/>
        <v>#VALUE!</v>
      </c>
      <c r="X27" s="55" t="e">
        <f t="shared" si="52"/>
        <v>#VALUE!</v>
      </c>
      <c r="Y27" s="55" t="str">
        <f>IFERROR(VLOOKUP(MID(T27,W27,X27-W27),[6]skilldef!$C:$D,2,FALSE),"-") &amp; " / " &amp; IFERROR(VLOOKUP(MID(T27,U27,V27-U27),[6]skilldef!$A:$B,2,FALSE),"-")</f>
        <v>- / -</v>
      </c>
      <c r="Z27" s="43"/>
      <c r="AA27" s="45"/>
      <c r="AB27" s="43"/>
    </row>
    <row r="28" spans="1:28" ht="21" customHeight="1" x14ac:dyDescent="0.15">
      <c r="A28" s="40">
        <v>30028031</v>
      </c>
      <c r="B28" s="40" t="s">
        <v>235</v>
      </c>
      <c r="C28" s="43">
        <v>3</v>
      </c>
      <c r="D28" s="43" t="s">
        <v>126</v>
      </c>
      <c r="E28" s="44" t="s">
        <v>271</v>
      </c>
      <c r="F28" s="44" t="s">
        <v>283</v>
      </c>
      <c r="G28" s="55" t="str">
        <f t="shared" si="41"/>
        <v xml:space="preserve">[effect:rush, count:1, val:1]    </v>
      </c>
      <c r="H28" s="55">
        <f t="shared" si="2"/>
        <v>9</v>
      </c>
      <c r="I28" s="55">
        <f t="shared" si="42"/>
        <v>13</v>
      </c>
      <c r="J28" s="55" t="e">
        <f t="shared" si="43"/>
        <v>#VALUE!</v>
      </c>
      <c r="K28" s="55">
        <f t="shared" si="44"/>
        <v>22</v>
      </c>
      <c r="L28" s="55" t="str">
        <f>IFERROR(VLOOKUP(MID(G28,J28,K28-J28),[6]skilldef!$C:$D,2,FALSE),"-") &amp; " / " &amp; IFERROR(VLOOKUP(MID(G28,H28,I28-H28),[6]skilldef!$A:$B,2,FALSE),"-")</f>
        <v>- / 連続攻撃</v>
      </c>
      <c r="M28" s="55" t="str">
        <f t="shared" si="45"/>
        <v>none</v>
      </c>
      <c r="N28" s="41" t="str">
        <f t="shared" si="53"/>
        <v>none</v>
      </c>
      <c r="O28" s="55" t="e">
        <f t="shared" si="7"/>
        <v>#VALUE!</v>
      </c>
      <c r="P28" s="55">
        <f t="shared" si="46"/>
        <v>4</v>
      </c>
      <c r="Q28" s="55" t="e">
        <f t="shared" si="47"/>
        <v>#VALUE!</v>
      </c>
      <c r="R28" s="55" t="e">
        <f t="shared" si="48"/>
        <v>#VALUE!</v>
      </c>
      <c r="S28" s="55" t="str">
        <f>IFERROR(VLOOKUP(MID(N28,Q28,R28-Q28),[6]skilldef!$C:$D,2,FALSE),"-") &amp; " / " &amp; IFERROR(VLOOKUP(MID(N28,O28,P28-O28),[6]skilldef!$A:$B,2,FALSE),"-")</f>
        <v>- / -</v>
      </c>
      <c r="T28" s="41" t="str">
        <f t="shared" si="49"/>
        <v>none</v>
      </c>
      <c r="U28" s="55" t="e">
        <f t="shared" si="12"/>
        <v>#VALUE!</v>
      </c>
      <c r="V28" s="55">
        <f t="shared" si="50"/>
        <v>4</v>
      </c>
      <c r="W28" s="55" t="e">
        <f t="shared" si="51"/>
        <v>#VALUE!</v>
      </c>
      <c r="X28" s="55" t="e">
        <f t="shared" si="52"/>
        <v>#VALUE!</v>
      </c>
      <c r="Y28" s="55" t="str">
        <f>IFERROR(VLOOKUP(MID(T28,W28,X28-W28),[6]skilldef!$C:$D,2,FALSE),"-") &amp; " / " &amp; IFERROR(VLOOKUP(MID(T28,U28,V28-U28),[6]skilldef!$A:$B,2,FALSE),"-")</f>
        <v>- / -</v>
      </c>
      <c r="Z28" s="43"/>
      <c r="AA28" s="45"/>
      <c r="AB28" s="43"/>
    </row>
    <row r="29" spans="1:28" ht="21" customHeight="1" x14ac:dyDescent="0.15">
      <c r="A29" s="40">
        <v>30028032</v>
      </c>
      <c r="B29" s="40" t="s">
        <v>317</v>
      </c>
      <c r="C29" s="43">
        <v>3</v>
      </c>
      <c r="D29" s="43" t="s">
        <v>126</v>
      </c>
      <c r="E29" s="44" t="s">
        <v>323</v>
      </c>
      <c r="F29" s="44" t="s">
        <v>282</v>
      </c>
      <c r="G29" s="55" t="str">
        <f t="shared" si="41"/>
        <v>[effect:rush, count:8, val:0.28]</v>
      </c>
      <c r="H29" s="55">
        <f t="shared" si="2"/>
        <v>9</v>
      </c>
      <c r="I29" s="55">
        <f t="shared" si="42"/>
        <v>13</v>
      </c>
      <c r="J29" s="55" t="e">
        <f t="shared" si="43"/>
        <v>#VALUE!</v>
      </c>
      <c r="K29" s="55">
        <f t="shared" si="44"/>
        <v>22</v>
      </c>
      <c r="L29" s="55" t="str">
        <f>IFERROR(VLOOKUP(MID(G29,J29,K29-J29),[6]skilldef!$C:$D,2,FALSE),"-") &amp; " / " &amp; IFERROR(VLOOKUP(MID(G29,H29,I29-H29),[6]skilldef!$A:$B,2,FALSE),"-")</f>
        <v>- / 連続攻撃</v>
      </c>
      <c r="M29" s="55" t="str">
        <f t="shared" si="45"/>
        <v>none</v>
      </c>
      <c r="N29" s="41" t="str">
        <f t="shared" si="53"/>
        <v>none</v>
      </c>
      <c r="O29" s="55" t="e">
        <f t="shared" si="7"/>
        <v>#VALUE!</v>
      </c>
      <c r="P29" s="55">
        <f t="shared" si="46"/>
        <v>4</v>
      </c>
      <c r="Q29" s="55" t="e">
        <f t="shared" si="47"/>
        <v>#VALUE!</v>
      </c>
      <c r="R29" s="55" t="e">
        <f t="shared" si="48"/>
        <v>#VALUE!</v>
      </c>
      <c r="S29" s="55" t="str">
        <f>IFERROR(VLOOKUP(MID(N29,Q29,R29-Q29),[6]skilldef!$C:$D,2,FALSE),"-") &amp; " / " &amp; IFERROR(VLOOKUP(MID(N29,O29,P29-O29),[6]skilldef!$A:$B,2,FALSE),"-")</f>
        <v>- / -</v>
      </c>
      <c r="T29" s="41" t="str">
        <f t="shared" si="49"/>
        <v>none</v>
      </c>
      <c r="U29" s="55" t="e">
        <f t="shared" si="12"/>
        <v>#VALUE!</v>
      </c>
      <c r="V29" s="55">
        <f t="shared" si="50"/>
        <v>4</v>
      </c>
      <c r="W29" s="55" t="e">
        <f t="shared" si="51"/>
        <v>#VALUE!</v>
      </c>
      <c r="X29" s="55" t="e">
        <f t="shared" si="52"/>
        <v>#VALUE!</v>
      </c>
      <c r="Y29" s="55" t="str">
        <f>IFERROR(VLOOKUP(MID(T29,W29,X29-W29),[6]skilldef!$C:$D,2,FALSE),"-") &amp; " / " &amp; IFERROR(VLOOKUP(MID(T29,U29,V29-U29),[6]skilldef!$A:$B,2,FALSE),"-")</f>
        <v>- / -</v>
      </c>
      <c r="Z29" s="43"/>
      <c r="AA29" s="45"/>
      <c r="AB29" s="43"/>
    </row>
    <row r="30" spans="1:28" ht="21" customHeight="1" x14ac:dyDescent="0.15">
      <c r="A30" s="40">
        <v>30028033</v>
      </c>
      <c r="B30" s="40" t="s">
        <v>239</v>
      </c>
      <c r="C30" s="43">
        <v>3</v>
      </c>
      <c r="D30" s="43" t="s">
        <v>126</v>
      </c>
      <c r="E30" s="44" t="s">
        <v>309</v>
      </c>
      <c r="F30" s="44" t="s">
        <v>286</v>
      </c>
      <c r="G30" s="55" t="str">
        <f t="shared" si="41"/>
        <v>[effect:critical, val:1.5]</v>
      </c>
      <c r="H30" s="55">
        <f t="shared" si="2"/>
        <v>9</v>
      </c>
      <c r="I30" s="55">
        <f t="shared" si="42"/>
        <v>17</v>
      </c>
      <c r="J30" s="55" t="e">
        <f t="shared" si="43"/>
        <v>#VALUE!</v>
      </c>
      <c r="K30" s="55" t="e">
        <f t="shared" si="44"/>
        <v>#VALUE!</v>
      </c>
      <c r="L30" s="55" t="str">
        <f>IFERROR(VLOOKUP(MID(G30,J30,K30-J30),[6]skilldef!$C:$D,2,FALSE),"-") &amp; " / " &amp; IFERROR(VLOOKUP(MID(G30,H30,I30-H30),[6]skilldef!$A:$B,2,FALSE),"-")</f>
        <v>- / 大攻撃</v>
      </c>
      <c r="M30" s="55" t="str">
        <f t="shared" si="45"/>
        <v>[effect:heal, target:enemy_one, val:0.1, animation:enemy_heal]</v>
      </c>
      <c r="N30" s="41" t="str">
        <f t="shared" si="53"/>
        <v>[effect:heal, target:enemy_one, val:0.1, animation:enemy_heal]</v>
      </c>
      <c r="O30" s="55">
        <f t="shared" si="7"/>
        <v>9</v>
      </c>
      <c r="P30" s="55">
        <f t="shared" si="46"/>
        <v>13</v>
      </c>
      <c r="Q30" s="55">
        <f t="shared" si="47"/>
        <v>22</v>
      </c>
      <c r="R30" s="55">
        <f t="shared" si="48"/>
        <v>31</v>
      </c>
      <c r="S30" s="55" t="str">
        <f>IFERROR(VLOOKUP(MID(N30,Q30,R30-Q30),[6]skilldef!$C:$D,2,FALSE),"-") &amp; " / " &amp; IFERROR(VLOOKUP(MID(N30,O30,P30-O30),[6]skilldef!$A:$B,2,FALSE),"-")</f>
        <v>敵単体に / 回復</v>
      </c>
      <c r="T30" s="41" t="str">
        <f t="shared" si="49"/>
        <v>none</v>
      </c>
      <c r="U30" s="55" t="e">
        <f t="shared" si="12"/>
        <v>#VALUE!</v>
      </c>
      <c r="V30" s="55">
        <f t="shared" si="50"/>
        <v>4</v>
      </c>
      <c r="W30" s="55" t="e">
        <f t="shared" si="51"/>
        <v>#VALUE!</v>
      </c>
      <c r="X30" s="55" t="e">
        <f t="shared" si="52"/>
        <v>#VALUE!</v>
      </c>
      <c r="Y30" s="55" t="str">
        <f>IFERROR(VLOOKUP(MID(T30,W30,X30-W30),[6]skilldef!$C:$D,2,FALSE),"-") &amp; " / " &amp; IFERROR(VLOOKUP(MID(T30,U30,V30-U30),[6]skilldef!$A:$B,2,FALSE),"-")</f>
        <v>- / -</v>
      </c>
      <c r="Z30" s="43"/>
      <c r="AA30" s="45"/>
      <c r="AB30" s="43"/>
    </row>
    <row r="31" spans="1:28" ht="21" customHeight="1" x14ac:dyDescent="0.15">
      <c r="A31" s="40">
        <v>30028034</v>
      </c>
      <c r="B31" s="40" t="s">
        <v>232</v>
      </c>
      <c r="C31" s="43">
        <v>3</v>
      </c>
      <c r="D31" s="43" t="s">
        <v>126</v>
      </c>
      <c r="E31" s="44" t="s">
        <v>324</v>
      </c>
      <c r="F31" s="44" t="s">
        <v>281</v>
      </c>
      <c r="G31" s="55" t="str">
        <f t="shared" si="41"/>
        <v xml:space="preserve">[effect:rush, count:4, val:0.3]    </v>
      </c>
      <c r="H31" s="55">
        <f t="shared" si="2"/>
        <v>9</v>
      </c>
      <c r="I31" s="55">
        <f t="shared" si="42"/>
        <v>13</v>
      </c>
      <c r="J31" s="55" t="e">
        <f t="shared" si="43"/>
        <v>#VALUE!</v>
      </c>
      <c r="K31" s="55">
        <f t="shared" si="44"/>
        <v>22</v>
      </c>
      <c r="L31" s="55" t="str">
        <f>IFERROR(VLOOKUP(MID(G31,J31,K31-J31),[6]skilldef!$C:$D,2,FALSE),"-") &amp; " / " &amp; IFERROR(VLOOKUP(MID(G31,H31,I31-H31),[6]skilldef!$A:$B,2,FALSE),"-")</f>
        <v>- / 連続攻撃</v>
      </c>
      <c r="M31" s="55" t="str">
        <f t="shared" si="45"/>
        <v>none</v>
      </c>
      <c r="N31" s="41" t="str">
        <f t="shared" si="53"/>
        <v>none</v>
      </c>
      <c r="O31" s="55" t="e">
        <f t="shared" si="7"/>
        <v>#VALUE!</v>
      </c>
      <c r="P31" s="55">
        <f t="shared" si="46"/>
        <v>4</v>
      </c>
      <c r="Q31" s="55" t="e">
        <f t="shared" si="47"/>
        <v>#VALUE!</v>
      </c>
      <c r="R31" s="55" t="e">
        <f t="shared" si="48"/>
        <v>#VALUE!</v>
      </c>
      <c r="S31" s="55" t="str">
        <f>IFERROR(VLOOKUP(MID(N31,Q31,R31-Q31),[6]skilldef!$C:$D,2,FALSE),"-") &amp; " / " &amp; IFERROR(VLOOKUP(MID(N31,O31,P31-O31),[6]skilldef!$A:$B,2,FALSE),"-")</f>
        <v>- / -</v>
      </c>
      <c r="T31" s="41" t="str">
        <f t="shared" si="49"/>
        <v>none</v>
      </c>
      <c r="U31" s="55" t="e">
        <f t="shared" si="12"/>
        <v>#VALUE!</v>
      </c>
      <c r="V31" s="55">
        <f t="shared" si="50"/>
        <v>4</v>
      </c>
      <c r="W31" s="55" t="e">
        <f t="shared" si="51"/>
        <v>#VALUE!</v>
      </c>
      <c r="X31" s="55" t="e">
        <f t="shared" si="52"/>
        <v>#VALUE!</v>
      </c>
      <c r="Y31" s="55" t="str">
        <f>IFERROR(VLOOKUP(MID(T31,W31,X31-W31),[6]skilldef!$C:$D,2,FALSE),"-") &amp; " / " &amp; IFERROR(VLOOKUP(MID(T31,U31,V31-U31),[6]skilldef!$A:$B,2,FALSE),"-")</f>
        <v>- / -</v>
      </c>
      <c r="Z31" s="43"/>
      <c r="AA31" s="45"/>
      <c r="AB31" s="43"/>
    </row>
    <row r="32" spans="1:28" ht="21" customHeight="1" x14ac:dyDescent="0.15">
      <c r="A32" s="40">
        <v>30028035</v>
      </c>
      <c r="B32" s="40" t="s">
        <v>247</v>
      </c>
      <c r="C32" s="43">
        <v>3</v>
      </c>
      <c r="D32" s="43" t="s">
        <v>126</v>
      </c>
      <c r="E32" s="44" t="s">
        <v>270</v>
      </c>
      <c r="F32" s="44" t="s">
        <v>285</v>
      </c>
      <c r="G32" s="55" t="str">
        <f t="shared" ref="G32" si="54">IFERROR(LEFT(B32,FIND("],",B32)),B32)</f>
        <v>[effect:damage_anti_abnormal, target:unit_all, target_effect01:virus, val1:0.4, val2:0.3]</v>
      </c>
      <c r="H32" s="55">
        <f t="shared" ref="H32:H33" si="55">FIND("effect:",G32)+7</f>
        <v>9</v>
      </c>
      <c r="I32" s="55">
        <f t="shared" ref="I32:I33" si="56">IFERROR(FIND(",",G32),LEN(G32))</f>
        <v>29</v>
      </c>
      <c r="J32" s="55">
        <f t="shared" ref="J32:J33" si="57">FIND("target:",G32)+7</f>
        <v>38</v>
      </c>
      <c r="K32" s="55">
        <f t="shared" ref="K32:K33" si="58">FIND(",",G32,I32+1)</f>
        <v>46</v>
      </c>
      <c r="L32" s="55" t="str">
        <f>IFERROR(VLOOKUP(MID(G32,J32,K32-J32),[6]skilldef!$C:$D,2,FALSE),"-") &amp; " / " &amp; IFERROR(VLOOKUP(MID(G32,H32,I32-H32),[6]skilldef!$A:$B,2,FALSE),"-")</f>
        <v>味方全体に / -</v>
      </c>
      <c r="M32" s="55" t="str">
        <f t="shared" ref="M32" si="59">IFERROR(RIGHT(B32,LEN(B32)-FIND("],",B32)-1),"none")</f>
        <v>[effect:heal, target:enemy_one, val:0.05, animation:enemy_heal]</v>
      </c>
      <c r="N32" s="41" t="str">
        <f t="shared" ref="N32" si="60">IFERROR(LEFT(M32,FIND("],",M32)+S42),M32)</f>
        <v>[effect:heal, target:enemy_one, val:0.05, animation:enemy_heal]</v>
      </c>
      <c r="O32" s="55">
        <f t="shared" ref="O32:O33" si="61">FIND("effect:",N32)+7</f>
        <v>9</v>
      </c>
      <c r="P32" s="55">
        <f t="shared" ref="P32:P33" si="62">IFERROR(FIND(",",N32),LEN(N32))</f>
        <v>13</v>
      </c>
      <c r="Q32" s="55">
        <f t="shared" ref="Q32:Q33" si="63">FIND("target:",N32)+7</f>
        <v>22</v>
      </c>
      <c r="R32" s="55">
        <f t="shared" ref="R32:R33" si="64">FIND(",",N32,P32+1)</f>
        <v>31</v>
      </c>
      <c r="S32" s="55" t="str">
        <f>IFERROR(VLOOKUP(MID(N32,Q32,R32-Q32),[6]skilldef!$C:$D,2,FALSE),"-") &amp; " / " &amp; IFERROR(VLOOKUP(MID(N32,O32,P32-O32),[6]skilldef!$A:$B,2,FALSE),"-")</f>
        <v>敵単体に / 回復</v>
      </c>
      <c r="T32" s="41" t="str">
        <f t="shared" ref="T32:T33" si="65">IFERROR(RIGHT(M32,LEN(M32)-FIND("],",M32)-1),"none")</f>
        <v>none</v>
      </c>
      <c r="U32" s="55" t="e">
        <f t="shared" ref="U32:U33" si="66">FIND("effect:",T32)+7</f>
        <v>#VALUE!</v>
      </c>
      <c r="V32" s="55">
        <f t="shared" ref="V32:V33" si="67">IFERROR(FIND(",",T32),LEN(T32))</f>
        <v>4</v>
      </c>
      <c r="W32" s="55" t="e">
        <f t="shared" ref="W32:W33" si="68">FIND("target:",T32)+7</f>
        <v>#VALUE!</v>
      </c>
      <c r="X32" s="55" t="e">
        <f t="shared" ref="X32:X33" si="69">FIND(",",T32,V32+1)</f>
        <v>#VALUE!</v>
      </c>
      <c r="Y32" s="55" t="str">
        <f>IFERROR(VLOOKUP(MID(T32,W32,X32-W32),[6]skilldef!$C:$D,2,FALSE),"-") &amp; " / " &amp; IFERROR(VLOOKUP(MID(T32,U32,V32-U32),[6]skilldef!$A:$B,2,FALSE),"-")</f>
        <v>- / -</v>
      </c>
      <c r="Z32" s="43"/>
      <c r="AA32" s="45"/>
      <c r="AB32" s="43"/>
    </row>
    <row r="33" spans="1:28" ht="21" customHeight="1" x14ac:dyDescent="0.15">
      <c r="A33" s="40">
        <v>30028036</v>
      </c>
      <c r="B33" s="40" t="s">
        <v>320</v>
      </c>
      <c r="C33" s="43">
        <v>3</v>
      </c>
      <c r="D33" s="43" t="s">
        <v>126</v>
      </c>
      <c r="E33" s="44" t="s">
        <v>315</v>
      </c>
      <c r="F33" s="44" t="s">
        <v>314</v>
      </c>
      <c r="G33" s="55" t="e">
        <f>IFERROR(LEFT(#REF!,FIND("],",#REF!)),#REF!)</f>
        <v>#REF!</v>
      </c>
      <c r="H33" s="55" t="e">
        <f t="shared" si="55"/>
        <v>#REF!</v>
      </c>
      <c r="I33" s="55" t="e">
        <f t="shared" si="56"/>
        <v>#REF!</v>
      </c>
      <c r="J33" s="55" t="e">
        <f t="shared" si="57"/>
        <v>#REF!</v>
      </c>
      <c r="K33" s="55" t="e">
        <f t="shared" si="58"/>
        <v>#REF!</v>
      </c>
      <c r="L33" s="55" t="str">
        <f>IFERROR(VLOOKUP(MID(G33,J33,K33-J33),[6]skilldef!$C:$D,2,FALSE),"-") &amp; " / " &amp; IFERROR(VLOOKUP(MID(G33,H33,I33-H33),[6]skilldef!$A:$B,2,FALSE),"-")</f>
        <v>- / -</v>
      </c>
      <c r="M33" s="55" t="str">
        <f>IFERROR(RIGHT(#REF!,LEN(#REF!)-FIND("],",#REF!)-1),"none")</f>
        <v>none</v>
      </c>
      <c r="N33" s="41" t="str">
        <f t="shared" ref="N33" si="70">IFERROR(LEFT(M33,FIND("],",M33)+S40),M33)</f>
        <v>none</v>
      </c>
      <c r="O33" s="55" t="e">
        <f t="shared" si="61"/>
        <v>#VALUE!</v>
      </c>
      <c r="P33" s="55">
        <f t="shared" si="62"/>
        <v>4</v>
      </c>
      <c r="Q33" s="55" t="e">
        <f t="shared" si="63"/>
        <v>#VALUE!</v>
      </c>
      <c r="R33" s="55" t="e">
        <f t="shared" si="64"/>
        <v>#VALUE!</v>
      </c>
      <c r="S33" s="55" t="str">
        <f>IFERROR(VLOOKUP(MID(N33,Q33,R33-Q33),[6]skilldef!$C:$D,2,FALSE),"-") &amp; " / " &amp; IFERROR(VLOOKUP(MID(N33,O33,P33-O33),[6]skilldef!$A:$B,2,FALSE),"-")</f>
        <v>- / -</v>
      </c>
      <c r="T33" s="41" t="str">
        <f t="shared" si="65"/>
        <v>none</v>
      </c>
      <c r="U33" s="55" t="e">
        <f t="shared" si="66"/>
        <v>#VALUE!</v>
      </c>
      <c r="V33" s="55">
        <f t="shared" si="67"/>
        <v>4</v>
      </c>
      <c r="W33" s="55" t="e">
        <f t="shared" si="68"/>
        <v>#VALUE!</v>
      </c>
      <c r="X33" s="55" t="e">
        <f t="shared" si="69"/>
        <v>#VALUE!</v>
      </c>
      <c r="Y33" s="55" t="str">
        <f>IFERROR(VLOOKUP(MID(T33,W33,X33-W33),[6]skilldef!$C:$D,2,FALSE),"-") &amp; " / " &amp; IFERROR(VLOOKUP(MID(T33,U33,V33-U33),[6]skilldef!$A:$B,2,FALSE),"-")</f>
        <v>- / -</v>
      </c>
      <c r="Z33" s="43"/>
      <c r="AA33" s="45"/>
      <c r="AB33" s="4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0"/>
  <sheetViews>
    <sheetView showGridLines="0" zoomScale="125" zoomScaleNormal="125" zoomScalePageLayoutView="125" workbookViewId="0">
      <pane ySplit="1" topLeftCell="A2" activePane="bottomLeft" state="frozenSplit"/>
      <selection pane="bottomLeft" activeCell="D15" sqref="D15"/>
    </sheetView>
  </sheetViews>
  <sheetFormatPr baseColWidth="12" defaultColWidth="12.83203125" defaultRowHeight="21" customHeight="1" x14ac:dyDescent="0.15"/>
  <cols>
    <col min="1" max="1" width="16.1640625" style="42" bestFit="1" customWidth="1"/>
    <col min="2" max="2" width="13.33203125" style="42" bestFit="1" customWidth="1"/>
    <col min="3" max="3" width="11.83203125" style="42" bestFit="1" customWidth="1"/>
    <col min="4" max="4" width="14.6640625" style="42" bestFit="1" customWidth="1"/>
    <col min="5" max="5" width="15.6640625" style="42" bestFit="1" customWidth="1"/>
    <col min="6" max="6" width="17" style="42" bestFit="1" customWidth="1"/>
    <col min="7" max="7" width="15.6640625" style="42" bestFit="1" customWidth="1"/>
    <col min="8" max="9" width="14.6640625" style="42" customWidth="1"/>
    <col min="10" max="10" width="14.6640625" style="42" bestFit="1" customWidth="1"/>
    <col min="11" max="11" width="22.83203125" style="33" bestFit="1" customWidth="1"/>
    <col min="12" max="16384" width="12.83203125" style="38"/>
  </cols>
  <sheetData>
    <row r="1" spans="1:11" ht="21" customHeight="1" thickBot="1" x14ac:dyDescent="0.2">
      <c r="A1" s="36" t="s">
        <v>84</v>
      </c>
      <c r="B1" s="46" t="s">
        <v>85</v>
      </c>
      <c r="C1" s="46" t="s">
        <v>86</v>
      </c>
      <c r="D1" s="46" t="s">
        <v>87</v>
      </c>
      <c r="E1" s="46" t="s">
        <v>70</v>
      </c>
      <c r="F1" s="46" t="s">
        <v>71</v>
      </c>
      <c r="G1" s="46" t="s">
        <v>72</v>
      </c>
      <c r="H1" s="46" t="s">
        <v>73</v>
      </c>
      <c r="I1" s="46" t="s">
        <v>74</v>
      </c>
      <c r="J1" s="46" t="s">
        <v>75</v>
      </c>
      <c r="K1" s="47" t="s">
        <v>88</v>
      </c>
    </row>
    <row r="2" spans="1:11" ht="21" customHeight="1" x14ac:dyDescent="0.15">
      <c r="A2" s="193">
        <v>30028001</v>
      </c>
      <c r="B2" s="194">
        <v>0</v>
      </c>
      <c r="C2" s="179" t="s">
        <v>223</v>
      </c>
      <c r="D2" s="179">
        <v>50</v>
      </c>
      <c r="E2" s="179" t="s">
        <v>223</v>
      </c>
      <c r="F2" s="179" t="s">
        <v>224</v>
      </c>
      <c r="G2" s="179" t="s">
        <v>223</v>
      </c>
      <c r="H2" s="179" t="s">
        <v>224</v>
      </c>
      <c r="I2" s="179" t="s">
        <v>224</v>
      </c>
      <c r="J2" s="195">
        <f t="shared" ref="J2:J29" si="0">D2</f>
        <v>50</v>
      </c>
    </row>
    <row r="3" spans="1:11" ht="21" customHeight="1" x14ac:dyDescent="0.15">
      <c r="A3" s="193">
        <v>30028002</v>
      </c>
      <c r="B3" s="196">
        <v>0</v>
      </c>
      <c r="C3" s="41">
        <v>1</v>
      </c>
      <c r="D3" s="41">
        <v>100</v>
      </c>
      <c r="E3" s="41" t="s">
        <v>223</v>
      </c>
      <c r="F3" s="41" t="s">
        <v>224</v>
      </c>
      <c r="G3" s="41" t="s">
        <v>223</v>
      </c>
      <c r="H3" s="41">
        <v>5</v>
      </c>
      <c r="I3" s="41" t="s">
        <v>224</v>
      </c>
      <c r="J3" s="197">
        <f t="shared" si="0"/>
        <v>100</v>
      </c>
    </row>
    <row r="4" spans="1:11" ht="21" customHeight="1" x14ac:dyDescent="0.15">
      <c r="A4" s="193">
        <v>30028003</v>
      </c>
      <c r="B4" s="196">
        <v>1</v>
      </c>
      <c r="C4" s="41" t="s">
        <v>223</v>
      </c>
      <c r="D4" s="41">
        <v>100</v>
      </c>
      <c r="E4" s="41" t="s">
        <v>223</v>
      </c>
      <c r="F4" s="41" t="s">
        <v>224</v>
      </c>
      <c r="G4" s="41">
        <v>1</v>
      </c>
      <c r="H4" s="41" t="s">
        <v>224</v>
      </c>
      <c r="I4" s="41" t="s">
        <v>224</v>
      </c>
      <c r="J4" s="197">
        <f t="shared" si="0"/>
        <v>100</v>
      </c>
    </row>
    <row r="5" spans="1:11" ht="21" customHeight="1" x14ac:dyDescent="0.15">
      <c r="A5" s="193">
        <v>30028004</v>
      </c>
      <c r="B5" s="196">
        <v>0</v>
      </c>
      <c r="C5" s="41">
        <v>1</v>
      </c>
      <c r="D5" s="41">
        <v>100</v>
      </c>
      <c r="E5" s="41" t="s">
        <v>223</v>
      </c>
      <c r="F5" s="41" t="s">
        <v>224</v>
      </c>
      <c r="G5" s="41" t="s">
        <v>223</v>
      </c>
      <c r="H5" s="41" t="s">
        <v>237</v>
      </c>
      <c r="I5" s="41">
        <v>132</v>
      </c>
      <c r="J5" s="197">
        <f t="shared" si="0"/>
        <v>100</v>
      </c>
    </row>
    <row r="6" spans="1:11" ht="21" customHeight="1" x14ac:dyDescent="0.15">
      <c r="A6" s="193">
        <v>30028005</v>
      </c>
      <c r="B6" s="196">
        <v>1</v>
      </c>
      <c r="C6" s="41" t="s">
        <v>223</v>
      </c>
      <c r="D6" s="41">
        <v>100</v>
      </c>
      <c r="E6" s="41" t="s">
        <v>223</v>
      </c>
      <c r="F6" s="41" t="s">
        <v>224</v>
      </c>
      <c r="G6" s="41">
        <v>1</v>
      </c>
      <c r="H6" s="41" t="s">
        <v>224</v>
      </c>
      <c r="I6" s="41" t="s">
        <v>224</v>
      </c>
      <c r="J6" s="197">
        <f t="shared" si="0"/>
        <v>100</v>
      </c>
    </row>
    <row r="7" spans="1:11" ht="21" customHeight="1" x14ac:dyDescent="0.15">
      <c r="A7" s="193">
        <v>30028006</v>
      </c>
      <c r="B7" s="196">
        <v>0</v>
      </c>
      <c r="C7" s="41">
        <v>5</v>
      </c>
      <c r="D7" s="41">
        <v>100</v>
      </c>
      <c r="E7" s="41">
        <v>50</v>
      </c>
      <c r="F7" s="41" t="s">
        <v>224</v>
      </c>
      <c r="G7" s="41">
        <v>1</v>
      </c>
      <c r="H7" s="41" t="s">
        <v>224</v>
      </c>
      <c r="I7" s="41" t="s">
        <v>224</v>
      </c>
      <c r="J7" s="197">
        <f t="shared" si="0"/>
        <v>100</v>
      </c>
    </row>
    <row r="8" spans="1:11" ht="21" customHeight="1" x14ac:dyDescent="0.15">
      <c r="A8" s="193">
        <v>30028007</v>
      </c>
      <c r="B8" s="196">
        <v>0</v>
      </c>
      <c r="C8" s="41">
        <v>4</v>
      </c>
      <c r="D8" s="41">
        <v>100</v>
      </c>
      <c r="E8" s="41">
        <v>50</v>
      </c>
      <c r="F8" s="41" t="s">
        <v>224</v>
      </c>
      <c r="G8" s="41">
        <v>1</v>
      </c>
      <c r="H8" s="41" t="s">
        <v>224</v>
      </c>
      <c r="I8" s="41" t="s">
        <v>224</v>
      </c>
      <c r="J8" s="197">
        <f t="shared" si="0"/>
        <v>100</v>
      </c>
    </row>
    <row r="9" spans="1:11" ht="21" customHeight="1" x14ac:dyDescent="0.15">
      <c r="A9" s="193">
        <v>30028008</v>
      </c>
      <c r="B9" s="196">
        <v>0</v>
      </c>
      <c r="C9" s="41" t="s">
        <v>223</v>
      </c>
      <c r="D9" s="41">
        <v>60</v>
      </c>
      <c r="E9" s="41" t="s">
        <v>223</v>
      </c>
      <c r="F9" s="41" t="s">
        <v>224</v>
      </c>
      <c r="G9" s="41">
        <v>1</v>
      </c>
      <c r="H9" s="41" t="s">
        <v>224</v>
      </c>
      <c r="I9" s="41" t="s">
        <v>224</v>
      </c>
      <c r="J9" s="197">
        <f t="shared" si="0"/>
        <v>60</v>
      </c>
    </row>
    <row r="10" spans="1:11" ht="21" customHeight="1" x14ac:dyDescent="0.15">
      <c r="A10" s="193">
        <v>30028009</v>
      </c>
      <c r="B10" s="196">
        <v>0</v>
      </c>
      <c r="C10" s="41">
        <v>1</v>
      </c>
      <c r="D10" s="41">
        <v>60</v>
      </c>
      <c r="E10" s="41" t="s">
        <v>223</v>
      </c>
      <c r="F10" s="41" t="s">
        <v>224</v>
      </c>
      <c r="G10" s="41" t="s">
        <v>223</v>
      </c>
      <c r="H10" s="41" t="s">
        <v>224</v>
      </c>
      <c r="I10" s="41" t="s">
        <v>224</v>
      </c>
      <c r="J10" s="197">
        <f t="shared" si="0"/>
        <v>60</v>
      </c>
    </row>
    <row r="11" spans="1:11" ht="21" customHeight="1" x14ac:dyDescent="0.15">
      <c r="A11" s="193">
        <v>30028010</v>
      </c>
      <c r="B11" s="196">
        <v>1</v>
      </c>
      <c r="C11" s="41" t="s">
        <v>223</v>
      </c>
      <c r="D11" s="41">
        <v>100</v>
      </c>
      <c r="E11" s="41" t="s">
        <v>223</v>
      </c>
      <c r="F11" s="41" t="s">
        <v>224</v>
      </c>
      <c r="G11" s="41">
        <v>1</v>
      </c>
      <c r="H11" s="41" t="s">
        <v>224</v>
      </c>
      <c r="I11" s="41" t="s">
        <v>224</v>
      </c>
      <c r="J11" s="197">
        <f t="shared" si="0"/>
        <v>100</v>
      </c>
    </row>
    <row r="12" spans="1:11" ht="21" customHeight="1" x14ac:dyDescent="0.15">
      <c r="A12" s="193">
        <v>30028011</v>
      </c>
      <c r="B12" s="196">
        <v>0</v>
      </c>
      <c r="C12" s="41">
        <v>5</v>
      </c>
      <c r="D12" s="41">
        <v>100</v>
      </c>
      <c r="E12" s="41">
        <v>50</v>
      </c>
      <c r="F12" s="41" t="s">
        <v>224</v>
      </c>
      <c r="G12" s="41">
        <v>1</v>
      </c>
      <c r="H12" s="41" t="s">
        <v>224</v>
      </c>
      <c r="I12" s="41" t="s">
        <v>224</v>
      </c>
      <c r="J12" s="197">
        <f t="shared" si="0"/>
        <v>100</v>
      </c>
    </row>
    <row r="13" spans="1:11" ht="21" customHeight="1" x14ac:dyDescent="0.15">
      <c r="A13" s="193">
        <v>30028012</v>
      </c>
      <c r="B13" s="196">
        <v>0</v>
      </c>
      <c r="C13" s="41">
        <v>4</v>
      </c>
      <c r="D13" s="41">
        <v>100</v>
      </c>
      <c r="E13" s="41">
        <v>50</v>
      </c>
      <c r="F13" s="41" t="s">
        <v>224</v>
      </c>
      <c r="G13" s="41">
        <v>1</v>
      </c>
      <c r="H13" s="41" t="s">
        <v>224</v>
      </c>
      <c r="I13" s="41" t="s">
        <v>224</v>
      </c>
      <c r="J13" s="197">
        <f t="shared" si="0"/>
        <v>100</v>
      </c>
    </row>
    <row r="14" spans="1:11" ht="21" customHeight="1" x14ac:dyDescent="0.15">
      <c r="A14" s="193">
        <v>30028013</v>
      </c>
      <c r="B14" s="196">
        <v>0</v>
      </c>
      <c r="C14" s="41" t="s">
        <v>223</v>
      </c>
      <c r="D14" s="41">
        <v>50</v>
      </c>
      <c r="E14" s="41" t="s">
        <v>223</v>
      </c>
      <c r="F14" s="41" t="s">
        <v>224</v>
      </c>
      <c r="G14" s="41">
        <v>1</v>
      </c>
      <c r="H14" s="41" t="s">
        <v>224</v>
      </c>
      <c r="I14" s="41" t="s">
        <v>224</v>
      </c>
      <c r="J14" s="197">
        <f t="shared" si="0"/>
        <v>50</v>
      </c>
    </row>
    <row r="15" spans="1:11" ht="21" customHeight="1" x14ac:dyDescent="0.15">
      <c r="A15" s="193">
        <v>30028014</v>
      </c>
      <c r="B15" s="196">
        <v>0</v>
      </c>
      <c r="C15" s="41">
        <v>1</v>
      </c>
      <c r="D15" s="41">
        <v>50</v>
      </c>
      <c r="E15" s="41" t="s">
        <v>223</v>
      </c>
      <c r="F15" s="41" t="s">
        <v>224</v>
      </c>
      <c r="G15" s="41" t="s">
        <v>223</v>
      </c>
      <c r="H15" s="41" t="s">
        <v>224</v>
      </c>
      <c r="I15" s="41" t="s">
        <v>224</v>
      </c>
      <c r="J15" s="197">
        <f t="shared" si="0"/>
        <v>50</v>
      </c>
    </row>
    <row r="16" spans="1:11" ht="21" customHeight="1" x14ac:dyDescent="0.15">
      <c r="A16" s="193">
        <v>30028015</v>
      </c>
      <c r="B16" s="196">
        <v>0</v>
      </c>
      <c r="C16" s="41">
        <v>1</v>
      </c>
      <c r="D16" s="41">
        <v>40</v>
      </c>
      <c r="E16" s="41" t="s">
        <v>223</v>
      </c>
      <c r="F16" s="41" t="s">
        <v>224</v>
      </c>
      <c r="G16" s="41" t="s">
        <v>223</v>
      </c>
      <c r="H16" s="41" t="s">
        <v>224</v>
      </c>
      <c r="I16" s="41" t="s">
        <v>224</v>
      </c>
      <c r="J16" s="197">
        <f t="shared" si="0"/>
        <v>40</v>
      </c>
    </row>
    <row r="17" spans="1:10" ht="21" customHeight="1" x14ac:dyDescent="0.15">
      <c r="A17" s="193">
        <v>30028016</v>
      </c>
      <c r="B17" s="196">
        <v>0</v>
      </c>
      <c r="C17" s="41">
        <v>1</v>
      </c>
      <c r="D17" s="41">
        <v>100</v>
      </c>
      <c r="E17" s="41">
        <v>50</v>
      </c>
      <c r="F17" s="41" t="s">
        <v>224</v>
      </c>
      <c r="G17" s="41">
        <v>1</v>
      </c>
      <c r="H17" s="41" t="s">
        <v>224</v>
      </c>
      <c r="I17" s="41" t="s">
        <v>224</v>
      </c>
      <c r="J17" s="197">
        <f t="shared" si="0"/>
        <v>100</v>
      </c>
    </row>
    <row r="18" spans="1:10" ht="21" customHeight="1" x14ac:dyDescent="0.15">
      <c r="A18" s="193">
        <v>30028017</v>
      </c>
      <c r="B18" s="196">
        <v>1</v>
      </c>
      <c r="C18" s="41" t="s">
        <v>223</v>
      </c>
      <c r="D18" s="41">
        <v>100</v>
      </c>
      <c r="E18" s="41" t="s">
        <v>223</v>
      </c>
      <c r="F18" s="41" t="s">
        <v>224</v>
      </c>
      <c r="G18" s="41">
        <v>1</v>
      </c>
      <c r="H18" s="41" t="s">
        <v>224</v>
      </c>
      <c r="I18" s="41" t="s">
        <v>224</v>
      </c>
      <c r="J18" s="197">
        <f t="shared" si="0"/>
        <v>100</v>
      </c>
    </row>
    <row r="19" spans="1:10" ht="21" customHeight="1" x14ac:dyDescent="0.15">
      <c r="A19" s="193">
        <v>30028020</v>
      </c>
      <c r="B19" s="196">
        <v>0</v>
      </c>
      <c r="C19" s="41">
        <v>3</v>
      </c>
      <c r="D19" s="41">
        <v>100</v>
      </c>
      <c r="E19" s="41" t="s">
        <v>223</v>
      </c>
      <c r="F19" s="41" t="s">
        <v>224</v>
      </c>
      <c r="G19" s="41">
        <v>1</v>
      </c>
      <c r="H19" s="41">
        <v>10</v>
      </c>
      <c r="I19" s="41" t="s">
        <v>224</v>
      </c>
      <c r="J19" s="197">
        <f t="shared" si="0"/>
        <v>100</v>
      </c>
    </row>
    <row r="20" spans="1:10" ht="21" customHeight="1" x14ac:dyDescent="0.15">
      <c r="A20" s="193">
        <v>30028021</v>
      </c>
      <c r="B20" s="196">
        <v>0</v>
      </c>
      <c r="C20" s="41" t="s">
        <v>223</v>
      </c>
      <c r="D20" s="41">
        <v>70</v>
      </c>
      <c r="E20" s="41" t="s">
        <v>223</v>
      </c>
      <c r="F20" s="41" t="s">
        <v>224</v>
      </c>
      <c r="G20" s="41" t="s">
        <v>223</v>
      </c>
      <c r="H20" s="41" t="s">
        <v>224</v>
      </c>
      <c r="I20" s="41" t="s">
        <v>224</v>
      </c>
      <c r="J20" s="197">
        <f t="shared" si="0"/>
        <v>70</v>
      </c>
    </row>
    <row r="21" spans="1:10" ht="21" customHeight="1" x14ac:dyDescent="0.15">
      <c r="A21" s="193">
        <v>30028022</v>
      </c>
      <c r="B21" s="196">
        <v>0</v>
      </c>
      <c r="C21" s="41">
        <v>9</v>
      </c>
      <c r="D21" s="41">
        <v>100</v>
      </c>
      <c r="E21" s="41">
        <v>50</v>
      </c>
      <c r="F21" s="41" t="s">
        <v>224</v>
      </c>
      <c r="G21" s="41">
        <v>1</v>
      </c>
      <c r="H21" s="41" t="s">
        <v>224</v>
      </c>
      <c r="I21" s="41" t="s">
        <v>224</v>
      </c>
      <c r="J21" s="197">
        <f t="shared" si="0"/>
        <v>100</v>
      </c>
    </row>
    <row r="22" spans="1:10" ht="21" customHeight="1" x14ac:dyDescent="0.15">
      <c r="A22" s="193">
        <v>30028023</v>
      </c>
      <c r="B22" s="196">
        <v>0</v>
      </c>
      <c r="C22" s="41">
        <v>8</v>
      </c>
      <c r="D22" s="41">
        <v>100</v>
      </c>
      <c r="E22" s="41">
        <v>50</v>
      </c>
      <c r="F22" s="41" t="s">
        <v>224</v>
      </c>
      <c r="G22" s="41">
        <v>1</v>
      </c>
      <c r="H22" s="41" t="s">
        <v>224</v>
      </c>
      <c r="I22" s="41" t="s">
        <v>224</v>
      </c>
      <c r="J22" s="197">
        <f t="shared" si="0"/>
        <v>100</v>
      </c>
    </row>
    <row r="23" spans="1:10" ht="21" customHeight="1" x14ac:dyDescent="0.15">
      <c r="A23" s="193">
        <v>30028024</v>
      </c>
      <c r="B23" s="196">
        <v>0</v>
      </c>
      <c r="C23" s="41" t="s">
        <v>223</v>
      </c>
      <c r="D23" s="41">
        <v>30</v>
      </c>
      <c r="E23" s="41" t="s">
        <v>223</v>
      </c>
      <c r="F23" s="41" t="s">
        <v>224</v>
      </c>
      <c r="G23" s="41" t="s">
        <v>223</v>
      </c>
      <c r="H23" s="41" t="s">
        <v>224</v>
      </c>
      <c r="I23" s="41" t="s">
        <v>224</v>
      </c>
      <c r="J23" s="197">
        <f t="shared" si="0"/>
        <v>30</v>
      </c>
    </row>
    <row r="24" spans="1:10" ht="21" customHeight="1" x14ac:dyDescent="0.15">
      <c r="A24" s="193">
        <v>30028026</v>
      </c>
      <c r="B24" s="196">
        <v>1</v>
      </c>
      <c r="C24" s="41" t="s">
        <v>223</v>
      </c>
      <c r="D24" s="41">
        <v>100</v>
      </c>
      <c r="E24" s="41" t="s">
        <v>223</v>
      </c>
      <c r="F24" s="41" t="s">
        <v>224</v>
      </c>
      <c r="G24" s="41">
        <v>1</v>
      </c>
      <c r="H24" s="41" t="s">
        <v>224</v>
      </c>
      <c r="I24" s="41" t="s">
        <v>224</v>
      </c>
      <c r="J24" s="197">
        <f t="shared" si="0"/>
        <v>100</v>
      </c>
    </row>
    <row r="25" spans="1:10" ht="21" customHeight="1" x14ac:dyDescent="0.15">
      <c r="A25" s="193">
        <v>30028029</v>
      </c>
      <c r="B25" s="196">
        <v>0</v>
      </c>
      <c r="C25" s="41">
        <v>3</v>
      </c>
      <c r="D25" s="41">
        <v>100</v>
      </c>
      <c r="E25" s="41" t="s">
        <v>223</v>
      </c>
      <c r="F25" s="41" t="s">
        <v>224</v>
      </c>
      <c r="G25" s="41">
        <v>1</v>
      </c>
      <c r="H25" s="41">
        <v>10</v>
      </c>
      <c r="I25" s="41" t="s">
        <v>224</v>
      </c>
      <c r="J25" s="197">
        <f t="shared" si="0"/>
        <v>100</v>
      </c>
    </row>
    <row r="26" spans="1:10" ht="21" customHeight="1" x14ac:dyDescent="0.15">
      <c r="A26" s="193">
        <v>30028030</v>
      </c>
      <c r="B26" s="196">
        <v>0</v>
      </c>
      <c r="C26" s="41" t="s">
        <v>223</v>
      </c>
      <c r="D26" s="41">
        <v>70</v>
      </c>
      <c r="E26" s="41" t="s">
        <v>223</v>
      </c>
      <c r="F26" s="41" t="s">
        <v>224</v>
      </c>
      <c r="G26" s="41" t="s">
        <v>223</v>
      </c>
      <c r="H26" s="41" t="s">
        <v>224</v>
      </c>
      <c r="I26" s="41" t="s">
        <v>224</v>
      </c>
      <c r="J26" s="197">
        <f t="shared" si="0"/>
        <v>70</v>
      </c>
    </row>
    <row r="27" spans="1:10" ht="21" customHeight="1" x14ac:dyDescent="0.15">
      <c r="A27" s="193">
        <v>30028031</v>
      </c>
      <c r="B27" s="196">
        <v>0</v>
      </c>
      <c r="C27" s="41">
        <v>9</v>
      </c>
      <c r="D27" s="41">
        <v>100</v>
      </c>
      <c r="E27" s="41">
        <v>50</v>
      </c>
      <c r="F27" s="41" t="s">
        <v>224</v>
      </c>
      <c r="G27" s="41">
        <v>1</v>
      </c>
      <c r="H27" s="41" t="s">
        <v>224</v>
      </c>
      <c r="I27" s="41" t="s">
        <v>224</v>
      </c>
      <c r="J27" s="197">
        <f t="shared" si="0"/>
        <v>100</v>
      </c>
    </row>
    <row r="28" spans="1:10" ht="21" customHeight="1" x14ac:dyDescent="0.15">
      <c r="A28" s="193">
        <v>30028032</v>
      </c>
      <c r="B28" s="196">
        <v>0</v>
      </c>
      <c r="C28" s="41">
        <v>8</v>
      </c>
      <c r="D28" s="41">
        <v>100</v>
      </c>
      <c r="E28" s="41">
        <v>50</v>
      </c>
      <c r="F28" s="41" t="s">
        <v>224</v>
      </c>
      <c r="G28" s="41">
        <v>1</v>
      </c>
      <c r="H28" s="41" t="s">
        <v>224</v>
      </c>
      <c r="I28" s="41" t="s">
        <v>224</v>
      </c>
      <c r="J28" s="197">
        <f t="shared" si="0"/>
        <v>100</v>
      </c>
    </row>
    <row r="29" spans="1:10" ht="21" customHeight="1" thickBot="1" x14ac:dyDescent="0.2">
      <c r="A29" s="193">
        <v>30028033</v>
      </c>
      <c r="B29" s="198">
        <v>0</v>
      </c>
      <c r="C29" s="186" t="s">
        <v>223</v>
      </c>
      <c r="D29" s="186">
        <v>30</v>
      </c>
      <c r="E29" s="186" t="s">
        <v>223</v>
      </c>
      <c r="F29" s="186" t="s">
        <v>224</v>
      </c>
      <c r="G29" s="186" t="s">
        <v>223</v>
      </c>
      <c r="H29" s="186" t="s">
        <v>224</v>
      </c>
      <c r="I29" s="186" t="s">
        <v>224</v>
      </c>
      <c r="J29" s="199">
        <f t="shared" si="0"/>
        <v>30</v>
      </c>
    </row>
    <row r="30" spans="1:10" ht="21" customHeight="1" thickBot="1" x14ac:dyDescent="0.2">
      <c r="A30" s="193">
        <v>30028034</v>
      </c>
      <c r="B30" s="198">
        <v>0</v>
      </c>
      <c r="C30" s="186" t="s">
        <v>53</v>
      </c>
      <c r="D30" s="186">
        <v>100</v>
      </c>
      <c r="E30" s="186" t="s">
        <v>53</v>
      </c>
      <c r="F30" s="186" t="s">
        <v>53</v>
      </c>
      <c r="G30" s="186">
        <v>2</v>
      </c>
      <c r="H30" s="186" t="s">
        <v>53</v>
      </c>
      <c r="I30" s="186" t="s">
        <v>53</v>
      </c>
      <c r="J30" s="199">
        <f t="shared" ref="J30" si="1">D30</f>
        <v>100</v>
      </c>
    </row>
  </sheetData>
  <autoFilter ref="A1:G1"/>
  <phoneticPr fontId="5"/>
  <conditionalFormatting sqref="K1:K29 K31:K1048576">
    <cfRule type="duplicateValues" dxfId="1" priority="2"/>
  </conditionalFormatting>
  <conditionalFormatting sqref="K3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O19" sqref="O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6" t="s">
        <v>149</v>
      </c>
      <c r="B1" s="56" t="s">
        <v>150</v>
      </c>
      <c r="C1" s="57" t="s">
        <v>151</v>
      </c>
      <c r="D1" s="64" t="s">
        <v>152</v>
      </c>
      <c r="E1" s="58" t="s">
        <v>153</v>
      </c>
      <c r="F1" s="56" t="s">
        <v>154</v>
      </c>
      <c r="G1" s="56" t="s">
        <v>155</v>
      </c>
      <c r="H1" s="56" t="s">
        <v>156</v>
      </c>
      <c r="I1" s="56" t="s">
        <v>157</v>
      </c>
      <c r="J1" s="56" t="s">
        <v>158</v>
      </c>
      <c r="K1" s="56" t="s">
        <v>159</v>
      </c>
      <c r="L1" s="56" t="s">
        <v>160</v>
      </c>
      <c r="M1" s="56" t="s">
        <v>161</v>
      </c>
      <c r="N1" s="56" t="s">
        <v>162</v>
      </c>
      <c r="O1" s="56" t="s">
        <v>163</v>
      </c>
      <c r="P1" s="56" t="s">
        <v>164</v>
      </c>
      <c r="Q1" s="56" t="s">
        <v>165</v>
      </c>
      <c r="R1" s="56" t="s">
        <v>166</v>
      </c>
    </row>
    <row r="2" spans="1:18" x14ac:dyDescent="0.15">
      <c r="A2" s="50">
        <v>30028</v>
      </c>
      <c r="B2" s="74">
        <v>1</v>
      </c>
      <c r="C2" s="63" t="str">
        <f>A2&amp; "_"&amp;B2</f>
        <v>30028_1</v>
      </c>
      <c r="D2" s="15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4">
        <v>1</v>
      </c>
      <c r="F2" s="74" t="s">
        <v>167</v>
      </c>
      <c r="G2" s="74">
        <v>3200</v>
      </c>
      <c r="H2" s="74" t="s">
        <v>273</v>
      </c>
      <c r="I2" s="74">
        <v>1</v>
      </c>
      <c r="J2" s="74">
        <v>1</v>
      </c>
      <c r="K2" s="74">
        <v>0</v>
      </c>
      <c r="L2" s="74">
        <v>0</v>
      </c>
      <c r="M2" s="74">
        <v>0</v>
      </c>
      <c r="N2" s="74">
        <v>0</v>
      </c>
      <c r="O2" s="74">
        <v>1</v>
      </c>
      <c r="P2" s="74">
        <v>200</v>
      </c>
      <c r="Q2" s="74" t="s">
        <v>168</v>
      </c>
      <c r="R2" s="74" t="s">
        <v>169</v>
      </c>
    </row>
    <row r="3" spans="1:18" x14ac:dyDescent="0.15">
      <c r="A3" s="50">
        <v>30028</v>
      </c>
      <c r="B3" s="74">
        <v>1</v>
      </c>
      <c r="C3" s="63" t="str">
        <f t="shared" ref="C3:C33" si="0">A3&amp; "_"&amp;B3</f>
        <v>30028_1</v>
      </c>
      <c r="D3" s="15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4">
        <v>2</v>
      </c>
      <c r="F3" s="74" t="s">
        <v>274</v>
      </c>
      <c r="G3" s="74">
        <v>20</v>
      </c>
      <c r="H3" s="74" t="s">
        <v>273</v>
      </c>
      <c r="I3" s="74">
        <v>1</v>
      </c>
      <c r="J3" s="74">
        <v>1</v>
      </c>
      <c r="K3" s="74">
        <v>0</v>
      </c>
      <c r="L3" s="74">
        <v>0</v>
      </c>
      <c r="M3" s="74">
        <v>0</v>
      </c>
      <c r="N3" s="74">
        <v>0</v>
      </c>
      <c r="O3" s="74">
        <v>1</v>
      </c>
      <c r="P3" s="74">
        <v>200</v>
      </c>
      <c r="Q3" s="74" t="s">
        <v>168</v>
      </c>
      <c r="R3" s="74" t="s">
        <v>169</v>
      </c>
    </row>
    <row r="4" spans="1:18" x14ac:dyDescent="0.15">
      <c r="A4" s="50">
        <v>30028</v>
      </c>
      <c r="B4" s="74">
        <v>1</v>
      </c>
      <c r="C4" s="63" t="str">
        <f t="shared" si="0"/>
        <v>30028_1</v>
      </c>
      <c r="D4" s="15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4">
        <v>3</v>
      </c>
      <c r="F4" s="74" t="s">
        <v>275</v>
      </c>
      <c r="G4" s="74">
        <v>344</v>
      </c>
      <c r="H4" s="74">
        <v>1</v>
      </c>
      <c r="I4" s="74">
        <v>1</v>
      </c>
      <c r="J4" s="74">
        <v>1</v>
      </c>
      <c r="K4" s="74">
        <v>0</v>
      </c>
      <c r="L4" s="74">
        <v>0</v>
      </c>
      <c r="M4" s="74">
        <v>0</v>
      </c>
      <c r="N4" s="74">
        <v>0</v>
      </c>
      <c r="O4" s="74">
        <v>1</v>
      </c>
      <c r="P4" s="74">
        <v>70</v>
      </c>
      <c r="Q4" s="74" t="s">
        <v>168</v>
      </c>
      <c r="R4" s="74" t="s">
        <v>169</v>
      </c>
    </row>
    <row r="5" spans="1:18" x14ac:dyDescent="0.15">
      <c r="A5" s="50">
        <v>30028</v>
      </c>
      <c r="B5" s="74">
        <v>1</v>
      </c>
      <c r="C5" s="63" t="str">
        <f t="shared" si="0"/>
        <v>30028_1</v>
      </c>
      <c r="D5" s="15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4">
        <v>4</v>
      </c>
      <c r="F5" s="74" t="s">
        <v>275</v>
      </c>
      <c r="G5" s="74">
        <v>345</v>
      </c>
      <c r="H5" s="74">
        <v>1</v>
      </c>
      <c r="I5" s="74">
        <v>1</v>
      </c>
      <c r="J5" s="74">
        <v>1</v>
      </c>
      <c r="K5" s="74">
        <v>0</v>
      </c>
      <c r="L5" s="74">
        <v>0</v>
      </c>
      <c r="M5" s="74">
        <v>0</v>
      </c>
      <c r="N5" s="74">
        <v>0</v>
      </c>
      <c r="O5" s="74">
        <v>1</v>
      </c>
      <c r="P5" s="74">
        <v>70</v>
      </c>
      <c r="Q5" s="74" t="s">
        <v>168</v>
      </c>
      <c r="R5" s="74" t="s">
        <v>169</v>
      </c>
    </row>
    <row r="6" spans="1:18" x14ac:dyDescent="0.15">
      <c r="A6" s="50">
        <v>30028</v>
      </c>
      <c r="B6" s="74">
        <v>1</v>
      </c>
      <c r="C6" s="63" t="str">
        <f t="shared" si="0"/>
        <v>30028_1</v>
      </c>
      <c r="D6" s="15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4">
        <v>5</v>
      </c>
      <c r="F6" s="74" t="s">
        <v>275</v>
      </c>
      <c r="G6" s="74">
        <v>121</v>
      </c>
      <c r="H6" s="74">
        <v>1</v>
      </c>
      <c r="I6" s="74">
        <v>1</v>
      </c>
      <c r="J6" s="74">
        <v>1</v>
      </c>
      <c r="K6" s="74">
        <v>0</v>
      </c>
      <c r="L6" s="74">
        <v>0</v>
      </c>
      <c r="M6" s="74">
        <v>0</v>
      </c>
      <c r="N6" s="74">
        <v>0</v>
      </c>
      <c r="O6" s="74">
        <v>1</v>
      </c>
      <c r="P6" s="74">
        <v>50</v>
      </c>
      <c r="Q6" s="74" t="s">
        <v>168</v>
      </c>
      <c r="R6" s="74" t="s">
        <v>169</v>
      </c>
    </row>
    <row r="7" spans="1:18" x14ac:dyDescent="0.15">
      <c r="A7" s="50">
        <v>30028</v>
      </c>
      <c r="B7" s="74">
        <v>1</v>
      </c>
      <c r="C7" s="63" t="str">
        <f t="shared" si="0"/>
        <v>30028_1</v>
      </c>
      <c r="D7" s="15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4">
        <v>6</v>
      </c>
      <c r="F7" s="74" t="s">
        <v>275</v>
      </c>
      <c r="G7" s="74">
        <v>122</v>
      </c>
      <c r="H7" s="74">
        <v>1</v>
      </c>
      <c r="I7" s="74">
        <v>1</v>
      </c>
      <c r="J7" s="74">
        <v>1</v>
      </c>
      <c r="K7" s="74">
        <v>0</v>
      </c>
      <c r="L7" s="74">
        <v>0</v>
      </c>
      <c r="M7" s="74">
        <v>0</v>
      </c>
      <c r="N7" s="74">
        <v>0</v>
      </c>
      <c r="O7" s="74">
        <v>1</v>
      </c>
      <c r="P7" s="74">
        <v>50</v>
      </c>
      <c r="Q7" s="74" t="s">
        <v>168</v>
      </c>
      <c r="R7" s="74" t="s">
        <v>169</v>
      </c>
    </row>
    <row r="8" spans="1:18" x14ac:dyDescent="0.15">
      <c r="A8" s="50">
        <v>30028</v>
      </c>
      <c r="B8" s="74">
        <v>1</v>
      </c>
      <c r="C8" s="63" t="str">
        <f t="shared" si="0"/>
        <v>30028_1</v>
      </c>
      <c r="D8" s="15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4">
        <v>7</v>
      </c>
      <c r="F8" s="74" t="s">
        <v>275</v>
      </c>
      <c r="G8" s="74">
        <v>123</v>
      </c>
      <c r="H8" s="74">
        <v>1</v>
      </c>
      <c r="I8" s="74">
        <v>1</v>
      </c>
      <c r="J8" s="74">
        <v>1</v>
      </c>
      <c r="K8" s="74">
        <v>0</v>
      </c>
      <c r="L8" s="74">
        <v>0</v>
      </c>
      <c r="M8" s="74">
        <v>0</v>
      </c>
      <c r="N8" s="74">
        <v>0</v>
      </c>
      <c r="O8" s="74">
        <v>1</v>
      </c>
      <c r="P8" s="74">
        <v>50</v>
      </c>
      <c r="Q8" s="74" t="s">
        <v>168</v>
      </c>
      <c r="R8" s="74" t="s">
        <v>169</v>
      </c>
    </row>
    <row r="9" spans="1:18" x14ac:dyDescent="0.15">
      <c r="A9" s="50">
        <v>30028</v>
      </c>
      <c r="B9" s="74">
        <v>1</v>
      </c>
      <c r="C9" s="63" t="str">
        <f t="shared" si="0"/>
        <v>30028_1</v>
      </c>
      <c r="D9" s="1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4">
        <v>8</v>
      </c>
      <c r="F9" s="74" t="s">
        <v>275</v>
      </c>
      <c r="G9" s="74">
        <v>125</v>
      </c>
      <c r="H9" s="74">
        <v>1</v>
      </c>
      <c r="I9" s="74">
        <v>1</v>
      </c>
      <c r="J9" s="74">
        <v>1</v>
      </c>
      <c r="K9" s="74">
        <v>0</v>
      </c>
      <c r="L9" s="74">
        <v>0</v>
      </c>
      <c r="M9" s="74">
        <v>0</v>
      </c>
      <c r="N9" s="74">
        <v>0</v>
      </c>
      <c r="O9" s="74">
        <v>1</v>
      </c>
      <c r="P9" s="74">
        <v>10</v>
      </c>
      <c r="Q9" s="74" t="s">
        <v>168</v>
      </c>
      <c r="R9" s="74" t="s">
        <v>169</v>
      </c>
    </row>
    <row r="10" spans="1:18" x14ac:dyDescent="0.15">
      <c r="A10" s="50">
        <v>30028</v>
      </c>
      <c r="B10" s="74">
        <v>1</v>
      </c>
      <c r="C10" s="63" t="str">
        <f t="shared" si="0"/>
        <v>30028_1</v>
      </c>
      <c r="D10" s="15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4">
        <v>9</v>
      </c>
      <c r="F10" s="74" t="s">
        <v>275</v>
      </c>
      <c r="G10" s="74">
        <v>650</v>
      </c>
      <c r="H10" s="74">
        <v>1</v>
      </c>
      <c r="I10" s="74">
        <v>1</v>
      </c>
      <c r="J10" s="74">
        <v>1</v>
      </c>
      <c r="K10" s="74">
        <v>0</v>
      </c>
      <c r="L10" s="74">
        <v>0</v>
      </c>
      <c r="M10" s="74">
        <v>0</v>
      </c>
      <c r="N10" s="74">
        <v>0</v>
      </c>
      <c r="O10" s="74">
        <v>1</v>
      </c>
      <c r="P10" s="74">
        <v>200</v>
      </c>
      <c r="Q10" s="74" t="s">
        <v>168</v>
      </c>
      <c r="R10" s="74" t="s">
        <v>169</v>
      </c>
    </row>
    <row r="11" spans="1:18" ht="16" thickBot="1" x14ac:dyDescent="0.2">
      <c r="A11" s="241">
        <v>30028</v>
      </c>
      <c r="B11" s="242">
        <v>1</v>
      </c>
      <c r="C11" s="243" t="str">
        <f t="shared" si="0"/>
        <v>30028_1</v>
      </c>
      <c r="D11" s="24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42">
        <v>10</v>
      </c>
      <c r="F11" s="242" t="s">
        <v>275</v>
      </c>
      <c r="G11" s="242">
        <v>354</v>
      </c>
      <c r="H11" s="242">
        <v>1</v>
      </c>
      <c r="I11" s="242">
        <v>1</v>
      </c>
      <c r="J11" s="242">
        <v>1</v>
      </c>
      <c r="K11" s="242">
        <v>0</v>
      </c>
      <c r="L11" s="242">
        <v>0</v>
      </c>
      <c r="M11" s="242">
        <v>0</v>
      </c>
      <c r="N11" s="242">
        <v>0</v>
      </c>
      <c r="O11" s="242">
        <v>1</v>
      </c>
      <c r="P11" s="242">
        <v>100</v>
      </c>
      <c r="Q11" s="242" t="s">
        <v>168</v>
      </c>
      <c r="R11" s="242" t="s">
        <v>169</v>
      </c>
    </row>
    <row r="12" spans="1:18" ht="16" thickTop="1" x14ac:dyDescent="0.15">
      <c r="A12" s="238">
        <v>30028</v>
      </c>
      <c r="B12" s="239">
        <v>2</v>
      </c>
      <c r="C12" s="240" t="str">
        <f t="shared" si="0"/>
        <v>30028_2</v>
      </c>
      <c r="D12" s="9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39">
        <v>11</v>
      </c>
      <c r="F12" s="239" t="s">
        <v>167</v>
      </c>
      <c r="G12" s="239">
        <v>5000</v>
      </c>
      <c r="H12" s="239" t="s">
        <v>273</v>
      </c>
      <c r="I12" s="239">
        <v>1</v>
      </c>
      <c r="J12" s="239">
        <v>1</v>
      </c>
      <c r="K12" s="239">
        <v>0</v>
      </c>
      <c r="L12" s="239">
        <v>0</v>
      </c>
      <c r="M12" s="239">
        <v>0</v>
      </c>
      <c r="N12" s="239">
        <v>0</v>
      </c>
      <c r="O12" s="239">
        <v>1</v>
      </c>
      <c r="P12" s="239">
        <v>200</v>
      </c>
      <c r="Q12" s="239" t="s">
        <v>168</v>
      </c>
      <c r="R12" s="239" t="s">
        <v>169</v>
      </c>
    </row>
    <row r="13" spans="1:18" x14ac:dyDescent="0.15">
      <c r="A13" s="50">
        <v>30028</v>
      </c>
      <c r="B13" s="74">
        <v>2</v>
      </c>
      <c r="C13" s="63" t="str">
        <f t="shared" si="0"/>
        <v>30028_2</v>
      </c>
      <c r="D13" s="15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4">
        <v>12</v>
      </c>
      <c r="F13" s="74" t="s">
        <v>276</v>
      </c>
      <c r="G13" s="74">
        <v>25</v>
      </c>
      <c r="H13" s="74" t="s">
        <v>273</v>
      </c>
      <c r="I13" s="74">
        <v>1</v>
      </c>
      <c r="J13" s="74">
        <v>1</v>
      </c>
      <c r="K13" s="74">
        <v>0</v>
      </c>
      <c r="L13" s="74">
        <v>0</v>
      </c>
      <c r="M13" s="74">
        <v>0</v>
      </c>
      <c r="N13" s="74">
        <v>0</v>
      </c>
      <c r="O13" s="74">
        <v>1</v>
      </c>
      <c r="P13" s="74">
        <v>150</v>
      </c>
      <c r="Q13" s="74" t="s">
        <v>168</v>
      </c>
      <c r="R13" s="74" t="s">
        <v>169</v>
      </c>
    </row>
    <row r="14" spans="1:18" x14ac:dyDescent="0.15">
      <c r="A14" s="50">
        <v>30028</v>
      </c>
      <c r="B14" s="74">
        <v>2</v>
      </c>
      <c r="C14" s="63" t="str">
        <f t="shared" si="0"/>
        <v>30028_2</v>
      </c>
      <c r="D14" s="15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4">
        <v>13</v>
      </c>
      <c r="F14" s="74" t="s">
        <v>275</v>
      </c>
      <c r="G14" s="74">
        <v>344</v>
      </c>
      <c r="H14" s="74">
        <v>1</v>
      </c>
      <c r="I14" s="74">
        <v>1</v>
      </c>
      <c r="J14" s="74">
        <v>1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56</v>
      </c>
      <c r="Q14" s="74" t="s">
        <v>168</v>
      </c>
      <c r="R14" s="74" t="s">
        <v>169</v>
      </c>
    </row>
    <row r="15" spans="1:18" x14ac:dyDescent="0.15">
      <c r="A15" s="50">
        <v>30028</v>
      </c>
      <c r="B15" s="74">
        <v>2</v>
      </c>
      <c r="C15" s="63" t="str">
        <f t="shared" si="0"/>
        <v>30028_2</v>
      </c>
      <c r="D15" s="15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4">
        <v>14</v>
      </c>
      <c r="F15" s="74" t="s">
        <v>275</v>
      </c>
      <c r="G15" s="74">
        <v>345</v>
      </c>
      <c r="H15" s="74">
        <v>1</v>
      </c>
      <c r="I15" s="74">
        <v>1</v>
      </c>
      <c r="J15" s="74">
        <v>1</v>
      </c>
      <c r="K15" s="74">
        <v>0</v>
      </c>
      <c r="L15" s="74">
        <v>0</v>
      </c>
      <c r="M15" s="74">
        <v>0</v>
      </c>
      <c r="N15" s="74">
        <v>0</v>
      </c>
      <c r="O15" s="74">
        <v>1</v>
      </c>
      <c r="P15" s="74">
        <v>56</v>
      </c>
      <c r="Q15" s="74" t="s">
        <v>168</v>
      </c>
      <c r="R15" s="74" t="s">
        <v>169</v>
      </c>
    </row>
    <row r="16" spans="1:18" x14ac:dyDescent="0.15">
      <c r="A16" s="50">
        <v>30028</v>
      </c>
      <c r="B16" s="74">
        <v>2</v>
      </c>
      <c r="C16" s="63" t="str">
        <f t="shared" si="0"/>
        <v>30028_2</v>
      </c>
      <c r="D16" s="15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4">
        <v>15</v>
      </c>
      <c r="F16" s="74" t="s">
        <v>275</v>
      </c>
      <c r="G16" s="74">
        <v>346</v>
      </c>
      <c r="H16" s="74">
        <v>1</v>
      </c>
      <c r="I16" s="74">
        <v>1</v>
      </c>
      <c r="J16" s="74">
        <v>1</v>
      </c>
      <c r="K16" s="74">
        <v>0</v>
      </c>
      <c r="L16" s="74">
        <v>0</v>
      </c>
      <c r="M16" s="74">
        <v>0</v>
      </c>
      <c r="N16" s="74">
        <v>0</v>
      </c>
      <c r="O16" s="74">
        <v>1</v>
      </c>
      <c r="P16" s="74">
        <v>28</v>
      </c>
      <c r="Q16" s="74" t="s">
        <v>168</v>
      </c>
      <c r="R16" s="74" t="s">
        <v>169</v>
      </c>
    </row>
    <row r="17" spans="1:18" x14ac:dyDescent="0.15">
      <c r="A17" s="50">
        <v>30028</v>
      </c>
      <c r="B17" s="74">
        <v>2</v>
      </c>
      <c r="C17" s="63" t="str">
        <f t="shared" si="0"/>
        <v>30028_2</v>
      </c>
      <c r="D17" s="15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4">
        <v>16</v>
      </c>
      <c r="F17" s="74" t="s">
        <v>275</v>
      </c>
      <c r="G17" s="74">
        <v>121</v>
      </c>
      <c r="H17" s="74">
        <v>1</v>
      </c>
      <c r="I17" s="74">
        <v>1</v>
      </c>
      <c r="J17" s="74">
        <v>1</v>
      </c>
      <c r="K17" s="74">
        <v>0</v>
      </c>
      <c r="L17" s="74">
        <v>0</v>
      </c>
      <c r="M17" s="74">
        <v>0</v>
      </c>
      <c r="N17" s="74">
        <v>0</v>
      </c>
      <c r="O17" s="74">
        <v>1</v>
      </c>
      <c r="P17" s="74">
        <v>50</v>
      </c>
      <c r="Q17" s="74" t="s">
        <v>168</v>
      </c>
      <c r="R17" s="74" t="s">
        <v>169</v>
      </c>
    </row>
    <row r="18" spans="1:18" x14ac:dyDescent="0.15">
      <c r="A18" s="50">
        <v>30028</v>
      </c>
      <c r="B18" s="74">
        <v>2</v>
      </c>
      <c r="C18" s="63" t="str">
        <f t="shared" si="0"/>
        <v>30028_2</v>
      </c>
      <c r="D18" s="1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4">
        <v>17</v>
      </c>
      <c r="F18" s="74" t="s">
        <v>275</v>
      </c>
      <c r="G18" s="74">
        <v>122</v>
      </c>
      <c r="H18" s="74">
        <v>1</v>
      </c>
      <c r="I18" s="74">
        <v>1</v>
      </c>
      <c r="J18" s="74">
        <v>1</v>
      </c>
      <c r="K18" s="74">
        <v>0</v>
      </c>
      <c r="L18" s="74">
        <v>0</v>
      </c>
      <c r="M18" s="74">
        <v>0</v>
      </c>
      <c r="N18" s="74">
        <v>0</v>
      </c>
      <c r="O18" s="74">
        <v>1</v>
      </c>
      <c r="P18" s="74">
        <v>50</v>
      </c>
      <c r="Q18" s="74" t="s">
        <v>168</v>
      </c>
      <c r="R18" s="74" t="s">
        <v>169</v>
      </c>
    </row>
    <row r="19" spans="1:18" x14ac:dyDescent="0.15">
      <c r="A19" s="50">
        <v>30028</v>
      </c>
      <c r="B19" s="74">
        <v>2</v>
      </c>
      <c r="C19" s="63" t="str">
        <f t="shared" si="0"/>
        <v>30028_2</v>
      </c>
      <c r="D19" s="15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4">
        <v>18</v>
      </c>
      <c r="F19" s="74" t="s">
        <v>275</v>
      </c>
      <c r="G19" s="74">
        <v>123</v>
      </c>
      <c r="H19" s="74">
        <v>1</v>
      </c>
      <c r="I19" s="74">
        <v>1</v>
      </c>
      <c r="J19" s="74">
        <v>1</v>
      </c>
      <c r="K19" s="74">
        <v>0</v>
      </c>
      <c r="L19" s="74">
        <v>0</v>
      </c>
      <c r="M19" s="74">
        <v>0</v>
      </c>
      <c r="N19" s="74">
        <v>0</v>
      </c>
      <c r="O19" s="74">
        <v>1</v>
      </c>
      <c r="P19" s="74">
        <v>50</v>
      </c>
      <c r="Q19" s="74" t="s">
        <v>168</v>
      </c>
      <c r="R19" s="74" t="s">
        <v>169</v>
      </c>
    </row>
    <row r="20" spans="1:18" x14ac:dyDescent="0.15">
      <c r="A20" s="50">
        <v>30028</v>
      </c>
      <c r="B20" s="74">
        <v>2</v>
      </c>
      <c r="C20" s="63" t="str">
        <f t="shared" si="0"/>
        <v>30028_2</v>
      </c>
      <c r="D20" s="15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4">
        <v>19</v>
      </c>
      <c r="F20" s="74" t="s">
        <v>275</v>
      </c>
      <c r="G20" s="74">
        <v>125</v>
      </c>
      <c r="H20" s="74">
        <v>1</v>
      </c>
      <c r="I20" s="74">
        <v>1</v>
      </c>
      <c r="J20" s="74">
        <v>1</v>
      </c>
      <c r="K20" s="74">
        <v>0</v>
      </c>
      <c r="L20" s="74">
        <v>0</v>
      </c>
      <c r="M20" s="74">
        <v>0</v>
      </c>
      <c r="N20" s="74">
        <v>0</v>
      </c>
      <c r="O20" s="74">
        <v>1</v>
      </c>
      <c r="P20" s="74">
        <v>10</v>
      </c>
      <c r="Q20" s="74" t="s">
        <v>168</v>
      </c>
      <c r="R20" s="74" t="s">
        <v>169</v>
      </c>
    </row>
    <row r="21" spans="1:18" x14ac:dyDescent="0.15">
      <c r="A21" s="50">
        <v>30028</v>
      </c>
      <c r="B21" s="74">
        <v>2</v>
      </c>
      <c r="C21" s="63" t="str">
        <f t="shared" si="0"/>
        <v>30028_2</v>
      </c>
      <c r="D21" s="15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4">
        <v>20</v>
      </c>
      <c r="F21" s="74" t="s">
        <v>275</v>
      </c>
      <c r="G21" s="74">
        <v>650</v>
      </c>
      <c r="H21" s="74">
        <v>1</v>
      </c>
      <c r="I21" s="74">
        <v>1</v>
      </c>
      <c r="J21" s="74">
        <v>1</v>
      </c>
      <c r="K21" s="74">
        <v>0</v>
      </c>
      <c r="L21" s="74">
        <v>0</v>
      </c>
      <c r="M21" s="74">
        <v>0</v>
      </c>
      <c r="N21" s="74">
        <v>0</v>
      </c>
      <c r="O21" s="74">
        <v>1</v>
      </c>
      <c r="P21" s="74">
        <v>250</v>
      </c>
      <c r="Q21" s="74" t="s">
        <v>168</v>
      </c>
      <c r="R21" s="74" t="s">
        <v>169</v>
      </c>
    </row>
    <row r="22" spans="1:18" ht="16" thickBot="1" x14ac:dyDescent="0.2">
      <c r="A22" s="241">
        <v>30028</v>
      </c>
      <c r="B22" s="242">
        <v>2</v>
      </c>
      <c r="C22" s="243" t="str">
        <f t="shared" si="0"/>
        <v>30028_2</v>
      </c>
      <c r="D22" s="24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42">
        <v>21</v>
      </c>
      <c r="F22" s="242" t="s">
        <v>275</v>
      </c>
      <c r="G22" s="242">
        <v>354</v>
      </c>
      <c r="H22" s="242">
        <v>1</v>
      </c>
      <c r="I22" s="242">
        <v>1</v>
      </c>
      <c r="J22" s="242">
        <v>1</v>
      </c>
      <c r="K22" s="242">
        <v>0</v>
      </c>
      <c r="L22" s="242">
        <v>0</v>
      </c>
      <c r="M22" s="242">
        <v>0</v>
      </c>
      <c r="N22" s="242">
        <v>0</v>
      </c>
      <c r="O22" s="242">
        <v>1</v>
      </c>
      <c r="P22" s="242">
        <v>100</v>
      </c>
      <c r="Q22" s="242" t="s">
        <v>168</v>
      </c>
      <c r="R22" s="242" t="s">
        <v>169</v>
      </c>
    </row>
    <row r="23" spans="1:18" ht="16" thickTop="1" x14ac:dyDescent="0.15">
      <c r="A23" s="238">
        <v>30028</v>
      </c>
      <c r="B23" s="239">
        <v>3</v>
      </c>
      <c r="C23" s="240" t="str">
        <f t="shared" si="0"/>
        <v>30028_3</v>
      </c>
      <c r="D23" s="96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39">
        <v>22</v>
      </c>
      <c r="F23" s="239" t="s">
        <v>167</v>
      </c>
      <c r="G23" s="239">
        <v>6500</v>
      </c>
      <c r="H23" s="239" t="s">
        <v>273</v>
      </c>
      <c r="I23" s="239">
        <v>1</v>
      </c>
      <c r="J23" s="239">
        <v>1</v>
      </c>
      <c r="K23" s="239">
        <v>0</v>
      </c>
      <c r="L23" s="239">
        <v>0</v>
      </c>
      <c r="M23" s="239">
        <v>0</v>
      </c>
      <c r="N23" s="239">
        <v>0</v>
      </c>
      <c r="O23" s="239">
        <v>1</v>
      </c>
      <c r="P23" s="239">
        <v>100</v>
      </c>
      <c r="Q23" s="239" t="s">
        <v>168</v>
      </c>
      <c r="R23" s="239" t="s">
        <v>169</v>
      </c>
    </row>
    <row r="24" spans="1:18" x14ac:dyDescent="0.15">
      <c r="A24" s="50">
        <v>30028</v>
      </c>
      <c r="B24" s="74">
        <v>3</v>
      </c>
      <c r="C24" s="63" t="str">
        <f t="shared" si="0"/>
        <v>30028_3</v>
      </c>
      <c r="D24" s="15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4">
        <v>23</v>
      </c>
      <c r="F24" s="74" t="s">
        <v>276</v>
      </c>
      <c r="G24" s="74">
        <v>25</v>
      </c>
      <c r="H24" s="74" t="s">
        <v>273</v>
      </c>
      <c r="I24" s="74">
        <v>1</v>
      </c>
      <c r="J24" s="74">
        <v>1</v>
      </c>
      <c r="K24" s="74">
        <v>0</v>
      </c>
      <c r="L24" s="74">
        <v>0</v>
      </c>
      <c r="M24" s="74">
        <v>0</v>
      </c>
      <c r="N24" s="74">
        <v>0</v>
      </c>
      <c r="O24" s="74">
        <v>1</v>
      </c>
      <c r="P24" s="74">
        <v>100</v>
      </c>
      <c r="Q24" s="74" t="s">
        <v>168</v>
      </c>
      <c r="R24" s="74" t="s">
        <v>169</v>
      </c>
    </row>
    <row r="25" spans="1:18" x14ac:dyDescent="0.15">
      <c r="A25" s="50">
        <v>30028</v>
      </c>
      <c r="B25" s="74">
        <v>3</v>
      </c>
      <c r="C25" s="63" t="str">
        <f t="shared" si="0"/>
        <v>30028_3</v>
      </c>
      <c r="D25" s="15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4">
        <v>24</v>
      </c>
      <c r="F25" s="74" t="s">
        <v>275</v>
      </c>
      <c r="G25" s="74">
        <v>344</v>
      </c>
      <c r="H25" s="74">
        <v>1</v>
      </c>
      <c r="I25" s="74">
        <v>1</v>
      </c>
      <c r="J25" s="74">
        <v>1</v>
      </c>
      <c r="K25" s="74">
        <v>0</v>
      </c>
      <c r="L25" s="74">
        <v>0</v>
      </c>
      <c r="M25" s="74">
        <v>0</v>
      </c>
      <c r="N25" s="74">
        <v>0</v>
      </c>
      <c r="O25" s="74">
        <v>1</v>
      </c>
      <c r="P25" s="74">
        <v>28</v>
      </c>
      <c r="Q25" s="74" t="s">
        <v>168</v>
      </c>
      <c r="R25" s="74" t="s">
        <v>169</v>
      </c>
    </row>
    <row r="26" spans="1:18" x14ac:dyDescent="0.15">
      <c r="A26" s="50">
        <v>30028</v>
      </c>
      <c r="B26" s="74">
        <v>3</v>
      </c>
      <c r="C26" s="63" t="str">
        <f t="shared" si="0"/>
        <v>30028_3</v>
      </c>
      <c r="D26" s="15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4">
        <v>25</v>
      </c>
      <c r="F26" s="74" t="s">
        <v>275</v>
      </c>
      <c r="G26" s="74">
        <v>345</v>
      </c>
      <c r="H26" s="74">
        <v>1</v>
      </c>
      <c r="I26" s="74">
        <v>1</v>
      </c>
      <c r="J26" s="74">
        <v>1</v>
      </c>
      <c r="K26" s="74">
        <v>0</v>
      </c>
      <c r="L26" s="74">
        <v>0</v>
      </c>
      <c r="M26" s="74">
        <v>0</v>
      </c>
      <c r="N26" s="74">
        <v>0</v>
      </c>
      <c r="O26" s="74">
        <v>1</v>
      </c>
      <c r="P26" s="74">
        <v>56</v>
      </c>
      <c r="Q26" s="74" t="s">
        <v>168</v>
      </c>
      <c r="R26" s="74" t="s">
        <v>169</v>
      </c>
    </row>
    <row r="27" spans="1:18" x14ac:dyDescent="0.15">
      <c r="A27" s="50">
        <v>30028</v>
      </c>
      <c r="B27" s="74">
        <v>3</v>
      </c>
      <c r="C27" s="63" t="str">
        <f t="shared" si="0"/>
        <v>30028_3</v>
      </c>
      <c r="D27" s="1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4">
        <v>26</v>
      </c>
      <c r="F27" s="74" t="s">
        <v>275</v>
      </c>
      <c r="G27" s="74">
        <v>346</v>
      </c>
      <c r="H27" s="74">
        <v>1</v>
      </c>
      <c r="I27" s="74">
        <v>1</v>
      </c>
      <c r="J27" s="74">
        <v>1</v>
      </c>
      <c r="K27" s="74">
        <v>0</v>
      </c>
      <c r="L27" s="74">
        <v>0</v>
      </c>
      <c r="M27" s="74">
        <v>0</v>
      </c>
      <c r="N27" s="74">
        <v>0</v>
      </c>
      <c r="O27" s="74">
        <v>1</v>
      </c>
      <c r="P27" s="74">
        <v>56</v>
      </c>
      <c r="Q27" s="74" t="s">
        <v>168</v>
      </c>
      <c r="R27" s="74" t="s">
        <v>169</v>
      </c>
    </row>
    <row r="28" spans="1:18" x14ac:dyDescent="0.15">
      <c r="A28" s="50">
        <v>30028</v>
      </c>
      <c r="B28" s="74">
        <v>3</v>
      </c>
      <c r="C28" s="63" t="str">
        <f t="shared" si="0"/>
        <v>30028_3</v>
      </c>
      <c r="D28" s="15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4">
        <v>27</v>
      </c>
      <c r="F28" s="74" t="s">
        <v>275</v>
      </c>
      <c r="G28" s="74">
        <v>121</v>
      </c>
      <c r="H28" s="74">
        <v>1</v>
      </c>
      <c r="I28" s="74">
        <v>1</v>
      </c>
      <c r="J28" s="74">
        <v>1</v>
      </c>
      <c r="K28" s="74">
        <v>0</v>
      </c>
      <c r="L28" s="74">
        <v>0</v>
      </c>
      <c r="M28" s="74">
        <v>0</v>
      </c>
      <c r="N28" s="74">
        <v>0</v>
      </c>
      <c r="O28" s="74">
        <v>1</v>
      </c>
      <c r="P28" s="74">
        <v>50</v>
      </c>
      <c r="Q28" s="74" t="s">
        <v>168</v>
      </c>
      <c r="R28" s="74" t="s">
        <v>169</v>
      </c>
    </row>
    <row r="29" spans="1:18" x14ac:dyDescent="0.15">
      <c r="A29" s="50">
        <v>30028</v>
      </c>
      <c r="B29" s="74">
        <v>3</v>
      </c>
      <c r="C29" s="63" t="str">
        <f t="shared" si="0"/>
        <v>30028_3</v>
      </c>
      <c r="D29" s="15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4">
        <v>28</v>
      </c>
      <c r="F29" s="74" t="s">
        <v>275</v>
      </c>
      <c r="G29" s="74">
        <v>122</v>
      </c>
      <c r="H29" s="74">
        <v>1</v>
      </c>
      <c r="I29" s="74">
        <v>1</v>
      </c>
      <c r="J29" s="74">
        <v>1</v>
      </c>
      <c r="K29" s="74">
        <v>0</v>
      </c>
      <c r="L29" s="74">
        <v>0</v>
      </c>
      <c r="M29" s="74">
        <v>0</v>
      </c>
      <c r="N29" s="74">
        <v>0</v>
      </c>
      <c r="O29" s="74">
        <v>1</v>
      </c>
      <c r="P29" s="74">
        <v>50</v>
      </c>
      <c r="Q29" s="74" t="s">
        <v>168</v>
      </c>
      <c r="R29" s="74" t="s">
        <v>169</v>
      </c>
    </row>
    <row r="30" spans="1:18" x14ac:dyDescent="0.15">
      <c r="A30" s="50">
        <v>30028</v>
      </c>
      <c r="B30" s="74">
        <v>3</v>
      </c>
      <c r="C30" s="63" t="str">
        <f t="shared" si="0"/>
        <v>30028_3</v>
      </c>
      <c r="D30" s="15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4">
        <v>29</v>
      </c>
      <c r="F30" s="74" t="s">
        <v>275</v>
      </c>
      <c r="G30" s="74">
        <v>123</v>
      </c>
      <c r="H30" s="74">
        <v>1</v>
      </c>
      <c r="I30" s="74">
        <v>1</v>
      </c>
      <c r="J30" s="74">
        <v>1</v>
      </c>
      <c r="K30" s="74">
        <v>0</v>
      </c>
      <c r="L30" s="74">
        <v>0</v>
      </c>
      <c r="M30" s="74">
        <v>0</v>
      </c>
      <c r="N30" s="74">
        <v>0</v>
      </c>
      <c r="O30" s="74">
        <v>1</v>
      </c>
      <c r="P30" s="74">
        <v>50</v>
      </c>
      <c r="Q30" s="74" t="s">
        <v>168</v>
      </c>
      <c r="R30" s="74" t="s">
        <v>169</v>
      </c>
    </row>
    <row r="31" spans="1:18" x14ac:dyDescent="0.15">
      <c r="A31" s="50">
        <v>30028</v>
      </c>
      <c r="B31" s="74">
        <v>3</v>
      </c>
      <c r="C31" s="63" t="str">
        <f t="shared" si="0"/>
        <v>30028_3</v>
      </c>
      <c r="D31" s="15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4">
        <v>30</v>
      </c>
      <c r="F31" s="74" t="s">
        <v>275</v>
      </c>
      <c r="G31" s="74">
        <v>125</v>
      </c>
      <c r="H31" s="74">
        <v>1</v>
      </c>
      <c r="I31" s="74">
        <v>1</v>
      </c>
      <c r="J31" s="74">
        <v>1</v>
      </c>
      <c r="K31" s="74">
        <v>0</v>
      </c>
      <c r="L31" s="74">
        <v>0</v>
      </c>
      <c r="M31" s="74">
        <v>0</v>
      </c>
      <c r="N31" s="74">
        <v>0</v>
      </c>
      <c r="O31" s="74">
        <v>1</v>
      </c>
      <c r="P31" s="74">
        <v>10</v>
      </c>
      <c r="Q31" s="74" t="s">
        <v>168</v>
      </c>
      <c r="R31" s="74" t="s">
        <v>169</v>
      </c>
    </row>
    <row r="32" spans="1:18" x14ac:dyDescent="0.15">
      <c r="A32" s="50">
        <v>30028</v>
      </c>
      <c r="B32" s="74">
        <v>3</v>
      </c>
      <c r="C32" s="63" t="str">
        <f t="shared" si="0"/>
        <v>30028_3</v>
      </c>
      <c r="D32" s="15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4">
        <v>31</v>
      </c>
      <c r="F32" s="74" t="s">
        <v>275</v>
      </c>
      <c r="G32" s="74">
        <v>650</v>
      </c>
      <c r="H32" s="74">
        <v>1</v>
      </c>
      <c r="I32" s="74">
        <v>1</v>
      </c>
      <c r="J32" s="74">
        <v>1</v>
      </c>
      <c r="K32" s="74">
        <v>0</v>
      </c>
      <c r="L32" s="74">
        <v>0</v>
      </c>
      <c r="M32" s="74">
        <v>0</v>
      </c>
      <c r="N32" s="74">
        <v>0</v>
      </c>
      <c r="O32" s="74">
        <v>1</v>
      </c>
      <c r="P32" s="74">
        <v>400</v>
      </c>
      <c r="Q32" s="74" t="s">
        <v>168</v>
      </c>
      <c r="R32" s="74" t="s">
        <v>169</v>
      </c>
    </row>
    <row r="33" spans="1:18" x14ac:dyDescent="0.15">
      <c r="A33" s="50">
        <v>30028</v>
      </c>
      <c r="B33" s="74">
        <v>3</v>
      </c>
      <c r="C33" s="63" t="str">
        <f t="shared" si="0"/>
        <v>30028_3</v>
      </c>
      <c r="D33" s="15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4">
        <v>32</v>
      </c>
      <c r="F33" s="74" t="s">
        <v>275</v>
      </c>
      <c r="G33" s="74">
        <v>354</v>
      </c>
      <c r="H33" s="74">
        <v>1</v>
      </c>
      <c r="I33" s="74">
        <v>1</v>
      </c>
      <c r="J33" s="74">
        <v>1</v>
      </c>
      <c r="K33" s="74">
        <v>0</v>
      </c>
      <c r="L33" s="74">
        <v>0</v>
      </c>
      <c r="M33" s="74">
        <v>0</v>
      </c>
      <c r="N33" s="74">
        <v>0</v>
      </c>
      <c r="O33" s="74">
        <v>1</v>
      </c>
      <c r="P33" s="74">
        <v>100</v>
      </c>
      <c r="Q33" s="74" t="s">
        <v>168</v>
      </c>
      <c r="R33" s="74" t="s">
        <v>169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5" activePane="bottomLeft" state="frozen"/>
      <selection pane="bottomLeft" activeCell="H86" sqref="H86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9" t="s">
        <v>186</v>
      </c>
      <c r="B1" s="65" t="s">
        <v>187</v>
      </c>
      <c r="C1" s="70" t="s">
        <v>188</v>
      </c>
      <c r="D1" s="70" t="s">
        <v>33</v>
      </c>
      <c r="E1" s="65" t="s">
        <v>189</v>
      </c>
      <c r="F1" s="70" t="s">
        <v>190</v>
      </c>
      <c r="G1" s="70" t="s">
        <v>33</v>
      </c>
      <c r="H1" s="65" t="s">
        <v>191</v>
      </c>
      <c r="I1" s="83" t="s">
        <v>193</v>
      </c>
      <c r="J1" s="72" t="s">
        <v>125</v>
      </c>
      <c r="K1" s="71" t="s">
        <v>185</v>
      </c>
      <c r="L1" s="84" t="s">
        <v>184</v>
      </c>
      <c r="M1" s="73" t="s">
        <v>194</v>
      </c>
    </row>
    <row r="2" spans="1:13" x14ac:dyDescent="0.15">
      <c r="A2" s="74" t="s">
        <v>199</v>
      </c>
      <c r="B2" s="75">
        <f>floors!$C$2</f>
        <v>30028</v>
      </c>
      <c r="C2" s="76" t="str">
        <f ca="1">VLOOKUP($B2,OFFSET([2]quests!$A$1,0,0,COUNTA([2]quests!$A:$A),MATCH(C$1,[2]quests!$1:$1,0)-MATCH($B$1,[2]quests!$1:$1,0)+1),MATCH(C$1,[2]quests!$1:$1,0)-MATCH($B$1,[2]quests!$1:$1,0)+1,FALSE)</f>
        <v>最悪の刺客</v>
      </c>
      <c r="D2" s="76" t="str">
        <f ca="1">VLOOKUP($B2,OFFSET([2]quests!$A$1,0,0,COUNTA([2]quests!$A:$A),MATCH(D$1,[2]quests!$1:$1,0)-MATCH($B$1,[2]quests!$1:$1,0)+1),MATCH(D$1,[2]quests!$1:$1,0)-MATCH($B$1,[2]quests!$1:$1,0)+1,FALSE)</f>
        <v>ドロップイベント8（マルチ専用）</v>
      </c>
      <c r="E2" s="80">
        <v>1</v>
      </c>
      <c r="F2" s="76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【中級】最悪の刺客</v>
      </c>
      <c r="G2" s="76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" s="78">
        <v>0</v>
      </c>
      <c r="I2">
        <v>3</v>
      </c>
      <c r="J2" s="77" t="s">
        <v>196</v>
      </c>
      <c r="K2" s="85" t="str">
        <f>VLOOKUP(I2,[7]stage_hints!$A:$C,3,FALSE)</f>
        <v>ターゲット</v>
      </c>
      <c r="L2" s="86" t="str">
        <f>VLOOKUP(I2,[7]stage_hints!$A:$D,4,FALSE)</f>
        <v>敵ユニットをタップすると_x000D_その敵を狙い撃ちできます</v>
      </c>
      <c r="M2" s="50" t="s">
        <v>209</v>
      </c>
    </row>
    <row r="3" spans="1:13" x14ac:dyDescent="0.15">
      <c r="A3" s="74" t="s">
        <v>199</v>
      </c>
      <c r="B3" s="75">
        <f>floors!$C$2</f>
        <v>30028</v>
      </c>
      <c r="C3" s="76" t="str">
        <f ca="1">VLOOKUP($B3,OFFSET([2]quests!$A$1,0,0,COUNTA([2]quests!$A:$A),MATCH(C$1,[2]quests!$1:$1,0)-MATCH($B$1,[2]quests!$1:$1,0)+1),MATCH(C$1,[2]quests!$1:$1,0)-MATCH($B$1,[2]quests!$1:$1,0)+1,FALSE)</f>
        <v>最悪の刺客</v>
      </c>
      <c r="D3" s="76" t="str">
        <f ca="1">VLOOKUP($B3,OFFSET([2]quests!$A$1,0,0,COUNTA([2]quests!$A:$A),MATCH(D$1,[2]quests!$1:$1,0)-MATCH($B$1,[2]quests!$1:$1,0)+1),MATCH(D$1,[2]quests!$1:$1,0)-MATCH($B$1,[2]quests!$1:$1,0)+1,FALSE)</f>
        <v>ドロップイベント8（マルチ専用）</v>
      </c>
      <c r="E3" s="80">
        <v>1</v>
      </c>
      <c r="F3" s="76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【中級】最悪の刺客</v>
      </c>
      <c r="G3" s="76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" s="78">
        <v>0</v>
      </c>
      <c r="I3">
        <v>6</v>
      </c>
      <c r="J3" s="77" t="s">
        <v>196</v>
      </c>
      <c r="K3" s="85" t="str">
        <f>VLOOKUP(I3,[7]stage_hints!$A:$C,3,FALSE)</f>
        <v>ユニット強化の属性ボーナス</v>
      </c>
      <c r="L3" s="86" t="str">
        <f>VLOOKUP(I3,[7]stage_hints!$A:$D,4,FALSE)</f>
        <v>同属性ユニットを強化素材にすると_x000D_経験値が多くもらえます</v>
      </c>
      <c r="M3" s="50" t="s">
        <v>209</v>
      </c>
    </row>
    <row r="4" spans="1:13" x14ac:dyDescent="0.15">
      <c r="A4" s="74" t="s">
        <v>199</v>
      </c>
      <c r="B4" s="75">
        <f>floors!$C$2</f>
        <v>30028</v>
      </c>
      <c r="C4" s="76" t="str">
        <f ca="1">VLOOKUP($B4,OFFSET([2]quests!$A$1,0,0,COUNTA([2]quests!$A:$A),MATCH(C$1,[2]quests!$1:$1,0)-MATCH($B$1,[2]quests!$1:$1,0)+1),MATCH(C$1,[2]quests!$1:$1,0)-MATCH($B$1,[2]quests!$1:$1,0)+1,FALSE)</f>
        <v>最悪の刺客</v>
      </c>
      <c r="D4" s="76" t="str">
        <f ca="1">VLOOKUP($B4,OFFSET([2]quests!$A$1,0,0,COUNTA([2]quests!$A:$A),MATCH(D$1,[2]quests!$1:$1,0)-MATCH($B$1,[2]quests!$1:$1,0)+1),MATCH(D$1,[2]quests!$1:$1,0)-MATCH($B$1,[2]quests!$1:$1,0)+1,FALSE)</f>
        <v>ドロップイベント8（マルチ専用）</v>
      </c>
      <c r="E4" s="80">
        <v>1</v>
      </c>
      <c r="F4" s="76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【中級】最悪の刺客</v>
      </c>
      <c r="G4" s="76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" s="78">
        <v>0</v>
      </c>
      <c r="I4">
        <v>7</v>
      </c>
      <c r="J4" s="77" t="s">
        <v>196</v>
      </c>
      <c r="K4" s="85" t="str">
        <f>VLOOKUP(I4,[7]stage_hints!$A:$C,3,FALSE)</f>
        <v>メタルダックで経験値を獲得</v>
      </c>
      <c r="L4" s="86" t="str">
        <f>VLOOKUP(I4,[7]stage_hints!$A:$D,4,FALSE)</f>
        <v>「メタルなアヒル」を強化素材にすると_x000D_大量の経験値がもらえます</v>
      </c>
      <c r="M4" s="50" t="s">
        <v>209</v>
      </c>
    </row>
    <row r="5" spans="1:13" x14ac:dyDescent="0.15">
      <c r="A5" s="74" t="s">
        <v>199</v>
      </c>
      <c r="B5" s="75">
        <f>floors!$C$2</f>
        <v>30028</v>
      </c>
      <c r="C5" s="76" t="str">
        <f ca="1">VLOOKUP($B5,OFFSET([2]quests!$A$1,0,0,COUNTA([2]quests!$A:$A),MATCH(C$1,[2]quests!$1:$1,0)-MATCH($B$1,[2]quests!$1:$1,0)+1),MATCH(C$1,[2]quests!$1:$1,0)-MATCH($B$1,[2]quests!$1:$1,0)+1,FALSE)</f>
        <v>最悪の刺客</v>
      </c>
      <c r="D5" s="76" t="str">
        <f ca="1">VLOOKUP($B5,OFFSET([2]quests!$A$1,0,0,COUNTA([2]quests!$A:$A),MATCH(D$1,[2]quests!$1:$1,0)-MATCH($B$1,[2]quests!$1:$1,0)+1),MATCH(D$1,[2]quests!$1:$1,0)-MATCH($B$1,[2]quests!$1:$1,0)+1,FALSE)</f>
        <v>ドロップイベント8（マルチ専用）</v>
      </c>
      <c r="E5" s="80">
        <v>1</v>
      </c>
      <c r="F5" s="76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【中級】最悪の刺客</v>
      </c>
      <c r="G5" s="76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" s="78">
        <v>0</v>
      </c>
      <c r="I5">
        <v>8</v>
      </c>
      <c r="J5" s="77" t="s">
        <v>196</v>
      </c>
      <c r="K5" s="85" t="str">
        <f>VLOOKUP(I5,[7]stage_hints!$A:$C,3,FALSE)</f>
        <v>ゲリラクエストは要チェック</v>
      </c>
      <c r="L5" s="86" t="str">
        <f>VLOOKUP(I5,[7]stage_hints!$A:$D,4,FALSE)</f>
        <v>時間限定の「アヒル捕獲作戦」では_x000D_経験値素材ユニットが多く手に入ります</v>
      </c>
      <c r="M5" s="50" t="s">
        <v>209</v>
      </c>
    </row>
    <row r="6" spans="1:13" x14ac:dyDescent="0.15">
      <c r="A6" s="74" t="s">
        <v>199</v>
      </c>
      <c r="B6" s="75">
        <f>floors!$C$2</f>
        <v>30028</v>
      </c>
      <c r="C6" s="76" t="str">
        <f ca="1">VLOOKUP($B6,OFFSET([2]quests!$A$1,0,0,COUNTA([2]quests!$A:$A),MATCH(C$1,[2]quests!$1:$1,0)-MATCH($B$1,[2]quests!$1:$1,0)+1),MATCH(C$1,[2]quests!$1:$1,0)-MATCH($B$1,[2]quests!$1:$1,0)+1,FALSE)</f>
        <v>最悪の刺客</v>
      </c>
      <c r="D6" s="76" t="str">
        <f ca="1">VLOOKUP($B6,OFFSET([2]quests!$A$1,0,0,COUNTA([2]quests!$A:$A),MATCH(D$1,[2]quests!$1:$1,0)-MATCH($B$1,[2]quests!$1:$1,0)+1),MATCH(D$1,[2]quests!$1:$1,0)-MATCH($B$1,[2]quests!$1:$1,0)+1,FALSE)</f>
        <v>ドロップイベント8（マルチ専用）</v>
      </c>
      <c r="E6" s="80">
        <v>1</v>
      </c>
      <c r="F6" s="76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【中級】最悪の刺客</v>
      </c>
      <c r="G6" s="76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" s="78">
        <v>0</v>
      </c>
      <c r="I6">
        <v>9</v>
      </c>
      <c r="J6" s="77" t="s">
        <v>196</v>
      </c>
      <c r="K6" s="85" t="str">
        <f>VLOOKUP(I6,[7]stage_hints!$A:$C,3,FALSE)</f>
        <v>ゴールドダックでビットを獲得</v>
      </c>
      <c r="L6" s="86" t="str">
        <f>VLOOKUP(I6,[7]stage_hints!$A:$D,4,FALSE)</f>
        <v>「ゴールドなアヒル」を売却すると_x000D_大量のビットがもらえます</v>
      </c>
      <c r="M6" s="50" t="s">
        <v>209</v>
      </c>
    </row>
    <row r="7" spans="1:13" x14ac:dyDescent="0.15">
      <c r="A7" s="74" t="s">
        <v>199</v>
      </c>
      <c r="B7" s="75">
        <f>floors!$C$2</f>
        <v>30028</v>
      </c>
      <c r="C7" s="76" t="str">
        <f ca="1">VLOOKUP($B7,OFFSET([2]quests!$A$1,0,0,COUNTA([2]quests!$A:$A),MATCH(C$1,[2]quests!$1:$1,0)-MATCH($B$1,[2]quests!$1:$1,0)+1),MATCH(C$1,[2]quests!$1:$1,0)-MATCH($B$1,[2]quests!$1:$1,0)+1,FALSE)</f>
        <v>最悪の刺客</v>
      </c>
      <c r="D7" s="76" t="str">
        <f ca="1">VLOOKUP($B7,OFFSET([2]quests!$A$1,0,0,COUNTA([2]quests!$A:$A),MATCH(D$1,[2]quests!$1:$1,0)-MATCH($B$1,[2]quests!$1:$1,0)+1),MATCH(D$1,[2]quests!$1:$1,0)-MATCH($B$1,[2]quests!$1:$1,0)+1,FALSE)</f>
        <v>ドロップイベント8（マルチ専用）</v>
      </c>
      <c r="E7" s="80">
        <v>1</v>
      </c>
      <c r="F7" s="76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【中級】最悪の刺客</v>
      </c>
      <c r="G7" s="76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" s="78">
        <v>0</v>
      </c>
      <c r="I7">
        <v>10</v>
      </c>
      <c r="J7" s="77" t="s">
        <v>196</v>
      </c>
      <c r="K7" s="85" t="str">
        <f>VLOOKUP(I7,[7]stage_hints!$A:$C,3,FALSE)</f>
        <v>土日に大量のビットを獲得</v>
      </c>
      <c r="L7" s="86" t="str">
        <f>VLOOKUP(I7,[7]stage_hints!$A:$D,4,FALSE)</f>
        <v>土日限定の「ゴールドカジノ」では_x000D_売却素材ユニットが多く手に入ります</v>
      </c>
      <c r="M7" s="50" t="s">
        <v>209</v>
      </c>
    </row>
    <row r="8" spans="1:13" x14ac:dyDescent="0.15">
      <c r="A8" s="74" t="s">
        <v>199</v>
      </c>
      <c r="B8" s="75">
        <f>floors!$C$2</f>
        <v>30028</v>
      </c>
      <c r="C8" s="76" t="str">
        <f ca="1">VLOOKUP($B8,OFFSET([2]quests!$A$1,0,0,COUNTA([2]quests!$A:$A),MATCH(C$1,[2]quests!$1:$1,0)-MATCH($B$1,[2]quests!$1:$1,0)+1),MATCH(C$1,[2]quests!$1:$1,0)-MATCH($B$1,[2]quests!$1:$1,0)+1,FALSE)</f>
        <v>最悪の刺客</v>
      </c>
      <c r="D8" s="76" t="str">
        <f ca="1">VLOOKUP($B8,OFFSET([2]quests!$A$1,0,0,COUNTA([2]quests!$A:$A),MATCH(D$1,[2]quests!$1:$1,0)-MATCH($B$1,[2]quests!$1:$1,0)+1),MATCH(D$1,[2]quests!$1:$1,0)-MATCH($B$1,[2]quests!$1:$1,0)+1,FALSE)</f>
        <v>ドロップイベント8（マルチ専用）</v>
      </c>
      <c r="E8" s="80">
        <v>1</v>
      </c>
      <c r="F8" s="76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【中級】最悪の刺客</v>
      </c>
      <c r="G8" s="76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" s="78">
        <v>0</v>
      </c>
      <c r="I8">
        <v>11</v>
      </c>
      <c r="J8" s="77" t="s">
        <v>196</v>
      </c>
      <c r="K8" s="85" t="str">
        <f>VLOOKUP(I8,[7]stage_hints!$A:$C,3,FALSE)</f>
        <v>ランク解放クエスト</v>
      </c>
      <c r="L8" s="86" t="str">
        <f>VLOOKUP(I8,[7]stage_hints!$A:$D,4,FALSE)</f>
        <v>一定ランクに到達すると_x000D_報酬付きのランク開放クエストが現れます</v>
      </c>
      <c r="M8" s="50" t="s">
        <v>209</v>
      </c>
    </row>
    <row r="9" spans="1:13" x14ac:dyDescent="0.15">
      <c r="A9" s="74" t="s">
        <v>199</v>
      </c>
      <c r="B9" s="75">
        <f>floors!$C$2</f>
        <v>30028</v>
      </c>
      <c r="C9" s="76" t="str">
        <f ca="1">VLOOKUP($B9,OFFSET([2]quests!$A$1,0,0,COUNTA([2]quests!$A:$A),MATCH(C$1,[2]quests!$1:$1,0)-MATCH($B$1,[2]quests!$1:$1,0)+1),MATCH(C$1,[2]quests!$1:$1,0)-MATCH($B$1,[2]quests!$1:$1,0)+1,FALSE)</f>
        <v>最悪の刺客</v>
      </c>
      <c r="D9" s="76" t="str">
        <f ca="1">VLOOKUP($B9,OFFSET([2]quests!$A$1,0,0,COUNTA([2]quests!$A:$A),MATCH(D$1,[2]quests!$1:$1,0)-MATCH($B$1,[2]quests!$1:$1,0)+1),MATCH(D$1,[2]quests!$1:$1,0)-MATCH($B$1,[2]quests!$1:$1,0)+1,FALSE)</f>
        <v>ドロップイベント8（マルチ専用）</v>
      </c>
      <c r="E9" s="80">
        <v>1</v>
      </c>
      <c r="F9" s="76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【中級】最悪の刺客</v>
      </c>
      <c r="G9" s="76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9" s="78">
        <v>0</v>
      </c>
      <c r="I9">
        <v>12</v>
      </c>
      <c r="J9" s="77" t="s">
        <v>196</v>
      </c>
      <c r="K9" s="85" t="str">
        <f>VLOOKUP(I9,[7]stage_hints!$A:$C,3,FALSE)</f>
        <v>ユニットのお気に入り登録</v>
      </c>
      <c r="L9" s="86" t="str">
        <f>VLOOKUP(I9,[7]stage_hints!$A:$D,4,FALSE)</f>
        <v>大事なユニットを誤って消さないように_x000D_フォルダから「お気に入り登録」しましょう</v>
      </c>
      <c r="M9" s="50" t="s">
        <v>209</v>
      </c>
    </row>
    <row r="10" spans="1:13" x14ac:dyDescent="0.15">
      <c r="A10" s="74" t="s">
        <v>199</v>
      </c>
      <c r="B10" s="75">
        <f>floors!$C$2</f>
        <v>30028</v>
      </c>
      <c r="C10" s="76" t="str">
        <f ca="1">VLOOKUP($B10,OFFSET([2]quests!$A$1,0,0,COUNTA([2]quests!$A:$A),MATCH(C$1,[2]quests!$1:$1,0)-MATCH($B$1,[2]quests!$1:$1,0)+1),MATCH(C$1,[2]quests!$1:$1,0)-MATCH($B$1,[2]quests!$1:$1,0)+1,FALSE)</f>
        <v>最悪の刺客</v>
      </c>
      <c r="D10" s="76" t="str">
        <f ca="1">VLOOKUP($B10,OFFSET([2]quests!$A$1,0,0,COUNTA([2]quests!$A:$A),MATCH(D$1,[2]quests!$1:$1,0)-MATCH($B$1,[2]quests!$1:$1,0)+1),MATCH(D$1,[2]quests!$1:$1,0)-MATCH($B$1,[2]quests!$1:$1,0)+1,FALSE)</f>
        <v>ドロップイベント8（マルチ専用）</v>
      </c>
      <c r="E10" s="80">
        <v>1</v>
      </c>
      <c r="F10" s="76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【中級】最悪の刺客</v>
      </c>
      <c r="G10" s="76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0" s="78">
        <v>0</v>
      </c>
      <c r="I10">
        <v>13</v>
      </c>
      <c r="J10" s="77" t="s">
        <v>196</v>
      </c>
      <c r="K10" s="85" t="str">
        <f>VLOOKUP(I10,[7]stage_hints!$A:$C,3,FALSE)</f>
        <v>ユニットの覚醒</v>
      </c>
      <c r="L10" s="86" t="str">
        <f>VLOOKUP(I10,[7]stage_hints!$A:$D,4,FALSE)</f>
        <v>ユニットを覚醒させると_x000D_比べものにならない強さが手に入ります</v>
      </c>
      <c r="M10" s="50" t="s">
        <v>209</v>
      </c>
    </row>
    <row r="11" spans="1:13" x14ac:dyDescent="0.15">
      <c r="A11" s="74" t="s">
        <v>199</v>
      </c>
      <c r="B11" s="75">
        <f>floors!$C$2</f>
        <v>30028</v>
      </c>
      <c r="C11" s="76" t="str">
        <f ca="1">VLOOKUP($B11,OFFSET([2]quests!$A$1,0,0,COUNTA([2]quests!$A:$A),MATCH(C$1,[2]quests!$1:$1,0)-MATCH($B$1,[2]quests!$1:$1,0)+1),MATCH(C$1,[2]quests!$1:$1,0)-MATCH($B$1,[2]quests!$1:$1,0)+1,FALSE)</f>
        <v>最悪の刺客</v>
      </c>
      <c r="D11" s="76" t="str">
        <f ca="1">VLOOKUP($B11,OFFSET([2]quests!$A$1,0,0,COUNTA([2]quests!$A:$A),MATCH(D$1,[2]quests!$1:$1,0)-MATCH($B$1,[2]quests!$1:$1,0)+1),MATCH(D$1,[2]quests!$1:$1,0)-MATCH($B$1,[2]quests!$1:$1,0)+1,FALSE)</f>
        <v>ドロップイベント8（マルチ専用）</v>
      </c>
      <c r="E11" s="80">
        <v>1</v>
      </c>
      <c r="F11" s="76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【中級】最悪の刺客</v>
      </c>
      <c r="G11" s="76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1" s="78">
        <v>0</v>
      </c>
      <c r="I11">
        <v>14</v>
      </c>
      <c r="J11" s="77" t="s">
        <v>196</v>
      </c>
      <c r="K11" s="85" t="str">
        <f>VLOOKUP(I11,[7]stage_hints!$A:$C,3,FALSE)</f>
        <v>覚醒するにはレベルを最大に</v>
      </c>
      <c r="L11" s="86" t="str">
        <f>VLOOKUP(I11,[7]stage_hints!$A:$D,4,FALSE)</f>
        <v>覚醒するにはユニットのレベルを_x000D_最大まで上げる必要があります</v>
      </c>
      <c r="M11" s="50" t="s">
        <v>209</v>
      </c>
    </row>
    <row r="12" spans="1:13" x14ac:dyDescent="0.15">
      <c r="A12" s="74" t="s">
        <v>199</v>
      </c>
      <c r="B12" s="75">
        <f>floors!$C$2</f>
        <v>30028</v>
      </c>
      <c r="C12" s="76" t="str">
        <f ca="1">VLOOKUP($B12,OFFSET([2]quests!$A$1,0,0,COUNTA([2]quests!$A:$A),MATCH(C$1,[2]quests!$1:$1,0)-MATCH($B$1,[2]quests!$1:$1,0)+1),MATCH(C$1,[2]quests!$1:$1,0)-MATCH($B$1,[2]quests!$1:$1,0)+1,FALSE)</f>
        <v>最悪の刺客</v>
      </c>
      <c r="D12" s="76" t="str">
        <f ca="1">VLOOKUP($B12,OFFSET([2]quests!$A$1,0,0,COUNTA([2]quests!$A:$A),MATCH(D$1,[2]quests!$1:$1,0)-MATCH($B$1,[2]quests!$1:$1,0)+1),MATCH(D$1,[2]quests!$1:$1,0)-MATCH($B$1,[2]quests!$1:$1,0)+1,FALSE)</f>
        <v>ドロップイベント8（マルチ専用）</v>
      </c>
      <c r="E12" s="80">
        <v>1</v>
      </c>
      <c r="F12" s="76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【中級】最悪の刺客</v>
      </c>
      <c r="G12" s="76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2" s="78">
        <v>0</v>
      </c>
      <c r="I12">
        <v>15</v>
      </c>
      <c r="J12" s="77" t="s">
        <v>196</v>
      </c>
      <c r="K12" s="85" t="str">
        <f>VLOOKUP(I12,[7]stage_hints!$A:$C,3,FALSE)</f>
        <v>覚醒素材を獲得</v>
      </c>
      <c r="L12" s="86" t="str">
        <f>VLOOKUP(I12,[7]stage_hints!$A:$D,4,FALSE)</f>
        <v>「曜日クエスト」では_x000D_ユニットの覚醒に必要な素材が手に入ります</v>
      </c>
      <c r="M12" s="50" t="s">
        <v>209</v>
      </c>
    </row>
    <row r="13" spans="1:13" x14ac:dyDescent="0.15">
      <c r="A13" s="74" t="s">
        <v>199</v>
      </c>
      <c r="B13" s="75">
        <f>floors!$C$2</f>
        <v>30028</v>
      </c>
      <c r="C13" s="76" t="str">
        <f ca="1">VLOOKUP($B13,OFFSET([2]quests!$A$1,0,0,COUNTA([2]quests!$A:$A),MATCH(C$1,[2]quests!$1:$1,0)-MATCH($B$1,[2]quests!$1:$1,0)+1),MATCH(C$1,[2]quests!$1:$1,0)-MATCH($B$1,[2]quests!$1:$1,0)+1,FALSE)</f>
        <v>最悪の刺客</v>
      </c>
      <c r="D13" s="76" t="str">
        <f ca="1">VLOOKUP($B13,OFFSET([2]quests!$A$1,0,0,COUNTA([2]quests!$A:$A),MATCH(D$1,[2]quests!$1:$1,0)-MATCH($B$1,[2]quests!$1:$1,0)+1),MATCH(D$1,[2]quests!$1:$1,0)-MATCH($B$1,[2]quests!$1:$1,0)+1,FALSE)</f>
        <v>ドロップイベント8（マルチ専用）</v>
      </c>
      <c r="E13" s="80">
        <v>1</v>
      </c>
      <c r="F13" s="76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【中級】最悪の刺客</v>
      </c>
      <c r="G13" s="76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3" s="78">
        <v>0</v>
      </c>
      <c r="I13">
        <v>16</v>
      </c>
      <c r="J13" s="77" t="s">
        <v>196</v>
      </c>
      <c r="K13" s="85" t="str">
        <f>VLOOKUP(I13,[7]stage_hints!$A:$C,3,FALSE)</f>
        <v>マルチプレイのメリット（その1）</v>
      </c>
      <c r="L13" s="86" t="str">
        <f>VLOOKUP(I13,[7]stage_hints!$A:$D,4,FALSE)</f>
        <v>他のプレイヤーとマルチプレイで遊ぶと_x000D_ポリゴンがもらえます（100人まで）</v>
      </c>
      <c r="M13" s="50" t="s">
        <v>209</v>
      </c>
    </row>
    <row r="14" spans="1:13" x14ac:dyDescent="0.15">
      <c r="A14" s="74" t="s">
        <v>199</v>
      </c>
      <c r="B14" s="75">
        <f>floors!$C$2</f>
        <v>30028</v>
      </c>
      <c r="C14" s="76" t="str">
        <f ca="1">VLOOKUP($B14,OFFSET([2]quests!$A$1,0,0,COUNTA([2]quests!$A:$A),MATCH(C$1,[2]quests!$1:$1,0)-MATCH($B$1,[2]quests!$1:$1,0)+1),MATCH(C$1,[2]quests!$1:$1,0)-MATCH($B$1,[2]quests!$1:$1,0)+1,FALSE)</f>
        <v>最悪の刺客</v>
      </c>
      <c r="D14" s="76" t="str">
        <f ca="1">VLOOKUP($B14,OFFSET([2]quests!$A$1,0,0,COUNTA([2]quests!$A:$A),MATCH(D$1,[2]quests!$1:$1,0)-MATCH($B$1,[2]quests!$1:$1,0)+1),MATCH(D$1,[2]quests!$1:$1,0)-MATCH($B$1,[2]quests!$1:$1,0)+1,FALSE)</f>
        <v>ドロップイベント8（マルチ専用）</v>
      </c>
      <c r="E14" s="80">
        <v>1</v>
      </c>
      <c r="F14" s="76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【中級】最悪の刺客</v>
      </c>
      <c r="G14" s="76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4" s="78">
        <v>0</v>
      </c>
      <c r="I14">
        <v>17</v>
      </c>
      <c r="J14" s="77" t="s">
        <v>196</v>
      </c>
      <c r="K14" s="85" t="str">
        <f>VLOOKUP(I14,[7]stage_hints!$A:$C,3,FALSE)</f>
        <v>リンクガチャ</v>
      </c>
      <c r="L14" s="86" t="str">
        <f>VLOOKUP(I14,[7]stage_hints!$A:$D,4,FALSE)</f>
        <v>無料のリンクガチャを回して_x000D_経験値素材や売却素材を獲得しましょう</v>
      </c>
      <c r="M14" s="50" t="s">
        <v>209</v>
      </c>
    </row>
    <row r="15" spans="1:13" x14ac:dyDescent="0.15">
      <c r="A15" s="74" t="s">
        <v>199</v>
      </c>
      <c r="B15" s="75">
        <f>floors!$C$2</f>
        <v>30028</v>
      </c>
      <c r="C15" s="76" t="str">
        <f ca="1">VLOOKUP($B15,OFFSET([2]quests!$A$1,0,0,COUNTA([2]quests!$A:$A),MATCH(C$1,[2]quests!$1:$1,0)-MATCH($B$1,[2]quests!$1:$1,0)+1),MATCH(C$1,[2]quests!$1:$1,0)-MATCH($B$1,[2]quests!$1:$1,0)+1,FALSE)</f>
        <v>最悪の刺客</v>
      </c>
      <c r="D15" s="76" t="str">
        <f ca="1">VLOOKUP($B15,OFFSET([2]quests!$A$1,0,0,COUNTA([2]quests!$A:$A),MATCH(D$1,[2]quests!$1:$1,0)-MATCH($B$1,[2]quests!$1:$1,0)+1),MATCH(D$1,[2]quests!$1:$1,0)-MATCH($B$1,[2]quests!$1:$1,0)+1,FALSE)</f>
        <v>ドロップイベント8（マルチ専用）</v>
      </c>
      <c r="E15" s="80">
        <v>1</v>
      </c>
      <c r="F15" s="76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【中級】最悪の刺客</v>
      </c>
      <c r="G15" s="76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5" s="78">
        <v>0</v>
      </c>
      <c r="I15">
        <v>18</v>
      </c>
      <c r="J15" s="77" t="s">
        <v>196</v>
      </c>
      <c r="K15" s="85" t="str">
        <f>VLOOKUP(I15,[7]stage_hints!$A:$C,3,FALSE)</f>
        <v>マルチプレイのメリット（その2）</v>
      </c>
      <c r="L15" s="86" t="str">
        <f>VLOOKUP(I15,[7]stage_hints!$A:$D,4,FALSE)</f>
        <v>マルチプレイならリンクが2倍もらえます_x000D_リンクガチャをたくさん回しましょう</v>
      </c>
      <c r="M15" s="50" t="s">
        <v>209</v>
      </c>
    </row>
    <row r="16" spans="1:13" x14ac:dyDescent="0.15">
      <c r="A16" s="74" t="s">
        <v>199</v>
      </c>
      <c r="B16" s="75">
        <f>floors!$C$2</f>
        <v>30028</v>
      </c>
      <c r="C16" s="76" t="str">
        <f ca="1">VLOOKUP($B16,OFFSET([2]quests!$A$1,0,0,COUNTA([2]quests!$A:$A),MATCH(C$1,[2]quests!$1:$1,0)-MATCH($B$1,[2]quests!$1:$1,0)+1),MATCH(C$1,[2]quests!$1:$1,0)-MATCH($B$1,[2]quests!$1:$1,0)+1,FALSE)</f>
        <v>最悪の刺客</v>
      </c>
      <c r="D16" s="76" t="str">
        <f ca="1">VLOOKUP($B16,OFFSET([2]quests!$A$1,0,0,COUNTA([2]quests!$A:$A),MATCH(D$1,[2]quests!$1:$1,0)-MATCH($B$1,[2]quests!$1:$1,0)+1),MATCH(D$1,[2]quests!$1:$1,0)-MATCH($B$1,[2]quests!$1:$1,0)+1,FALSE)</f>
        <v>ドロップイベント8（マルチ専用）</v>
      </c>
      <c r="E16" s="80">
        <v>1</v>
      </c>
      <c r="F16" s="76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【中級】最悪の刺客</v>
      </c>
      <c r="G16" s="76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6" s="78">
        <v>0</v>
      </c>
      <c r="I16">
        <v>19</v>
      </c>
      <c r="J16" s="77" t="s">
        <v>196</v>
      </c>
      <c r="K16" s="85" t="str">
        <f>VLOOKUP(I16,[7]stage_hints!$A:$C,3,FALSE)</f>
        <v>ソロ専用タワーオブザクイーン</v>
      </c>
      <c r="L16" s="86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0" t="s">
        <v>209</v>
      </c>
    </row>
    <row r="17" spans="1:13" x14ac:dyDescent="0.15">
      <c r="A17" s="74" t="s">
        <v>199</v>
      </c>
      <c r="B17" s="75">
        <f>floors!$C$2</f>
        <v>30028</v>
      </c>
      <c r="C17" s="76" t="str">
        <f ca="1">VLOOKUP($B17,OFFSET([2]quests!$A$1,0,0,COUNTA([2]quests!$A:$A),MATCH(C$1,[2]quests!$1:$1,0)-MATCH($B$1,[2]quests!$1:$1,0)+1),MATCH(C$1,[2]quests!$1:$1,0)-MATCH($B$1,[2]quests!$1:$1,0)+1,FALSE)</f>
        <v>最悪の刺客</v>
      </c>
      <c r="D17" s="76" t="str">
        <f ca="1">VLOOKUP($B17,OFFSET([2]quests!$A$1,0,0,COUNTA([2]quests!$A:$A),MATCH(D$1,[2]quests!$1:$1,0)-MATCH($B$1,[2]quests!$1:$1,0)+1),MATCH(D$1,[2]quests!$1:$1,0)-MATCH($B$1,[2]quests!$1:$1,0)+1,FALSE)</f>
        <v>ドロップイベント8（マルチ専用）</v>
      </c>
      <c r="E17" s="80">
        <v>1</v>
      </c>
      <c r="F17" s="76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【中級】最悪の刺客</v>
      </c>
      <c r="G17" s="76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7" s="78">
        <v>0</v>
      </c>
      <c r="I17">
        <v>20</v>
      </c>
      <c r="J17" s="77" t="s">
        <v>196</v>
      </c>
      <c r="K17" s="85" t="str">
        <f>VLOOKUP(I17,[7]stage_hints!$A:$C,3,FALSE)</f>
        <v>マルチプレイのメリット（その3）</v>
      </c>
      <c r="L17" s="86" t="str">
        <f>VLOOKUP(I17,[7]stage_hints!$A:$D,4,FALSE)</f>
        <v>マルチプレイへの参加はエナジー消費ゼロ_x000D_いつでも好きなだけ遊ぶことができます</v>
      </c>
      <c r="M17" s="50" t="s">
        <v>209</v>
      </c>
    </row>
    <row r="18" spans="1:13" x14ac:dyDescent="0.15">
      <c r="A18" s="74" t="s">
        <v>199</v>
      </c>
      <c r="B18" s="75">
        <f>floors!$C$2</f>
        <v>30028</v>
      </c>
      <c r="C18" s="76" t="str">
        <f ca="1">VLOOKUP($B18,OFFSET([2]quests!$A$1,0,0,COUNTA([2]quests!$A:$A),MATCH(C$1,[2]quests!$1:$1,0)-MATCH($B$1,[2]quests!$1:$1,0)+1),MATCH(C$1,[2]quests!$1:$1,0)-MATCH($B$1,[2]quests!$1:$1,0)+1,FALSE)</f>
        <v>最悪の刺客</v>
      </c>
      <c r="D18" s="76" t="str">
        <f ca="1">VLOOKUP($B18,OFFSET([2]quests!$A$1,0,0,COUNTA([2]quests!$A:$A),MATCH(D$1,[2]quests!$1:$1,0)-MATCH($B$1,[2]quests!$1:$1,0)+1),MATCH(D$1,[2]quests!$1:$1,0)-MATCH($B$1,[2]quests!$1:$1,0)+1,FALSE)</f>
        <v>ドロップイベント8（マルチ専用）</v>
      </c>
      <c r="E18" s="80">
        <v>1</v>
      </c>
      <c r="F18" s="76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【中級】最悪の刺客</v>
      </c>
      <c r="G18" s="76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8" s="78">
        <v>0</v>
      </c>
      <c r="I18">
        <v>21</v>
      </c>
      <c r="J18" s="77" t="s">
        <v>196</v>
      </c>
      <c r="K18" s="85" t="str">
        <f>VLOOKUP(I18,[7]stage_hints!$A:$C,3,FALSE)</f>
        <v>スキルを有効に</v>
      </c>
      <c r="L18" s="86" t="str">
        <f>VLOOKUP(I18,[7]stage_hints!$A:$D,4,FALSE)</f>
        <v>ターン経過でユニットのスキルが使えます_x000D_強力スキルでバトルを有利に進めましょう</v>
      </c>
      <c r="M18" s="50" t="s">
        <v>209</v>
      </c>
    </row>
    <row r="19" spans="1:13" x14ac:dyDescent="0.15">
      <c r="A19" s="74" t="s">
        <v>199</v>
      </c>
      <c r="B19" s="75">
        <f>floors!$C$2</f>
        <v>30028</v>
      </c>
      <c r="C19" s="76" t="str">
        <f ca="1">VLOOKUP($B19,OFFSET([2]quests!$A$1,0,0,COUNTA([2]quests!$A:$A),MATCH(C$1,[2]quests!$1:$1,0)-MATCH($B$1,[2]quests!$1:$1,0)+1),MATCH(C$1,[2]quests!$1:$1,0)-MATCH($B$1,[2]quests!$1:$1,0)+1,FALSE)</f>
        <v>最悪の刺客</v>
      </c>
      <c r="D19" s="76" t="str">
        <f ca="1">VLOOKUP($B19,OFFSET([2]quests!$A$1,0,0,COUNTA([2]quests!$A:$A),MATCH(D$1,[2]quests!$1:$1,0)-MATCH($B$1,[2]quests!$1:$1,0)+1),MATCH(D$1,[2]quests!$1:$1,0)-MATCH($B$1,[2]quests!$1:$1,0)+1,FALSE)</f>
        <v>ドロップイベント8（マルチ専用）</v>
      </c>
      <c r="E19" s="80">
        <v>1</v>
      </c>
      <c r="F19" s="76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【中級】最悪の刺客</v>
      </c>
      <c r="G19" s="76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9" s="78">
        <v>0</v>
      </c>
      <c r="I19">
        <v>22</v>
      </c>
      <c r="J19" s="77" t="s">
        <v>196</v>
      </c>
      <c r="K19" s="85" t="str">
        <f>VLOOKUP(I19,[7]stage_hints!$A:$C,3,FALSE)</f>
        <v>フィーバーで一発逆転（その1）</v>
      </c>
      <c r="L19" s="86" t="str">
        <f>VLOOKUP(I19,[7]stage_hints!$A:$D,4,FALSE)</f>
        <v>フィーバーは攻撃と回復を兼ね備えます_x000D_ピンチからの一発逆転を狙いましょう</v>
      </c>
      <c r="M19" s="50" t="s">
        <v>209</v>
      </c>
    </row>
    <row r="20" spans="1:13" x14ac:dyDescent="0.15">
      <c r="A20" s="74" t="s">
        <v>199</v>
      </c>
      <c r="B20" s="75">
        <f>floors!$C$2</f>
        <v>30028</v>
      </c>
      <c r="C20" s="76" t="str">
        <f ca="1">VLOOKUP($B20,OFFSET([2]quests!$A$1,0,0,COUNTA([2]quests!$A:$A),MATCH(C$1,[2]quests!$1:$1,0)-MATCH($B$1,[2]quests!$1:$1,0)+1),MATCH(C$1,[2]quests!$1:$1,0)-MATCH($B$1,[2]quests!$1:$1,0)+1,FALSE)</f>
        <v>最悪の刺客</v>
      </c>
      <c r="D20" s="76" t="str">
        <f ca="1">VLOOKUP($B20,OFFSET([2]quests!$A$1,0,0,COUNTA([2]quests!$A:$A),MATCH(D$1,[2]quests!$1:$1,0)-MATCH($B$1,[2]quests!$1:$1,0)+1),MATCH(D$1,[2]quests!$1:$1,0)-MATCH($B$1,[2]quests!$1:$1,0)+1,FALSE)</f>
        <v>ドロップイベント8（マルチ専用）</v>
      </c>
      <c r="E20" s="80">
        <v>1</v>
      </c>
      <c r="F20" s="76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【中級】最悪の刺客</v>
      </c>
      <c r="G20" s="76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0" s="78">
        <v>0</v>
      </c>
      <c r="I20">
        <v>23</v>
      </c>
      <c r="J20" s="77" t="s">
        <v>196</v>
      </c>
      <c r="K20" s="85" t="str">
        <f>VLOOKUP(I20,[7]stage_hints!$A:$C,3,FALSE)</f>
        <v>フィーバーで一発逆転（その2）</v>
      </c>
      <c r="L20" s="86" t="str">
        <f>VLOOKUP(I20,[7]stage_hints!$A:$D,4,FALSE)</f>
        <v>フィーバー中は虹色のボムパネルを狙って_x000D_画面上のパネルを一気に破壊しましょう</v>
      </c>
      <c r="M20" s="50" t="s">
        <v>209</v>
      </c>
    </row>
    <row r="21" spans="1:13" x14ac:dyDescent="0.15">
      <c r="A21" s="74" t="s">
        <v>199</v>
      </c>
      <c r="B21" s="75">
        <f>floors!$C$2</f>
        <v>30028</v>
      </c>
      <c r="C21" s="76" t="str">
        <f ca="1">VLOOKUP($B21,OFFSET([2]quests!$A$1,0,0,COUNTA([2]quests!$A:$A),MATCH(C$1,[2]quests!$1:$1,0)-MATCH($B$1,[2]quests!$1:$1,0)+1),MATCH(C$1,[2]quests!$1:$1,0)-MATCH($B$1,[2]quests!$1:$1,0)+1,FALSE)</f>
        <v>最悪の刺客</v>
      </c>
      <c r="D21" s="76" t="str">
        <f ca="1">VLOOKUP($B21,OFFSET([2]quests!$A$1,0,0,COUNTA([2]quests!$A:$A),MATCH(D$1,[2]quests!$1:$1,0)-MATCH($B$1,[2]quests!$1:$1,0)+1),MATCH(D$1,[2]quests!$1:$1,0)-MATCH($B$1,[2]quests!$1:$1,0)+1,FALSE)</f>
        <v>ドロップイベント8（マルチ専用）</v>
      </c>
      <c r="E21" s="80">
        <v>1</v>
      </c>
      <c r="F21" s="76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【中級】最悪の刺客</v>
      </c>
      <c r="G21" s="76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1" s="78">
        <v>0</v>
      </c>
      <c r="I21">
        <v>24</v>
      </c>
      <c r="J21" s="77" t="s">
        <v>196</v>
      </c>
      <c r="K21" s="85" t="str">
        <f>VLOOKUP(I21,[7]stage_hints!$A:$C,3,FALSE)</f>
        <v>果実を使って限界突破</v>
      </c>
      <c r="L21" s="86" t="str">
        <f>VLOOKUP(I21,[7]stage_hints!$A:$D,4,FALSE)</f>
        <v>攻めの果実 癒しの果実_x000D_生命の果実をユニット強化に使うと_x000D_ステータスが限界突破します（計99個迄）</v>
      </c>
      <c r="M21" s="50" t="s">
        <v>209</v>
      </c>
    </row>
    <row r="22" spans="1:13" x14ac:dyDescent="0.15">
      <c r="A22" s="74" t="s">
        <v>199</v>
      </c>
      <c r="B22" s="75">
        <f>floors!$C$2</f>
        <v>30028</v>
      </c>
      <c r="C22" s="76" t="str">
        <f ca="1">VLOOKUP($B22,OFFSET([2]quests!$A$1,0,0,COUNTA([2]quests!$A:$A),MATCH(C$1,[2]quests!$1:$1,0)-MATCH($B$1,[2]quests!$1:$1,0)+1),MATCH(C$1,[2]quests!$1:$1,0)-MATCH($B$1,[2]quests!$1:$1,0)+1,FALSE)</f>
        <v>最悪の刺客</v>
      </c>
      <c r="D22" s="76" t="str">
        <f ca="1">VLOOKUP($B22,OFFSET([2]quests!$A$1,0,0,COUNTA([2]quests!$A:$A),MATCH(D$1,[2]quests!$1:$1,0)-MATCH($B$1,[2]quests!$1:$1,0)+1),MATCH(D$1,[2]quests!$1:$1,0)-MATCH($B$1,[2]quests!$1:$1,0)+1,FALSE)</f>
        <v>ドロップイベント8（マルチ専用）</v>
      </c>
      <c r="E22" s="80">
        <v>1</v>
      </c>
      <c r="F22" s="76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【中級】最悪の刺客</v>
      </c>
      <c r="G22" s="76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2" s="78">
        <v>0</v>
      </c>
      <c r="I22">
        <v>25</v>
      </c>
      <c r="J22" s="77" t="s">
        <v>196</v>
      </c>
      <c r="K22" s="85" t="str">
        <f>VLOOKUP(I22,[7]stage_hints!$A:$C,3,FALSE)</f>
        <v>スキルレベルアップ</v>
      </c>
      <c r="L22" s="86" t="str">
        <f>VLOOKUP(I22,[7]stage_hints!$A:$D,4,FALSE)</f>
        <v>「秘術の果実」を強化に使うと_x000D_スキルレベルを上げることができます</v>
      </c>
      <c r="M22" s="50" t="s">
        <v>209</v>
      </c>
    </row>
    <row r="23" spans="1:13" x14ac:dyDescent="0.15">
      <c r="A23" s="74" t="s">
        <v>199</v>
      </c>
      <c r="B23" s="75">
        <f>floors!$C$2</f>
        <v>30028</v>
      </c>
      <c r="C23" s="76" t="str">
        <f ca="1">VLOOKUP($B23,OFFSET([2]quests!$A$1,0,0,COUNTA([2]quests!$A:$A),MATCH(C$1,[2]quests!$1:$1,0)-MATCH($B$1,[2]quests!$1:$1,0)+1),MATCH(C$1,[2]quests!$1:$1,0)-MATCH($B$1,[2]quests!$1:$1,0)+1,FALSE)</f>
        <v>最悪の刺客</v>
      </c>
      <c r="D23" s="76" t="str">
        <f ca="1">VLOOKUP($B23,OFFSET([2]quests!$A$1,0,0,COUNTA([2]quests!$A:$A),MATCH(D$1,[2]quests!$1:$1,0)-MATCH($B$1,[2]quests!$1:$1,0)+1),MATCH(D$1,[2]quests!$1:$1,0)-MATCH($B$1,[2]quests!$1:$1,0)+1,FALSE)</f>
        <v>ドロップイベント8（マルチ専用）</v>
      </c>
      <c r="E23" s="80">
        <v>1</v>
      </c>
      <c r="F23" s="76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【中級】最悪の刺客</v>
      </c>
      <c r="G23" s="76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3" s="78">
        <v>0</v>
      </c>
      <c r="I23">
        <v>26</v>
      </c>
      <c r="J23" s="77" t="s">
        <v>196</v>
      </c>
      <c r="K23" s="85" t="str">
        <f>VLOOKUP(I23,[7]stage_hints!$A:$C,3,FALSE)</f>
        <v>スキルレベルの効果</v>
      </c>
      <c r="L23" s="86" t="str">
        <f>VLOOKUP(I23,[7]stage_hints!$A:$D,4,FALSE)</f>
        <v>スキルレベルが上がると_x000D_短いターンでスキルを使うことができます</v>
      </c>
      <c r="M23" s="50" t="s">
        <v>209</v>
      </c>
    </row>
    <row r="24" spans="1:13" x14ac:dyDescent="0.15">
      <c r="A24" s="74" t="s">
        <v>199</v>
      </c>
      <c r="B24" s="75">
        <f>floors!$C$2</f>
        <v>30028</v>
      </c>
      <c r="C24" s="76" t="str">
        <f ca="1">VLOOKUP($B24,OFFSET([2]quests!$A$1,0,0,COUNTA([2]quests!$A:$A),MATCH(C$1,[2]quests!$1:$1,0)-MATCH($B$1,[2]quests!$1:$1,0)+1),MATCH(C$1,[2]quests!$1:$1,0)-MATCH($B$1,[2]quests!$1:$1,0)+1,FALSE)</f>
        <v>最悪の刺客</v>
      </c>
      <c r="D24" s="76" t="str">
        <f ca="1">VLOOKUP($B24,OFFSET([2]quests!$A$1,0,0,COUNTA([2]quests!$A:$A),MATCH(D$1,[2]quests!$1:$1,0)-MATCH($B$1,[2]quests!$1:$1,0)+1),MATCH(D$1,[2]quests!$1:$1,0)-MATCH($B$1,[2]quests!$1:$1,0)+1,FALSE)</f>
        <v>ドロップイベント8（マルチ専用）</v>
      </c>
      <c r="E24" s="80">
        <v>1</v>
      </c>
      <c r="F24" s="76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【中級】最悪の刺客</v>
      </c>
      <c r="G24" s="76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4" s="78">
        <v>0</v>
      </c>
      <c r="I24">
        <v>27</v>
      </c>
      <c r="J24" s="77" t="s">
        <v>196</v>
      </c>
      <c r="K24" s="85" t="str">
        <f>VLOOKUP(I24,[7]stage_hints!$A:$C,3,FALSE)</f>
        <v>ホーム画面からデッキを編成</v>
      </c>
      <c r="L24" s="86" t="str">
        <f>VLOOKUP(I24,[7]stage_hints!$A:$D,4,FALSE)</f>
        <v>ホーム画面でユニットを長押しすると_x000D_すぐにパーティ編成に移動できます</v>
      </c>
      <c r="M24" s="50" t="s">
        <v>209</v>
      </c>
    </row>
    <row r="25" spans="1:13" x14ac:dyDescent="0.15">
      <c r="A25" s="74" t="s">
        <v>199</v>
      </c>
      <c r="B25" s="75">
        <f>floors!$C$2</f>
        <v>30028</v>
      </c>
      <c r="C25" s="76" t="str">
        <f ca="1">VLOOKUP($B25,OFFSET([2]quests!$A$1,0,0,COUNTA([2]quests!$A:$A),MATCH(C$1,[2]quests!$1:$1,0)-MATCH($B$1,[2]quests!$1:$1,0)+1),MATCH(C$1,[2]quests!$1:$1,0)-MATCH($B$1,[2]quests!$1:$1,0)+1,FALSE)</f>
        <v>最悪の刺客</v>
      </c>
      <c r="D25" s="76" t="str">
        <f ca="1">VLOOKUP($B25,OFFSET([2]quests!$A$1,0,0,COUNTA([2]quests!$A:$A),MATCH(D$1,[2]quests!$1:$1,0)-MATCH($B$1,[2]quests!$1:$1,0)+1),MATCH(D$1,[2]quests!$1:$1,0)-MATCH($B$1,[2]quests!$1:$1,0)+1,FALSE)</f>
        <v>ドロップイベント8（マルチ専用）</v>
      </c>
      <c r="E25" s="80">
        <v>1</v>
      </c>
      <c r="F25" s="76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【中級】最悪の刺客</v>
      </c>
      <c r="G25" s="76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5" s="78">
        <v>0</v>
      </c>
      <c r="I25">
        <v>28</v>
      </c>
      <c r="J25" s="77" t="s">
        <v>196</v>
      </c>
      <c r="K25" s="85" t="str">
        <f>VLOOKUP(I25,[7]stage_hints!$A:$C,3,FALSE)</f>
        <v>ステータス情報は長押しで</v>
      </c>
      <c r="L25" s="86" t="str">
        <f>VLOOKUP(I25,[7]stage_hints!$A:$D,4,FALSE)</f>
        <v>ユニットのアイコンを長押しすると_x000D_ステータス情報を確認することができます</v>
      </c>
      <c r="M25" s="50" t="s">
        <v>209</v>
      </c>
    </row>
    <row r="26" spans="1:13" x14ac:dyDescent="0.15">
      <c r="A26" s="74" t="s">
        <v>199</v>
      </c>
      <c r="B26" s="75">
        <f>floors!$C$2</f>
        <v>30028</v>
      </c>
      <c r="C26" s="76" t="str">
        <f ca="1">VLOOKUP($B26,OFFSET([2]quests!$A$1,0,0,COUNTA([2]quests!$A:$A),MATCH(C$1,[2]quests!$1:$1,0)-MATCH($B$1,[2]quests!$1:$1,0)+1),MATCH(C$1,[2]quests!$1:$1,0)-MATCH($B$1,[2]quests!$1:$1,0)+1,FALSE)</f>
        <v>最悪の刺客</v>
      </c>
      <c r="D26" s="76" t="str">
        <f ca="1">VLOOKUP($B26,OFFSET([2]quests!$A$1,0,0,COUNTA([2]quests!$A:$A),MATCH(D$1,[2]quests!$1:$1,0)-MATCH($B$1,[2]quests!$1:$1,0)+1),MATCH(D$1,[2]quests!$1:$1,0)-MATCH($B$1,[2]quests!$1:$1,0)+1,FALSE)</f>
        <v>ドロップイベント8（マルチ専用）</v>
      </c>
      <c r="E26" s="80">
        <v>1</v>
      </c>
      <c r="F26" s="76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【中級】最悪の刺客</v>
      </c>
      <c r="G26" s="76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6" s="78">
        <v>0</v>
      </c>
      <c r="I26">
        <v>29</v>
      </c>
      <c r="J26" s="77" t="s">
        <v>196</v>
      </c>
      <c r="K26" s="85" t="str">
        <f>VLOOKUP(I26,[7]stage_hints!$A:$C,3,FALSE)</f>
        <v>「バグ」のメリット</v>
      </c>
      <c r="L26" s="86" t="str">
        <f>VLOOKUP(I26,[7]stage_hints!$A:$D,4,FALSE)</f>
        <v>ユニットの「バグ」を増やすと_x000D_報酬をもらえる確率がアップします</v>
      </c>
      <c r="M26" s="50" t="s">
        <v>209</v>
      </c>
    </row>
    <row r="27" spans="1:13" x14ac:dyDescent="0.15">
      <c r="A27" s="74" t="s">
        <v>199</v>
      </c>
      <c r="B27" s="75">
        <f>floors!$C$2</f>
        <v>30028</v>
      </c>
      <c r="C27" s="76" t="str">
        <f ca="1">VLOOKUP($B27,OFFSET([2]quests!$A$1,0,0,COUNTA([2]quests!$A:$A),MATCH(C$1,[2]quests!$1:$1,0)-MATCH($B$1,[2]quests!$1:$1,0)+1),MATCH(C$1,[2]quests!$1:$1,0)-MATCH($B$1,[2]quests!$1:$1,0)+1,FALSE)</f>
        <v>最悪の刺客</v>
      </c>
      <c r="D27" s="76" t="str">
        <f ca="1">VLOOKUP($B27,OFFSET([2]quests!$A$1,0,0,COUNTA([2]quests!$A:$A),MATCH(D$1,[2]quests!$1:$1,0)-MATCH($B$1,[2]quests!$1:$1,0)+1),MATCH(D$1,[2]quests!$1:$1,0)-MATCH($B$1,[2]quests!$1:$1,0)+1,FALSE)</f>
        <v>ドロップイベント8（マルチ専用）</v>
      </c>
      <c r="E27" s="80">
        <v>1</v>
      </c>
      <c r="F27" s="76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【中級】最悪の刺客</v>
      </c>
      <c r="G27" s="76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7" s="78">
        <v>0</v>
      </c>
      <c r="I27">
        <v>30</v>
      </c>
      <c r="J27" s="77" t="s">
        <v>196</v>
      </c>
      <c r="K27" s="85" t="str">
        <f>VLOOKUP(I27,[7]stage_hints!$A:$C,3,FALSE)</f>
        <v>「バグ」の増やし方</v>
      </c>
      <c r="L27" s="86" t="str">
        <f>VLOOKUP(I27,[7]stage_hints!$A:$D,4,FALSE)</f>
        <v>同じユニット同士を強化で合成すると_x000D_「バグ」を増やすことができます</v>
      </c>
      <c r="M27" s="50" t="s">
        <v>209</v>
      </c>
    </row>
    <row r="28" spans="1:13" x14ac:dyDescent="0.15">
      <c r="A28" s="74" t="s">
        <v>199</v>
      </c>
      <c r="B28" s="75">
        <f>floors!$C$2</f>
        <v>30028</v>
      </c>
      <c r="C28" s="76" t="str">
        <f ca="1">VLOOKUP($B28,OFFSET([2]quests!$A$1,0,0,COUNTA([2]quests!$A:$A),MATCH(C$1,[2]quests!$1:$1,0)-MATCH($B$1,[2]quests!$1:$1,0)+1),MATCH(C$1,[2]quests!$1:$1,0)-MATCH($B$1,[2]quests!$1:$1,0)+1,FALSE)</f>
        <v>最悪の刺客</v>
      </c>
      <c r="D28" s="76" t="str">
        <f ca="1">VLOOKUP($B28,OFFSET([2]quests!$A$1,0,0,COUNTA([2]quests!$A:$A),MATCH(D$1,[2]quests!$1:$1,0)-MATCH($B$1,[2]quests!$1:$1,0)+1),MATCH(D$1,[2]quests!$1:$1,0)-MATCH($B$1,[2]quests!$1:$1,0)+1,FALSE)</f>
        <v>ドロップイベント8（マルチ専用）</v>
      </c>
      <c r="E28" s="80">
        <v>1</v>
      </c>
      <c r="F28" s="76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【中級】最悪の刺客</v>
      </c>
      <c r="G28" s="76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8" s="78">
        <v>0</v>
      </c>
      <c r="I28">
        <v>31</v>
      </c>
      <c r="J28" s="77" t="s">
        <v>196</v>
      </c>
      <c r="K28" s="85" t="str">
        <f>VLOOKUP(I28,[7]stage_hints!$A:$C,3,FALSE)</f>
        <v>イベントはお知らせでチェック</v>
      </c>
      <c r="L28" s="86" t="str">
        <f>VLOOKUP(I28,[7]stage_hints!$A:$D,4,FALSE)</f>
        <v>イベント限定ユニットを取り忘れないように_x000D_お知らせをこまめにチェックしましょう</v>
      </c>
      <c r="M28" s="50" t="s">
        <v>209</v>
      </c>
    </row>
    <row r="29" spans="1:13" x14ac:dyDescent="0.15">
      <c r="A29" s="74" t="s">
        <v>199</v>
      </c>
      <c r="B29" s="75">
        <f>floors!$C$2</f>
        <v>30028</v>
      </c>
      <c r="C29" s="76" t="str">
        <f ca="1">VLOOKUP($B29,OFFSET([2]quests!$A$1,0,0,COUNTA([2]quests!$A:$A),MATCH(C$1,[2]quests!$1:$1,0)-MATCH($B$1,[2]quests!$1:$1,0)+1),MATCH(C$1,[2]quests!$1:$1,0)-MATCH($B$1,[2]quests!$1:$1,0)+1,FALSE)</f>
        <v>最悪の刺客</v>
      </c>
      <c r="D29" s="76" t="str">
        <f ca="1">VLOOKUP($B29,OFFSET([2]quests!$A$1,0,0,COUNTA([2]quests!$A:$A),MATCH(D$1,[2]quests!$1:$1,0)-MATCH($B$1,[2]quests!$1:$1,0)+1),MATCH(D$1,[2]quests!$1:$1,0)-MATCH($B$1,[2]quests!$1:$1,0)+1,FALSE)</f>
        <v>ドロップイベント8（マルチ専用）</v>
      </c>
      <c r="E29" s="80">
        <v>1</v>
      </c>
      <c r="F29" s="76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【中級】最悪の刺客</v>
      </c>
      <c r="G29" s="76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9" s="78">
        <v>0</v>
      </c>
      <c r="I29">
        <v>32</v>
      </c>
      <c r="J29" s="77" t="s">
        <v>196</v>
      </c>
      <c r="K29" s="85" t="str">
        <f>VLOOKUP(I29,[7]stage_hints!$A:$C,3,FALSE)</f>
        <v>敵の連続攻撃には</v>
      </c>
      <c r="L29" s="86" t="str">
        <f>VLOOKUP(I29,[7]stage_hints!$A:$D,4,FALSE)</f>
        <v>カウンタースキルを持つユニットがいれば_x000D_ダメージ回数分の反撃ができます</v>
      </c>
      <c r="M29" s="50" t="s">
        <v>209</v>
      </c>
    </row>
    <row r="30" spans="1:13" x14ac:dyDescent="0.15">
      <c r="A30" s="74" t="s">
        <v>199</v>
      </c>
      <c r="B30" s="75">
        <f>floors!$C$2</f>
        <v>30028</v>
      </c>
      <c r="C30" s="76" t="str">
        <f ca="1">VLOOKUP($B30,OFFSET([2]quests!$A$1,0,0,COUNTA([2]quests!$A:$A),MATCH(C$1,[2]quests!$1:$1,0)-MATCH($B$1,[2]quests!$1:$1,0)+1),MATCH(C$1,[2]quests!$1:$1,0)-MATCH($B$1,[2]quests!$1:$1,0)+1,FALSE)</f>
        <v>最悪の刺客</v>
      </c>
      <c r="D30" s="76" t="str">
        <f ca="1">VLOOKUP($B30,OFFSET([2]quests!$A$1,0,0,COUNTA([2]quests!$A:$A),MATCH(D$1,[2]quests!$1:$1,0)-MATCH($B$1,[2]quests!$1:$1,0)+1),MATCH(D$1,[2]quests!$1:$1,0)-MATCH($B$1,[2]quests!$1:$1,0)+1,FALSE)</f>
        <v>ドロップイベント8（マルチ専用）</v>
      </c>
      <c r="E30" s="80">
        <v>1</v>
      </c>
      <c r="F30" s="76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【中級】最悪の刺客</v>
      </c>
      <c r="G30" s="76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0" s="78">
        <v>0</v>
      </c>
      <c r="I30">
        <v>33</v>
      </c>
      <c r="J30" s="77" t="s">
        <v>196</v>
      </c>
      <c r="K30" s="85" t="str">
        <f>VLOOKUP(I30,[7]stage_hints!$A:$C,3,FALSE)</f>
        <v>敵のカウンター攻撃には</v>
      </c>
      <c r="L30" s="86" t="str">
        <f>VLOOKUP(I30,[7]stage_hints!$A:$D,4,FALSE)</f>
        <v>カウンターブレイクスキルを持っていれば_x000D_敵のカウンターを解除して攻撃ができます</v>
      </c>
      <c r="M30" s="50" t="s">
        <v>209</v>
      </c>
    </row>
    <row r="31" spans="1:13" x14ac:dyDescent="0.15">
      <c r="A31" s="74" t="s">
        <v>199</v>
      </c>
      <c r="B31" s="75">
        <f>floors!$C$2</f>
        <v>30028</v>
      </c>
      <c r="C31" s="76" t="str">
        <f ca="1">VLOOKUP($B31,OFFSET([2]quests!$A$1,0,0,COUNTA([2]quests!$A:$A),MATCH(C$1,[2]quests!$1:$1,0)-MATCH($B$1,[2]quests!$1:$1,0)+1),MATCH(C$1,[2]quests!$1:$1,0)-MATCH($B$1,[2]quests!$1:$1,0)+1,FALSE)</f>
        <v>最悪の刺客</v>
      </c>
      <c r="D31" s="76" t="str">
        <f ca="1">VLOOKUP($B31,OFFSET([2]quests!$A$1,0,0,COUNTA([2]quests!$A:$A),MATCH(D$1,[2]quests!$1:$1,0)-MATCH($B$1,[2]quests!$1:$1,0)+1),MATCH(D$1,[2]quests!$1:$1,0)-MATCH($B$1,[2]quests!$1:$1,0)+1,FALSE)</f>
        <v>ドロップイベント8（マルチ専用）</v>
      </c>
      <c r="E31" s="80">
        <v>1</v>
      </c>
      <c r="F31" s="76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【中級】最悪の刺客</v>
      </c>
      <c r="G31" s="76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1" s="78">
        <v>0</v>
      </c>
      <c r="I31">
        <v>34</v>
      </c>
      <c r="J31" s="77" t="s">
        <v>196</v>
      </c>
      <c r="K31" s="85" t="str">
        <f>VLOOKUP(I31,[7]stage_hints!$A:$C,3,FALSE)</f>
        <v>ステータスをスキルで下げられたら</v>
      </c>
      <c r="L31" s="86" t="str">
        <f>VLOOKUP(I31,[7]stage_hints!$A:$D,4,FALSE)</f>
        <v>ステータスダウンのスキルを受けたら_x000D_ステータスアップスキルで上書きしましょう</v>
      </c>
      <c r="M31" s="50" t="s">
        <v>209</v>
      </c>
    </row>
    <row r="32" spans="1:13" x14ac:dyDescent="0.15">
      <c r="A32" s="74" t="s">
        <v>199</v>
      </c>
      <c r="B32" s="75">
        <f>floors!$C$2</f>
        <v>30028</v>
      </c>
      <c r="C32" s="76" t="str">
        <f ca="1">VLOOKUP($B32,OFFSET([2]quests!$A$1,0,0,COUNTA([2]quests!$A:$A),MATCH(C$1,[2]quests!$1:$1,0)-MATCH($B$1,[2]quests!$1:$1,0)+1),MATCH(C$1,[2]quests!$1:$1,0)-MATCH($B$1,[2]quests!$1:$1,0)+1,FALSE)</f>
        <v>最悪の刺客</v>
      </c>
      <c r="D32" s="76" t="str">
        <f ca="1">VLOOKUP($B32,OFFSET([2]quests!$A$1,0,0,COUNTA([2]quests!$A:$A),MATCH(D$1,[2]quests!$1:$1,0)-MATCH($B$1,[2]quests!$1:$1,0)+1),MATCH(D$1,[2]quests!$1:$1,0)-MATCH($B$1,[2]quests!$1:$1,0)+1,FALSE)</f>
        <v>ドロップイベント8（マルチ専用）</v>
      </c>
      <c r="E32" s="80">
        <v>1</v>
      </c>
      <c r="F32" s="76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【中級】最悪の刺客</v>
      </c>
      <c r="G32" s="76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2" s="78">
        <v>0</v>
      </c>
      <c r="I32">
        <v>35</v>
      </c>
      <c r="J32" s="77" t="s">
        <v>196</v>
      </c>
      <c r="K32" s="85" t="str">
        <f>VLOOKUP(I32,[7]stage_hints!$A:$C,3,FALSE)</f>
        <v>敵のステータスがスキルで上がったら</v>
      </c>
      <c r="L32" s="86" t="str">
        <f>VLOOKUP(I32,[7]stage_hints!$A:$D,4,FALSE)</f>
        <v>敵のステータスがスキルでアップしたときは_x000D_ステータスダウンスキルで上書きしましょう</v>
      </c>
      <c r="M32" s="50" t="s">
        <v>209</v>
      </c>
    </row>
    <row r="33" spans="1:13" x14ac:dyDescent="0.15">
      <c r="A33" s="74" t="s">
        <v>199</v>
      </c>
      <c r="B33" s="75">
        <f>floors!$C$2</f>
        <v>30028</v>
      </c>
      <c r="C33" s="76" t="str">
        <f ca="1">VLOOKUP($B33,OFFSET([2]quests!$A$1,0,0,COUNTA([2]quests!$A:$A),MATCH(C$1,[2]quests!$1:$1,0)-MATCH($B$1,[2]quests!$1:$1,0)+1),MATCH(C$1,[2]quests!$1:$1,0)-MATCH($B$1,[2]quests!$1:$1,0)+1,FALSE)</f>
        <v>最悪の刺客</v>
      </c>
      <c r="D33" s="76" t="str">
        <f ca="1">VLOOKUP($B33,OFFSET([2]quests!$A$1,0,0,COUNTA([2]quests!$A:$A),MATCH(D$1,[2]quests!$1:$1,0)-MATCH($B$1,[2]quests!$1:$1,0)+1),MATCH(D$1,[2]quests!$1:$1,0)-MATCH($B$1,[2]quests!$1:$1,0)+1,FALSE)</f>
        <v>ドロップイベント8（マルチ専用）</v>
      </c>
      <c r="E33" s="80">
        <v>1</v>
      </c>
      <c r="F33" s="76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【中級】最悪の刺客</v>
      </c>
      <c r="G33" s="76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3" s="78">
        <v>0</v>
      </c>
      <c r="I33">
        <v>39</v>
      </c>
      <c r="J33" s="77" t="s">
        <v>196</v>
      </c>
      <c r="K33" s="85" t="str">
        <f>VLOOKUP(I33,[7]stage_hints!$A:$C,3,FALSE)</f>
        <v>システム適合者を確認</v>
      </c>
      <c r="L33" s="86" t="str">
        <f>VLOOKUP(I33,[7]stage_hints!$A:$D,4,FALSE)</f>
        <v>ALICEが 「アナタ」を呼んでいます</v>
      </c>
      <c r="M33" s="50" t="s">
        <v>209</v>
      </c>
    </row>
    <row r="34" spans="1:13" x14ac:dyDescent="0.15">
      <c r="A34" s="74" t="s">
        <v>199</v>
      </c>
      <c r="B34" s="75">
        <f>floors!$C$2</f>
        <v>30028</v>
      </c>
      <c r="C34" s="76" t="str">
        <f ca="1">VLOOKUP($B34,OFFSET([2]quests!$A$1,0,0,COUNTA([2]quests!$A:$A),MATCH(C$1,[2]quests!$1:$1,0)-MATCH($B$1,[2]quests!$1:$1,0)+1),MATCH(C$1,[2]quests!$1:$1,0)-MATCH($B$1,[2]quests!$1:$1,0)+1,FALSE)</f>
        <v>最悪の刺客</v>
      </c>
      <c r="D34" s="76" t="str">
        <f ca="1">VLOOKUP($B34,OFFSET([2]quests!$A$1,0,0,COUNTA([2]quests!$A:$A),MATCH(D$1,[2]quests!$1:$1,0)-MATCH($B$1,[2]quests!$1:$1,0)+1),MATCH(D$1,[2]quests!$1:$1,0)-MATCH($B$1,[2]quests!$1:$1,0)+1,FALSE)</f>
        <v>ドロップイベント8（マルチ専用）</v>
      </c>
      <c r="E34" s="80">
        <v>2</v>
      </c>
      <c r="F34" s="76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【上級】最悪の刺客</v>
      </c>
      <c r="G34" s="76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4" s="78">
        <v>0</v>
      </c>
      <c r="I34" s="89">
        <v>3</v>
      </c>
      <c r="J34" s="77" t="s">
        <v>196</v>
      </c>
      <c r="K34" s="85" t="str">
        <f>VLOOKUP(I34,[7]stage_hints!$A:$C,3,FALSE)</f>
        <v>ターゲット</v>
      </c>
      <c r="L34" s="86" t="str">
        <f>VLOOKUP(I34,[7]stage_hints!$A:$D,4,FALSE)</f>
        <v>敵ユニットをタップすると_x000D_その敵を狙い撃ちできます</v>
      </c>
      <c r="M34" s="50" t="s">
        <v>209</v>
      </c>
    </row>
    <row r="35" spans="1:13" x14ac:dyDescent="0.15">
      <c r="A35" s="74" t="s">
        <v>199</v>
      </c>
      <c r="B35" s="75">
        <f>floors!$C$2</f>
        <v>30028</v>
      </c>
      <c r="C35" s="76" t="str">
        <f ca="1">VLOOKUP($B35,OFFSET([2]quests!$A$1,0,0,COUNTA([2]quests!$A:$A),MATCH(C$1,[2]quests!$1:$1,0)-MATCH($B$1,[2]quests!$1:$1,0)+1),MATCH(C$1,[2]quests!$1:$1,0)-MATCH($B$1,[2]quests!$1:$1,0)+1,FALSE)</f>
        <v>最悪の刺客</v>
      </c>
      <c r="D35" s="76" t="str">
        <f ca="1">VLOOKUP($B35,OFFSET([2]quests!$A$1,0,0,COUNTA([2]quests!$A:$A),MATCH(D$1,[2]quests!$1:$1,0)-MATCH($B$1,[2]quests!$1:$1,0)+1),MATCH(D$1,[2]quests!$1:$1,0)-MATCH($B$1,[2]quests!$1:$1,0)+1,FALSE)</f>
        <v>ドロップイベント8（マルチ専用）</v>
      </c>
      <c r="E35" s="80">
        <v>2</v>
      </c>
      <c r="F35" s="76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【上級】最悪の刺客</v>
      </c>
      <c r="G35" s="76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5" s="78">
        <v>0</v>
      </c>
      <c r="I35" s="89">
        <v>6</v>
      </c>
      <c r="J35" s="77" t="s">
        <v>196</v>
      </c>
      <c r="K35" s="85" t="str">
        <f>VLOOKUP(I35,[7]stage_hints!$A:$C,3,FALSE)</f>
        <v>ユニット強化の属性ボーナス</v>
      </c>
      <c r="L35" s="86" t="str">
        <f>VLOOKUP(I35,[7]stage_hints!$A:$D,4,FALSE)</f>
        <v>同属性ユニットを強化素材にすると_x000D_経験値が多くもらえます</v>
      </c>
      <c r="M35" s="50" t="s">
        <v>209</v>
      </c>
    </row>
    <row r="36" spans="1:13" x14ac:dyDescent="0.15">
      <c r="A36" s="74" t="s">
        <v>199</v>
      </c>
      <c r="B36" s="75">
        <f>floors!$C$2</f>
        <v>30028</v>
      </c>
      <c r="C36" s="76" t="str">
        <f ca="1">VLOOKUP($B36,OFFSET([2]quests!$A$1,0,0,COUNTA([2]quests!$A:$A),MATCH(C$1,[2]quests!$1:$1,0)-MATCH($B$1,[2]quests!$1:$1,0)+1),MATCH(C$1,[2]quests!$1:$1,0)-MATCH($B$1,[2]quests!$1:$1,0)+1,FALSE)</f>
        <v>最悪の刺客</v>
      </c>
      <c r="D36" s="76" t="str">
        <f ca="1">VLOOKUP($B36,OFFSET([2]quests!$A$1,0,0,COUNTA([2]quests!$A:$A),MATCH(D$1,[2]quests!$1:$1,0)-MATCH($B$1,[2]quests!$1:$1,0)+1),MATCH(D$1,[2]quests!$1:$1,0)-MATCH($B$1,[2]quests!$1:$1,0)+1,FALSE)</f>
        <v>ドロップイベント8（マルチ専用）</v>
      </c>
      <c r="E36" s="80">
        <v>2</v>
      </c>
      <c r="F36" s="76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【上級】最悪の刺客</v>
      </c>
      <c r="G36" s="76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6" s="78">
        <v>0</v>
      </c>
      <c r="I36" s="89">
        <v>7</v>
      </c>
      <c r="J36" s="77" t="s">
        <v>196</v>
      </c>
      <c r="K36" s="85" t="str">
        <f>VLOOKUP(I36,[7]stage_hints!$A:$C,3,FALSE)</f>
        <v>メタルダックで経験値を獲得</v>
      </c>
      <c r="L36" s="86" t="str">
        <f>VLOOKUP(I36,[7]stage_hints!$A:$D,4,FALSE)</f>
        <v>「メタルなアヒル」を強化素材にすると_x000D_大量の経験値がもらえます</v>
      </c>
      <c r="M36" s="50" t="s">
        <v>209</v>
      </c>
    </row>
    <row r="37" spans="1:13" x14ac:dyDescent="0.15">
      <c r="A37" s="74" t="s">
        <v>199</v>
      </c>
      <c r="B37" s="75">
        <f>floors!$C$2</f>
        <v>30028</v>
      </c>
      <c r="C37" s="76" t="str">
        <f ca="1">VLOOKUP($B37,OFFSET([2]quests!$A$1,0,0,COUNTA([2]quests!$A:$A),MATCH(C$1,[2]quests!$1:$1,0)-MATCH($B$1,[2]quests!$1:$1,0)+1),MATCH(C$1,[2]quests!$1:$1,0)-MATCH($B$1,[2]quests!$1:$1,0)+1,FALSE)</f>
        <v>最悪の刺客</v>
      </c>
      <c r="D37" s="76" t="str">
        <f ca="1">VLOOKUP($B37,OFFSET([2]quests!$A$1,0,0,COUNTA([2]quests!$A:$A),MATCH(D$1,[2]quests!$1:$1,0)-MATCH($B$1,[2]quests!$1:$1,0)+1),MATCH(D$1,[2]quests!$1:$1,0)-MATCH($B$1,[2]quests!$1:$1,0)+1,FALSE)</f>
        <v>ドロップイベント8（マルチ専用）</v>
      </c>
      <c r="E37" s="80">
        <v>2</v>
      </c>
      <c r="F37" s="76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【上級】最悪の刺客</v>
      </c>
      <c r="G37" s="76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7" s="78">
        <v>0</v>
      </c>
      <c r="I37" s="89">
        <v>8</v>
      </c>
      <c r="J37" s="77" t="s">
        <v>196</v>
      </c>
      <c r="K37" s="85" t="str">
        <f>VLOOKUP(I37,[7]stage_hints!$A:$C,3,FALSE)</f>
        <v>ゲリラクエストは要チェック</v>
      </c>
      <c r="L37" s="86" t="str">
        <f>VLOOKUP(I37,[7]stage_hints!$A:$D,4,FALSE)</f>
        <v>時間限定の「アヒル捕獲作戦」では_x000D_経験値素材ユニットが多く手に入ります</v>
      </c>
      <c r="M37" s="50" t="s">
        <v>209</v>
      </c>
    </row>
    <row r="38" spans="1:13" x14ac:dyDescent="0.15">
      <c r="A38" s="74" t="s">
        <v>199</v>
      </c>
      <c r="B38" s="75">
        <f>floors!$C$2</f>
        <v>30028</v>
      </c>
      <c r="C38" s="76" t="str">
        <f ca="1">VLOOKUP($B38,OFFSET([2]quests!$A$1,0,0,COUNTA([2]quests!$A:$A),MATCH(C$1,[2]quests!$1:$1,0)-MATCH($B$1,[2]quests!$1:$1,0)+1),MATCH(C$1,[2]quests!$1:$1,0)-MATCH($B$1,[2]quests!$1:$1,0)+1,FALSE)</f>
        <v>最悪の刺客</v>
      </c>
      <c r="D38" s="76" t="str">
        <f ca="1">VLOOKUP($B38,OFFSET([2]quests!$A$1,0,0,COUNTA([2]quests!$A:$A),MATCH(D$1,[2]quests!$1:$1,0)-MATCH($B$1,[2]quests!$1:$1,0)+1),MATCH(D$1,[2]quests!$1:$1,0)-MATCH($B$1,[2]quests!$1:$1,0)+1,FALSE)</f>
        <v>ドロップイベント8（マルチ専用）</v>
      </c>
      <c r="E38" s="80">
        <v>2</v>
      </c>
      <c r="F38" s="76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【上級】最悪の刺客</v>
      </c>
      <c r="G38" s="76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8" s="78">
        <v>0</v>
      </c>
      <c r="I38" s="89">
        <v>9</v>
      </c>
      <c r="J38" s="77" t="s">
        <v>196</v>
      </c>
      <c r="K38" s="85" t="str">
        <f>VLOOKUP(I38,[7]stage_hints!$A:$C,3,FALSE)</f>
        <v>ゴールドダックでビットを獲得</v>
      </c>
      <c r="L38" s="86" t="str">
        <f>VLOOKUP(I38,[7]stage_hints!$A:$D,4,FALSE)</f>
        <v>「ゴールドなアヒル」を売却すると_x000D_大量のビットがもらえます</v>
      </c>
      <c r="M38" s="50" t="s">
        <v>209</v>
      </c>
    </row>
    <row r="39" spans="1:13" x14ac:dyDescent="0.15">
      <c r="A39" s="74" t="s">
        <v>199</v>
      </c>
      <c r="B39" s="75">
        <f>floors!$C$2</f>
        <v>30028</v>
      </c>
      <c r="C39" s="76" t="str">
        <f ca="1">VLOOKUP($B39,OFFSET([2]quests!$A$1,0,0,COUNTA([2]quests!$A:$A),MATCH(C$1,[2]quests!$1:$1,0)-MATCH($B$1,[2]quests!$1:$1,0)+1),MATCH(C$1,[2]quests!$1:$1,0)-MATCH($B$1,[2]quests!$1:$1,0)+1,FALSE)</f>
        <v>最悪の刺客</v>
      </c>
      <c r="D39" s="76" t="str">
        <f ca="1">VLOOKUP($B39,OFFSET([2]quests!$A$1,0,0,COUNTA([2]quests!$A:$A),MATCH(D$1,[2]quests!$1:$1,0)-MATCH($B$1,[2]quests!$1:$1,0)+1),MATCH(D$1,[2]quests!$1:$1,0)-MATCH($B$1,[2]quests!$1:$1,0)+1,FALSE)</f>
        <v>ドロップイベント8（マルチ専用）</v>
      </c>
      <c r="E39" s="80">
        <v>2</v>
      </c>
      <c r="F39" s="76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【上級】最悪の刺客</v>
      </c>
      <c r="G39" s="76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9" s="78">
        <v>0</v>
      </c>
      <c r="I39" s="89">
        <v>10</v>
      </c>
      <c r="J39" s="77" t="s">
        <v>196</v>
      </c>
      <c r="K39" s="85" t="str">
        <f>VLOOKUP(I39,[7]stage_hints!$A:$C,3,FALSE)</f>
        <v>土日に大量のビットを獲得</v>
      </c>
      <c r="L39" s="86" t="str">
        <f>VLOOKUP(I39,[7]stage_hints!$A:$D,4,FALSE)</f>
        <v>土日限定の「ゴールドカジノ」では_x000D_売却素材ユニットが多く手に入ります</v>
      </c>
      <c r="M39" s="50" t="s">
        <v>209</v>
      </c>
    </row>
    <row r="40" spans="1:13" x14ac:dyDescent="0.15">
      <c r="A40" s="74" t="s">
        <v>199</v>
      </c>
      <c r="B40" s="75">
        <f>floors!$C$2</f>
        <v>30028</v>
      </c>
      <c r="C40" s="76" t="str">
        <f ca="1">VLOOKUP($B40,OFFSET([2]quests!$A$1,0,0,COUNTA([2]quests!$A:$A),MATCH(C$1,[2]quests!$1:$1,0)-MATCH($B$1,[2]quests!$1:$1,0)+1),MATCH(C$1,[2]quests!$1:$1,0)-MATCH($B$1,[2]quests!$1:$1,0)+1,FALSE)</f>
        <v>最悪の刺客</v>
      </c>
      <c r="D40" s="76" t="str">
        <f ca="1">VLOOKUP($B40,OFFSET([2]quests!$A$1,0,0,COUNTA([2]quests!$A:$A),MATCH(D$1,[2]quests!$1:$1,0)-MATCH($B$1,[2]quests!$1:$1,0)+1),MATCH(D$1,[2]quests!$1:$1,0)-MATCH($B$1,[2]quests!$1:$1,0)+1,FALSE)</f>
        <v>ドロップイベント8（マルチ専用）</v>
      </c>
      <c r="E40" s="80">
        <v>2</v>
      </c>
      <c r="F40" s="76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【上級】最悪の刺客</v>
      </c>
      <c r="G40" s="76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0" s="78">
        <v>0</v>
      </c>
      <c r="I40" s="89">
        <v>11</v>
      </c>
      <c r="J40" s="77" t="s">
        <v>196</v>
      </c>
      <c r="K40" s="85" t="str">
        <f>VLOOKUP(I40,[7]stage_hints!$A:$C,3,FALSE)</f>
        <v>ランク解放クエスト</v>
      </c>
      <c r="L40" s="86" t="str">
        <f>VLOOKUP(I40,[7]stage_hints!$A:$D,4,FALSE)</f>
        <v>一定ランクに到達すると_x000D_報酬付きのランク開放クエストが現れます</v>
      </c>
      <c r="M40" s="50" t="s">
        <v>209</v>
      </c>
    </row>
    <row r="41" spans="1:13" x14ac:dyDescent="0.15">
      <c r="A41" s="74" t="s">
        <v>199</v>
      </c>
      <c r="B41" s="75">
        <f>floors!$C$2</f>
        <v>30028</v>
      </c>
      <c r="C41" s="76" t="str">
        <f ca="1">VLOOKUP($B41,OFFSET([2]quests!$A$1,0,0,COUNTA([2]quests!$A:$A),MATCH(C$1,[2]quests!$1:$1,0)-MATCH($B$1,[2]quests!$1:$1,0)+1),MATCH(C$1,[2]quests!$1:$1,0)-MATCH($B$1,[2]quests!$1:$1,0)+1,FALSE)</f>
        <v>最悪の刺客</v>
      </c>
      <c r="D41" s="76" t="str">
        <f ca="1">VLOOKUP($B41,OFFSET([2]quests!$A$1,0,0,COUNTA([2]quests!$A:$A),MATCH(D$1,[2]quests!$1:$1,0)-MATCH($B$1,[2]quests!$1:$1,0)+1),MATCH(D$1,[2]quests!$1:$1,0)-MATCH($B$1,[2]quests!$1:$1,0)+1,FALSE)</f>
        <v>ドロップイベント8（マルチ専用）</v>
      </c>
      <c r="E41" s="80">
        <v>2</v>
      </c>
      <c r="F41" s="76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【上級】最悪の刺客</v>
      </c>
      <c r="G41" s="76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1" s="78">
        <v>0</v>
      </c>
      <c r="I41" s="89">
        <v>12</v>
      </c>
      <c r="J41" s="77" t="s">
        <v>196</v>
      </c>
      <c r="K41" s="85" t="str">
        <f>VLOOKUP(I41,[7]stage_hints!$A:$C,3,FALSE)</f>
        <v>ユニットのお気に入り登録</v>
      </c>
      <c r="L41" s="86" t="str">
        <f>VLOOKUP(I41,[7]stage_hints!$A:$D,4,FALSE)</f>
        <v>大事なユニットを誤って消さないように_x000D_フォルダから「お気に入り登録」しましょう</v>
      </c>
      <c r="M41" s="50" t="s">
        <v>209</v>
      </c>
    </row>
    <row r="42" spans="1:13" x14ac:dyDescent="0.15">
      <c r="A42" s="74" t="s">
        <v>199</v>
      </c>
      <c r="B42" s="75">
        <f>floors!$C$2</f>
        <v>30028</v>
      </c>
      <c r="C42" s="76" t="str">
        <f ca="1">VLOOKUP($B42,OFFSET([2]quests!$A$1,0,0,COUNTA([2]quests!$A:$A),MATCH(C$1,[2]quests!$1:$1,0)-MATCH($B$1,[2]quests!$1:$1,0)+1),MATCH(C$1,[2]quests!$1:$1,0)-MATCH($B$1,[2]quests!$1:$1,0)+1,FALSE)</f>
        <v>最悪の刺客</v>
      </c>
      <c r="D42" s="76" t="str">
        <f ca="1">VLOOKUP($B42,OFFSET([2]quests!$A$1,0,0,COUNTA([2]quests!$A:$A),MATCH(D$1,[2]quests!$1:$1,0)-MATCH($B$1,[2]quests!$1:$1,0)+1),MATCH(D$1,[2]quests!$1:$1,0)-MATCH($B$1,[2]quests!$1:$1,0)+1,FALSE)</f>
        <v>ドロップイベント8（マルチ専用）</v>
      </c>
      <c r="E42" s="80">
        <v>2</v>
      </c>
      <c r="F42" s="76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【上級】最悪の刺客</v>
      </c>
      <c r="G42" s="76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2" s="78">
        <v>0</v>
      </c>
      <c r="I42" s="89">
        <v>13</v>
      </c>
      <c r="J42" s="77" t="s">
        <v>196</v>
      </c>
      <c r="K42" s="85" t="str">
        <f>VLOOKUP(I42,[7]stage_hints!$A:$C,3,FALSE)</f>
        <v>ユニットの覚醒</v>
      </c>
      <c r="L42" s="86" t="str">
        <f>VLOOKUP(I42,[7]stage_hints!$A:$D,4,FALSE)</f>
        <v>ユニットを覚醒させると_x000D_比べものにならない強さが手に入ります</v>
      </c>
      <c r="M42" s="50" t="s">
        <v>209</v>
      </c>
    </row>
    <row r="43" spans="1:13" x14ac:dyDescent="0.15">
      <c r="A43" s="74" t="s">
        <v>199</v>
      </c>
      <c r="B43" s="75">
        <f>floors!$C$2</f>
        <v>30028</v>
      </c>
      <c r="C43" s="76" t="str">
        <f ca="1">VLOOKUP($B43,OFFSET([2]quests!$A$1,0,0,COUNTA([2]quests!$A:$A),MATCH(C$1,[2]quests!$1:$1,0)-MATCH($B$1,[2]quests!$1:$1,0)+1),MATCH(C$1,[2]quests!$1:$1,0)-MATCH($B$1,[2]quests!$1:$1,0)+1,FALSE)</f>
        <v>最悪の刺客</v>
      </c>
      <c r="D43" s="76" t="str">
        <f ca="1">VLOOKUP($B43,OFFSET([2]quests!$A$1,0,0,COUNTA([2]quests!$A:$A),MATCH(D$1,[2]quests!$1:$1,0)-MATCH($B$1,[2]quests!$1:$1,0)+1),MATCH(D$1,[2]quests!$1:$1,0)-MATCH($B$1,[2]quests!$1:$1,0)+1,FALSE)</f>
        <v>ドロップイベント8（マルチ専用）</v>
      </c>
      <c r="E43" s="80">
        <v>2</v>
      </c>
      <c r="F43" s="76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【上級】最悪の刺客</v>
      </c>
      <c r="G43" s="76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3" s="78">
        <v>0</v>
      </c>
      <c r="I43" s="89">
        <v>14</v>
      </c>
      <c r="J43" s="77" t="s">
        <v>196</v>
      </c>
      <c r="K43" s="85" t="str">
        <f>VLOOKUP(I43,[7]stage_hints!$A:$C,3,FALSE)</f>
        <v>覚醒するにはレベルを最大に</v>
      </c>
      <c r="L43" s="86" t="str">
        <f>VLOOKUP(I43,[7]stage_hints!$A:$D,4,FALSE)</f>
        <v>覚醒するにはユニットのレベルを_x000D_最大まで上げる必要があります</v>
      </c>
      <c r="M43" s="50" t="s">
        <v>209</v>
      </c>
    </row>
    <row r="44" spans="1:13" x14ac:dyDescent="0.15">
      <c r="A44" s="74" t="s">
        <v>199</v>
      </c>
      <c r="B44" s="75">
        <f>floors!$C$2</f>
        <v>30028</v>
      </c>
      <c r="C44" s="76" t="str">
        <f ca="1">VLOOKUP($B44,OFFSET([2]quests!$A$1,0,0,COUNTA([2]quests!$A:$A),MATCH(C$1,[2]quests!$1:$1,0)-MATCH($B$1,[2]quests!$1:$1,0)+1),MATCH(C$1,[2]quests!$1:$1,0)-MATCH($B$1,[2]quests!$1:$1,0)+1,FALSE)</f>
        <v>最悪の刺客</v>
      </c>
      <c r="D44" s="76" t="str">
        <f ca="1">VLOOKUP($B44,OFFSET([2]quests!$A$1,0,0,COUNTA([2]quests!$A:$A),MATCH(D$1,[2]quests!$1:$1,0)-MATCH($B$1,[2]quests!$1:$1,0)+1),MATCH(D$1,[2]quests!$1:$1,0)-MATCH($B$1,[2]quests!$1:$1,0)+1,FALSE)</f>
        <v>ドロップイベント8（マルチ専用）</v>
      </c>
      <c r="E44" s="80">
        <v>2</v>
      </c>
      <c r="F44" s="76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【上級】最悪の刺客</v>
      </c>
      <c r="G44" s="76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4" s="78">
        <v>0</v>
      </c>
      <c r="I44" s="89">
        <v>15</v>
      </c>
      <c r="J44" s="77" t="s">
        <v>196</v>
      </c>
      <c r="K44" s="85" t="str">
        <f>VLOOKUP(I44,[7]stage_hints!$A:$C,3,FALSE)</f>
        <v>覚醒素材を獲得</v>
      </c>
      <c r="L44" s="86" t="str">
        <f>VLOOKUP(I44,[7]stage_hints!$A:$D,4,FALSE)</f>
        <v>「曜日クエスト」では_x000D_ユニットの覚醒に必要な素材が手に入ります</v>
      </c>
      <c r="M44" s="50" t="s">
        <v>209</v>
      </c>
    </row>
    <row r="45" spans="1:13" x14ac:dyDescent="0.15">
      <c r="A45" s="74" t="s">
        <v>199</v>
      </c>
      <c r="B45" s="75">
        <f>floors!$C$2</f>
        <v>30028</v>
      </c>
      <c r="C45" s="76" t="str">
        <f ca="1">VLOOKUP($B45,OFFSET([2]quests!$A$1,0,0,COUNTA([2]quests!$A:$A),MATCH(C$1,[2]quests!$1:$1,0)-MATCH($B$1,[2]quests!$1:$1,0)+1),MATCH(C$1,[2]quests!$1:$1,0)-MATCH($B$1,[2]quests!$1:$1,0)+1,FALSE)</f>
        <v>最悪の刺客</v>
      </c>
      <c r="D45" s="76" t="str">
        <f ca="1">VLOOKUP($B45,OFFSET([2]quests!$A$1,0,0,COUNTA([2]quests!$A:$A),MATCH(D$1,[2]quests!$1:$1,0)-MATCH($B$1,[2]quests!$1:$1,0)+1),MATCH(D$1,[2]quests!$1:$1,0)-MATCH($B$1,[2]quests!$1:$1,0)+1,FALSE)</f>
        <v>ドロップイベント8（マルチ専用）</v>
      </c>
      <c r="E45" s="80">
        <v>2</v>
      </c>
      <c r="F45" s="76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【上級】最悪の刺客</v>
      </c>
      <c r="G45" s="76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5" s="78">
        <v>0</v>
      </c>
      <c r="I45" s="89">
        <v>16</v>
      </c>
      <c r="J45" s="77" t="s">
        <v>196</v>
      </c>
      <c r="K45" s="85" t="str">
        <f>VLOOKUP(I45,[7]stage_hints!$A:$C,3,FALSE)</f>
        <v>マルチプレイのメリット（その1）</v>
      </c>
      <c r="L45" s="86" t="str">
        <f>VLOOKUP(I45,[7]stage_hints!$A:$D,4,FALSE)</f>
        <v>他のプレイヤーとマルチプレイで遊ぶと_x000D_ポリゴンがもらえます（100人まで）</v>
      </c>
      <c r="M45" s="50" t="s">
        <v>209</v>
      </c>
    </row>
    <row r="46" spans="1:13" x14ac:dyDescent="0.15">
      <c r="A46" s="74" t="s">
        <v>199</v>
      </c>
      <c r="B46" s="75">
        <f>floors!$C$2</f>
        <v>30028</v>
      </c>
      <c r="C46" s="76" t="str">
        <f ca="1">VLOOKUP($B46,OFFSET([2]quests!$A$1,0,0,COUNTA([2]quests!$A:$A),MATCH(C$1,[2]quests!$1:$1,0)-MATCH($B$1,[2]quests!$1:$1,0)+1),MATCH(C$1,[2]quests!$1:$1,0)-MATCH($B$1,[2]quests!$1:$1,0)+1,FALSE)</f>
        <v>最悪の刺客</v>
      </c>
      <c r="D46" s="76" t="str">
        <f ca="1">VLOOKUP($B46,OFFSET([2]quests!$A$1,0,0,COUNTA([2]quests!$A:$A),MATCH(D$1,[2]quests!$1:$1,0)-MATCH($B$1,[2]quests!$1:$1,0)+1),MATCH(D$1,[2]quests!$1:$1,0)-MATCH($B$1,[2]quests!$1:$1,0)+1,FALSE)</f>
        <v>ドロップイベント8（マルチ専用）</v>
      </c>
      <c r="E46" s="80">
        <v>2</v>
      </c>
      <c r="F46" s="76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【上級】最悪の刺客</v>
      </c>
      <c r="G46" s="76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6" s="78">
        <v>0</v>
      </c>
      <c r="I46" s="89">
        <v>17</v>
      </c>
      <c r="J46" s="77" t="s">
        <v>196</v>
      </c>
      <c r="K46" s="85" t="str">
        <f>VLOOKUP(I46,[7]stage_hints!$A:$C,3,FALSE)</f>
        <v>リンクガチャ</v>
      </c>
      <c r="L46" s="86" t="str">
        <f>VLOOKUP(I46,[7]stage_hints!$A:$D,4,FALSE)</f>
        <v>無料のリンクガチャを回して_x000D_経験値素材や売却素材を獲得しましょう</v>
      </c>
      <c r="M46" s="50" t="s">
        <v>209</v>
      </c>
    </row>
    <row r="47" spans="1:13" x14ac:dyDescent="0.15">
      <c r="A47" s="74" t="s">
        <v>199</v>
      </c>
      <c r="B47" s="75">
        <f>floors!$C$2</f>
        <v>30028</v>
      </c>
      <c r="C47" s="76" t="str">
        <f ca="1">VLOOKUP($B47,OFFSET([2]quests!$A$1,0,0,COUNTA([2]quests!$A:$A),MATCH(C$1,[2]quests!$1:$1,0)-MATCH($B$1,[2]quests!$1:$1,0)+1),MATCH(C$1,[2]quests!$1:$1,0)-MATCH($B$1,[2]quests!$1:$1,0)+1,FALSE)</f>
        <v>最悪の刺客</v>
      </c>
      <c r="D47" s="76" t="str">
        <f ca="1">VLOOKUP($B47,OFFSET([2]quests!$A$1,0,0,COUNTA([2]quests!$A:$A),MATCH(D$1,[2]quests!$1:$1,0)-MATCH($B$1,[2]quests!$1:$1,0)+1),MATCH(D$1,[2]quests!$1:$1,0)-MATCH($B$1,[2]quests!$1:$1,0)+1,FALSE)</f>
        <v>ドロップイベント8（マルチ専用）</v>
      </c>
      <c r="E47" s="80">
        <v>2</v>
      </c>
      <c r="F47" s="76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【上級】最悪の刺客</v>
      </c>
      <c r="G47" s="76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7" s="78">
        <v>0</v>
      </c>
      <c r="I47" s="89">
        <v>18</v>
      </c>
      <c r="J47" s="77" t="s">
        <v>196</v>
      </c>
      <c r="K47" s="85" t="str">
        <f>VLOOKUP(I47,[7]stage_hints!$A:$C,3,FALSE)</f>
        <v>マルチプレイのメリット（その2）</v>
      </c>
      <c r="L47" s="86" t="str">
        <f>VLOOKUP(I47,[7]stage_hints!$A:$D,4,FALSE)</f>
        <v>マルチプレイならリンクが2倍もらえます_x000D_リンクガチャをたくさん回しましょう</v>
      </c>
      <c r="M47" s="50" t="s">
        <v>209</v>
      </c>
    </row>
    <row r="48" spans="1:13" x14ac:dyDescent="0.15">
      <c r="A48" s="74" t="s">
        <v>199</v>
      </c>
      <c r="B48" s="75">
        <f>floors!$C$2</f>
        <v>30028</v>
      </c>
      <c r="C48" s="76" t="str">
        <f ca="1">VLOOKUP($B48,OFFSET([2]quests!$A$1,0,0,COUNTA([2]quests!$A:$A),MATCH(C$1,[2]quests!$1:$1,0)-MATCH($B$1,[2]quests!$1:$1,0)+1),MATCH(C$1,[2]quests!$1:$1,0)-MATCH($B$1,[2]quests!$1:$1,0)+1,FALSE)</f>
        <v>最悪の刺客</v>
      </c>
      <c r="D48" s="76" t="str">
        <f ca="1">VLOOKUP($B48,OFFSET([2]quests!$A$1,0,0,COUNTA([2]quests!$A:$A),MATCH(D$1,[2]quests!$1:$1,0)-MATCH($B$1,[2]quests!$1:$1,0)+1),MATCH(D$1,[2]quests!$1:$1,0)-MATCH($B$1,[2]quests!$1:$1,0)+1,FALSE)</f>
        <v>ドロップイベント8（マルチ専用）</v>
      </c>
      <c r="E48" s="80">
        <v>2</v>
      </c>
      <c r="F48" s="76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【上級】最悪の刺客</v>
      </c>
      <c r="G48" s="76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8" s="78">
        <v>0</v>
      </c>
      <c r="I48" s="89">
        <v>19</v>
      </c>
      <c r="J48" s="77" t="s">
        <v>196</v>
      </c>
      <c r="K48" s="85" t="str">
        <f>VLOOKUP(I48,[7]stage_hints!$A:$C,3,FALSE)</f>
        <v>ソロ専用タワーオブザクイーン</v>
      </c>
      <c r="L48" s="86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0" t="s">
        <v>209</v>
      </c>
    </row>
    <row r="49" spans="1:13" x14ac:dyDescent="0.15">
      <c r="A49" s="74" t="s">
        <v>199</v>
      </c>
      <c r="B49" s="75">
        <f>floors!$C$2</f>
        <v>30028</v>
      </c>
      <c r="C49" s="76" t="str">
        <f ca="1">VLOOKUP($B49,OFFSET([2]quests!$A$1,0,0,COUNTA([2]quests!$A:$A),MATCH(C$1,[2]quests!$1:$1,0)-MATCH($B$1,[2]quests!$1:$1,0)+1),MATCH(C$1,[2]quests!$1:$1,0)-MATCH($B$1,[2]quests!$1:$1,0)+1,FALSE)</f>
        <v>最悪の刺客</v>
      </c>
      <c r="D49" s="76" t="str">
        <f ca="1">VLOOKUP($B49,OFFSET([2]quests!$A$1,0,0,COUNTA([2]quests!$A:$A),MATCH(D$1,[2]quests!$1:$1,0)-MATCH($B$1,[2]quests!$1:$1,0)+1),MATCH(D$1,[2]quests!$1:$1,0)-MATCH($B$1,[2]quests!$1:$1,0)+1,FALSE)</f>
        <v>ドロップイベント8（マルチ専用）</v>
      </c>
      <c r="E49" s="80">
        <v>2</v>
      </c>
      <c r="F49" s="76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【上級】最悪の刺客</v>
      </c>
      <c r="G49" s="76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9" s="78">
        <v>0</v>
      </c>
      <c r="I49" s="89">
        <v>20</v>
      </c>
      <c r="J49" s="77" t="s">
        <v>196</v>
      </c>
      <c r="K49" s="85" t="str">
        <f>VLOOKUP(I49,[7]stage_hints!$A:$C,3,FALSE)</f>
        <v>マルチプレイのメリット（その3）</v>
      </c>
      <c r="L49" s="86" t="str">
        <f>VLOOKUP(I49,[7]stage_hints!$A:$D,4,FALSE)</f>
        <v>マルチプレイへの参加はエナジー消費ゼロ_x000D_いつでも好きなだけ遊ぶことができます</v>
      </c>
      <c r="M49" s="50" t="s">
        <v>209</v>
      </c>
    </row>
    <row r="50" spans="1:13" x14ac:dyDescent="0.15">
      <c r="A50" s="74" t="s">
        <v>199</v>
      </c>
      <c r="B50" s="75">
        <f>floors!$C$2</f>
        <v>30028</v>
      </c>
      <c r="C50" s="76" t="str">
        <f ca="1">VLOOKUP($B50,OFFSET([2]quests!$A$1,0,0,COUNTA([2]quests!$A:$A),MATCH(C$1,[2]quests!$1:$1,0)-MATCH($B$1,[2]quests!$1:$1,0)+1),MATCH(C$1,[2]quests!$1:$1,0)-MATCH($B$1,[2]quests!$1:$1,0)+1,FALSE)</f>
        <v>最悪の刺客</v>
      </c>
      <c r="D50" s="76" t="str">
        <f ca="1">VLOOKUP($B50,OFFSET([2]quests!$A$1,0,0,COUNTA([2]quests!$A:$A),MATCH(D$1,[2]quests!$1:$1,0)-MATCH($B$1,[2]quests!$1:$1,0)+1),MATCH(D$1,[2]quests!$1:$1,0)-MATCH($B$1,[2]quests!$1:$1,0)+1,FALSE)</f>
        <v>ドロップイベント8（マルチ専用）</v>
      </c>
      <c r="E50" s="80">
        <v>2</v>
      </c>
      <c r="F50" s="76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【上級】最悪の刺客</v>
      </c>
      <c r="G50" s="76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0" s="78">
        <v>0</v>
      </c>
      <c r="I50" s="89">
        <v>21</v>
      </c>
      <c r="J50" s="77" t="s">
        <v>196</v>
      </c>
      <c r="K50" s="85" t="str">
        <f>VLOOKUP(I50,[7]stage_hints!$A:$C,3,FALSE)</f>
        <v>スキルを有効に</v>
      </c>
      <c r="L50" s="86" t="str">
        <f>VLOOKUP(I50,[7]stage_hints!$A:$D,4,FALSE)</f>
        <v>ターン経過でユニットのスキルが使えます_x000D_強力スキルでバトルを有利に進めましょう</v>
      </c>
      <c r="M50" s="50" t="s">
        <v>209</v>
      </c>
    </row>
    <row r="51" spans="1:13" x14ac:dyDescent="0.15">
      <c r="A51" s="74" t="s">
        <v>199</v>
      </c>
      <c r="B51" s="75">
        <f>floors!$C$2</f>
        <v>30028</v>
      </c>
      <c r="C51" s="76" t="str">
        <f ca="1">VLOOKUP($B51,OFFSET([2]quests!$A$1,0,0,COUNTA([2]quests!$A:$A),MATCH(C$1,[2]quests!$1:$1,0)-MATCH($B$1,[2]quests!$1:$1,0)+1),MATCH(C$1,[2]quests!$1:$1,0)-MATCH($B$1,[2]quests!$1:$1,0)+1,FALSE)</f>
        <v>最悪の刺客</v>
      </c>
      <c r="D51" s="76" t="str">
        <f ca="1">VLOOKUP($B51,OFFSET([2]quests!$A$1,0,0,COUNTA([2]quests!$A:$A),MATCH(D$1,[2]quests!$1:$1,0)-MATCH($B$1,[2]quests!$1:$1,0)+1),MATCH(D$1,[2]quests!$1:$1,0)-MATCH($B$1,[2]quests!$1:$1,0)+1,FALSE)</f>
        <v>ドロップイベント8（マルチ専用）</v>
      </c>
      <c r="E51" s="80">
        <v>2</v>
      </c>
      <c r="F51" s="76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【上級】最悪の刺客</v>
      </c>
      <c r="G51" s="76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1" s="78">
        <v>0</v>
      </c>
      <c r="I51" s="89">
        <v>22</v>
      </c>
      <c r="J51" s="77" t="s">
        <v>196</v>
      </c>
      <c r="K51" s="85" t="str">
        <f>VLOOKUP(I51,[7]stage_hints!$A:$C,3,FALSE)</f>
        <v>フィーバーで一発逆転（その1）</v>
      </c>
      <c r="L51" s="86" t="str">
        <f>VLOOKUP(I51,[7]stage_hints!$A:$D,4,FALSE)</f>
        <v>フィーバーは攻撃と回復を兼ね備えます_x000D_ピンチからの一発逆転を狙いましょう</v>
      </c>
      <c r="M51" s="50" t="s">
        <v>209</v>
      </c>
    </row>
    <row r="52" spans="1:13" x14ac:dyDescent="0.15">
      <c r="A52" s="74" t="s">
        <v>199</v>
      </c>
      <c r="B52" s="75">
        <f>floors!$C$2</f>
        <v>30028</v>
      </c>
      <c r="C52" s="76" t="str">
        <f ca="1">VLOOKUP($B52,OFFSET([2]quests!$A$1,0,0,COUNTA([2]quests!$A:$A),MATCH(C$1,[2]quests!$1:$1,0)-MATCH($B$1,[2]quests!$1:$1,0)+1),MATCH(C$1,[2]quests!$1:$1,0)-MATCH($B$1,[2]quests!$1:$1,0)+1,FALSE)</f>
        <v>最悪の刺客</v>
      </c>
      <c r="D52" s="76" t="str">
        <f ca="1">VLOOKUP($B52,OFFSET([2]quests!$A$1,0,0,COUNTA([2]quests!$A:$A),MATCH(D$1,[2]quests!$1:$1,0)-MATCH($B$1,[2]quests!$1:$1,0)+1),MATCH(D$1,[2]quests!$1:$1,0)-MATCH($B$1,[2]quests!$1:$1,0)+1,FALSE)</f>
        <v>ドロップイベント8（マルチ専用）</v>
      </c>
      <c r="E52" s="80">
        <v>2</v>
      </c>
      <c r="F52" s="76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【上級】最悪の刺客</v>
      </c>
      <c r="G52" s="76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2" s="78">
        <v>0</v>
      </c>
      <c r="I52" s="89">
        <v>23</v>
      </c>
      <c r="J52" s="77" t="s">
        <v>196</v>
      </c>
      <c r="K52" s="85" t="str">
        <f>VLOOKUP(I52,[7]stage_hints!$A:$C,3,FALSE)</f>
        <v>フィーバーで一発逆転（その2）</v>
      </c>
      <c r="L52" s="86" t="str">
        <f>VLOOKUP(I52,[7]stage_hints!$A:$D,4,FALSE)</f>
        <v>フィーバー中は虹色のボムパネルを狙って_x000D_画面上のパネルを一気に破壊しましょう</v>
      </c>
      <c r="M52" s="50" t="s">
        <v>209</v>
      </c>
    </row>
    <row r="53" spans="1:13" x14ac:dyDescent="0.15">
      <c r="A53" s="74" t="s">
        <v>199</v>
      </c>
      <c r="B53" s="75">
        <f>floors!$C$2</f>
        <v>30028</v>
      </c>
      <c r="C53" s="76" t="str">
        <f ca="1">VLOOKUP($B53,OFFSET([2]quests!$A$1,0,0,COUNTA([2]quests!$A:$A),MATCH(C$1,[2]quests!$1:$1,0)-MATCH($B$1,[2]quests!$1:$1,0)+1),MATCH(C$1,[2]quests!$1:$1,0)-MATCH($B$1,[2]quests!$1:$1,0)+1,FALSE)</f>
        <v>最悪の刺客</v>
      </c>
      <c r="D53" s="76" t="str">
        <f ca="1">VLOOKUP($B53,OFFSET([2]quests!$A$1,0,0,COUNTA([2]quests!$A:$A),MATCH(D$1,[2]quests!$1:$1,0)-MATCH($B$1,[2]quests!$1:$1,0)+1),MATCH(D$1,[2]quests!$1:$1,0)-MATCH($B$1,[2]quests!$1:$1,0)+1,FALSE)</f>
        <v>ドロップイベント8（マルチ専用）</v>
      </c>
      <c r="E53" s="80">
        <v>2</v>
      </c>
      <c r="F53" s="76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【上級】最悪の刺客</v>
      </c>
      <c r="G53" s="76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3" s="78">
        <v>0</v>
      </c>
      <c r="I53" s="89">
        <v>24</v>
      </c>
      <c r="J53" s="77" t="s">
        <v>196</v>
      </c>
      <c r="K53" s="85" t="str">
        <f>VLOOKUP(I53,[7]stage_hints!$A:$C,3,FALSE)</f>
        <v>果実を使って限界突破</v>
      </c>
      <c r="L53" s="86" t="str">
        <f>VLOOKUP(I53,[7]stage_hints!$A:$D,4,FALSE)</f>
        <v>攻めの果実 癒しの果実_x000D_生命の果実をユニット強化に使うと_x000D_ステータスが限界突破します（計99個迄）</v>
      </c>
      <c r="M53" s="50" t="s">
        <v>209</v>
      </c>
    </row>
    <row r="54" spans="1:13" x14ac:dyDescent="0.15">
      <c r="A54" s="74" t="s">
        <v>199</v>
      </c>
      <c r="B54" s="75">
        <f>floors!$C$2</f>
        <v>30028</v>
      </c>
      <c r="C54" s="76" t="str">
        <f ca="1">VLOOKUP($B54,OFFSET([2]quests!$A$1,0,0,COUNTA([2]quests!$A:$A),MATCH(C$1,[2]quests!$1:$1,0)-MATCH($B$1,[2]quests!$1:$1,0)+1),MATCH(C$1,[2]quests!$1:$1,0)-MATCH($B$1,[2]quests!$1:$1,0)+1,FALSE)</f>
        <v>最悪の刺客</v>
      </c>
      <c r="D54" s="76" t="str">
        <f ca="1">VLOOKUP($B54,OFFSET([2]quests!$A$1,0,0,COUNTA([2]quests!$A:$A),MATCH(D$1,[2]quests!$1:$1,0)-MATCH($B$1,[2]quests!$1:$1,0)+1),MATCH(D$1,[2]quests!$1:$1,0)-MATCH($B$1,[2]quests!$1:$1,0)+1,FALSE)</f>
        <v>ドロップイベント8（マルチ専用）</v>
      </c>
      <c r="E54" s="80">
        <v>2</v>
      </c>
      <c r="F54" s="76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【上級】最悪の刺客</v>
      </c>
      <c r="G54" s="76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4" s="78">
        <v>0</v>
      </c>
      <c r="I54" s="89">
        <v>25</v>
      </c>
      <c r="J54" s="77" t="s">
        <v>196</v>
      </c>
      <c r="K54" s="85" t="str">
        <f>VLOOKUP(I54,[7]stage_hints!$A:$C,3,FALSE)</f>
        <v>スキルレベルアップ</v>
      </c>
      <c r="L54" s="86" t="str">
        <f>VLOOKUP(I54,[7]stage_hints!$A:$D,4,FALSE)</f>
        <v>「秘術の果実」を強化に使うと_x000D_スキルレベルを上げることができます</v>
      </c>
      <c r="M54" s="50" t="s">
        <v>209</v>
      </c>
    </row>
    <row r="55" spans="1:13" x14ac:dyDescent="0.15">
      <c r="A55" s="74" t="s">
        <v>199</v>
      </c>
      <c r="B55" s="75">
        <f>floors!$C$2</f>
        <v>30028</v>
      </c>
      <c r="C55" s="76" t="str">
        <f ca="1">VLOOKUP($B55,OFFSET([2]quests!$A$1,0,0,COUNTA([2]quests!$A:$A),MATCH(C$1,[2]quests!$1:$1,0)-MATCH($B$1,[2]quests!$1:$1,0)+1),MATCH(C$1,[2]quests!$1:$1,0)-MATCH($B$1,[2]quests!$1:$1,0)+1,FALSE)</f>
        <v>最悪の刺客</v>
      </c>
      <c r="D55" s="76" t="str">
        <f ca="1">VLOOKUP($B55,OFFSET([2]quests!$A$1,0,0,COUNTA([2]quests!$A:$A),MATCH(D$1,[2]quests!$1:$1,0)-MATCH($B$1,[2]quests!$1:$1,0)+1),MATCH(D$1,[2]quests!$1:$1,0)-MATCH($B$1,[2]quests!$1:$1,0)+1,FALSE)</f>
        <v>ドロップイベント8（マルチ専用）</v>
      </c>
      <c r="E55" s="80">
        <v>2</v>
      </c>
      <c r="F55" s="76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【上級】最悪の刺客</v>
      </c>
      <c r="G55" s="76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5" s="78">
        <v>0</v>
      </c>
      <c r="I55" s="89">
        <v>26</v>
      </c>
      <c r="J55" s="77" t="s">
        <v>196</v>
      </c>
      <c r="K55" s="85" t="str">
        <f>VLOOKUP(I55,[7]stage_hints!$A:$C,3,FALSE)</f>
        <v>スキルレベルの効果</v>
      </c>
      <c r="L55" s="86" t="str">
        <f>VLOOKUP(I55,[7]stage_hints!$A:$D,4,FALSE)</f>
        <v>スキルレベルが上がると_x000D_短いターンでスキルを使うことができます</v>
      </c>
      <c r="M55" s="50" t="s">
        <v>209</v>
      </c>
    </row>
    <row r="56" spans="1:13" x14ac:dyDescent="0.15">
      <c r="A56" s="74" t="s">
        <v>199</v>
      </c>
      <c r="B56" s="75">
        <f>floors!$C$2</f>
        <v>30028</v>
      </c>
      <c r="C56" s="76" t="str">
        <f ca="1">VLOOKUP($B56,OFFSET([2]quests!$A$1,0,0,COUNTA([2]quests!$A:$A),MATCH(C$1,[2]quests!$1:$1,0)-MATCH($B$1,[2]quests!$1:$1,0)+1),MATCH(C$1,[2]quests!$1:$1,0)-MATCH($B$1,[2]quests!$1:$1,0)+1,FALSE)</f>
        <v>最悪の刺客</v>
      </c>
      <c r="D56" s="76" t="str">
        <f ca="1">VLOOKUP($B56,OFFSET([2]quests!$A$1,0,0,COUNTA([2]quests!$A:$A),MATCH(D$1,[2]quests!$1:$1,0)-MATCH($B$1,[2]quests!$1:$1,0)+1),MATCH(D$1,[2]quests!$1:$1,0)-MATCH($B$1,[2]quests!$1:$1,0)+1,FALSE)</f>
        <v>ドロップイベント8（マルチ専用）</v>
      </c>
      <c r="E56" s="80">
        <v>2</v>
      </c>
      <c r="F56" s="76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【上級】最悪の刺客</v>
      </c>
      <c r="G56" s="76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6" s="78">
        <v>0</v>
      </c>
      <c r="I56" s="89">
        <v>27</v>
      </c>
      <c r="J56" s="77" t="s">
        <v>196</v>
      </c>
      <c r="K56" s="85" t="str">
        <f>VLOOKUP(I56,[7]stage_hints!$A:$C,3,FALSE)</f>
        <v>ホーム画面からデッキを編成</v>
      </c>
      <c r="L56" s="86" t="str">
        <f>VLOOKUP(I56,[7]stage_hints!$A:$D,4,FALSE)</f>
        <v>ホーム画面でユニットを長押しすると_x000D_すぐにパーティ編成に移動できます</v>
      </c>
      <c r="M56" s="50" t="s">
        <v>209</v>
      </c>
    </row>
    <row r="57" spans="1:13" x14ac:dyDescent="0.15">
      <c r="A57" s="74" t="s">
        <v>199</v>
      </c>
      <c r="B57" s="75">
        <f>floors!$C$2</f>
        <v>30028</v>
      </c>
      <c r="C57" s="76" t="str">
        <f ca="1">VLOOKUP($B57,OFFSET([2]quests!$A$1,0,0,COUNTA([2]quests!$A:$A),MATCH(C$1,[2]quests!$1:$1,0)-MATCH($B$1,[2]quests!$1:$1,0)+1),MATCH(C$1,[2]quests!$1:$1,0)-MATCH($B$1,[2]quests!$1:$1,0)+1,FALSE)</f>
        <v>最悪の刺客</v>
      </c>
      <c r="D57" s="76" t="str">
        <f ca="1">VLOOKUP($B57,OFFSET([2]quests!$A$1,0,0,COUNTA([2]quests!$A:$A),MATCH(D$1,[2]quests!$1:$1,0)-MATCH($B$1,[2]quests!$1:$1,0)+1),MATCH(D$1,[2]quests!$1:$1,0)-MATCH($B$1,[2]quests!$1:$1,0)+1,FALSE)</f>
        <v>ドロップイベント8（マルチ専用）</v>
      </c>
      <c r="E57" s="80">
        <v>2</v>
      </c>
      <c r="F57" s="76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【上級】最悪の刺客</v>
      </c>
      <c r="G57" s="76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7" s="78">
        <v>0</v>
      </c>
      <c r="I57" s="89">
        <v>28</v>
      </c>
      <c r="J57" s="77" t="s">
        <v>196</v>
      </c>
      <c r="K57" s="85" t="str">
        <f>VLOOKUP(I57,[7]stage_hints!$A:$C,3,FALSE)</f>
        <v>ステータス情報は長押しで</v>
      </c>
      <c r="L57" s="86" t="str">
        <f>VLOOKUP(I57,[7]stage_hints!$A:$D,4,FALSE)</f>
        <v>ユニットのアイコンを長押しすると_x000D_ステータス情報を確認することができます</v>
      </c>
      <c r="M57" s="50" t="s">
        <v>209</v>
      </c>
    </row>
    <row r="58" spans="1:13" x14ac:dyDescent="0.15">
      <c r="A58" s="74" t="s">
        <v>199</v>
      </c>
      <c r="B58" s="75">
        <f>floors!$C$2</f>
        <v>30028</v>
      </c>
      <c r="C58" s="76" t="str">
        <f ca="1">VLOOKUP($B58,OFFSET([2]quests!$A$1,0,0,COUNTA([2]quests!$A:$A),MATCH(C$1,[2]quests!$1:$1,0)-MATCH($B$1,[2]quests!$1:$1,0)+1),MATCH(C$1,[2]quests!$1:$1,0)-MATCH($B$1,[2]quests!$1:$1,0)+1,FALSE)</f>
        <v>最悪の刺客</v>
      </c>
      <c r="D58" s="76" t="str">
        <f ca="1">VLOOKUP($B58,OFFSET([2]quests!$A$1,0,0,COUNTA([2]quests!$A:$A),MATCH(D$1,[2]quests!$1:$1,0)-MATCH($B$1,[2]quests!$1:$1,0)+1),MATCH(D$1,[2]quests!$1:$1,0)-MATCH($B$1,[2]quests!$1:$1,0)+1,FALSE)</f>
        <v>ドロップイベント8（マルチ専用）</v>
      </c>
      <c r="E58" s="80">
        <v>2</v>
      </c>
      <c r="F58" s="76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【上級】最悪の刺客</v>
      </c>
      <c r="G58" s="76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8" s="78">
        <v>0</v>
      </c>
      <c r="I58" s="89">
        <v>29</v>
      </c>
      <c r="J58" s="77" t="s">
        <v>196</v>
      </c>
      <c r="K58" s="85" t="str">
        <f>VLOOKUP(I58,[7]stage_hints!$A:$C,3,FALSE)</f>
        <v>「バグ」のメリット</v>
      </c>
      <c r="L58" s="86" t="str">
        <f>VLOOKUP(I58,[7]stage_hints!$A:$D,4,FALSE)</f>
        <v>ユニットの「バグ」を増やすと_x000D_報酬をもらえる確率がアップします</v>
      </c>
      <c r="M58" s="50" t="s">
        <v>209</v>
      </c>
    </row>
    <row r="59" spans="1:13" x14ac:dyDescent="0.15">
      <c r="A59" s="74" t="s">
        <v>199</v>
      </c>
      <c r="B59" s="75">
        <f>floors!$C$2</f>
        <v>30028</v>
      </c>
      <c r="C59" s="76" t="str">
        <f ca="1">VLOOKUP($B59,OFFSET([2]quests!$A$1,0,0,COUNTA([2]quests!$A:$A),MATCH(C$1,[2]quests!$1:$1,0)-MATCH($B$1,[2]quests!$1:$1,0)+1),MATCH(C$1,[2]quests!$1:$1,0)-MATCH($B$1,[2]quests!$1:$1,0)+1,FALSE)</f>
        <v>最悪の刺客</v>
      </c>
      <c r="D59" s="76" t="str">
        <f ca="1">VLOOKUP($B59,OFFSET([2]quests!$A$1,0,0,COUNTA([2]quests!$A:$A),MATCH(D$1,[2]quests!$1:$1,0)-MATCH($B$1,[2]quests!$1:$1,0)+1),MATCH(D$1,[2]quests!$1:$1,0)-MATCH($B$1,[2]quests!$1:$1,0)+1,FALSE)</f>
        <v>ドロップイベント8（マルチ専用）</v>
      </c>
      <c r="E59" s="80">
        <v>2</v>
      </c>
      <c r="F59" s="76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【上級】最悪の刺客</v>
      </c>
      <c r="G59" s="76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9" s="78">
        <v>0</v>
      </c>
      <c r="I59" s="89">
        <v>30</v>
      </c>
      <c r="J59" s="77" t="s">
        <v>196</v>
      </c>
      <c r="K59" s="85" t="str">
        <f>VLOOKUP(I59,[7]stage_hints!$A:$C,3,FALSE)</f>
        <v>「バグ」の増やし方</v>
      </c>
      <c r="L59" s="86" t="str">
        <f>VLOOKUP(I59,[7]stage_hints!$A:$D,4,FALSE)</f>
        <v>同じユニット同士を強化で合成すると_x000D_「バグ」を増やすことができます</v>
      </c>
      <c r="M59" s="50" t="s">
        <v>209</v>
      </c>
    </row>
    <row r="60" spans="1:13" x14ac:dyDescent="0.15">
      <c r="A60" s="74" t="s">
        <v>199</v>
      </c>
      <c r="B60" s="75">
        <f>floors!$C$2</f>
        <v>30028</v>
      </c>
      <c r="C60" s="76" t="str">
        <f ca="1">VLOOKUP($B60,OFFSET([2]quests!$A$1,0,0,COUNTA([2]quests!$A:$A),MATCH(C$1,[2]quests!$1:$1,0)-MATCH($B$1,[2]quests!$1:$1,0)+1),MATCH(C$1,[2]quests!$1:$1,0)-MATCH($B$1,[2]quests!$1:$1,0)+1,FALSE)</f>
        <v>最悪の刺客</v>
      </c>
      <c r="D60" s="76" t="str">
        <f ca="1">VLOOKUP($B60,OFFSET([2]quests!$A$1,0,0,COUNTA([2]quests!$A:$A),MATCH(D$1,[2]quests!$1:$1,0)-MATCH($B$1,[2]quests!$1:$1,0)+1),MATCH(D$1,[2]quests!$1:$1,0)-MATCH($B$1,[2]quests!$1:$1,0)+1,FALSE)</f>
        <v>ドロップイベント8（マルチ専用）</v>
      </c>
      <c r="E60" s="80">
        <v>2</v>
      </c>
      <c r="F60" s="76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【上級】最悪の刺客</v>
      </c>
      <c r="G60" s="76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0" s="78">
        <v>0</v>
      </c>
      <c r="I60" s="89">
        <v>31</v>
      </c>
      <c r="J60" s="77" t="s">
        <v>196</v>
      </c>
      <c r="K60" s="85" t="str">
        <f>VLOOKUP(I60,[7]stage_hints!$A:$C,3,FALSE)</f>
        <v>イベントはお知らせでチェック</v>
      </c>
      <c r="L60" s="86" t="str">
        <f>VLOOKUP(I60,[7]stage_hints!$A:$D,4,FALSE)</f>
        <v>イベント限定ユニットを取り忘れないように_x000D_お知らせをこまめにチェックしましょう</v>
      </c>
      <c r="M60" s="50" t="s">
        <v>209</v>
      </c>
    </row>
    <row r="61" spans="1:13" x14ac:dyDescent="0.15">
      <c r="A61" s="74" t="s">
        <v>199</v>
      </c>
      <c r="B61" s="75">
        <f>floors!$C$2</f>
        <v>30028</v>
      </c>
      <c r="C61" s="76" t="str">
        <f ca="1">VLOOKUP($B61,OFFSET([2]quests!$A$1,0,0,COUNTA([2]quests!$A:$A),MATCH(C$1,[2]quests!$1:$1,0)-MATCH($B$1,[2]quests!$1:$1,0)+1),MATCH(C$1,[2]quests!$1:$1,0)-MATCH($B$1,[2]quests!$1:$1,0)+1,FALSE)</f>
        <v>最悪の刺客</v>
      </c>
      <c r="D61" s="76" t="str">
        <f ca="1">VLOOKUP($B61,OFFSET([2]quests!$A$1,0,0,COUNTA([2]quests!$A:$A),MATCH(D$1,[2]quests!$1:$1,0)-MATCH($B$1,[2]quests!$1:$1,0)+1),MATCH(D$1,[2]quests!$1:$1,0)-MATCH($B$1,[2]quests!$1:$1,0)+1,FALSE)</f>
        <v>ドロップイベント8（マルチ専用）</v>
      </c>
      <c r="E61" s="80">
        <v>2</v>
      </c>
      <c r="F61" s="76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【上級】最悪の刺客</v>
      </c>
      <c r="G61" s="76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1" s="78">
        <v>0</v>
      </c>
      <c r="I61" s="89">
        <v>32</v>
      </c>
      <c r="J61" s="77" t="s">
        <v>196</v>
      </c>
      <c r="K61" s="85" t="str">
        <f>VLOOKUP(I61,[7]stage_hints!$A:$C,3,FALSE)</f>
        <v>敵の連続攻撃には</v>
      </c>
      <c r="L61" s="86" t="str">
        <f>VLOOKUP(I61,[7]stage_hints!$A:$D,4,FALSE)</f>
        <v>カウンタースキルを持つユニットがいれば_x000D_ダメージ回数分の反撃ができます</v>
      </c>
      <c r="M61" s="50" t="s">
        <v>209</v>
      </c>
    </row>
    <row r="62" spans="1:13" x14ac:dyDescent="0.15">
      <c r="A62" s="74" t="s">
        <v>199</v>
      </c>
      <c r="B62" s="75">
        <f>floors!$C$2</f>
        <v>30028</v>
      </c>
      <c r="C62" s="76" t="str">
        <f ca="1">VLOOKUP($B62,OFFSET([2]quests!$A$1,0,0,COUNTA([2]quests!$A:$A),MATCH(C$1,[2]quests!$1:$1,0)-MATCH($B$1,[2]quests!$1:$1,0)+1),MATCH(C$1,[2]quests!$1:$1,0)-MATCH($B$1,[2]quests!$1:$1,0)+1,FALSE)</f>
        <v>最悪の刺客</v>
      </c>
      <c r="D62" s="76" t="str">
        <f ca="1">VLOOKUP($B62,OFFSET([2]quests!$A$1,0,0,COUNTA([2]quests!$A:$A),MATCH(D$1,[2]quests!$1:$1,0)-MATCH($B$1,[2]quests!$1:$1,0)+1),MATCH(D$1,[2]quests!$1:$1,0)-MATCH($B$1,[2]quests!$1:$1,0)+1,FALSE)</f>
        <v>ドロップイベント8（マルチ専用）</v>
      </c>
      <c r="E62" s="80">
        <v>2</v>
      </c>
      <c r="F62" s="76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【上級】最悪の刺客</v>
      </c>
      <c r="G62" s="76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2" s="78">
        <v>0</v>
      </c>
      <c r="I62" s="89">
        <v>33</v>
      </c>
      <c r="J62" s="77" t="s">
        <v>196</v>
      </c>
      <c r="K62" s="85" t="str">
        <f>VLOOKUP(I62,[7]stage_hints!$A:$C,3,FALSE)</f>
        <v>敵のカウンター攻撃には</v>
      </c>
      <c r="L62" s="86" t="str">
        <f>VLOOKUP(I62,[7]stage_hints!$A:$D,4,FALSE)</f>
        <v>カウンターブレイクスキルを持っていれば_x000D_敵のカウンターを解除して攻撃ができます</v>
      </c>
      <c r="M62" s="50" t="s">
        <v>209</v>
      </c>
    </row>
    <row r="63" spans="1:13" x14ac:dyDescent="0.15">
      <c r="A63" s="74" t="s">
        <v>199</v>
      </c>
      <c r="B63" s="75">
        <f>floors!$C$2</f>
        <v>30028</v>
      </c>
      <c r="C63" s="76" t="str">
        <f ca="1">VLOOKUP($B63,OFFSET([2]quests!$A$1,0,0,COUNTA([2]quests!$A:$A),MATCH(C$1,[2]quests!$1:$1,0)-MATCH($B$1,[2]quests!$1:$1,0)+1),MATCH(C$1,[2]quests!$1:$1,0)-MATCH($B$1,[2]quests!$1:$1,0)+1,FALSE)</f>
        <v>最悪の刺客</v>
      </c>
      <c r="D63" s="76" t="str">
        <f ca="1">VLOOKUP($B63,OFFSET([2]quests!$A$1,0,0,COUNTA([2]quests!$A:$A),MATCH(D$1,[2]quests!$1:$1,0)-MATCH($B$1,[2]quests!$1:$1,0)+1),MATCH(D$1,[2]quests!$1:$1,0)-MATCH($B$1,[2]quests!$1:$1,0)+1,FALSE)</f>
        <v>ドロップイベント8（マルチ専用）</v>
      </c>
      <c r="E63" s="80">
        <v>2</v>
      </c>
      <c r="F63" s="76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【上級】最悪の刺客</v>
      </c>
      <c r="G63" s="76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3" s="78">
        <v>0</v>
      </c>
      <c r="I63" s="89">
        <v>34</v>
      </c>
      <c r="J63" s="77" t="s">
        <v>196</v>
      </c>
      <c r="K63" s="85" t="str">
        <f>VLOOKUP(I63,[7]stage_hints!$A:$C,3,FALSE)</f>
        <v>ステータスをスキルで下げられたら</v>
      </c>
      <c r="L63" s="86" t="str">
        <f>VLOOKUP(I63,[7]stage_hints!$A:$D,4,FALSE)</f>
        <v>ステータスダウンのスキルを受けたら_x000D_ステータスアップスキルで上書きしましょう</v>
      </c>
      <c r="M63" s="50" t="s">
        <v>209</v>
      </c>
    </row>
    <row r="64" spans="1:13" x14ac:dyDescent="0.15">
      <c r="A64" s="74" t="s">
        <v>199</v>
      </c>
      <c r="B64" s="75">
        <f>floors!$C$2</f>
        <v>30028</v>
      </c>
      <c r="C64" s="76" t="str">
        <f ca="1">VLOOKUP($B64,OFFSET([2]quests!$A$1,0,0,COUNTA([2]quests!$A:$A),MATCH(C$1,[2]quests!$1:$1,0)-MATCH($B$1,[2]quests!$1:$1,0)+1),MATCH(C$1,[2]quests!$1:$1,0)-MATCH($B$1,[2]quests!$1:$1,0)+1,FALSE)</f>
        <v>最悪の刺客</v>
      </c>
      <c r="D64" s="76" t="str">
        <f ca="1">VLOOKUP($B64,OFFSET([2]quests!$A$1,0,0,COUNTA([2]quests!$A:$A),MATCH(D$1,[2]quests!$1:$1,0)-MATCH($B$1,[2]quests!$1:$1,0)+1),MATCH(D$1,[2]quests!$1:$1,0)-MATCH($B$1,[2]quests!$1:$1,0)+1,FALSE)</f>
        <v>ドロップイベント8（マルチ専用）</v>
      </c>
      <c r="E64" s="80">
        <v>2</v>
      </c>
      <c r="F64" s="76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【上級】最悪の刺客</v>
      </c>
      <c r="G64" s="76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4" s="78">
        <v>0</v>
      </c>
      <c r="I64" s="89">
        <v>35</v>
      </c>
      <c r="J64" s="77" t="s">
        <v>196</v>
      </c>
      <c r="K64" s="85" t="str">
        <f>VLOOKUP(I64,[7]stage_hints!$A:$C,3,FALSE)</f>
        <v>敵のステータスがスキルで上がったら</v>
      </c>
      <c r="L64" s="86" t="str">
        <f>VLOOKUP(I64,[7]stage_hints!$A:$D,4,FALSE)</f>
        <v>敵のステータスがスキルでアップしたときは_x000D_ステータスダウンスキルで上書きしましょう</v>
      </c>
      <c r="M64" s="50" t="s">
        <v>209</v>
      </c>
    </row>
    <row r="65" spans="1:13" x14ac:dyDescent="0.15">
      <c r="A65" s="74" t="s">
        <v>199</v>
      </c>
      <c r="B65" s="75">
        <f>floors!$C$2</f>
        <v>30028</v>
      </c>
      <c r="C65" s="76" t="str">
        <f ca="1">VLOOKUP($B65,OFFSET([2]quests!$A$1,0,0,COUNTA([2]quests!$A:$A),MATCH(C$1,[2]quests!$1:$1,0)-MATCH($B$1,[2]quests!$1:$1,0)+1),MATCH(C$1,[2]quests!$1:$1,0)-MATCH($B$1,[2]quests!$1:$1,0)+1,FALSE)</f>
        <v>最悪の刺客</v>
      </c>
      <c r="D65" s="76" t="str">
        <f ca="1">VLOOKUP($B65,OFFSET([2]quests!$A$1,0,0,COUNTA([2]quests!$A:$A),MATCH(D$1,[2]quests!$1:$1,0)-MATCH($B$1,[2]quests!$1:$1,0)+1),MATCH(D$1,[2]quests!$1:$1,0)-MATCH($B$1,[2]quests!$1:$1,0)+1,FALSE)</f>
        <v>ドロップイベント8（マルチ専用）</v>
      </c>
      <c r="E65" s="80">
        <v>2</v>
      </c>
      <c r="F65" s="76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【上級】最悪の刺客</v>
      </c>
      <c r="G65" s="76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5" s="78">
        <v>0</v>
      </c>
      <c r="I65" s="89">
        <v>36</v>
      </c>
      <c r="J65" s="77" t="s">
        <v>196</v>
      </c>
      <c r="K65" s="85" t="str">
        <f>VLOOKUP(I65,[7]stage_hints!$A:$C,3,FALSE)</f>
        <v>タワーオブザクイーンのボス</v>
      </c>
      <c r="L65" s="86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0" t="s">
        <v>209</v>
      </c>
    </row>
    <row r="66" spans="1:13" x14ac:dyDescent="0.15">
      <c r="A66" s="74" t="s">
        <v>199</v>
      </c>
      <c r="B66" s="75">
        <f>floors!$C$2</f>
        <v>30028</v>
      </c>
      <c r="C66" s="76" t="str">
        <f ca="1">VLOOKUP($B66,OFFSET([2]quests!$A$1,0,0,COUNTA([2]quests!$A:$A),MATCH(C$1,[2]quests!$1:$1,0)-MATCH($B$1,[2]quests!$1:$1,0)+1),MATCH(C$1,[2]quests!$1:$1,0)-MATCH($B$1,[2]quests!$1:$1,0)+1,FALSE)</f>
        <v>最悪の刺客</v>
      </c>
      <c r="D66" s="76" t="str">
        <f ca="1">VLOOKUP($B66,OFFSET([2]quests!$A$1,0,0,COUNTA([2]quests!$A:$A),MATCH(D$1,[2]quests!$1:$1,0)-MATCH($B$1,[2]quests!$1:$1,0)+1),MATCH(D$1,[2]quests!$1:$1,0)-MATCH($B$1,[2]quests!$1:$1,0)+1,FALSE)</f>
        <v>ドロップイベント8（マルチ専用）</v>
      </c>
      <c r="E66" s="80">
        <v>2</v>
      </c>
      <c r="F66" s="76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【上級】最悪の刺客</v>
      </c>
      <c r="G66" s="76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6" s="78">
        <v>0</v>
      </c>
      <c r="I66" s="89">
        <v>37</v>
      </c>
      <c r="J66" s="77" t="s">
        <v>196</v>
      </c>
      <c r="K66" s="85" t="str">
        <f>VLOOKUP(I66,[7]stage_hints!$A:$C,3,FALSE)</f>
        <v>限界突破値の引き継ぎ</v>
      </c>
      <c r="L66" s="86" t="str">
        <f>VLOOKUP(I66,[7]stage_hints!$A:$D,4,FALSE)</f>
        <v>同じユニットを強化で合成すると_x000D_限界突破値を引き継げます（覚醒前後も可）</v>
      </c>
      <c r="M66" s="50" t="s">
        <v>209</v>
      </c>
    </row>
    <row r="67" spans="1:13" x14ac:dyDescent="0.15">
      <c r="A67" s="74" t="s">
        <v>199</v>
      </c>
      <c r="B67" s="75">
        <f>floors!$C$2</f>
        <v>30028</v>
      </c>
      <c r="C67" s="76" t="str">
        <f ca="1">VLOOKUP($B67,OFFSET([2]quests!$A$1,0,0,COUNTA([2]quests!$A:$A),MATCH(C$1,[2]quests!$1:$1,0)-MATCH($B$1,[2]quests!$1:$1,0)+1),MATCH(C$1,[2]quests!$1:$1,0)-MATCH($B$1,[2]quests!$1:$1,0)+1,FALSE)</f>
        <v>最悪の刺客</v>
      </c>
      <c r="D67" s="76" t="str">
        <f ca="1">VLOOKUP($B67,OFFSET([2]quests!$A$1,0,0,COUNTA([2]quests!$A:$A),MATCH(D$1,[2]quests!$1:$1,0)-MATCH($B$1,[2]quests!$1:$1,0)+1),MATCH(D$1,[2]quests!$1:$1,0)-MATCH($B$1,[2]quests!$1:$1,0)+1,FALSE)</f>
        <v>ドロップイベント8（マルチ専用）</v>
      </c>
      <c r="E67" s="80">
        <v>2</v>
      </c>
      <c r="F67" s="76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【上級】最悪の刺客</v>
      </c>
      <c r="G67" s="76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7" s="78">
        <v>0</v>
      </c>
      <c r="I67" s="89">
        <v>39</v>
      </c>
      <c r="J67" s="77" t="s">
        <v>196</v>
      </c>
      <c r="K67" s="85" t="str">
        <f>VLOOKUP(I67,[7]stage_hints!$A:$C,3,FALSE)</f>
        <v>システム適合者を確認</v>
      </c>
      <c r="L67" s="86" t="str">
        <f>VLOOKUP(I67,[7]stage_hints!$A:$D,4,FALSE)</f>
        <v>ALICEが 「アナタ」を呼んでいます</v>
      </c>
      <c r="M67" s="50" t="s">
        <v>209</v>
      </c>
    </row>
    <row r="68" spans="1:13" x14ac:dyDescent="0.15">
      <c r="A68" s="74" t="s">
        <v>199</v>
      </c>
      <c r="B68" s="75">
        <f>floors!$C$2</f>
        <v>30028</v>
      </c>
      <c r="C68" s="76" t="str">
        <f ca="1">VLOOKUP($B68,OFFSET([2]quests!$A$1,0,0,COUNTA([2]quests!$A:$A),MATCH(C$1,[2]quests!$1:$1,0)-MATCH($B$1,[2]quests!$1:$1,0)+1),MATCH(C$1,[2]quests!$1:$1,0)-MATCH($B$1,[2]quests!$1:$1,0)+1,FALSE)</f>
        <v>最悪の刺客</v>
      </c>
      <c r="D68" s="76" t="str">
        <f ca="1">VLOOKUP($B68,OFFSET([2]quests!$A$1,0,0,COUNTA([2]quests!$A:$A),MATCH(D$1,[2]quests!$1:$1,0)-MATCH($B$1,[2]quests!$1:$1,0)+1),MATCH(D$1,[2]quests!$1:$1,0)-MATCH($B$1,[2]quests!$1:$1,0)+1,FALSE)</f>
        <v>ドロップイベント8（マルチ専用）</v>
      </c>
      <c r="E68" s="80">
        <v>3</v>
      </c>
      <c r="F68" s="76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【超級】最悪の刺客</v>
      </c>
      <c r="G68" s="76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8" s="78">
        <v>0</v>
      </c>
      <c r="I68">
        <v>12</v>
      </c>
      <c r="J68" s="77" t="s">
        <v>196</v>
      </c>
      <c r="K68" s="85" t="str">
        <f>VLOOKUP(I68,[7]stage_hints!$A:$C,3,FALSE)</f>
        <v>ユニットのお気に入り登録</v>
      </c>
      <c r="L68" s="86" t="str">
        <f>VLOOKUP(I68,[7]stage_hints!$A:$D,4,FALSE)</f>
        <v>大事なユニットを誤って消さないように_x000D_フォルダから「お気に入り登録」しましょう</v>
      </c>
      <c r="M68" s="50" t="s">
        <v>209</v>
      </c>
    </row>
    <row r="69" spans="1:13" x14ac:dyDescent="0.15">
      <c r="A69" s="74" t="s">
        <v>199</v>
      </c>
      <c r="B69" s="75">
        <f>floors!$C$2</f>
        <v>30028</v>
      </c>
      <c r="C69" s="76" t="str">
        <f ca="1">VLOOKUP($B69,OFFSET([2]quests!$A$1,0,0,COUNTA([2]quests!$A:$A),MATCH(C$1,[2]quests!$1:$1,0)-MATCH($B$1,[2]quests!$1:$1,0)+1),MATCH(C$1,[2]quests!$1:$1,0)-MATCH($B$1,[2]quests!$1:$1,0)+1,FALSE)</f>
        <v>最悪の刺客</v>
      </c>
      <c r="D69" s="76" t="str">
        <f ca="1">VLOOKUP($B69,OFFSET([2]quests!$A$1,0,0,COUNTA([2]quests!$A:$A),MATCH(D$1,[2]quests!$1:$1,0)-MATCH($B$1,[2]quests!$1:$1,0)+1),MATCH(D$1,[2]quests!$1:$1,0)-MATCH($B$1,[2]quests!$1:$1,0)+1,FALSE)</f>
        <v>ドロップイベント8（マルチ専用）</v>
      </c>
      <c r="E69" s="80">
        <v>3</v>
      </c>
      <c r="F69" s="76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【超級】最悪の刺客</v>
      </c>
      <c r="G69" s="76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9" s="78">
        <v>0</v>
      </c>
      <c r="I69">
        <v>17</v>
      </c>
      <c r="J69" s="77" t="s">
        <v>196</v>
      </c>
      <c r="K69" s="85" t="str">
        <f>VLOOKUP(I69,[7]stage_hints!$A:$C,3,FALSE)</f>
        <v>リンクガチャ</v>
      </c>
      <c r="L69" s="86" t="str">
        <f>VLOOKUP(I69,[7]stage_hints!$A:$D,4,FALSE)</f>
        <v>無料のリンクガチャを回して_x000D_経験値素材や売却素材を獲得しましょう</v>
      </c>
      <c r="M69" s="50" t="s">
        <v>209</v>
      </c>
    </row>
    <row r="70" spans="1:13" x14ac:dyDescent="0.15">
      <c r="A70" s="74" t="s">
        <v>199</v>
      </c>
      <c r="B70" s="75">
        <f>floors!$C$2</f>
        <v>30028</v>
      </c>
      <c r="C70" s="76" t="str">
        <f ca="1">VLOOKUP($B70,OFFSET([2]quests!$A$1,0,0,COUNTA([2]quests!$A:$A),MATCH(C$1,[2]quests!$1:$1,0)-MATCH($B$1,[2]quests!$1:$1,0)+1),MATCH(C$1,[2]quests!$1:$1,0)-MATCH($B$1,[2]quests!$1:$1,0)+1,FALSE)</f>
        <v>最悪の刺客</v>
      </c>
      <c r="D70" s="76" t="str">
        <f ca="1">VLOOKUP($B70,OFFSET([2]quests!$A$1,0,0,COUNTA([2]quests!$A:$A),MATCH(D$1,[2]quests!$1:$1,0)-MATCH($B$1,[2]quests!$1:$1,0)+1),MATCH(D$1,[2]quests!$1:$1,0)-MATCH($B$1,[2]quests!$1:$1,0)+1,FALSE)</f>
        <v>ドロップイベント8（マルチ専用）</v>
      </c>
      <c r="E70" s="80">
        <v>3</v>
      </c>
      <c r="F70" s="76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【超級】最悪の刺客</v>
      </c>
      <c r="G70" s="76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0" s="78">
        <v>0</v>
      </c>
      <c r="I70">
        <v>19</v>
      </c>
      <c r="J70" s="77" t="s">
        <v>196</v>
      </c>
      <c r="K70" s="85" t="str">
        <f>VLOOKUP(I70,[7]stage_hints!$A:$C,3,FALSE)</f>
        <v>ソロ専用タワーオブザクイーン</v>
      </c>
      <c r="L70" s="86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0" t="s">
        <v>209</v>
      </c>
    </row>
    <row r="71" spans="1:13" x14ac:dyDescent="0.15">
      <c r="A71" s="74" t="s">
        <v>199</v>
      </c>
      <c r="B71" s="75">
        <f>floors!$C$2</f>
        <v>30028</v>
      </c>
      <c r="C71" s="76" t="str">
        <f ca="1">VLOOKUP($B71,OFFSET([2]quests!$A$1,0,0,COUNTA([2]quests!$A:$A),MATCH(C$1,[2]quests!$1:$1,0)-MATCH($B$1,[2]quests!$1:$1,0)+1),MATCH(C$1,[2]quests!$1:$1,0)-MATCH($B$1,[2]quests!$1:$1,0)+1,FALSE)</f>
        <v>最悪の刺客</v>
      </c>
      <c r="D71" s="76" t="str">
        <f ca="1">VLOOKUP($B71,OFFSET([2]quests!$A$1,0,0,COUNTA([2]quests!$A:$A),MATCH(D$1,[2]quests!$1:$1,0)-MATCH($B$1,[2]quests!$1:$1,0)+1),MATCH(D$1,[2]quests!$1:$1,0)-MATCH($B$1,[2]quests!$1:$1,0)+1,FALSE)</f>
        <v>ドロップイベント8（マルチ専用）</v>
      </c>
      <c r="E71" s="80">
        <v>3</v>
      </c>
      <c r="F71" s="76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【超級】最悪の刺客</v>
      </c>
      <c r="G71" s="76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1" s="78">
        <v>0</v>
      </c>
      <c r="I71">
        <v>21</v>
      </c>
      <c r="J71" s="77" t="s">
        <v>196</v>
      </c>
      <c r="K71" s="85" t="str">
        <f>VLOOKUP(I71,[7]stage_hints!$A:$C,3,FALSE)</f>
        <v>スキルを有効に</v>
      </c>
      <c r="L71" s="86" t="str">
        <f>VLOOKUP(I71,[7]stage_hints!$A:$D,4,FALSE)</f>
        <v>ターン経過でユニットのスキルが使えます_x000D_強力スキルでバトルを有利に進めましょう</v>
      </c>
      <c r="M71" s="50" t="s">
        <v>209</v>
      </c>
    </row>
    <row r="72" spans="1:13" x14ac:dyDescent="0.15">
      <c r="A72" s="74" t="s">
        <v>199</v>
      </c>
      <c r="B72" s="75">
        <f>floors!$C$2</f>
        <v>30028</v>
      </c>
      <c r="C72" s="76" t="str">
        <f ca="1">VLOOKUP($B72,OFFSET([2]quests!$A$1,0,0,COUNTA([2]quests!$A:$A),MATCH(C$1,[2]quests!$1:$1,0)-MATCH($B$1,[2]quests!$1:$1,0)+1),MATCH(C$1,[2]quests!$1:$1,0)-MATCH($B$1,[2]quests!$1:$1,0)+1,FALSE)</f>
        <v>最悪の刺客</v>
      </c>
      <c r="D72" s="76" t="str">
        <f ca="1">VLOOKUP($B72,OFFSET([2]quests!$A$1,0,0,COUNTA([2]quests!$A:$A),MATCH(D$1,[2]quests!$1:$1,0)-MATCH($B$1,[2]quests!$1:$1,0)+1),MATCH(D$1,[2]quests!$1:$1,0)-MATCH($B$1,[2]quests!$1:$1,0)+1,FALSE)</f>
        <v>ドロップイベント8（マルチ専用）</v>
      </c>
      <c r="E72" s="80">
        <v>3</v>
      </c>
      <c r="F72" s="76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【超級】最悪の刺客</v>
      </c>
      <c r="G72" s="76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2" s="78">
        <v>0</v>
      </c>
      <c r="I72">
        <v>27</v>
      </c>
      <c r="J72" s="77" t="s">
        <v>196</v>
      </c>
      <c r="K72" s="85" t="str">
        <f>VLOOKUP(I72,[7]stage_hints!$A:$C,3,FALSE)</f>
        <v>ホーム画面からデッキを編成</v>
      </c>
      <c r="L72" s="86" t="str">
        <f>VLOOKUP(I72,[7]stage_hints!$A:$D,4,FALSE)</f>
        <v>ホーム画面でユニットを長押しすると_x000D_すぐにパーティ編成に移動できます</v>
      </c>
      <c r="M72" s="50" t="s">
        <v>209</v>
      </c>
    </row>
    <row r="73" spans="1:13" x14ac:dyDescent="0.15">
      <c r="A73" s="74" t="s">
        <v>199</v>
      </c>
      <c r="B73" s="75">
        <f>floors!$C$2</f>
        <v>30028</v>
      </c>
      <c r="C73" s="76" t="str">
        <f ca="1">VLOOKUP($B73,OFFSET([2]quests!$A$1,0,0,COUNTA([2]quests!$A:$A),MATCH(C$1,[2]quests!$1:$1,0)-MATCH($B$1,[2]quests!$1:$1,0)+1),MATCH(C$1,[2]quests!$1:$1,0)-MATCH($B$1,[2]quests!$1:$1,0)+1,FALSE)</f>
        <v>最悪の刺客</v>
      </c>
      <c r="D73" s="76" t="str">
        <f ca="1">VLOOKUP($B73,OFFSET([2]quests!$A$1,0,0,COUNTA([2]quests!$A:$A),MATCH(D$1,[2]quests!$1:$1,0)-MATCH($B$1,[2]quests!$1:$1,0)+1),MATCH(D$1,[2]quests!$1:$1,0)-MATCH($B$1,[2]quests!$1:$1,0)+1,FALSE)</f>
        <v>ドロップイベント8（マルチ専用）</v>
      </c>
      <c r="E73" s="80">
        <v>3</v>
      </c>
      <c r="F73" s="76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【超級】最悪の刺客</v>
      </c>
      <c r="G73" s="76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3" s="78">
        <v>0</v>
      </c>
      <c r="I73">
        <v>28</v>
      </c>
      <c r="J73" s="77" t="s">
        <v>196</v>
      </c>
      <c r="K73" s="85" t="str">
        <f>VLOOKUP(I73,[7]stage_hints!$A:$C,3,FALSE)</f>
        <v>ステータス情報は長押しで</v>
      </c>
      <c r="L73" s="86" t="str">
        <f>VLOOKUP(I73,[7]stage_hints!$A:$D,4,FALSE)</f>
        <v>ユニットのアイコンを長押しすると_x000D_ステータス情報を確認することができます</v>
      </c>
      <c r="M73" s="50" t="s">
        <v>209</v>
      </c>
    </row>
    <row r="74" spans="1:13" x14ac:dyDescent="0.15">
      <c r="A74" s="74" t="s">
        <v>199</v>
      </c>
      <c r="B74" s="75">
        <f>floors!$C$2</f>
        <v>30028</v>
      </c>
      <c r="C74" s="76" t="str">
        <f ca="1">VLOOKUP($B74,OFFSET([2]quests!$A$1,0,0,COUNTA([2]quests!$A:$A),MATCH(C$1,[2]quests!$1:$1,0)-MATCH($B$1,[2]quests!$1:$1,0)+1),MATCH(C$1,[2]quests!$1:$1,0)-MATCH($B$1,[2]quests!$1:$1,0)+1,FALSE)</f>
        <v>最悪の刺客</v>
      </c>
      <c r="D74" s="76" t="str">
        <f ca="1">VLOOKUP($B74,OFFSET([2]quests!$A$1,0,0,COUNTA([2]quests!$A:$A),MATCH(D$1,[2]quests!$1:$1,0)-MATCH($B$1,[2]quests!$1:$1,0)+1),MATCH(D$1,[2]quests!$1:$1,0)-MATCH($B$1,[2]quests!$1:$1,0)+1,FALSE)</f>
        <v>ドロップイベント8（マルチ専用）</v>
      </c>
      <c r="E74" s="80">
        <v>3</v>
      </c>
      <c r="F74" s="76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【超級】最悪の刺客</v>
      </c>
      <c r="G74" s="76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4" s="78">
        <v>0</v>
      </c>
      <c r="I74">
        <v>29</v>
      </c>
      <c r="J74" s="77" t="s">
        <v>196</v>
      </c>
      <c r="K74" s="85" t="str">
        <f>VLOOKUP(I74,[7]stage_hints!$A:$C,3,FALSE)</f>
        <v>「バグ」のメリット</v>
      </c>
      <c r="L74" s="86" t="str">
        <f>VLOOKUP(I74,[7]stage_hints!$A:$D,4,FALSE)</f>
        <v>ユニットの「バグ」を増やすと_x000D_報酬をもらえる確率がアップします</v>
      </c>
      <c r="M74" s="50" t="s">
        <v>209</v>
      </c>
    </row>
    <row r="75" spans="1:13" x14ac:dyDescent="0.15">
      <c r="A75" s="74" t="s">
        <v>199</v>
      </c>
      <c r="B75" s="75">
        <f>floors!$C$2</f>
        <v>30028</v>
      </c>
      <c r="C75" s="76" t="str">
        <f ca="1">VLOOKUP($B75,OFFSET([2]quests!$A$1,0,0,COUNTA([2]quests!$A:$A),MATCH(C$1,[2]quests!$1:$1,0)-MATCH($B$1,[2]quests!$1:$1,0)+1),MATCH(C$1,[2]quests!$1:$1,0)-MATCH($B$1,[2]quests!$1:$1,0)+1,FALSE)</f>
        <v>最悪の刺客</v>
      </c>
      <c r="D75" s="76" t="str">
        <f ca="1">VLOOKUP($B75,OFFSET([2]quests!$A$1,0,0,COUNTA([2]quests!$A:$A),MATCH(D$1,[2]quests!$1:$1,0)-MATCH($B$1,[2]quests!$1:$1,0)+1),MATCH(D$1,[2]quests!$1:$1,0)-MATCH($B$1,[2]quests!$1:$1,0)+1,FALSE)</f>
        <v>ドロップイベント8（マルチ専用）</v>
      </c>
      <c r="E75" s="80">
        <v>3</v>
      </c>
      <c r="F75" s="76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【超級】最悪の刺客</v>
      </c>
      <c r="G75" s="76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5" s="78">
        <v>0</v>
      </c>
      <c r="I75">
        <v>30</v>
      </c>
      <c r="J75" s="77" t="s">
        <v>196</v>
      </c>
      <c r="K75" s="85" t="str">
        <f>VLOOKUP(I75,[7]stage_hints!$A:$C,3,FALSE)</f>
        <v>「バグ」の増やし方</v>
      </c>
      <c r="L75" s="86" t="str">
        <f>VLOOKUP(I75,[7]stage_hints!$A:$D,4,FALSE)</f>
        <v>同じユニット同士を強化で合成すると_x000D_「バグ」を増やすことができます</v>
      </c>
      <c r="M75" s="50" t="s">
        <v>209</v>
      </c>
    </row>
    <row r="76" spans="1:13" x14ac:dyDescent="0.15">
      <c r="A76" s="74" t="s">
        <v>199</v>
      </c>
      <c r="B76" s="75">
        <f>floors!$C$2</f>
        <v>30028</v>
      </c>
      <c r="C76" s="76" t="str">
        <f ca="1">VLOOKUP($B76,OFFSET([2]quests!$A$1,0,0,COUNTA([2]quests!$A:$A),MATCH(C$1,[2]quests!$1:$1,0)-MATCH($B$1,[2]quests!$1:$1,0)+1),MATCH(C$1,[2]quests!$1:$1,0)-MATCH($B$1,[2]quests!$1:$1,0)+1,FALSE)</f>
        <v>最悪の刺客</v>
      </c>
      <c r="D76" s="76" t="str">
        <f ca="1">VLOOKUP($B76,OFFSET([2]quests!$A$1,0,0,COUNTA([2]quests!$A:$A),MATCH(D$1,[2]quests!$1:$1,0)-MATCH($B$1,[2]quests!$1:$1,0)+1),MATCH(D$1,[2]quests!$1:$1,0)-MATCH($B$1,[2]quests!$1:$1,0)+1,FALSE)</f>
        <v>ドロップイベント8（マルチ専用）</v>
      </c>
      <c r="E76" s="80">
        <v>3</v>
      </c>
      <c r="F76" s="76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【超級】最悪の刺客</v>
      </c>
      <c r="G76" s="76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6" s="78">
        <v>0</v>
      </c>
      <c r="I76">
        <v>32</v>
      </c>
      <c r="J76" s="77" t="s">
        <v>196</v>
      </c>
      <c r="K76" s="85" t="str">
        <f>VLOOKUP(I76,[7]stage_hints!$A:$C,3,FALSE)</f>
        <v>敵の連続攻撃には</v>
      </c>
      <c r="L76" s="86" t="str">
        <f>VLOOKUP(I76,[7]stage_hints!$A:$D,4,FALSE)</f>
        <v>カウンタースキルを持つユニットがいれば_x000D_ダメージ回数分の反撃ができます</v>
      </c>
      <c r="M76" s="50" t="s">
        <v>209</v>
      </c>
    </row>
    <row r="77" spans="1:13" x14ac:dyDescent="0.15">
      <c r="A77" s="74" t="s">
        <v>199</v>
      </c>
      <c r="B77" s="75">
        <f>floors!$C$2</f>
        <v>30028</v>
      </c>
      <c r="C77" s="76" t="str">
        <f ca="1">VLOOKUP($B77,OFFSET([2]quests!$A$1,0,0,COUNTA([2]quests!$A:$A),MATCH(C$1,[2]quests!$1:$1,0)-MATCH($B$1,[2]quests!$1:$1,0)+1),MATCH(C$1,[2]quests!$1:$1,0)-MATCH($B$1,[2]quests!$1:$1,0)+1,FALSE)</f>
        <v>最悪の刺客</v>
      </c>
      <c r="D77" s="76" t="str">
        <f ca="1">VLOOKUP($B77,OFFSET([2]quests!$A$1,0,0,COUNTA([2]quests!$A:$A),MATCH(D$1,[2]quests!$1:$1,0)-MATCH($B$1,[2]quests!$1:$1,0)+1),MATCH(D$1,[2]quests!$1:$1,0)-MATCH($B$1,[2]quests!$1:$1,0)+1,FALSE)</f>
        <v>ドロップイベント8（マルチ専用）</v>
      </c>
      <c r="E77" s="80">
        <v>3</v>
      </c>
      <c r="F77" s="76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【超級】最悪の刺客</v>
      </c>
      <c r="G77" s="76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7" s="78">
        <v>0</v>
      </c>
      <c r="I77">
        <v>33</v>
      </c>
      <c r="J77" s="77" t="s">
        <v>196</v>
      </c>
      <c r="K77" s="85" t="str">
        <f>VLOOKUP(I77,[7]stage_hints!$A:$C,3,FALSE)</f>
        <v>敵のカウンター攻撃には</v>
      </c>
      <c r="L77" s="86" t="str">
        <f>VLOOKUP(I77,[7]stage_hints!$A:$D,4,FALSE)</f>
        <v>カウンターブレイクスキルを持っていれば_x000D_敵のカウンターを解除して攻撃ができます</v>
      </c>
      <c r="M77" s="50" t="s">
        <v>209</v>
      </c>
    </row>
    <row r="78" spans="1:13" x14ac:dyDescent="0.15">
      <c r="A78" s="74" t="s">
        <v>199</v>
      </c>
      <c r="B78" s="75">
        <f>floors!$C$2</f>
        <v>30028</v>
      </c>
      <c r="C78" s="76" t="str">
        <f ca="1">VLOOKUP($B78,OFFSET([2]quests!$A$1,0,0,COUNTA([2]quests!$A:$A),MATCH(C$1,[2]quests!$1:$1,0)-MATCH($B$1,[2]quests!$1:$1,0)+1),MATCH(C$1,[2]quests!$1:$1,0)-MATCH($B$1,[2]quests!$1:$1,0)+1,FALSE)</f>
        <v>最悪の刺客</v>
      </c>
      <c r="D78" s="76" t="str">
        <f ca="1">VLOOKUP($B78,OFFSET([2]quests!$A$1,0,0,COUNTA([2]quests!$A:$A),MATCH(D$1,[2]quests!$1:$1,0)-MATCH($B$1,[2]quests!$1:$1,0)+1),MATCH(D$1,[2]quests!$1:$1,0)-MATCH($B$1,[2]quests!$1:$1,0)+1,FALSE)</f>
        <v>ドロップイベント8（マルチ専用）</v>
      </c>
      <c r="E78" s="80">
        <v>3</v>
      </c>
      <c r="F78" s="76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【超級】最悪の刺客</v>
      </c>
      <c r="G78" s="76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8" s="78">
        <v>0</v>
      </c>
      <c r="I78">
        <v>34</v>
      </c>
      <c r="J78" s="77" t="s">
        <v>196</v>
      </c>
      <c r="K78" s="85" t="str">
        <f>VLOOKUP(I78,[7]stage_hints!$A:$C,3,FALSE)</f>
        <v>ステータスをスキルで下げられたら</v>
      </c>
      <c r="L78" s="86" t="str">
        <f>VLOOKUP(I78,[7]stage_hints!$A:$D,4,FALSE)</f>
        <v>ステータスダウンのスキルを受けたら_x000D_ステータスアップスキルで上書きしましょう</v>
      </c>
      <c r="M78" s="50" t="s">
        <v>209</v>
      </c>
    </row>
    <row r="79" spans="1:13" x14ac:dyDescent="0.15">
      <c r="A79" s="74" t="s">
        <v>199</v>
      </c>
      <c r="B79" s="75">
        <f>floors!$C$2</f>
        <v>30028</v>
      </c>
      <c r="C79" s="76" t="str">
        <f ca="1">VLOOKUP($B79,OFFSET([2]quests!$A$1,0,0,COUNTA([2]quests!$A:$A),MATCH(C$1,[2]quests!$1:$1,0)-MATCH($B$1,[2]quests!$1:$1,0)+1),MATCH(C$1,[2]quests!$1:$1,0)-MATCH($B$1,[2]quests!$1:$1,0)+1,FALSE)</f>
        <v>最悪の刺客</v>
      </c>
      <c r="D79" s="76" t="str">
        <f ca="1">VLOOKUP($B79,OFFSET([2]quests!$A$1,0,0,COUNTA([2]quests!$A:$A),MATCH(D$1,[2]quests!$1:$1,0)-MATCH($B$1,[2]quests!$1:$1,0)+1),MATCH(D$1,[2]quests!$1:$1,0)-MATCH($B$1,[2]quests!$1:$1,0)+1,FALSE)</f>
        <v>ドロップイベント8（マルチ専用）</v>
      </c>
      <c r="E79" s="80">
        <v>3</v>
      </c>
      <c r="F79" s="76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【超級】最悪の刺客</v>
      </c>
      <c r="G79" s="76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9" s="78">
        <v>0</v>
      </c>
      <c r="I79">
        <v>35</v>
      </c>
      <c r="J79" s="77" t="s">
        <v>196</v>
      </c>
      <c r="K79" s="85" t="str">
        <f>VLOOKUP(I79,[7]stage_hints!$A:$C,3,FALSE)</f>
        <v>敵のステータスがスキルで上がったら</v>
      </c>
      <c r="L79" s="86" t="str">
        <f>VLOOKUP(I79,[7]stage_hints!$A:$D,4,FALSE)</f>
        <v>敵のステータスがスキルでアップしたときは_x000D_ステータスダウンスキルで上書きしましょう</v>
      </c>
      <c r="M79" s="50" t="s">
        <v>209</v>
      </c>
    </row>
    <row r="80" spans="1:13" x14ac:dyDescent="0.15">
      <c r="A80" s="74" t="s">
        <v>199</v>
      </c>
      <c r="B80" s="75">
        <f>floors!$C$2</f>
        <v>30028</v>
      </c>
      <c r="C80" s="76" t="str">
        <f ca="1">VLOOKUP($B80,OFFSET([2]quests!$A$1,0,0,COUNTA([2]quests!$A:$A),MATCH(C$1,[2]quests!$1:$1,0)-MATCH($B$1,[2]quests!$1:$1,0)+1),MATCH(C$1,[2]quests!$1:$1,0)-MATCH($B$1,[2]quests!$1:$1,0)+1,FALSE)</f>
        <v>最悪の刺客</v>
      </c>
      <c r="D80" s="76" t="str">
        <f ca="1">VLOOKUP($B80,OFFSET([2]quests!$A$1,0,0,COUNTA([2]quests!$A:$A),MATCH(D$1,[2]quests!$1:$1,0)-MATCH($B$1,[2]quests!$1:$1,0)+1),MATCH(D$1,[2]quests!$1:$1,0)-MATCH($B$1,[2]quests!$1:$1,0)+1,FALSE)</f>
        <v>ドロップイベント8（マルチ専用）</v>
      </c>
      <c r="E80" s="80">
        <v>3</v>
      </c>
      <c r="F80" s="76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【超級】最悪の刺客</v>
      </c>
      <c r="G80" s="76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0" s="78">
        <v>0</v>
      </c>
      <c r="I80">
        <v>36</v>
      </c>
      <c r="J80" s="77" t="s">
        <v>196</v>
      </c>
      <c r="K80" s="85" t="str">
        <f>VLOOKUP(I80,[7]stage_hints!$A:$C,3,FALSE)</f>
        <v>タワーオブザクイーンのボス</v>
      </c>
      <c r="L80" s="86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0" t="s">
        <v>209</v>
      </c>
    </row>
    <row r="81" spans="1:13" x14ac:dyDescent="0.15">
      <c r="A81" s="74" t="s">
        <v>199</v>
      </c>
      <c r="B81" s="75">
        <f>floors!$C$2</f>
        <v>30028</v>
      </c>
      <c r="C81" s="76" t="str">
        <f ca="1">VLOOKUP($B81,OFFSET([2]quests!$A$1,0,0,COUNTA([2]quests!$A:$A),MATCH(C$1,[2]quests!$1:$1,0)-MATCH($B$1,[2]quests!$1:$1,0)+1),MATCH(C$1,[2]quests!$1:$1,0)-MATCH($B$1,[2]quests!$1:$1,0)+1,FALSE)</f>
        <v>最悪の刺客</v>
      </c>
      <c r="D81" s="76" t="str">
        <f ca="1">VLOOKUP($B81,OFFSET([2]quests!$A$1,0,0,COUNTA([2]quests!$A:$A),MATCH(D$1,[2]quests!$1:$1,0)-MATCH($B$1,[2]quests!$1:$1,0)+1),MATCH(D$1,[2]quests!$1:$1,0)-MATCH($B$1,[2]quests!$1:$1,0)+1,FALSE)</f>
        <v>ドロップイベント8（マルチ専用）</v>
      </c>
      <c r="E81" s="80">
        <v>3</v>
      </c>
      <c r="F81" s="76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【超級】最悪の刺客</v>
      </c>
      <c r="G81" s="76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1" s="78">
        <v>0</v>
      </c>
      <c r="I81">
        <v>37</v>
      </c>
      <c r="J81" s="77" t="s">
        <v>196</v>
      </c>
      <c r="K81" s="85" t="str">
        <f>VLOOKUP(I81,[7]stage_hints!$A:$C,3,FALSE)</f>
        <v>限界突破値の引き継ぎ</v>
      </c>
      <c r="L81" s="86" t="str">
        <f>VLOOKUP(I81,[7]stage_hints!$A:$D,4,FALSE)</f>
        <v>同じユニットを強化で合成すると_x000D_限界突破値を引き継げます（覚醒前後も可）</v>
      </c>
      <c r="M81" s="50" t="s">
        <v>209</v>
      </c>
    </row>
    <row r="82" spans="1:13" x14ac:dyDescent="0.15">
      <c r="A82" s="74" t="s">
        <v>199</v>
      </c>
      <c r="B82" s="75">
        <f>floors!$C$2</f>
        <v>30028</v>
      </c>
      <c r="C82" s="76" t="str">
        <f ca="1">VLOOKUP($B82,OFFSET([2]quests!$A$1,0,0,COUNTA([2]quests!$A:$A),MATCH(C$1,[2]quests!$1:$1,0)-MATCH($B$1,[2]quests!$1:$1,0)+1),MATCH(C$1,[2]quests!$1:$1,0)-MATCH($B$1,[2]quests!$1:$1,0)+1,FALSE)</f>
        <v>最悪の刺客</v>
      </c>
      <c r="D82" s="76" t="str">
        <f ca="1">VLOOKUP($B82,OFFSET([2]quests!$A$1,0,0,COUNTA([2]quests!$A:$A),MATCH(D$1,[2]quests!$1:$1,0)-MATCH($B$1,[2]quests!$1:$1,0)+1),MATCH(D$1,[2]quests!$1:$1,0)-MATCH($B$1,[2]quests!$1:$1,0)+1,FALSE)</f>
        <v>ドロップイベント8（マルチ専用）</v>
      </c>
      <c r="E82" s="80">
        <v>3</v>
      </c>
      <c r="F82" s="76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【超級】最悪の刺客</v>
      </c>
      <c r="G82" s="76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2" s="78">
        <v>0</v>
      </c>
      <c r="I82">
        <v>39</v>
      </c>
      <c r="J82" s="77" t="s">
        <v>196</v>
      </c>
      <c r="K82" s="85" t="str">
        <f>VLOOKUP(I82,[7]stage_hints!$A:$C,3,FALSE)</f>
        <v>システム適合者を確認</v>
      </c>
      <c r="L82" s="86" t="str">
        <f>VLOOKUP(I82,[7]stage_hints!$A:$D,4,FALSE)</f>
        <v>ALICEが 「アナタ」を呼んでいます</v>
      </c>
      <c r="M82" s="50" t="s">
        <v>209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8"/>
  <sheetViews>
    <sheetView showGridLines="0" workbookViewId="0">
      <pane ySplit="1" topLeftCell="A11" activePane="bottomLeft" state="frozen"/>
      <selection pane="bottomLeft" activeCell="P16" sqref="P16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ht="16" thickBot="1" x14ac:dyDescent="0.2">
      <c r="A1" s="229" t="s">
        <v>186</v>
      </c>
      <c r="B1" s="230" t="s">
        <v>149</v>
      </c>
      <c r="C1" s="231" t="s">
        <v>188</v>
      </c>
      <c r="D1" s="231" t="s">
        <v>33</v>
      </c>
      <c r="E1" s="230" t="s">
        <v>189</v>
      </c>
      <c r="F1" s="231" t="s">
        <v>18</v>
      </c>
      <c r="G1" s="231" t="s">
        <v>33</v>
      </c>
      <c r="H1" s="230" t="s">
        <v>191</v>
      </c>
      <c r="I1" s="232" t="s">
        <v>192</v>
      </c>
      <c r="J1" s="233" t="s">
        <v>193</v>
      </c>
      <c r="K1" s="234" t="s">
        <v>125</v>
      </c>
      <c r="L1" s="235" t="s">
        <v>185</v>
      </c>
      <c r="M1" s="236" t="s">
        <v>184</v>
      </c>
      <c r="N1" s="237" t="s">
        <v>194</v>
      </c>
    </row>
    <row r="2" spans="1:14" ht="70" x14ac:dyDescent="0.15">
      <c r="A2" s="207" t="s">
        <v>195</v>
      </c>
      <c r="B2" s="208">
        <f>floors!$C$2</f>
        <v>30028</v>
      </c>
      <c r="C2" s="209" t="str">
        <f ca="1">VLOOKUP($B2,OFFSET([2]quests!$A$1,0,0,COUNTA([2]quests!$A:$A),MATCH(C$1,[2]quests!$1:$1,0)-MATCH($B$1,[2]quests!$1:$1,0)+1),MATCH(C$1,[2]quests!$1:$1,0)-MATCH($B$1,[2]quests!$1:$1,0)+1,FALSE)</f>
        <v>最悪の刺客</v>
      </c>
      <c r="D2" s="209" t="str">
        <f ca="1">VLOOKUP($B2,OFFSET([2]quests!$A$1,0,0,COUNTA([2]quests!$A:$A),MATCH(D$1,[2]quests!$1:$1,0)-MATCH($B$1,[2]quests!$1:$1,0)+1),MATCH(D$1,[2]quests!$1:$1,0)-MATCH($B$1,[2]quests!$1:$1,0)+1,FALSE)</f>
        <v>ドロップイベント8（マルチ専用）</v>
      </c>
      <c r="E2" s="210">
        <v>1</v>
      </c>
      <c r="F2" s="209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【中級】最悪の刺客</v>
      </c>
      <c r="G2" s="209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" s="211">
        <v>1</v>
      </c>
      <c r="I2" s="212">
        <f>ROW()-1</f>
        <v>1</v>
      </c>
      <c r="J2" s="213" t="str">
        <f>B2&amp;TEXT(I2,"00")</f>
        <v>3002801</v>
      </c>
      <c r="K2" s="210" t="s">
        <v>196</v>
      </c>
      <c r="L2" s="214" t="s">
        <v>197</v>
      </c>
      <c r="M2" s="215" t="s">
        <v>326</v>
      </c>
      <c r="N2" s="216" t="s">
        <v>198</v>
      </c>
    </row>
    <row r="3" spans="1:14" ht="56" x14ac:dyDescent="0.15">
      <c r="A3" s="217" t="s">
        <v>195</v>
      </c>
      <c r="B3" s="75">
        <f>floors!$C$2</f>
        <v>30028</v>
      </c>
      <c r="C3" s="76" t="str">
        <f ca="1">VLOOKUP($B3,OFFSET([2]quests!$A$1,0,0,COUNTA([2]quests!$A:$A),MATCH(C$1,[2]quests!$1:$1,0)-MATCH($B$1,[2]quests!$1:$1,0)+1),MATCH(C$1,[2]quests!$1:$1,0)-MATCH($B$1,[2]quests!$1:$1,0)+1,FALSE)</f>
        <v>最悪の刺客</v>
      </c>
      <c r="D3" s="76" t="str">
        <f ca="1">VLOOKUP($B3,OFFSET([2]quests!$A$1,0,0,COUNTA([2]quests!$A:$A),MATCH(D$1,[2]quests!$1:$1,0)-MATCH($B$1,[2]quests!$1:$1,0)+1),MATCH(D$1,[2]quests!$1:$1,0)-MATCH($B$1,[2]quests!$1:$1,0)+1,FALSE)</f>
        <v>ドロップイベント8（マルチ専用）</v>
      </c>
      <c r="E3" s="77">
        <v>1</v>
      </c>
      <c r="F3" s="76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【中級】最悪の刺客</v>
      </c>
      <c r="G3" s="76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" s="78">
        <v>2</v>
      </c>
      <c r="I3" s="82">
        <f t="shared" ref="I3:I18" si="0">ROW()-1</f>
        <v>2</v>
      </c>
      <c r="J3" s="79" t="str">
        <f t="shared" ref="J3:J6" si="1">B3&amp;TEXT(I3,"00")</f>
        <v>3002802</v>
      </c>
      <c r="K3" s="77" t="s">
        <v>196</v>
      </c>
      <c r="L3" s="80" t="s">
        <v>197</v>
      </c>
      <c r="M3" s="206" t="s">
        <v>304</v>
      </c>
      <c r="N3" s="218" t="s">
        <v>198</v>
      </c>
    </row>
    <row r="4" spans="1:14" ht="56" x14ac:dyDescent="0.15">
      <c r="A4" s="217" t="s">
        <v>195</v>
      </c>
      <c r="B4" s="75">
        <f>floors!$C$2</f>
        <v>30028</v>
      </c>
      <c r="C4" s="76" t="str">
        <f ca="1">VLOOKUP($B4,OFFSET([2]quests!$A$1,0,0,COUNTA([2]quests!$A:$A),MATCH(C$1,[2]quests!$1:$1,0)-MATCH($B$1,[2]quests!$1:$1,0)+1),MATCH(C$1,[2]quests!$1:$1,0)-MATCH($B$1,[2]quests!$1:$1,0)+1,FALSE)</f>
        <v>最悪の刺客</v>
      </c>
      <c r="D4" s="76" t="str">
        <f ca="1">VLOOKUP($B4,OFFSET([2]quests!$A$1,0,0,COUNTA([2]quests!$A:$A),MATCH(D$1,[2]quests!$1:$1,0)-MATCH($B$1,[2]quests!$1:$1,0)+1),MATCH(D$1,[2]quests!$1:$1,0)-MATCH($B$1,[2]quests!$1:$1,0)+1,FALSE)</f>
        <v>ドロップイベント8（マルチ専用）</v>
      </c>
      <c r="E4" s="77">
        <v>1</v>
      </c>
      <c r="F4" s="76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【中級】最悪の刺客</v>
      </c>
      <c r="G4" s="76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" s="78">
        <v>3</v>
      </c>
      <c r="I4" s="82">
        <f t="shared" si="0"/>
        <v>3</v>
      </c>
      <c r="J4" s="79" t="str">
        <f t="shared" si="1"/>
        <v>3002803</v>
      </c>
      <c r="K4" s="77" t="s">
        <v>196</v>
      </c>
      <c r="L4" s="80" t="s">
        <v>197</v>
      </c>
      <c r="M4" s="206" t="s">
        <v>301</v>
      </c>
      <c r="N4" s="218" t="s">
        <v>198</v>
      </c>
    </row>
    <row r="5" spans="1:14" ht="42" x14ac:dyDescent="0.15">
      <c r="A5" s="217" t="s">
        <v>195</v>
      </c>
      <c r="B5" s="75">
        <f>floors!$C$2</f>
        <v>30028</v>
      </c>
      <c r="C5" s="76" t="str">
        <f ca="1">VLOOKUP($B5,OFFSET([2]quests!$A$1,0,0,COUNTA([2]quests!$A:$A),MATCH(C$1,[2]quests!$1:$1,0)-MATCH($B$1,[2]quests!$1:$1,0)+1),MATCH(C$1,[2]quests!$1:$1,0)-MATCH($B$1,[2]quests!$1:$1,0)+1,FALSE)</f>
        <v>最悪の刺客</v>
      </c>
      <c r="D5" s="76" t="str">
        <f ca="1">VLOOKUP($B5,OFFSET([2]quests!$A$1,0,0,COUNTA([2]quests!$A:$A),MATCH(D$1,[2]quests!$1:$1,0)-MATCH($B$1,[2]quests!$1:$1,0)+1),MATCH(D$1,[2]quests!$1:$1,0)-MATCH($B$1,[2]quests!$1:$1,0)+1,FALSE)</f>
        <v>ドロップイベント8（マルチ専用）</v>
      </c>
      <c r="E5" s="77">
        <v>1</v>
      </c>
      <c r="F5" s="76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【中級】最悪の刺客</v>
      </c>
      <c r="G5" s="76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" s="78">
        <v>4</v>
      </c>
      <c r="I5" s="82">
        <f t="shared" si="0"/>
        <v>4</v>
      </c>
      <c r="J5" s="79" t="str">
        <f t="shared" si="1"/>
        <v>3002804</v>
      </c>
      <c r="K5" s="77" t="s">
        <v>196</v>
      </c>
      <c r="L5" s="80" t="s">
        <v>197</v>
      </c>
      <c r="M5" s="206" t="s">
        <v>305</v>
      </c>
      <c r="N5" s="218" t="s">
        <v>198</v>
      </c>
    </row>
    <row r="6" spans="1:14" ht="29" thickBot="1" x14ac:dyDescent="0.2">
      <c r="A6" s="219" t="s">
        <v>195</v>
      </c>
      <c r="B6" s="220">
        <f>floors!$C$2</f>
        <v>30028</v>
      </c>
      <c r="C6" s="221" t="str">
        <f ca="1">VLOOKUP($B6,OFFSET([2]quests!$A$1,0,0,COUNTA([2]quests!$A:$A),MATCH(C$1,[2]quests!$1:$1,0)-MATCH($B$1,[2]quests!$1:$1,0)+1),MATCH(C$1,[2]quests!$1:$1,0)-MATCH($B$1,[2]quests!$1:$1,0)+1,FALSE)</f>
        <v>最悪の刺客</v>
      </c>
      <c r="D6" s="221" t="str">
        <f ca="1">VLOOKUP($B6,OFFSET([2]quests!$A$1,0,0,COUNTA([2]quests!$A:$A),MATCH(D$1,[2]quests!$1:$1,0)-MATCH($B$1,[2]quests!$1:$1,0)+1),MATCH(D$1,[2]quests!$1:$1,0)-MATCH($B$1,[2]quests!$1:$1,0)+1,FALSE)</f>
        <v>ドロップイベント8（マルチ専用）</v>
      </c>
      <c r="E6" s="222">
        <v>1</v>
      </c>
      <c r="F6" s="22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【中級】最悪の刺客</v>
      </c>
      <c r="G6" s="221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" s="223">
        <v>4</v>
      </c>
      <c r="I6" s="224">
        <f t="shared" si="0"/>
        <v>5</v>
      </c>
      <c r="J6" s="225" t="str">
        <f t="shared" si="1"/>
        <v>3002805</v>
      </c>
      <c r="K6" s="222" t="s">
        <v>196</v>
      </c>
      <c r="L6" s="226" t="s">
        <v>197</v>
      </c>
      <c r="M6" s="227" t="s">
        <v>302</v>
      </c>
      <c r="N6" s="228" t="s">
        <v>198</v>
      </c>
    </row>
    <row r="7" spans="1:14" ht="70" x14ac:dyDescent="0.15">
      <c r="A7" s="207" t="s">
        <v>195</v>
      </c>
      <c r="B7" s="208">
        <f>floors!$C$2</f>
        <v>30028</v>
      </c>
      <c r="C7" s="209" t="str">
        <f ca="1">VLOOKUP($B7,OFFSET([2]quests!$A$1,0,0,COUNTA([2]quests!$A:$A),MATCH(C$1,[2]quests!$1:$1,0)-MATCH($B$1,[2]quests!$1:$1,0)+1),MATCH(C$1,[2]quests!$1:$1,0)-MATCH($B$1,[2]quests!$1:$1,0)+1,FALSE)</f>
        <v>最悪の刺客</v>
      </c>
      <c r="D7" s="209" t="str">
        <f ca="1">VLOOKUP($B7,OFFSET([2]quests!$A$1,0,0,COUNTA([2]quests!$A:$A),MATCH(D$1,[2]quests!$1:$1,0)-MATCH($B$1,[2]quests!$1:$1,0)+1),MATCH(D$1,[2]quests!$1:$1,0)-MATCH($B$1,[2]quests!$1:$1,0)+1,FALSE)</f>
        <v>ドロップイベント8（マルチ専用）</v>
      </c>
      <c r="E7" s="210">
        <v>2</v>
      </c>
      <c r="F7" s="209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【上級】最悪の刺客</v>
      </c>
      <c r="G7" s="209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" s="211">
        <v>1</v>
      </c>
      <c r="I7" s="212">
        <f>ROW()-1</f>
        <v>6</v>
      </c>
      <c r="J7" s="213" t="str">
        <f>B7&amp;TEXT(I7,"00")</f>
        <v>3002806</v>
      </c>
      <c r="K7" s="210" t="s">
        <v>196</v>
      </c>
      <c r="L7" s="214" t="s">
        <v>197</v>
      </c>
      <c r="M7" s="215" t="s">
        <v>326</v>
      </c>
      <c r="N7" s="216" t="s">
        <v>198</v>
      </c>
    </row>
    <row r="8" spans="1:14" ht="28" x14ac:dyDescent="0.15">
      <c r="A8" s="217" t="s">
        <v>195</v>
      </c>
      <c r="B8" s="75">
        <f>floors!$C$2</f>
        <v>30028</v>
      </c>
      <c r="C8" s="76" t="str">
        <f ca="1">VLOOKUP($B8,OFFSET([2]quests!$A$1,0,0,COUNTA([2]quests!$A:$A),MATCH(C$1,[2]quests!$1:$1,0)-MATCH($B$1,[2]quests!$1:$1,0)+1),MATCH(C$1,[2]quests!$1:$1,0)-MATCH($B$1,[2]quests!$1:$1,0)+1,FALSE)</f>
        <v>最悪の刺客</v>
      </c>
      <c r="D8" s="76" t="str">
        <f ca="1">VLOOKUP($B8,OFFSET([2]quests!$A$1,0,0,COUNTA([2]quests!$A:$A),MATCH(D$1,[2]quests!$1:$1,0)-MATCH($B$1,[2]quests!$1:$1,0)+1),MATCH(D$1,[2]quests!$1:$1,0)-MATCH($B$1,[2]quests!$1:$1,0)+1,FALSE)</f>
        <v>ドロップイベント8（マルチ専用）</v>
      </c>
      <c r="E8" s="77">
        <v>2</v>
      </c>
      <c r="F8" s="76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【上級】最悪の刺客</v>
      </c>
      <c r="G8" s="76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" s="78">
        <v>2</v>
      </c>
      <c r="I8" s="82">
        <f t="shared" si="0"/>
        <v>7</v>
      </c>
      <c r="J8" s="79" t="str">
        <f t="shared" ref="J8:J12" si="2">B8&amp;TEXT(I8,"00")</f>
        <v>3002807</v>
      </c>
      <c r="K8" s="77" t="s">
        <v>196</v>
      </c>
      <c r="L8" s="80" t="s">
        <v>197</v>
      </c>
      <c r="M8" s="206" t="s">
        <v>303</v>
      </c>
      <c r="N8" s="218" t="s">
        <v>198</v>
      </c>
    </row>
    <row r="9" spans="1:14" ht="56" x14ac:dyDescent="0.15">
      <c r="A9" s="217" t="s">
        <v>195</v>
      </c>
      <c r="B9" s="75">
        <f>floors!$C$2</f>
        <v>30028</v>
      </c>
      <c r="C9" s="76" t="str">
        <f ca="1">VLOOKUP($B9,OFFSET([2]quests!$A$1,0,0,COUNTA([2]quests!$A:$A),MATCH(C$1,[2]quests!$1:$1,0)-MATCH($B$1,[2]quests!$1:$1,0)+1),MATCH(C$1,[2]quests!$1:$1,0)-MATCH($B$1,[2]quests!$1:$1,0)+1,FALSE)</f>
        <v>最悪の刺客</v>
      </c>
      <c r="D9" s="76" t="str">
        <f ca="1">VLOOKUP($B9,OFFSET([2]quests!$A$1,0,0,COUNTA([2]quests!$A:$A),MATCH(D$1,[2]quests!$1:$1,0)-MATCH($B$1,[2]quests!$1:$1,0)+1),MATCH(D$1,[2]quests!$1:$1,0)-MATCH($B$1,[2]quests!$1:$1,0)+1,FALSE)</f>
        <v>ドロップイベント8（マルチ専用）</v>
      </c>
      <c r="E9" s="77">
        <v>2</v>
      </c>
      <c r="F9" s="76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【上級】最悪の刺客</v>
      </c>
      <c r="G9" s="76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9" s="78">
        <v>2</v>
      </c>
      <c r="I9" s="82">
        <f t="shared" si="0"/>
        <v>8</v>
      </c>
      <c r="J9" s="79" t="str">
        <f t="shared" si="2"/>
        <v>3002808</v>
      </c>
      <c r="K9" s="77" t="s">
        <v>196</v>
      </c>
      <c r="L9" s="80" t="s">
        <v>197</v>
      </c>
      <c r="M9" s="206" t="s">
        <v>304</v>
      </c>
      <c r="N9" s="218" t="s">
        <v>198</v>
      </c>
    </row>
    <row r="10" spans="1:14" ht="56" x14ac:dyDescent="0.15">
      <c r="A10" s="217" t="s">
        <v>195</v>
      </c>
      <c r="B10" s="75">
        <f>floors!$C$2</f>
        <v>30028</v>
      </c>
      <c r="C10" s="76" t="str">
        <f ca="1">VLOOKUP($B10,OFFSET([2]quests!$A$1,0,0,COUNTA([2]quests!$A:$A),MATCH(C$1,[2]quests!$1:$1,0)-MATCH($B$1,[2]quests!$1:$1,0)+1),MATCH(C$1,[2]quests!$1:$1,0)-MATCH($B$1,[2]quests!$1:$1,0)+1,FALSE)</f>
        <v>最悪の刺客</v>
      </c>
      <c r="D10" s="76" t="str">
        <f ca="1">VLOOKUP($B10,OFFSET([2]quests!$A$1,0,0,COUNTA([2]quests!$A:$A),MATCH(D$1,[2]quests!$1:$1,0)-MATCH($B$1,[2]quests!$1:$1,0)+1),MATCH(D$1,[2]quests!$1:$1,0)-MATCH($B$1,[2]quests!$1:$1,0)+1,FALSE)</f>
        <v>ドロップイベント8（マルチ専用）</v>
      </c>
      <c r="E10" s="77">
        <v>2</v>
      </c>
      <c r="F10" s="76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【上級】最悪の刺客</v>
      </c>
      <c r="G10" s="76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0" s="78">
        <v>3</v>
      </c>
      <c r="I10" s="82">
        <f t="shared" si="0"/>
        <v>9</v>
      </c>
      <c r="J10" s="79" t="str">
        <f t="shared" si="2"/>
        <v>3002809</v>
      </c>
      <c r="K10" s="77" t="s">
        <v>196</v>
      </c>
      <c r="L10" s="80" t="s">
        <v>197</v>
      </c>
      <c r="M10" s="206" t="s">
        <v>301</v>
      </c>
      <c r="N10" s="218" t="s">
        <v>198</v>
      </c>
    </row>
    <row r="11" spans="1:14" ht="42" x14ac:dyDescent="0.15">
      <c r="A11" s="217" t="s">
        <v>195</v>
      </c>
      <c r="B11" s="75">
        <f>floors!$C$2</f>
        <v>30028</v>
      </c>
      <c r="C11" s="76" t="str">
        <f ca="1">VLOOKUP($B11,OFFSET([2]quests!$A$1,0,0,COUNTA([2]quests!$A:$A),MATCH(C$1,[2]quests!$1:$1,0)-MATCH($B$1,[2]quests!$1:$1,0)+1),MATCH(C$1,[2]quests!$1:$1,0)-MATCH($B$1,[2]quests!$1:$1,0)+1,FALSE)</f>
        <v>最悪の刺客</v>
      </c>
      <c r="D11" s="76" t="str">
        <f ca="1">VLOOKUP($B11,OFFSET([2]quests!$A$1,0,0,COUNTA([2]quests!$A:$A),MATCH(D$1,[2]quests!$1:$1,0)-MATCH($B$1,[2]quests!$1:$1,0)+1),MATCH(D$1,[2]quests!$1:$1,0)-MATCH($B$1,[2]quests!$1:$1,0)+1,FALSE)</f>
        <v>ドロップイベント8（マルチ専用）</v>
      </c>
      <c r="E11" s="77">
        <v>2</v>
      </c>
      <c r="F11" s="76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【上級】最悪の刺客</v>
      </c>
      <c r="G11" s="76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1" s="78">
        <v>4</v>
      </c>
      <c r="I11" s="82">
        <f t="shared" si="0"/>
        <v>10</v>
      </c>
      <c r="J11" s="79" t="str">
        <f t="shared" si="2"/>
        <v>3002810</v>
      </c>
      <c r="K11" s="77" t="s">
        <v>196</v>
      </c>
      <c r="L11" s="80" t="s">
        <v>197</v>
      </c>
      <c r="M11" s="206" t="s">
        <v>305</v>
      </c>
      <c r="N11" s="218" t="s">
        <v>198</v>
      </c>
    </row>
    <row r="12" spans="1:14" ht="29" thickBot="1" x14ac:dyDescent="0.2">
      <c r="A12" s="219" t="s">
        <v>195</v>
      </c>
      <c r="B12" s="220">
        <f>floors!$C$2</f>
        <v>30028</v>
      </c>
      <c r="C12" s="221" t="str">
        <f ca="1">VLOOKUP($B12,OFFSET([2]quests!$A$1,0,0,COUNTA([2]quests!$A:$A),MATCH(C$1,[2]quests!$1:$1,0)-MATCH($B$1,[2]quests!$1:$1,0)+1),MATCH(C$1,[2]quests!$1:$1,0)-MATCH($B$1,[2]quests!$1:$1,0)+1,FALSE)</f>
        <v>最悪の刺客</v>
      </c>
      <c r="D12" s="221" t="str">
        <f ca="1">VLOOKUP($B12,OFFSET([2]quests!$A$1,0,0,COUNTA([2]quests!$A:$A),MATCH(D$1,[2]quests!$1:$1,0)-MATCH($B$1,[2]quests!$1:$1,0)+1),MATCH(D$1,[2]quests!$1:$1,0)-MATCH($B$1,[2]quests!$1:$1,0)+1,FALSE)</f>
        <v>ドロップイベント8（マルチ専用）</v>
      </c>
      <c r="E12" s="222">
        <v>2</v>
      </c>
      <c r="F12" s="221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【上級】最悪の刺客</v>
      </c>
      <c r="G12" s="221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2" s="223">
        <v>4</v>
      </c>
      <c r="I12" s="224">
        <f t="shared" si="0"/>
        <v>11</v>
      </c>
      <c r="J12" s="225" t="str">
        <f t="shared" si="2"/>
        <v>3002811</v>
      </c>
      <c r="K12" s="222" t="s">
        <v>196</v>
      </c>
      <c r="L12" s="226" t="s">
        <v>197</v>
      </c>
      <c r="M12" s="227" t="s">
        <v>302</v>
      </c>
      <c r="N12" s="228" t="s">
        <v>198</v>
      </c>
    </row>
    <row r="13" spans="1:14" ht="70" x14ac:dyDescent="0.15">
      <c r="A13" s="207" t="s">
        <v>195</v>
      </c>
      <c r="B13" s="208">
        <f>floors!$C$2</f>
        <v>30028</v>
      </c>
      <c r="C13" s="209" t="str">
        <f ca="1">VLOOKUP($B13,OFFSET([2]quests!$A$1,0,0,COUNTA([2]quests!$A:$A),MATCH(C$1,[2]quests!$1:$1,0)-MATCH($B$1,[2]quests!$1:$1,0)+1),MATCH(C$1,[2]quests!$1:$1,0)-MATCH($B$1,[2]quests!$1:$1,0)+1,FALSE)</f>
        <v>最悪の刺客</v>
      </c>
      <c r="D13" s="209" t="str">
        <f ca="1">VLOOKUP($B13,OFFSET([2]quests!$A$1,0,0,COUNTA([2]quests!$A:$A),MATCH(D$1,[2]quests!$1:$1,0)-MATCH($B$1,[2]quests!$1:$1,0)+1),MATCH(D$1,[2]quests!$1:$1,0)-MATCH($B$1,[2]quests!$1:$1,0)+1,FALSE)</f>
        <v>ドロップイベント8（マルチ専用）</v>
      </c>
      <c r="E13" s="210">
        <v>3</v>
      </c>
      <c r="F13" s="209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【超級】最悪の刺客</v>
      </c>
      <c r="G13" s="209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3" s="211">
        <v>1</v>
      </c>
      <c r="I13" s="212">
        <f>ROW()-1</f>
        <v>12</v>
      </c>
      <c r="J13" s="213" t="str">
        <f>B13&amp;TEXT(I13,"00")</f>
        <v>3002812</v>
      </c>
      <c r="K13" s="210" t="s">
        <v>196</v>
      </c>
      <c r="L13" s="214" t="s">
        <v>197</v>
      </c>
      <c r="M13" s="215" t="s">
        <v>326</v>
      </c>
      <c r="N13" s="216" t="s">
        <v>198</v>
      </c>
    </row>
    <row r="14" spans="1:14" ht="28" x14ac:dyDescent="0.15">
      <c r="A14" s="217" t="s">
        <v>195</v>
      </c>
      <c r="B14" s="75">
        <f>floors!$C$2</f>
        <v>30028</v>
      </c>
      <c r="C14" s="76" t="str">
        <f ca="1">VLOOKUP($B14,OFFSET([2]quests!$A$1,0,0,COUNTA([2]quests!$A:$A),MATCH(C$1,[2]quests!$1:$1,0)-MATCH($B$1,[2]quests!$1:$1,0)+1),MATCH(C$1,[2]quests!$1:$1,0)-MATCH($B$1,[2]quests!$1:$1,0)+1,FALSE)</f>
        <v>最悪の刺客</v>
      </c>
      <c r="D14" s="76" t="str">
        <f ca="1">VLOOKUP($B14,OFFSET([2]quests!$A$1,0,0,COUNTA([2]quests!$A:$A),MATCH(D$1,[2]quests!$1:$1,0)-MATCH($B$1,[2]quests!$1:$1,0)+1),MATCH(D$1,[2]quests!$1:$1,0)-MATCH($B$1,[2]quests!$1:$1,0)+1,FALSE)</f>
        <v>ドロップイベント8（マルチ専用）</v>
      </c>
      <c r="E14" s="77">
        <v>3</v>
      </c>
      <c r="F14" s="76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【超級】最悪の刺客</v>
      </c>
      <c r="G14" s="76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4" s="78">
        <v>2</v>
      </c>
      <c r="I14" s="82">
        <f t="shared" si="0"/>
        <v>13</v>
      </c>
      <c r="J14" s="79" t="str">
        <f t="shared" ref="J14:J18" si="3">B14&amp;TEXT(I14,"00")</f>
        <v>3002813</v>
      </c>
      <c r="K14" s="77" t="s">
        <v>196</v>
      </c>
      <c r="L14" s="80" t="s">
        <v>197</v>
      </c>
      <c r="M14" s="206" t="s">
        <v>303</v>
      </c>
      <c r="N14" s="218" t="s">
        <v>198</v>
      </c>
    </row>
    <row r="15" spans="1:14" ht="56" x14ac:dyDescent="0.15">
      <c r="A15" s="217" t="s">
        <v>195</v>
      </c>
      <c r="B15" s="75">
        <f>floors!$C$2</f>
        <v>30028</v>
      </c>
      <c r="C15" s="76" t="str">
        <f ca="1">VLOOKUP($B15,OFFSET([2]quests!$A$1,0,0,COUNTA([2]quests!$A:$A),MATCH(C$1,[2]quests!$1:$1,0)-MATCH($B$1,[2]quests!$1:$1,0)+1),MATCH(C$1,[2]quests!$1:$1,0)-MATCH($B$1,[2]quests!$1:$1,0)+1,FALSE)</f>
        <v>最悪の刺客</v>
      </c>
      <c r="D15" s="76" t="str">
        <f ca="1">VLOOKUP($B15,OFFSET([2]quests!$A$1,0,0,COUNTA([2]quests!$A:$A),MATCH(D$1,[2]quests!$1:$1,0)-MATCH($B$1,[2]quests!$1:$1,0)+1),MATCH(D$1,[2]quests!$1:$1,0)-MATCH($B$1,[2]quests!$1:$1,0)+1,FALSE)</f>
        <v>ドロップイベント8（マルチ専用）</v>
      </c>
      <c r="E15" s="77">
        <v>3</v>
      </c>
      <c r="F15" s="76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【超級】最悪の刺客</v>
      </c>
      <c r="G15" s="76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5" s="78">
        <v>2</v>
      </c>
      <c r="I15" s="82">
        <f t="shared" si="0"/>
        <v>14</v>
      </c>
      <c r="J15" s="79" t="str">
        <f t="shared" si="3"/>
        <v>3002814</v>
      </c>
      <c r="K15" s="77" t="s">
        <v>196</v>
      </c>
      <c r="L15" s="80" t="s">
        <v>197</v>
      </c>
      <c r="M15" s="206" t="s">
        <v>304</v>
      </c>
      <c r="N15" s="218" t="s">
        <v>198</v>
      </c>
    </row>
    <row r="16" spans="1:14" ht="56" x14ac:dyDescent="0.15">
      <c r="A16" s="217" t="s">
        <v>195</v>
      </c>
      <c r="B16" s="75">
        <f>floors!$C$2</f>
        <v>30028</v>
      </c>
      <c r="C16" s="76" t="str">
        <f ca="1">VLOOKUP($B16,OFFSET([2]quests!$A$1,0,0,COUNTA([2]quests!$A:$A),MATCH(C$1,[2]quests!$1:$1,0)-MATCH($B$1,[2]quests!$1:$1,0)+1),MATCH(C$1,[2]quests!$1:$1,0)-MATCH($B$1,[2]quests!$1:$1,0)+1,FALSE)</f>
        <v>最悪の刺客</v>
      </c>
      <c r="D16" s="76" t="str">
        <f ca="1">VLOOKUP($B16,OFFSET([2]quests!$A$1,0,0,COUNTA([2]quests!$A:$A),MATCH(D$1,[2]quests!$1:$1,0)-MATCH($B$1,[2]quests!$1:$1,0)+1),MATCH(D$1,[2]quests!$1:$1,0)-MATCH($B$1,[2]quests!$1:$1,0)+1,FALSE)</f>
        <v>ドロップイベント8（マルチ専用）</v>
      </c>
      <c r="E16" s="77">
        <v>3</v>
      </c>
      <c r="F16" s="76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【超級】最悪の刺客</v>
      </c>
      <c r="G16" s="76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6" s="78">
        <v>3</v>
      </c>
      <c r="I16" s="82">
        <f t="shared" si="0"/>
        <v>15</v>
      </c>
      <c r="J16" s="79" t="str">
        <f t="shared" si="3"/>
        <v>3002815</v>
      </c>
      <c r="K16" s="77" t="s">
        <v>196</v>
      </c>
      <c r="L16" s="80" t="s">
        <v>197</v>
      </c>
      <c r="M16" s="206" t="s">
        <v>301</v>
      </c>
      <c r="N16" s="218" t="s">
        <v>198</v>
      </c>
    </row>
    <row r="17" spans="1:14" ht="42" x14ac:dyDescent="0.15">
      <c r="A17" s="217" t="s">
        <v>195</v>
      </c>
      <c r="B17" s="75">
        <f>floors!$C$2</f>
        <v>30028</v>
      </c>
      <c r="C17" s="76" t="str">
        <f ca="1">VLOOKUP($B17,OFFSET([2]quests!$A$1,0,0,COUNTA([2]quests!$A:$A),MATCH(C$1,[2]quests!$1:$1,0)-MATCH($B$1,[2]quests!$1:$1,0)+1),MATCH(C$1,[2]quests!$1:$1,0)-MATCH($B$1,[2]quests!$1:$1,0)+1,FALSE)</f>
        <v>最悪の刺客</v>
      </c>
      <c r="D17" s="76" t="str">
        <f ca="1">VLOOKUP($B17,OFFSET([2]quests!$A$1,0,0,COUNTA([2]quests!$A:$A),MATCH(D$1,[2]quests!$1:$1,0)-MATCH($B$1,[2]quests!$1:$1,0)+1),MATCH(D$1,[2]quests!$1:$1,0)-MATCH($B$1,[2]quests!$1:$1,0)+1,FALSE)</f>
        <v>ドロップイベント8（マルチ専用）</v>
      </c>
      <c r="E17" s="77">
        <v>3</v>
      </c>
      <c r="F17" s="76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【超級】最悪の刺客</v>
      </c>
      <c r="G17" s="76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7" s="78">
        <v>4</v>
      </c>
      <c r="I17" s="82">
        <f t="shared" si="0"/>
        <v>16</v>
      </c>
      <c r="J17" s="79" t="str">
        <f t="shared" si="3"/>
        <v>3002816</v>
      </c>
      <c r="K17" s="77" t="s">
        <v>196</v>
      </c>
      <c r="L17" s="80" t="s">
        <v>197</v>
      </c>
      <c r="M17" s="206" t="s">
        <v>305</v>
      </c>
      <c r="N17" s="218" t="s">
        <v>198</v>
      </c>
    </row>
    <row r="18" spans="1:14" ht="29" thickBot="1" x14ac:dyDescent="0.2">
      <c r="A18" s="219" t="s">
        <v>195</v>
      </c>
      <c r="B18" s="220">
        <f>floors!$C$2</f>
        <v>30028</v>
      </c>
      <c r="C18" s="221" t="str">
        <f ca="1">VLOOKUP($B18,OFFSET([2]quests!$A$1,0,0,COUNTA([2]quests!$A:$A),MATCH(C$1,[2]quests!$1:$1,0)-MATCH($B$1,[2]quests!$1:$1,0)+1),MATCH(C$1,[2]quests!$1:$1,0)-MATCH($B$1,[2]quests!$1:$1,0)+1,FALSE)</f>
        <v>最悪の刺客</v>
      </c>
      <c r="D18" s="221" t="str">
        <f ca="1">VLOOKUP($B18,OFFSET([2]quests!$A$1,0,0,COUNTA([2]quests!$A:$A),MATCH(D$1,[2]quests!$1:$1,0)-MATCH($B$1,[2]quests!$1:$1,0)+1),MATCH(D$1,[2]quests!$1:$1,0)-MATCH($B$1,[2]quests!$1:$1,0)+1,FALSE)</f>
        <v>ドロップイベント8（マルチ専用）</v>
      </c>
      <c r="E18" s="222">
        <v>3</v>
      </c>
      <c r="F18" s="221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【超級】最悪の刺客</v>
      </c>
      <c r="G18" s="221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8" s="223">
        <v>4</v>
      </c>
      <c r="I18" s="224">
        <f t="shared" si="0"/>
        <v>17</v>
      </c>
      <c r="J18" s="225" t="str">
        <f t="shared" si="3"/>
        <v>3002817</v>
      </c>
      <c r="K18" s="222" t="s">
        <v>196</v>
      </c>
      <c r="L18" s="226" t="s">
        <v>197</v>
      </c>
      <c r="M18" s="227" t="s">
        <v>302</v>
      </c>
      <c r="N18" s="228" t="s">
        <v>198</v>
      </c>
    </row>
  </sheetData>
  <phoneticPr fontId="5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2017-03-08T06:08:42Z</dcterms:modified>
</cp:coreProperties>
</file>